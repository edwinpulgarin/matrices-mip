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Paso_a_paso" sheetId="3" state="visible" r:id="rId3"/>
    <sheet xmlns:r="http://schemas.openxmlformats.org/officeDocument/2006/relationships" name="Brasil_2001_cierre" sheetId="4" state="visible" r:id="rId4"/>
    <sheet xmlns:r="http://schemas.openxmlformats.org/officeDocument/2006/relationships" name="Uruguay_2017_alerta" sheetId="5" state="visible" r:id="rId5"/>
    <sheet xmlns:r="http://schemas.openxmlformats.org/officeDocument/2006/relationships" name="Validaciones" sheetId="6" state="visible" r:id="rId6"/>
    <sheet xmlns:r="http://schemas.openxmlformats.org/officeDocument/2006/relationships" name="Simulador_piloto" sheetId="7" state="visible" r:id="rId7"/>
    <sheet xmlns:r="http://schemas.openxmlformats.org/officeDocument/2006/relationships" name="Formulas" sheetId="8" state="visible" r:id="rId8"/>
  </sheets>
  <definedNames>
    <definedName name="_xlnm._FilterDatabase" localSheetId="0" hidden="1">'README'!$A$4:$B$9</definedName>
    <definedName name="_xlnm._FilterDatabase" localSheetId="1" hidden="1">'Inventario'!$A$4:$N$38</definedName>
    <definedName name="_xlnm._FilterDatabase" localSheetId="2" hidden="1">'Paso_a_paso'!$A$4:$D$12</definedName>
    <definedName name="_xlnm._FilterDatabase" localSheetId="3" hidden="1">'Brasil_2001_cierre'!$A$4:$H$12</definedName>
    <definedName name="_xlnm._FilterDatabase" localSheetId="4" hidden="1">'Uruguay_2017_alerta'!$A$4:$E$6</definedName>
    <definedName name="_xlnm._FilterDatabase" localSheetId="5" hidden="1">'Validaciones'!$A$4:$J$38</definedName>
    <definedName name="_xlnm._FilterDatabase" localSheetId="7" hidden="1">'Formulas'!$A$4:$C$11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color rgb="00475467"/>
      <sz val="10"/>
    </font>
    <font>
      <b val="1"/>
      <color rgb="00FFFFFF"/>
      <sz val="10"/>
    </font>
    <font>
      <b val="1"/>
      <color rgb="00173B73"/>
    </font>
  </fonts>
  <fills count="5">
    <fill>
      <patternFill/>
    </fill>
    <fill>
      <patternFill patternType="gray125"/>
    </fill>
    <fill>
      <patternFill patternType="solid">
        <fgColor rgb="00173B73"/>
      </patternFill>
    </fill>
    <fill>
      <patternFill patternType="solid">
        <fgColor rgb="00F8FAFC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Delta g por sector de muestra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'Simulador_piloto'!H4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'Simulador_piloto'!$A$5:$A$12</f>
            </numRef>
          </cat>
          <val>
            <numRef>
              <f>'Simulador_piloto'!$H$5:$H$12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Impacto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05" customWidth="1" min="2" max="2"/>
  </cols>
  <sheetData>
    <row r="1" ht="30" customHeight="1">
      <c r="A1" s="1" t="inlineStr">
        <is>
          <t>Prueba de reconstruccion MIP finalizadas</t>
        </is>
      </c>
    </row>
    <row r="2">
      <c r="A2" s="2" t="inlineStr">
        <is>
          <t>Workbook piloto para explicar matrices reconstruidas, cierres y simulador de choques.</t>
        </is>
      </c>
    </row>
    <row r="3"/>
    <row r="4">
      <c r="A4" s="3" t="inlineStr">
        <is>
          <t>Campo</t>
        </is>
      </c>
      <c r="B4" s="3" t="inlineStr">
        <is>
          <t>Descripcion</t>
        </is>
      </c>
    </row>
    <row r="5">
      <c r="A5" s="4" t="inlineStr">
        <is>
          <t>Objetivo</t>
        </is>
      </c>
      <c r="B5" s="4" t="inlineStr">
        <is>
          <t>Mostrar, con datos del paquete final, como se separan matrices directas y reconstruidas.</t>
        </is>
      </c>
    </row>
    <row r="6">
      <c r="A6" s="5" t="inlineStr">
        <is>
          <t>Reconstruidas</t>
        </is>
      </c>
      <c r="B6" s="5" t="inlineStr">
        <is>
          <t>Argentina 2004/2018-2021, Brasil 2000-2021 y Uruguay 2017.</t>
        </is>
      </c>
    </row>
    <row r="7">
      <c r="A7" s="4" t="inlineStr">
        <is>
          <t>Directas</t>
        </is>
      </c>
      <c r="B7" s="4" t="inlineStr">
        <is>
          <t>Argentina 1997, Mexico 2003/2008/2013/2018 y Uruguay 2016.</t>
        </is>
      </c>
    </row>
    <row r="8">
      <c r="A8" s="5" t="inlineStr">
        <is>
          <t>Trazabilidad</t>
        </is>
      </c>
      <c r="B8" s="5" t="inlineStr">
        <is>
          <t>Los cierres menores quedan en ajuste_cierre y Z_pre_conciliacion cuando aplican.</t>
        </is>
      </c>
    </row>
    <row r="9">
      <c r="A9" s="4" t="inlineStr">
        <is>
          <t>Simulador</t>
        </is>
      </c>
      <c r="B9" s="4" t="inlineStr">
        <is>
          <t>La hoja Simulador_piloto muestra un choque de demanda con Delta g = L @ Delta f.</t>
        </is>
      </c>
    </row>
  </sheetData>
  <autoFilter ref="A4:B9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7" customWidth="1" min="2" max="2"/>
    <col width="10" customWidth="1" min="3" max="3"/>
    <col width="15" customWidth="1" min="4" max="4"/>
    <col width="28" customWidth="1" min="5" max="5"/>
    <col width="34" customWidth="1" min="6" max="6"/>
    <col width="48" customWidth="1" min="7" max="7"/>
    <col width="1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46" customWidth="1" min="14" max="14"/>
  </cols>
  <sheetData>
    <row r="1" ht="30" customHeight="1">
      <c r="A1" s="1" t="inlineStr">
        <is>
          <t>Inventario de matrices finales</t>
        </is>
      </c>
    </row>
    <row r="2">
      <c r="A2" s="2" t="inlineStr">
        <is>
          <t>Separacion de matrices directas y reconstruidas, con estado de validacion y demanda final negativa.</t>
        </is>
      </c>
    </row>
    <row r="3"/>
    <row r="4">
      <c r="A4" s="3" t="inlineStr">
        <is>
          <t>pais</t>
        </is>
      </c>
      <c r="B4" s="3" t="inlineStr">
        <is>
          <t>serie_fuente</t>
        </is>
      </c>
      <c r="C4" s="3" t="inlineStr">
        <is>
          <t>anio</t>
        </is>
      </c>
      <c r="D4" s="3" t="inlineStr">
        <is>
          <t>tipo_matriz</t>
        </is>
      </c>
      <c r="E4" s="3" t="inlineStr">
        <is>
          <t>fuente</t>
        </is>
      </c>
      <c r="F4" s="3" t="inlineStr">
        <is>
          <t>metodo</t>
        </is>
      </c>
      <c r="G4" s="3" t="inlineStr">
        <is>
          <t>decision_metodologica</t>
        </is>
      </c>
      <c r="H4" s="3" t="inlineStr">
        <is>
          <t>n_sectores</t>
        </is>
      </c>
      <c r="I4" s="3" t="inlineStr">
        <is>
          <t>validacion_estructural</t>
        </is>
      </c>
      <c r="J4" s="3" t="inlineStr">
        <is>
          <t>validacion_diagnostica</t>
        </is>
      </c>
      <c r="K4" s="3" t="inlineStr">
        <is>
          <t>sectores_demanda_final_negativa</t>
        </is>
      </c>
      <c r="L4" s="3" t="inlineStr">
        <is>
          <t>min_demanda_final</t>
        </is>
      </c>
      <c r="M4" s="3" t="inlineStr">
        <is>
          <t>ajuste_cierre_documentado</t>
        </is>
      </c>
      <c r="N4" s="3" t="inlineStr">
        <is>
          <t>archivo_final</t>
        </is>
      </c>
    </row>
    <row r="5">
      <c r="A5" s="4" t="inlineStr">
        <is>
          <t>Argentina</t>
        </is>
      </c>
      <c r="B5" s="4" t="inlineStr">
        <is>
          <t>argentina_mip97</t>
        </is>
      </c>
      <c r="C5" s="6" t="n">
        <v>1997</v>
      </c>
      <c r="D5" s="4" t="inlineStr">
        <is>
          <t>Directa</t>
        </is>
      </c>
      <c r="E5" s="4" t="inlineStr">
        <is>
          <t>MIPAr97 INDEC</t>
        </is>
      </c>
      <c r="F5" s="4" t="inlineStr">
        <is>
          <t>MIP oficial directa</t>
        </is>
      </c>
      <c r="G5" s="4" t="inlineStr">
        <is>
          <t>Se normaliza, valida y empaqueta sin reconstruccion COU.</t>
        </is>
      </c>
      <c r="H5" s="6" t="n">
        <v>124</v>
      </c>
      <c r="I5" s="4" t="inlineStr">
        <is>
          <t>OK</t>
        </is>
      </c>
      <c r="J5" s="4" t="inlineStr">
        <is>
          <t>AVISO</t>
        </is>
      </c>
      <c r="K5" s="6" t="n">
        <v>0</v>
      </c>
      <c r="L5" s="6" t="n">
        <v>3.585591912269592e-08</v>
      </c>
      <c r="M5" s="4" t="inlineStr">
        <is>
          <t>No</t>
        </is>
      </c>
      <c r="N5" s="4" t="inlineStr">
        <is>
          <t>output\matrices_insumo_producto\Argentina\MIP_Argentina_1997.xlsx</t>
        </is>
      </c>
    </row>
    <row r="6">
      <c r="A6" s="5" t="inlineStr">
        <is>
          <t>Argentina</t>
        </is>
      </c>
      <c r="B6" s="5" t="inlineStr">
        <is>
          <t>argentina</t>
        </is>
      </c>
      <c r="C6" s="7" t="n">
        <v>2004</v>
      </c>
      <c r="D6" s="5" t="inlineStr">
        <is>
          <t>Reconstruida</t>
        </is>
      </c>
      <c r="E6" s="5" t="inlineStr">
        <is>
          <t>COU INDEC/CEPAL</t>
        </is>
      </c>
      <c r="F6" s="5" t="inlineStr">
        <is>
          <t>COU a MIP industria x industria con tecnologia de industria</t>
        </is>
      </c>
      <c r="G6" s="5" t="inlineStr">
        <is>
          <t>Y fuente depurada, exclusion de UF y puente comprador-basico.</t>
        </is>
      </c>
      <c r="H6" s="7" t="n">
        <v>162</v>
      </c>
      <c r="I6" s="5" t="inlineStr">
        <is>
          <t>OK</t>
        </is>
      </c>
      <c r="J6" s="5" t="inlineStr">
        <is>
          <t>OK</t>
        </is>
      </c>
      <c r="K6" s="7" t="n">
        <v>0</v>
      </c>
      <c r="L6" s="7" t="n">
        <v>0</v>
      </c>
      <c r="M6" s="5" t="inlineStr">
        <is>
          <t>No</t>
        </is>
      </c>
      <c r="N6" s="5" t="inlineStr">
        <is>
          <t>output\matrices_insumo_producto\Argentina\MIP_Argentina_2004.xlsx</t>
        </is>
      </c>
    </row>
    <row r="7">
      <c r="A7" s="4" t="inlineStr">
        <is>
          <t>Argentina</t>
        </is>
      </c>
      <c r="B7" s="4" t="inlineStr">
        <is>
          <t>argentina</t>
        </is>
      </c>
      <c r="C7" s="6" t="n">
        <v>2018</v>
      </c>
      <c r="D7" s="4" t="inlineStr">
        <is>
          <t>Reconstruida</t>
        </is>
      </c>
      <c r="E7" s="4" t="inlineStr">
        <is>
          <t>COU INDEC/CEPAL</t>
        </is>
      </c>
      <c r="F7" s="4" t="inlineStr">
        <is>
          <t>COU a MIP industria x industria con tecnologia de industria</t>
        </is>
      </c>
      <c r="G7" s="4" t="inlineStr">
        <is>
          <t>Y fuente depurada, exclusion de UF y puente comprador-basico.</t>
        </is>
      </c>
      <c r="H7" s="6" t="n">
        <v>107</v>
      </c>
      <c r="I7" s="4" t="inlineStr">
        <is>
          <t>OK</t>
        </is>
      </c>
      <c r="J7" s="4" t="inlineStr">
        <is>
          <t>OK</t>
        </is>
      </c>
      <c r="K7" s="6" t="n">
        <v>0</v>
      </c>
      <c r="L7" s="6" t="n">
        <v>0</v>
      </c>
      <c r="M7" s="4" t="inlineStr">
        <is>
          <t>No</t>
        </is>
      </c>
      <c r="N7" s="4" t="inlineStr">
        <is>
          <t>output\matrices_insumo_producto\Argentina\MIP_Argentina_2018.xlsx</t>
        </is>
      </c>
    </row>
    <row r="8">
      <c r="A8" s="5" t="inlineStr">
        <is>
          <t>Argentina</t>
        </is>
      </c>
      <c r="B8" s="5" t="inlineStr">
        <is>
          <t>argentina</t>
        </is>
      </c>
      <c r="C8" s="7" t="n">
        <v>2019</v>
      </c>
      <c r="D8" s="5" t="inlineStr">
        <is>
          <t>Reconstruida</t>
        </is>
      </c>
      <c r="E8" s="5" t="inlineStr">
        <is>
          <t>COU INDEC/CEPAL</t>
        </is>
      </c>
      <c r="F8" s="5" t="inlineStr">
        <is>
          <t>COU a MIP industria x industria con tecnologia de industria</t>
        </is>
      </c>
      <c r="G8" s="5" t="inlineStr">
        <is>
          <t>Y fuente depurada, exclusion de UF y puente comprador-basico.</t>
        </is>
      </c>
      <c r="H8" s="7" t="n">
        <v>107</v>
      </c>
      <c r="I8" s="5" t="inlineStr">
        <is>
          <t>OK</t>
        </is>
      </c>
      <c r="J8" s="5" t="inlineStr">
        <is>
          <t>OK</t>
        </is>
      </c>
      <c r="K8" s="7" t="n">
        <v>0</v>
      </c>
      <c r="L8" s="7" t="n">
        <v>0</v>
      </c>
      <c r="M8" s="5" t="inlineStr">
        <is>
          <t>No</t>
        </is>
      </c>
      <c r="N8" s="5" t="inlineStr">
        <is>
          <t>output\matrices_insumo_producto\Argentina\MIP_Argentina_2019.xlsx</t>
        </is>
      </c>
    </row>
    <row r="9">
      <c r="A9" s="4" t="inlineStr">
        <is>
          <t>Argentina</t>
        </is>
      </c>
      <c r="B9" s="4" t="inlineStr">
        <is>
          <t>argentina</t>
        </is>
      </c>
      <c r="C9" s="6" t="n">
        <v>2020</v>
      </c>
      <c r="D9" s="4" t="inlineStr">
        <is>
          <t>Reconstruida</t>
        </is>
      </c>
      <c r="E9" s="4" t="inlineStr">
        <is>
          <t>COU INDEC/CEPAL</t>
        </is>
      </c>
      <c r="F9" s="4" t="inlineStr">
        <is>
          <t>COU a MIP industria x industria con tecnologia de industria</t>
        </is>
      </c>
      <c r="G9" s="4" t="inlineStr">
        <is>
          <t>Y fuente depurada, exclusion de UF y puente comprador-basico.</t>
        </is>
      </c>
      <c r="H9" s="6" t="n">
        <v>107</v>
      </c>
      <c r="I9" s="4" t="inlineStr">
        <is>
          <t>OK</t>
        </is>
      </c>
      <c r="J9" s="4" t="inlineStr">
        <is>
          <t>OK</t>
        </is>
      </c>
      <c r="K9" s="6" t="n">
        <v>0</v>
      </c>
      <c r="L9" s="6" t="n">
        <v>0</v>
      </c>
      <c r="M9" s="4" t="inlineStr">
        <is>
          <t>No</t>
        </is>
      </c>
      <c r="N9" s="4" t="inlineStr">
        <is>
          <t>output\matrices_insumo_producto\Argentina\MIP_Argentina_2020.xlsx</t>
        </is>
      </c>
    </row>
    <row r="10">
      <c r="A10" s="5" t="inlineStr">
        <is>
          <t>Argentina</t>
        </is>
      </c>
      <c r="B10" s="5" t="inlineStr">
        <is>
          <t>argentina</t>
        </is>
      </c>
      <c r="C10" s="7" t="n">
        <v>2021</v>
      </c>
      <c r="D10" s="5" t="inlineStr">
        <is>
          <t>Reconstruida</t>
        </is>
      </c>
      <c r="E10" s="5" t="inlineStr">
        <is>
          <t>COU INDEC/CEPAL</t>
        </is>
      </c>
      <c r="F10" s="5" t="inlineStr">
        <is>
          <t>COU a MIP industria x industria con tecnologia de industria</t>
        </is>
      </c>
      <c r="G10" s="5" t="inlineStr">
        <is>
          <t>Y fuente depurada, exclusion de UF y puente comprador-basico.</t>
        </is>
      </c>
      <c r="H10" s="7" t="n">
        <v>107</v>
      </c>
      <c r="I10" s="5" t="inlineStr">
        <is>
          <t>OK</t>
        </is>
      </c>
      <c r="J10" s="5" t="inlineStr">
        <is>
          <t>OK</t>
        </is>
      </c>
      <c r="K10" s="7" t="n">
        <v>0</v>
      </c>
      <c r="L10" s="7" t="n">
        <v>0</v>
      </c>
      <c r="M10" s="5" t="inlineStr">
        <is>
          <t>No</t>
        </is>
      </c>
      <c r="N10" s="5" t="inlineStr">
        <is>
          <t>output\matrices_insumo_producto\Argentina\MIP_Argentina_2021.xlsx</t>
        </is>
      </c>
    </row>
    <row r="11">
      <c r="A11" s="4" t="inlineStr">
        <is>
          <t>Brasil</t>
        </is>
      </c>
      <c r="B11" s="4" t="inlineStr">
        <is>
          <t>brasil_early</t>
        </is>
      </c>
      <c r="C11" s="6" t="n">
        <v>2000</v>
      </c>
      <c r="D11" s="4" t="inlineStr">
        <is>
          <t>Reconstruida</t>
        </is>
      </c>
      <c r="E11" s="4" t="inlineStr">
        <is>
          <t>COU CEPAL Brasil base 2000</t>
        </is>
      </c>
      <c r="F11" s="4" t="inlineStr">
        <is>
          <t>COU a MIP industria x industria; serie 2000-2009</t>
        </is>
      </c>
      <c r="G11" s="4" t="inlineStr">
        <is>
          <t>Alineacion por posicion, exclusion de totales y cierre menor trazable.</t>
        </is>
      </c>
      <c r="H11" s="6" t="n">
        <v>51</v>
      </c>
      <c r="I11" s="4" t="inlineStr">
        <is>
          <t>OK</t>
        </is>
      </c>
      <c r="J11" s="4" t="inlineStr">
        <is>
          <t>AVISO</t>
        </is>
      </c>
      <c r="K11" s="6" t="n">
        <v>0</v>
      </c>
      <c r="L11" s="6" t="n">
        <v>452.6602163484574</v>
      </c>
      <c r="M11" s="4" t="inlineStr">
        <is>
          <t>No</t>
        </is>
      </c>
      <c r="N11" s="4" t="inlineStr">
        <is>
          <t>output\matrices_insumo_producto\Brasil\MIP_Brasil_2000.xlsx</t>
        </is>
      </c>
    </row>
    <row r="12">
      <c r="A12" s="5" t="inlineStr">
        <is>
          <t>Brasil</t>
        </is>
      </c>
      <c r="B12" s="5" t="inlineStr">
        <is>
          <t>brasil_early</t>
        </is>
      </c>
      <c r="C12" s="7" t="n">
        <v>2001</v>
      </c>
      <c r="D12" s="5" t="inlineStr">
        <is>
          <t>Reconstruida</t>
        </is>
      </c>
      <c r="E12" s="5" t="inlineStr">
        <is>
          <t>COU CEPAL Brasil base 2000</t>
        </is>
      </c>
      <c r="F12" s="5" t="inlineStr">
        <is>
          <t>COU a MIP industria x industria; serie 2000-2009</t>
        </is>
      </c>
      <c r="G12" s="5" t="inlineStr">
        <is>
          <t>Alineacion por posicion, exclusion de totales y cierre menor trazable.</t>
        </is>
      </c>
      <c r="H12" s="7" t="n">
        <v>51</v>
      </c>
      <c r="I12" s="5" t="inlineStr">
        <is>
          <t>OK</t>
        </is>
      </c>
      <c r="J12" s="5" t="inlineStr">
        <is>
          <t>AVISO</t>
        </is>
      </c>
      <c r="K12" s="7" t="n">
        <v>0</v>
      </c>
      <c r="L12" s="7" t="n">
        <v>0</v>
      </c>
      <c r="M12" s="5" t="inlineStr">
        <is>
          <t>Si</t>
        </is>
      </c>
      <c r="N12" s="5" t="inlineStr">
        <is>
          <t>output\matrices_insumo_producto\Brasil\MIP_Brasil_2001.xlsx</t>
        </is>
      </c>
    </row>
    <row r="13">
      <c r="A13" s="4" t="inlineStr">
        <is>
          <t>Brasil</t>
        </is>
      </c>
      <c r="B13" s="4" t="inlineStr">
        <is>
          <t>brasil_early</t>
        </is>
      </c>
      <c r="C13" s="6" t="n">
        <v>2002</v>
      </c>
      <c r="D13" s="4" t="inlineStr">
        <is>
          <t>Reconstruida</t>
        </is>
      </c>
      <c r="E13" s="4" t="inlineStr">
        <is>
          <t>COU CEPAL Brasil base 2000</t>
        </is>
      </c>
      <c r="F13" s="4" t="inlineStr">
        <is>
          <t>COU a MIP industria x industria; serie 2000-2009</t>
        </is>
      </c>
      <c r="G13" s="4" t="inlineStr">
        <is>
          <t>Alineacion por posicion, exclusion de totales y cierre menor trazable.</t>
        </is>
      </c>
      <c r="H13" s="6" t="n">
        <v>51</v>
      </c>
      <c r="I13" s="4" t="inlineStr">
        <is>
          <t>OK</t>
        </is>
      </c>
      <c r="J13" s="4" t="inlineStr">
        <is>
          <t>AVISO</t>
        </is>
      </c>
      <c r="K13" s="6" t="n">
        <v>0</v>
      </c>
      <c r="L13" s="6" t="n">
        <v>0</v>
      </c>
      <c r="M13" s="4" t="inlineStr">
        <is>
          <t>Si</t>
        </is>
      </c>
      <c r="N13" s="4" t="inlineStr">
        <is>
          <t>output\matrices_insumo_producto\Brasil\MIP_Brasil_2002.xlsx</t>
        </is>
      </c>
    </row>
    <row r="14">
      <c r="A14" s="5" t="inlineStr">
        <is>
          <t>Brasil</t>
        </is>
      </c>
      <c r="B14" s="5" t="inlineStr">
        <is>
          <t>brasil_early</t>
        </is>
      </c>
      <c r="C14" s="7" t="n">
        <v>2003</v>
      </c>
      <c r="D14" s="5" t="inlineStr">
        <is>
          <t>Reconstruida</t>
        </is>
      </c>
      <c r="E14" s="5" t="inlineStr">
        <is>
          <t>COU CEPAL Brasil base 2000</t>
        </is>
      </c>
      <c r="F14" s="5" t="inlineStr">
        <is>
          <t>COU a MIP industria x industria; serie 2000-2009</t>
        </is>
      </c>
      <c r="G14" s="5" t="inlineStr">
        <is>
          <t>Alineacion por posicion, exclusion de totales y cierre menor trazable.</t>
        </is>
      </c>
      <c r="H14" s="7" t="n">
        <v>51</v>
      </c>
      <c r="I14" s="5" t="inlineStr">
        <is>
          <t>OK</t>
        </is>
      </c>
      <c r="J14" s="5" t="inlineStr">
        <is>
          <t>AVISO</t>
        </is>
      </c>
      <c r="K14" s="7" t="n">
        <v>0</v>
      </c>
      <c r="L14" s="7" t="n">
        <v>0</v>
      </c>
      <c r="M14" s="5" t="inlineStr">
        <is>
          <t>Si</t>
        </is>
      </c>
      <c r="N14" s="5" t="inlineStr">
        <is>
          <t>output\matrices_insumo_producto\Brasil\MIP_Brasil_2003.xlsx</t>
        </is>
      </c>
    </row>
    <row r="15">
      <c r="A15" s="4" t="inlineStr">
        <is>
          <t>Brasil</t>
        </is>
      </c>
      <c r="B15" s="4" t="inlineStr">
        <is>
          <t>brasil_early</t>
        </is>
      </c>
      <c r="C15" s="6" t="n">
        <v>2004</v>
      </c>
      <c r="D15" s="4" t="inlineStr">
        <is>
          <t>Reconstruida</t>
        </is>
      </c>
      <c r="E15" s="4" t="inlineStr">
        <is>
          <t>COU CEPAL Brasil base 2000</t>
        </is>
      </c>
      <c r="F15" s="4" t="inlineStr">
        <is>
          <t>COU a MIP industria x industria; serie 2000-2009</t>
        </is>
      </c>
      <c r="G15" s="4" t="inlineStr">
        <is>
          <t>Alineacion por posicion, exclusion de totales y cierre menor trazable.</t>
        </is>
      </c>
      <c r="H15" s="6" t="n">
        <v>51</v>
      </c>
      <c r="I15" s="4" t="inlineStr">
        <is>
          <t>OK</t>
        </is>
      </c>
      <c r="J15" s="4" t="inlineStr">
        <is>
          <t>AVISO</t>
        </is>
      </c>
      <c r="K15" s="6" t="n">
        <v>0</v>
      </c>
      <c r="L15" s="6" t="n">
        <v>0</v>
      </c>
      <c r="M15" s="4" t="inlineStr">
        <is>
          <t>Si</t>
        </is>
      </c>
      <c r="N15" s="4" t="inlineStr">
        <is>
          <t>output\matrices_insumo_producto\Brasil\MIP_Brasil_2004.xlsx</t>
        </is>
      </c>
    </row>
    <row r="16">
      <c r="A16" s="5" t="inlineStr">
        <is>
          <t>Brasil</t>
        </is>
      </c>
      <c r="B16" s="5" t="inlineStr">
        <is>
          <t>brasil_early</t>
        </is>
      </c>
      <c r="C16" s="7" t="n">
        <v>2005</v>
      </c>
      <c r="D16" s="5" t="inlineStr">
        <is>
          <t>Reconstruida</t>
        </is>
      </c>
      <c r="E16" s="5" t="inlineStr">
        <is>
          <t>COU CEPAL Brasil base 2000</t>
        </is>
      </c>
      <c r="F16" s="5" t="inlineStr">
        <is>
          <t>COU a MIP industria x industria; serie 2000-2009</t>
        </is>
      </c>
      <c r="G16" s="5" t="inlineStr">
        <is>
          <t>Alineacion por posicion, exclusion de totales y cierre menor trazable.</t>
        </is>
      </c>
      <c r="H16" s="7" t="n">
        <v>51</v>
      </c>
      <c r="I16" s="5" t="inlineStr">
        <is>
          <t>OK</t>
        </is>
      </c>
      <c r="J16" s="5" t="inlineStr">
        <is>
          <t>AVISO</t>
        </is>
      </c>
      <c r="K16" s="7" t="n">
        <v>0</v>
      </c>
      <c r="L16" s="7" t="n">
        <v>0</v>
      </c>
      <c r="M16" s="5" t="inlineStr">
        <is>
          <t>Si</t>
        </is>
      </c>
      <c r="N16" s="5" t="inlineStr">
        <is>
          <t>output\matrices_insumo_producto\Brasil\MIP_Brasil_2005.xlsx</t>
        </is>
      </c>
    </row>
    <row r="17">
      <c r="A17" s="4" t="inlineStr">
        <is>
          <t>Brasil</t>
        </is>
      </c>
      <c r="B17" s="4" t="inlineStr">
        <is>
          <t>brasil_early</t>
        </is>
      </c>
      <c r="C17" s="6" t="n">
        <v>2006</v>
      </c>
      <c r="D17" s="4" t="inlineStr">
        <is>
          <t>Reconstruida</t>
        </is>
      </c>
      <c r="E17" s="4" t="inlineStr">
        <is>
          <t>COU CEPAL Brasil base 2000</t>
        </is>
      </c>
      <c r="F17" s="4" t="inlineStr">
        <is>
          <t>COU a MIP industria x industria; serie 2000-2009</t>
        </is>
      </c>
      <c r="G17" s="4" t="inlineStr">
        <is>
          <t>Alineacion por posicion, exclusion de totales y cierre menor trazable.</t>
        </is>
      </c>
      <c r="H17" s="6" t="n">
        <v>51</v>
      </c>
      <c r="I17" s="4" t="inlineStr">
        <is>
          <t>OK</t>
        </is>
      </c>
      <c r="J17" s="4" t="inlineStr">
        <is>
          <t>AVISO</t>
        </is>
      </c>
      <c r="K17" s="6" t="n">
        <v>0</v>
      </c>
      <c r="L17" s="6" t="n">
        <v>0</v>
      </c>
      <c r="M17" s="4" t="inlineStr">
        <is>
          <t>Si</t>
        </is>
      </c>
      <c r="N17" s="4" t="inlineStr">
        <is>
          <t>output\matrices_insumo_producto\Brasil\MIP_Brasil_2006.xlsx</t>
        </is>
      </c>
    </row>
    <row r="18">
      <c r="A18" s="5" t="inlineStr">
        <is>
          <t>Brasil</t>
        </is>
      </c>
      <c r="B18" s="5" t="inlineStr">
        <is>
          <t>brasil_early</t>
        </is>
      </c>
      <c r="C18" s="7" t="n">
        <v>2007</v>
      </c>
      <c r="D18" s="5" t="inlineStr">
        <is>
          <t>Reconstruida</t>
        </is>
      </c>
      <c r="E18" s="5" t="inlineStr">
        <is>
          <t>COU CEPAL Brasil base 2000</t>
        </is>
      </c>
      <c r="F18" s="5" t="inlineStr">
        <is>
          <t>COU a MIP industria x industria; serie 2000-2009</t>
        </is>
      </c>
      <c r="G18" s="5" t="inlineStr">
        <is>
          <t>Alineacion por posicion, exclusion de totales y cierre menor trazable.</t>
        </is>
      </c>
      <c r="H18" s="7" t="n">
        <v>51</v>
      </c>
      <c r="I18" s="5" t="inlineStr">
        <is>
          <t>OK</t>
        </is>
      </c>
      <c r="J18" s="5" t="inlineStr">
        <is>
          <t>AVISO</t>
        </is>
      </c>
      <c r="K18" s="7" t="n">
        <v>0</v>
      </c>
      <c r="L18" s="7" t="n">
        <v>490.1342912259377</v>
      </c>
      <c r="M18" s="5" t="inlineStr">
        <is>
          <t>No</t>
        </is>
      </c>
      <c r="N18" s="5" t="inlineStr">
        <is>
          <t>output\matrices_insumo_producto\Brasil\MIP_Brasil_2007.xlsx</t>
        </is>
      </c>
    </row>
    <row r="19">
      <c r="A19" s="4" t="inlineStr">
        <is>
          <t>Brasil</t>
        </is>
      </c>
      <c r="B19" s="4" t="inlineStr">
        <is>
          <t>brasil_early</t>
        </is>
      </c>
      <c r="C19" s="6" t="n">
        <v>2008</v>
      </c>
      <c r="D19" s="4" t="inlineStr">
        <is>
          <t>Reconstruida</t>
        </is>
      </c>
      <c r="E19" s="4" t="inlineStr">
        <is>
          <t>COU CEPAL Brasil base 2000</t>
        </is>
      </c>
      <c r="F19" s="4" t="inlineStr">
        <is>
          <t>COU a MIP industria x industria; serie 2000-2009</t>
        </is>
      </c>
      <c r="G19" s="4" t="inlineStr">
        <is>
          <t>Alineacion por posicion, exclusion de totales y cierre menor trazable.</t>
        </is>
      </c>
      <c r="H19" s="6" t="n">
        <v>51</v>
      </c>
      <c r="I19" s="4" t="inlineStr">
        <is>
          <t>OK</t>
        </is>
      </c>
      <c r="J19" s="4" t="inlineStr">
        <is>
          <t>AVISO</t>
        </is>
      </c>
      <c r="K19" s="6" t="n">
        <v>0</v>
      </c>
      <c r="L19" s="6" t="n">
        <v>739.3987407752509</v>
      </c>
      <c r="M19" s="4" t="inlineStr">
        <is>
          <t>No</t>
        </is>
      </c>
      <c r="N19" s="4" t="inlineStr">
        <is>
          <t>output\matrices_insumo_producto\Brasil\MIP_Brasil_2008.xlsx</t>
        </is>
      </c>
    </row>
    <row r="20">
      <c r="A20" s="5" t="inlineStr">
        <is>
          <t>Brasil</t>
        </is>
      </c>
      <c r="B20" s="5" t="inlineStr">
        <is>
          <t>brasil_early</t>
        </is>
      </c>
      <c r="C20" s="7" t="n">
        <v>2009</v>
      </c>
      <c r="D20" s="5" t="inlineStr">
        <is>
          <t>Reconstruida</t>
        </is>
      </c>
      <c r="E20" s="5" t="inlineStr">
        <is>
          <t>COU CEPAL Brasil base 2000</t>
        </is>
      </c>
      <c r="F20" s="5" t="inlineStr">
        <is>
          <t>COU a MIP industria x industria; serie 2000-2009</t>
        </is>
      </c>
      <c r="G20" s="5" t="inlineStr">
        <is>
          <t>Alineacion por posicion, exclusion de totales y cierre menor trazable.</t>
        </is>
      </c>
      <c r="H20" s="7" t="n">
        <v>51</v>
      </c>
      <c r="I20" s="5" t="inlineStr">
        <is>
          <t>OK</t>
        </is>
      </c>
      <c r="J20" s="5" t="inlineStr">
        <is>
          <t>AVISO</t>
        </is>
      </c>
      <c r="K20" s="7" t="n">
        <v>0</v>
      </c>
      <c r="L20" s="7" t="n">
        <v>177.3059107023601</v>
      </c>
      <c r="M20" s="5" t="inlineStr">
        <is>
          <t>No</t>
        </is>
      </c>
      <c r="N20" s="5" t="inlineStr">
        <is>
          <t>output\matrices_insumo_producto\Brasil\MIP_Brasil_2009.xlsx</t>
        </is>
      </c>
    </row>
    <row r="21">
      <c r="A21" s="4" t="inlineStr">
        <is>
          <t>Brasil</t>
        </is>
      </c>
      <c r="B21" s="4" t="inlineStr">
        <is>
          <t>brasil</t>
        </is>
      </c>
      <c r="C21" s="6" t="n">
        <v>2010</v>
      </c>
      <c r="D21" s="4" t="inlineStr">
        <is>
          <t>Reconstruida</t>
        </is>
      </c>
      <c r="E21" s="4" t="inlineStr">
        <is>
          <t>COU IBGE nivel 68</t>
        </is>
      </c>
      <c r="F21" s="4" t="inlineStr">
        <is>
          <t>COU a MIP industria x industria; serie 2010-2021</t>
        </is>
      </c>
      <c r="G21" s="4" t="inlineStr">
        <is>
          <t>Exclusion de Total do produto y puente domestico/precios basicos.</t>
        </is>
      </c>
      <c r="H21" s="6" t="n">
        <v>68</v>
      </c>
      <c r="I21" s="4" t="inlineStr">
        <is>
          <t>OK</t>
        </is>
      </c>
      <c r="J21" s="4" t="inlineStr">
        <is>
          <t>AVISO</t>
        </is>
      </c>
      <c r="K21" s="6" t="n">
        <v>0</v>
      </c>
      <c r="L21" s="6" t="n">
        <v>215.6507861359235</v>
      </c>
      <c r="M21" s="4" t="inlineStr">
        <is>
          <t>No</t>
        </is>
      </c>
      <c r="N21" s="4" t="inlineStr">
        <is>
          <t>output\matrices_insumo_producto\Brasil\MIP_Brasil_2010.xlsx</t>
        </is>
      </c>
    </row>
    <row r="22">
      <c r="A22" s="5" t="inlineStr">
        <is>
          <t>Brasil</t>
        </is>
      </c>
      <c r="B22" s="5" t="inlineStr">
        <is>
          <t>brasil</t>
        </is>
      </c>
      <c r="C22" s="7" t="n">
        <v>2011</v>
      </c>
      <c r="D22" s="5" t="inlineStr">
        <is>
          <t>Reconstruida</t>
        </is>
      </c>
      <c r="E22" s="5" t="inlineStr">
        <is>
          <t>COU IBGE nivel 68</t>
        </is>
      </c>
      <c r="F22" s="5" t="inlineStr">
        <is>
          <t>COU a MIP industria x industria; serie 2010-2021</t>
        </is>
      </c>
      <c r="G22" s="5" t="inlineStr">
        <is>
          <t>Exclusion de Total do produto y puente domestico/precios basicos.</t>
        </is>
      </c>
      <c r="H22" s="7" t="n">
        <v>68</v>
      </c>
      <c r="I22" s="5" t="inlineStr">
        <is>
          <t>OK</t>
        </is>
      </c>
      <c r="J22" s="5" t="inlineStr">
        <is>
          <t>AVISO</t>
        </is>
      </c>
      <c r="K22" s="7" t="n">
        <v>0</v>
      </c>
      <c r="L22" s="7" t="n">
        <v>249.679197757909</v>
      </c>
      <c r="M22" s="5" t="inlineStr">
        <is>
          <t>No</t>
        </is>
      </c>
      <c r="N22" s="5" t="inlineStr">
        <is>
          <t>output\matrices_insumo_producto\Brasil\MIP_Brasil_2011.xlsx</t>
        </is>
      </c>
    </row>
    <row r="23">
      <c r="A23" s="4" t="inlineStr">
        <is>
          <t>Brasil</t>
        </is>
      </c>
      <c r="B23" s="4" t="inlineStr">
        <is>
          <t>brasil</t>
        </is>
      </c>
      <c r="C23" s="6" t="n">
        <v>2012</v>
      </c>
      <c r="D23" s="4" t="inlineStr">
        <is>
          <t>Reconstruida</t>
        </is>
      </c>
      <c r="E23" s="4" t="inlineStr">
        <is>
          <t>COU IBGE nivel 68</t>
        </is>
      </c>
      <c r="F23" s="4" t="inlineStr">
        <is>
          <t>COU a MIP industria x industria; serie 2010-2021</t>
        </is>
      </c>
      <c r="G23" s="4" t="inlineStr">
        <is>
          <t>Exclusion de Total do produto y puente domestico/precios basicos.</t>
        </is>
      </c>
      <c r="H23" s="6" t="n">
        <v>68</v>
      </c>
      <c r="I23" s="4" t="inlineStr">
        <is>
          <t>OK</t>
        </is>
      </c>
      <c r="J23" s="4" t="inlineStr">
        <is>
          <t>AVISO</t>
        </is>
      </c>
      <c r="K23" s="6" t="n">
        <v>0</v>
      </c>
      <c r="L23" s="6" t="n">
        <v>223.82068590636</v>
      </c>
      <c r="M23" s="4" t="inlineStr">
        <is>
          <t>No</t>
        </is>
      </c>
      <c r="N23" s="4" t="inlineStr">
        <is>
          <t>output\matrices_insumo_producto\Brasil\MIP_Brasil_2012.xlsx</t>
        </is>
      </c>
    </row>
    <row r="24">
      <c r="A24" s="5" t="inlineStr">
        <is>
          <t>Brasil</t>
        </is>
      </c>
      <c r="B24" s="5" t="inlineStr">
        <is>
          <t>brasil</t>
        </is>
      </c>
      <c r="C24" s="7" t="n">
        <v>2013</v>
      </c>
      <c r="D24" s="5" t="inlineStr">
        <is>
          <t>Reconstruida</t>
        </is>
      </c>
      <c r="E24" s="5" t="inlineStr">
        <is>
          <t>COU IBGE nivel 68</t>
        </is>
      </c>
      <c r="F24" s="5" t="inlineStr">
        <is>
          <t>COU a MIP industria x industria; serie 2010-2021</t>
        </is>
      </c>
      <c r="G24" s="5" t="inlineStr">
        <is>
          <t>Exclusion de Total do produto y puente domestico/precios basicos.</t>
        </is>
      </c>
      <c r="H24" s="7" t="n">
        <v>68</v>
      </c>
      <c r="I24" s="5" t="inlineStr">
        <is>
          <t>OK</t>
        </is>
      </c>
      <c r="J24" s="5" t="inlineStr">
        <is>
          <t>AVISO</t>
        </is>
      </c>
      <c r="K24" s="7" t="n">
        <v>0</v>
      </c>
      <c r="L24" s="7" t="n">
        <v>390.4927428090983</v>
      </c>
      <c r="M24" s="5" t="inlineStr">
        <is>
          <t>No</t>
        </is>
      </c>
      <c r="N24" s="5" t="inlineStr">
        <is>
          <t>output\matrices_insumo_producto\Brasil\MIP_Brasil_2013.xlsx</t>
        </is>
      </c>
    </row>
    <row r="25">
      <c r="A25" s="4" t="inlineStr">
        <is>
          <t>Brasil</t>
        </is>
      </c>
      <c r="B25" s="4" t="inlineStr">
        <is>
          <t>brasil</t>
        </is>
      </c>
      <c r="C25" s="6" t="n">
        <v>2014</v>
      </c>
      <c r="D25" s="4" t="inlineStr">
        <is>
          <t>Reconstruida</t>
        </is>
      </c>
      <c r="E25" s="4" t="inlineStr">
        <is>
          <t>COU IBGE nivel 68</t>
        </is>
      </c>
      <c r="F25" s="4" t="inlineStr">
        <is>
          <t>COU a MIP industria x industria; serie 2010-2021</t>
        </is>
      </c>
      <c r="G25" s="4" t="inlineStr">
        <is>
          <t>Exclusion de Total do produto y puente domestico/precios basicos.</t>
        </is>
      </c>
      <c r="H25" s="6" t="n">
        <v>68</v>
      </c>
      <c r="I25" s="4" t="inlineStr">
        <is>
          <t>OK</t>
        </is>
      </c>
      <c r="J25" s="4" t="inlineStr">
        <is>
          <t>AVISO</t>
        </is>
      </c>
      <c r="K25" s="6" t="n">
        <v>0</v>
      </c>
      <c r="L25" s="6" t="n">
        <v>425.980176712754</v>
      </c>
      <c r="M25" s="4" t="inlineStr">
        <is>
          <t>No</t>
        </is>
      </c>
      <c r="N25" s="4" t="inlineStr">
        <is>
          <t>output\matrices_insumo_producto\Brasil\MIP_Brasil_2014.xlsx</t>
        </is>
      </c>
    </row>
    <row r="26">
      <c r="A26" s="5" t="inlineStr">
        <is>
          <t>Brasil</t>
        </is>
      </c>
      <c r="B26" s="5" t="inlineStr">
        <is>
          <t>brasil</t>
        </is>
      </c>
      <c r="C26" s="7" t="n">
        <v>2015</v>
      </c>
      <c r="D26" s="5" t="inlineStr">
        <is>
          <t>Reconstruida</t>
        </is>
      </c>
      <c r="E26" s="5" t="inlineStr">
        <is>
          <t>COU IBGE nivel 68</t>
        </is>
      </c>
      <c r="F26" s="5" t="inlineStr">
        <is>
          <t>COU a MIP industria x industria; serie 2010-2021</t>
        </is>
      </c>
      <c r="G26" s="5" t="inlineStr">
        <is>
          <t>Exclusion de Total do produto y puente domestico/precios basicos.</t>
        </is>
      </c>
      <c r="H26" s="7" t="n">
        <v>68</v>
      </c>
      <c r="I26" s="5" t="inlineStr">
        <is>
          <t>OK</t>
        </is>
      </c>
      <c r="J26" s="5" t="inlineStr">
        <is>
          <t>AVISO</t>
        </is>
      </c>
      <c r="K26" s="7" t="n">
        <v>0</v>
      </c>
      <c r="L26" s="7" t="n">
        <v>440.072707192931</v>
      </c>
      <c r="M26" s="5" t="inlineStr">
        <is>
          <t>No</t>
        </is>
      </c>
      <c r="N26" s="5" t="inlineStr">
        <is>
          <t>output\matrices_insumo_producto\Brasil\MIP_Brasil_2015.xlsx</t>
        </is>
      </c>
    </row>
    <row r="27">
      <c r="A27" s="4" t="inlineStr">
        <is>
          <t>Brasil</t>
        </is>
      </c>
      <c r="B27" s="4" t="inlineStr">
        <is>
          <t>brasil</t>
        </is>
      </c>
      <c r="C27" s="6" t="n">
        <v>2016</v>
      </c>
      <c r="D27" s="4" t="inlineStr">
        <is>
          <t>Reconstruida</t>
        </is>
      </c>
      <c r="E27" s="4" t="inlineStr">
        <is>
          <t>COU IBGE nivel 68</t>
        </is>
      </c>
      <c r="F27" s="4" t="inlineStr">
        <is>
          <t>COU a MIP industria x industria; serie 2010-2021</t>
        </is>
      </c>
      <c r="G27" s="4" t="inlineStr">
        <is>
          <t>Exclusion de Total do produto y puente domestico/precios basicos.</t>
        </is>
      </c>
      <c r="H27" s="6" t="n">
        <v>68</v>
      </c>
      <c r="I27" s="4" t="inlineStr">
        <is>
          <t>OK</t>
        </is>
      </c>
      <c r="J27" s="4" t="inlineStr">
        <is>
          <t>AVISO</t>
        </is>
      </c>
      <c r="K27" s="6" t="n">
        <v>0</v>
      </c>
      <c r="L27" s="6" t="n">
        <v>480.9925597825006</v>
      </c>
      <c r="M27" s="4" t="inlineStr">
        <is>
          <t>No</t>
        </is>
      </c>
      <c r="N27" s="4" t="inlineStr">
        <is>
          <t>output\matrices_insumo_producto\Brasil\MIP_Brasil_2016.xlsx</t>
        </is>
      </c>
    </row>
    <row r="28">
      <c r="A28" s="5" t="inlineStr">
        <is>
          <t>Brasil</t>
        </is>
      </c>
      <c r="B28" s="5" t="inlineStr">
        <is>
          <t>brasil</t>
        </is>
      </c>
      <c r="C28" s="7" t="n">
        <v>2017</v>
      </c>
      <c r="D28" s="5" t="inlineStr">
        <is>
          <t>Reconstruida</t>
        </is>
      </c>
      <c r="E28" s="5" t="inlineStr">
        <is>
          <t>COU IBGE nivel 68</t>
        </is>
      </c>
      <c r="F28" s="5" t="inlineStr">
        <is>
          <t>COU a MIP industria x industria; serie 2010-2021</t>
        </is>
      </c>
      <c r="G28" s="5" t="inlineStr">
        <is>
          <t>Exclusion de Total do produto y puente domestico/precios basicos.</t>
        </is>
      </c>
      <c r="H28" s="7" t="n">
        <v>68</v>
      </c>
      <c r="I28" s="5" t="inlineStr">
        <is>
          <t>OK</t>
        </is>
      </c>
      <c r="J28" s="5" t="inlineStr">
        <is>
          <t>AVISO</t>
        </is>
      </c>
      <c r="K28" s="7" t="n">
        <v>0</v>
      </c>
      <c r="L28" s="7" t="n">
        <v>474.6436384931367</v>
      </c>
      <c r="M28" s="5" t="inlineStr">
        <is>
          <t>No</t>
        </is>
      </c>
      <c r="N28" s="5" t="inlineStr">
        <is>
          <t>output\matrices_insumo_producto\Brasil\MIP_Brasil_2017.xlsx</t>
        </is>
      </c>
    </row>
    <row r="29">
      <c r="A29" s="4" t="inlineStr">
        <is>
          <t>Brasil</t>
        </is>
      </c>
      <c r="B29" s="4" t="inlineStr">
        <is>
          <t>brasil</t>
        </is>
      </c>
      <c r="C29" s="6" t="n">
        <v>2018</v>
      </c>
      <c r="D29" s="4" t="inlineStr">
        <is>
          <t>Reconstruida</t>
        </is>
      </c>
      <c r="E29" s="4" t="inlineStr">
        <is>
          <t>COU IBGE nivel 68</t>
        </is>
      </c>
      <c r="F29" s="4" t="inlineStr">
        <is>
          <t>COU a MIP industria x industria; serie 2010-2021</t>
        </is>
      </c>
      <c r="G29" s="4" t="inlineStr">
        <is>
          <t>Exclusion de Total do produto y puente domestico/precios basicos.</t>
        </is>
      </c>
      <c r="H29" s="6" t="n">
        <v>68</v>
      </c>
      <c r="I29" s="4" t="inlineStr">
        <is>
          <t>OK</t>
        </is>
      </c>
      <c r="J29" s="4" t="inlineStr">
        <is>
          <t>OK</t>
        </is>
      </c>
      <c r="K29" s="6" t="n">
        <v>0</v>
      </c>
      <c r="L29" s="6" t="n">
        <v>496.5330684426606</v>
      </c>
      <c r="M29" s="4" t="inlineStr">
        <is>
          <t>No</t>
        </is>
      </c>
      <c r="N29" s="4" t="inlineStr">
        <is>
          <t>output\matrices_insumo_producto\Brasil\MIP_Brasil_2018.xlsx</t>
        </is>
      </c>
    </row>
    <row r="30">
      <c r="A30" s="5" t="inlineStr">
        <is>
          <t>Brasil</t>
        </is>
      </c>
      <c r="B30" s="5" t="inlineStr">
        <is>
          <t>brasil</t>
        </is>
      </c>
      <c r="C30" s="7" t="n">
        <v>2019</v>
      </c>
      <c r="D30" s="5" t="inlineStr">
        <is>
          <t>Reconstruida</t>
        </is>
      </c>
      <c r="E30" s="5" t="inlineStr">
        <is>
          <t>COU IBGE nivel 68</t>
        </is>
      </c>
      <c r="F30" s="5" t="inlineStr">
        <is>
          <t>COU a MIP industria x industria; serie 2010-2021</t>
        </is>
      </c>
      <c r="G30" s="5" t="inlineStr">
        <is>
          <t>Exclusion de Total do produto y puente domestico/precios basicos.</t>
        </is>
      </c>
      <c r="H30" s="7" t="n">
        <v>68</v>
      </c>
      <c r="I30" s="5" t="inlineStr">
        <is>
          <t>OK</t>
        </is>
      </c>
      <c r="J30" s="5" t="inlineStr">
        <is>
          <t>OK</t>
        </is>
      </c>
      <c r="K30" s="7" t="n">
        <v>0</v>
      </c>
      <c r="L30" s="7" t="n">
        <v>546.3796691584467</v>
      </c>
      <c r="M30" s="5" t="inlineStr">
        <is>
          <t>No</t>
        </is>
      </c>
      <c r="N30" s="5" t="inlineStr">
        <is>
          <t>output\matrices_insumo_producto\Brasil\MIP_Brasil_2019.xlsx</t>
        </is>
      </c>
    </row>
    <row r="31">
      <c r="A31" s="4" t="inlineStr">
        <is>
          <t>Brasil</t>
        </is>
      </c>
      <c r="B31" s="4" t="inlineStr">
        <is>
          <t>brasil</t>
        </is>
      </c>
      <c r="C31" s="6" t="n">
        <v>2020</v>
      </c>
      <c r="D31" s="4" t="inlineStr">
        <is>
          <t>Reconstruida</t>
        </is>
      </c>
      <c r="E31" s="4" t="inlineStr">
        <is>
          <t>COU IBGE nivel 68</t>
        </is>
      </c>
      <c r="F31" s="4" t="inlineStr">
        <is>
          <t>COU a MIP industria x industria; serie 2010-2021</t>
        </is>
      </c>
      <c r="G31" s="4" t="inlineStr">
        <is>
          <t>Exclusion de Total do produto y puente domestico/precios basicos.</t>
        </is>
      </c>
      <c r="H31" s="6" t="n">
        <v>68</v>
      </c>
      <c r="I31" s="4" t="inlineStr">
        <is>
          <t>OK</t>
        </is>
      </c>
      <c r="J31" s="4" t="inlineStr">
        <is>
          <t>AVISO</t>
        </is>
      </c>
      <c r="K31" s="6" t="n">
        <v>0</v>
      </c>
      <c r="L31" s="6" t="n">
        <v>547.268735049141</v>
      </c>
      <c r="M31" s="4" t="inlineStr">
        <is>
          <t>No</t>
        </is>
      </c>
      <c r="N31" s="4" t="inlineStr">
        <is>
          <t>output\matrices_insumo_producto\Brasil\MIP_Brasil_2020.xlsx</t>
        </is>
      </c>
    </row>
    <row r="32">
      <c r="A32" s="5" t="inlineStr">
        <is>
          <t>Brasil</t>
        </is>
      </c>
      <c r="B32" s="5" t="inlineStr">
        <is>
          <t>brasil</t>
        </is>
      </c>
      <c r="C32" s="7" t="n">
        <v>2021</v>
      </c>
      <c r="D32" s="5" t="inlineStr">
        <is>
          <t>Reconstruida</t>
        </is>
      </c>
      <c r="E32" s="5" t="inlineStr">
        <is>
          <t>COU IBGE nivel 68</t>
        </is>
      </c>
      <c r="F32" s="5" t="inlineStr">
        <is>
          <t>COU a MIP industria x industria; serie 2010-2021</t>
        </is>
      </c>
      <c r="G32" s="5" t="inlineStr">
        <is>
          <t>Exclusion de Total do produto y puente domestico/precios basicos.</t>
        </is>
      </c>
      <c r="H32" s="7" t="n">
        <v>68</v>
      </c>
      <c r="I32" s="5" t="inlineStr">
        <is>
          <t>OK</t>
        </is>
      </c>
      <c r="J32" s="5" t="inlineStr">
        <is>
          <t>AVISO</t>
        </is>
      </c>
      <c r="K32" s="7" t="n">
        <v>0</v>
      </c>
      <c r="L32" s="7" t="n">
        <v>560.5603185020369</v>
      </c>
      <c r="M32" s="5" t="inlineStr">
        <is>
          <t>No</t>
        </is>
      </c>
      <c r="N32" s="5" t="inlineStr">
        <is>
          <t>output\matrices_insumo_producto\Brasil\MIP_Brasil_2021.xlsx</t>
        </is>
      </c>
    </row>
    <row r="33">
      <c r="A33" s="4" t="inlineStr">
        <is>
          <t>Mexico</t>
        </is>
      </c>
      <c r="B33" s="4" t="inlineStr">
        <is>
          <t>mexico</t>
        </is>
      </c>
      <c r="C33" s="6" t="n">
        <v>2003</v>
      </c>
      <c r="D33" s="4" t="inlineStr">
        <is>
          <t>Directa</t>
        </is>
      </c>
      <c r="E33" s="4" t="inlineStr">
        <is>
          <t>MIP CEPAL/INEGI</t>
        </is>
      </c>
      <c r="F33" s="4" t="inlineStr">
        <is>
          <t>MIP oficial/directa publicada</t>
        </is>
      </c>
      <c r="G33" s="4" t="inlineStr">
        <is>
          <t>Se parsea, valida y empaqueta; no se reconstruye desde COU.</t>
        </is>
      </c>
      <c r="H33" s="6" t="n">
        <v>20</v>
      </c>
      <c r="I33" s="4" t="inlineStr">
        <is>
          <t>OK</t>
        </is>
      </c>
      <c r="J33" s="4" t="inlineStr">
        <is>
          <t>AVISO</t>
        </is>
      </c>
      <c r="K33" s="6" t="n">
        <v>0</v>
      </c>
      <c r="L33" s="6" t="n">
        <v>0</v>
      </c>
      <c r="M33" s="4" t="inlineStr">
        <is>
          <t>No</t>
        </is>
      </c>
      <c r="N33" s="4" t="inlineStr">
        <is>
          <t>output\matrices_insumo_producto\Mexico\MIP_Mexico_2003.xlsx</t>
        </is>
      </c>
    </row>
    <row r="34">
      <c r="A34" s="5" t="inlineStr">
        <is>
          <t>Mexico</t>
        </is>
      </c>
      <c r="B34" s="5" t="inlineStr">
        <is>
          <t>mexico</t>
        </is>
      </c>
      <c r="C34" s="7" t="n">
        <v>2008</v>
      </c>
      <c r="D34" s="5" t="inlineStr">
        <is>
          <t>Directa</t>
        </is>
      </c>
      <c r="E34" s="5" t="inlineStr">
        <is>
          <t>MIP CEPAL/INEGI</t>
        </is>
      </c>
      <c r="F34" s="5" t="inlineStr">
        <is>
          <t>MIP oficial/directa publicada</t>
        </is>
      </c>
      <c r="G34" s="5" t="inlineStr">
        <is>
          <t>Se parsea, valida y empaqueta; no se reconstruye desde COU.</t>
        </is>
      </c>
      <c r="H34" s="7" t="n">
        <v>262</v>
      </c>
      <c r="I34" s="5" t="inlineStr">
        <is>
          <t>OK</t>
        </is>
      </c>
      <c r="J34" s="5" t="inlineStr">
        <is>
          <t>AVISO</t>
        </is>
      </c>
      <c r="K34" s="7" t="n">
        <v>3</v>
      </c>
      <c r="L34" s="7" t="n">
        <v>-1629.63500000002</v>
      </c>
      <c r="M34" s="5" t="inlineStr">
        <is>
          <t>No</t>
        </is>
      </c>
      <c r="N34" s="5" t="inlineStr">
        <is>
          <t>output\matrices_insumo_producto\Mexico\MIP_Mexico_2008.xlsx</t>
        </is>
      </c>
    </row>
    <row r="35">
      <c r="A35" s="4" t="inlineStr">
        <is>
          <t>Mexico</t>
        </is>
      </c>
      <c r="B35" s="4" t="inlineStr">
        <is>
          <t>mexico</t>
        </is>
      </c>
      <c r="C35" s="6" t="n">
        <v>2013</v>
      </c>
      <c r="D35" s="4" t="inlineStr">
        <is>
          <t>Directa</t>
        </is>
      </c>
      <c r="E35" s="4" t="inlineStr">
        <is>
          <t>MIP CEPAL/INEGI</t>
        </is>
      </c>
      <c r="F35" s="4" t="inlineStr">
        <is>
          <t>MIP oficial/directa publicada</t>
        </is>
      </c>
      <c r="G35" s="4" t="inlineStr">
        <is>
          <t>Se parsea, valida y empaqueta; no se reconstruye desde COU.</t>
        </is>
      </c>
      <c r="H35" s="6" t="n">
        <v>262</v>
      </c>
      <c r="I35" s="4" t="inlineStr">
        <is>
          <t>OK</t>
        </is>
      </c>
      <c r="J35" s="4" t="inlineStr">
        <is>
          <t>AVISO</t>
        </is>
      </c>
      <c r="K35" s="6" t="n">
        <v>1</v>
      </c>
      <c r="L35" s="6" t="n">
        <v>-0.002999999550638677</v>
      </c>
      <c r="M35" s="4" t="inlineStr">
        <is>
          <t>No</t>
        </is>
      </c>
      <c r="N35" s="4" t="inlineStr">
        <is>
          <t>output\matrices_insumo_producto\Mexico\MIP_Mexico_2013.xlsx</t>
        </is>
      </c>
    </row>
    <row r="36">
      <c r="A36" s="5" t="inlineStr">
        <is>
          <t>Mexico</t>
        </is>
      </c>
      <c r="B36" s="5" t="inlineStr">
        <is>
          <t>mexico</t>
        </is>
      </c>
      <c r="C36" s="7" t="n">
        <v>2018</v>
      </c>
      <c r="D36" s="5" t="inlineStr">
        <is>
          <t>Directa</t>
        </is>
      </c>
      <c r="E36" s="5" t="inlineStr">
        <is>
          <t>MIP CEPAL/INEGI</t>
        </is>
      </c>
      <c r="F36" s="5" t="inlineStr">
        <is>
          <t>MIP oficial/directa publicada</t>
        </is>
      </c>
      <c r="G36" s="5" t="inlineStr">
        <is>
          <t>Se parsea, valida y empaqueta; no se reconstruye desde COU.</t>
        </is>
      </c>
      <c r="H36" s="7" t="n">
        <v>263</v>
      </c>
      <c r="I36" s="5" t="inlineStr">
        <is>
          <t>OK</t>
        </is>
      </c>
      <c r="J36" s="5" t="inlineStr">
        <is>
          <t>AVISO</t>
        </is>
      </c>
      <c r="K36" s="7" t="n">
        <v>0</v>
      </c>
      <c r="L36" s="7" t="n">
        <v>0</v>
      </c>
      <c r="M36" s="5" t="inlineStr">
        <is>
          <t>No</t>
        </is>
      </c>
      <c r="N36" s="5" t="inlineStr">
        <is>
          <t>output\matrices_insumo_producto\Mexico\MIP_Mexico_2018.xlsx</t>
        </is>
      </c>
    </row>
    <row r="37">
      <c r="A37" s="4" t="inlineStr">
        <is>
          <t>Uruguay</t>
        </is>
      </c>
      <c r="B37" s="4" t="inlineStr">
        <is>
          <t>uruguay</t>
        </is>
      </c>
      <c r="C37" s="6" t="n">
        <v>2016</v>
      </c>
      <c r="D37" s="4" t="inlineStr">
        <is>
          <t>Directa</t>
        </is>
      </c>
      <c r="E37" s="4" t="inlineStr">
        <is>
          <t>MIP BCU 2016</t>
        </is>
      </c>
      <c r="F37" s="4" t="inlineStr">
        <is>
          <t>MIP oficial directa</t>
        </is>
      </c>
      <c r="G37" s="4" t="inlineStr">
        <is>
          <t>Se aplica solo conciliacion menor por redondeo documentado.</t>
        </is>
      </c>
      <c r="H37" s="6" t="n">
        <v>128</v>
      </c>
      <c r="I37" s="4" t="inlineStr">
        <is>
          <t>OK</t>
        </is>
      </c>
      <c r="J37" s="4" t="inlineStr">
        <is>
          <t>AVISO</t>
        </is>
      </c>
      <c r="K37" s="6" t="n">
        <v>0</v>
      </c>
      <c r="L37" s="6" t="n">
        <v>0</v>
      </c>
      <c r="M37" s="4" t="inlineStr">
        <is>
          <t>Si</t>
        </is>
      </c>
      <c r="N37" s="4" t="inlineStr">
        <is>
          <t>output\matrices_insumo_producto\Uruguay\MIP_Uruguay_2016.xlsx</t>
        </is>
      </c>
    </row>
    <row r="38">
      <c r="A38" s="5" t="inlineStr">
        <is>
          <t>Uruguay</t>
        </is>
      </c>
      <c r="B38" s="5" t="inlineStr">
        <is>
          <t>uruguay_cou</t>
        </is>
      </c>
      <c r="C38" s="7" t="n">
        <v>2017</v>
      </c>
      <c r="D38" s="5" t="inlineStr">
        <is>
          <t>Reconstruida</t>
        </is>
      </c>
      <c r="E38" s="5" t="inlineStr">
        <is>
          <t>COU Uruguay 2017</t>
        </is>
      </c>
      <c r="F38" s="5" t="inlineStr">
        <is>
          <t>COU a MIP industria x industria</t>
        </is>
      </c>
      <c r="G38" s="5" t="inlineStr">
        <is>
          <t>Se conserva alerta: no hay MIP directa 2017 y los negativos son materiales.</t>
        </is>
      </c>
      <c r="H38" s="7" t="n">
        <v>95</v>
      </c>
      <c r="I38" s="5" t="inlineStr">
        <is>
          <t>OK</t>
        </is>
      </c>
      <c r="J38" s="5" t="inlineStr">
        <is>
          <t>AVISO</t>
        </is>
      </c>
      <c r="K38" s="7" t="n">
        <v>2</v>
      </c>
      <c r="L38" s="7" t="n">
        <v>-25062.16195323598</v>
      </c>
      <c r="M38" s="5" t="inlineStr">
        <is>
          <t>No</t>
        </is>
      </c>
      <c r="N38" s="5" t="inlineStr">
        <is>
          <t>output\matrices_insumo_producto\Uruguay\MIP_Uruguay_2017.xlsx</t>
        </is>
      </c>
    </row>
  </sheetData>
  <autoFilter ref="A4:N38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24" customWidth="1" min="2" max="2"/>
    <col width="82" customWidth="1" min="3" max="3"/>
    <col width="42" customWidth="1" min="4" max="4"/>
  </cols>
  <sheetData>
    <row r="1" ht="30" customHeight="1">
      <c r="A1" s="1" t="inlineStr">
        <is>
          <t>Paso a paso de reconstruccion</t>
        </is>
      </c>
    </row>
    <row r="2">
      <c r="A2" s="2" t="inlineStr">
        <is>
          <t>Ruta metodologica para matrices que no se descargaron directamente como MIP.</t>
        </is>
      </c>
    </row>
    <row r="3"/>
    <row r="4">
      <c r="A4" s="3" t="inlineStr">
        <is>
          <t>Paso</t>
        </is>
      </c>
      <c r="B4" s="3" t="inlineStr">
        <is>
          <t>Bloque</t>
        </is>
      </c>
      <c r="C4" s="3" t="inlineStr">
        <is>
          <t>Que se hace</t>
        </is>
      </c>
      <c r="D4" s="3" t="inlineStr">
        <is>
          <t>Evidencia</t>
        </is>
      </c>
    </row>
    <row r="5">
      <c r="A5" s="6" t="n">
        <v>1</v>
      </c>
      <c r="B5" s="4" t="inlineStr">
        <is>
          <t>Lectura de fuente</t>
        </is>
      </c>
      <c r="C5" s="4" t="inlineStr">
        <is>
          <t>Se cargan V, U, Y, W, importaciones y puentes de valoracion cuando existen.</t>
        </is>
      </c>
      <c r="D5" s="4" t="inlineStr">
        <is>
          <t>parser por pais</t>
        </is>
      </c>
    </row>
    <row r="6">
      <c r="A6" s="7" t="n">
        <v>2</v>
      </c>
      <c r="B6" s="5" t="inlineStr">
        <is>
          <t>Depuracion</t>
        </is>
      </c>
      <c r="C6" s="5" t="inlineStr">
        <is>
          <t>Se excluyen columnas totales que no son sectores ni componentes de demanda final.</t>
        </is>
      </c>
      <c r="D6" s="5" t="inlineStr">
        <is>
          <t>Argentina UF; Brasil Total do produto</t>
        </is>
      </c>
    </row>
    <row r="7">
      <c r="A7" s="6" t="n">
        <v>3</v>
      </c>
      <c r="B7" s="4" t="inlineStr">
        <is>
          <t>Alineacion</t>
        </is>
      </c>
      <c r="C7" s="4" t="inlineStr">
        <is>
          <t>Se alinean codigos, acentos y nombres para que V, U, Y y W compartan universo sectorial.</t>
        </is>
      </c>
      <c r="D7" s="4" t="inlineStr">
        <is>
          <t>Argentina 1512/15120; Brasil 51 sectores</t>
        </is>
      </c>
    </row>
    <row r="8">
      <c r="A8" s="7" t="n">
        <v>4</v>
      </c>
      <c r="B8" s="5" t="inlineStr">
        <is>
          <t>Base compatible</t>
        </is>
      </c>
      <c r="C8" s="5" t="inlineStr">
        <is>
          <t>U e Y se llevan a base nacional/precios basicos usando factores publicados por producto.</t>
        </is>
      </c>
      <c r="D8" s="5" t="inlineStr">
        <is>
          <t>factor = produccion domestica pb / oferta total pc</t>
        </is>
      </c>
    </row>
    <row r="9">
      <c r="A9" s="6" t="n">
        <v>5</v>
      </c>
      <c r="B9" s="4" t="inlineStr">
        <is>
          <t>Transformacion STI</t>
        </is>
      </c>
      <c r="C9" s="4" t="inlineStr">
        <is>
          <t>Se calcula D, Z, A, L y f_ind bajo tecnologia de industria.</t>
        </is>
      </c>
      <c r="D9" s="4" t="inlineStr">
        <is>
          <t>Z = D @ U</t>
        </is>
      </c>
    </row>
    <row r="10">
      <c r="A10" s="7" t="n">
        <v>6</v>
      </c>
      <c r="B10" s="5" t="inlineStr">
        <is>
          <t>Cierre menor</t>
        </is>
      </c>
      <c r="C10" s="5" t="inlineStr">
        <is>
          <t>Solo si el negativo es pequeno, se aplica RAS preservando g y sum_col(Z).</t>
        </is>
      </c>
      <c r="D10" s="5" t="inlineStr">
        <is>
          <t>Brasil 2001-2006; Uruguay 2016</t>
        </is>
      </c>
    </row>
    <row r="11">
      <c r="A11" s="6" t="n">
        <v>7</v>
      </c>
      <c r="B11" s="4" t="inlineStr">
        <is>
          <t>Validacion</t>
        </is>
      </c>
      <c r="C11" s="4" t="inlineStr">
        <is>
          <t>Se verifican cuadratura, etiquetas, no negatividad, Leontief, Ghosh y cierres sectoriales.</t>
        </is>
      </c>
      <c r="D11" s="4" t="inlineStr">
        <is>
          <t>validacion_resumen</t>
        </is>
      </c>
    </row>
    <row r="12">
      <c r="A12" s="7" t="n">
        <v>8</v>
      </c>
      <c r="B12" s="5" t="inlineStr">
        <is>
          <t>Empaque</t>
        </is>
      </c>
      <c r="C12" s="5" t="inlineStr">
        <is>
          <t>Cada anio queda en un Excel final autocontenido con matrices, multiplicadores y validaciones.</t>
        </is>
      </c>
      <c r="D12" s="5" t="inlineStr">
        <is>
          <t>output/matrices_insumo_producto</t>
        </is>
      </c>
    </row>
  </sheetData>
  <autoFilter ref="A4:D12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45" customWidth="1" min="1" max="1"/>
    <col width="16" customWidth="1" min="2" max="2"/>
    <col width="18" customWidth="1" min="3" max="3"/>
    <col width="18" customWidth="1" min="4" max="4"/>
    <col width="15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Brasil 2001: ejemplo de cierre menor</t>
        </is>
      </c>
    </row>
    <row r="2">
      <c r="A2" s="2" t="inlineStr">
        <is>
          <t>La hoja compara demanda final original y final conciliada, preservando produccion y documentando ajuste.</t>
        </is>
      </c>
    </row>
    <row r="3"/>
    <row r="4">
      <c r="A4" s="3" t="inlineStr">
        <is>
          <t>Sector</t>
        </is>
      </c>
      <c r="B4" s="3" t="inlineStr">
        <is>
          <t>g</t>
        </is>
      </c>
      <c r="C4" s="3" t="inlineStr">
        <is>
          <t>Demanda final original</t>
        </is>
      </c>
      <c r="D4" s="3" t="inlineStr">
        <is>
          <t>Demanda final final</t>
        </is>
      </c>
      <c r="E4" s="3" t="inlineStr">
        <is>
          <t>Ajuste f</t>
        </is>
      </c>
      <c r="F4" s="3" t="inlineStr">
        <is>
          <t>Ventas Z original</t>
        </is>
      </c>
      <c r="G4" s="3" t="inlineStr">
        <is>
          <t>Ventas Z final</t>
        </is>
      </c>
      <c r="H4" s="3" t="inlineStr">
        <is>
          <t>Ajuste ventas Z</t>
        </is>
      </c>
    </row>
    <row r="5">
      <c r="A5" s="4" t="inlineStr">
        <is>
          <t>Administração pública e seguridade social</t>
        </is>
      </c>
      <c r="B5" s="6" t="n">
        <v>171989.2490372814</v>
      </c>
      <c r="C5" s="6" t="n">
        <v>165997.1830067897</v>
      </c>
      <c r="D5" s="6" t="n">
        <v>165985.2118621596</v>
      </c>
      <c r="E5" s="6" t="n">
        <v>-11.97114463010803</v>
      </c>
      <c r="F5" s="6" t="n">
        <v>5991.899756119781</v>
      </c>
      <c r="G5" s="6" t="n">
        <v>6004.037175122495</v>
      </c>
      <c r="H5" s="6" t="n">
        <v>12.13741900271361</v>
      </c>
    </row>
    <row r="6">
      <c r="A6" s="5" t="inlineStr">
        <is>
          <t>Construção civil</t>
        </is>
      </c>
      <c r="B6" s="7" t="n">
        <v>150433.3767559023</v>
      </c>
      <c r="C6" s="7" t="n">
        <v>126353.8149774385</v>
      </c>
      <c r="D6" s="7" t="n">
        <v>126344.7027758561</v>
      </c>
      <c r="E6" s="7" t="n">
        <v>-9.112201582349371</v>
      </c>
      <c r="F6" s="7" t="n">
        <v>24079.56177846428</v>
      </c>
      <c r="G6" s="7" t="n">
        <v>24088.67398005048</v>
      </c>
      <c r="H6" s="7" t="n">
        <v>9.112201586198353</v>
      </c>
    </row>
    <row r="7">
      <c r="A7" s="4" t="inlineStr">
        <is>
          <t>Atividades imobiliárias e aluguéis</t>
        </is>
      </c>
      <c r="B7" s="6" t="n">
        <v>143107.2290033654</v>
      </c>
      <c r="C7" s="6" t="n">
        <v>125155.1548621022</v>
      </c>
      <c r="D7" s="6" t="n">
        <v>125146.1291037554</v>
      </c>
      <c r="E7" s="6" t="n">
        <v>-9.025758346717339</v>
      </c>
      <c r="F7" s="6" t="n">
        <v>17952.00992922038</v>
      </c>
      <c r="G7" s="6" t="n">
        <v>17961.09989961307</v>
      </c>
      <c r="H7" s="6" t="n">
        <v>9.089970392687974</v>
      </c>
    </row>
    <row r="8">
      <c r="A8" s="5" t="inlineStr">
        <is>
          <t>Alimentos e Bebidas</t>
        </is>
      </c>
      <c r="B8" s="7" t="n">
        <v>145347.8841165121</v>
      </c>
      <c r="C8" s="7" t="n">
        <v>106143.8380656865</v>
      </c>
      <c r="D8" s="7" t="n">
        <v>106136.1833379733</v>
      </c>
      <c r="E8" s="7" t="n">
        <v>-7.654727713219472</v>
      </c>
      <c r="F8" s="7" t="n">
        <v>39199.34249333091</v>
      </c>
      <c r="G8" s="7" t="n">
        <v>39211.70077853768</v>
      </c>
      <c r="H8" s="7" t="n">
        <v>12.35828520677023</v>
      </c>
    </row>
    <row r="9">
      <c r="A9" s="4" t="inlineStr">
        <is>
          <t>Comércio</t>
        </is>
      </c>
      <c r="B9" s="6" t="n">
        <v>172998.5776728991</v>
      </c>
      <c r="C9" s="6" t="n">
        <v>94762.52989853974</v>
      </c>
      <c r="D9" s="6" t="n">
        <v>94755.69595153906</v>
      </c>
      <c r="E9" s="6" t="n">
        <v>-6.833947000675835</v>
      </c>
      <c r="F9" s="6" t="n">
        <v>77781.23795795879</v>
      </c>
      <c r="G9" s="6" t="n">
        <v>78242.88172136646</v>
      </c>
      <c r="H9" s="6" t="n">
        <v>461.6437634076719</v>
      </c>
    </row>
    <row r="10">
      <c r="A10" s="5" t="inlineStr">
        <is>
          <t>Serviços prestados às famílias e associativas</t>
        </is>
      </c>
      <c r="B10" s="7" t="n">
        <v>70558.30377430162</v>
      </c>
      <c r="C10" s="7" t="n">
        <v>51767.99351762199</v>
      </c>
      <c r="D10" s="7" t="n">
        <v>51764.26018837878</v>
      </c>
      <c r="E10" s="7" t="n">
        <v>-3.733329243208573</v>
      </c>
      <c r="F10" s="7" t="n">
        <v>18790.0246685483</v>
      </c>
      <c r="G10" s="7" t="n">
        <v>18794.04358592587</v>
      </c>
      <c r="H10" s="7" t="n">
        <v>4.018917377568869</v>
      </c>
    </row>
    <row r="11">
      <c r="A11" s="4" t="inlineStr">
        <is>
          <t>Serviços de informação</t>
        </is>
      </c>
      <c r="B11" s="6" t="n">
        <v>101402.0452366215</v>
      </c>
      <c r="C11" s="6" t="n">
        <v>48018.25249776481</v>
      </c>
      <c r="D11" s="6" t="n">
        <v>48014.78958691824</v>
      </c>
      <c r="E11" s="6" t="n">
        <v>-3.462910846574232</v>
      </c>
      <c r="F11" s="6" t="n">
        <v>53383.79273885686</v>
      </c>
      <c r="G11" s="6" t="n">
        <v>53387.25564971625</v>
      </c>
      <c r="H11" s="6" t="n">
        <v>3.462910859394469</v>
      </c>
    </row>
    <row r="12">
      <c r="A12" s="5" t="inlineStr">
        <is>
          <t>Educação pública</t>
        </is>
      </c>
      <c r="B12" s="7" t="n">
        <v>51879.5015546968</v>
      </c>
      <c r="C12" s="7" t="n">
        <v>47128.58614065614</v>
      </c>
      <c r="D12" s="7" t="n">
        <v>47125.18738948047</v>
      </c>
      <c r="E12" s="7" t="n">
        <v>-3.398751175664074</v>
      </c>
      <c r="F12" s="7" t="n">
        <v>4750.915414040666</v>
      </c>
      <c r="G12" s="7" t="n">
        <v>4754.314165216903</v>
      </c>
      <c r="H12" s="7" t="n">
        <v>3.398751176237056</v>
      </c>
    </row>
  </sheetData>
  <autoFilter ref="A4:H12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46" customWidth="1" min="1" max="1"/>
    <col width="18" customWidth="1" min="2" max="2"/>
    <col width="18" customWidth="1" min="3" max="3"/>
    <col width="12" customWidth="1" min="4" max="4"/>
    <col width="46" customWidth="1" min="5" max="5"/>
  </cols>
  <sheetData>
    <row r="1" ht="30" customHeight="1">
      <c r="A1" s="1" t="inlineStr">
        <is>
          <t>Uruguay 2017: alerta no conciliada</t>
        </is>
      </c>
    </row>
    <row r="2">
      <c r="A2" s="2" t="inlineStr">
        <is>
          <t>Los negativos son materiales; se conserva la alerta mientras se busca Y fuente o una MIP directa 2017.</t>
        </is>
      </c>
    </row>
    <row r="3"/>
    <row r="4">
      <c r="A4" s="3" t="inlineStr">
        <is>
          <t>Sector</t>
        </is>
      </c>
      <c r="B4" s="3" t="inlineStr">
        <is>
          <t>Demanda final</t>
        </is>
      </c>
      <c r="C4" s="3" t="inlineStr">
        <is>
          <t>Produccion bruta g</t>
        </is>
      </c>
      <c r="D4" s="3" t="inlineStr">
        <is>
          <t>f/g</t>
        </is>
      </c>
      <c r="E4" s="3" t="inlineStr">
        <is>
          <t>Decision</t>
        </is>
      </c>
    </row>
    <row r="5">
      <c r="A5" s="4" t="inlineStr">
        <is>
          <t>A.4 — Trigo</t>
        </is>
      </c>
      <c r="B5" s="6" t="n">
        <v>-633.37525490862</v>
      </c>
      <c r="C5" s="6" t="n">
        <v>3845.29</v>
      </c>
      <c r="D5" s="6" t="n">
        <v>-0.1647145611666792</v>
      </c>
      <c r="E5" s="4" t="inlineStr">
        <is>
          <t>No ajustar mecanicamente; revisar fuente COU/Y</t>
        </is>
      </c>
    </row>
    <row r="6">
      <c r="A6" s="5" t="inlineStr">
        <is>
          <t>H.1 — Servicio de transporte de carga</t>
        </is>
      </c>
      <c r="B6" s="7" t="n">
        <v>-25062.16195323598</v>
      </c>
      <c r="C6" s="7" t="n">
        <v>54651.89</v>
      </c>
      <c r="D6" s="7" t="n">
        <v>-0.4585781379790522</v>
      </c>
      <c r="E6" s="5" t="inlineStr">
        <is>
          <t>No ajustar mecanicamente; revisar fuente COU/Y</t>
        </is>
      </c>
    </row>
  </sheetData>
  <autoFilter ref="A4:E6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0" customWidth="1" min="2" max="2"/>
    <col width="12" customWidth="1" min="3" max="3"/>
    <col width="20" customWidth="1" min="4" max="4"/>
    <col width="20" customWidth="1" min="5" max="5"/>
    <col width="18" customWidth="1" min="6" max="6"/>
    <col width="18" customWidth="1" min="7" max="7"/>
    <col width="20" customWidth="1" min="8" max="8"/>
    <col width="18" customWidth="1" min="9" max="9"/>
    <col width="18" customWidth="1" min="10" max="10"/>
  </cols>
  <sheetData>
    <row r="1" ht="30" customHeight="1">
      <c r="A1" s="1" t="inlineStr">
        <is>
          <t>Validaciones matematicas</t>
        </is>
      </c>
    </row>
    <row r="2">
      <c r="A2" s="2" t="inlineStr">
        <is>
          <t>Resumen generado desde output/tablas/validacion_matematica_mip.xlsx.</t>
        </is>
      </c>
    </row>
    <row r="3"/>
    <row r="4">
      <c r="A4" s="3" t="inlineStr">
        <is>
          <t>pais</t>
        </is>
      </c>
      <c r="B4" s="3" t="inlineStr">
        <is>
          <t>anio</t>
        </is>
      </c>
      <c r="C4" s="3" t="inlineStr">
        <is>
          <t>n_sectores</t>
        </is>
      </c>
      <c r="D4" s="3" t="inlineStr">
        <is>
          <t>validacion_estructural</t>
        </is>
      </c>
      <c r="E4" s="3" t="inlineStr">
        <is>
          <t>validacion_diagnostica</t>
        </is>
      </c>
      <c r="F4" s="3" t="inlineStr">
        <is>
          <t>A_vs_Zg_abs_max</t>
        </is>
      </c>
      <c r="G4" s="3" t="inlineStr">
        <is>
          <t>leontief_abs_max</t>
        </is>
      </c>
      <c r="H4" s="3" t="inlineStr">
        <is>
          <t>oferta_vs_demanda_abs_max</t>
        </is>
      </c>
      <c r="I4" s="3" t="inlineStr">
        <is>
          <t>Lf_vs_g_abs_max</t>
        </is>
      </c>
      <c r="J4" s="3" t="inlineStr">
        <is>
          <t>demanda_final_neg_share</t>
        </is>
      </c>
    </row>
    <row r="5">
      <c r="A5" s="4" t="inlineStr">
        <is>
          <t>argentina</t>
        </is>
      </c>
      <c r="B5" s="6" t="n">
        <v>2004</v>
      </c>
      <c r="C5" s="6" t="n">
        <v>162</v>
      </c>
      <c r="D5" s="4" t="inlineStr">
        <is>
          <t>OK</t>
        </is>
      </c>
      <c r="E5" s="4" t="inlineStr">
        <is>
          <t>OK</t>
        </is>
      </c>
      <c r="F5" s="6" t="n">
        <v>8.881784197001252e-16</v>
      </c>
      <c r="G5" s="6" t="n">
        <v>6.147859998861804e-15</v>
      </c>
      <c r="H5" s="6" t="n">
        <v>2.235174179077148e-08</v>
      </c>
      <c r="I5" s="6" t="n">
        <v>1.490116119384766e-08</v>
      </c>
      <c r="J5" s="6" t="n">
        <v>0</v>
      </c>
    </row>
    <row r="6">
      <c r="A6" s="5" t="inlineStr">
        <is>
          <t>argentina</t>
        </is>
      </c>
      <c r="B6" s="7" t="n">
        <v>2018</v>
      </c>
      <c r="C6" s="7" t="n">
        <v>107</v>
      </c>
      <c r="D6" s="5" t="inlineStr">
        <is>
          <t>OK</t>
        </is>
      </c>
      <c r="E6" s="5" t="inlineStr">
        <is>
          <t>OK</t>
        </is>
      </c>
      <c r="F6" s="7" t="n">
        <v>1.387778780781446e-16</v>
      </c>
      <c r="G6" s="7" t="n">
        <v>1.332267629550188e-15</v>
      </c>
      <c r="H6" s="7" t="n">
        <v>4.76837158203125e-07</v>
      </c>
      <c r="I6" s="7" t="n">
        <v>5.960464477539062e-07</v>
      </c>
      <c r="J6" s="7" t="n">
        <v>0</v>
      </c>
    </row>
    <row r="7">
      <c r="A7" s="4" t="inlineStr">
        <is>
          <t>argentina</t>
        </is>
      </c>
      <c r="B7" s="6" t="n">
        <v>2019</v>
      </c>
      <c r="C7" s="6" t="n">
        <v>107</v>
      </c>
      <c r="D7" s="4" t="inlineStr">
        <is>
          <t>OK</t>
        </is>
      </c>
      <c r="E7" s="4" t="inlineStr">
        <is>
          <t>OK</t>
        </is>
      </c>
      <c r="F7" s="6" t="n">
        <v>1.665334536937735e-16</v>
      </c>
      <c r="G7" s="6" t="n">
        <v>1.554312234475219e-15</v>
      </c>
      <c r="H7" s="6" t="n">
        <v>9.5367431640625e-07</v>
      </c>
      <c r="I7" s="6" t="n">
        <v>7.152557373046875e-07</v>
      </c>
      <c r="J7" s="6" t="n">
        <v>0</v>
      </c>
    </row>
    <row r="8">
      <c r="A8" s="5" t="inlineStr">
        <is>
          <t>argentina</t>
        </is>
      </c>
      <c r="B8" s="7" t="n">
        <v>2020</v>
      </c>
      <c r="C8" s="7" t="n">
        <v>107</v>
      </c>
      <c r="D8" s="5" t="inlineStr">
        <is>
          <t>OK</t>
        </is>
      </c>
      <c r="E8" s="5" t="inlineStr">
        <is>
          <t>OK</t>
        </is>
      </c>
      <c r="F8" s="7" t="n">
        <v>2.220446049250313e-16</v>
      </c>
      <c r="G8" s="7" t="n">
        <v>2.109423746787797e-15</v>
      </c>
      <c r="H8" s="7" t="n">
        <v>7.152557373046875e-07</v>
      </c>
      <c r="I8" s="7" t="n">
        <v>1.430511474609375e-06</v>
      </c>
      <c r="J8" s="7" t="n">
        <v>0</v>
      </c>
    </row>
    <row r="9">
      <c r="A9" s="4" t="inlineStr">
        <is>
          <t>argentina</t>
        </is>
      </c>
      <c r="B9" s="6" t="n">
        <v>2021</v>
      </c>
      <c r="C9" s="6" t="n">
        <v>107</v>
      </c>
      <c r="D9" s="4" t="inlineStr">
        <is>
          <t>OK</t>
        </is>
      </c>
      <c r="E9" s="4" t="inlineStr">
        <is>
          <t>OK</t>
        </is>
      </c>
      <c r="F9" s="6" t="n">
        <v>4.440892098500626e-16</v>
      </c>
      <c r="G9" s="6" t="n">
        <v>1.554312234475219e-15</v>
      </c>
      <c r="H9" s="6" t="n">
        <v>1.9073486328125e-06</v>
      </c>
      <c r="I9" s="6" t="n">
        <v>1.9073486328125e-06</v>
      </c>
      <c r="J9" s="6" t="n">
        <v>0</v>
      </c>
    </row>
    <row r="10">
      <c r="A10" s="5" t="inlineStr">
        <is>
          <t>argentina_mip97</t>
        </is>
      </c>
      <c r="B10" s="7" t="n">
        <v>1997</v>
      </c>
      <c r="C10" s="7" t="n">
        <v>124</v>
      </c>
      <c r="D10" s="5" t="inlineStr">
        <is>
          <t>OK</t>
        </is>
      </c>
      <c r="E10" s="5" t="inlineStr">
        <is>
          <t>AVISO</t>
        </is>
      </c>
      <c r="F10" s="7" t="n">
        <v>0.000690852642775977</v>
      </c>
      <c r="G10" s="7" t="n">
        <v>4.92916818473077e-12</v>
      </c>
      <c r="H10" s="7" t="n">
        <v>3.725290298461914e-09</v>
      </c>
      <c r="I10" s="7" t="n">
        <v>1710.538463994861</v>
      </c>
      <c r="J10" s="7" t="n">
        <v>0</v>
      </c>
    </row>
    <row r="11">
      <c r="A11" s="4" t="inlineStr">
        <is>
          <t>brasil</t>
        </is>
      </c>
      <c r="B11" s="6" t="n">
        <v>2010</v>
      </c>
      <c r="C11" s="6" t="n">
        <v>68</v>
      </c>
      <c r="D11" s="4" t="inlineStr">
        <is>
          <t>OK</t>
        </is>
      </c>
      <c r="E11" s="4" t="inlineStr">
        <is>
          <t>AVISO</t>
        </is>
      </c>
      <c r="F11" s="6" t="n">
        <v>1.665334536937735e-16</v>
      </c>
      <c r="G11" s="6" t="n">
        <v>1.443289932012704e-15</v>
      </c>
      <c r="H11" s="6" t="n">
        <v>568.4045890633715</v>
      </c>
      <c r="I11" s="6" t="n">
        <v>655.7265491787111</v>
      </c>
      <c r="J11" s="6" t="n">
        <v>0</v>
      </c>
    </row>
    <row r="12">
      <c r="A12" s="5" t="inlineStr">
        <is>
          <t>brasil</t>
        </is>
      </c>
      <c r="B12" s="7" t="n">
        <v>2011</v>
      </c>
      <c r="C12" s="7" t="n">
        <v>68</v>
      </c>
      <c r="D12" s="5" t="inlineStr">
        <is>
          <t>OK</t>
        </is>
      </c>
      <c r="E12" s="5" t="inlineStr">
        <is>
          <t>AVISO</t>
        </is>
      </c>
      <c r="F12" s="7" t="n">
        <v>1.110223024625157e-16</v>
      </c>
      <c r="G12" s="7" t="n">
        <v>1.554312234475219e-15</v>
      </c>
      <c r="H12" s="7" t="n">
        <v>787.7762729106471</v>
      </c>
      <c r="I12" s="7" t="n">
        <v>915.2956661685603</v>
      </c>
      <c r="J12" s="7" t="n">
        <v>0</v>
      </c>
    </row>
    <row r="13">
      <c r="A13" s="4" t="inlineStr">
        <is>
          <t>brasil</t>
        </is>
      </c>
      <c r="B13" s="6" t="n">
        <v>2012</v>
      </c>
      <c r="C13" s="6" t="n">
        <v>68</v>
      </c>
      <c r="D13" s="4" t="inlineStr">
        <is>
          <t>OK</t>
        </is>
      </c>
      <c r="E13" s="4" t="inlineStr">
        <is>
          <t>AVISO</t>
        </is>
      </c>
      <c r="F13" s="6" t="n">
        <v>1.665334536937735e-16</v>
      </c>
      <c r="G13" s="6" t="n">
        <v>1.110223024625157e-15</v>
      </c>
      <c r="H13" s="6" t="n">
        <v>799.3443168383092</v>
      </c>
      <c r="I13" s="6" t="n">
        <v>926.085863463697</v>
      </c>
      <c r="J13" s="6" t="n">
        <v>0</v>
      </c>
    </row>
    <row r="14">
      <c r="A14" s="5" t="inlineStr">
        <is>
          <t>brasil</t>
        </is>
      </c>
      <c r="B14" s="7" t="n">
        <v>2013</v>
      </c>
      <c r="C14" s="7" t="n">
        <v>68</v>
      </c>
      <c r="D14" s="5" t="inlineStr">
        <is>
          <t>OK</t>
        </is>
      </c>
      <c r="E14" s="5" t="inlineStr">
        <is>
          <t>AVISO</t>
        </is>
      </c>
      <c r="F14" s="7" t="n">
        <v>1.110223024625157e-16</v>
      </c>
      <c r="G14" s="7" t="n">
        <v>1.554312234475219e-15</v>
      </c>
      <c r="H14" s="7" t="n">
        <v>998.4611635631882</v>
      </c>
      <c r="I14" s="7" t="n">
        <v>1163.741865767981</v>
      </c>
      <c r="J14" s="7" t="n">
        <v>0</v>
      </c>
    </row>
    <row r="15">
      <c r="A15" s="4" t="inlineStr">
        <is>
          <t>brasil</t>
        </is>
      </c>
      <c r="B15" s="6" t="n">
        <v>2014</v>
      </c>
      <c r="C15" s="6" t="n">
        <v>68</v>
      </c>
      <c r="D15" s="4" t="inlineStr">
        <is>
          <t>OK</t>
        </is>
      </c>
      <c r="E15" s="4" t="inlineStr">
        <is>
          <t>AVISO</t>
        </is>
      </c>
      <c r="F15" s="6" t="n">
        <v>1.665334536937735e-16</v>
      </c>
      <c r="G15" s="6" t="n">
        <v>1.554312234475219e-15</v>
      </c>
      <c r="H15" s="6" t="n">
        <v>694.8371658106335</v>
      </c>
      <c r="I15" s="6" t="n">
        <v>806.0285520588513</v>
      </c>
      <c r="J15" s="6" t="n">
        <v>0</v>
      </c>
    </row>
    <row r="16">
      <c r="A16" s="5" t="inlineStr">
        <is>
          <t>brasil</t>
        </is>
      </c>
      <c r="B16" s="7" t="n">
        <v>2015</v>
      </c>
      <c r="C16" s="7" t="n">
        <v>68</v>
      </c>
      <c r="D16" s="5" t="inlineStr">
        <is>
          <t>OK</t>
        </is>
      </c>
      <c r="E16" s="5" t="inlineStr">
        <is>
          <t>AVISO</t>
        </is>
      </c>
      <c r="F16" s="7" t="n">
        <v>1.665334536937735e-16</v>
      </c>
      <c r="G16" s="7" t="n">
        <v>1.332267629550188e-15</v>
      </c>
      <c r="H16" s="7" t="n">
        <v>224.4737316915998</v>
      </c>
      <c r="I16" s="7" t="n">
        <v>266.5394776551984</v>
      </c>
      <c r="J16" s="7" t="n">
        <v>0</v>
      </c>
    </row>
    <row r="17">
      <c r="A17" s="4" t="inlineStr">
        <is>
          <t>brasil</t>
        </is>
      </c>
      <c r="B17" s="6" t="n">
        <v>2016</v>
      </c>
      <c r="C17" s="6" t="n">
        <v>68</v>
      </c>
      <c r="D17" s="4" t="inlineStr">
        <is>
          <t>OK</t>
        </is>
      </c>
      <c r="E17" s="4" t="inlineStr">
        <is>
          <t>AVISO</t>
        </is>
      </c>
      <c r="F17" s="6" t="n">
        <v>2.220446049250313e-16</v>
      </c>
      <c r="G17" s="6" t="n">
        <v>2.109423746787797e-15</v>
      </c>
      <c r="H17" s="6" t="n">
        <v>21.58701042598113</v>
      </c>
      <c r="I17" s="6" t="n">
        <v>25.05347653967328</v>
      </c>
      <c r="J17" s="6" t="n">
        <v>0</v>
      </c>
    </row>
    <row r="18">
      <c r="A18" s="5" t="inlineStr">
        <is>
          <t>brasil</t>
        </is>
      </c>
      <c r="B18" s="7" t="n">
        <v>2017</v>
      </c>
      <c r="C18" s="7" t="n">
        <v>68</v>
      </c>
      <c r="D18" s="5" t="inlineStr">
        <is>
          <t>OK</t>
        </is>
      </c>
      <c r="E18" s="5" t="inlineStr">
        <is>
          <t>AVISO</t>
        </is>
      </c>
      <c r="F18" s="7" t="n">
        <v>1.110223024625157e-16</v>
      </c>
      <c r="G18" s="7" t="n">
        <v>1.443289932012704e-15</v>
      </c>
      <c r="H18" s="7" t="n">
        <v>602.4990921429126</v>
      </c>
      <c r="I18" s="7" t="n">
        <v>706.8542623416288</v>
      </c>
      <c r="J18" s="7" t="n">
        <v>0</v>
      </c>
    </row>
    <row r="19">
      <c r="A19" s="4" t="inlineStr">
        <is>
          <t>brasil</t>
        </is>
      </c>
      <c r="B19" s="6" t="n">
        <v>2018</v>
      </c>
      <c r="C19" s="6" t="n">
        <v>68</v>
      </c>
      <c r="D19" s="4" t="inlineStr">
        <is>
          <t>OK</t>
        </is>
      </c>
      <c r="E19" s="4" t="inlineStr">
        <is>
          <t>OK</t>
        </is>
      </c>
      <c r="F19" s="6" t="n">
        <v>1.665334536937735e-16</v>
      </c>
      <c r="G19" s="6" t="n">
        <v>1.443289932012704e-15</v>
      </c>
      <c r="H19" s="6" t="n">
        <v>4.656612873077393e-10</v>
      </c>
      <c r="I19" s="6" t="n">
        <v>4.656612873077393e-10</v>
      </c>
      <c r="J19" s="6" t="n">
        <v>0</v>
      </c>
    </row>
    <row r="20">
      <c r="A20" s="5" t="inlineStr">
        <is>
          <t>brasil</t>
        </is>
      </c>
      <c r="B20" s="7" t="n">
        <v>2019</v>
      </c>
      <c r="C20" s="7" t="n">
        <v>68</v>
      </c>
      <c r="D20" s="5" t="inlineStr">
        <is>
          <t>OK</t>
        </is>
      </c>
      <c r="E20" s="5" t="inlineStr">
        <is>
          <t>OK</t>
        </is>
      </c>
      <c r="F20" s="7" t="n">
        <v>1.110223024625157e-16</v>
      </c>
      <c r="G20" s="7" t="n">
        <v>1.554312234475219e-15</v>
      </c>
      <c r="H20" s="7" t="n">
        <v>2.328306436538696e-10</v>
      </c>
      <c r="I20" s="7" t="n">
        <v>3.492459654808044e-10</v>
      </c>
      <c r="J20" s="7" t="n">
        <v>0</v>
      </c>
    </row>
    <row r="21">
      <c r="A21" s="4" t="inlineStr">
        <is>
          <t>brasil</t>
        </is>
      </c>
      <c r="B21" s="6" t="n">
        <v>2020</v>
      </c>
      <c r="C21" s="6" t="n">
        <v>68</v>
      </c>
      <c r="D21" s="4" t="inlineStr">
        <is>
          <t>OK</t>
        </is>
      </c>
      <c r="E21" s="4" t="inlineStr">
        <is>
          <t>AVISO</t>
        </is>
      </c>
      <c r="F21" s="6" t="n">
        <v>1.665334536937735e-16</v>
      </c>
      <c r="G21" s="6" t="n">
        <v>1.554312234475219e-15</v>
      </c>
      <c r="H21" s="6" t="n">
        <v>184.9745980203152</v>
      </c>
      <c r="I21" s="6" t="n">
        <v>217.3657415492926</v>
      </c>
      <c r="J21" s="6" t="n">
        <v>0</v>
      </c>
    </row>
    <row r="22">
      <c r="A22" s="5" t="inlineStr">
        <is>
          <t>brasil</t>
        </is>
      </c>
      <c r="B22" s="7" t="n">
        <v>2021</v>
      </c>
      <c r="C22" s="7" t="n">
        <v>68</v>
      </c>
      <c r="D22" s="5" t="inlineStr">
        <is>
          <t>OK</t>
        </is>
      </c>
      <c r="E22" s="5" t="inlineStr">
        <is>
          <t>AVISO</t>
        </is>
      </c>
      <c r="F22" s="7" t="n">
        <v>1.665334536937735e-16</v>
      </c>
      <c r="G22" s="7" t="n">
        <v>1.332267629550188e-15</v>
      </c>
      <c r="H22" s="7" t="n">
        <v>285.3846563701518</v>
      </c>
      <c r="I22" s="7" t="n">
        <v>334.3216072747018</v>
      </c>
      <c r="J22" s="7" t="n">
        <v>0</v>
      </c>
    </row>
    <row r="23">
      <c r="A23" s="4" t="inlineStr">
        <is>
          <t>brasil_early</t>
        </is>
      </c>
      <c r="B23" s="6" t="n">
        <v>2000</v>
      </c>
      <c r="C23" s="6" t="n">
        <v>51</v>
      </c>
      <c r="D23" s="4" t="inlineStr">
        <is>
          <t>OK</t>
        </is>
      </c>
      <c r="E23" s="4" t="inlineStr">
        <is>
          <t>AVISO</t>
        </is>
      </c>
      <c r="F23" s="6" t="n">
        <v>1.110223024625157e-16</v>
      </c>
      <c r="G23" s="6" t="n">
        <v>1.332267629550188e-15</v>
      </c>
      <c r="H23" s="6" t="n">
        <v>423.5260419981205</v>
      </c>
      <c r="I23" s="6" t="n">
        <v>456.7713921025279</v>
      </c>
      <c r="J23" s="6" t="n">
        <v>0</v>
      </c>
    </row>
    <row r="24">
      <c r="A24" s="5" t="inlineStr">
        <is>
          <t>brasil_early</t>
        </is>
      </c>
      <c r="B24" s="7" t="n">
        <v>2001</v>
      </c>
      <c r="C24" s="7" t="n">
        <v>51</v>
      </c>
      <c r="D24" s="5" t="inlineStr">
        <is>
          <t>OK</t>
        </is>
      </c>
      <c r="E24" s="5" t="inlineStr">
        <is>
          <t>AVISO</t>
        </is>
      </c>
      <c r="F24" s="7" t="n">
        <v>1.110223024625157e-16</v>
      </c>
      <c r="G24" s="7" t="n">
        <v>1.554312234475219e-15</v>
      </c>
      <c r="H24" s="7" t="n">
        <v>468.8965698834218</v>
      </c>
      <c r="I24" s="7" t="n">
        <v>519.6551209768222</v>
      </c>
      <c r="J24" s="7" t="n">
        <v>0</v>
      </c>
    </row>
    <row r="25">
      <c r="A25" s="4" t="inlineStr">
        <is>
          <t>brasil_early</t>
        </is>
      </c>
      <c r="B25" s="6" t="n">
        <v>2002</v>
      </c>
      <c r="C25" s="6" t="n">
        <v>51</v>
      </c>
      <c r="D25" s="4" t="inlineStr">
        <is>
          <t>OK</t>
        </is>
      </c>
      <c r="E25" s="4" t="inlineStr">
        <is>
          <t>AVISO</t>
        </is>
      </c>
      <c r="F25" s="6" t="n">
        <v>1.665334536937735e-16</v>
      </c>
      <c r="G25" s="6" t="n">
        <v>1.443289932012704e-15</v>
      </c>
      <c r="H25" s="6" t="n">
        <v>463.0990200235974</v>
      </c>
      <c r="I25" s="6" t="n">
        <v>529.854376289004</v>
      </c>
      <c r="J25" s="6" t="n">
        <v>0</v>
      </c>
    </row>
    <row r="26">
      <c r="A26" s="5" t="inlineStr">
        <is>
          <t>brasil_early</t>
        </is>
      </c>
      <c r="B26" s="7" t="n">
        <v>2003</v>
      </c>
      <c r="C26" s="7" t="n">
        <v>51</v>
      </c>
      <c r="D26" s="5" t="inlineStr">
        <is>
          <t>OK</t>
        </is>
      </c>
      <c r="E26" s="5" t="inlineStr">
        <is>
          <t>AVISO</t>
        </is>
      </c>
      <c r="F26" s="7" t="n">
        <v>1.387778780781446e-16</v>
      </c>
      <c r="G26" s="7" t="n">
        <v>1.443289932012704e-15</v>
      </c>
      <c r="H26" s="7" t="n">
        <v>572.2698159218126</v>
      </c>
      <c r="I26" s="7" t="n">
        <v>621.1031355652958</v>
      </c>
      <c r="J26" s="7" t="n">
        <v>0</v>
      </c>
    </row>
    <row r="27">
      <c r="A27" s="4" t="inlineStr">
        <is>
          <t>brasil_early</t>
        </is>
      </c>
      <c r="B27" s="6" t="n">
        <v>2004</v>
      </c>
      <c r="C27" s="6" t="n">
        <v>51</v>
      </c>
      <c r="D27" s="4" t="inlineStr">
        <is>
          <t>OK</t>
        </is>
      </c>
      <c r="E27" s="4" t="inlineStr">
        <is>
          <t>AVISO</t>
        </is>
      </c>
      <c r="F27" s="6" t="n">
        <v>1.110223024625157e-16</v>
      </c>
      <c r="G27" s="6" t="n">
        <v>1.110223024625157e-15</v>
      </c>
      <c r="H27" s="6" t="n">
        <v>603.9112367413472</v>
      </c>
      <c r="I27" s="6" t="n">
        <v>657.1939591109985</v>
      </c>
      <c r="J27" s="6" t="n">
        <v>0</v>
      </c>
    </row>
    <row r="28">
      <c r="A28" s="5" t="inlineStr">
        <is>
          <t>brasil_early</t>
        </is>
      </c>
      <c r="B28" s="7" t="n">
        <v>2005</v>
      </c>
      <c r="C28" s="7" t="n">
        <v>51</v>
      </c>
      <c r="D28" s="5" t="inlineStr">
        <is>
          <t>OK</t>
        </is>
      </c>
      <c r="E28" s="5" t="inlineStr">
        <is>
          <t>AVISO</t>
        </is>
      </c>
      <c r="F28" s="7" t="n">
        <v>1.665334536937735e-16</v>
      </c>
      <c r="G28" s="7" t="n">
        <v>1.332267629550188e-15</v>
      </c>
      <c r="H28" s="7" t="n">
        <v>774.0081208376796</v>
      </c>
      <c r="I28" s="7" t="n">
        <v>844.8867201150861</v>
      </c>
      <c r="J28" s="7" t="n">
        <v>0</v>
      </c>
    </row>
    <row r="29">
      <c r="A29" s="4" t="inlineStr">
        <is>
          <t>brasil_early</t>
        </is>
      </c>
      <c r="B29" s="6" t="n">
        <v>2006</v>
      </c>
      <c r="C29" s="6" t="n">
        <v>51</v>
      </c>
      <c r="D29" s="4" t="inlineStr">
        <is>
          <t>OK</t>
        </is>
      </c>
      <c r="E29" s="4" t="inlineStr">
        <is>
          <t>AVISO</t>
        </is>
      </c>
      <c r="F29" s="6" t="n">
        <v>1.387778780781446e-16</v>
      </c>
      <c r="G29" s="6" t="n">
        <v>1.221245327087672e-15</v>
      </c>
      <c r="H29" s="6" t="n">
        <v>849.009810589836</v>
      </c>
      <c r="I29" s="6" t="n">
        <v>928.4832096964237</v>
      </c>
      <c r="J29" s="6" t="n">
        <v>0</v>
      </c>
    </row>
    <row r="30">
      <c r="A30" s="5" t="inlineStr">
        <is>
          <t>brasil_early</t>
        </is>
      </c>
      <c r="B30" s="7" t="n">
        <v>2007</v>
      </c>
      <c r="C30" s="7" t="n">
        <v>51</v>
      </c>
      <c r="D30" s="5" t="inlineStr">
        <is>
          <t>OK</t>
        </is>
      </c>
      <c r="E30" s="5" t="inlineStr">
        <is>
          <t>AVISO</t>
        </is>
      </c>
      <c r="F30" s="7" t="n">
        <v>1.110223024625157e-16</v>
      </c>
      <c r="G30" s="7" t="n">
        <v>1.110223024625157e-15</v>
      </c>
      <c r="H30" s="7" t="n">
        <v>1129.460600296792</v>
      </c>
      <c r="I30" s="7" t="n">
        <v>1241.773817741836</v>
      </c>
      <c r="J30" s="7" t="n">
        <v>0</v>
      </c>
    </row>
    <row r="31">
      <c r="A31" s="4" t="inlineStr">
        <is>
          <t>brasil_early</t>
        </is>
      </c>
      <c r="B31" s="6" t="n">
        <v>2008</v>
      </c>
      <c r="C31" s="6" t="n">
        <v>51</v>
      </c>
      <c r="D31" s="4" t="inlineStr">
        <is>
          <t>OK</t>
        </is>
      </c>
      <c r="E31" s="4" t="inlineStr">
        <is>
          <t>AVISO</t>
        </is>
      </c>
      <c r="F31" s="6" t="n">
        <v>1.387778780781446e-16</v>
      </c>
      <c r="G31" s="6" t="n">
        <v>1.110223024625157e-15</v>
      </c>
      <c r="H31" s="6" t="n">
        <v>1208.869434595399</v>
      </c>
      <c r="I31" s="6" t="n">
        <v>1332.656584697485</v>
      </c>
      <c r="J31" s="6" t="n">
        <v>0</v>
      </c>
    </row>
    <row r="32">
      <c r="A32" s="5" t="inlineStr">
        <is>
          <t>brasil_early</t>
        </is>
      </c>
      <c r="B32" s="7" t="n">
        <v>2009</v>
      </c>
      <c r="C32" s="7" t="n">
        <v>51</v>
      </c>
      <c r="D32" s="5" t="inlineStr">
        <is>
          <t>OK</t>
        </is>
      </c>
      <c r="E32" s="5" t="inlineStr">
        <is>
          <t>AVISO</t>
        </is>
      </c>
      <c r="F32" s="7" t="n">
        <v>1.110223024625157e-16</v>
      </c>
      <c r="G32" s="7" t="n">
        <v>1.110223024625157e-15</v>
      </c>
      <c r="H32" s="7" t="n">
        <v>1214.7142444239</v>
      </c>
      <c r="I32" s="7" t="n">
        <v>1349.402535793371</v>
      </c>
      <c r="J32" s="7" t="n">
        <v>0</v>
      </c>
    </row>
    <row r="33">
      <c r="A33" s="4" t="inlineStr">
        <is>
          <t>mexico</t>
        </is>
      </c>
      <c r="B33" s="6" t="n">
        <v>2003</v>
      </c>
      <c r="C33" s="6" t="n">
        <v>20</v>
      </c>
      <c r="D33" s="4" t="inlineStr">
        <is>
          <t>OK</t>
        </is>
      </c>
      <c r="E33" s="4" t="inlineStr">
        <is>
          <t>AVISO</t>
        </is>
      </c>
      <c r="F33" s="6" t="n">
        <v>5.551115123125783e-17</v>
      </c>
      <c r="G33" s="6" t="n">
        <v>8.881784197001252e-16</v>
      </c>
      <c r="H33" s="6" t="n">
        <v>0</v>
      </c>
      <c r="I33" s="6" t="n">
        <v>9.5367431640625e-07</v>
      </c>
      <c r="J33" s="6" t="n">
        <v>0</v>
      </c>
    </row>
    <row r="34">
      <c r="A34" s="5" t="inlineStr">
        <is>
          <t>mexico</t>
        </is>
      </c>
      <c r="B34" s="7" t="n">
        <v>2008</v>
      </c>
      <c r="C34" s="7" t="n">
        <v>262</v>
      </c>
      <c r="D34" s="5" t="inlineStr">
        <is>
          <t>OK</t>
        </is>
      </c>
      <c r="E34" s="5" t="inlineStr">
        <is>
          <t>AVISO</t>
        </is>
      </c>
      <c r="F34" s="7" t="n">
        <v>1.110223024625157e-16</v>
      </c>
      <c r="G34" s="7" t="n">
        <v>2.220446049250313e-15</v>
      </c>
      <c r="H34" s="7" t="n">
        <v>4.656612873077393e-10</v>
      </c>
      <c r="I34" s="7" t="n">
        <v>3.492459654808044e-10</v>
      </c>
      <c r="J34" s="7" t="n">
        <v>0.01145038167938931</v>
      </c>
    </row>
    <row r="35">
      <c r="A35" s="4" t="inlineStr">
        <is>
          <t>mexico</t>
        </is>
      </c>
      <c r="B35" s="6" t="n">
        <v>2013</v>
      </c>
      <c r="C35" s="6" t="n">
        <v>262</v>
      </c>
      <c r="D35" s="4" t="inlineStr">
        <is>
          <t>OK</t>
        </is>
      </c>
      <c r="E35" s="4" t="inlineStr">
        <is>
          <t>AVISO</t>
        </is>
      </c>
      <c r="F35" s="6" t="n">
        <v>7.510658761589184e-13</v>
      </c>
      <c r="G35" s="6" t="n">
        <v>3.108624468950438e-15</v>
      </c>
      <c r="H35" s="6" t="n">
        <v>2.328306436538696e-10</v>
      </c>
      <c r="I35" s="6" t="n">
        <v>2.693850547075272e-07</v>
      </c>
      <c r="J35" s="6" t="n">
        <v>0.003816793893129771</v>
      </c>
    </row>
    <row r="36">
      <c r="A36" s="5" t="inlineStr">
        <is>
          <t>mexico</t>
        </is>
      </c>
      <c r="B36" s="7" t="n">
        <v>2018</v>
      </c>
      <c r="C36" s="7" t="n">
        <v>263</v>
      </c>
      <c r="D36" s="5" t="inlineStr">
        <is>
          <t>OK</t>
        </is>
      </c>
      <c r="E36" s="5" t="inlineStr">
        <is>
          <t>AVISO</t>
        </is>
      </c>
      <c r="F36" s="7" t="n">
        <v>4.649058915617843e-13</v>
      </c>
      <c r="G36" s="7" t="n">
        <v>2.997602166487923e-15</v>
      </c>
      <c r="H36" s="7" t="n">
        <v>4.656612873077393e-10</v>
      </c>
      <c r="I36" s="7" t="n">
        <v>3.012828528881073e-07</v>
      </c>
      <c r="J36" s="7" t="n">
        <v>0</v>
      </c>
    </row>
    <row r="37">
      <c r="A37" s="4" t="inlineStr">
        <is>
          <t>uruguay</t>
        </is>
      </c>
      <c r="B37" s="6" t="n">
        <v>2016</v>
      </c>
      <c r="C37" s="6" t="n">
        <v>128</v>
      </c>
      <c r="D37" s="4" t="inlineStr">
        <is>
          <t>OK</t>
        </is>
      </c>
      <c r="E37" s="4" t="inlineStr">
        <is>
          <t>AVISO</t>
        </is>
      </c>
      <c r="F37" s="6" t="n">
        <v>1.665334536937735e-16</v>
      </c>
      <c r="G37" s="6" t="n">
        <v>1.332267629550188e-15</v>
      </c>
      <c r="H37" s="6" t="n">
        <v>8.256756700575352e-08</v>
      </c>
      <c r="I37" s="6" t="n">
        <v>8.256756700575352e-08</v>
      </c>
      <c r="J37" s="6" t="n">
        <v>0</v>
      </c>
    </row>
    <row r="38">
      <c r="A38" s="5" t="inlineStr">
        <is>
          <t>uruguay_cou</t>
        </is>
      </c>
      <c r="B38" s="7" t="n">
        <v>2017</v>
      </c>
      <c r="C38" s="7" t="n">
        <v>95</v>
      </c>
      <c r="D38" s="5" t="inlineStr">
        <is>
          <t>OK</t>
        </is>
      </c>
      <c r="E38" s="5" t="inlineStr">
        <is>
          <t>AVISO</t>
        </is>
      </c>
      <c r="F38" s="7" t="n">
        <v>5.551115123125783e-17</v>
      </c>
      <c r="G38" s="7" t="n">
        <v>1.443289932012704e-15</v>
      </c>
      <c r="H38" s="7" t="n">
        <v>2.91038304567337e-11</v>
      </c>
      <c r="I38" s="7" t="n">
        <v>5.820766091346741e-11</v>
      </c>
      <c r="J38" s="7" t="n">
        <v>0.02105263157894737</v>
      </c>
    </row>
  </sheetData>
  <autoFilter ref="A4:J38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  <col width="16" customWidth="1" min="7" max="7"/>
    <col width="18" customWidth="1" min="8" max="8"/>
    <col width="36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30" customHeight="1">
      <c r="A1" s="1" t="inlineStr">
        <is>
          <t>Simulador piloto: choque de demanda</t>
        </is>
      </c>
    </row>
    <row r="2">
      <c r="A2" s="2" t="inlineStr">
        <is>
          <t>Muestra reducida con Brasil 2001. En la version final se usara la matriz completa por pais/anio.</t>
        </is>
      </c>
    </row>
    <row r="3"/>
    <row r="4">
      <c r="A4" s="3" t="inlineStr">
        <is>
          <t>Sector</t>
        </is>
      </c>
      <c r="B4" s="3" t="inlineStr">
        <is>
          <t>g_base</t>
        </is>
      </c>
      <c r="C4" s="3" t="inlineStr">
        <is>
          <t>f_base</t>
        </is>
      </c>
      <c r="D4" s="3" t="inlineStr">
        <is>
          <t>shock_pct_editable</t>
        </is>
      </c>
      <c r="E4" s="3" t="inlineStr">
        <is>
          <t>Delta_f</t>
        </is>
      </c>
      <c r="F4" s="3" t="inlineStr">
        <is>
          <t>Delta_g_formula</t>
        </is>
      </c>
      <c r="G4" s="3" t="inlineStr">
        <is>
          <t>g_escenario</t>
        </is>
      </c>
      <c r="H4" s="3" t="inlineStr">
        <is>
          <t>Delta_g_control_python</t>
        </is>
      </c>
      <c r="J4" s="8" t="inlineStr">
        <is>
          <t>Matriz L muestral</t>
        </is>
      </c>
      <c r="N4" s="3" t="inlineStr">
        <is>
          <t>Comércio</t>
        </is>
      </c>
      <c r="O4" s="3" t="inlineStr">
        <is>
          <t>Administração pública e seguridade social</t>
        </is>
      </c>
      <c r="P4" s="3" t="inlineStr">
        <is>
          <t>Construção civil</t>
        </is>
      </c>
      <c r="Q4" s="3" t="inlineStr">
        <is>
          <t>Alimentos e Bebidas</t>
        </is>
      </c>
      <c r="R4" s="3" t="inlineStr">
        <is>
          <t>Atividades imobiliárias e aluguéis</t>
        </is>
      </c>
      <c r="S4" s="3" t="inlineStr">
        <is>
          <t>Intermediação financeira seguros e previdência complementar e serviços relacionados</t>
        </is>
      </c>
      <c r="T4" s="3" t="inlineStr">
        <is>
          <t>Serviços prestados às empresas</t>
        </is>
      </c>
      <c r="U4" s="3" t="inlineStr">
        <is>
          <t>Transporte armazenagem e correio</t>
        </is>
      </c>
    </row>
    <row r="5">
      <c r="A5" s="4" t="inlineStr">
        <is>
          <t>Comércio</t>
        </is>
      </c>
      <c r="B5" s="6" t="n">
        <v>172998.5776728991</v>
      </c>
      <c r="C5" s="6" t="n">
        <v>94755.69595153906</v>
      </c>
      <c r="D5" s="9" t="n">
        <v>0.05</v>
      </c>
      <c r="E5" s="6">
        <f>C5*D5</f>
        <v/>
      </c>
      <c r="F5" s="6">
        <f>SUMPRODUCT($N5:$U5,$E$5:$E$12)</f>
        <v/>
      </c>
      <c r="G5" s="6">
        <f>B5+F5</f>
        <v/>
      </c>
      <c r="H5" s="6" t="n">
        <v>5114.286946288322</v>
      </c>
      <c r="M5" s="10" t="inlineStr">
        <is>
          <t>Comércio</t>
        </is>
      </c>
      <c r="N5" s="11" t="n">
        <v>1.079467971804866</v>
      </c>
      <c r="O5" s="11" t="n">
        <v>0.02222033590300367</v>
      </c>
      <c r="P5" s="11" t="n">
        <v>0.04979927758277924</v>
      </c>
      <c r="Q5" s="11" t="n">
        <v>0.1339238324969593</v>
      </c>
      <c r="R5" s="11" t="n">
        <v>0.003209532174900806</v>
      </c>
      <c r="S5" s="11" t="n">
        <v>0.01645069046755824</v>
      </c>
      <c r="T5" s="11" t="n">
        <v>0.04546706105874369</v>
      </c>
      <c r="U5" s="11" t="n">
        <v>0.1148221844791262</v>
      </c>
    </row>
    <row r="6">
      <c r="A6" s="4" t="inlineStr">
        <is>
          <t>Administração pública e seguridade social</t>
        </is>
      </c>
      <c r="B6" s="6" t="n">
        <v>171989.2490372814</v>
      </c>
      <c r="C6" s="6" t="n">
        <v>165985.2118621596</v>
      </c>
      <c r="D6" s="9" t="n">
        <v>0</v>
      </c>
      <c r="E6" s="6">
        <f>C6*D6</f>
        <v/>
      </c>
      <c r="F6" s="6">
        <f>SUMPRODUCT($N6:$U6,$E$5:$E$12)</f>
        <v/>
      </c>
      <c r="G6" s="6">
        <f>B6+F6</f>
        <v/>
      </c>
      <c r="H6" s="6" t="n">
        <v>34.31970495743266</v>
      </c>
      <c r="M6" s="10" t="inlineStr">
        <is>
          <t>Administração pública e seguridade social</t>
        </is>
      </c>
      <c r="N6" s="11" t="n">
        <v>0.00724382943163328</v>
      </c>
      <c r="O6" s="11" t="n">
        <v>1.003309342913556</v>
      </c>
      <c r="P6" s="11" t="n">
        <v>0.003524135618582491</v>
      </c>
      <c r="Q6" s="11" t="n">
        <v>0.006678003427609812</v>
      </c>
      <c r="R6" s="11" t="n">
        <v>0.0006971104949191827</v>
      </c>
      <c r="S6" s="11" t="n">
        <v>0.004581723978183</v>
      </c>
      <c r="T6" s="11" t="n">
        <v>0.007177611000369755</v>
      </c>
      <c r="U6" s="11" t="n">
        <v>0.007115860875169257</v>
      </c>
    </row>
    <row r="7">
      <c r="A7" s="4" t="inlineStr">
        <is>
          <t>Construção civil</t>
        </is>
      </c>
      <c r="B7" s="6" t="n">
        <v>150433.3767559023</v>
      </c>
      <c r="C7" s="6" t="n">
        <v>126344.7027758561</v>
      </c>
      <c r="D7" s="9" t="n">
        <v>0</v>
      </c>
      <c r="E7" s="6">
        <f>C7*D7</f>
        <v/>
      </c>
      <c r="F7" s="6">
        <f>SUMPRODUCT($N7:$U7,$E$5:$E$12)</f>
        <v/>
      </c>
      <c r="G7" s="6">
        <f>B7+F7</f>
        <v/>
      </c>
      <c r="H7" s="6" t="n">
        <v>32.00476081602192</v>
      </c>
      <c r="M7" s="10" t="inlineStr">
        <is>
          <t>Construção civil</t>
        </is>
      </c>
      <c r="N7" s="11" t="n">
        <v>0.006755216242069526</v>
      </c>
      <c r="O7" s="11" t="n">
        <v>0.01878829961000511</v>
      </c>
      <c r="P7" s="11" t="n">
        <v>1.09738834359701</v>
      </c>
      <c r="Q7" s="11" t="n">
        <v>0.004877967107734607</v>
      </c>
      <c r="R7" s="11" t="n">
        <v>0.003412262641018087</v>
      </c>
      <c r="S7" s="11" t="n">
        <v>0.005271588282072513</v>
      </c>
      <c r="T7" s="11" t="n">
        <v>0.007243165153363183</v>
      </c>
      <c r="U7" s="11" t="n">
        <v>0.01069232672659309</v>
      </c>
    </row>
    <row r="8">
      <c r="A8" s="4" t="inlineStr">
        <is>
          <t>Alimentos e Bebidas</t>
        </is>
      </c>
      <c r="B8" s="6" t="n">
        <v>145347.8841165121</v>
      </c>
      <c r="C8" s="6" t="n">
        <v>106136.1833379733</v>
      </c>
      <c r="D8" s="9" t="n">
        <v>0</v>
      </c>
      <c r="E8" s="6">
        <f>C8*D8</f>
        <v/>
      </c>
      <c r="F8" s="6">
        <f>SUMPRODUCT($N8:$U8,$E$5:$E$12)</f>
        <v/>
      </c>
      <c r="G8" s="6">
        <f>B8+F8</f>
        <v/>
      </c>
      <c r="H8" s="6" t="n">
        <v>53.52320685955691</v>
      </c>
      <c r="M8" s="10" t="inlineStr">
        <is>
          <t>Alimentos e Bebidas</t>
        </is>
      </c>
      <c r="N8" s="11" t="n">
        <v>0.01129709540351649</v>
      </c>
      <c r="O8" s="11" t="n">
        <v>0.01060321096698757</v>
      </c>
      <c r="P8" s="11" t="n">
        <v>0.006500490708662568</v>
      </c>
      <c r="Q8" s="11" t="n">
        <v>1.16039790869848</v>
      </c>
      <c r="R8" s="11" t="n">
        <v>0.0006422553449390882</v>
      </c>
      <c r="S8" s="11" t="n">
        <v>0.003761587268771552</v>
      </c>
      <c r="T8" s="11" t="n">
        <v>0.005026373089678443</v>
      </c>
      <c r="U8" s="11" t="n">
        <v>0.01161207777426315</v>
      </c>
    </row>
    <row r="9">
      <c r="A9" s="4" t="inlineStr">
        <is>
          <t>Atividades imobiliárias e aluguéis</t>
        </is>
      </c>
      <c r="B9" s="6" t="n">
        <v>143107.2290033654</v>
      </c>
      <c r="C9" s="6" t="n">
        <v>125146.1291037554</v>
      </c>
      <c r="D9" s="9" t="n">
        <v>0</v>
      </c>
      <c r="E9" s="6">
        <f>C9*D9</f>
        <v/>
      </c>
      <c r="F9" s="6">
        <f>SUMPRODUCT($N9:$U9,$E$5:$E$12)</f>
        <v/>
      </c>
      <c r="G9" s="6">
        <f>B9+F9</f>
        <v/>
      </c>
      <c r="H9" s="6" t="n">
        <v>211.8240221271853</v>
      </c>
      <c r="M9" s="10" t="inlineStr">
        <is>
          <t>Atividades imobiliárias e aluguéis</t>
        </is>
      </c>
      <c r="N9" s="11" t="n">
        <v>0.04470950690616394</v>
      </c>
      <c r="O9" s="11" t="n">
        <v>0.007170171387242638</v>
      </c>
      <c r="P9" s="11" t="n">
        <v>0.007673645117099189</v>
      </c>
      <c r="Q9" s="11" t="n">
        <v>0.01195730791377911</v>
      </c>
      <c r="R9" s="11" t="n">
        <v>1.004022822564325</v>
      </c>
      <c r="S9" s="11" t="n">
        <v>0.0135638013049683</v>
      </c>
      <c r="T9" s="11" t="n">
        <v>0.02290459016880847</v>
      </c>
      <c r="U9" s="11" t="n">
        <v>0.01724769947256422</v>
      </c>
    </row>
    <row r="10">
      <c r="A10" s="4" t="inlineStr">
        <is>
          <t>Intermediação financeira seguros e previdência complementar e serviços relacionados</t>
        </is>
      </c>
      <c r="B10" s="6" t="n">
        <v>122091.197288748</v>
      </c>
      <c r="C10" s="6" t="n">
        <v>33875.69023900654</v>
      </c>
      <c r="D10" s="9" t="n">
        <v>0</v>
      </c>
      <c r="E10" s="6">
        <f>C10*D10</f>
        <v/>
      </c>
      <c r="F10" s="6">
        <f>SUMPRODUCT($N10:$U10,$E$5:$E$12)</f>
        <v/>
      </c>
      <c r="G10" s="6">
        <f>B10+F10</f>
        <v/>
      </c>
      <c r="H10" s="6" t="n">
        <v>344.3544446553934</v>
      </c>
      <c r="M10" s="10" t="inlineStr">
        <is>
          <t>Intermediação financeira seguros e previdência complementar e serviços relacionados</t>
        </is>
      </c>
      <c r="N10" s="11" t="n">
        <v>0.07268258466098053</v>
      </c>
      <c r="O10" s="11" t="n">
        <v>0.1065654715594109</v>
      </c>
      <c r="P10" s="11" t="n">
        <v>0.05186694961156865</v>
      </c>
      <c r="Q10" s="11" t="n">
        <v>0.07889392555899956</v>
      </c>
      <c r="R10" s="11" t="n">
        <v>0.07609970362338814</v>
      </c>
      <c r="S10" s="11" t="n">
        <v>1.148093183511155</v>
      </c>
      <c r="T10" s="11" t="n">
        <v>0.05040177539392793</v>
      </c>
      <c r="U10" s="11" t="n">
        <v>0.07629752190677223</v>
      </c>
    </row>
    <row r="11">
      <c r="A11" s="4" t="inlineStr">
        <is>
          <t>Serviços prestados às empresas</t>
        </is>
      </c>
      <c r="B11" s="6" t="n">
        <v>108155.7192366121</v>
      </c>
      <c r="C11" s="6" t="n">
        <v>16144.85385491468</v>
      </c>
      <c r="D11" s="9" t="n">
        <v>0</v>
      </c>
      <c r="E11" s="6">
        <f>C11*D11</f>
        <v/>
      </c>
      <c r="F11" s="6">
        <f>SUMPRODUCT($N11:$U11,$E$5:$E$12)</f>
        <v/>
      </c>
      <c r="G11" s="6">
        <f>B11+F11</f>
        <v/>
      </c>
      <c r="H11" s="6" t="n">
        <v>491.388065271386</v>
      </c>
      <c r="M11" s="10" t="inlineStr">
        <is>
          <t>Serviços prestados às empresas</t>
        </is>
      </c>
      <c r="N11" s="11" t="n">
        <v>0.1037168394652912</v>
      </c>
      <c r="O11" s="11" t="n">
        <v>0.05837688286612648</v>
      </c>
      <c r="P11" s="11" t="n">
        <v>0.0623712566207204</v>
      </c>
      <c r="Q11" s="11" t="n">
        <v>0.09634497169967993</v>
      </c>
      <c r="R11" s="11" t="n">
        <v>0.01166601975368744</v>
      </c>
      <c r="S11" s="11" t="n">
        <v>0.08589188870980922</v>
      </c>
      <c r="T11" s="11" t="n">
        <v>1.108251060788753</v>
      </c>
      <c r="U11" s="11" t="n">
        <v>0.1024487936724374</v>
      </c>
    </row>
    <row r="12">
      <c r="A12" s="4" t="inlineStr">
        <is>
          <t>Transporte armazenagem e correio</t>
        </is>
      </c>
      <c r="B12" s="6" t="n">
        <v>105696.9088122315</v>
      </c>
      <c r="C12" s="6" t="n">
        <v>31041.74029255056</v>
      </c>
      <c r="D12" s="9" t="n">
        <v>0</v>
      </c>
      <c r="E12" s="6">
        <f>C12*D12</f>
        <v/>
      </c>
      <c r="F12" s="6">
        <f>SUMPRODUCT($N12:$U12,$E$5:$E$12)</f>
        <v/>
      </c>
      <c r="G12" s="6">
        <f>B12+F12</f>
        <v/>
      </c>
      <c r="H12" s="6" t="n">
        <v>426.2118821221388</v>
      </c>
      <c r="M12" s="10" t="inlineStr">
        <is>
          <t>Transporte armazenagem e correio</t>
        </is>
      </c>
      <c r="N12" s="11" t="n">
        <v>0.08996016077811649</v>
      </c>
      <c r="O12" s="11" t="n">
        <v>0.02250505126921071</v>
      </c>
      <c r="P12" s="11" t="n">
        <v>0.04160609718785176</v>
      </c>
      <c r="Q12" s="11" t="n">
        <v>0.1256690887392372</v>
      </c>
      <c r="R12" s="11" t="n">
        <v>0.004142245542391874</v>
      </c>
      <c r="S12" s="11" t="n">
        <v>0.02837242269867642</v>
      </c>
      <c r="T12" s="11" t="n">
        <v>0.03466963570580357</v>
      </c>
      <c r="U12" s="11" t="n">
        <v>1.194186620914375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42" customWidth="1" min="2" max="2"/>
    <col width="70" customWidth="1" min="3" max="3"/>
  </cols>
  <sheetData>
    <row r="1" ht="30" customHeight="1">
      <c r="A1" s="1" t="inlineStr">
        <is>
          <t>Formulas clave</t>
        </is>
      </c>
    </row>
    <row r="2">
      <c r="A2" s="2" t="inlineStr">
        <is>
          <t>Resumen de identidades usadas por la reconstruccion, validacion y simulacion.</t>
        </is>
      </c>
    </row>
    <row r="3"/>
    <row r="4">
      <c r="A4" s="3" t="inlineStr">
        <is>
          <t>Bloque</t>
        </is>
      </c>
      <c r="B4" s="3" t="inlineStr">
        <is>
          <t>Formula</t>
        </is>
      </c>
      <c r="C4" s="3" t="inlineStr">
        <is>
          <t>Lectura</t>
        </is>
      </c>
    </row>
    <row r="5">
      <c r="A5" s="4" t="inlineStr">
        <is>
          <t>Market share</t>
        </is>
      </c>
      <c r="B5" s="4" t="inlineStr">
        <is>
          <t>D[i,p] = V[i,p] / q[p]</t>
        </is>
      </c>
      <c r="C5" s="4" t="inlineStr">
        <is>
          <t>Distribuye productos hacia industrias.</t>
        </is>
      </c>
    </row>
    <row r="6">
      <c r="A6" s="5" t="inlineStr">
        <is>
          <t>Flujos intermedios</t>
        </is>
      </c>
      <c r="B6" s="5" t="inlineStr">
        <is>
          <t>Z = D @ U</t>
        </is>
      </c>
      <c r="C6" s="5" t="inlineStr">
        <is>
          <t>Convierte usos por producto en matriz industria x industria.</t>
        </is>
      </c>
    </row>
    <row r="7">
      <c r="A7" s="4" t="inlineStr">
        <is>
          <t>Coeficientes tecnicos</t>
        </is>
      </c>
      <c r="B7" s="4" t="inlineStr">
        <is>
          <t>A = Z @ diag(g)^-1</t>
        </is>
      </c>
      <c r="C7" s="4" t="inlineStr">
        <is>
          <t>Cada columna se normaliza por produccion del comprador.</t>
        </is>
      </c>
    </row>
    <row r="8">
      <c r="A8" s="5" t="inlineStr">
        <is>
          <t>Leontief</t>
        </is>
      </c>
      <c r="B8" s="5" t="inlineStr">
        <is>
          <t>L = (I - A)^-1</t>
        </is>
      </c>
      <c r="C8" s="5" t="inlineStr">
        <is>
          <t>Propaga choques de demanda final.</t>
        </is>
      </c>
    </row>
    <row r="9">
      <c r="A9" s="4" t="inlineStr">
        <is>
          <t>Ghosh</t>
        </is>
      </c>
      <c r="B9" s="4" t="inlineStr">
        <is>
          <t>B = diag(g)^-1 @ Z; G = (I - B)^-1</t>
        </is>
      </c>
      <c r="C9" s="4" t="inlineStr">
        <is>
          <t>Propaga lectura de encadenamientos hacia adelante.</t>
        </is>
      </c>
    </row>
    <row r="10">
      <c r="A10" s="5" t="inlineStr">
        <is>
          <t>Demanda final</t>
        </is>
      </c>
      <c r="B10" s="5" t="inlineStr">
        <is>
          <t>f = D @ Y</t>
        </is>
      </c>
      <c r="C10" s="5" t="inlineStr">
        <is>
          <t>Transforma demanda final por producto a industrias.</t>
        </is>
      </c>
    </row>
    <row r="11">
      <c r="A11" s="4" t="inlineStr">
        <is>
          <t>Simulador</t>
        </is>
      </c>
      <c r="B11" s="4" t="inlineStr">
        <is>
          <t>Delta g = L @ Delta f</t>
        </is>
      </c>
      <c r="C11" s="4" t="inlineStr">
        <is>
          <t>Impacto estimado de un choque de demanda.</t>
        </is>
      </c>
    </row>
  </sheetData>
  <autoFilter ref="A4:C11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2026-06-04T19:23:35Z</dcterms:created>
  <dcterms:modified xmlns:dcterms="http://purl.org/dc/terms/" xmlns:xsi="http://www.w3.org/2001/XMLSchema-instance" xsi:type="dcterms:W3CDTF">2026-06-04T19:23:35Z</dcterms:modified>
</cp:coreProperties>
</file>