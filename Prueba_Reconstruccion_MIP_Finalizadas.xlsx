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ventario" sheetId="2" state="visible" r:id="rId2"/>
    <sheet xmlns:r="http://schemas.openxmlformats.org/officeDocument/2006/relationships" name="Caso_Brasil_2001" sheetId="3" state="visible" r:id="rId3"/>
    <sheet xmlns:r="http://schemas.openxmlformats.org/officeDocument/2006/relationships" name="Datos_COU" sheetId="4" state="visible" r:id="rId4"/>
    <sheet xmlns:r="http://schemas.openxmlformats.org/officeDocument/2006/relationships" name="Paso_2_Z_pre" sheetId="5" state="visible" r:id="rId5"/>
    <sheet xmlns:r="http://schemas.openxmlformats.org/officeDocument/2006/relationships" name="Paso_3_Cierre_RAS" sheetId="6" state="visible" r:id="rId6"/>
    <sheet xmlns:r="http://schemas.openxmlformats.org/officeDocument/2006/relationships" name="Paso_4_A_L_Ghosh" sheetId="7" state="visible" r:id="rId7"/>
    <sheet xmlns:r="http://schemas.openxmlformats.org/officeDocument/2006/relationships" name="Paso_5_Simulador" sheetId="8" state="visible" r:id="rId8"/>
    <sheet xmlns:r="http://schemas.openxmlformats.org/officeDocument/2006/relationships" name="Validaciones" sheetId="9" state="visible" r:id="rId9"/>
    <sheet xmlns:r="http://schemas.openxmlformats.org/officeDocument/2006/relationships" name="Formulas" sheetId="10" state="visible" r:id="rId10"/>
  </sheets>
  <definedNames>
    <definedName name="_xlnm._FilterDatabase" localSheetId="0" hidden="1">'README'!$A$4:$B$9</definedName>
    <definedName name="_xlnm._FilterDatabase" localSheetId="1" hidden="1">'Inventario'!$A$4:$N$38</definedName>
    <definedName name="_xlnm._FilterDatabase" localSheetId="2" hidden="1">'Caso_Brasil_2001'!$A$16:$B$24</definedName>
    <definedName name="_xlnm._FilterDatabase" localSheetId="4" hidden="1">'Paso_2_Z_pre'!$A$15:$D$21</definedName>
    <definedName name="_xlnm._FilterDatabase" localSheetId="5" hidden="1">'Paso_3_Cierre_RAS'!$A$14:$C$17</definedName>
    <definedName name="_xlnm._FilterDatabase" localSheetId="8" hidden="1">'Validaciones'!$A$4:$J$38</definedName>
    <definedName name="_xlnm._FilterDatabase" localSheetId="9" hidden="1">'Formulas'!$A$4:$C$13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00"/>
    <numFmt numFmtId="165" formatCode="0.0000"/>
    <numFmt numFmtId="166" formatCode="0.0%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color rgb="00475467"/>
      <sz val="10"/>
    </font>
    <font>
      <b val="1"/>
      <color rgb="00FFFFFF"/>
      <sz val="10"/>
    </font>
    <font>
      <b val="1"/>
      <color rgb="00173B73"/>
    </font>
  </fonts>
  <fills count="4">
    <fill>
      <patternFill/>
    </fill>
    <fill>
      <patternFill patternType="gray125"/>
    </fill>
    <fill>
      <patternFill patternType="solid">
        <fgColor rgb="00173B73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4" fontId="0" fillId="0" borderId="1" applyAlignment="1" pivotButton="0" quotePrefix="0" xfId="0">
      <alignment vertical="center" wrapText="1"/>
    </xf>
    <xf numFmtId="4" fontId="0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164" fontId="0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6" fontId="0" fillId="0" borderId="1" applyAlignment="1" pivotButton="0" quotePrefix="0" xfId="0">
      <alignment vertical="center" wrapText="1"/>
    </xf>
    <xf numFmtId="165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Impacto Delta g por sector visible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'Paso_5_Simulador'!F5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'Paso_5_Simulador'!$A$6:$A$11</f>
            </numRef>
          </cat>
          <val>
            <numRef>
              <f>'Paso_5_Simulador'!$F$6:$F$11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Produccion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05" customWidth="1" min="2" max="2"/>
  </cols>
  <sheetData>
    <row r="1" ht="30" customHeight="1">
      <c r="A1" s="1" t="inlineStr">
        <is>
          <t>Prueba de reconstruccion MIP finalizadas</t>
        </is>
      </c>
    </row>
    <row r="2">
      <c r="A2" s="2" t="inlineStr">
        <is>
          <t>Caso piloto: Brasil 2001, matriz reconstruida desde COU.</t>
        </is>
      </c>
    </row>
    <row r="3"/>
    <row r="4">
      <c r="A4" s="3" t="inlineStr">
        <is>
          <t>Campo</t>
        </is>
      </c>
      <c r="B4" s="3" t="inlineStr">
        <is>
          <t>Descripcion</t>
        </is>
      </c>
    </row>
    <row r="5">
      <c r="A5" s="4" t="inlineStr">
        <is>
          <t>Caso usado</t>
        </is>
      </c>
      <c r="B5" s="4" t="inlineStr">
        <is>
          <t>Brasil 2001, serie brasil_early, reconstruida desde COU CEPAL Brasil base 2000.</t>
        </is>
      </c>
    </row>
    <row r="6">
      <c r="A6" s="5" t="inlineStr">
        <is>
          <t>Por que este caso</t>
        </is>
      </c>
      <c r="B6" s="5" t="inlineStr">
        <is>
          <t>Es reconstruido, contiene COU procesado, matriz previa al cierre y matriz final conciliada.</t>
        </is>
      </c>
    </row>
    <row r="7">
      <c r="A7" s="4" t="inlineStr">
        <is>
          <t>Ruta algebraica</t>
        </is>
      </c>
      <c r="B7" s="4" t="inlineStr">
        <is>
          <t>V y U -&gt; D -&gt; Z_pre -&gt; cierre menor RAS -&gt; Z_final -&gt; A, L, B/Ghosh -&gt; simulador.</t>
        </is>
      </c>
    </row>
    <row r="8">
      <c r="A8" s="5" t="inlineStr">
        <is>
          <t>Lectura del Excel</t>
        </is>
      </c>
      <c r="B8" s="5" t="inlineStr">
        <is>
          <t>Las hojas Paso_* muestran formulas auditables; Datos_COU conserva todos los productos usados en Z_pre = D @ U.</t>
        </is>
      </c>
    </row>
    <row r="9">
      <c r="A9" s="4" t="inlineStr">
        <is>
          <t>Simulador</t>
        </is>
      </c>
      <c r="B9" s="4" t="inlineStr">
        <is>
          <t>La hoja Paso_5_Simulador muestra un choque de demanda con Delta g = L @ Delta f.</t>
        </is>
      </c>
    </row>
  </sheetData>
  <autoFilter ref="A4:B9"/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7" customWidth="1" min="2" max="2"/>
    <col width="10" customWidth="1" min="3" max="3"/>
    <col width="15" customWidth="1" min="4" max="4"/>
    <col width="28" customWidth="1" min="5" max="5"/>
    <col width="34" customWidth="1" min="6" max="6"/>
    <col width="48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46" customWidth="1" min="14" max="14"/>
  </cols>
  <sheetData>
    <row r="1" ht="30" customHeight="1">
      <c r="A1" s="1" t="inlineStr">
        <is>
          <t>Inventario de matrices finales</t>
        </is>
      </c>
    </row>
    <row r="2">
      <c r="A2" s="2" t="inlineStr">
        <is>
          <t>Separacion de matrices directas y reconstruidas, con estado de validacion y demanda final negativa.</t>
        </is>
      </c>
    </row>
    <row r="3"/>
    <row r="4">
      <c r="A4" s="3" t="inlineStr">
        <is>
          <t>pais</t>
        </is>
      </c>
      <c r="B4" s="3" t="inlineStr">
        <is>
          <t>serie_fuente</t>
        </is>
      </c>
      <c r="C4" s="3" t="inlineStr">
        <is>
          <t>anio</t>
        </is>
      </c>
      <c r="D4" s="3" t="inlineStr">
        <is>
          <t>tipo_matriz</t>
        </is>
      </c>
      <c r="E4" s="3" t="inlineStr">
        <is>
          <t>fuente</t>
        </is>
      </c>
      <c r="F4" s="3" t="inlineStr">
        <is>
          <t>metodo</t>
        </is>
      </c>
      <c r="G4" s="3" t="inlineStr">
        <is>
          <t>decision_metodologica</t>
        </is>
      </c>
      <c r="H4" s="3" t="inlineStr">
        <is>
          <t>n_sectores</t>
        </is>
      </c>
      <c r="I4" s="3" t="inlineStr">
        <is>
          <t>validacion_estructural</t>
        </is>
      </c>
      <c r="J4" s="3" t="inlineStr">
        <is>
          <t>validacion_diagnostica</t>
        </is>
      </c>
      <c r="K4" s="3" t="inlineStr">
        <is>
          <t>sectores_demanda_final_negativa</t>
        </is>
      </c>
      <c r="L4" s="3" t="inlineStr">
        <is>
          <t>min_demanda_final</t>
        </is>
      </c>
      <c r="M4" s="3" t="inlineStr">
        <is>
          <t>ajuste_cierre_documentado</t>
        </is>
      </c>
      <c r="N4" s="3" t="inlineStr">
        <is>
          <t>archivo_final</t>
        </is>
      </c>
    </row>
    <row r="5">
      <c r="A5" s="4" t="inlineStr">
        <is>
          <t>Argentina</t>
        </is>
      </c>
      <c r="B5" s="4" t="inlineStr">
        <is>
          <t>argentina_mip97</t>
        </is>
      </c>
      <c r="C5" s="6" t="n">
        <v>1997</v>
      </c>
      <c r="D5" s="4" t="inlineStr">
        <is>
          <t>Directa</t>
        </is>
      </c>
      <c r="E5" s="4" t="inlineStr">
        <is>
          <t>MIPAr97 INDEC</t>
        </is>
      </c>
      <c r="F5" s="4" t="inlineStr">
        <is>
          <t>MIP oficial directa</t>
        </is>
      </c>
      <c r="G5" s="4" t="inlineStr">
        <is>
          <t>Se normaliza, valida y empaqueta sin reconstruccion COU.</t>
        </is>
      </c>
      <c r="H5" s="6" t="n">
        <v>124</v>
      </c>
      <c r="I5" s="4" t="inlineStr">
        <is>
          <t>OK</t>
        </is>
      </c>
      <c r="J5" s="4" t="inlineStr">
        <is>
          <t>AVISO</t>
        </is>
      </c>
      <c r="K5" s="6" t="n">
        <v>0</v>
      </c>
      <c r="L5" s="6" t="n">
        <v>3.585591912269592e-08</v>
      </c>
      <c r="M5" s="4" t="inlineStr">
        <is>
          <t>No</t>
        </is>
      </c>
      <c r="N5" s="4" t="inlineStr">
        <is>
          <t>output\matrices_insumo_producto\Argentina\MIP_Argentina_1997.xlsx</t>
        </is>
      </c>
    </row>
    <row r="6">
      <c r="A6" s="5" t="inlineStr">
        <is>
          <t>Argentina</t>
        </is>
      </c>
      <c r="B6" s="5" t="inlineStr">
        <is>
          <t>argentina</t>
        </is>
      </c>
      <c r="C6" s="7" t="n">
        <v>2004</v>
      </c>
      <c r="D6" s="5" t="inlineStr">
        <is>
          <t>Reconstruida</t>
        </is>
      </c>
      <c r="E6" s="5" t="inlineStr">
        <is>
          <t>COU INDEC/CEPAL</t>
        </is>
      </c>
      <c r="F6" s="5" t="inlineStr">
        <is>
          <t>COU a MIP industria x industria con tecnologia de industria</t>
        </is>
      </c>
      <c r="G6" s="5" t="inlineStr">
        <is>
          <t>Y fuente depurada, exclusion de UF y puente comprador-basico.</t>
        </is>
      </c>
      <c r="H6" s="7" t="n">
        <v>162</v>
      </c>
      <c r="I6" s="5" t="inlineStr">
        <is>
          <t>OK</t>
        </is>
      </c>
      <c r="J6" s="5" t="inlineStr">
        <is>
          <t>OK</t>
        </is>
      </c>
      <c r="K6" s="7" t="n">
        <v>0</v>
      </c>
      <c r="L6" s="7" t="n">
        <v>0</v>
      </c>
      <c r="M6" s="5" t="inlineStr">
        <is>
          <t>No</t>
        </is>
      </c>
      <c r="N6" s="5" t="inlineStr">
        <is>
          <t>output\matrices_insumo_producto\Argentina\MIP_Argentina_2004.xlsx</t>
        </is>
      </c>
    </row>
    <row r="7">
      <c r="A7" s="4" t="inlineStr">
        <is>
          <t>Argentina</t>
        </is>
      </c>
      <c r="B7" s="4" t="inlineStr">
        <is>
          <t>argentina</t>
        </is>
      </c>
      <c r="C7" s="6" t="n">
        <v>2018</v>
      </c>
      <c r="D7" s="4" t="inlineStr">
        <is>
          <t>Reconstruida</t>
        </is>
      </c>
      <c r="E7" s="4" t="inlineStr">
        <is>
          <t>COU INDEC/CEPAL</t>
        </is>
      </c>
      <c r="F7" s="4" t="inlineStr">
        <is>
          <t>COU a MIP industria x industria con tecnologia de industria</t>
        </is>
      </c>
      <c r="G7" s="4" t="inlineStr">
        <is>
          <t>Y fuente depurada, exclusion de UF y puente comprador-basico.</t>
        </is>
      </c>
      <c r="H7" s="6" t="n">
        <v>107</v>
      </c>
      <c r="I7" s="4" t="inlineStr">
        <is>
          <t>OK</t>
        </is>
      </c>
      <c r="J7" s="4" t="inlineStr">
        <is>
          <t>OK</t>
        </is>
      </c>
      <c r="K7" s="6" t="n">
        <v>0</v>
      </c>
      <c r="L7" s="6" t="n">
        <v>0</v>
      </c>
      <c r="M7" s="4" t="inlineStr">
        <is>
          <t>No</t>
        </is>
      </c>
      <c r="N7" s="4" t="inlineStr">
        <is>
          <t>output\matrices_insumo_producto\Argentina\MIP_Argentina_2018.xlsx</t>
        </is>
      </c>
    </row>
    <row r="8">
      <c r="A8" s="5" t="inlineStr">
        <is>
          <t>Argentina</t>
        </is>
      </c>
      <c r="B8" s="5" t="inlineStr">
        <is>
          <t>argentina</t>
        </is>
      </c>
      <c r="C8" s="7" t="n">
        <v>2019</v>
      </c>
      <c r="D8" s="5" t="inlineStr">
        <is>
          <t>Reconstruida</t>
        </is>
      </c>
      <c r="E8" s="5" t="inlineStr">
        <is>
          <t>COU INDEC/CEPAL</t>
        </is>
      </c>
      <c r="F8" s="5" t="inlineStr">
        <is>
          <t>COU a MIP industria x industria con tecnologia de industria</t>
        </is>
      </c>
      <c r="G8" s="5" t="inlineStr">
        <is>
          <t>Y fuente depurada, exclusion de UF y puente comprador-basico.</t>
        </is>
      </c>
      <c r="H8" s="7" t="n">
        <v>107</v>
      </c>
      <c r="I8" s="5" t="inlineStr">
        <is>
          <t>OK</t>
        </is>
      </c>
      <c r="J8" s="5" t="inlineStr">
        <is>
          <t>OK</t>
        </is>
      </c>
      <c r="K8" s="7" t="n">
        <v>0</v>
      </c>
      <c r="L8" s="7" t="n">
        <v>0</v>
      </c>
      <c r="M8" s="5" t="inlineStr">
        <is>
          <t>No</t>
        </is>
      </c>
      <c r="N8" s="5" t="inlineStr">
        <is>
          <t>output\matrices_insumo_producto\Argentina\MIP_Argentina_2019.xlsx</t>
        </is>
      </c>
    </row>
    <row r="9">
      <c r="A9" s="4" t="inlineStr">
        <is>
          <t>Argentina</t>
        </is>
      </c>
      <c r="B9" s="4" t="inlineStr">
        <is>
          <t>argentina</t>
        </is>
      </c>
      <c r="C9" s="6" t="n">
        <v>2020</v>
      </c>
      <c r="D9" s="4" t="inlineStr">
        <is>
          <t>Reconstruida</t>
        </is>
      </c>
      <c r="E9" s="4" t="inlineStr">
        <is>
          <t>COU INDEC/CEPAL</t>
        </is>
      </c>
      <c r="F9" s="4" t="inlineStr">
        <is>
          <t>COU a MIP industria x industria con tecnologia de industria</t>
        </is>
      </c>
      <c r="G9" s="4" t="inlineStr">
        <is>
          <t>Y fuente depurada, exclusion de UF y puente comprador-basico.</t>
        </is>
      </c>
      <c r="H9" s="6" t="n">
        <v>107</v>
      </c>
      <c r="I9" s="4" t="inlineStr">
        <is>
          <t>OK</t>
        </is>
      </c>
      <c r="J9" s="4" t="inlineStr">
        <is>
          <t>OK</t>
        </is>
      </c>
      <c r="K9" s="6" t="n">
        <v>0</v>
      </c>
      <c r="L9" s="6" t="n">
        <v>0</v>
      </c>
      <c r="M9" s="4" t="inlineStr">
        <is>
          <t>No</t>
        </is>
      </c>
      <c r="N9" s="4" t="inlineStr">
        <is>
          <t>output\matrices_insumo_producto\Argentina\MIP_Argentina_2020.xlsx</t>
        </is>
      </c>
    </row>
    <row r="10">
      <c r="A10" s="5" t="inlineStr">
        <is>
          <t>Argentina</t>
        </is>
      </c>
      <c r="B10" s="5" t="inlineStr">
        <is>
          <t>argentina</t>
        </is>
      </c>
      <c r="C10" s="7" t="n">
        <v>2021</v>
      </c>
      <c r="D10" s="5" t="inlineStr">
        <is>
          <t>Reconstruida</t>
        </is>
      </c>
      <c r="E10" s="5" t="inlineStr">
        <is>
          <t>COU INDEC/CEPAL</t>
        </is>
      </c>
      <c r="F10" s="5" t="inlineStr">
        <is>
          <t>COU a MIP industria x industria con tecnologia de industria</t>
        </is>
      </c>
      <c r="G10" s="5" t="inlineStr">
        <is>
          <t>Y fuente depurada, exclusion de UF y puente comprador-basico.</t>
        </is>
      </c>
      <c r="H10" s="7" t="n">
        <v>107</v>
      </c>
      <c r="I10" s="5" t="inlineStr">
        <is>
          <t>OK</t>
        </is>
      </c>
      <c r="J10" s="5" t="inlineStr">
        <is>
          <t>OK</t>
        </is>
      </c>
      <c r="K10" s="7" t="n">
        <v>0</v>
      </c>
      <c r="L10" s="7" t="n">
        <v>0</v>
      </c>
      <c r="M10" s="5" t="inlineStr">
        <is>
          <t>No</t>
        </is>
      </c>
      <c r="N10" s="5" t="inlineStr">
        <is>
          <t>output\matrices_insumo_producto\Argentina\MIP_Argentina_2021.xlsx</t>
        </is>
      </c>
    </row>
    <row r="11">
      <c r="A11" s="4" t="inlineStr">
        <is>
          <t>Brasil</t>
        </is>
      </c>
      <c r="B11" s="4" t="inlineStr">
        <is>
          <t>brasil_early</t>
        </is>
      </c>
      <c r="C11" s="6" t="n">
        <v>2000</v>
      </c>
      <c r="D11" s="4" t="inlineStr">
        <is>
          <t>Reconstruida</t>
        </is>
      </c>
      <c r="E11" s="4" t="inlineStr">
        <is>
          <t>COU CEPAL Brasil base 2000</t>
        </is>
      </c>
      <c r="F11" s="4" t="inlineStr">
        <is>
          <t>COU a MIP industria x industria; serie 2000-2009</t>
        </is>
      </c>
      <c r="G11" s="4" t="inlineStr">
        <is>
          <t>Alineacion por posicion, exclusion de totales y cierre menor trazable.</t>
        </is>
      </c>
      <c r="H11" s="6" t="n">
        <v>51</v>
      </c>
      <c r="I11" s="4" t="inlineStr">
        <is>
          <t>OK</t>
        </is>
      </c>
      <c r="J11" s="4" t="inlineStr">
        <is>
          <t>AVISO</t>
        </is>
      </c>
      <c r="K11" s="6" t="n">
        <v>0</v>
      </c>
      <c r="L11" s="6" t="n">
        <v>452.6602163484574</v>
      </c>
      <c r="M11" s="4" t="inlineStr">
        <is>
          <t>No</t>
        </is>
      </c>
      <c r="N11" s="4" t="inlineStr">
        <is>
          <t>output\matrices_insumo_producto\Brasil\MIP_Brasil_2000.xlsx</t>
        </is>
      </c>
    </row>
    <row r="12">
      <c r="A12" s="5" t="inlineStr">
        <is>
          <t>Brasil</t>
        </is>
      </c>
      <c r="B12" s="5" t="inlineStr">
        <is>
          <t>brasil_early</t>
        </is>
      </c>
      <c r="C12" s="7" t="n">
        <v>2001</v>
      </c>
      <c r="D12" s="5" t="inlineStr">
        <is>
          <t>Reconstruida</t>
        </is>
      </c>
      <c r="E12" s="5" t="inlineStr">
        <is>
          <t>COU CEPAL Brasil base 2000</t>
        </is>
      </c>
      <c r="F12" s="5" t="inlineStr">
        <is>
          <t>COU a MIP industria x industria; serie 2000-2009</t>
        </is>
      </c>
      <c r="G12" s="5" t="inlineStr">
        <is>
          <t>Alineacion por posicion, exclusion de totales y cierre menor trazable.</t>
        </is>
      </c>
      <c r="H12" s="7" t="n">
        <v>51</v>
      </c>
      <c r="I12" s="5" t="inlineStr">
        <is>
          <t>OK</t>
        </is>
      </c>
      <c r="J12" s="5" t="inlineStr">
        <is>
          <t>AVISO</t>
        </is>
      </c>
      <c r="K12" s="7" t="n">
        <v>0</v>
      </c>
      <c r="L12" s="7" t="n">
        <v>0</v>
      </c>
      <c r="M12" s="5" t="inlineStr">
        <is>
          <t>Si</t>
        </is>
      </c>
      <c r="N12" s="5" t="inlineStr">
        <is>
          <t>output\matrices_insumo_producto\Brasil\MIP_Brasil_2001.xlsx</t>
        </is>
      </c>
    </row>
    <row r="13">
      <c r="A13" s="4" t="inlineStr">
        <is>
          <t>Brasil</t>
        </is>
      </c>
      <c r="B13" s="4" t="inlineStr">
        <is>
          <t>brasil_early</t>
        </is>
      </c>
      <c r="C13" s="6" t="n">
        <v>2002</v>
      </c>
      <c r="D13" s="4" t="inlineStr">
        <is>
          <t>Reconstruida</t>
        </is>
      </c>
      <c r="E13" s="4" t="inlineStr">
        <is>
          <t>COU CEPAL Brasil base 2000</t>
        </is>
      </c>
      <c r="F13" s="4" t="inlineStr">
        <is>
          <t>COU a MIP industria x industria; serie 2000-2009</t>
        </is>
      </c>
      <c r="G13" s="4" t="inlineStr">
        <is>
          <t>Alineacion por posicion, exclusion de totales y cierre menor trazable.</t>
        </is>
      </c>
      <c r="H13" s="6" t="n">
        <v>51</v>
      </c>
      <c r="I13" s="4" t="inlineStr">
        <is>
          <t>OK</t>
        </is>
      </c>
      <c r="J13" s="4" t="inlineStr">
        <is>
          <t>AVISO</t>
        </is>
      </c>
      <c r="K13" s="6" t="n">
        <v>0</v>
      </c>
      <c r="L13" s="6" t="n">
        <v>0</v>
      </c>
      <c r="M13" s="4" t="inlineStr">
        <is>
          <t>Si</t>
        </is>
      </c>
      <c r="N13" s="4" t="inlineStr">
        <is>
          <t>output\matrices_insumo_producto\Brasil\MIP_Brasil_2002.xlsx</t>
        </is>
      </c>
    </row>
    <row r="14">
      <c r="A14" s="5" t="inlineStr">
        <is>
          <t>Brasil</t>
        </is>
      </c>
      <c r="B14" s="5" t="inlineStr">
        <is>
          <t>brasil_early</t>
        </is>
      </c>
      <c r="C14" s="7" t="n">
        <v>2003</v>
      </c>
      <c r="D14" s="5" t="inlineStr">
        <is>
          <t>Reconstruida</t>
        </is>
      </c>
      <c r="E14" s="5" t="inlineStr">
        <is>
          <t>COU CEPAL Brasil base 2000</t>
        </is>
      </c>
      <c r="F14" s="5" t="inlineStr">
        <is>
          <t>COU a MIP industria x industria; serie 2000-2009</t>
        </is>
      </c>
      <c r="G14" s="5" t="inlineStr">
        <is>
          <t>Alineacion por posicion, exclusion de totales y cierre menor trazable.</t>
        </is>
      </c>
      <c r="H14" s="7" t="n">
        <v>51</v>
      </c>
      <c r="I14" s="5" t="inlineStr">
        <is>
          <t>OK</t>
        </is>
      </c>
      <c r="J14" s="5" t="inlineStr">
        <is>
          <t>AVISO</t>
        </is>
      </c>
      <c r="K14" s="7" t="n">
        <v>0</v>
      </c>
      <c r="L14" s="7" t="n">
        <v>0</v>
      </c>
      <c r="M14" s="5" t="inlineStr">
        <is>
          <t>Si</t>
        </is>
      </c>
      <c r="N14" s="5" t="inlineStr">
        <is>
          <t>output\matrices_insumo_producto\Brasil\MIP_Brasil_2003.xlsx</t>
        </is>
      </c>
    </row>
    <row r="15">
      <c r="A15" s="4" t="inlineStr">
        <is>
          <t>Brasil</t>
        </is>
      </c>
      <c r="B15" s="4" t="inlineStr">
        <is>
          <t>brasil_early</t>
        </is>
      </c>
      <c r="C15" s="6" t="n">
        <v>2004</v>
      </c>
      <c r="D15" s="4" t="inlineStr">
        <is>
          <t>Reconstruida</t>
        </is>
      </c>
      <c r="E15" s="4" t="inlineStr">
        <is>
          <t>COU CEPAL Brasil base 2000</t>
        </is>
      </c>
      <c r="F15" s="4" t="inlineStr">
        <is>
          <t>COU a MIP industria x industria; serie 2000-2009</t>
        </is>
      </c>
      <c r="G15" s="4" t="inlineStr">
        <is>
          <t>Alineacion por posicion, exclusion de totales y cierre menor trazable.</t>
        </is>
      </c>
      <c r="H15" s="6" t="n">
        <v>51</v>
      </c>
      <c r="I15" s="4" t="inlineStr">
        <is>
          <t>OK</t>
        </is>
      </c>
      <c r="J15" s="4" t="inlineStr">
        <is>
          <t>AVISO</t>
        </is>
      </c>
      <c r="K15" s="6" t="n">
        <v>0</v>
      </c>
      <c r="L15" s="6" t="n">
        <v>0</v>
      </c>
      <c r="M15" s="4" t="inlineStr">
        <is>
          <t>Si</t>
        </is>
      </c>
      <c r="N15" s="4" t="inlineStr">
        <is>
          <t>output\matrices_insumo_producto\Brasil\MIP_Brasil_2004.xlsx</t>
        </is>
      </c>
    </row>
    <row r="16">
      <c r="A16" s="5" t="inlineStr">
        <is>
          <t>Brasil</t>
        </is>
      </c>
      <c r="B16" s="5" t="inlineStr">
        <is>
          <t>brasil_early</t>
        </is>
      </c>
      <c r="C16" s="7" t="n">
        <v>2005</v>
      </c>
      <c r="D16" s="5" t="inlineStr">
        <is>
          <t>Reconstruida</t>
        </is>
      </c>
      <c r="E16" s="5" t="inlineStr">
        <is>
          <t>COU CEPAL Brasil base 2000</t>
        </is>
      </c>
      <c r="F16" s="5" t="inlineStr">
        <is>
          <t>COU a MIP industria x industria; serie 2000-2009</t>
        </is>
      </c>
      <c r="G16" s="5" t="inlineStr">
        <is>
          <t>Alineacion por posicion, exclusion de totales y cierre menor trazable.</t>
        </is>
      </c>
      <c r="H16" s="7" t="n">
        <v>51</v>
      </c>
      <c r="I16" s="5" t="inlineStr">
        <is>
          <t>OK</t>
        </is>
      </c>
      <c r="J16" s="5" t="inlineStr">
        <is>
          <t>AVISO</t>
        </is>
      </c>
      <c r="K16" s="7" t="n">
        <v>0</v>
      </c>
      <c r="L16" s="7" t="n">
        <v>0</v>
      </c>
      <c r="M16" s="5" t="inlineStr">
        <is>
          <t>Si</t>
        </is>
      </c>
      <c r="N16" s="5" t="inlineStr">
        <is>
          <t>output\matrices_insumo_producto\Brasil\MIP_Brasil_2005.xlsx</t>
        </is>
      </c>
    </row>
    <row r="17">
      <c r="A17" s="4" t="inlineStr">
        <is>
          <t>Brasil</t>
        </is>
      </c>
      <c r="B17" s="4" t="inlineStr">
        <is>
          <t>brasil_early</t>
        </is>
      </c>
      <c r="C17" s="6" t="n">
        <v>2006</v>
      </c>
      <c r="D17" s="4" t="inlineStr">
        <is>
          <t>Reconstruida</t>
        </is>
      </c>
      <c r="E17" s="4" t="inlineStr">
        <is>
          <t>COU CEPAL Brasil base 2000</t>
        </is>
      </c>
      <c r="F17" s="4" t="inlineStr">
        <is>
          <t>COU a MIP industria x industria; serie 2000-2009</t>
        </is>
      </c>
      <c r="G17" s="4" t="inlineStr">
        <is>
          <t>Alineacion por posicion, exclusion de totales y cierre menor trazable.</t>
        </is>
      </c>
      <c r="H17" s="6" t="n">
        <v>51</v>
      </c>
      <c r="I17" s="4" t="inlineStr">
        <is>
          <t>OK</t>
        </is>
      </c>
      <c r="J17" s="4" t="inlineStr">
        <is>
          <t>AVISO</t>
        </is>
      </c>
      <c r="K17" s="6" t="n">
        <v>0</v>
      </c>
      <c r="L17" s="6" t="n">
        <v>0</v>
      </c>
      <c r="M17" s="4" t="inlineStr">
        <is>
          <t>Si</t>
        </is>
      </c>
      <c r="N17" s="4" t="inlineStr">
        <is>
          <t>output\matrices_insumo_producto\Brasil\MIP_Brasil_2006.xlsx</t>
        </is>
      </c>
    </row>
    <row r="18">
      <c r="A18" s="5" t="inlineStr">
        <is>
          <t>Brasil</t>
        </is>
      </c>
      <c r="B18" s="5" t="inlineStr">
        <is>
          <t>brasil_early</t>
        </is>
      </c>
      <c r="C18" s="7" t="n">
        <v>2007</v>
      </c>
      <c r="D18" s="5" t="inlineStr">
        <is>
          <t>Reconstruida</t>
        </is>
      </c>
      <c r="E18" s="5" t="inlineStr">
        <is>
          <t>COU CEPAL Brasil base 2000</t>
        </is>
      </c>
      <c r="F18" s="5" t="inlineStr">
        <is>
          <t>COU a MIP industria x industria; serie 2000-2009</t>
        </is>
      </c>
      <c r="G18" s="5" t="inlineStr">
        <is>
          <t>Alineacion por posicion, exclusion de totales y cierre menor trazable.</t>
        </is>
      </c>
      <c r="H18" s="7" t="n">
        <v>51</v>
      </c>
      <c r="I18" s="5" t="inlineStr">
        <is>
          <t>OK</t>
        </is>
      </c>
      <c r="J18" s="5" t="inlineStr">
        <is>
          <t>AVISO</t>
        </is>
      </c>
      <c r="K18" s="7" t="n">
        <v>0</v>
      </c>
      <c r="L18" s="7" t="n">
        <v>490.1342912259377</v>
      </c>
      <c r="M18" s="5" t="inlineStr">
        <is>
          <t>No</t>
        </is>
      </c>
      <c r="N18" s="5" t="inlineStr">
        <is>
          <t>output\matrices_insumo_producto\Brasil\MIP_Brasil_2007.xlsx</t>
        </is>
      </c>
    </row>
    <row r="19">
      <c r="A19" s="4" t="inlineStr">
        <is>
          <t>Brasil</t>
        </is>
      </c>
      <c r="B19" s="4" t="inlineStr">
        <is>
          <t>brasil_early</t>
        </is>
      </c>
      <c r="C19" s="6" t="n">
        <v>2008</v>
      </c>
      <c r="D19" s="4" t="inlineStr">
        <is>
          <t>Reconstruida</t>
        </is>
      </c>
      <c r="E19" s="4" t="inlineStr">
        <is>
          <t>COU CEPAL Brasil base 2000</t>
        </is>
      </c>
      <c r="F19" s="4" t="inlineStr">
        <is>
          <t>COU a MIP industria x industria; serie 2000-2009</t>
        </is>
      </c>
      <c r="G19" s="4" t="inlineStr">
        <is>
          <t>Alineacion por posicion, exclusion de totales y cierre menor trazable.</t>
        </is>
      </c>
      <c r="H19" s="6" t="n">
        <v>51</v>
      </c>
      <c r="I19" s="4" t="inlineStr">
        <is>
          <t>OK</t>
        </is>
      </c>
      <c r="J19" s="4" t="inlineStr">
        <is>
          <t>AVISO</t>
        </is>
      </c>
      <c r="K19" s="6" t="n">
        <v>0</v>
      </c>
      <c r="L19" s="6" t="n">
        <v>739.3987407752509</v>
      </c>
      <c r="M19" s="4" t="inlineStr">
        <is>
          <t>No</t>
        </is>
      </c>
      <c r="N19" s="4" t="inlineStr">
        <is>
          <t>output\matrices_insumo_producto\Brasil\MIP_Brasil_2008.xlsx</t>
        </is>
      </c>
    </row>
    <row r="20">
      <c r="A20" s="5" t="inlineStr">
        <is>
          <t>Brasil</t>
        </is>
      </c>
      <c r="B20" s="5" t="inlineStr">
        <is>
          <t>brasil_early</t>
        </is>
      </c>
      <c r="C20" s="7" t="n">
        <v>2009</v>
      </c>
      <c r="D20" s="5" t="inlineStr">
        <is>
          <t>Reconstruida</t>
        </is>
      </c>
      <c r="E20" s="5" t="inlineStr">
        <is>
          <t>COU CEPAL Brasil base 2000</t>
        </is>
      </c>
      <c r="F20" s="5" t="inlineStr">
        <is>
          <t>COU a MIP industria x industria; serie 2000-2009</t>
        </is>
      </c>
      <c r="G20" s="5" t="inlineStr">
        <is>
          <t>Alineacion por posicion, exclusion de totales y cierre menor trazable.</t>
        </is>
      </c>
      <c r="H20" s="7" t="n">
        <v>51</v>
      </c>
      <c r="I20" s="5" t="inlineStr">
        <is>
          <t>OK</t>
        </is>
      </c>
      <c r="J20" s="5" t="inlineStr">
        <is>
          <t>AVISO</t>
        </is>
      </c>
      <c r="K20" s="7" t="n">
        <v>0</v>
      </c>
      <c r="L20" s="7" t="n">
        <v>177.3059107023601</v>
      </c>
      <c r="M20" s="5" t="inlineStr">
        <is>
          <t>No</t>
        </is>
      </c>
      <c r="N20" s="5" t="inlineStr">
        <is>
          <t>output\matrices_insumo_producto\Brasil\MIP_Brasil_2009.xlsx</t>
        </is>
      </c>
    </row>
    <row r="21">
      <c r="A21" s="4" t="inlineStr">
        <is>
          <t>Brasil</t>
        </is>
      </c>
      <c r="B21" s="4" t="inlineStr">
        <is>
          <t>brasil</t>
        </is>
      </c>
      <c r="C21" s="6" t="n">
        <v>2010</v>
      </c>
      <c r="D21" s="4" t="inlineStr">
        <is>
          <t>Reconstruida</t>
        </is>
      </c>
      <c r="E21" s="4" t="inlineStr">
        <is>
          <t>COU IBGE nivel 68</t>
        </is>
      </c>
      <c r="F21" s="4" t="inlineStr">
        <is>
          <t>COU a MIP industria x industria; serie 2010-2021</t>
        </is>
      </c>
      <c r="G21" s="4" t="inlineStr">
        <is>
          <t>Exclusion de Total do produto y puente domestico/precios basicos.</t>
        </is>
      </c>
      <c r="H21" s="6" t="n">
        <v>68</v>
      </c>
      <c r="I21" s="4" t="inlineStr">
        <is>
          <t>OK</t>
        </is>
      </c>
      <c r="J21" s="4" t="inlineStr">
        <is>
          <t>AVISO</t>
        </is>
      </c>
      <c r="K21" s="6" t="n">
        <v>0</v>
      </c>
      <c r="L21" s="6" t="n">
        <v>215.6507861359235</v>
      </c>
      <c r="M21" s="4" t="inlineStr">
        <is>
          <t>No</t>
        </is>
      </c>
      <c r="N21" s="4" t="inlineStr">
        <is>
          <t>output\matrices_insumo_producto\Brasil\MIP_Brasil_2010.xlsx</t>
        </is>
      </c>
    </row>
    <row r="22">
      <c r="A22" s="5" t="inlineStr">
        <is>
          <t>Brasil</t>
        </is>
      </c>
      <c r="B22" s="5" t="inlineStr">
        <is>
          <t>brasil</t>
        </is>
      </c>
      <c r="C22" s="7" t="n">
        <v>2011</v>
      </c>
      <c r="D22" s="5" t="inlineStr">
        <is>
          <t>Reconstruida</t>
        </is>
      </c>
      <c r="E22" s="5" t="inlineStr">
        <is>
          <t>COU IBGE nivel 68</t>
        </is>
      </c>
      <c r="F22" s="5" t="inlineStr">
        <is>
          <t>COU a MIP industria x industria; serie 2010-2021</t>
        </is>
      </c>
      <c r="G22" s="5" t="inlineStr">
        <is>
          <t>Exclusion de Total do produto y puente domestico/precios basicos.</t>
        </is>
      </c>
      <c r="H22" s="7" t="n">
        <v>68</v>
      </c>
      <c r="I22" s="5" t="inlineStr">
        <is>
          <t>OK</t>
        </is>
      </c>
      <c r="J22" s="5" t="inlineStr">
        <is>
          <t>AVISO</t>
        </is>
      </c>
      <c r="K22" s="7" t="n">
        <v>0</v>
      </c>
      <c r="L22" s="7" t="n">
        <v>249.679197757909</v>
      </c>
      <c r="M22" s="5" t="inlineStr">
        <is>
          <t>No</t>
        </is>
      </c>
      <c r="N22" s="5" t="inlineStr">
        <is>
          <t>output\matrices_insumo_producto\Brasil\MIP_Brasil_2011.xlsx</t>
        </is>
      </c>
    </row>
    <row r="23">
      <c r="A23" s="4" t="inlineStr">
        <is>
          <t>Brasil</t>
        </is>
      </c>
      <c r="B23" s="4" t="inlineStr">
        <is>
          <t>brasil</t>
        </is>
      </c>
      <c r="C23" s="6" t="n">
        <v>2012</v>
      </c>
      <c r="D23" s="4" t="inlineStr">
        <is>
          <t>Reconstruida</t>
        </is>
      </c>
      <c r="E23" s="4" t="inlineStr">
        <is>
          <t>COU IBGE nivel 68</t>
        </is>
      </c>
      <c r="F23" s="4" t="inlineStr">
        <is>
          <t>COU a MIP industria x industria; serie 2010-2021</t>
        </is>
      </c>
      <c r="G23" s="4" t="inlineStr">
        <is>
          <t>Exclusion de Total do produto y puente domestico/precios basicos.</t>
        </is>
      </c>
      <c r="H23" s="6" t="n">
        <v>68</v>
      </c>
      <c r="I23" s="4" t="inlineStr">
        <is>
          <t>OK</t>
        </is>
      </c>
      <c r="J23" s="4" t="inlineStr">
        <is>
          <t>AVISO</t>
        </is>
      </c>
      <c r="K23" s="6" t="n">
        <v>0</v>
      </c>
      <c r="L23" s="6" t="n">
        <v>223.82068590636</v>
      </c>
      <c r="M23" s="4" t="inlineStr">
        <is>
          <t>No</t>
        </is>
      </c>
      <c r="N23" s="4" t="inlineStr">
        <is>
          <t>output\matrices_insumo_producto\Brasil\MIP_Brasil_2012.xlsx</t>
        </is>
      </c>
    </row>
    <row r="24">
      <c r="A24" s="5" t="inlineStr">
        <is>
          <t>Brasil</t>
        </is>
      </c>
      <c r="B24" s="5" t="inlineStr">
        <is>
          <t>brasil</t>
        </is>
      </c>
      <c r="C24" s="7" t="n">
        <v>2013</v>
      </c>
      <c r="D24" s="5" t="inlineStr">
        <is>
          <t>Reconstruida</t>
        </is>
      </c>
      <c r="E24" s="5" t="inlineStr">
        <is>
          <t>COU IBGE nivel 68</t>
        </is>
      </c>
      <c r="F24" s="5" t="inlineStr">
        <is>
          <t>COU a MIP industria x industria; serie 2010-2021</t>
        </is>
      </c>
      <c r="G24" s="5" t="inlineStr">
        <is>
          <t>Exclusion de Total do produto y puente domestico/precios basicos.</t>
        </is>
      </c>
      <c r="H24" s="7" t="n">
        <v>68</v>
      </c>
      <c r="I24" s="5" t="inlineStr">
        <is>
          <t>OK</t>
        </is>
      </c>
      <c r="J24" s="5" t="inlineStr">
        <is>
          <t>AVISO</t>
        </is>
      </c>
      <c r="K24" s="7" t="n">
        <v>0</v>
      </c>
      <c r="L24" s="7" t="n">
        <v>390.4927428090983</v>
      </c>
      <c r="M24" s="5" t="inlineStr">
        <is>
          <t>No</t>
        </is>
      </c>
      <c r="N24" s="5" t="inlineStr">
        <is>
          <t>output\matrices_insumo_producto\Brasil\MIP_Brasil_2013.xlsx</t>
        </is>
      </c>
    </row>
    <row r="25">
      <c r="A25" s="4" t="inlineStr">
        <is>
          <t>Brasil</t>
        </is>
      </c>
      <c r="B25" s="4" t="inlineStr">
        <is>
          <t>brasil</t>
        </is>
      </c>
      <c r="C25" s="6" t="n">
        <v>2014</v>
      </c>
      <c r="D25" s="4" t="inlineStr">
        <is>
          <t>Reconstruida</t>
        </is>
      </c>
      <c r="E25" s="4" t="inlineStr">
        <is>
          <t>COU IBGE nivel 68</t>
        </is>
      </c>
      <c r="F25" s="4" t="inlineStr">
        <is>
          <t>COU a MIP industria x industria; serie 2010-2021</t>
        </is>
      </c>
      <c r="G25" s="4" t="inlineStr">
        <is>
          <t>Exclusion de Total do produto y puente domestico/precios basicos.</t>
        </is>
      </c>
      <c r="H25" s="6" t="n">
        <v>68</v>
      </c>
      <c r="I25" s="4" t="inlineStr">
        <is>
          <t>OK</t>
        </is>
      </c>
      <c r="J25" s="4" t="inlineStr">
        <is>
          <t>AVISO</t>
        </is>
      </c>
      <c r="K25" s="6" t="n">
        <v>0</v>
      </c>
      <c r="L25" s="6" t="n">
        <v>425.980176712754</v>
      </c>
      <c r="M25" s="4" t="inlineStr">
        <is>
          <t>No</t>
        </is>
      </c>
      <c r="N25" s="4" t="inlineStr">
        <is>
          <t>output\matrices_insumo_producto\Brasil\MIP_Brasil_2014.xlsx</t>
        </is>
      </c>
    </row>
    <row r="26">
      <c r="A26" s="5" t="inlineStr">
        <is>
          <t>Brasil</t>
        </is>
      </c>
      <c r="B26" s="5" t="inlineStr">
        <is>
          <t>brasil</t>
        </is>
      </c>
      <c r="C26" s="7" t="n">
        <v>2015</v>
      </c>
      <c r="D26" s="5" t="inlineStr">
        <is>
          <t>Reconstruida</t>
        </is>
      </c>
      <c r="E26" s="5" t="inlineStr">
        <is>
          <t>COU IBGE nivel 68</t>
        </is>
      </c>
      <c r="F26" s="5" t="inlineStr">
        <is>
          <t>COU a MIP industria x industria; serie 2010-2021</t>
        </is>
      </c>
      <c r="G26" s="5" t="inlineStr">
        <is>
          <t>Exclusion de Total do produto y puente domestico/precios basicos.</t>
        </is>
      </c>
      <c r="H26" s="7" t="n">
        <v>68</v>
      </c>
      <c r="I26" s="5" t="inlineStr">
        <is>
          <t>OK</t>
        </is>
      </c>
      <c r="J26" s="5" t="inlineStr">
        <is>
          <t>AVISO</t>
        </is>
      </c>
      <c r="K26" s="7" t="n">
        <v>0</v>
      </c>
      <c r="L26" s="7" t="n">
        <v>440.072707192931</v>
      </c>
      <c r="M26" s="5" t="inlineStr">
        <is>
          <t>No</t>
        </is>
      </c>
      <c r="N26" s="5" t="inlineStr">
        <is>
          <t>output\matrices_insumo_producto\Brasil\MIP_Brasil_2015.xlsx</t>
        </is>
      </c>
    </row>
    <row r="27">
      <c r="A27" s="4" t="inlineStr">
        <is>
          <t>Brasil</t>
        </is>
      </c>
      <c r="B27" s="4" t="inlineStr">
        <is>
          <t>brasil</t>
        </is>
      </c>
      <c r="C27" s="6" t="n">
        <v>2016</v>
      </c>
      <c r="D27" s="4" t="inlineStr">
        <is>
          <t>Reconstruida</t>
        </is>
      </c>
      <c r="E27" s="4" t="inlineStr">
        <is>
          <t>COU IBGE nivel 68</t>
        </is>
      </c>
      <c r="F27" s="4" t="inlineStr">
        <is>
          <t>COU a MIP industria x industria; serie 2010-2021</t>
        </is>
      </c>
      <c r="G27" s="4" t="inlineStr">
        <is>
          <t>Exclusion de Total do produto y puente domestico/precios basicos.</t>
        </is>
      </c>
      <c r="H27" s="6" t="n">
        <v>68</v>
      </c>
      <c r="I27" s="4" t="inlineStr">
        <is>
          <t>OK</t>
        </is>
      </c>
      <c r="J27" s="4" t="inlineStr">
        <is>
          <t>AVISO</t>
        </is>
      </c>
      <c r="K27" s="6" t="n">
        <v>0</v>
      </c>
      <c r="L27" s="6" t="n">
        <v>480.9925597825006</v>
      </c>
      <c r="M27" s="4" t="inlineStr">
        <is>
          <t>No</t>
        </is>
      </c>
      <c r="N27" s="4" t="inlineStr">
        <is>
          <t>output\matrices_insumo_producto\Brasil\MIP_Brasil_2016.xlsx</t>
        </is>
      </c>
    </row>
    <row r="28">
      <c r="A28" s="5" t="inlineStr">
        <is>
          <t>Brasil</t>
        </is>
      </c>
      <c r="B28" s="5" t="inlineStr">
        <is>
          <t>brasil</t>
        </is>
      </c>
      <c r="C28" s="7" t="n">
        <v>2017</v>
      </c>
      <c r="D28" s="5" t="inlineStr">
        <is>
          <t>Reconstruida</t>
        </is>
      </c>
      <c r="E28" s="5" t="inlineStr">
        <is>
          <t>COU IBGE nivel 68</t>
        </is>
      </c>
      <c r="F28" s="5" t="inlineStr">
        <is>
          <t>COU a MIP industria x industria; serie 2010-2021</t>
        </is>
      </c>
      <c r="G28" s="5" t="inlineStr">
        <is>
          <t>Exclusion de Total do produto y puente domestico/precios basicos.</t>
        </is>
      </c>
      <c r="H28" s="7" t="n">
        <v>68</v>
      </c>
      <c r="I28" s="5" t="inlineStr">
        <is>
          <t>OK</t>
        </is>
      </c>
      <c r="J28" s="5" t="inlineStr">
        <is>
          <t>AVISO</t>
        </is>
      </c>
      <c r="K28" s="7" t="n">
        <v>0</v>
      </c>
      <c r="L28" s="7" t="n">
        <v>474.6436384931367</v>
      </c>
      <c r="M28" s="5" t="inlineStr">
        <is>
          <t>No</t>
        </is>
      </c>
      <c r="N28" s="5" t="inlineStr">
        <is>
          <t>output\matrices_insumo_producto\Brasil\MIP_Brasil_2017.xlsx</t>
        </is>
      </c>
    </row>
    <row r="29">
      <c r="A29" s="4" t="inlineStr">
        <is>
          <t>Brasil</t>
        </is>
      </c>
      <c r="B29" s="4" t="inlineStr">
        <is>
          <t>brasil</t>
        </is>
      </c>
      <c r="C29" s="6" t="n">
        <v>2018</v>
      </c>
      <c r="D29" s="4" t="inlineStr">
        <is>
          <t>Reconstruida</t>
        </is>
      </c>
      <c r="E29" s="4" t="inlineStr">
        <is>
          <t>COU IBGE nivel 68</t>
        </is>
      </c>
      <c r="F29" s="4" t="inlineStr">
        <is>
          <t>COU a MIP industria x industria; serie 2010-2021</t>
        </is>
      </c>
      <c r="G29" s="4" t="inlineStr">
        <is>
          <t>Exclusion de Total do produto y puente domestico/precios basicos.</t>
        </is>
      </c>
      <c r="H29" s="6" t="n">
        <v>68</v>
      </c>
      <c r="I29" s="4" t="inlineStr">
        <is>
          <t>OK</t>
        </is>
      </c>
      <c r="J29" s="4" t="inlineStr">
        <is>
          <t>OK</t>
        </is>
      </c>
      <c r="K29" s="6" t="n">
        <v>0</v>
      </c>
      <c r="L29" s="6" t="n">
        <v>496.5330684426606</v>
      </c>
      <c r="M29" s="4" t="inlineStr">
        <is>
          <t>No</t>
        </is>
      </c>
      <c r="N29" s="4" t="inlineStr">
        <is>
          <t>output\matrices_insumo_producto\Brasil\MIP_Brasil_2018.xlsx</t>
        </is>
      </c>
    </row>
    <row r="30">
      <c r="A30" s="5" t="inlineStr">
        <is>
          <t>Brasil</t>
        </is>
      </c>
      <c r="B30" s="5" t="inlineStr">
        <is>
          <t>brasil</t>
        </is>
      </c>
      <c r="C30" s="7" t="n">
        <v>2019</v>
      </c>
      <c r="D30" s="5" t="inlineStr">
        <is>
          <t>Reconstruida</t>
        </is>
      </c>
      <c r="E30" s="5" t="inlineStr">
        <is>
          <t>COU IBGE nivel 68</t>
        </is>
      </c>
      <c r="F30" s="5" t="inlineStr">
        <is>
          <t>COU a MIP industria x industria; serie 2010-2021</t>
        </is>
      </c>
      <c r="G30" s="5" t="inlineStr">
        <is>
          <t>Exclusion de Total do produto y puente domestico/precios basicos.</t>
        </is>
      </c>
      <c r="H30" s="7" t="n">
        <v>68</v>
      </c>
      <c r="I30" s="5" t="inlineStr">
        <is>
          <t>OK</t>
        </is>
      </c>
      <c r="J30" s="5" t="inlineStr">
        <is>
          <t>OK</t>
        </is>
      </c>
      <c r="K30" s="7" t="n">
        <v>0</v>
      </c>
      <c r="L30" s="7" t="n">
        <v>546.3796691584467</v>
      </c>
      <c r="M30" s="5" t="inlineStr">
        <is>
          <t>No</t>
        </is>
      </c>
      <c r="N30" s="5" t="inlineStr">
        <is>
          <t>output\matrices_insumo_producto\Brasil\MIP_Brasil_2019.xlsx</t>
        </is>
      </c>
    </row>
    <row r="31">
      <c r="A31" s="4" t="inlineStr">
        <is>
          <t>Brasil</t>
        </is>
      </c>
      <c r="B31" s="4" t="inlineStr">
        <is>
          <t>brasil</t>
        </is>
      </c>
      <c r="C31" s="6" t="n">
        <v>2020</v>
      </c>
      <c r="D31" s="4" t="inlineStr">
        <is>
          <t>Reconstruida</t>
        </is>
      </c>
      <c r="E31" s="4" t="inlineStr">
        <is>
          <t>COU IBGE nivel 68</t>
        </is>
      </c>
      <c r="F31" s="4" t="inlineStr">
        <is>
          <t>COU a MIP industria x industria; serie 2010-2021</t>
        </is>
      </c>
      <c r="G31" s="4" t="inlineStr">
        <is>
          <t>Exclusion de Total do produto y puente domestico/precios basicos.</t>
        </is>
      </c>
      <c r="H31" s="6" t="n">
        <v>68</v>
      </c>
      <c r="I31" s="4" t="inlineStr">
        <is>
          <t>OK</t>
        </is>
      </c>
      <c r="J31" s="4" t="inlineStr">
        <is>
          <t>AVISO</t>
        </is>
      </c>
      <c r="K31" s="6" t="n">
        <v>0</v>
      </c>
      <c r="L31" s="6" t="n">
        <v>547.268735049141</v>
      </c>
      <c r="M31" s="4" t="inlineStr">
        <is>
          <t>No</t>
        </is>
      </c>
      <c r="N31" s="4" t="inlineStr">
        <is>
          <t>output\matrices_insumo_producto\Brasil\MIP_Brasil_2020.xlsx</t>
        </is>
      </c>
    </row>
    <row r="32">
      <c r="A32" s="5" t="inlineStr">
        <is>
          <t>Brasil</t>
        </is>
      </c>
      <c r="B32" s="5" t="inlineStr">
        <is>
          <t>brasil</t>
        </is>
      </c>
      <c r="C32" s="7" t="n">
        <v>2021</v>
      </c>
      <c r="D32" s="5" t="inlineStr">
        <is>
          <t>Reconstruida</t>
        </is>
      </c>
      <c r="E32" s="5" t="inlineStr">
        <is>
          <t>COU IBGE nivel 68</t>
        </is>
      </c>
      <c r="F32" s="5" t="inlineStr">
        <is>
          <t>COU a MIP industria x industria; serie 2010-2021</t>
        </is>
      </c>
      <c r="G32" s="5" t="inlineStr">
        <is>
          <t>Exclusion de Total do produto y puente domestico/precios basicos.</t>
        </is>
      </c>
      <c r="H32" s="7" t="n">
        <v>68</v>
      </c>
      <c r="I32" s="5" t="inlineStr">
        <is>
          <t>OK</t>
        </is>
      </c>
      <c r="J32" s="5" t="inlineStr">
        <is>
          <t>AVISO</t>
        </is>
      </c>
      <c r="K32" s="7" t="n">
        <v>0</v>
      </c>
      <c r="L32" s="7" t="n">
        <v>560.5603185020369</v>
      </c>
      <c r="M32" s="5" t="inlineStr">
        <is>
          <t>No</t>
        </is>
      </c>
      <c r="N32" s="5" t="inlineStr">
        <is>
          <t>output\matrices_insumo_producto\Brasil\MIP_Brasil_2021.xlsx</t>
        </is>
      </c>
    </row>
    <row r="33">
      <c r="A33" s="4" t="inlineStr">
        <is>
          <t>Mexico</t>
        </is>
      </c>
      <c r="B33" s="4" t="inlineStr">
        <is>
          <t>mexico</t>
        </is>
      </c>
      <c r="C33" s="6" t="n">
        <v>2003</v>
      </c>
      <c r="D33" s="4" t="inlineStr">
        <is>
          <t>Directa</t>
        </is>
      </c>
      <c r="E33" s="4" t="inlineStr">
        <is>
          <t>MIP CEPAL/INEGI</t>
        </is>
      </c>
      <c r="F33" s="4" t="inlineStr">
        <is>
          <t>MIP oficial/directa publicada</t>
        </is>
      </c>
      <c r="G33" s="4" t="inlineStr">
        <is>
          <t>Se parsea, valida y empaqueta; no se reconstruye desde COU.</t>
        </is>
      </c>
      <c r="H33" s="6" t="n">
        <v>20</v>
      </c>
      <c r="I33" s="4" t="inlineStr">
        <is>
          <t>OK</t>
        </is>
      </c>
      <c r="J33" s="4" t="inlineStr">
        <is>
          <t>AVISO</t>
        </is>
      </c>
      <c r="K33" s="6" t="n">
        <v>0</v>
      </c>
      <c r="L33" s="6" t="n">
        <v>0</v>
      </c>
      <c r="M33" s="4" t="inlineStr">
        <is>
          <t>No</t>
        </is>
      </c>
      <c r="N33" s="4" t="inlineStr">
        <is>
          <t>output\matrices_insumo_producto\Mexico\MIP_Mexico_2003.xlsx</t>
        </is>
      </c>
    </row>
    <row r="34">
      <c r="A34" s="5" t="inlineStr">
        <is>
          <t>Mexico</t>
        </is>
      </c>
      <c r="B34" s="5" t="inlineStr">
        <is>
          <t>mexico</t>
        </is>
      </c>
      <c r="C34" s="7" t="n">
        <v>2008</v>
      </c>
      <c r="D34" s="5" t="inlineStr">
        <is>
          <t>Directa</t>
        </is>
      </c>
      <c r="E34" s="5" t="inlineStr">
        <is>
          <t>MIP CEPAL/INEGI</t>
        </is>
      </c>
      <c r="F34" s="5" t="inlineStr">
        <is>
          <t>MIP oficial/directa publicada</t>
        </is>
      </c>
      <c r="G34" s="5" t="inlineStr">
        <is>
          <t>Se parsea, valida y empaqueta; no se reconstruye desde COU.</t>
        </is>
      </c>
      <c r="H34" s="7" t="n">
        <v>262</v>
      </c>
      <c r="I34" s="5" t="inlineStr">
        <is>
          <t>OK</t>
        </is>
      </c>
      <c r="J34" s="5" t="inlineStr">
        <is>
          <t>AVISO</t>
        </is>
      </c>
      <c r="K34" s="7" t="n">
        <v>3</v>
      </c>
      <c r="L34" s="7" t="n">
        <v>-1629.63500000002</v>
      </c>
      <c r="M34" s="5" t="inlineStr">
        <is>
          <t>No</t>
        </is>
      </c>
      <c r="N34" s="5" t="inlineStr">
        <is>
          <t>output\matrices_insumo_producto\Mexico\MIP_Mexico_2008.xlsx</t>
        </is>
      </c>
    </row>
    <row r="35">
      <c r="A35" s="4" t="inlineStr">
        <is>
          <t>Mexico</t>
        </is>
      </c>
      <c r="B35" s="4" t="inlineStr">
        <is>
          <t>mexico</t>
        </is>
      </c>
      <c r="C35" s="6" t="n">
        <v>2013</v>
      </c>
      <c r="D35" s="4" t="inlineStr">
        <is>
          <t>Directa</t>
        </is>
      </c>
      <c r="E35" s="4" t="inlineStr">
        <is>
          <t>MIP CEPAL/INEGI</t>
        </is>
      </c>
      <c r="F35" s="4" t="inlineStr">
        <is>
          <t>MIP oficial/directa publicada</t>
        </is>
      </c>
      <c r="G35" s="4" t="inlineStr">
        <is>
          <t>Se parsea, valida y empaqueta; no se reconstruye desde COU.</t>
        </is>
      </c>
      <c r="H35" s="6" t="n">
        <v>262</v>
      </c>
      <c r="I35" s="4" t="inlineStr">
        <is>
          <t>OK</t>
        </is>
      </c>
      <c r="J35" s="4" t="inlineStr">
        <is>
          <t>AVISO</t>
        </is>
      </c>
      <c r="K35" s="6" t="n">
        <v>1</v>
      </c>
      <c r="L35" s="6" t="n">
        <v>-0.002999999550638677</v>
      </c>
      <c r="M35" s="4" t="inlineStr">
        <is>
          <t>No</t>
        </is>
      </c>
      <c r="N35" s="4" t="inlineStr">
        <is>
          <t>output\matrices_insumo_producto\Mexico\MIP_Mexico_2013.xlsx</t>
        </is>
      </c>
    </row>
    <row r="36">
      <c r="A36" s="5" t="inlineStr">
        <is>
          <t>Mexico</t>
        </is>
      </c>
      <c r="B36" s="5" t="inlineStr">
        <is>
          <t>mexico</t>
        </is>
      </c>
      <c r="C36" s="7" t="n">
        <v>2018</v>
      </c>
      <c r="D36" s="5" t="inlineStr">
        <is>
          <t>Directa</t>
        </is>
      </c>
      <c r="E36" s="5" t="inlineStr">
        <is>
          <t>MIP CEPAL/INEGI</t>
        </is>
      </c>
      <c r="F36" s="5" t="inlineStr">
        <is>
          <t>MIP oficial/directa publicada</t>
        </is>
      </c>
      <c r="G36" s="5" t="inlineStr">
        <is>
          <t>Se parsea, valida y empaqueta; no se reconstruye desde COU.</t>
        </is>
      </c>
      <c r="H36" s="7" t="n">
        <v>263</v>
      </c>
      <c r="I36" s="5" t="inlineStr">
        <is>
          <t>OK</t>
        </is>
      </c>
      <c r="J36" s="5" t="inlineStr">
        <is>
          <t>AVISO</t>
        </is>
      </c>
      <c r="K36" s="7" t="n">
        <v>0</v>
      </c>
      <c r="L36" s="7" t="n">
        <v>0</v>
      </c>
      <c r="M36" s="5" t="inlineStr">
        <is>
          <t>No</t>
        </is>
      </c>
      <c r="N36" s="5" t="inlineStr">
        <is>
          <t>output\matrices_insumo_producto\Mexico\MIP_Mexico_2018.xlsx</t>
        </is>
      </c>
    </row>
    <row r="37">
      <c r="A37" s="4" t="inlineStr">
        <is>
          <t>Uruguay</t>
        </is>
      </c>
      <c r="B37" s="4" t="inlineStr">
        <is>
          <t>uruguay</t>
        </is>
      </c>
      <c r="C37" s="6" t="n">
        <v>2016</v>
      </c>
      <c r="D37" s="4" t="inlineStr">
        <is>
          <t>Directa</t>
        </is>
      </c>
      <c r="E37" s="4" t="inlineStr">
        <is>
          <t>MIP BCU 2016</t>
        </is>
      </c>
      <c r="F37" s="4" t="inlineStr">
        <is>
          <t>MIP oficial directa</t>
        </is>
      </c>
      <c r="G37" s="4" t="inlineStr">
        <is>
          <t>Se aplica solo conciliacion menor por redondeo documentado.</t>
        </is>
      </c>
      <c r="H37" s="6" t="n">
        <v>128</v>
      </c>
      <c r="I37" s="4" t="inlineStr">
        <is>
          <t>OK</t>
        </is>
      </c>
      <c r="J37" s="4" t="inlineStr">
        <is>
          <t>AVISO</t>
        </is>
      </c>
      <c r="K37" s="6" t="n">
        <v>0</v>
      </c>
      <c r="L37" s="6" t="n">
        <v>0</v>
      </c>
      <c r="M37" s="4" t="inlineStr">
        <is>
          <t>Si</t>
        </is>
      </c>
      <c r="N37" s="4" t="inlineStr">
        <is>
          <t>output\matrices_insumo_producto\Uruguay\MIP_Uruguay_2016.xlsx</t>
        </is>
      </c>
    </row>
    <row r="38">
      <c r="A38" s="5" t="inlineStr">
        <is>
          <t>Uruguay</t>
        </is>
      </c>
      <c r="B38" s="5" t="inlineStr">
        <is>
          <t>uruguay_cou</t>
        </is>
      </c>
      <c r="C38" s="7" t="n">
        <v>2017</v>
      </c>
      <c r="D38" s="5" t="inlineStr">
        <is>
          <t>Reconstruida</t>
        </is>
      </c>
      <c r="E38" s="5" t="inlineStr">
        <is>
          <t>COU Uruguay 2017</t>
        </is>
      </c>
      <c r="F38" s="5" t="inlineStr">
        <is>
          <t>COU a MIP industria x industria</t>
        </is>
      </c>
      <c r="G38" s="5" t="inlineStr">
        <is>
          <t>Se conserva alerta: no hay MIP directa 2017 y los negativos son materiales.</t>
        </is>
      </c>
      <c r="H38" s="7" t="n">
        <v>95</v>
      </c>
      <c r="I38" s="5" t="inlineStr">
        <is>
          <t>OK</t>
        </is>
      </c>
      <c r="J38" s="5" t="inlineStr">
        <is>
          <t>AVISO</t>
        </is>
      </c>
      <c r="K38" s="7" t="n">
        <v>2</v>
      </c>
      <c r="L38" s="7" t="n">
        <v>-25062.16195323598</v>
      </c>
      <c r="M38" s="5" t="inlineStr">
        <is>
          <t>No</t>
        </is>
      </c>
      <c r="N38" s="5" t="inlineStr">
        <is>
          <t>output\matrices_insumo_producto\Uruguay\MIP_Uruguay_2017.xlsx</t>
        </is>
      </c>
    </row>
  </sheetData>
  <autoFilter ref="A4:N38"/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4" customWidth="1" min="1" max="1"/>
    <col width="96" customWidth="1" min="2" max="2"/>
  </cols>
  <sheetData>
    <row r="1" ht="30" customHeight="1">
      <c r="A1" s="1" t="inlineStr">
        <is>
          <t>Caso piloto: Brasil 2001</t>
        </is>
      </c>
    </row>
    <row r="2">
      <c r="A2" s="2" t="inlineStr">
        <is>
          <t>Matriz reconstruida desde COU, con cierre menor documentado.</t>
        </is>
      </c>
    </row>
    <row r="3"/>
    <row r="4">
      <c r="A4" s="3" t="inlineStr">
        <is>
          <t>Campo</t>
        </is>
      </c>
      <c r="B4" s="3" t="inlineStr">
        <is>
          <t>Valor</t>
        </is>
      </c>
    </row>
    <row r="5">
      <c r="A5" s="4" t="inlineStr">
        <is>
          <t>Pais/anio</t>
        </is>
      </c>
      <c r="B5" s="4" t="inlineStr">
        <is>
          <t>Brasil 2001</t>
        </is>
      </c>
    </row>
    <row r="6">
      <c r="A6" s="5" t="inlineStr">
        <is>
          <t>Tipo</t>
        </is>
      </c>
      <c r="B6" s="5" t="inlineStr">
        <is>
          <t>Reconstruida desde COU, no descargada como MIP directa.</t>
        </is>
      </c>
    </row>
    <row r="7">
      <c r="A7" s="4" t="inlineStr">
        <is>
          <t>Fuente base</t>
        </is>
      </c>
      <c r="B7" s="4" t="inlineStr">
        <is>
          <t>COU CEPAL Brasil base 2000, serie brasil_early.</t>
        </is>
      </c>
    </row>
    <row r="8">
      <c r="A8" s="5" t="inlineStr">
        <is>
          <t>Sectores de la matriz completa</t>
        </is>
      </c>
      <c r="B8" s="7" t="n">
        <v>51</v>
      </c>
    </row>
    <row r="9">
      <c r="A9" s="4" t="inlineStr">
        <is>
          <t>Productos del COU usados en formulas</t>
        </is>
      </c>
      <c r="B9" s="6" t="n">
        <v>107</v>
      </c>
    </row>
    <row r="10">
      <c r="A10" s="5" t="inlineStr">
        <is>
          <t>Sectores visibles en el piloto</t>
        </is>
      </c>
      <c r="B10" s="7" t="n">
        <v>6</v>
      </c>
    </row>
    <row r="11">
      <c r="A11" s="4" t="inlineStr">
        <is>
          <t>Demanda final negativa antes del cierre menor</t>
        </is>
      </c>
      <c r="B11" s="6" t="n">
        <v>1</v>
      </c>
    </row>
    <row r="12">
      <c r="A12" s="5" t="inlineStr">
        <is>
          <t>Demanda final negativa despues del cierre menor</t>
        </is>
      </c>
      <c r="B12" s="7" t="n">
        <v>0</v>
      </c>
    </row>
    <row r="13">
      <c r="A13" s="4" t="inlineStr">
        <is>
          <t>Matriz previa</t>
        </is>
      </c>
      <c r="B13" s="4" t="inlineStr">
        <is>
          <t>Z_pre_conciliacion: resultado directo de D @ U.</t>
        </is>
      </c>
    </row>
    <row r="14">
      <c r="A14" s="5" t="inlineStr">
        <is>
          <t>Matriz final</t>
        </is>
      </c>
      <c r="B14" s="5" t="inlineStr">
        <is>
          <t>Z_MIP: matriz posterior a conciliacion menor RAS.</t>
        </is>
      </c>
    </row>
    <row r="15"/>
    <row r="16">
      <c r="A16" s="3" t="inlineStr">
        <is>
          <t>Nota del COU procesado</t>
        </is>
      </c>
      <c r="B16" s="3" t="inlineStr">
        <is>
          <t>Detalle</t>
        </is>
      </c>
    </row>
    <row r="17">
      <c r="A17" s="6" t="n">
        <v>1</v>
      </c>
      <c r="B17" s="4" t="inlineStr">
        <is>
          <t>nota</t>
        </is>
      </c>
    </row>
    <row r="18">
      <c r="A18" s="7" t="n">
        <v>2</v>
      </c>
      <c r="B18" s="5" t="inlineStr">
        <is>
          <t>Columnas agregadas Demanda final/Demanda total excluidas de Y.</t>
        </is>
      </c>
    </row>
    <row r="19">
      <c r="A19" s="6" t="n">
        <v>3</v>
      </c>
      <c r="B19" s="4" t="inlineStr">
        <is>
          <t>Etiquetas de U alineadas por posicion con V para evitar perdida por acentos.</t>
        </is>
      </c>
    </row>
    <row r="20">
      <c r="A20" s="7" t="n">
        <v>4</v>
      </c>
      <c r="B20" s="5" t="inlineStr">
        <is>
          <t>Factor domestico/precios basicos calculado como produccion domestica/oferta total a precio consumidor.</t>
        </is>
      </c>
    </row>
    <row r="21">
      <c r="A21" s="6" t="n">
        <v>5</v>
      </c>
      <c r="B21" s="4" t="inlineStr">
        <is>
          <t>U e Y se convierten a base domestica/precios basicos con factor publicado por producto.</t>
        </is>
      </c>
    </row>
    <row r="22">
      <c r="A22" s="7" t="n">
        <v>6</v>
      </c>
      <c r="B22" s="5" t="inlineStr">
        <is>
          <t>Y conserva componentes fuente depurados; no se reemplaza por residual general.</t>
        </is>
      </c>
    </row>
    <row r="23">
      <c r="A23" s="6" t="n">
        <v>7</v>
      </c>
      <c r="B23" s="4" t="inlineStr">
        <is>
          <t>Z/A/L se calculan con consumo intermedio nacional; importaciones quedan fuera de Z.</t>
        </is>
      </c>
    </row>
    <row r="24">
      <c r="A24" s="7" t="n">
        <v>8</v>
      </c>
      <c r="B24" s="5" t="inlineStr">
        <is>
          <t>Chequeo VA: g = CI nacional + CI importado + valor agregado.</t>
        </is>
      </c>
    </row>
  </sheetData>
  <autoFilter ref="A16:B24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32"/>
  <sheetViews>
    <sheetView showGridLines="0"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 outlineLevelCol="0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</cols>
  <sheetData>
    <row r="1" ht="30" customHeight="1">
      <c r="A1" s="1" t="inlineStr">
        <is>
          <t>Datos COU usados por el piloto</t>
        </is>
      </c>
    </row>
    <row r="2">
      <c r="A2" s="2" t="inlineStr">
        <is>
          <t>Todos los productos quedan en columnas para que Z_pre = SUMPRODUCT(D, U) sea auditable.</t>
        </is>
      </c>
    </row>
    <row r="3"/>
    <row r="4">
      <c r="A4" s="3" t="inlineStr">
        <is>
          <t>Producto</t>
        </is>
      </c>
      <c r="B4" s="3" t="inlineStr">
        <is>
          <t>Arroz em casca</t>
        </is>
      </c>
      <c r="C4" s="3" t="inlineStr">
        <is>
          <t>Milho em grão</t>
        </is>
      </c>
      <c r="D4" s="3" t="inlineStr">
        <is>
          <t>Trigo em grão e outros cereais</t>
        </is>
      </c>
      <c r="E4" s="3" t="inlineStr">
        <is>
          <t>Cana-de-açúcar</t>
        </is>
      </c>
      <c r="F4" s="3" t="inlineStr">
        <is>
          <t>Soja em grão</t>
        </is>
      </c>
      <c r="G4" s="3" t="inlineStr">
        <is>
          <t>Outros produtos e serviços da lavoura</t>
        </is>
      </c>
      <c r="H4" s="3" t="inlineStr">
        <is>
          <t>Mandioca</t>
        </is>
      </c>
      <c r="I4" s="3" t="inlineStr">
        <is>
          <t>Fumo em folha</t>
        </is>
      </c>
      <c r="J4" s="3" t="inlineStr">
        <is>
          <t>Algodão herbáceo</t>
        </is>
      </c>
      <c r="K4" s="3" t="inlineStr">
        <is>
          <t>Frutas cítricas</t>
        </is>
      </c>
      <c r="L4" s="3" t="inlineStr">
        <is>
          <t>Café em grão</t>
        </is>
      </c>
      <c r="M4" s="3" t="inlineStr">
        <is>
          <t>Produtos da exploração florestal e da silvicultura</t>
        </is>
      </c>
      <c r="N4" s="3" t="inlineStr">
        <is>
          <t>Bovinos e outros animais vivos</t>
        </is>
      </c>
      <c r="O4" s="3" t="inlineStr">
        <is>
          <t>Leite de vaca e de outros animais</t>
        </is>
      </c>
      <c r="P4" s="3" t="inlineStr">
        <is>
          <t>Suínos vivos</t>
        </is>
      </c>
      <c r="Q4" s="3" t="inlineStr">
        <is>
          <t>Aves vivas</t>
        </is>
      </c>
      <c r="R4" s="3" t="inlineStr">
        <is>
          <t>Ovos de galinha e de outras aves</t>
        </is>
      </c>
      <c r="S4" s="3" t="inlineStr">
        <is>
          <t>Pesca e aquicultura</t>
        </is>
      </c>
      <c r="T4" s="3" t="inlineStr">
        <is>
          <t>Petróleo e gás natural</t>
        </is>
      </c>
      <c r="U4" s="3" t="inlineStr">
        <is>
          <t>Minério de ferro</t>
        </is>
      </c>
      <c r="V4" s="3" t="inlineStr">
        <is>
          <t>Carvão mineral</t>
        </is>
      </c>
      <c r="W4" s="3" t="inlineStr">
        <is>
          <t>Minerais metálicos não-ferrosos</t>
        </is>
      </c>
      <c r="X4" s="3" t="inlineStr">
        <is>
          <t>Minerais não-metálicos</t>
        </is>
      </c>
      <c r="Y4" s="3" t="inlineStr">
        <is>
          <t>Abate e preparação de produtos de carne</t>
        </is>
      </c>
      <c r="Z4" s="3" t="inlineStr">
        <is>
          <t>Carne de suíno fresca refrigerada ou congelada</t>
        </is>
      </c>
      <c r="AA4" s="3" t="inlineStr">
        <is>
          <t>Carne de aves fresca refrigerada ou congelada</t>
        </is>
      </c>
      <c r="AB4" s="3" t="inlineStr">
        <is>
          <t>Pescado industrializado</t>
        </is>
      </c>
      <c r="AC4" s="3" t="inlineStr">
        <is>
          <t>Conservas de frutas legumes e outros vegetais</t>
        </is>
      </c>
      <c r="AD4" s="3" t="inlineStr">
        <is>
          <t>Óleo de soja em bruto e tortas bagaços e farelo de soja</t>
        </is>
      </c>
      <c r="AE4" s="3" t="inlineStr">
        <is>
          <t>Outros óleos e gordura vegetal e animal exclusive milho</t>
        </is>
      </c>
      <c r="AF4" s="3" t="inlineStr">
        <is>
          <t>Óleo de soja refinado</t>
        </is>
      </c>
      <c r="AG4" s="3" t="inlineStr">
        <is>
          <t>Leite resfriado esterilizado e pasteurizado</t>
        </is>
      </c>
      <c r="AH4" s="3" t="inlineStr">
        <is>
          <t>Produtos do laticínio e sorvetes</t>
        </is>
      </c>
      <c r="AI4" s="3" t="inlineStr">
        <is>
          <t>Arroz beneficiado e produtos derivados</t>
        </is>
      </c>
      <c r="AJ4" s="3" t="inlineStr">
        <is>
          <t>Farinha de trigo e derivados</t>
        </is>
      </c>
      <c r="AK4" s="3" t="inlineStr">
        <is>
          <t>Farinha de mandioca e outros</t>
        </is>
      </c>
      <c r="AL4" s="3" t="inlineStr">
        <is>
          <t>Óleos de milho amidos e féculas vegetais e rações</t>
        </is>
      </c>
      <c r="AM4" s="3" t="inlineStr">
        <is>
          <t>Produtos das usinas e do refino de açúcar</t>
        </is>
      </c>
      <c r="AN4" s="3" t="inlineStr">
        <is>
          <t>Café torrado e moído</t>
        </is>
      </c>
      <c r="AO4" s="3" t="inlineStr">
        <is>
          <t>Outros produtos alimentares</t>
        </is>
      </c>
      <c r="AP4" s="3" t="inlineStr">
        <is>
          <t>Bebidas</t>
        </is>
      </c>
      <c r="AQ4" s="3" t="inlineStr">
        <is>
          <t>Produtos do fumo</t>
        </is>
      </c>
      <c r="AR4" s="3" t="inlineStr">
        <is>
          <t>Beneficiamento de algodão e de outros têxt e fiação</t>
        </is>
      </c>
      <c r="AS4" s="3" t="inlineStr">
        <is>
          <t>Tecelagem</t>
        </is>
      </c>
      <c r="AT4" s="3" t="inlineStr">
        <is>
          <t>Artigos do vestuário e acessórios</t>
        </is>
      </c>
      <c r="AU4" s="3" t="inlineStr">
        <is>
          <t>Preparação do couro e fabricação de artefatos - exclusive calçados</t>
        </is>
      </c>
      <c r="AV4" s="3" t="inlineStr">
        <is>
          <t>Fabricação de calçados</t>
        </is>
      </c>
      <c r="AW4" s="3" t="inlineStr">
        <is>
          <t>Produtos de madeira - exclusive móveis</t>
        </is>
      </c>
      <c r="AX4" s="3" t="inlineStr">
        <is>
          <t>Celulose e outras pastas para fabricação de papel</t>
        </is>
      </c>
      <c r="AY4" s="3" t="inlineStr">
        <is>
          <t>Papel e papelão embalagens e artefatos</t>
        </is>
      </c>
      <c r="AZ4" s="3" t="inlineStr">
        <is>
          <t>Jornais revistas discos e outros produtos gravados</t>
        </is>
      </c>
      <c r="BA4" s="3" t="inlineStr">
        <is>
          <t>Gás liquefeito de petróleo</t>
        </is>
      </c>
      <c r="BB4" s="3" t="inlineStr">
        <is>
          <t>Gasolina automotiva</t>
        </is>
      </c>
      <c r="BC4" s="3" t="inlineStr">
        <is>
          <t>Gasoálcool</t>
        </is>
      </c>
      <c r="BD4" s="3" t="inlineStr">
        <is>
          <t>Óleo combustível</t>
        </is>
      </c>
      <c r="BE4" s="3" t="inlineStr">
        <is>
          <t>Óleo diesel</t>
        </is>
      </c>
      <c r="BF4" s="3" t="inlineStr">
        <is>
          <t>Outros produtos do refino de petróleo e coque</t>
        </is>
      </c>
      <c r="BG4" s="3" t="inlineStr">
        <is>
          <t>Álcool</t>
        </is>
      </c>
      <c r="BH4" s="3" t="inlineStr">
        <is>
          <t>Produtos químicos inorgânicos</t>
        </is>
      </c>
      <c r="BI4" s="3" t="inlineStr">
        <is>
          <t>Produtos químicos orgânicos</t>
        </is>
      </c>
      <c r="BJ4" s="3" t="inlineStr">
        <is>
          <t>Fabricação de resina e elastômeros</t>
        </is>
      </c>
      <c r="BK4" s="3" t="inlineStr">
        <is>
          <t>Produtos farmacêuticos</t>
        </is>
      </c>
      <c r="BL4" s="3" t="inlineStr">
        <is>
          <t>Defensivos agrícolas</t>
        </is>
      </c>
      <c r="BM4" s="3" t="inlineStr">
        <is>
          <t>Perfumaria sabões e artigos de limpeza</t>
        </is>
      </c>
      <c r="BN4" s="3" t="inlineStr">
        <is>
          <t>Tintas vernizes esmaltes e lacas</t>
        </is>
      </c>
      <c r="BO4" s="3" t="inlineStr">
        <is>
          <t>Produtos e preparados químicos diversos</t>
        </is>
      </c>
      <c r="BP4" s="3" t="inlineStr">
        <is>
          <t>Artigos de borracha</t>
        </is>
      </c>
      <c r="BQ4" s="3" t="inlineStr">
        <is>
          <t>Artigos de plástico</t>
        </is>
      </c>
      <c r="BR4" s="3" t="inlineStr">
        <is>
          <t>Cimento</t>
        </is>
      </c>
      <c r="BS4" s="3" t="inlineStr">
        <is>
          <t>Outros produtos de minerais não-metálicos e artefatos de concreto</t>
        </is>
      </c>
      <c r="BT4" s="3" t="inlineStr">
        <is>
          <t>Gusa e ferro-ligas</t>
        </is>
      </c>
      <c r="BU4" s="3" t="inlineStr">
        <is>
          <t>Semi-acabacados laminados planos longos e tubos de aço</t>
        </is>
      </c>
      <c r="BV4" s="3" t="inlineStr">
        <is>
          <t>Produtos da metalurgia de metais não-ferrosos</t>
        </is>
      </c>
      <c r="BW4" s="3" t="inlineStr">
        <is>
          <t>Fundidos de aço</t>
        </is>
      </c>
      <c r="BX4" s="3" t="inlineStr">
        <is>
          <t>Produtos de metal - exclusive máquinas e equipamento</t>
        </is>
      </c>
      <c r="BY4" s="3" t="inlineStr">
        <is>
          <t>Máquinas e equipamentos inclusive manutenção e reparos</t>
        </is>
      </c>
      <c r="BZ4" s="3" t="inlineStr">
        <is>
          <t>Eletrodomésticos</t>
        </is>
      </c>
      <c r="CA4" s="3" t="inlineStr">
        <is>
          <t>Máquinas para escritório e equipamentos de informática</t>
        </is>
      </c>
      <c r="CB4" s="3" t="inlineStr">
        <is>
          <t>Máquinas aparelhos e materiais elétricos</t>
        </is>
      </c>
      <c r="CC4" s="3" t="inlineStr">
        <is>
          <t>Material eletrônico e equipamentos de comunicações</t>
        </is>
      </c>
      <c r="CD4" s="3" t="inlineStr">
        <is>
          <t>Aparelhos/instrumentos médico-hospitalar medida e óptico</t>
        </is>
      </c>
      <c r="CE4" s="3" t="inlineStr">
        <is>
          <t>Automóveis camionetas e utilitários</t>
        </is>
      </c>
      <c r="CF4" s="3" t="inlineStr">
        <is>
          <t>Caminhões e ônibus</t>
        </is>
      </c>
      <c r="CG4" s="3" t="inlineStr">
        <is>
          <t>Peças e acessórios para veículos automotores</t>
        </is>
      </c>
      <c r="CH4" s="3" t="inlineStr">
        <is>
          <t>Outros equipamentos de transporte</t>
        </is>
      </c>
      <c r="CI4" s="3" t="inlineStr">
        <is>
          <t>Móveis e produtos das indústrias diversas</t>
        </is>
      </c>
      <c r="CJ4" s="3" t="inlineStr">
        <is>
          <t>Produção e distribuição de eletricidade gás água esgoto e limpeza urbana</t>
        </is>
      </c>
      <c r="CK4" s="3" t="inlineStr">
        <is>
          <t>Construção civil</t>
        </is>
      </c>
      <c r="CL4" s="3" t="inlineStr">
        <is>
          <t>Comércio</t>
        </is>
      </c>
      <c r="CM4" s="3" t="inlineStr">
        <is>
          <t>Transporte de carga</t>
        </is>
      </c>
      <c r="CN4" s="3" t="inlineStr">
        <is>
          <t>Transporte de passageiro</t>
        </is>
      </c>
      <c r="CO4" s="3" t="inlineStr">
        <is>
          <t>Correio</t>
        </is>
      </c>
      <c r="CP4" s="3" t="inlineStr">
        <is>
          <t>Serviços de informação</t>
        </is>
      </c>
      <c r="CQ4" s="3" t="inlineStr">
        <is>
          <t>Intermediação financeira seguros e previdência complementar e serviços relacionados</t>
        </is>
      </c>
      <c r="CR4" s="3" t="inlineStr">
        <is>
          <t>Atividades imobiliárias e aluguéis</t>
        </is>
      </c>
      <c r="CS4" s="3" t="inlineStr">
        <is>
          <t>Aluguel imputado</t>
        </is>
      </c>
      <c r="CT4" s="3" t="inlineStr">
        <is>
          <t>Serviços de manutenção e reparação</t>
        </is>
      </c>
      <c r="CU4" s="3" t="inlineStr">
        <is>
          <t>Serviços de alojamento e alimentação</t>
        </is>
      </c>
      <c r="CV4" s="3" t="inlineStr">
        <is>
          <t>Serviços prestados às empresas</t>
        </is>
      </c>
      <c r="CW4" s="3" t="inlineStr">
        <is>
          <t>Educação mercantil</t>
        </is>
      </c>
      <c r="CX4" s="3" t="inlineStr">
        <is>
          <t>Saúde mercantil</t>
        </is>
      </c>
      <c r="CY4" s="3" t="inlineStr">
        <is>
          <t>Serviços prestados às famílias</t>
        </is>
      </c>
      <c r="CZ4" s="3" t="inlineStr">
        <is>
          <t>Serviços associativos</t>
        </is>
      </c>
      <c r="DA4" s="3" t="inlineStr">
        <is>
          <t>Serviços domésticos</t>
        </is>
      </c>
      <c r="DB4" s="3" t="inlineStr">
        <is>
          <t>Educação pública</t>
        </is>
      </c>
      <c r="DC4" s="3" t="inlineStr">
        <is>
          <t>Saúde pública</t>
        </is>
      </c>
      <c r="DD4" s="3" t="inlineStr">
        <is>
          <t>Serviço público e seguridade social</t>
        </is>
      </c>
    </row>
    <row r="5">
      <c r="A5" s="4" t="inlineStr">
        <is>
          <t>V | Comércio</t>
        </is>
      </c>
      <c r="B5" s="6" t="n">
        <v>0</v>
      </c>
      <c r="C5" s="6" t="n">
        <v>0</v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  <c r="I5" s="6" t="n">
        <v>0</v>
      </c>
      <c r="J5" s="6" t="n">
        <v>0</v>
      </c>
      <c r="K5" s="6" t="n">
        <v>0</v>
      </c>
      <c r="L5" s="6" t="n">
        <v>0</v>
      </c>
      <c r="M5" s="6" t="n">
        <v>0</v>
      </c>
      <c r="N5" s="6" t="n">
        <v>0</v>
      </c>
      <c r="O5" s="6" t="n">
        <v>0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</v>
      </c>
      <c r="W5" s="6" t="n">
        <v>0</v>
      </c>
      <c r="X5" s="6" t="n">
        <v>0</v>
      </c>
      <c r="Y5" s="6" t="n">
        <v>161.684456820203</v>
      </c>
      <c r="Z5" s="6" t="n">
        <v>0</v>
      </c>
      <c r="AA5" s="6" t="n">
        <v>889.289544353952</v>
      </c>
      <c r="AB5" s="6" t="n">
        <v>0</v>
      </c>
      <c r="AC5" s="6" t="n">
        <v>0</v>
      </c>
      <c r="AD5" s="6" t="n">
        <v>912.612255275872</v>
      </c>
      <c r="AE5" s="6" t="n">
        <v>0</v>
      </c>
      <c r="AF5" s="6" t="n">
        <v>0</v>
      </c>
      <c r="AG5" s="6" t="n">
        <v>374.372858623422</v>
      </c>
      <c r="AH5" s="6" t="n">
        <v>0</v>
      </c>
      <c r="AI5" s="6" t="n">
        <v>238.68423079886</v>
      </c>
      <c r="AJ5" s="6" t="n">
        <v>140.500441195008</v>
      </c>
      <c r="AK5" s="6" t="n">
        <v>105.377255808291</v>
      </c>
      <c r="AL5" s="6" t="n">
        <v>103.496613423159</v>
      </c>
      <c r="AM5" s="6" t="n">
        <v>0</v>
      </c>
      <c r="AN5" s="6" t="n">
        <v>0</v>
      </c>
      <c r="AO5" s="6" t="n">
        <v>3373.82613846175</v>
      </c>
      <c r="AP5" s="6" t="n">
        <v>141.783033276481</v>
      </c>
      <c r="AQ5" s="6" t="n">
        <v>0</v>
      </c>
      <c r="AR5" s="6" t="n">
        <v>99.44425192470629</v>
      </c>
      <c r="AS5" s="6" t="n">
        <v>0</v>
      </c>
      <c r="AT5" s="6" t="n">
        <v>213.34494604286</v>
      </c>
      <c r="AU5" s="6" t="n">
        <v>0</v>
      </c>
      <c r="AV5" s="6" t="n">
        <v>0</v>
      </c>
      <c r="AW5" s="6" t="n">
        <v>0</v>
      </c>
      <c r="AX5" s="6" t="n">
        <v>0</v>
      </c>
      <c r="AY5" s="6" t="n">
        <v>0</v>
      </c>
      <c r="AZ5" s="6" t="n">
        <v>0</v>
      </c>
      <c r="BA5" s="6" t="n">
        <v>0</v>
      </c>
      <c r="BB5" s="6" t="n">
        <v>0</v>
      </c>
      <c r="BC5" s="6" t="n">
        <v>0</v>
      </c>
      <c r="BD5" s="6" t="n">
        <v>0</v>
      </c>
      <c r="BE5" s="6" t="n">
        <v>0</v>
      </c>
      <c r="BF5" s="6" t="n">
        <v>3019.62434746529</v>
      </c>
      <c r="BG5" s="6" t="n">
        <v>0</v>
      </c>
      <c r="BH5" s="6" t="n">
        <v>0</v>
      </c>
      <c r="BI5" s="6" t="n">
        <v>0</v>
      </c>
      <c r="BJ5" s="6" t="n">
        <v>0</v>
      </c>
      <c r="BK5" s="6" t="n">
        <v>1209.83122982096</v>
      </c>
      <c r="BL5" s="6" t="n">
        <v>0</v>
      </c>
      <c r="BM5" s="6" t="n">
        <v>0</v>
      </c>
      <c r="BN5" s="6" t="n">
        <v>0</v>
      </c>
      <c r="BO5" s="6" t="n">
        <v>0</v>
      </c>
      <c r="BP5" s="6" t="n">
        <v>3.51453952056837</v>
      </c>
      <c r="BQ5" s="6" t="n">
        <v>0</v>
      </c>
      <c r="BR5" s="6" t="n">
        <v>0</v>
      </c>
      <c r="BS5" s="6" t="n">
        <v>378.95342005408</v>
      </c>
      <c r="BT5" s="6" t="n">
        <v>0</v>
      </c>
      <c r="BU5" s="6" t="n">
        <v>0</v>
      </c>
      <c r="BV5" s="6" t="n">
        <v>0</v>
      </c>
      <c r="BW5" s="6" t="n">
        <v>0</v>
      </c>
      <c r="BX5" s="6" t="n">
        <v>603.044644117991</v>
      </c>
      <c r="BY5" s="6" t="n">
        <v>1399.61844984867</v>
      </c>
      <c r="BZ5" s="6" t="n">
        <v>101.425544590616</v>
      </c>
      <c r="CA5" s="6" t="n">
        <v>109.464475267852</v>
      </c>
      <c r="CB5" s="6" t="n">
        <v>0</v>
      </c>
      <c r="CC5" s="6" t="n">
        <v>0</v>
      </c>
      <c r="CD5" s="6" t="n">
        <v>0</v>
      </c>
      <c r="CE5" s="6" t="n">
        <v>0</v>
      </c>
      <c r="CF5" s="6" t="n">
        <v>0</v>
      </c>
      <c r="CG5" s="6" t="n">
        <v>60.6822613917918</v>
      </c>
      <c r="CH5" s="6" t="n">
        <v>0</v>
      </c>
      <c r="CI5" s="6" t="n">
        <v>365.218325117183</v>
      </c>
      <c r="CJ5" s="6" t="n">
        <v>0</v>
      </c>
      <c r="CK5" s="6" t="n">
        <v>0.522810414278035</v>
      </c>
      <c r="CL5" s="6" t="n">
        <v>153789.267304353</v>
      </c>
      <c r="CM5" s="6" t="n">
        <v>523.877447049733</v>
      </c>
      <c r="CN5" s="6" t="n">
        <v>0</v>
      </c>
      <c r="CO5" s="6" t="n">
        <v>0</v>
      </c>
      <c r="CP5" s="6" t="n">
        <v>383.865935845837</v>
      </c>
      <c r="CQ5" s="6" t="n">
        <v>0</v>
      </c>
      <c r="CR5" s="6" t="n">
        <v>743.276992295722</v>
      </c>
      <c r="CS5" s="6" t="n">
        <v>0</v>
      </c>
      <c r="CT5" s="6" t="n">
        <v>1811.52097560224</v>
      </c>
      <c r="CU5" s="6" t="n">
        <v>663.112306283201</v>
      </c>
      <c r="CV5" s="6" t="n">
        <v>1043.79088386331</v>
      </c>
      <c r="CW5" s="6" t="n">
        <v>0</v>
      </c>
      <c r="CX5" s="6" t="n">
        <v>0</v>
      </c>
      <c r="CY5" s="6" t="n">
        <v>33.5497539921684</v>
      </c>
      <c r="CZ5" s="6" t="n">
        <v>0</v>
      </c>
      <c r="DA5" s="6" t="n">
        <v>0</v>
      </c>
      <c r="DB5" s="6" t="n">
        <v>0</v>
      </c>
      <c r="DC5" s="6" t="n">
        <v>0</v>
      </c>
      <c r="DD5" s="6" t="n">
        <v>0</v>
      </c>
    </row>
    <row r="6">
      <c r="A6" s="4" t="inlineStr">
        <is>
          <t>V | Alimentos e Bebidas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0</v>
      </c>
      <c r="M6" s="6" t="n">
        <v>0</v>
      </c>
      <c r="N6" s="6" t="n">
        <v>0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6" t="n">
        <v>0</v>
      </c>
      <c r="W6" s="6" t="n">
        <v>0</v>
      </c>
      <c r="X6" s="6" t="n">
        <v>0</v>
      </c>
      <c r="Y6" s="6" t="n">
        <v>23955.620334919</v>
      </c>
      <c r="Z6" s="6" t="n">
        <v>2769.1938813122</v>
      </c>
      <c r="AA6" s="6" t="n">
        <v>9330.93453664982</v>
      </c>
      <c r="AB6" s="6" t="n">
        <v>1434.29211469534</v>
      </c>
      <c r="AC6" s="6" t="n">
        <v>5788.9849660524</v>
      </c>
      <c r="AD6" s="6" t="n">
        <v>5884.79786422577</v>
      </c>
      <c r="AE6" s="6" t="n">
        <v>3345.29002849003</v>
      </c>
      <c r="AF6" s="6" t="n">
        <v>4280.93331348616</v>
      </c>
      <c r="AG6" s="6" t="n">
        <v>4815.18124733281</v>
      </c>
      <c r="AH6" s="6" t="n">
        <v>8473.648443630649</v>
      </c>
      <c r="AI6" s="6" t="n">
        <v>3585.20175641322</v>
      </c>
      <c r="AJ6" s="6" t="n">
        <v>4560.16714988025</v>
      </c>
      <c r="AK6" s="6" t="n">
        <v>785.656945230417</v>
      </c>
      <c r="AL6" s="6" t="n">
        <v>6843.83599550871</v>
      </c>
      <c r="AM6" s="6" t="n">
        <v>11263.0993273045</v>
      </c>
      <c r="AN6" s="6" t="n">
        <v>2432.20395755912</v>
      </c>
      <c r="AO6" s="6" t="n">
        <v>19466.8140680897</v>
      </c>
      <c r="AP6" s="6" t="n">
        <v>17491.8632316873</v>
      </c>
      <c r="AQ6" s="6" t="n">
        <v>0</v>
      </c>
      <c r="AR6" s="6" t="n">
        <v>1.39417674076568</v>
      </c>
      <c r="AS6" s="6" t="n">
        <v>0</v>
      </c>
      <c r="AT6" s="6" t="n">
        <v>0</v>
      </c>
      <c r="AU6" s="6" t="n">
        <v>49.5839615575246</v>
      </c>
      <c r="AV6" s="6" t="n">
        <v>0</v>
      </c>
      <c r="AW6" s="6" t="n">
        <v>0</v>
      </c>
      <c r="AX6" s="6" t="n">
        <v>0</v>
      </c>
      <c r="AY6" s="6" t="n">
        <v>2.43302742601564</v>
      </c>
      <c r="AZ6" s="6" t="n">
        <v>0</v>
      </c>
      <c r="BA6" s="6" t="n">
        <v>0</v>
      </c>
      <c r="BB6" s="6" t="n">
        <v>0</v>
      </c>
      <c r="BC6" s="6" t="n">
        <v>0</v>
      </c>
      <c r="BD6" s="6" t="n">
        <v>0</v>
      </c>
      <c r="BE6" s="6" t="n">
        <v>0</v>
      </c>
      <c r="BF6" s="6" t="n">
        <v>0</v>
      </c>
      <c r="BG6" s="6" t="n">
        <v>4723.79273851598</v>
      </c>
      <c r="BH6" s="6" t="n">
        <v>212.706169898166</v>
      </c>
      <c r="BI6" s="6" t="n">
        <v>232.999018552763</v>
      </c>
      <c r="BJ6" s="6" t="n">
        <v>0</v>
      </c>
      <c r="BK6" s="6" t="n">
        <v>37.5856167815598</v>
      </c>
      <c r="BL6" s="6" t="n">
        <v>0</v>
      </c>
      <c r="BM6" s="6" t="n">
        <v>9.179164032968689</v>
      </c>
      <c r="BN6" s="6" t="n">
        <v>0.35818246735543</v>
      </c>
      <c r="BO6" s="6" t="n">
        <v>384.001628593095</v>
      </c>
      <c r="BP6" s="6" t="n">
        <v>0</v>
      </c>
      <c r="BQ6" s="6" t="n">
        <v>23.3571264815705</v>
      </c>
      <c r="BR6" s="6" t="n">
        <v>0</v>
      </c>
      <c r="BS6" s="6" t="n">
        <v>0</v>
      </c>
      <c r="BT6" s="6" t="n">
        <v>0</v>
      </c>
      <c r="BU6" s="6" t="n">
        <v>0</v>
      </c>
      <c r="BV6" s="6" t="n">
        <v>0</v>
      </c>
      <c r="BW6" s="6" t="n">
        <v>0</v>
      </c>
      <c r="BX6" s="6" t="n">
        <v>270.520025165495</v>
      </c>
      <c r="BY6" s="6" t="n">
        <v>140.22992000733</v>
      </c>
      <c r="BZ6" s="6" t="n">
        <v>0</v>
      </c>
      <c r="CA6" s="6" t="n">
        <v>0</v>
      </c>
      <c r="CB6" s="6" t="n">
        <v>0</v>
      </c>
      <c r="CC6" s="6" t="n">
        <v>0</v>
      </c>
      <c r="CD6" s="6" t="n">
        <v>0</v>
      </c>
      <c r="CE6" s="6" t="n">
        <v>0</v>
      </c>
      <c r="CF6" s="6" t="n">
        <v>0</v>
      </c>
      <c r="CG6" s="6" t="n">
        <v>0</v>
      </c>
      <c r="CH6" s="6" t="n">
        <v>1</v>
      </c>
      <c r="CI6" s="6" t="n">
        <v>21.8124522939375</v>
      </c>
      <c r="CJ6" s="6" t="n">
        <v>333.155974182017</v>
      </c>
      <c r="CK6" s="6" t="n">
        <v>51.0982165593967</v>
      </c>
      <c r="CL6" s="6" t="n">
        <v>1590.45964868549</v>
      </c>
      <c r="CM6" s="6" t="n">
        <v>0</v>
      </c>
      <c r="CN6" s="6" t="n">
        <v>0</v>
      </c>
      <c r="CO6" s="6" t="n">
        <v>0</v>
      </c>
      <c r="CP6" s="6" t="n">
        <v>0</v>
      </c>
      <c r="CQ6" s="6" t="n">
        <v>0</v>
      </c>
      <c r="CR6" s="6" t="n">
        <v>585.515133963737</v>
      </c>
      <c r="CS6" s="6" t="n">
        <v>0</v>
      </c>
      <c r="CT6" s="6" t="n">
        <v>0</v>
      </c>
      <c r="CU6" s="6" t="n">
        <v>0</v>
      </c>
      <c r="CV6" s="6" t="n">
        <v>168.982772139536</v>
      </c>
      <c r="CW6" s="6" t="n">
        <v>0</v>
      </c>
      <c r="CX6" s="6" t="n">
        <v>0</v>
      </c>
      <c r="CY6" s="6" t="n">
        <v>0</v>
      </c>
      <c r="CZ6" s="6" t="n">
        <v>0</v>
      </c>
      <c r="DA6" s="6" t="n">
        <v>0</v>
      </c>
      <c r="DB6" s="6" t="n">
        <v>0</v>
      </c>
      <c r="DC6" s="6" t="n">
        <v>0</v>
      </c>
      <c r="DD6" s="6" t="n">
        <v>0</v>
      </c>
    </row>
    <row r="7">
      <c r="A7" s="4" t="inlineStr">
        <is>
          <t>V | Tintas vernizes esmaltes e lacas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0</v>
      </c>
      <c r="M7" s="6" t="n">
        <v>0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6" t="n">
        <v>0</v>
      </c>
      <c r="W7" s="6" t="n">
        <v>0</v>
      </c>
      <c r="X7" s="6" t="n">
        <v>0.28622855993199</v>
      </c>
      <c r="Y7" s="6" t="n">
        <v>0</v>
      </c>
      <c r="Z7" s="6" t="n">
        <v>0</v>
      </c>
      <c r="AA7" s="6" t="n">
        <v>0</v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</v>
      </c>
      <c r="AG7" s="6" t="n">
        <v>0</v>
      </c>
      <c r="AH7" s="6" t="n">
        <v>0</v>
      </c>
      <c r="AI7" s="6" t="n">
        <v>0</v>
      </c>
      <c r="AJ7" s="6" t="n">
        <v>0</v>
      </c>
      <c r="AK7" s="6" t="n">
        <v>0</v>
      </c>
      <c r="AL7" s="6" t="n">
        <v>0</v>
      </c>
      <c r="AM7" s="6" t="n">
        <v>0</v>
      </c>
      <c r="AN7" s="6" t="n">
        <v>0</v>
      </c>
      <c r="AO7" s="6" t="n">
        <v>0</v>
      </c>
      <c r="AP7" s="6" t="n">
        <v>0</v>
      </c>
      <c r="AQ7" s="6" t="n">
        <v>0</v>
      </c>
      <c r="AR7" s="6" t="n">
        <v>0</v>
      </c>
      <c r="AS7" s="6" t="n">
        <v>0</v>
      </c>
      <c r="AT7" s="6" t="n">
        <v>0</v>
      </c>
      <c r="AU7" s="6" t="n">
        <v>0</v>
      </c>
      <c r="AV7" s="6" t="n">
        <v>0</v>
      </c>
      <c r="AW7" s="6" t="n">
        <v>0</v>
      </c>
      <c r="AX7" s="6" t="n">
        <v>0</v>
      </c>
      <c r="AY7" s="6" t="n">
        <v>0</v>
      </c>
      <c r="AZ7" s="6" t="n">
        <v>0</v>
      </c>
      <c r="BA7" s="6" t="n">
        <v>0</v>
      </c>
      <c r="BB7" s="6" t="n">
        <v>0</v>
      </c>
      <c r="BC7" s="6" t="n">
        <v>0</v>
      </c>
      <c r="BD7" s="6" t="n">
        <v>0</v>
      </c>
      <c r="BE7" s="6" t="n">
        <v>0</v>
      </c>
      <c r="BF7" s="6" t="n">
        <v>0</v>
      </c>
      <c r="BG7" s="6" t="n">
        <v>0</v>
      </c>
      <c r="BH7" s="6" t="n">
        <v>42.2233033252626</v>
      </c>
      <c r="BI7" s="6" t="n">
        <v>64.2003557344654</v>
      </c>
      <c r="BJ7" s="6" t="n">
        <v>110.892792966151</v>
      </c>
      <c r="BK7" s="6" t="n">
        <v>0</v>
      </c>
      <c r="BL7" s="6" t="n">
        <v>0</v>
      </c>
      <c r="BM7" s="6" t="n">
        <v>9.7595018247625</v>
      </c>
      <c r="BN7" s="6" t="n">
        <v>4818.55388416539</v>
      </c>
      <c r="BO7" s="6" t="n">
        <v>122.053952587902</v>
      </c>
      <c r="BP7" s="6" t="n">
        <v>8.76534321500093</v>
      </c>
      <c r="BQ7" s="6" t="n">
        <v>3</v>
      </c>
      <c r="BR7" s="6" t="n">
        <v>0</v>
      </c>
      <c r="BS7" s="6" t="n">
        <v>33.7650822959045</v>
      </c>
      <c r="BT7" s="6" t="n">
        <v>0</v>
      </c>
      <c r="BU7" s="6" t="n">
        <v>0</v>
      </c>
      <c r="BV7" s="6" t="n">
        <v>0</v>
      </c>
      <c r="BW7" s="6" t="n">
        <v>0</v>
      </c>
      <c r="BX7" s="6" t="n">
        <v>0</v>
      </c>
      <c r="BY7" s="6" t="n">
        <v>0.538560109397545</v>
      </c>
      <c r="BZ7" s="6" t="n">
        <v>0</v>
      </c>
      <c r="CA7" s="6" t="n">
        <v>0</v>
      </c>
      <c r="CB7" s="6" t="n">
        <v>0</v>
      </c>
      <c r="CC7" s="6" t="n">
        <v>0</v>
      </c>
      <c r="CD7" s="6" t="n">
        <v>0</v>
      </c>
      <c r="CE7" s="6" t="n">
        <v>0</v>
      </c>
      <c r="CF7" s="6" t="n">
        <v>0</v>
      </c>
      <c r="CG7" s="6" t="n">
        <v>0</v>
      </c>
      <c r="CH7" s="6" t="n">
        <v>1.18966835693585</v>
      </c>
      <c r="CI7" s="6" t="n">
        <v>0</v>
      </c>
      <c r="CJ7" s="6" t="n">
        <v>0</v>
      </c>
      <c r="CK7" s="6" t="n">
        <v>0</v>
      </c>
      <c r="CL7" s="6" t="n">
        <v>0</v>
      </c>
      <c r="CM7" s="6" t="n">
        <v>0</v>
      </c>
      <c r="CN7" s="6" t="n">
        <v>0</v>
      </c>
      <c r="CO7" s="6" t="n">
        <v>0</v>
      </c>
      <c r="CP7" s="6" t="n">
        <v>0</v>
      </c>
      <c r="CQ7" s="6" t="n">
        <v>0</v>
      </c>
      <c r="CR7" s="6" t="n">
        <v>0</v>
      </c>
      <c r="CS7" s="6" t="n">
        <v>0</v>
      </c>
      <c r="CT7" s="6" t="n">
        <v>0</v>
      </c>
      <c r="CU7" s="6" t="n">
        <v>0</v>
      </c>
      <c r="CV7" s="6" t="n">
        <v>46.1953670722841</v>
      </c>
      <c r="CW7" s="6" t="n">
        <v>0</v>
      </c>
      <c r="CX7" s="6" t="n">
        <v>0</v>
      </c>
      <c r="CY7" s="6" t="n">
        <v>0</v>
      </c>
      <c r="CZ7" s="6" t="n">
        <v>0</v>
      </c>
      <c r="DA7" s="6" t="n">
        <v>0</v>
      </c>
      <c r="DB7" s="6" t="n">
        <v>0</v>
      </c>
      <c r="DC7" s="6" t="n">
        <v>0</v>
      </c>
      <c r="DD7" s="6" t="n">
        <v>0</v>
      </c>
    </row>
    <row r="8">
      <c r="A8" s="4" t="inlineStr">
        <is>
          <t>V | Construção civil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0</v>
      </c>
      <c r="Y8" s="6" t="n">
        <v>0</v>
      </c>
      <c r="Z8" s="6" t="n">
        <v>0</v>
      </c>
      <c r="AA8" s="6" t="n">
        <v>0</v>
      </c>
      <c r="AB8" s="6" t="n">
        <v>0</v>
      </c>
      <c r="AC8" s="6" t="n">
        <v>0</v>
      </c>
      <c r="AD8" s="6" t="n">
        <v>0</v>
      </c>
      <c r="AE8" s="6" t="n">
        <v>0</v>
      </c>
      <c r="AF8" s="6" t="n">
        <v>0</v>
      </c>
      <c r="AG8" s="6" t="n">
        <v>0</v>
      </c>
      <c r="AH8" s="6" t="n">
        <v>0</v>
      </c>
      <c r="AI8" s="6" t="n">
        <v>0</v>
      </c>
      <c r="AJ8" s="6" t="n">
        <v>0</v>
      </c>
      <c r="AK8" s="6" t="n">
        <v>0</v>
      </c>
      <c r="AL8" s="6" t="n">
        <v>0</v>
      </c>
      <c r="AM8" s="6" t="n">
        <v>0</v>
      </c>
      <c r="AN8" s="6" t="n">
        <v>0</v>
      </c>
      <c r="AO8" s="6" t="n">
        <v>0</v>
      </c>
      <c r="AP8" s="6" t="n">
        <v>0</v>
      </c>
      <c r="AQ8" s="6" t="n">
        <v>0</v>
      </c>
      <c r="AR8" s="6" t="n">
        <v>0</v>
      </c>
      <c r="AS8" s="6" t="n">
        <v>0</v>
      </c>
      <c r="AT8" s="6" t="n">
        <v>0</v>
      </c>
      <c r="AU8" s="6" t="n">
        <v>0</v>
      </c>
      <c r="AV8" s="6" t="n">
        <v>0</v>
      </c>
      <c r="AW8" s="6" t="n">
        <v>0</v>
      </c>
      <c r="AX8" s="6" t="n">
        <v>0</v>
      </c>
      <c r="AY8" s="6" t="n">
        <v>0</v>
      </c>
      <c r="AZ8" s="6" t="n">
        <v>0</v>
      </c>
      <c r="BA8" s="6" t="n">
        <v>0</v>
      </c>
      <c r="BB8" s="6" t="n">
        <v>0</v>
      </c>
      <c r="BC8" s="6" t="n">
        <v>0</v>
      </c>
      <c r="BD8" s="6" t="n">
        <v>0</v>
      </c>
      <c r="BE8" s="6" t="n">
        <v>0</v>
      </c>
      <c r="BF8" s="6" t="n">
        <v>0</v>
      </c>
      <c r="BG8" s="6" t="n">
        <v>0</v>
      </c>
      <c r="BH8" s="6" t="n">
        <v>0</v>
      </c>
      <c r="BI8" s="6" t="n">
        <v>0</v>
      </c>
      <c r="BJ8" s="6" t="n">
        <v>0</v>
      </c>
      <c r="BK8" s="6" t="n">
        <v>0</v>
      </c>
      <c r="BL8" s="6" t="n">
        <v>0</v>
      </c>
      <c r="BM8" s="6" t="n">
        <v>0</v>
      </c>
      <c r="BN8" s="6" t="n">
        <v>0</v>
      </c>
      <c r="BO8" s="6" t="n">
        <v>0</v>
      </c>
      <c r="BP8" s="6" t="n">
        <v>0</v>
      </c>
      <c r="BQ8" s="6" t="n">
        <v>0</v>
      </c>
      <c r="BR8" s="6" t="n">
        <v>0</v>
      </c>
      <c r="BS8" s="6" t="n">
        <v>0</v>
      </c>
      <c r="BT8" s="6" t="n">
        <v>0</v>
      </c>
      <c r="BU8" s="6" t="n">
        <v>0</v>
      </c>
      <c r="BV8" s="6" t="n">
        <v>0</v>
      </c>
      <c r="BW8" s="6" t="n">
        <v>0</v>
      </c>
      <c r="BX8" s="6" t="n">
        <v>0</v>
      </c>
      <c r="BY8" s="6" t="n">
        <v>0</v>
      </c>
      <c r="BZ8" s="6" t="n">
        <v>0</v>
      </c>
      <c r="CA8" s="6" t="n">
        <v>0</v>
      </c>
      <c r="CB8" s="6" t="n">
        <v>0</v>
      </c>
      <c r="CC8" s="6" t="n">
        <v>0</v>
      </c>
      <c r="CD8" s="6" t="n">
        <v>0</v>
      </c>
      <c r="CE8" s="6" t="n">
        <v>0</v>
      </c>
      <c r="CF8" s="6" t="n">
        <v>0</v>
      </c>
      <c r="CG8" s="6" t="n">
        <v>0</v>
      </c>
      <c r="CH8" s="6" t="n">
        <v>0</v>
      </c>
      <c r="CI8" s="6" t="n">
        <v>0</v>
      </c>
      <c r="CJ8" s="6" t="n">
        <v>0</v>
      </c>
      <c r="CK8" s="6" t="n">
        <v>149513.749451831</v>
      </c>
      <c r="CL8" s="6" t="n">
        <v>0</v>
      </c>
      <c r="CM8" s="6" t="n">
        <v>0</v>
      </c>
      <c r="CN8" s="6" t="n">
        <v>0</v>
      </c>
      <c r="CO8" s="6" t="n">
        <v>0</v>
      </c>
      <c r="CP8" s="6" t="n">
        <v>0</v>
      </c>
      <c r="CQ8" s="6" t="n">
        <v>0</v>
      </c>
      <c r="CR8" s="6" t="n">
        <v>804.565461844623</v>
      </c>
      <c r="CS8" s="6" t="n">
        <v>0</v>
      </c>
      <c r="CT8" s="6" t="n">
        <v>0</v>
      </c>
      <c r="CU8" s="6" t="n">
        <v>0</v>
      </c>
      <c r="CV8" s="6" t="n">
        <v>115.061842226707</v>
      </c>
      <c r="CW8" s="6" t="n">
        <v>0</v>
      </c>
      <c r="CX8" s="6" t="n">
        <v>0</v>
      </c>
      <c r="CY8" s="6" t="n">
        <v>0</v>
      </c>
      <c r="CZ8" s="6" t="n">
        <v>0</v>
      </c>
      <c r="DA8" s="6" t="n">
        <v>0</v>
      </c>
      <c r="DB8" s="6" t="n">
        <v>0</v>
      </c>
      <c r="DC8" s="6" t="n">
        <v>0</v>
      </c>
      <c r="DD8" s="6" t="n">
        <v>0</v>
      </c>
    </row>
    <row r="9">
      <c r="A9" s="4" t="inlineStr">
        <is>
          <t>V | Transporte armazenagem e correio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</v>
      </c>
      <c r="AG9" s="6" t="n">
        <v>0</v>
      </c>
      <c r="AH9" s="6" t="n">
        <v>0</v>
      </c>
      <c r="AI9" s="6" t="n">
        <v>0</v>
      </c>
      <c r="AJ9" s="6" t="n">
        <v>0</v>
      </c>
      <c r="AK9" s="6" t="n">
        <v>0</v>
      </c>
      <c r="AL9" s="6" t="n">
        <v>0</v>
      </c>
      <c r="AM9" s="6" t="n">
        <v>0</v>
      </c>
      <c r="AN9" s="6" t="n">
        <v>0</v>
      </c>
      <c r="AO9" s="6" t="n">
        <v>0</v>
      </c>
      <c r="AP9" s="6" t="n">
        <v>0</v>
      </c>
      <c r="AQ9" s="6" t="n">
        <v>0</v>
      </c>
      <c r="AR9" s="6" t="n">
        <v>0</v>
      </c>
      <c r="AS9" s="6" t="n">
        <v>0</v>
      </c>
      <c r="AT9" s="6" t="n">
        <v>0</v>
      </c>
      <c r="AU9" s="6" t="n">
        <v>0</v>
      </c>
      <c r="AV9" s="6" t="n">
        <v>0</v>
      </c>
      <c r="AW9" s="6" t="n">
        <v>0</v>
      </c>
      <c r="AX9" s="6" t="n">
        <v>0</v>
      </c>
      <c r="AY9" s="6" t="n">
        <v>0</v>
      </c>
      <c r="AZ9" s="6" t="n">
        <v>0</v>
      </c>
      <c r="BA9" s="6" t="n">
        <v>0</v>
      </c>
      <c r="BB9" s="6" t="n">
        <v>0</v>
      </c>
      <c r="BC9" s="6" t="n">
        <v>0</v>
      </c>
      <c r="BD9" s="6" t="n">
        <v>0</v>
      </c>
      <c r="BE9" s="6" t="n">
        <v>0</v>
      </c>
      <c r="BF9" s="6" t="n">
        <v>0</v>
      </c>
      <c r="BG9" s="6" t="n">
        <v>0</v>
      </c>
      <c r="BH9" s="6" t="n">
        <v>0</v>
      </c>
      <c r="BI9" s="6" t="n">
        <v>0</v>
      </c>
      <c r="BJ9" s="6" t="n">
        <v>0</v>
      </c>
      <c r="BK9" s="6" t="n">
        <v>0</v>
      </c>
      <c r="BL9" s="6" t="n">
        <v>0</v>
      </c>
      <c r="BM9" s="6" t="n">
        <v>0</v>
      </c>
      <c r="BN9" s="6" t="n">
        <v>0</v>
      </c>
      <c r="BO9" s="6" t="n">
        <v>0</v>
      </c>
      <c r="BP9" s="6" t="n">
        <v>0</v>
      </c>
      <c r="BQ9" s="6" t="n">
        <v>0</v>
      </c>
      <c r="BR9" s="6" t="n">
        <v>0</v>
      </c>
      <c r="BS9" s="6" t="n">
        <v>0</v>
      </c>
      <c r="BT9" s="6" t="n">
        <v>0</v>
      </c>
      <c r="BU9" s="6" t="n">
        <v>0</v>
      </c>
      <c r="BV9" s="6" t="n">
        <v>0</v>
      </c>
      <c r="BW9" s="6" t="n">
        <v>0</v>
      </c>
      <c r="BX9" s="6" t="n">
        <v>0</v>
      </c>
      <c r="BY9" s="6" t="n">
        <v>0</v>
      </c>
      <c r="BZ9" s="6" t="n">
        <v>0</v>
      </c>
      <c r="CA9" s="6" t="n">
        <v>0</v>
      </c>
      <c r="CB9" s="6" t="n">
        <v>0</v>
      </c>
      <c r="CC9" s="6" t="n">
        <v>0</v>
      </c>
      <c r="CD9" s="6" t="n">
        <v>0</v>
      </c>
      <c r="CE9" s="6" t="n">
        <v>0</v>
      </c>
      <c r="CF9" s="6" t="n">
        <v>0</v>
      </c>
      <c r="CG9" s="6" t="n">
        <v>0</v>
      </c>
      <c r="CH9" s="6" t="n">
        <v>21.0174743058666</v>
      </c>
      <c r="CI9" s="6" t="n">
        <v>0</v>
      </c>
      <c r="CJ9" s="6" t="n">
        <v>0</v>
      </c>
      <c r="CK9" s="6" t="n">
        <v>0</v>
      </c>
      <c r="CL9" s="6" t="n">
        <v>23.778107457965</v>
      </c>
      <c r="CM9" s="6" t="n">
        <v>63022.2042450703</v>
      </c>
      <c r="CN9" s="6" t="n">
        <v>32249.5331947538</v>
      </c>
      <c r="CO9" s="6" t="n">
        <v>5597.15555555555</v>
      </c>
      <c r="CP9" s="6" t="n">
        <v>20.937396967291</v>
      </c>
      <c r="CQ9" s="6" t="n">
        <v>0</v>
      </c>
      <c r="CR9" s="6" t="n">
        <v>629.342238338276</v>
      </c>
      <c r="CS9" s="6" t="n">
        <v>0</v>
      </c>
      <c r="CT9" s="6" t="n">
        <v>0</v>
      </c>
      <c r="CU9" s="6" t="n">
        <v>0</v>
      </c>
      <c r="CV9" s="6" t="n">
        <v>4098.991443957</v>
      </c>
      <c r="CW9" s="6" t="n">
        <v>0</v>
      </c>
      <c r="CX9" s="6" t="n">
        <v>0</v>
      </c>
      <c r="CY9" s="6" t="n">
        <v>33.9491558254085</v>
      </c>
      <c r="CZ9" s="6" t="n">
        <v>0</v>
      </c>
      <c r="DA9" s="6" t="n">
        <v>0</v>
      </c>
      <c r="DB9" s="6" t="n">
        <v>0</v>
      </c>
      <c r="DC9" s="6" t="n">
        <v>0</v>
      </c>
      <c r="DD9" s="6" t="n">
        <v>0</v>
      </c>
    </row>
    <row r="10">
      <c r="A10" s="4" t="inlineStr">
        <is>
          <t>V | Agricultura silvicultura exploração florestal</t>
        </is>
      </c>
      <c r="B10" s="6" t="n">
        <v>2350.35395918368</v>
      </c>
      <c r="C10" s="6" t="n">
        <v>5857.42948412322</v>
      </c>
      <c r="D10" s="6" t="n">
        <v>1047.76631657914</v>
      </c>
      <c r="E10" s="6" t="n">
        <v>11877.6661128861</v>
      </c>
      <c r="F10" s="6" t="n">
        <v>13157.9793190771</v>
      </c>
      <c r="G10" s="6" t="n">
        <v>13676.6274365188</v>
      </c>
      <c r="H10" s="6" t="n">
        <v>2189.78711119389</v>
      </c>
      <c r="I10" s="6" t="n">
        <v>1491.84397977941</v>
      </c>
      <c r="J10" s="6" t="n">
        <v>2124.70540320391</v>
      </c>
      <c r="K10" s="6" t="n">
        <v>2002.42211869556</v>
      </c>
      <c r="L10" s="6" t="n">
        <v>3426.4192698874</v>
      </c>
      <c r="M10" s="6" t="n">
        <v>4206.72240488493</v>
      </c>
      <c r="N10" s="6" t="n">
        <v>1581.32421383648</v>
      </c>
      <c r="O10" s="6" t="n">
        <v>445.65649833376</v>
      </c>
      <c r="P10" s="6" t="n">
        <v>145.664739884393</v>
      </c>
      <c r="Q10" s="6" t="n">
        <v>61.0206495229809</v>
      </c>
      <c r="R10" s="6" t="n">
        <v>57.4258675078864</v>
      </c>
      <c r="S10" s="6" t="n">
        <v>72.93546339913669</v>
      </c>
      <c r="T10" s="6" t="n">
        <v>0</v>
      </c>
      <c r="U10" s="6" t="n">
        <v>0</v>
      </c>
      <c r="V10" s="6" t="n">
        <v>0</v>
      </c>
      <c r="W10" s="6" t="n">
        <v>0</v>
      </c>
      <c r="X10" s="6" t="n">
        <v>32.6849449022875</v>
      </c>
      <c r="Y10" s="6" t="n">
        <v>32.52045347421</v>
      </c>
      <c r="Z10" s="6" t="n">
        <v>7.38237946474619</v>
      </c>
      <c r="AA10" s="6" t="n">
        <v>171.26733340374</v>
      </c>
      <c r="AB10" s="6" t="n">
        <v>0</v>
      </c>
      <c r="AC10" s="6" t="n">
        <v>19.3484715347769</v>
      </c>
      <c r="AD10" s="6" t="n">
        <v>0</v>
      </c>
      <c r="AE10" s="6" t="n">
        <v>3.73584992399329</v>
      </c>
      <c r="AF10" s="6" t="n">
        <v>0</v>
      </c>
      <c r="AG10" s="6" t="n">
        <v>0</v>
      </c>
      <c r="AH10" s="6" t="n">
        <v>23.6570048309179</v>
      </c>
      <c r="AI10" s="6" t="n">
        <v>373.836728292204</v>
      </c>
      <c r="AJ10" s="6" t="n">
        <v>0</v>
      </c>
      <c r="AK10" s="6" t="n">
        <v>277.840730166662</v>
      </c>
      <c r="AL10" s="6" t="n">
        <v>13.8229346794734</v>
      </c>
      <c r="AM10" s="6" t="n">
        <v>38.5043783969623</v>
      </c>
      <c r="AN10" s="6" t="n">
        <v>19.2343811233831</v>
      </c>
      <c r="AO10" s="6" t="n">
        <v>5.60889060638596</v>
      </c>
      <c r="AP10" s="6" t="n">
        <v>35.881230872032</v>
      </c>
      <c r="AQ10" s="6" t="n">
        <v>23.1676299480158</v>
      </c>
      <c r="AR10" s="6" t="n">
        <v>282.87100914028</v>
      </c>
      <c r="AS10" s="6" t="n">
        <v>0</v>
      </c>
      <c r="AT10" s="6" t="n">
        <v>0</v>
      </c>
      <c r="AU10" s="6" t="n">
        <v>0</v>
      </c>
      <c r="AV10" s="6" t="n">
        <v>0</v>
      </c>
      <c r="AW10" s="6" t="n">
        <v>7.33748305665541</v>
      </c>
      <c r="AX10" s="6" t="n">
        <v>0</v>
      </c>
      <c r="AY10" s="6" t="n">
        <v>0</v>
      </c>
      <c r="AZ10" s="6" t="n">
        <v>5.29476214574523</v>
      </c>
      <c r="BA10" s="6" t="n">
        <v>0</v>
      </c>
      <c r="BB10" s="6" t="n">
        <v>0</v>
      </c>
      <c r="BC10" s="6" t="n">
        <v>0</v>
      </c>
      <c r="BD10" s="6" t="n">
        <v>0</v>
      </c>
      <c r="BE10" s="6" t="n">
        <v>0</v>
      </c>
      <c r="BF10" s="6" t="n">
        <v>0</v>
      </c>
      <c r="BG10" s="6" t="n">
        <v>4.31371595102512</v>
      </c>
      <c r="BH10" s="6" t="n">
        <v>0</v>
      </c>
      <c r="BI10" s="6" t="n">
        <v>340.428001866859</v>
      </c>
      <c r="BJ10" s="6" t="n">
        <v>0</v>
      </c>
      <c r="BK10" s="6" t="n">
        <v>0</v>
      </c>
      <c r="BL10" s="6" t="n">
        <v>0</v>
      </c>
      <c r="BM10" s="6" t="n">
        <v>0</v>
      </c>
      <c r="BN10" s="6" t="n">
        <v>0</v>
      </c>
      <c r="BO10" s="6" t="n">
        <v>0</v>
      </c>
      <c r="BP10" s="6" t="n">
        <v>0</v>
      </c>
      <c r="BQ10" s="6" t="n">
        <v>0</v>
      </c>
      <c r="BR10" s="6" t="n">
        <v>0</v>
      </c>
      <c r="BS10" s="6" t="n">
        <v>0</v>
      </c>
      <c r="BT10" s="6" t="n">
        <v>0</v>
      </c>
      <c r="BU10" s="6" t="n">
        <v>0</v>
      </c>
      <c r="BV10" s="6" t="n">
        <v>0</v>
      </c>
      <c r="BW10" s="6" t="n">
        <v>0</v>
      </c>
      <c r="BX10" s="6" t="n">
        <v>0</v>
      </c>
      <c r="BY10" s="6" t="n">
        <v>0</v>
      </c>
      <c r="BZ10" s="6" t="n">
        <v>0</v>
      </c>
      <c r="CA10" s="6" t="n">
        <v>0</v>
      </c>
      <c r="CB10" s="6" t="n">
        <v>0</v>
      </c>
      <c r="CC10" s="6" t="n">
        <v>0</v>
      </c>
      <c r="CD10" s="6" t="n">
        <v>0</v>
      </c>
      <c r="CE10" s="6" t="n">
        <v>0</v>
      </c>
      <c r="CF10" s="6" t="n">
        <v>0</v>
      </c>
      <c r="CG10" s="6" t="n">
        <v>0</v>
      </c>
      <c r="CH10" s="6" t="n">
        <v>0</v>
      </c>
      <c r="CI10" s="6" t="n">
        <v>0</v>
      </c>
      <c r="CJ10" s="6" t="n">
        <v>0</v>
      </c>
      <c r="CK10" s="6" t="n">
        <v>432</v>
      </c>
      <c r="CL10" s="6" t="n">
        <v>0.668938286772393</v>
      </c>
      <c r="CM10" s="6" t="n">
        <v>0</v>
      </c>
      <c r="CN10" s="6" t="n">
        <v>0</v>
      </c>
      <c r="CO10" s="6" t="n">
        <v>0</v>
      </c>
      <c r="CP10" s="6" t="n">
        <v>0</v>
      </c>
      <c r="CQ10" s="6" t="n">
        <v>0</v>
      </c>
      <c r="CR10" s="6" t="n">
        <v>1.82902603079072</v>
      </c>
      <c r="CS10" s="6" t="n">
        <v>0</v>
      </c>
      <c r="CT10" s="6" t="n">
        <v>0</v>
      </c>
      <c r="CU10" s="6" t="n">
        <v>0</v>
      </c>
      <c r="CV10" s="6" t="n">
        <v>0</v>
      </c>
      <c r="CW10" s="6" t="n">
        <v>0</v>
      </c>
      <c r="CX10" s="6" t="n">
        <v>0</v>
      </c>
      <c r="CY10" s="6" t="n">
        <v>0</v>
      </c>
      <c r="CZ10" s="6" t="n">
        <v>0</v>
      </c>
      <c r="DA10" s="6" t="n">
        <v>0</v>
      </c>
      <c r="DB10" s="6" t="n">
        <v>0</v>
      </c>
      <c r="DC10" s="6" t="n">
        <v>0</v>
      </c>
      <c r="DD10" s="6" t="n">
        <v>0</v>
      </c>
    </row>
    <row r="11"/>
    <row r="12">
      <c r="A12" s="4" t="inlineStr">
        <is>
          <t>q_producto = sum_i V[i,p] matriz completa</t>
        </is>
      </c>
      <c r="B12" s="6" t="n">
        <v>2451.561130498421</v>
      </c>
      <c r="C12" s="6" t="n">
        <v>6288.109713898234</v>
      </c>
      <c r="D12" s="6" t="n">
        <v>1047.76631657914</v>
      </c>
      <c r="E12" s="6" t="n">
        <v>11932.11287697796</v>
      </c>
      <c r="F12" s="6" t="n">
        <v>13568.33311874478</v>
      </c>
      <c r="G12" s="6" t="n">
        <v>14348.82241912836</v>
      </c>
      <c r="H12" s="6" t="n">
        <v>2282.553777860557</v>
      </c>
      <c r="I12" s="6" t="n">
        <v>1549.298877844758</v>
      </c>
      <c r="J12" s="6" t="n">
        <v>2126.966287254641</v>
      </c>
      <c r="K12" s="6" t="n">
        <v>2021.568562210204</v>
      </c>
      <c r="L12" s="6" t="n">
        <v>3553.797337199017</v>
      </c>
      <c r="M12" s="6" t="n">
        <v>4453.430609098144</v>
      </c>
      <c r="N12" s="6" t="n">
        <v>18073.3373644248</v>
      </c>
      <c r="O12" s="6" t="n">
        <v>4698.28002250395</v>
      </c>
      <c r="P12" s="6" t="n">
        <v>2463.432370528733</v>
      </c>
      <c r="Q12" s="6" t="n">
        <v>3342.556296550151</v>
      </c>
      <c r="R12" s="6" t="n">
        <v>2183.994581360816</v>
      </c>
      <c r="S12" s="6" t="n">
        <v>2721.054956791207</v>
      </c>
      <c r="T12" s="6" t="n">
        <v>29153.55602560303</v>
      </c>
      <c r="U12" s="6" t="n">
        <v>8441.10201455841</v>
      </c>
      <c r="V12" s="6" t="n">
        <v>348.4917039979059</v>
      </c>
      <c r="W12" s="6" t="n">
        <v>2228.343051251374</v>
      </c>
      <c r="X12" s="6" t="n">
        <v>3772.729371661181</v>
      </c>
      <c r="Y12" s="6" t="n">
        <v>24350.48538926836</v>
      </c>
      <c r="Z12" s="6" t="n">
        <v>2789.652632808133</v>
      </c>
      <c r="AA12" s="6" t="n">
        <v>10397.80761919342</v>
      </c>
      <c r="AB12" s="6" t="n">
        <v>1435.29211469534</v>
      </c>
      <c r="AC12" s="6" t="n">
        <v>5851.863264313782</v>
      </c>
      <c r="AD12" s="6" t="n">
        <v>6972.887617594702</v>
      </c>
      <c r="AE12" s="6" t="n">
        <v>3356.898268179209</v>
      </c>
      <c r="AF12" s="6" t="n">
        <v>4280.93331348616</v>
      </c>
      <c r="AG12" s="6" t="n">
        <v>5189.554105956232</v>
      </c>
      <c r="AH12" s="6" t="n">
        <v>8705.045626565287</v>
      </c>
      <c r="AI12" s="6" t="n">
        <v>4223.812024504072</v>
      </c>
      <c r="AJ12" s="6" t="n">
        <v>4700.667591075257</v>
      </c>
      <c r="AK12" s="6" t="n">
        <v>1256.107997212725</v>
      </c>
      <c r="AL12" s="6" t="n">
        <v>6982.878575834085</v>
      </c>
      <c r="AM12" s="6" t="n">
        <v>12812.8150801074</v>
      </c>
      <c r="AN12" s="6" t="n">
        <v>2451.438338682503</v>
      </c>
      <c r="AO12" s="6" t="n">
        <v>23188.57435658479</v>
      </c>
      <c r="AP12" s="6" t="n">
        <v>17670.52749583582</v>
      </c>
      <c r="AQ12" s="6" t="n">
        <v>4741.257063827136</v>
      </c>
      <c r="AR12" s="6" t="n">
        <v>4849.677318242295</v>
      </c>
      <c r="AS12" s="6" t="n">
        <v>17970.77503575541</v>
      </c>
      <c r="AT12" s="6" t="n">
        <v>21243.18465979843</v>
      </c>
      <c r="AU12" s="6" t="n">
        <v>4546.230619973364</v>
      </c>
      <c r="AV12" s="6" t="n">
        <v>10866.91735490407</v>
      </c>
      <c r="AW12" s="6" t="n">
        <v>9100.992904328134</v>
      </c>
      <c r="AX12" s="6" t="n">
        <v>4096.36261049464</v>
      </c>
      <c r="AY12" s="6" t="n">
        <v>15599.64060982219</v>
      </c>
      <c r="AZ12" s="6" t="n">
        <v>10028.5347418917</v>
      </c>
      <c r="BA12" s="6" t="n">
        <v>4851.261822197598</v>
      </c>
      <c r="BB12" s="6" t="n">
        <v>11659.34284538626</v>
      </c>
      <c r="BC12" s="6" t="n">
        <v>19654.2484963237</v>
      </c>
      <c r="BD12" s="6" t="n">
        <v>4392.80464858881</v>
      </c>
      <c r="BE12" s="6" t="n">
        <v>31706.7891222318</v>
      </c>
      <c r="BF12" s="6" t="n">
        <v>11679.96394678279</v>
      </c>
      <c r="BG12" s="6" t="n">
        <v>10205.2464898479</v>
      </c>
      <c r="BH12" s="6" t="n">
        <v>14760.92282496454</v>
      </c>
      <c r="BI12" s="6" t="n">
        <v>15295.00593652914</v>
      </c>
      <c r="BJ12" s="6" t="n">
        <v>12997.33742127036</v>
      </c>
      <c r="BK12" s="6" t="n">
        <v>17215.94486181854</v>
      </c>
      <c r="BL12" s="6" t="n">
        <v>4362.772856035168</v>
      </c>
      <c r="BM12" s="6" t="n">
        <v>8735.34276908293</v>
      </c>
      <c r="BN12" s="6" t="n">
        <v>5265.175932846362</v>
      </c>
      <c r="BO12" s="6" t="n">
        <v>8239.852796014889</v>
      </c>
      <c r="BP12" s="6" t="n">
        <v>6507.894418655038</v>
      </c>
      <c r="BQ12" s="6" t="n">
        <v>19264.75149291896</v>
      </c>
      <c r="BR12" s="6" t="n">
        <v>4841.78715244486</v>
      </c>
      <c r="BS12" s="6" t="n">
        <v>16860.97467711201</v>
      </c>
      <c r="BT12" s="6" t="n">
        <v>2526.309890849263</v>
      </c>
      <c r="BU12" s="6" t="n">
        <v>22906.93955848994</v>
      </c>
      <c r="BV12" s="6" t="n">
        <v>11639.38959929991</v>
      </c>
      <c r="BW12" s="6" t="n">
        <v>806.2073574107455</v>
      </c>
      <c r="BX12" s="6" t="n">
        <v>28065.92961404834</v>
      </c>
      <c r="BY12" s="6" t="n">
        <v>44038.860778967</v>
      </c>
      <c r="BZ12" s="6" t="n">
        <v>4900.022967859776</v>
      </c>
      <c r="CA12" s="6" t="n">
        <v>7831.821253137998</v>
      </c>
      <c r="CB12" s="6" t="n">
        <v>13713.1668764002</v>
      </c>
      <c r="CC12" s="6" t="n">
        <v>22864.07841237853</v>
      </c>
      <c r="CD12" s="6" t="n">
        <v>5500.410107789453</v>
      </c>
      <c r="CE12" s="6" t="n">
        <v>27587.41855914953</v>
      </c>
      <c r="CF12" s="6" t="n">
        <v>11243.74493045029</v>
      </c>
      <c r="CG12" s="6" t="n">
        <v>18920.26236801043</v>
      </c>
      <c r="CH12" s="6" t="n">
        <v>12953.1897750187</v>
      </c>
      <c r="CI12" s="6" t="n">
        <v>19604.46103427851</v>
      </c>
      <c r="CJ12" s="6" t="n">
        <v>74655.89828499286</v>
      </c>
      <c r="CK12" s="6" t="n">
        <v>154148.8510803598</v>
      </c>
      <c r="CL12" s="6" t="n">
        <v>158552.5582900147</v>
      </c>
      <c r="CM12" s="6" t="n">
        <v>64293.45197736986</v>
      </c>
      <c r="CN12" s="6" t="n">
        <v>33051.55552966135</v>
      </c>
      <c r="CO12" s="6" t="n">
        <v>5597.15555555555</v>
      </c>
      <c r="CP12" s="6" t="n">
        <v>100634.552794215</v>
      </c>
      <c r="CQ12" s="6" t="n">
        <v>118373.013727584</v>
      </c>
      <c r="CR12" s="6" t="n">
        <v>45958.17397939279</v>
      </c>
      <c r="CS12" s="6" t="n">
        <v>111312.634171986</v>
      </c>
      <c r="CT12" s="6" t="n">
        <v>9025.768495902581</v>
      </c>
      <c r="CU12" s="6" t="n">
        <v>47746.59870052325</v>
      </c>
      <c r="CV12" s="6" t="n">
        <v>127248.7658724113</v>
      </c>
      <c r="CW12" s="6" t="n">
        <v>25864.71711704598</v>
      </c>
      <c r="CX12" s="6" t="n">
        <v>48867.54027071677</v>
      </c>
      <c r="CY12" s="6" t="n">
        <v>40566.62525811895</v>
      </c>
      <c r="CZ12" s="6" t="n">
        <v>29756.7336344287</v>
      </c>
      <c r="DA12" s="6" t="n">
        <v>13220.6650799048</v>
      </c>
      <c r="DB12" s="6" t="n">
        <v>46088.2797893512</v>
      </c>
      <c r="DC12" s="6" t="n">
        <v>27703.4295136783</v>
      </c>
      <c r="DD12" s="6" t="n">
        <v>162919.646298579</v>
      </c>
    </row>
    <row r="13"/>
    <row r="14">
      <c r="A14" s="8" t="inlineStr">
        <is>
          <t>D[i,p] = V[i,p] / q[p]</t>
        </is>
      </c>
    </row>
    <row r="15">
      <c r="A15" s="4" t="inlineStr">
        <is>
          <t>D | Comércio</t>
        </is>
      </c>
      <c r="B15" s="4">
        <f>IF(B$12=0,0,B5/B$12)</f>
        <v/>
      </c>
      <c r="C15" s="4">
        <f>IF(C$12=0,0,C5/C$12)</f>
        <v/>
      </c>
      <c r="D15" s="4">
        <f>IF(D$12=0,0,D5/D$12)</f>
        <v/>
      </c>
      <c r="E15" s="4">
        <f>IF(E$12=0,0,E5/E$12)</f>
        <v/>
      </c>
      <c r="F15" s="4">
        <f>IF(F$12=0,0,F5/F$12)</f>
        <v/>
      </c>
      <c r="G15" s="4">
        <f>IF(G$12=0,0,G5/G$12)</f>
        <v/>
      </c>
      <c r="H15" s="4">
        <f>IF(H$12=0,0,H5/H$12)</f>
        <v/>
      </c>
      <c r="I15" s="4">
        <f>IF(I$12=0,0,I5/I$12)</f>
        <v/>
      </c>
      <c r="J15" s="4">
        <f>IF(J$12=0,0,J5/J$12)</f>
        <v/>
      </c>
      <c r="K15" s="4">
        <f>IF(K$12=0,0,K5/K$12)</f>
        <v/>
      </c>
      <c r="L15" s="4">
        <f>IF(L$12=0,0,L5/L$12)</f>
        <v/>
      </c>
      <c r="M15" s="4">
        <f>IF(M$12=0,0,M5/M$12)</f>
        <v/>
      </c>
      <c r="N15" s="4">
        <f>IF(N$12=0,0,N5/N$12)</f>
        <v/>
      </c>
      <c r="O15" s="4">
        <f>IF(O$12=0,0,O5/O$12)</f>
        <v/>
      </c>
      <c r="P15" s="4">
        <f>IF(P$12=0,0,P5/P$12)</f>
        <v/>
      </c>
      <c r="Q15" s="4">
        <f>IF(Q$12=0,0,Q5/Q$12)</f>
        <v/>
      </c>
      <c r="R15" s="4">
        <f>IF(R$12=0,0,R5/R$12)</f>
        <v/>
      </c>
      <c r="S15" s="4">
        <f>IF(S$12=0,0,S5/S$12)</f>
        <v/>
      </c>
      <c r="T15" s="4">
        <f>IF(T$12=0,0,T5/T$12)</f>
        <v/>
      </c>
      <c r="U15" s="4">
        <f>IF(U$12=0,0,U5/U$12)</f>
        <v/>
      </c>
      <c r="V15" s="4">
        <f>IF(V$12=0,0,V5/V$12)</f>
        <v/>
      </c>
      <c r="W15" s="4">
        <f>IF(W$12=0,0,W5/W$12)</f>
        <v/>
      </c>
      <c r="X15" s="4">
        <f>IF(X$12=0,0,X5/X$12)</f>
        <v/>
      </c>
      <c r="Y15" s="4">
        <f>IF(Y$12=0,0,Y5/Y$12)</f>
        <v/>
      </c>
      <c r="Z15" s="4">
        <f>IF(Z$12=0,0,Z5/Z$12)</f>
        <v/>
      </c>
      <c r="AA15" s="4">
        <f>IF(AA$12=0,0,AA5/AA$12)</f>
        <v/>
      </c>
      <c r="AB15" s="4">
        <f>IF(AB$12=0,0,AB5/AB$12)</f>
        <v/>
      </c>
      <c r="AC15" s="4">
        <f>IF(AC$12=0,0,AC5/AC$12)</f>
        <v/>
      </c>
      <c r="AD15" s="4">
        <f>IF(AD$12=0,0,AD5/AD$12)</f>
        <v/>
      </c>
      <c r="AE15" s="4">
        <f>IF(AE$12=0,0,AE5/AE$12)</f>
        <v/>
      </c>
      <c r="AF15" s="4">
        <f>IF(AF$12=0,0,AF5/AF$12)</f>
        <v/>
      </c>
      <c r="AG15" s="4">
        <f>IF(AG$12=0,0,AG5/AG$12)</f>
        <v/>
      </c>
      <c r="AH15" s="4">
        <f>IF(AH$12=0,0,AH5/AH$12)</f>
        <v/>
      </c>
      <c r="AI15" s="4">
        <f>IF(AI$12=0,0,AI5/AI$12)</f>
        <v/>
      </c>
      <c r="AJ15" s="4">
        <f>IF(AJ$12=0,0,AJ5/AJ$12)</f>
        <v/>
      </c>
      <c r="AK15" s="4">
        <f>IF(AK$12=0,0,AK5/AK$12)</f>
        <v/>
      </c>
      <c r="AL15" s="4">
        <f>IF(AL$12=0,0,AL5/AL$12)</f>
        <v/>
      </c>
      <c r="AM15" s="4">
        <f>IF(AM$12=0,0,AM5/AM$12)</f>
        <v/>
      </c>
      <c r="AN15" s="4">
        <f>IF(AN$12=0,0,AN5/AN$12)</f>
        <v/>
      </c>
      <c r="AO15" s="4">
        <f>IF(AO$12=0,0,AO5/AO$12)</f>
        <v/>
      </c>
      <c r="AP15" s="4">
        <f>IF(AP$12=0,0,AP5/AP$12)</f>
        <v/>
      </c>
      <c r="AQ15" s="4">
        <f>IF(AQ$12=0,0,AQ5/AQ$12)</f>
        <v/>
      </c>
      <c r="AR15" s="4">
        <f>IF(AR$12=0,0,AR5/AR$12)</f>
        <v/>
      </c>
      <c r="AS15" s="4">
        <f>IF(AS$12=0,0,AS5/AS$12)</f>
        <v/>
      </c>
      <c r="AT15" s="4">
        <f>IF(AT$12=0,0,AT5/AT$12)</f>
        <v/>
      </c>
      <c r="AU15" s="4">
        <f>IF(AU$12=0,0,AU5/AU$12)</f>
        <v/>
      </c>
      <c r="AV15" s="4">
        <f>IF(AV$12=0,0,AV5/AV$12)</f>
        <v/>
      </c>
      <c r="AW15" s="4">
        <f>IF(AW$12=0,0,AW5/AW$12)</f>
        <v/>
      </c>
      <c r="AX15" s="4">
        <f>IF(AX$12=0,0,AX5/AX$12)</f>
        <v/>
      </c>
      <c r="AY15" s="4">
        <f>IF(AY$12=0,0,AY5/AY$12)</f>
        <v/>
      </c>
      <c r="AZ15" s="4">
        <f>IF(AZ$12=0,0,AZ5/AZ$12)</f>
        <v/>
      </c>
      <c r="BA15" s="4">
        <f>IF(BA$12=0,0,BA5/BA$12)</f>
        <v/>
      </c>
      <c r="BB15" s="4">
        <f>IF(BB$12=0,0,BB5/BB$12)</f>
        <v/>
      </c>
      <c r="BC15" s="4">
        <f>IF(BC$12=0,0,BC5/BC$12)</f>
        <v/>
      </c>
      <c r="BD15" s="4">
        <f>IF(BD$12=0,0,BD5/BD$12)</f>
        <v/>
      </c>
      <c r="BE15" s="4">
        <f>IF(BE$12=0,0,BE5/BE$12)</f>
        <v/>
      </c>
      <c r="BF15" s="4">
        <f>IF(BF$12=0,0,BF5/BF$12)</f>
        <v/>
      </c>
      <c r="BG15" s="4">
        <f>IF(BG$12=0,0,BG5/BG$12)</f>
        <v/>
      </c>
      <c r="BH15" s="4">
        <f>IF(BH$12=0,0,BH5/BH$12)</f>
        <v/>
      </c>
      <c r="BI15" s="4">
        <f>IF(BI$12=0,0,BI5/BI$12)</f>
        <v/>
      </c>
      <c r="BJ15" s="4">
        <f>IF(BJ$12=0,0,BJ5/BJ$12)</f>
        <v/>
      </c>
      <c r="BK15" s="4">
        <f>IF(BK$12=0,0,BK5/BK$12)</f>
        <v/>
      </c>
      <c r="BL15" s="4">
        <f>IF(BL$12=0,0,BL5/BL$12)</f>
        <v/>
      </c>
      <c r="BM15" s="4">
        <f>IF(BM$12=0,0,BM5/BM$12)</f>
        <v/>
      </c>
      <c r="BN15" s="4">
        <f>IF(BN$12=0,0,BN5/BN$12)</f>
        <v/>
      </c>
      <c r="BO15" s="4">
        <f>IF(BO$12=0,0,BO5/BO$12)</f>
        <v/>
      </c>
      <c r="BP15" s="4">
        <f>IF(BP$12=0,0,BP5/BP$12)</f>
        <v/>
      </c>
      <c r="BQ15" s="4">
        <f>IF(BQ$12=0,0,BQ5/BQ$12)</f>
        <v/>
      </c>
      <c r="BR15" s="4">
        <f>IF(BR$12=0,0,BR5/BR$12)</f>
        <v/>
      </c>
      <c r="BS15" s="4">
        <f>IF(BS$12=0,0,BS5/BS$12)</f>
        <v/>
      </c>
      <c r="BT15" s="4">
        <f>IF(BT$12=0,0,BT5/BT$12)</f>
        <v/>
      </c>
      <c r="BU15" s="4">
        <f>IF(BU$12=0,0,BU5/BU$12)</f>
        <v/>
      </c>
      <c r="BV15" s="4">
        <f>IF(BV$12=0,0,BV5/BV$12)</f>
        <v/>
      </c>
      <c r="BW15" s="4">
        <f>IF(BW$12=0,0,BW5/BW$12)</f>
        <v/>
      </c>
      <c r="BX15" s="4">
        <f>IF(BX$12=0,0,BX5/BX$12)</f>
        <v/>
      </c>
      <c r="BY15" s="4">
        <f>IF(BY$12=0,0,BY5/BY$12)</f>
        <v/>
      </c>
      <c r="BZ15" s="4">
        <f>IF(BZ$12=0,0,BZ5/BZ$12)</f>
        <v/>
      </c>
      <c r="CA15" s="4">
        <f>IF(CA$12=0,0,CA5/CA$12)</f>
        <v/>
      </c>
      <c r="CB15" s="4">
        <f>IF(CB$12=0,0,CB5/CB$12)</f>
        <v/>
      </c>
      <c r="CC15" s="4">
        <f>IF(CC$12=0,0,CC5/CC$12)</f>
        <v/>
      </c>
      <c r="CD15" s="4">
        <f>IF(CD$12=0,0,CD5/CD$12)</f>
        <v/>
      </c>
      <c r="CE15" s="4">
        <f>IF(CE$12=0,0,CE5/CE$12)</f>
        <v/>
      </c>
      <c r="CF15" s="4">
        <f>IF(CF$12=0,0,CF5/CF$12)</f>
        <v/>
      </c>
      <c r="CG15" s="4">
        <f>IF(CG$12=0,0,CG5/CG$12)</f>
        <v/>
      </c>
      <c r="CH15" s="4">
        <f>IF(CH$12=0,0,CH5/CH$12)</f>
        <v/>
      </c>
      <c r="CI15" s="4">
        <f>IF(CI$12=0,0,CI5/CI$12)</f>
        <v/>
      </c>
      <c r="CJ15" s="4">
        <f>IF(CJ$12=0,0,CJ5/CJ$12)</f>
        <v/>
      </c>
      <c r="CK15" s="4">
        <f>IF(CK$12=0,0,CK5/CK$12)</f>
        <v/>
      </c>
      <c r="CL15" s="4">
        <f>IF(CL$12=0,0,CL5/CL$12)</f>
        <v/>
      </c>
      <c r="CM15" s="4">
        <f>IF(CM$12=0,0,CM5/CM$12)</f>
        <v/>
      </c>
      <c r="CN15" s="4">
        <f>IF(CN$12=0,0,CN5/CN$12)</f>
        <v/>
      </c>
      <c r="CO15" s="4">
        <f>IF(CO$12=0,0,CO5/CO$12)</f>
        <v/>
      </c>
      <c r="CP15" s="4">
        <f>IF(CP$12=0,0,CP5/CP$12)</f>
        <v/>
      </c>
      <c r="CQ15" s="4">
        <f>IF(CQ$12=0,0,CQ5/CQ$12)</f>
        <v/>
      </c>
      <c r="CR15" s="4">
        <f>IF(CR$12=0,0,CR5/CR$12)</f>
        <v/>
      </c>
      <c r="CS15" s="4">
        <f>IF(CS$12=0,0,CS5/CS$12)</f>
        <v/>
      </c>
      <c r="CT15" s="4">
        <f>IF(CT$12=0,0,CT5/CT$12)</f>
        <v/>
      </c>
      <c r="CU15" s="4">
        <f>IF(CU$12=0,0,CU5/CU$12)</f>
        <v/>
      </c>
      <c r="CV15" s="4">
        <f>IF(CV$12=0,0,CV5/CV$12)</f>
        <v/>
      </c>
      <c r="CW15" s="4">
        <f>IF(CW$12=0,0,CW5/CW$12)</f>
        <v/>
      </c>
      <c r="CX15" s="4">
        <f>IF(CX$12=0,0,CX5/CX$12)</f>
        <v/>
      </c>
      <c r="CY15" s="4">
        <f>IF(CY$12=0,0,CY5/CY$12)</f>
        <v/>
      </c>
      <c r="CZ15" s="4">
        <f>IF(CZ$12=0,0,CZ5/CZ$12)</f>
        <v/>
      </c>
      <c r="DA15" s="4">
        <f>IF(DA$12=0,0,DA5/DA$12)</f>
        <v/>
      </c>
      <c r="DB15" s="4">
        <f>IF(DB$12=0,0,DB5/DB$12)</f>
        <v/>
      </c>
      <c r="DC15" s="4">
        <f>IF(DC$12=0,0,DC5/DC$12)</f>
        <v/>
      </c>
      <c r="DD15" s="4">
        <f>IF(DD$12=0,0,DD5/DD$12)</f>
        <v/>
      </c>
    </row>
    <row r="16">
      <c r="A16" s="4" t="inlineStr">
        <is>
          <t>D | Alimentos e Bebidas</t>
        </is>
      </c>
      <c r="B16" s="4">
        <f>IF(B$12=0,0,B6/B$12)</f>
        <v/>
      </c>
      <c r="C16" s="4">
        <f>IF(C$12=0,0,C6/C$12)</f>
        <v/>
      </c>
      <c r="D16" s="4">
        <f>IF(D$12=0,0,D6/D$12)</f>
        <v/>
      </c>
      <c r="E16" s="4">
        <f>IF(E$12=0,0,E6/E$12)</f>
        <v/>
      </c>
      <c r="F16" s="4">
        <f>IF(F$12=0,0,F6/F$12)</f>
        <v/>
      </c>
      <c r="G16" s="4">
        <f>IF(G$12=0,0,G6/G$12)</f>
        <v/>
      </c>
      <c r="H16" s="4">
        <f>IF(H$12=0,0,H6/H$12)</f>
        <v/>
      </c>
      <c r="I16" s="4">
        <f>IF(I$12=0,0,I6/I$12)</f>
        <v/>
      </c>
      <c r="J16" s="4">
        <f>IF(J$12=0,0,J6/J$12)</f>
        <v/>
      </c>
      <c r="K16" s="4">
        <f>IF(K$12=0,0,K6/K$12)</f>
        <v/>
      </c>
      <c r="L16" s="4">
        <f>IF(L$12=0,0,L6/L$12)</f>
        <v/>
      </c>
      <c r="M16" s="4">
        <f>IF(M$12=0,0,M6/M$12)</f>
        <v/>
      </c>
      <c r="N16" s="4">
        <f>IF(N$12=0,0,N6/N$12)</f>
        <v/>
      </c>
      <c r="O16" s="4">
        <f>IF(O$12=0,0,O6/O$12)</f>
        <v/>
      </c>
      <c r="P16" s="4">
        <f>IF(P$12=0,0,P6/P$12)</f>
        <v/>
      </c>
      <c r="Q16" s="4">
        <f>IF(Q$12=0,0,Q6/Q$12)</f>
        <v/>
      </c>
      <c r="R16" s="4">
        <f>IF(R$12=0,0,R6/R$12)</f>
        <v/>
      </c>
      <c r="S16" s="4">
        <f>IF(S$12=0,0,S6/S$12)</f>
        <v/>
      </c>
      <c r="T16" s="4">
        <f>IF(T$12=0,0,T6/T$12)</f>
        <v/>
      </c>
      <c r="U16" s="4">
        <f>IF(U$12=0,0,U6/U$12)</f>
        <v/>
      </c>
      <c r="V16" s="4">
        <f>IF(V$12=0,0,V6/V$12)</f>
        <v/>
      </c>
      <c r="W16" s="4">
        <f>IF(W$12=0,0,W6/W$12)</f>
        <v/>
      </c>
      <c r="X16" s="4">
        <f>IF(X$12=0,0,X6/X$12)</f>
        <v/>
      </c>
      <c r="Y16" s="4">
        <f>IF(Y$12=0,0,Y6/Y$12)</f>
        <v/>
      </c>
      <c r="Z16" s="4">
        <f>IF(Z$12=0,0,Z6/Z$12)</f>
        <v/>
      </c>
      <c r="AA16" s="4">
        <f>IF(AA$12=0,0,AA6/AA$12)</f>
        <v/>
      </c>
      <c r="AB16" s="4">
        <f>IF(AB$12=0,0,AB6/AB$12)</f>
        <v/>
      </c>
      <c r="AC16" s="4">
        <f>IF(AC$12=0,0,AC6/AC$12)</f>
        <v/>
      </c>
      <c r="AD16" s="4">
        <f>IF(AD$12=0,0,AD6/AD$12)</f>
        <v/>
      </c>
      <c r="AE16" s="4">
        <f>IF(AE$12=0,0,AE6/AE$12)</f>
        <v/>
      </c>
      <c r="AF16" s="4">
        <f>IF(AF$12=0,0,AF6/AF$12)</f>
        <v/>
      </c>
      <c r="AG16" s="4">
        <f>IF(AG$12=0,0,AG6/AG$12)</f>
        <v/>
      </c>
      <c r="AH16" s="4">
        <f>IF(AH$12=0,0,AH6/AH$12)</f>
        <v/>
      </c>
      <c r="AI16" s="4">
        <f>IF(AI$12=0,0,AI6/AI$12)</f>
        <v/>
      </c>
      <c r="AJ16" s="4">
        <f>IF(AJ$12=0,0,AJ6/AJ$12)</f>
        <v/>
      </c>
      <c r="AK16" s="4">
        <f>IF(AK$12=0,0,AK6/AK$12)</f>
        <v/>
      </c>
      <c r="AL16" s="4">
        <f>IF(AL$12=0,0,AL6/AL$12)</f>
        <v/>
      </c>
      <c r="AM16" s="4">
        <f>IF(AM$12=0,0,AM6/AM$12)</f>
        <v/>
      </c>
      <c r="AN16" s="4">
        <f>IF(AN$12=0,0,AN6/AN$12)</f>
        <v/>
      </c>
      <c r="AO16" s="4">
        <f>IF(AO$12=0,0,AO6/AO$12)</f>
        <v/>
      </c>
      <c r="AP16" s="4">
        <f>IF(AP$12=0,0,AP6/AP$12)</f>
        <v/>
      </c>
      <c r="AQ16" s="4">
        <f>IF(AQ$12=0,0,AQ6/AQ$12)</f>
        <v/>
      </c>
      <c r="AR16" s="4">
        <f>IF(AR$12=0,0,AR6/AR$12)</f>
        <v/>
      </c>
      <c r="AS16" s="4">
        <f>IF(AS$12=0,0,AS6/AS$12)</f>
        <v/>
      </c>
      <c r="AT16" s="4">
        <f>IF(AT$12=0,0,AT6/AT$12)</f>
        <v/>
      </c>
      <c r="AU16" s="4">
        <f>IF(AU$12=0,0,AU6/AU$12)</f>
        <v/>
      </c>
      <c r="AV16" s="4">
        <f>IF(AV$12=0,0,AV6/AV$12)</f>
        <v/>
      </c>
      <c r="AW16" s="4">
        <f>IF(AW$12=0,0,AW6/AW$12)</f>
        <v/>
      </c>
      <c r="AX16" s="4">
        <f>IF(AX$12=0,0,AX6/AX$12)</f>
        <v/>
      </c>
      <c r="AY16" s="4">
        <f>IF(AY$12=0,0,AY6/AY$12)</f>
        <v/>
      </c>
      <c r="AZ16" s="4">
        <f>IF(AZ$12=0,0,AZ6/AZ$12)</f>
        <v/>
      </c>
      <c r="BA16" s="4">
        <f>IF(BA$12=0,0,BA6/BA$12)</f>
        <v/>
      </c>
      <c r="BB16" s="4">
        <f>IF(BB$12=0,0,BB6/BB$12)</f>
        <v/>
      </c>
      <c r="BC16" s="4">
        <f>IF(BC$12=0,0,BC6/BC$12)</f>
        <v/>
      </c>
      <c r="BD16" s="4">
        <f>IF(BD$12=0,0,BD6/BD$12)</f>
        <v/>
      </c>
      <c r="BE16" s="4">
        <f>IF(BE$12=0,0,BE6/BE$12)</f>
        <v/>
      </c>
      <c r="BF16" s="4">
        <f>IF(BF$12=0,0,BF6/BF$12)</f>
        <v/>
      </c>
      <c r="BG16" s="4">
        <f>IF(BG$12=0,0,BG6/BG$12)</f>
        <v/>
      </c>
      <c r="BH16" s="4">
        <f>IF(BH$12=0,0,BH6/BH$12)</f>
        <v/>
      </c>
      <c r="BI16" s="4">
        <f>IF(BI$12=0,0,BI6/BI$12)</f>
        <v/>
      </c>
      <c r="BJ16" s="4">
        <f>IF(BJ$12=0,0,BJ6/BJ$12)</f>
        <v/>
      </c>
      <c r="BK16" s="4">
        <f>IF(BK$12=0,0,BK6/BK$12)</f>
        <v/>
      </c>
      <c r="BL16" s="4">
        <f>IF(BL$12=0,0,BL6/BL$12)</f>
        <v/>
      </c>
      <c r="BM16" s="4">
        <f>IF(BM$12=0,0,BM6/BM$12)</f>
        <v/>
      </c>
      <c r="BN16" s="4">
        <f>IF(BN$12=0,0,BN6/BN$12)</f>
        <v/>
      </c>
      <c r="BO16" s="4">
        <f>IF(BO$12=0,0,BO6/BO$12)</f>
        <v/>
      </c>
      <c r="BP16" s="4">
        <f>IF(BP$12=0,0,BP6/BP$12)</f>
        <v/>
      </c>
      <c r="BQ16" s="4">
        <f>IF(BQ$12=0,0,BQ6/BQ$12)</f>
        <v/>
      </c>
      <c r="BR16" s="4">
        <f>IF(BR$12=0,0,BR6/BR$12)</f>
        <v/>
      </c>
      <c r="BS16" s="4">
        <f>IF(BS$12=0,0,BS6/BS$12)</f>
        <v/>
      </c>
      <c r="BT16" s="4">
        <f>IF(BT$12=0,0,BT6/BT$12)</f>
        <v/>
      </c>
      <c r="BU16" s="4">
        <f>IF(BU$12=0,0,BU6/BU$12)</f>
        <v/>
      </c>
      <c r="BV16" s="4">
        <f>IF(BV$12=0,0,BV6/BV$12)</f>
        <v/>
      </c>
      <c r="BW16" s="4">
        <f>IF(BW$12=0,0,BW6/BW$12)</f>
        <v/>
      </c>
      <c r="BX16" s="4">
        <f>IF(BX$12=0,0,BX6/BX$12)</f>
        <v/>
      </c>
      <c r="BY16" s="4">
        <f>IF(BY$12=0,0,BY6/BY$12)</f>
        <v/>
      </c>
      <c r="BZ16" s="4">
        <f>IF(BZ$12=0,0,BZ6/BZ$12)</f>
        <v/>
      </c>
      <c r="CA16" s="4">
        <f>IF(CA$12=0,0,CA6/CA$12)</f>
        <v/>
      </c>
      <c r="CB16" s="4">
        <f>IF(CB$12=0,0,CB6/CB$12)</f>
        <v/>
      </c>
      <c r="CC16" s="4">
        <f>IF(CC$12=0,0,CC6/CC$12)</f>
        <v/>
      </c>
      <c r="CD16" s="4">
        <f>IF(CD$12=0,0,CD6/CD$12)</f>
        <v/>
      </c>
      <c r="CE16" s="4">
        <f>IF(CE$12=0,0,CE6/CE$12)</f>
        <v/>
      </c>
      <c r="CF16" s="4">
        <f>IF(CF$12=0,0,CF6/CF$12)</f>
        <v/>
      </c>
      <c r="CG16" s="4">
        <f>IF(CG$12=0,0,CG6/CG$12)</f>
        <v/>
      </c>
      <c r="CH16" s="4">
        <f>IF(CH$12=0,0,CH6/CH$12)</f>
        <v/>
      </c>
      <c r="CI16" s="4">
        <f>IF(CI$12=0,0,CI6/CI$12)</f>
        <v/>
      </c>
      <c r="CJ16" s="4">
        <f>IF(CJ$12=0,0,CJ6/CJ$12)</f>
        <v/>
      </c>
      <c r="CK16" s="4">
        <f>IF(CK$12=0,0,CK6/CK$12)</f>
        <v/>
      </c>
      <c r="CL16" s="4">
        <f>IF(CL$12=0,0,CL6/CL$12)</f>
        <v/>
      </c>
      <c r="CM16" s="4">
        <f>IF(CM$12=0,0,CM6/CM$12)</f>
        <v/>
      </c>
      <c r="CN16" s="4">
        <f>IF(CN$12=0,0,CN6/CN$12)</f>
        <v/>
      </c>
      <c r="CO16" s="4">
        <f>IF(CO$12=0,0,CO6/CO$12)</f>
        <v/>
      </c>
      <c r="CP16" s="4">
        <f>IF(CP$12=0,0,CP6/CP$12)</f>
        <v/>
      </c>
      <c r="CQ16" s="4">
        <f>IF(CQ$12=0,0,CQ6/CQ$12)</f>
        <v/>
      </c>
      <c r="CR16" s="4">
        <f>IF(CR$12=0,0,CR6/CR$12)</f>
        <v/>
      </c>
      <c r="CS16" s="4">
        <f>IF(CS$12=0,0,CS6/CS$12)</f>
        <v/>
      </c>
      <c r="CT16" s="4">
        <f>IF(CT$12=0,0,CT6/CT$12)</f>
        <v/>
      </c>
      <c r="CU16" s="4">
        <f>IF(CU$12=0,0,CU6/CU$12)</f>
        <v/>
      </c>
      <c r="CV16" s="4">
        <f>IF(CV$12=0,0,CV6/CV$12)</f>
        <v/>
      </c>
      <c r="CW16" s="4">
        <f>IF(CW$12=0,0,CW6/CW$12)</f>
        <v/>
      </c>
      <c r="CX16" s="4">
        <f>IF(CX$12=0,0,CX6/CX$12)</f>
        <v/>
      </c>
      <c r="CY16" s="4">
        <f>IF(CY$12=0,0,CY6/CY$12)</f>
        <v/>
      </c>
      <c r="CZ16" s="4">
        <f>IF(CZ$12=0,0,CZ6/CZ$12)</f>
        <v/>
      </c>
      <c r="DA16" s="4">
        <f>IF(DA$12=0,0,DA6/DA$12)</f>
        <v/>
      </c>
      <c r="DB16" s="4">
        <f>IF(DB$12=0,0,DB6/DB$12)</f>
        <v/>
      </c>
      <c r="DC16" s="4">
        <f>IF(DC$12=0,0,DC6/DC$12)</f>
        <v/>
      </c>
      <c r="DD16" s="4">
        <f>IF(DD$12=0,0,DD6/DD$12)</f>
        <v/>
      </c>
    </row>
    <row r="17">
      <c r="A17" s="4" t="inlineStr">
        <is>
          <t>D | Tintas vernizes esmaltes e lacas</t>
        </is>
      </c>
      <c r="B17" s="4">
        <f>IF(B$12=0,0,B7/B$12)</f>
        <v/>
      </c>
      <c r="C17" s="4">
        <f>IF(C$12=0,0,C7/C$12)</f>
        <v/>
      </c>
      <c r="D17" s="4">
        <f>IF(D$12=0,0,D7/D$12)</f>
        <v/>
      </c>
      <c r="E17" s="4">
        <f>IF(E$12=0,0,E7/E$12)</f>
        <v/>
      </c>
      <c r="F17" s="4">
        <f>IF(F$12=0,0,F7/F$12)</f>
        <v/>
      </c>
      <c r="G17" s="4">
        <f>IF(G$12=0,0,G7/G$12)</f>
        <v/>
      </c>
      <c r="H17" s="4">
        <f>IF(H$12=0,0,H7/H$12)</f>
        <v/>
      </c>
      <c r="I17" s="4">
        <f>IF(I$12=0,0,I7/I$12)</f>
        <v/>
      </c>
      <c r="J17" s="4">
        <f>IF(J$12=0,0,J7/J$12)</f>
        <v/>
      </c>
      <c r="K17" s="4">
        <f>IF(K$12=0,0,K7/K$12)</f>
        <v/>
      </c>
      <c r="L17" s="4">
        <f>IF(L$12=0,0,L7/L$12)</f>
        <v/>
      </c>
      <c r="M17" s="4">
        <f>IF(M$12=0,0,M7/M$12)</f>
        <v/>
      </c>
      <c r="N17" s="4">
        <f>IF(N$12=0,0,N7/N$12)</f>
        <v/>
      </c>
      <c r="O17" s="4">
        <f>IF(O$12=0,0,O7/O$12)</f>
        <v/>
      </c>
      <c r="P17" s="4">
        <f>IF(P$12=0,0,P7/P$12)</f>
        <v/>
      </c>
      <c r="Q17" s="4">
        <f>IF(Q$12=0,0,Q7/Q$12)</f>
        <v/>
      </c>
      <c r="R17" s="4">
        <f>IF(R$12=0,0,R7/R$12)</f>
        <v/>
      </c>
      <c r="S17" s="4">
        <f>IF(S$12=0,0,S7/S$12)</f>
        <v/>
      </c>
      <c r="T17" s="4">
        <f>IF(T$12=0,0,T7/T$12)</f>
        <v/>
      </c>
      <c r="U17" s="4">
        <f>IF(U$12=0,0,U7/U$12)</f>
        <v/>
      </c>
      <c r="V17" s="4">
        <f>IF(V$12=0,0,V7/V$12)</f>
        <v/>
      </c>
      <c r="W17" s="4">
        <f>IF(W$12=0,0,W7/W$12)</f>
        <v/>
      </c>
      <c r="X17" s="4">
        <f>IF(X$12=0,0,X7/X$12)</f>
        <v/>
      </c>
      <c r="Y17" s="4">
        <f>IF(Y$12=0,0,Y7/Y$12)</f>
        <v/>
      </c>
      <c r="Z17" s="4">
        <f>IF(Z$12=0,0,Z7/Z$12)</f>
        <v/>
      </c>
      <c r="AA17" s="4">
        <f>IF(AA$12=0,0,AA7/AA$12)</f>
        <v/>
      </c>
      <c r="AB17" s="4">
        <f>IF(AB$12=0,0,AB7/AB$12)</f>
        <v/>
      </c>
      <c r="AC17" s="4">
        <f>IF(AC$12=0,0,AC7/AC$12)</f>
        <v/>
      </c>
      <c r="AD17" s="4">
        <f>IF(AD$12=0,0,AD7/AD$12)</f>
        <v/>
      </c>
      <c r="AE17" s="4">
        <f>IF(AE$12=0,0,AE7/AE$12)</f>
        <v/>
      </c>
      <c r="AF17" s="4">
        <f>IF(AF$12=0,0,AF7/AF$12)</f>
        <v/>
      </c>
      <c r="AG17" s="4">
        <f>IF(AG$12=0,0,AG7/AG$12)</f>
        <v/>
      </c>
      <c r="AH17" s="4">
        <f>IF(AH$12=0,0,AH7/AH$12)</f>
        <v/>
      </c>
      <c r="AI17" s="4">
        <f>IF(AI$12=0,0,AI7/AI$12)</f>
        <v/>
      </c>
      <c r="AJ17" s="4">
        <f>IF(AJ$12=0,0,AJ7/AJ$12)</f>
        <v/>
      </c>
      <c r="AK17" s="4">
        <f>IF(AK$12=0,0,AK7/AK$12)</f>
        <v/>
      </c>
      <c r="AL17" s="4">
        <f>IF(AL$12=0,0,AL7/AL$12)</f>
        <v/>
      </c>
      <c r="AM17" s="4">
        <f>IF(AM$12=0,0,AM7/AM$12)</f>
        <v/>
      </c>
      <c r="AN17" s="4">
        <f>IF(AN$12=0,0,AN7/AN$12)</f>
        <v/>
      </c>
      <c r="AO17" s="4">
        <f>IF(AO$12=0,0,AO7/AO$12)</f>
        <v/>
      </c>
      <c r="AP17" s="4">
        <f>IF(AP$12=0,0,AP7/AP$12)</f>
        <v/>
      </c>
      <c r="AQ17" s="4">
        <f>IF(AQ$12=0,0,AQ7/AQ$12)</f>
        <v/>
      </c>
      <c r="AR17" s="4">
        <f>IF(AR$12=0,0,AR7/AR$12)</f>
        <v/>
      </c>
      <c r="AS17" s="4">
        <f>IF(AS$12=0,0,AS7/AS$12)</f>
        <v/>
      </c>
      <c r="AT17" s="4">
        <f>IF(AT$12=0,0,AT7/AT$12)</f>
        <v/>
      </c>
      <c r="AU17" s="4">
        <f>IF(AU$12=0,0,AU7/AU$12)</f>
        <v/>
      </c>
      <c r="AV17" s="4">
        <f>IF(AV$12=0,0,AV7/AV$12)</f>
        <v/>
      </c>
      <c r="AW17" s="4">
        <f>IF(AW$12=0,0,AW7/AW$12)</f>
        <v/>
      </c>
      <c r="AX17" s="4">
        <f>IF(AX$12=0,0,AX7/AX$12)</f>
        <v/>
      </c>
      <c r="AY17" s="4">
        <f>IF(AY$12=0,0,AY7/AY$12)</f>
        <v/>
      </c>
      <c r="AZ17" s="4">
        <f>IF(AZ$12=0,0,AZ7/AZ$12)</f>
        <v/>
      </c>
      <c r="BA17" s="4">
        <f>IF(BA$12=0,0,BA7/BA$12)</f>
        <v/>
      </c>
      <c r="BB17" s="4">
        <f>IF(BB$12=0,0,BB7/BB$12)</f>
        <v/>
      </c>
      <c r="BC17" s="4">
        <f>IF(BC$12=0,0,BC7/BC$12)</f>
        <v/>
      </c>
      <c r="BD17" s="4">
        <f>IF(BD$12=0,0,BD7/BD$12)</f>
        <v/>
      </c>
      <c r="BE17" s="4">
        <f>IF(BE$12=0,0,BE7/BE$12)</f>
        <v/>
      </c>
      <c r="BF17" s="4">
        <f>IF(BF$12=0,0,BF7/BF$12)</f>
        <v/>
      </c>
      <c r="BG17" s="4">
        <f>IF(BG$12=0,0,BG7/BG$12)</f>
        <v/>
      </c>
      <c r="BH17" s="4">
        <f>IF(BH$12=0,0,BH7/BH$12)</f>
        <v/>
      </c>
      <c r="BI17" s="4">
        <f>IF(BI$12=0,0,BI7/BI$12)</f>
        <v/>
      </c>
      <c r="BJ17" s="4">
        <f>IF(BJ$12=0,0,BJ7/BJ$12)</f>
        <v/>
      </c>
      <c r="BK17" s="4">
        <f>IF(BK$12=0,0,BK7/BK$12)</f>
        <v/>
      </c>
      <c r="BL17" s="4">
        <f>IF(BL$12=0,0,BL7/BL$12)</f>
        <v/>
      </c>
      <c r="BM17" s="4">
        <f>IF(BM$12=0,0,BM7/BM$12)</f>
        <v/>
      </c>
      <c r="BN17" s="4">
        <f>IF(BN$12=0,0,BN7/BN$12)</f>
        <v/>
      </c>
      <c r="BO17" s="4">
        <f>IF(BO$12=0,0,BO7/BO$12)</f>
        <v/>
      </c>
      <c r="BP17" s="4">
        <f>IF(BP$12=0,0,BP7/BP$12)</f>
        <v/>
      </c>
      <c r="BQ17" s="4">
        <f>IF(BQ$12=0,0,BQ7/BQ$12)</f>
        <v/>
      </c>
      <c r="BR17" s="4">
        <f>IF(BR$12=0,0,BR7/BR$12)</f>
        <v/>
      </c>
      <c r="BS17" s="4">
        <f>IF(BS$12=0,0,BS7/BS$12)</f>
        <v/>
      </c>
      <c r="BT17" s="4">
        <f>IF(BT$12=0,0,BT7/BT$12)</f>
        <v/>
      </c>
      <c r="BU17" s="4">
        <f>IF(BU$12=0,0,BU7/BU$12)</f>
        <v/>
      </c>
      <c r="BV17" s="4">
        <f>IF(BV$12=0,0,BV7/BV$12)</f>
        <v/>
      </c>
      <c r="BW17" s="4">
        <f>IF(BW$12=0,0,BW7/BW$12)</f>
        <v/>
      </c>
      <c r="BX17" s="4">
        <f>IF(BX$12=0,0,BX7/BX$12)</f>
        <v/>
      </c>
      <c r="BY17" s="4">
        <f>IF(BY$12=0,0,BY7/BY$12)</f>
        <v/>
      </c>
      <c r="BZ17" s="4">
        <f>IF(BZ$12=0,0,BZ7/BZ$12)</f>
        <v/>
      </c>
      <c r="CA17" s="4">
        <f>IF(CA$12=0,0,CA7/CA$12)</f>
        <v/>
      </c>
      <c r="CB17" s="4">
        <f>IF(CB$12=0,0,CB7/CB$12)</f>
        <v/>
      </c>
      <c r="CC17" s="4">
        <f>IF(CC$12=0,0,CC7/CC$12)</f>
        <v/>
      </c>
      <c r="CD17" s="4">
        <f>IF(CD$12=0,0,CD7/CD$12)</f>
        <v/>
      </c>
      <c r="CE17" s="4">
        <f>IF(CE$12=0,0,CE7/CE$12)</f>
        <v/>
      </c>
      <c r="CF17" s="4">
        <f>IF(CF$12=0,0,CF7/CF$12)</f>
        <v/>
      </c>
      <c r="CG17" s="4">
        <f>IF(CG$12=0,0,CG7/CG$12)</f>
        <v/>
      </c>
      <c r="CH17" s="4">
        <f>IF(CH$12=0,0,CH7/CH$12)</f>
        <v/>
      </c>
      <c r="CI17" s="4">
        <f>IF(CI$12=0,0,CI7/CI$12)</f>
        <v/>
      </c>
      <c r="CJ17" s="4">
        <f>IF(CJ$12=0,0,CJ7/CJ$12)</f>
        <v/>
      </c>
      <c r="CK17" s="4">
        <f>IF(CK$12=0,0,CK7/CK$12)</f>
        <v/>
      </c>
      <c r="CL17" s="4">
        <f>IF(CL$12=0,0,CL7/CL$12)</f>
        <v/>
      </c>
      <c r="CM17" s="4">
        <f>IF(CM$12=0,0,CM7/CM$12)</f>
        <v/>
      </c>
      <c r="CN17" s="4">
        <f>IF(CN$12=0,0,CN7/CN$12)</f>
        <v/>
      </c>
      <c r="CO17" s="4">
        <f>IF(CO$12=0,0,CO7/CO$12)</f>
        <v/>
      </c>
      <c r="CP17" s="4">
        <f>IF(CP$12=0,0,CP7/CP$12)</f>
        <v/>
      </c>
      <c r="CQ17" s="4">
        <f>IF(CQ$12=0,0,CQ7/CQ$12)</f>
        <v/>
      </c>
      <c r="CR17" s="4">
        <f>IF(CR$12=0,0,CR7/CR$12)</f>
        <v/>
      </c>
      <c r="CS17" s="4">
        <f>IF(CS$12=0,0,CS7/CS$12)</f>
        <v/>
      </c>
      <c r="CT17" s="4">
        <f>IF(CT$12=0,0,CT7/CT$12)</f>
        <v/>
      </c>
      <c r="CU17" s="4">
        <f>IF(CU$12=0,0,CU7/CU$12)</f>
        <v/>
      </c>
      <c r="CV17" s="4">
        <f>IF(CV$12=0,0,CV7/CV$12)</f>
        <v/>
      </c>
      <c r="CW17" s="4">
        <f>IF(CW$12=0,0,CW7/CW$12)</f>
        <v/>
      </c>
      <c r="CX17" s="4">
        <f>IF(CX$12=0,0,CX7/CX$12)</f>
        <v/>
      </c>
      <c r="CY17" s="4">
        <f>IF(CY$12=0,0,CY7/CY$12)</f>
        <v/>
      </c>
      <c r="CZ17" s="4">
        <f>IF(CZ$12=0,0,CZ7/CZ$12)</f>
        <v/>
      </c>
      <c r="DA17" s="4">
        <f>IF(DA$12=0,0,DA7/DA$12)</f>
        <v/>
      </c>
      <c r="DB17" s="4">
        <f>IF(DB$12=0,0,DB7/DB$12)</f>
        <v/>
      </c>
      <c r="DC17" s="4">
        <f>IF(DC$12=0,0,DC7/DC$12)</f>
        <v/>
      </c>
      <c r="DD17" s="4">
        <f>IF(DD$12=0,0,DD7/DD$12)</f>
        <v/>
      </c>
    </row>
    <row r="18">
      <c r="A18" s="4" t="inlineStr">
        <is>
          <t>D | Construção civil</t>
        </is>
      </c>
      <c r="B18" s="4">
        <f>IF(B$12=0,0,B8/B$12)</f>
        <v/>
      </c>
      <c r="C18" s="4">
        <f>IF(C$12=0,0,C8/C$12)</f>
        <v/>
      </c>
      <c r="D18" s="4">
        <f>IF(D$12=0,0,D8/D$12)</f>
        <v/>
      </c>
      <c r="E18" s="4">
        <f>IF(E$12=0,0,E8/E$12)</f>
        <v/>
      </c>
      <c r="F18" s="4">
        <f>IF(F$12=0,0,F8/F$12)</f>
        <v/>
      </c>
      <c r="G18" s="4">
        <f>IF(G$12=0,0,G8/G$12)</f>
        <v/>
      </c>
      <c r="H18" s="4">
        <f>IF(H$12=0,0,H8/H$12)</f>
        <v/>
      </c>
      <c r="I18" s="4">
        <f>IF(I$12=0,0,I8/I$12)</f>
        <v/>
      </c>
      <c r="J18" s="4">
        <f>IF(J$12=0,0,J8/J$12)</f>
        <v/>
      </c>
      <c r="K18" s="4">
        <f>IF(K$12=0,0,K8/K$12)</f>
        <v/>
      </c>
      <c r="L18" s="4">
        <f>IF(L$12=0,0,L8/L$12)</f>
        <v/>
      </c>
      <c r="M18" s="4">
        <f>IF(M$12=0,0,M8/M$12)</f>
        <v/>
      </c>
      <c r="N18" s="4">
        <f>IF(N$12=0,0,N8/N$12)</f>
        <v/>
      </c>
      <c r="O18" s="4">
        <f>IF(O$12=0,0,O8/O$12)</f>
        <v/>
      </c>
      <c r="P18" s="4">
        <f>IF(P$12=0,0,P8/P$12)</f>
        <v/>
      </c>
      <c r="Q18" s="4">
        <f>IF(Q$12=0,0,Q8/Q$12)</f>
        <v/>
      </c>
      <c r="R18" s="4">
        <f>IF(R$12=0,0,R8/R$12)</f>
        <v/>
      </c>
      <c r="S18" s="4">
        <f>IF(S$12=0,0,S8/S$12)</f>
        <v/>
      </c>
      <c r="T18" s="4">
        <f>IF(T$12=0,0,T8/T$12)</f>
        <v/>
      </c>
      <c r="U18" s="4">
        <f>IF(U$12=0,0,U8/U$12)</f>
        <v/>
      </c>
      <c r="V18" s="4">
        <f>IF(V$12=0,0,V8/V$12)</f>
        <v/>
      </c>
      <c r="W18" s="4">
        <f>IF(W$12=0,0,W8/W$12)</f>
        <v/>
      </c>
      <c r="X18" s="4">
        <f>IF(X$12=0,0,X8/X$12)</f>
        <v/>
      </c>
      <c r="Y18" s="4">
        <f>IF(Y$12=0,0,Y8/Y$12)</f>
        <v/>
      </c>
      <c r="Z18" s="4">
        <f>IF(Z$12=0,0,Z8/Z$12)</f>
        <v/>
      </c>
      <c r="AA18" s="4">
        <f>IF(AA$12=0,0,AA8/AA$12)</f>
        <v/>
      </c>
      <c r="AB18" s="4">
        <f>IF(AB$12=0,0,AB8/AB$12)</f>
        <v/>
      </c>
      <c r="AC18" s="4">
        <f>IF(AC$12=0,0,AC8/AC$12)</f>
        <v/>
      </c>
      <c r="AD18" s="4">
        <f>IF(AD$12=0,0,AD8/AD$12)</f>
        <v/>
      </c>
      <c r="AE18" s="4">
        <f>IF(AE$12=0,0,AE8/AE$12)</f>
        <v/>
      </c>
      <c r="AF18" s="4">
        <f>IF(AF$12=0,0,AF8/AF$12)</f>
        <v/>
      </c>
      <c r="AG18" s="4">
        <f>IF(AG$12=0,0,AG8/AG$12)</f>
        <v/>
      </c>
      <c r="AH18" s="4">
        <f>IF(AH$12=0,0,AH8/AH$12)</f>
        <v/>
      </c>
      <c r="AI18" s="4">
        <f>IF(AI$12=0,0,AI8/AI$12)</f>
        <v/>
      </c>
      <c r="AJ18" s="4">
        <f>IF(AJ$12=0,0,AJ8/AJ$12)</f>
        <v/>
      </c>
      <c r="AK18" s="4">
        <f>IF(AK$12=0,0,AK8/AK$12)</f>
        <v/>
      </c>
      <c r="AL18" s="4">
        <f>IF(AL$12=0,0,AL8/AL$12)</f>
        <v/>
      </c>
      <c r="AM18" s="4">
        <f>IF(AM$12=0,0,AM8/AM$12)</f>
        <v/>
      </c>
      <c r="AN18" s="4">
        <f>IF(AN$12=0,0,AN8/AN$12)</f>
        <v/>
      </c>
      <c r="AO18" s="4">
        <f>IF(AO$12=0,0,AO8/AO$12)</f>
        <v/>
      </c>
      <c r="AP18" s="4">
        <f>IF(AP$12=0,0,AP8/AP$12)</f>
        <v/>
      </c>
      <c r="AQ18" s="4">
        <f>IF(AQ$12=0,0,AQ8/AQ$12)</f>
        <v/>
      </c>
      <c r="AR18" s="4">
        <f>IF(AR$12=0,0,AR8/AR$12)</f>
        <v/>
      </c>
      <c r="AS18" s="4">
        <f>IF(AS$12=0,0,AS8/AS$12)</f>
        <v/>
      </c>
      <c r="AT18" s="4">
        <f>IF(AT$12=0,0,AT8/AT$12)</f>
        <v/>
      </c>
      <c r="AU18" s="4">
        <f>IF(AU$12=0,0,AU8/AU$12)</f>
        <v/>
      </c>
      <c r="AV18" s="4">
        <f>IF(AV$12=0,0,AV8/AV$12)</f>
        <v/>
      </c>
      <c r="AW18" s="4">
        <f>IF(AW$12=0,0,AW8/AW$12)</f>
        <v/>
      </c>
      <c r="AX18" s="4">
        <f>IF(AX$12=0,0,AX8/AX$12)</f>
        <v/>
      </c>
      <c r="AY18" s="4">
        <f>IF(AY$12=0,0,AY8/AY$12)</f>
        <v/>
      </c>
      <c r="AZ18" s="4">
        <f>IF(AZ$12=0,0,AZ8/AZ$12)</f>
        <v/>
      </c>
      <c r="BA18" s="4">
        <f>IF(BA$12=0,0,BA8/BA$12)</f>
        <v/>
      </c>
      <c r="BB18" s="4">
        <f>IF(BB$12=0,0,BB8/BB$12)</f>
        <v/>
      </c>
      <c r="BC18" s="4">
        <f>IF(BC$12=0,0,BC8/BC$12)</f>
        <v/>
      </c>
      <c r="BD18" s="4">
        <f>IF(BD$12=0,0,BD8/BD$12)</f>
        <v/>
      </c>
      <c r="BE18" s="4">
        <f>IF(BE$12=0,0,BE8/BE$12)</f>
        <v/>
      </c>
      <c r="BF18" s="4">
        <f>IF(BF$12=0,0,BF8/BF$12)</f>
        <v/>
      </c>
      <c r="BG18" s="4">
        <f>IF(BG$12=0,0,BG8/BG$12)</f>
        <v/>
      </c>
      <c r="BH18" s="4">
        <f>IF(BH$12=0,0,BH8/BH$12)</f>
        <v/>
      </c>
      <c r="BI18" s="4">
        <f>IF(BI$12=0,0,BI8/BI$12)</f>
        <v/>
      </c>
      <c r="BJ18" s="4">
        <f>IF(BJ$12=0,0,BJ8/BJ$12)</f>
        <v/>
      </c>
      <c r="BK18" s="4">
        <f>IF(BK$12=0,0,BK8/BK$12)</f>
        <v/>
      </c>
      <c r="BL18" s="4">
        <f>IF(BL$12=0,0,BL8/BL$12)</f>
        <v/>
      </c>
      <c r="BM18" s="4">
        <f>IF(BM$12=0,0,BM8/BM$12)</f>
        <v/>
      </c>
      <c r="BN18" s="4">
        <f>IF(BN$12=0,0,BN8/BN$12)</f>
        <v/>
      </c>
      <c r="BO18" s="4">
        <f>IF(BO$12=0,0,BO8/BO$12)</f>
        <v/>
      </c>
      <c r="BP18" s="4">
        <f>IF(BP$12=0,0,BP8/BP$12)</f>
        <v/>
      </c>
      <c r="BQ18" s="4">
        <f>IF(BQ$12=0,0,BQ8/BQ$12)</f>
        <v/>
      </c>
      <c r="BR18" s="4">
        <f>IF(BR$12=0,0,BR8/BR$12)</f>
        <v/>
      </c>
      <c r="BS18" s="4">
        <f>IF(BS$12=0,0,BS8/BS$12)</f>
        <v/>
      </c>
      <c r="BT18" s="4">
        <f>IF(BT$12=0,0,BT8/BT$12)</f>
        <v/>
      </c>
      <c r="BU18" s="4">
        <f>IF(BU$12=0,0,BU8/BU$12)</f>
        <v/>
      </c>
      <c r="BV18" s="4">
        <f>IF(BV$12=0,0,BV8/BV$12)</f>
        <v/>
      </c>
      <c r="BW18" s="4">
        <f>IF(BW$12=0,0,BW8/BW$12)</f>
        <v/>
      </c>
      <c r="BX18" s="4">
        <f>IF(BX$12=0,0,BX8/BX$12)</f>
        <v/>
      </c>
      <c r="BY18" s="4">
        <f>IF(BY$12=0,0,BY8/BY$12)</f>
        <v/>
      </c>
      <c r="BZ18" s="4">
        <f>IF(BZ$12=0,0,BZ8/BZ$12)</f>
        <v/>
      </c>
      <c r="CA18" s="4">
        <f>IF(CA$12=0,0,CA8/CA$12)</f>
        <v/>
      </c>
      <c r="CB18" s="4">
        <f>IF(CB$12=0,0,CB8/CB$12)</f>
        <v/>
      </c>
      <c r="CC18" s="4">
        <f>IF(CC$12=0,0,CC8/CC$12)</f>
        <v/>
      </c>
      <c r="CD18" s="4">
        <f>IF(CD$12=0,0,CD8/CD$12)</f>
        <v/>
      </c>
      <c r="CE18" s="4">
        <f>IF(CE$12=0,0,CE8/CE$12)</f>
        <v/>
      </c>
      <c r="CF18" s="4">
        <f>IF(CF$12=0,0,CF8/CF$12)</f>
        <v/>
      </c>
      <c r="CG18" s="4">
        <f>IF(CG$12=0,0,CG8/CG$12)</f>
        <v/>
      </c>
      <c r="CH18" s="4">
        <f>IF(CH$12=0,0,CH8/CH$12)</f>
        <v/>
      </c>
      <c r="CI18" s="4">
        <f>IF(CI$12=0,0,CI8/CI$12)</f>
        <v/>
      </c>
      <c r="CJ18" s="4">
        <f>IF(CJ$12=0,0,CJ8/CJ$12)</f>
        <v/>
      </c>
      <c r="CK18" s="4">
        <f>IF(CK$12=0,0,CK8/CK$12)</f>
        <v/>
      </c>
      <c r="CL18" s="4">
        <f>IF(CL$12=0,0,CL8/CL$12)</f>
        <v/>
      </c>
      <c r="CM18" s="4">
        <f>IF(CM$12=0,0,CM8/CM$12)</f>
        <v/>
      </c>
      <c r="CN18" s="4">
        <f>IF(CN$12=0,0,CN8/CN$12)</f>
        <v/>
      </c>
      <c r="CO18" s="4">
        <f>IF(CO$12=0,0,CO8/CO$12)</f>
        <v/>
      </c>
      <c r="CP18" s="4">
        <f>IF(CP$12=0,0,CP8/CP$12)</f>
        <v/>
      </c>
      <c r="CQ18" s="4">
        <f>IF(CQ$12=0,0,CQ8/CQ$12)</f>
        <v/>
      </c>
      <c r="CR18" s="4">
        <f>IF(CR$12=0,0,CR8/CR$12)</f>
        <v/>
      </c>
      <c r="CS18" s="4">
        <f>IF(CS$12=0,0,CS8/CS$12)</f>
        <v/>
      </c>
      <c r="CT18" s="4">
        <f>IF(CT$12=0,0,CT8/CT$12)</f>
        <v/>
      </c>
      <c r="CU18" s="4">
        <f>IF(CU$12=0,0,CU8/CU$12)</f>
        <v/>
      </c>
      <c r="CV18" s="4">
        <f>IF(CV$12=0,0,CV8/CV$12)</f>
        <v/>
      </c>
      <c r="CW18" s="4">
        <f>IF(CW$12=0,0,CW8/CW$12)</f>
        <v/>
      </c>
      <c r="CX18" s="4">
        <f>IF(CX$12=0,0,CX8/CX$12)</f>
        <v/>
      </c>
      <c r="CY18" s="4">
        <f>IF(CY$12=0,0,CY8/CY$12)</f>
        <v/>
      </c>
      <c r="CZ18" s="4">
        <f>IF(CZ$12=0,0,CZ8/CZ$12)</f>
        <v/>
      </c>
      <c r="DA18" s="4">
        <f>IF(DA$12=0,0,DA8/DA$12)</f>
        <v/>
      </c>
      <c r="DB18" s="4">
        <f>IF(DB$12=0,0,DB8/DB$12)</f>
        <v/>
      </c>
      <c r="DC18" s="4">
        <f>IF(DC$12=0,0,DC8/DC$12)</f>
        <v/>
      </c>
      <c r="DD18" s="4">
        <f>IF(DD$12=0,0,DD8/DD$12)</f>
        <v/>
      </c>
    </row>
    <row r="19">
      <c r="A19" s="4" t="inlineStr">
        <is>
          <t>D | Transporte armazenagem e correio</t>
        </is>
      </c>
      <c r="B19" s="4">
        <f>IF(B$12=0,0,B9/B$12)</f>
        <v/>
      </c>
      <c r="C19" s="4">
        <f>IF(C$12=0,0,C9/C$12)</f>
        <v/>
      </c>
      <c r="D19" s="4">
        <f>IF(D$12=0,0,D9/D$12)</f>
        <v/>
      </c>
      <c r="E19" s="4">
        <f>IF(E$12=0,0,E9/E$12)</f>
        <v/>
      </c>
      <c r="F19" s="4">
        <f>IF(F$12=0,0,F9/F$12)</f>
        <v/>
      </c>
      <c r="G19" s="4">
        <f>IF(G$12=0,0,G9/G$12)</f>
        <v/>
      </c>
      <c r="H19" s="4">
        <f>IF(H$12=0,0,H9/H$12)</f>
        <v/>
      </c>
      <c r="I19" s="4">
        <f>IF(I$12=0,0,I9/I$12)</f>
        <v/>
      </c>
      <c r="J19" s="4">
        <f>IF(J$12=0,0,J9/J$12)</f>
        <v/>
      </c>
      <c r="K19" s="4">
        <f>IF(K$12=0,0,K9/K$12)</f>
        <v/>
      </c>
      <c r="L19" s="4">
        <f>IF(L$12=0,0,L9/L$12)</f>
        <v/>
      </c>
      <c r="M19" s="4">
        <f>IF(M$12=0,0,M9/M$12)</f>
        <v/>
      </c>
      <c r="N19" s="4">
        <f>IF(N$12=0,0,N9/N$12)</f>
        <v/>
      </c>
      <c r="O19" s="4">
        <f>IF(O$12=0,0,O9/O$12)</f>
        <v/>
      </c>
      <c r="P19" s="4">
        <f>IF(P$12=0,0,P9/P$12)</f>
        <v/>
      </c>
      <c r="Q19" s="4">
        <f>IF(Q$12=0,0,Q9/Q$12)</f>
        <v/>
      </c>
      <c r="R19" s="4">
        <f>IF(R$12=0,0,R9/R$12)</f>
        <v/>
      </c>
      <c r="S19" s="4">
        <f>IF(S$12=0,0,S9/S$12)</f>
        <v/>
      </c>
      <c r="T19" s="4">
        <f>IF(T$12=0,0,T9/T$12)</f>
        <v/>
      </c>
      <c r="U19" s="4">
        <f>IF(U$12=0,0,U9/U$12)</f>
        <v/>
      </c>
      <c r="V19" s="4">
        <f>IF(V$12=0,0,V9/V$12)</f>
        <v/>
      </c>
      <c r="W19" s="4">
        <f>IF(W$12=0,0,W9/W$12)</f>
        <v/>
      </c>
      <c r="X19" s="4">
        <f>IF(X$12=0,0,X9/X$12)</f>
        <v/>
      </c>
      <c r="Y19" s="4">
        <f>IF(Y$12=0,0,Y9/Y$12)</f>
        <v/>
      </c>
      <c r="Z19" s="4">
        <f>IF(Z$12=0,0,Z9/Z$12)</f>
        <v/>
      </c>
      <c r="AA19" s="4">
        <f>IF(AA$12=0,0,AA9/AA$12)</f>
        <v/>
      </c>
      <c r="AB19" s="4">
        <f>IF(AB$12=0,0,AB9/AB$12)</f>
        <v/>
      </c>
      <c r="AC19" s="4">
        <f>IF(AC$12=0,0,AC9/AC$12)</f>
        <v/>
      </c>
      <c r="AD19" s="4">
        <f>IF(AD$12=0,0,AD9/AD$12)</f>
        <v/>
      </c>
      <c r="AE19" s="4">
        <f>IF(AE$12=0,0,AE9/AE$12)</f>
        <v/>
      </c>
      <c r="AF19" s="4">
        <f>IF(AF$12=0,0,AF9/AF$12)</f>
        <v/>
      </c>
      <c r="AG19" s="4">
        <f>IF(AG$12=0,0,AG9/AG$12)</f>
        <v/>
      </c>
      <c r="AH19" s="4">
        <f>IF(AH$12=0,0,AH9/AH$12)</f>
        <v/>
      </c>
      <c r="AI19" s="4">
        <f>IF(AI$12=0,0,AI9/AI$12)</f>
        <v/>
      </c>
      <c r="AJ19" s="4">
        <f>IF(AJ$12=0,0,AJ9/AJ$12)</f>
        <v/>
      </c>
      <c r="AK19" s="4">
        <f>IF(AK$12=0,0,AK9/AK$12)</f>
        <v/>
      </c>
      <c r="AL19" s="4">
        <f>IF(AL$12=0,0,AL9/AL$12)</f>
        <v/>
      </c>
      <c r="AM19" s="4">
        <f>IF(AM$12=0,0,AM9/AM$12)</f>
        <v/>
      </c>
      <c r="AN19" s="4">
        <f>IF(AN$12=0,0,AN9/AN$12)</f>
        <v/>
      </c>
      <c r="AO19" s="4">
        <f>IF(AO$12=0,0,AO9/AO$12)</f>
        <v/>
      </c>
      <c r="AP19" s="4">
        <f>IF(AP$12=0,0,AP9/AP$12)</f>
        <v/>
      </c>
      <c r="AQ19" s="4">
        <f>IF(AQ$12=0,0,AQ9/AQ$12)</f>
        <v/>
      </c>
      <c r="AR19" s="4">
        <f>IF(AR$12=0,0,AR9/AR$12)</f>
        <v/>
      </c>
      <c r="AS19" s="4">
        <f>IF(AS$12=0,0,AS9/AS$12)</f>
        <v/>
      </c>
      <c r="AT19" s="4">
        <f>IF(AT$12=0,0,AT9/AT$12)</f>
        <v/>
      </c>
      <c r="AU19" s="4">
        <f>IF(AU$12=0,0,AU9/AU$12)</f>
        <v/>
      </c>
      <c r="AV19" s="4">
        <f>IF(AV$12=0,0,AV9/AV$12)</f>
        <v/>
      </c>
      <c r="AW19" s="4">
        <f>IF(AW$12=0,0,AW9/AW$12)</f>
        <v/>
      </c>
      <c r="AX19" s="4">
        <f>IF(AX$12=0,0,AX9/AX$12)</f>
        <v/>
      </c>
      <c r="AY19" s="4">
        <f>IF(AY$12=0,0,AY9/AY$12)</f>
        <v/>
      </c>
      <c r="AZ19" s="4">
        <f>IF(AZ$12=0,0,AZ9/AZ$12)</f>
        <v/>
      </c>
      <c r="BA19" s="4">
        <f>IF(BA$12=0,0,BA9/BA$12)</f>
        <v/>
      </c>
      <c r="BB19" s="4">
        <f>IF(BB$12=0,0,BB9/BB$12)</f>
        <v/>
      </c>
      <c r="BC19" s="4">
        <f>IF(BC$12=0,0,BC9/BC$12)</f>
        <v/>
      </c>
      <c r="BD19" s="4">
        <f>IF(BD$12=0,0,BD9/BD$12)</f>
        <v/>
      </c>
      <c r="BE19" s="4">
        <f>IF(BE$12=0,0,BE9/BE$12)</f>
        <v/>
      </c>
      <c r="BF19" s="4">
        <f>IF(BF$12=0,0,BF9/BF$12)</f>
        <v/>
      </c>
      <c r="BG19" s="4">
        <f>IF(BG$12=0,0,BG9/BG$12)</f>
        <v/>
      </c>
      <c r="BH19" s="4">
        <f>IF(BH$12=0,0,BH9/BH$12)</f>
        <v/>
      </c>
      <c r="BI19" s="4">
        <f>IF(BI$12=0,0,BI9/BI$12)</f>
        <v/>
      </c>
      <c r="BJ19" s="4">
        <f>IF(BJ$12=0,0,BJ9/BJ$12)</f>
        <v/>
      </c>
      <c r="BK19" s="4">
        <f>IF(BK$12=0,0,BK9/BK$12)</f>
        <v/>
      </c>
      <c r="BL19" s="4">
        <f>IF(BL$12=0,0,BL9/BL$12)</f>
        <v/>
      </c>
      <c r="BM19" s="4">
        <f>IF(BM$12=0,0,BM9/BM$12)</f>
        <v/>
      </c>
      <c r="BN19" s="4">
        <f>IF(BN$12=0,0,BN9/BN$12)</f>
        <v/>
      </c>
      <c r="BO19" s="4">
        <f>IF(BO$12=0,0,BO9/BO$12)</f>
        <v/>
      </c>
      <c r="BP19" s="4">
        <f>IF(BP$12=0,0,BP9/BP$12)</f>
        <v/>
      </c>
      <c r="BQ19" s="4">
        <f>IF(BQ$12=0,0,BQ9/BQ$12)</f>
        <v/>
      </c>
      <c r="BR19" s="4">
        <f>IF(BR$12=0,0,BR9/BR$12)</f>
        <v/>
      </c>
      <c r="BS19" s="4">
        <f>IF(BS$12=0,0,BS9/BS$12)</f>
        <v/>
      </c>
      <c r="BT19" s="4">
        <f>IF(BT$12=0,0,BT9/BT$12)</f>
        <v/>
      </c>
      <c r="BU19" s="4">
        <f>IF(BU$12=0,0,BU9/BU$12)</f>
        <v/>
      </c>
      <c r="BV19" s="4">
        <f>IF(BV$12=0,0,BV9/BV$12)</f>
        <v/>
      </c>
      <c r="BW19" s="4">
        <f>IF(BW$12=0,0,BW9/BW$12)</f>
        <v/>
      </c>
      <c r="BX19" s="4">
        <f>IF(BX$12=0,0,BX9/BX$12)</f>
        <v/>
      </c>
      <c r="BY19" s="4">
        <f>IF(BY$12=0,0,BY9/BY$12)</f>
        <v/>
      </c>
      <c r="BZ19" s="4">
        <f>IF(BZ$12=0,0,BZ9/BZ$12)</f>
        <v/>
      </c>
      <c r="CA19" s="4">
        <f>IF(CA$12=0,0,CA9/CA$12)</f>
        <v/>
      </c>
      <c r="CB19" s="4">
        <f>IF(CB$12=0,0,CB9/CB$12)</f>
        <v/>
      </c>
      <c r="CC19" s="4">
        <f>IF(CC$12=0,0,CC9/CC$12)</f>
        <v/>
      </c>
      <c r="CD19" s="4">
        <f>IF(CD$12=0,0,CD9/CD$12)</f>
        <v/>
      </c>
      <c r="CE19" s="4">
        <f>IF(CE$12=0,0,CE9/CE$12)</f>
        <v/>
      </c>
      <c r="CF19" s="4">
        <f>IF(CF$12=0,0,CF9/CF$12)</f>
        <v/>
      </c>
      <c r="CG19" s="4">
        <f>IF(CG$12=0,0,CG9/CG$12)</f>
        <v/>
      </c>
      <c r="CH19" s="4">
        <f>IF(CH$12=0,0,CH9/CH$12)</f>
        <v/>
      </c>
      <c r="CI19" s="4">
        <f>IF(CI$12=0,0,CI9/CI$12)</f>
        <v/>
      </c>
      <c r="CJ19" s="4">
        <f>IF(CJ$12=0,0,CJ9/CJ$12)</f>
        <v/>
      </c>
      <c r="CK19" s="4">
        <f>IF(CK$12=0,0,CK9/CK$12)</f>
        <v/>
      </c>
      <c r="CL19" s="4">
        <f>IF(CL$12=0,0,CL9/CL$12)</f>
        <v/>
      </c>
      <c r="CM19" s="4">
        <f>IF(CM$12=0,0,CM9/CM$12)</f>
        <v/>
      </c>
      <c r="CN19" s="4">
        <f>IF(CN$12=0,0,CN9/CN$12)</f>
        <v/>
      </c>
      <c r="CO19" s="4">
        <f>IF(CO$12=0,0,CO9/CO$12)</f>
        <v/>
      </c>
      <c r="CP19" s="4">
        <f>IF(CP$12=0,0,CP9/CP$12)</f>
        <v/>
      </c>
      <c r="CQ19" s="4">
        <f>IF(CQ$12=0,0,CQ9/CQ$12)</f>
        <v/>
      </c>
      <c r="CR19" s="4">
        <f>IF(CR$12=0,0,CR9/CR$12)</f>
        <v/>
      </c>
      <c r="CS19" s="4">
        <f>IF(CS$12=0,0,CS9/CS$12)</f>
        <v/>
      </c>
      <c r="CT19" s="4">
        <f>IF(CT$12=0,0,CT9/CT$12)</f>
        <v/>
      </c>
      <c r="CU19" s="4">
        <f>IF(CU$12=0,0,CU9/CU$12)</f>
        <v/>
      </c>
      <c r="CV19" s="4">
        <f>IF(CV$12=0,0,CV9/CV$12)</f>
        <v/>
      </c>
      <c r="CW19" s="4">
        <f>IF(CW$12=0,0,CW9/CW$12)</f>
        <v/>
      </c>
      <c r="CX19" s="4">
        <f>IF(CX$12=0,0,CX9/CX$12)</f>
        <v/>
      </c>
      <c r="CY19" s="4">
        <f>IF(CY$12=0,0,CY9/CY$12)</f>
        <v/>
      </c>
      <c r="CZ19" s="4">
        <f>IF(CZ$12=0,0,CZ9/CZ$12)</f>
        <v/>
      </c>
      <c r="DA19" s="4">
        <f>IF(DA$12=0,0,DA9/DA$12)</f>
        <v/>
      </c>
      <c r="DB19" s="4">
        <f>IF(DB$12=0,0,DB9/DB$12)</f>
        <v/>
      </c>
      <c r="DC19" s="4">
        <f>IF(DC$12=0,0,DC9/DC$12)</f>
        <v/>
      </c>
      <c r="DD19" s="4">
        <f>IF(DD$12=0,0,DD9/DD$12)</f>
        <v/>
      </c>
    </row>
    <row r="20">
      <c r="A20" s="4" t="inlineStr">
        <is>
          <t>D | Agricultura silvicultura exploração florestal</t>
        </is>
      </c>
      <c r="B20" s="4">
        <f>IF(B$12=0,0,B10/B$12)</f>
        <v/>
      </c>
      <c r="C20" s="4">
        <f>IF(C$12=0,0,C10/C$12)</f>
        <v/>
      </c>
      <c r="D20" s="4">
        <f>IF(D$12=0,0,D10/D$12)</f>
        <v/>
      </c>
      <c r="E20" s="4">
        <f>IF(E$12=0,0,E10/E$12)</f>
        <v/>
      </c>
      <c r="F20" s="4">
        <f>IF(F$12=0,0,F10/F$12)</f>
        <v/>
      </c>
      <c r="G20" s="4">
        <f>IF(G$12=0,0,G10/G$12)</f>
        <v/>
      </c>
      <c r="H20" s="4">
        <f>IF(H$12=0,0,H10/H$12)</f>
        <v/>
      </c>
      <c r="I20" s="4">
        <f>IF(I$12=0,0,I10/I$12)</f>
        <v/>
      </c>
      <c r="J20" s="4">
        <f>IF(J$12=0,0,J10/J$12)</f>
        <v/>
      </c>
      <c r="K20" s="4">
        <f>IF(K$12=0,0,K10/K$12)</f>
        <v/>
      </c>
      <c r="L20" s="4">
        <f>IF(L$12=0,0,L10/L$12)</f>
        <v/>
      </c>
      <c r="M20" s="4">
        <f>IF(M$12=0,0,M10/M$12)</f>
        <v/>
      </c>
      <c r="N20" s="4">
        <f>IF(N$12=0,0,N10/N$12)</f>
        <v/>
      </c>
      <c r="O20" s="4">
        <f>IF(O$12=0,0,O10/O$12)</f>
        <v/>
      </c>
      <c r="P20" s="4">
        <f>IF(P$12=0,0,P10/P$12)</f>
        <v/>
      </c>
      <c r="Q20" s="4">
        <f>IF(Q$12=0,0,Q10/Q$12)</f>
        <v/>
      </c>
      <c r="R20" s="4">
        <f>IF(R$12=0,0,R10/R$12)</f>
        <v/>
      </c>
      <c r="S20" s="4">
        <f>IF(S$12=0,0,S10/S$12)</f>
        <v/>
      </c>
      <c r="T20" s="4">
        <f>IF(T$12=0,0,T10/T$12)</f>
        <v/>
      </c>
      <c r="U20" s="4">
        <f>IF(U$12=0,0,U10/U$12)</f>
        <v/>
      </c>
      <c r="V20" s="4">
        <f>IF(V$12=0,0,V10/V$12)</f>
        <v/>
      </c>
      <c r="W20" s="4">
        <f>IF(W$12=0,0,W10/W$12)</f>
        <v/>
      </c>
      <c r="X20" s="4">
        <f>IF(X$12=0,0,X10/X$12)</f>
        <v/>
      </c>
      <c r="Y20" s="4">
        <f>IF(Y$12=0,0,Y10/Y$12)</f>
        <v/>
      </c>
      <c r="Z20" s="4">
        <f>IF(Z$12=0,0,Z10/Z$12)</f>
        <v/>
      </c>
      <c r="AA20" s="4">
        <f>IF(AA$12=0,0,AA10/AA$12)</f>
        <v/>
      </c>
      <c r="AB20" s="4">
        <f>IF(AB$12=0,0,AB10/AB$12)</f>
        <v/>
      </c>
      <c r="AC20" s="4">
        <f>IF(AC$12=0,0,AC10/AC$12)</f>
        <v/>
      </c>
      <c r="AD20" s="4">
        <f>IF(AD$12=0,0,AD10/AD$12)</f>
        <v/>
      </c>
      <c r="AE20" s="4">
        <f>IF(AE$12=0,0,AE10/AE$12)</f>
        <v/>
      </c>
      <c r="AF20" s="4">
        <f>IF(AF$12=0,0,AF10/AF$12)</f>
        <v/>
      </c>
      <c r="AG20" s="4">
        <f>IF(AG$12=0,0,AG10/AG$12)</f>
        <v/>
      </c>
      <c r="AH20" s="4">
        <f>IF(AH$12=0,0,AH10/AH$12)</f>
        <v/>
      </c>
      <c r="AI20" s="4">
        <f>IF(AI$12=0,0,AI10/AI$12)</f>
        <v/>
      </c>
      <c r="AJ20" s="4">
        <f>IF(AJ$12=0,0,AJ10/AJ$12)</f>
        <v/>
      </c>
      <c r="AK20" s="4">
        <f>IF(AK$12=0,0,AK10/AK$12)</f>
        <v/>
      </c>
      <c r="AL20" s="4">
        <f>IF(AL$12=0,0,AL10/AL$12)</f>
        <v/>
      </c>
      <c r="AM20" s="4">
        <f>IF(AM$12=0,0,AM10/AM$12)</f>
        <v/>
      </c>
      <c r="AN20" s="4">
        <f>IF(AN$12=0,0,AN10/AN$12)</f>
        <v/>
      </c>
      <c r="AO20" s="4">
        <f>IF(AO$12=0,0,AO10/AO$12)</f>
        <v/>
      </c>
      <c r="AP20" s="4">
        <f>IF(AP$12=0,0,AP10/AP$12)</f>
        <v/>
      </c>
      <c r="AQ20" s="4">
        <f>IF(AQ$12=0,0,AQ10/AQ$12)</f>
        <v/>
      </c>
      <c r="AR20" s="4">
        <f>IF(AR$12=0,0,AR10/AR$12)</f>
        <v/>
      </c>
      <c r="AS20" s="4">
        <f>IF(AS$12=0,0,AS10/AS$12)</f>
        <v/>
      </c>
      <c r="AT20" s="4">
        <f>IF(AT$12=0,0,AT10/AT$12)</f>
        <v/>
      </c>
      <c r="AU20" s="4">
        <f>IF(AU$12=0,0,AU10/AU$12)</f>
        <v/>
      </c>
      <c r="AV20" s="4">
        <f>IF(AV$12=0,0,AV10/AV$12)</f>
        <v/>
      </c>
      <c r="AW20" s="4">
        <f>IF(AW$12=0,0,AW10/AW$12)</f>
        <v/>
      </c>
      <c r="AX20" s="4">
        <f>IF(AX$12=0,0,AX10/AX$12)</f>
        <v/>
      </c>
      <c r="AY20" s="4">
        <f>IF(AY$12=0,0,AY10/AY$12)</f>
        <v/>
      </c>
      <c r="AZ20" s="4">
        <f>IF(AZ$12=0,0,AZ10/AZ$12)</f>
        <v/>
      </c>
      <c r="BA20" s="4">
        <f>IF(BA$12=0,0,BA10/BA$12)</f>
        <v/>
      </c>
      <c r="BB20" s="4">
        <f>IF(BB$12=0,0,BB10/BB$12)</f>
        <v/>
      </c>
      <c r="BC20" s="4">
        <f>IF(BC$12=0,0,BC10/BC$12)</f>
        <v/>
      </c>
      <c r="BD20" s="4">
        <f>IF(BD$12=0,0,BD10/BD$12)</f>
        <v/>
      </c>
      <c r="BE20" s="4">
        <f>IF(BE$12=0,0,BE10/BE$12)</f>
        <v/>
      </c>
      <c r="BF20" s="4">
        <f>IF(BF$12=0,0,BF10/BF$12)</f>
        <v/>
      </c>
      <c r="BG20" s="4">
        <f>IF(BG$12=0,0,BG10/BG$12)</f>
        <v/>
      </c>
      <c r="BH20" s="4">
        <f>IF(BH$12=0,0,BH10/BH$12)</f>
        <v/>
      </c>
      <c r="BI20" s="4">
        <f>IF(BI$12=0,0,BI10/BI$12)</f>
        <v/>
      </c>
      <c r="BJ20" s="4">
        <f>IF(BJ$12=0,0,BJ10/BJ$12)</f>
        <v/>
      </c>
      <c r="BK20" s="4">
        <f>IF(BK$12=0,0,BK10/BK$12)</f>
        <v/>
      </c>
      <c r="BL20" s="4">
        <f>IF(BL$12=0,0,BL10/BL$12)</f>
        <v/>
      </c>
      <c r="BM20" s="4">
        <f>IF(BM$12=0,0,BM10/BM$12)</f>
        <v/>
      </c>
      <c r="BN20" s="4">
        <f>IF(BN$12=0,0,BN10/BN$12)</f>
        <v/>
      </c>
      <c r="BO20" s="4">
        <f>IF(BO$12=0,0,BO10/BO$12)</f>
        <v/>
      </c>
      <c r="BP20" s="4">
        <f>IF(BP$12=0,0,BP10/BP$12)</f>
        <v/>
      </c>
      <c r="BQ20" s="4">
        <f>IF(BQ$12=0,0,BQ10/BQ$12)</f>
        <v/>
      </c>
      <c r="BR20" s="4">
        <f>IF(BR$12=0,0,BR10/BR$12)</f>
        <v/>
      </c>
      <c r="BS20" s="4">
        <f>IF(BS$12=0,0,BS10/BS$12)</f>
        <v/>
      </c>
      <c r="BT20" s="4">
        <f>IF(BT$12=0,0,BT10/BT$12)</f>
        <v/>
      </c>
      <c r="BU20" s="4">
        <f>IF(BU$12=0,0,BU10/BU$12)</f>
        <v/>
      </c>
      <c r="BV20" s="4">
        <f>IF(BV$12=0,0,BV10/BV$12)</f>
        <v/>
      </c>
      <c r="BW20" s="4">
        <f>IF(BW$12=0,0,BW10/BW$12)</f>
        <v/>
      </c>
      <c r="BX20" s="4">
        <f>IF(BX$12=0,0,BX10/BX$12)</f>
        <v/>
      </c>
      <c r="BY20" s="4">
        <f>IF(BY$12=0,0,BY10/BY$12)</f>
        <v/>
      </c>
      <c r="BZ20" s="4">
        <f>IF(BZ$12=0,0,BZ10/BZ$12)</f>
        <v/>
      </c>
      <c r="CA20" s="4">
        <f>IF(CA$12=0,0,CA10/CA$12)</f>
        <v/>
      </c>
      <c r="CB20" s="4">
        <f>IF(CB$12=0,0,CB10/CB$12)</f>
        <v/>
      </c>
      <c r="CC20" s="4">
        <f>IF(CC$12=0,0,CC10/CC$12)</f>
        <v/>
      </c>
      <c r="CD20" s="4">
        <f>IF(CD$12=0,0,CD10/CD$12)</f>
        <v/>
      </c>
      <c r="CE20" s="4">
        <f>IF(CE$12=0,0,CE10/CE$12)</f>
        <v/>
      </c>
      <c r="CF20" s="4">
        <f>IF(CF$12=0,0,CF10/CF$12)</f>
        <v/>
      </c>
      <c r="CG20" s="4">
        <f>IF(CG$12=0,0,CG10/CG$12)</f>
        <v/>
      </c>
      <c r="CH20" s="4">
        <f>IF(CH$12=0,0,CH10/CH$12)</f>
        <v/>
      </c>
      <c r="CI20" s="4">
        <f>IF(CI$12=0,0,CI10/CI$12)</f>
        <v/>
      </c>
      <c r="CJ20" s="4">
        <f>IF(CJ$12=0,0,CJ10/CJ$12)</f>
        <v/>
      </c>
      <c r="CK20" s="4">
        <f>IF(CK$12=0,0,CK10/CK$12)</f>
        <v/>
      </c>
      <c r="CL20" s="4">
        <f>IF(CL$12=0,0,CL10/CL$12)</f>
        <v/>
      </c>
      <c r="CM20" s="4">
        <f>IF(CM$12=0,0,CM10/CM$12)</f>
        <v/>
      </c>
      <c r="CN20" s="4">
        <f>IF(CN$12=0,0,CN10/CN$12)</f>
        <v/>
      </c>
      <c r="CO20" s="4">
        <f>IF(CO$12=0,0,CO10/CO$12)</f>
        <v/>
      </c>
      <c r="CP20" s="4">
        <f>IF(CP$12=0,0,CP10/CP$12)</f>
        <v/>
      </c>
      <c r="CQ20" s="4">
        <f>IF(CQ$12=0,0,CQ10/CQ$12)</f>
        <v/>
      </c>
      <c r="CR20" s="4">
        <f>IF(CR$12=0,0,CR10/CR$12)</f>
        <v/>
      </c>
      <c r="CS20" s="4">
        <f>IF(CS$12=0,0,CS10/CS$12)</f>
        <v/>
      </c>
      <c r="CT20" s="4">
        <f>IF(CT$12=0,0,CT10/CT$12)</f>
        <v/>
      </c>
      <c r="CU20" s="4">
        <f>IF(CU$12=0,0,CU10/CU$12)</f>
        <v/>
      </c>
      <c r="CV20" s="4">
        <f>IF(CV$12=0,0,CV10/CV$12)</f>
        <v/>
      </c>
      <c r="CW20" s="4">
        <f>IF(CW$12=0,0,CW10/CW$12)</f>
        <v/>
      </c>
      <c r="CX20" s="4">
        <f>IF(CX$12=0,0,CX10/CX$12)</f>
        <v/>
      </c>
      <c r="CY20" s="4">
        <f>IF(CY$12=0,0,CY10/CY$12)</f>
        <v/>
      </c>
      <c r="CZ20" s="4">
        <f>IF(CZ$12=0,0,CZ10/CZ$12)</f>
        <v/>
      </c>
      <c r="DA20" s="4">
        <f>IF(DA$12=0,0,DA10/DA$12)</f>
        <v/>
      </c>
      <c r="DB20" s="4">
        <f>IF(DB$12=0,0,DB10/DB$12)</f>
        <v/>
      </c>
      <c r="DC20" s="4">
        <f>IF(DC$12=0,0,DC10/DC$12)</f>
        <v/>
      </c>
      <c r="DD20" s="4">
        <f>IF(DD$12=0,0,DD10/DD$12)</f>
        <v/>
      </c>
    </row>
    <row r="21"/>
    <row r="22"/>
    <row r="23">
      <c r="A23" s="8" t="inlineStr">
        <is>
          <t>U[p,j] transpuesta: comprador j en filas, productos p en columnas</t>
        </is>
      </c>
    </row>
    <row r="24">
      <c r="A24" s="4" t="inlineStr">
        <is>
          <t>U | Comércio</t>
        </is>
      </c>
      <c r="B24" s="6" t="n">
        <v>0</v>
      </c>
      <c r="C24" s="6" t="n">
        <v>116.7167778716316</v>
      </c>
      <c r="D24" s="6" t="n">
        <v>44.58966897627472</v>
      </c>
      <c r="E24" s="6" t="n">
        <v>0</v>
      </c>
      <c r="F24" s="6" t="n">
        <v>1430.975176554775</v>
      </c>
      <c r="G24" s="6" t="n">
        <v>32.92003491760174</v>
      </c>
      <c r="H24" s="6" t="n">
        <v>68.86288709132764</v>
      </c>
      <c r="I24" s="6" t="n">
        <v>0</v>
      </c>
      <c r="J24" s="6" t="n">
        <v>45.53799629595473</v>
      </c>
      <c r="K24" s="6" t="n">
        <v>0</v>
      </c>
      <c r="L24" s="6" t="n">
        <v>0</v>
      </c>
      <c r="M24" s="6" t="n">
        <v>30.48457267180463</v>
      </c>
      <c r="N24" s="6" t="n">
        <v>0</v>
      </c>
      <c r="O24" s="6" t="n">
        <v>0</v>
      </c>
      <c r="P24" s="6" t="n">
        <v>0</v>
      </c>
      <c r="Q24" s="6" t="n">
        <v>0</v>
      </c>
      <c r="R24" s="6" t="n">
        <v>0.8158570216078834</v>
      </c>
      <c r="S24" s="6" t="n">
        <v>0</v>
      </c>
      <c r="T24" s="6" t="n">
        <v>0.220754535802</v>
      </c>
      <c r="U24" s="6" t="n">
        <v>0</v>
      </c>
      <c r="V24" s="6" t="n">
        <v>0</v>
      </c>
      <c r="W24" s="6" t="n">
        <v>0</v>
      </c>
      <c r="X24" s="6" t="n">
        <v>9.061811716496267</v>
      </c>
      <c r="Y24" s="6" t="n">
        <v>0</v>
      </c>
      <c r="Z24" s="6" t="n">
        <v>0</v>
      </c>
      <c r="AA24" s="6" t="n">
        <v>65.68415916234467</v>
      </c>
      <c r="AB24" s="6" t="n">
        <v>0</v>
      </c>
      <c r="AC24" s="6" t="n">
        <v>0</v>
      </c>
      <c r="AD24" s="6" t="n">
        <v>18.88258910526232</v>
      </c>
      <c r="AE24" s="6" t="n">
        <v>30.5713403096334</v>
      </c>
      <c r="AF24" s="6" t="n">
        <v>0.8182535745548648</v>
      </c>
      <c r="AG24" s="6" t="n">
        <v>0</v>
      </c>
      <c r="AH24" s="6" t="n">
        <v>1.795032084242992</v>
      </c>
      <c r="AI24" s="6" t="n">
        <v>0</v>
      </c>
      <c r="AJ24" s="6" t="n">
        <v>456.5627967096782</v>
      </c>
      <c r="AK24" s="6" t="n">
        <v>0</v>
      </c>
      <c r="AL24" s="6" t="n">
        <v>23.23876161203967</v>
      </c>
      <c r="AM24" s="6" t="n">
        <v>3.695670744259674</v>
      </c>
      <c r="AN24" s="6" t="n">
        <v>24.59404912810504</v>
      </c>
      <c r="AO24" s="6" t="n">
        <v>36.30804984030347</v>
      </c>
      <c r="AP24" s="6" t="n">
        <v>2.444076634803964</v>
      </c>
      <c r="AQ24" s="6" t="n">
        <v>0</v>
      </c>
      <c r="AR24" s="6" t="n">
        <v>0</v>
      </c>
      <c r="AS24" s="6" t="n">
        <v>24.41006893640858</v>
      </c>
      <c r="AT24" s="6" t="n">
        <v>58.15036357913243</v>
      </c>
      <c r="AU24" s="6" t="n">
        <v>0</v>
      </c>
      <c r="AV24" s="6" t="n">
        <v>0</v>
      </c>
      <c r="AW24" s="6" t="n">
        <v>378.0283934462541</v>
      </c>
      <c r="AX24" s="6" t="n">
        <v>0</v>
      </c>
      <c r="AY24" s="6" t="n">
        <v>1036.444899196846</v>
      </c>
      <c r="AZ24" s="6" t="n">
        <v>2088.564307016642</v>
      </c>
      <c r="BA24" s="6" t="n">
        <v>48.65600802622773</v>
      </c>
      <c r="BB24" s="6" t="n">
        <v>0</v>
      </c>
      <c r="BC24" s="6" t="n">
        <v>204.8422043807932</v>
      </c>
      <c r="BD24" s="6" t="n">
        <v>71.94950058019161</v>
      </c>
      <c r="BE24" s="6" t="n">
        <v>1150.243517966066</v>
      </c>
      <c r="BF24" s="6" t="n">
        <v>588.9897443199854</v>
      </c>
      <c r="BG24" s="6" t="n">
        <v>96.64464767358582</v>
      </c>
      <c r="BH24" s="6" t="n">
        <v>59.13657625847577</v>
      </c>
      <c r="BI24" s="6" t="n">
        <v>11.75789663808018</v>
      </c>
      <c r="BJ24" s="6" t="n">
        <v>0</v>
      </c>
      <c r="BK24" s="6" t="n">
        <v>50.03954814211326</v>
      </c>
      <c r="BL24" s="6" t="n">
        <v>0</v>
      </c>
      <c r="BM24" s="6" t="n">
        <v>329.4363582386025</v>
      </c>
      <c r="BN24" s="6" t="n">
        <v>308.5286507370319</v>
      </c>
      <c r="BO24" s="6" t="n">
        <v>426.3602600984564</v>
      </c>
      <c r="BP24" s="6" t="n">
        <v>157.4295598755778</v>
      </c>
      <c r="BQ24" s="6" t="n">
        <v>1034.585393072447</v>
      </c>
      <c r="BR24" s="6" t="n">
        <v>0</v>
      </c>
      <c r="BS24" s="6" t="n">
        <v>37.32360478493333</v>
      </c>
      <c r="BT24" s="6" t="n">
        <v>0</v>
      </c>
      <c r="BU24" s="6" t="n">
        <v>161.9622539419221</v>
      </c>
      <c r="BV24" s="6" t="n">
        <v>3.913125091381843</v>
      </c>
      <c r="BW24" s="6" t="n">
        <v>37.76283040040002</v>
      </c>
      <c r="BX24" s="6" t="n">
        <v>290.4920925831483</v>
      </c>
      <c r="BY24" s="6" t="n">
        <v>929.2721670515183</v>
      </c>
      <c r="BZ24" s="6" t="n">
        <v>0</v>
      </c>
      <c r="CA24" s="6" t="n">
        <v>29.31114639136215</v>
      </c>
      <c r="CB24" s="6" t="n">
        <v>202.5311919069328</v>
      </c>
      <c r="CC24" s="6" t="n">
        <v>11.27297161265025</v>
      </c>
      <c r="CD24" s="6" t="n">
        <v>12.36523909816685</v>
      </c>
      <c r="CE24" s="6" t="n">
        <v>28.40878049358897</v>
      </c>
      <c r="CF24" s="6" t="n">
        <v>46.4612178741154</v>
      </c>
      <c r="CG24" s="6" t="n">
        <v>2675.624468529058</v>
      </c>
      <c r="CH24" s="6" t="n">
        <v>46.66093013521999</v>
      </c>
      <c r="CI24" s="6" t="n">
        <v>123.6847551178223</v>
      </c>
      <c r="CJ24" s="6" t="n">
        <v>4507.241559093917</v>
      </c>
      <c r="CK24" s="6" t="n">
        <v>268.0947716828281</v>
      </c>
      <c r="CL24" s="6" t="n">
        <v>8425.680741413787</v>
      </c>
      <c r="CM24" s="6" t="n">
        <v>8363.957959709374</v>
      </c>
      <c r="CN24" s="6" t="n">
        <v>510.1605183310839</v>
      </c>
      <c r="CO24" s="6" t="n">
        <v>930.978029965003</v>
      </c>
      <c r="CP24" s="6" t="n">
        <v>3763.178927819384</v>
      </c>
      <c r="CQ24" s="6" t="n">
        <v>6507.005221859179</v>
      </c>
      <c r="CR24" s="6" t="n">
        <v>9228.017346834096</v>
      </c>
      <c r="CS24" s="6" t="n">
        <v>0</v>
      </c>
      <c r="CT24" s="6" t="n">
        <v>777.4259018337827</v>
      </c>
      <c r="CU24" s="6" t="n">
        <v>650.2933756656483</v>
      </c>
      <c r="CV24" s="6" t="n">
        <v>13775.69979866341</v>
      </c>
      <c r="CW24" s="6" t="n">
        <v>132.5728674346877</v>
      </c>
      <c r="CX24" s="6" t="n">
        <v>0</v>
      </c>
      <c r="CY24" s="6" t="n">
        <v>2010.272251094718</v>
      </c>
      <c r="CZ24" s="6" t="n">
        <v>34.5883305994394</v>
      </c>
      <c r="DA24" s="6" t="n">
        <v>0</v>
      </c>
      <c r="DB24" s="6" t="n">
        <v>0</v>
      </c>
      <c r="DC24" s="6" t="n">
        <v>0</v>
      </c>
      <c r="DD24" s="6" t="n">
        <v>0</v>
      </c>
    </row>
    <row r="25">
      <c r="A25" s="4" t="inlineStr">
        <is>
          <t>U | Alimentos e Bebidas</t>
        </is>
      </c>
      <c r="B25" s="6" t="n">
        <v>2122.89119838068</v>
      </c>
      <c r="C25" s="6" t="n">
        <v>3351.438544722607</v>
      </c>
      <c r="D25" s="6" t="n">
        <v>849.1721912032074</v>
      </c>
      <c r="E25" s="6" t="n">
        <v>8716.871890360682</v>
      </c>
      <c r="F25" s="6" t="n">
        <v>7362.990910587712</v>
      </c>
      <c r="G25" s="6" t="n">
        <v>1101.584703909657</v>
      </c>
      <c r="H25" s="6" t="n">
        <v>357.6568784086879</v>
      </c>
      <c r="I25" s="6" t="n">
        <v>0</v>
      </c>
      <c r="J25" s="6" t="n">
        <v>271.2641099747154</v>
      </c>
      <c r="K25" s="6" t="n">
        <v>840.8024954793455</v>
      </c>
      <c r="L25" s="6" t="n">
        <v>1088.760825901443</v>
      </c>
      <c r="M25" s="6" t="n">
        <v>82.90415370597802</v>
      </c>
      <c r="N25" s="6" t="n">
        <v>12933.96169723373</v>
      </c>
      <c r="O25" s="6" t="n">
        <v>2622.68455732283</v>
      </c>
      <c r="P25" s="6" t="n">
        <v>2296.529115468882</v>
      </c>
      <c r="Q25" s="6" t="n">
        <v>3065.192180458745</v>
      </c>
      <c r="R25" s="6" t="n">
        <v>277.0501974179811</v>
      </c>
      <c r="S25" s="6" t="n">
        <v>176.7764767672418</v>
      </c>
      <c r="T25" s="6" t="n">
        <v>147.4661175577639</v>
      </c>
      <c r="U25" s="6" t="n">
        <v>0</v>
      </c>
      <c r="V25" s="6" t="n">
        <v>0.6301722176031617</v>
      </c>
      <c r="W25" s="6" t="n">
        <v>0</v>
      </c>
      <c r="X25" s="6" t="n">
        <v>57.10552425514547</v>
      </c>
      <c r="Y25" s="6" t="n">
        <v>461.4285193197465</v>
      </c>
      <c r="Z25" s="6" t="n">
        <v>898.0274648618439</v>
      </c>
      <c r="AA25" s="6" t="n">
        <v>491.5952187618901</v>
      </c>
      <c r="AB25" s="6" t="n">
        <v>5.508017067533086</v>
      </c>
      <c r="AC25" s="6" t="n">
        <v>584.0201838275493</v>
      </c>
      <c r="AD25" s="6" t="n">
        <v>1974.016473216231</v>
      </c>
      <c r="AE25" s="6" t="n">
        <v>1392.670876566362</v>
      </c>
      <c r="AF25" s="6" t="n">
        <v>127.7768865745166</v>
      </c>
      <c r="AG25" s="6" t="n">
        <v>1632.462013920675</v>
      </c>
      <c r="AH25" s="6" t="n">
        <v>980.5861436870962</v>
      </c>
      <c r="AI25" s="6" t="n">
        <v>101.9153229582213</v>
      </c>
      <c r="AJ25" s="6" t="n">
        <v>1227.021256521969</v>
      </c>
      <c r="AK25" s="6" t="n">
        <v>474.0965351964523</v>
      </c>
      <c r="AL25" s="6" t="n">
        <v>1747.099003564574</v>
      </c>
      <c r="AM25" s="6" t="n">
        <v>3411.020865195977</v>
      </c>
      <c r="AN25" s="6" t="n">
        <v>48.49190495794436</v>
      </c>
      <c r="AO25" s="6" t="n">
        <v>1469.860004184813</v>
      </c>
      <c r="AP25" s="6" t="n">
        <v>1963.699892259461</v>
      </c>
      <c r="AQ25" s="6" t="n">
        <v>0</v>
      </c>
      <c r="AR25" s="6" t="n">
        <v>0</v>
      </c>
      <c r="AS25" s="6" t="n">
        <v>95.22696616283736</v>
      </c>
      <c r="AT25" s="6" t="n">
        <v>2.813490148422536</v>
      </c>
      <c r="AU25" s="6" t="n">
        <v>0</v>
      </c>
      <c r="AV25" s="6" t="n">
        <v>2.832122602698427</v>
      </c>
      <c r="AW25" s="6" t="n">
        <v>107.4221220180464</v>
      </c>
      <c r="AX25" s="6" t="n">
        <v>0</v>
      </c>
      <c r="AY25" s="6" t="n">
        <v>1461.739250199264</v>
      </c>
      <c r="AZ25" s="6" t="n">
        <v>166.7562264573307</v>
      </c>
      <c r="BA25" s="6" t="n">
        <v>40.10070106399942</v>
      </c>
      <c r="BB25" s="6" t="n">
        <v>0</v>
      </c>
      <c r="BC25" s="6" t="n">
        <v>57.77347281917761</v>
      </c>
      <c r="BD25" s="6" t="n">
        <v>134.994362026674</v>
      </c>
      <c r="BE25" s="6" t="n">
        <v>1213.292579970497</v>
      </c>
      <c r="BF25" s="6" t="n">
        <v>74.87359562343829</v>
      </c>
      <c r="BG25" s="6" t="n">
        <v>109.739371796997</v>
      </c>
      <c r="BH25" s="6" t="n">
        <v>210.1480019755179</v>
      </c>
      <c r="BI25" s="6" t="n">
        <v>179.3494767375599</v>
      </c>
      <c r="BJ25" s="6" t="n">
        <v>3.804030178542646</v>
      </c>
      <c r="BK25" s="6" t="n">
        <v>39.83173324057103</v>
      </c>
      <c r="BL25" s="6" t="n">
        <v>8.871546555921853</v>
      </c>
      <c r="BM25" s="6" t="n">
        <v>43.27383059112889</v>
      </c>
      <c r="BN25" s="6" t="n">
        <v>14.88949380136864</v>
      </c>
      <c r="BO25" s="6" t="n">
        <v>1097.98565273907</v>
      </c>
      <c r="BP25" s="6" t="n">
        <v>0.7428055911793319</v>
      </c>
      <c r="BQ25" s="6" t="n">
        <v>2913.290302950512</v>
      </c>
      <c r="BR25" s="6" t="n">
        <v>0</v>
      </c>
      <c r="BS25" s="6" t="n">
        <v>758.6685251338566</v>
      </c>
      <c r="BT25" s="6" t="n">
        <v>0</v>
      </c>
      <c r="BU25" s="6" t="n">
        <v>48.06160061289241</v>
      </c>
      <c r="BV25" s="6" t="n">
        <v>175.9374337422047</v>
      </c>
      <c r="BW25" s="6" t="n">
        <v>0</v>
      </c>
      <c r="BX25" s="6" t="n">
        <v>2188.454171756011</v>
      </c>
      <c r="BY25" s="6" t="n">
        <v>472.3259067557607</v>
      </c>
      <c r="BZ25" s="6" t="n">
        <v>0</v>
      </c>
      <c r="CA25" s="6" t="n">
        <v>0</v>
      </c>
      <c r="CB25" s="6" t="n">
        <v>33.48181201156666</v>
      </c>
      <c r="CC25" s="6" t="n">
        <v>0</v>
      </c>
      <c r="CD25" s="6" t="n">
        <v>2.763498378641211</v>
      </c>
      <c r="CE25" s="6" t="n">
        <v>0</v>
      </c>
      <c r="CF25" s="6" t="n">
        <v>18.64861671703241</v>
      </c>
      <c r="CG25" s="6" t="n">
        <v>0</v>
      </c>
      <c r="CH25" s="6" t="n">
        <v>0</v>
      </c>
      <c r="CI25" s="6" t="n">
        <v>14.81488005856182</v>
      </c>
      <c r="CJ25" s="6" t="n">
        <v>1530.40878627159</v>
      </c>
      <c r="CK25" s="6" t="n">
        <v>3.453081331308142</v>
      </c>
      <c r="CL25" s="6" t="n">
        <v>10908.24308974315</v>
      </c>
      <c r="CM25" s="6" t="n">
        <v>9318.440047781398</v>
      </c>
      <c r="CN25" s="6" t="n">
        <v>184.9718034929966</v>
      </c>
      <c r="CO25" s="6" t="n">
        <v>107.3505681706432</v>
      </c>
      <c r="CP25" s="6" t="n">
        <v>1274.539479972082</v>
      </c>
      <c r="CQ25" s="6" t="n">
        <v>4490.80124729482</v>
      </c>
      <c r="CR25" s="6" t="n">
        <v>396.819130409493</v>
      </c>
      <c r="CS25" s="6" t="n">
        <v>0</v>
      </c>
      <c r="CT25" s="6" t="n">
        <v>1.094889219141792</v>
      </c>
      <c r="CU25" s="6" t="n">
        <v>179.2959989538247</v>
      </c>
      <c r="CV25" s="6" t="n">
        <v>7511.797146005959</v>
      </c>
      <c r="CW25" s="6" t="n">
        <v>6.319389836434276</v>
      </c>
      <c r="CX25" s="6" t="n">
        <v>0</v>
      </c>
      <c r="CY25" s="6" t="n">
        <v>485.5437272296737</v>
      </c>
      <c r="CZ25" s="6" t="n">
        <v>193.451235474627</v>
      </c>
      <c r="DA25" s="6" t="n">
        <v>0</v>
      </c>
      <c r="DB25" s="6" t="n">
        <v>0</v>
      </c>
      <c r="DC25" s="6" t="n">
        <v>0</v>
      </c>
      <c r="DD25" s="6" t="n">
        <v>0</v>
      </c>
    </row>
    <row r="26">
      <c r="A26" s="4" t="inlineStr">
        <is>
          <t>U | Tintas vernizes esmaltes e lacas</t>
        </is>
      </c>
      <c r="B26" s="6" t="n">
        <v>0</v>
      </c>
      <c r="C26" s="6" t="n">
        <v>0</v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4.533737019911213</v>
      </c>
      <c r="U26" s="6" t="n">
        <v>0</v>
      </c>
      <c r="V26" s="6" t="n">
        <v>0</v>
      </c>
      <c r="W26" s="6" t="n">
        <v>0</v>
      </c>
      <c r="X26" s="6" t="n">
        <v>18.47547142843065</v>
      </c>
      <c r="Y26" s="6" t="n">
        <v>0</v>
      </c>
      <c r="Z26" s="6" t="n">
        <v>0</v>
      </c>
      <c r="AA26" s="6" t="n">
        <v>0</v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23.20669550253895</v>
      </c>
      <c r="AG26" s="6" t="n">
        <v>0</v>
      </c>
      <c r="AH26" s="6" t="n">
        <v>0</v>
      </c>
      <c r="AI26" s="6" t="n">
        <v>0</v>
      </c>
      <c r="AJ26" s="6" t="n">
        <v>0</v>
      </c>
      <c r="AK26" s="6" t="n">
        <v>0</v>
      </c>
      <c r="AL26" s="6" t="n">
        <v>0</v>
      </c>
      <c r="AM26" s="6" t="n">
        <v>0</v>
      </c>
      <c r="AN26" s="6" t="n">
        <v>0</v>
      </c>
      <c r="AO26" s="6" t="n">
        <v>0</v>
      </c>
      <c r="AP26" s="6" t="n">
        <v>0</v>
      </c>
      <c r="AQ26" s="6" t="n">
        <v>0</v>
      </c>
      <c r="AR26" s="6" t="n">
        <v>0</v>
      </c>
      <c r="AS26" s="6" t="n">
        <v>0</v>
      </c>
      <c r="AT26" s="6" t="n">
        <v>0.1707794441587037</v>
      </c>
      <c r="AU26" s="6" t="n">
        <v>0</v>
      </c>
      <c r="AV26" s="6" t="n">
        <v>0.1862363078926832</v>
      </c>
      <c r="AW26" s="6" t="n">
        <v>0.629458592081408</v>
      </c>
      <c r="AX26" s="6" t="n">
        <v>0</v>
      </c>
      <c r="AY26" s="6" t="n">
        <v>3.212390758742115</v>
      </c>
      <c r="AZ26" s="6" t="n">
        <v>1.041592041343353</v>
      </c>
      <c r="BA26" s="6" t="n">
        <v>0.5948040024145418</v>
      </c>
      <c r="BB26" s="6" t="n">
        <v>0</v>
      </c>
      <c r="BC26" s="6" t="n">
        <v>0.09361233157009678</v>
      </c>
      <c r="BD26" s="6" t="n">
        <v>0</v>
      </c>
      <c r="BE26" s="6" t="n">
        <v>15.70274830571939</v>
      </c>
      <c r="BF26" s="6" t="n">
        <v>86.35201724383847</v>
      </c>
      <c r="BG26" s="6" t="n">
        <v>80.78739449256867</v>
      </c>
      <c r="BH26" s="6" t="n">
        <v>311.2174661264387</v>
      </c>
      <c r="BI26" s="6" t="n">
        <v>675.3805223075407</v>
      </c>
      <c r="BJ26" s="6" t="n">
        <v>262.6549294276957</v>
      </c>
      <c r="BK26" s="6" t="n">
        <v>0</v>
      </c>
      <c r="BL26" s="6" t="n">
        <v>15.44951538883714</v>
      </c>
      <c r="BM26" s="6" t="n">
        <v>4.025518071087253</v>
      </c>
      <c r="BN26" s="6" t="n">
        <v>38.24785245799099</v>
      </c>
      <c r="BO26" s="6" t="n">
        <v>196.6058882248064</v>
      </c>
      <c r="BP26" s="6" t="n">
        <v>0</v>
      </c>
      <c r="BQ26" s="6" t="n">
        <v>33.63050667385338</v>
      </c>
      <c r="BR26" s="6" t="n">
        <v>0</v>
      </c>
      <c r="BS26" s="6" t="n">
        <v>11.24756209679325</v>
      </c>
      <c r="BT26" s="6" t="n">
        <v>0</v>
      </c>
      <c r="BU26" s="6" t="n">
        <v>0</v>
      </c>
      <c r="BV26" s="6" t="n">
        <v>0</v>
      </c>
      <c r="BW26" s="6" t="n">
        <v>0</v>
      </c>
      <c r="BX26" s="6" t="n">
        <v>219.9203040881785</v>
      </c>
      <c r="BY26" s="6" t="n">
        <v>46.59581086924194</v>
      </c>
      <c r="BZ26" s="6" t="n">
        <v>0</v>
      </c>
      <c r="CA26" s="6" t="n">
        <v>0</v>
      </c>
      <c r="CB26" s="6" t="n">
        <v>0.6731360373846706</v>
      </c>
      <c r="CC26" s="6" t="n">
        <v>0</v>
      </c>
      <c r="CD26" s="6" t="n">
        <v>0</v>
      </c>
      <c r="CE26" s="6" t="n">
        <v>0</v>
      </c>
      <c r="CF26" s="6" t="n">
        <v>0</v>
      </c>
      <c r="CG26" s="6" t="n">
        <v>0</v>
      </c>
      <c r="CH26" s="6" t="n">
        <v>0</v>
      </c>
      <c r="CI26" s="6" t="n">
        <v>0.4771617301614095</v>
      </c>
      <c r="CJ26" s="6" t="n">
        <v>41.05241299085057</v>
      </c>
      <c r="CK26" s="6" t="n">
        <v>0.3027595473836479</v>
      </c>
      <c r="CL26" s="6" t="n">
        <v>234.3433579847188</v>
      </c>
      <c r="CM26" s="6" t="n">
        <v>149.9680576898855</v>
      </c>
      <c r="CN26" s="6" t="n">
        <v>29.1923512469109</v>
      </c>
      <c r="CO26" s="6" t="n">
        <v>43.68933915481429</v>
      </c>
      <c r="CP26" s="6" t="n">
        <v>48.51783296235822</v>
      </c>
      <c r="CQ26" s="6" t="n">
        <v>115.3358776330955</v>
      </c>
      <c r="CR26" s="6" t="n">
        <v>7.572697981529844</v>
      </c>
      <c r="CS26" s="6" t="n">
        <v>0</v>
      </c>
      <c r="CT26" s="6" t="n">
        <v>0</v>
      </c>
      <c r="CU26" s="6" t="n">
        <v>9.282182485738161</v>
      </c>
      <c r="CV26" s="6" t="n">
        <v>414.6368221620629</v>
      </c>
      <c r="CW26" s="6" t="n">
        <v>1.068567387922754</v>
      </c>
      <c r="CX26" s="6" t="n">
        <v>0</v>
      </c>
      <c r="CY26" s="6" t="n">
        <v>20.67760641893301</v>
      </c>
      <c r="CZ26" s="6" t="n">
        <v>5.20407610948943</v>
      </c>
      <c r="DA26" s="6" t="n">
        <v>0</v>
      </c>
      <c r="DB26" s="6" t="n">
        <v>0</v>
      </c>
      <c r="DC26" s="6" t="n">
        <v>0</v>
      </c>
      <c r="DD26" s="6" t="n">
        <v>0</v>
      </c>
    </row>
    <row r="27">
      <c r="A27" s="4" t="inlineStr">
        <is>
          <t>U | Construção civil</t>
        </is>
      </c>
      <c r="B27" s="6" t="n">
        <v>0</v>
      </c>
      <c r="C27" s="6" t="n">
        <v>0</v>
      </c>
      <c r="D27" s="6" t="n">
        <v>0</v>
      </c>
      <c r="E27" s="6" t="n">
        <v>0</v>
      </c>
      <c r="F27" s="6" t="n">
        <v>0</v>
      </c>
      <c r="G27" s="6" t="n">
        <v>1.436117484372426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0</v>
      </c>
      <c r="M27" s="6" t="n">
        <v>64.5057841679065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1265.355199235012</v>
      </c>
      <c r="Y27" s="6" t="n">
        <v>0</v>
      </c>
      <c r="Z27" s="6" t="n">
        <v>0</v>
      </c>
      <c r="AA27" s="6" t="n">
        <v>0</v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</v>
      </c>
      <c r="AH27" s="6" t="n">
        <v>0</v>
      </c>
      <c r="AI27" s="6" t="n">
        <v>0</v>
      </c>
      <c r="AJ27" s="6" t="n">
        <v>0</v>
      </c>
      <c r="AK27" s="6" t="n">
        <v>0</v>
      </c>
      <c r="AL27" s="6" t="n">
        <v>0</v>
      </c>
      <c r="AM27" s="6" t="n">
        <v>0</v>
      </c>
      <c r="AN27" s="6" t="n">
        <v>0</v>
      </c>
      <c r="AO27" s="6" t="n">
        <v>0</v>
      </c>
      <c r="AP27" s="6" t="n">
        <v>0</v>
      </c>
      <c r="AQ27" s="6" t="n">
        <v>0</v>
      </c>
      <c r="AR27" s="6" t="n">
        <v>0</v>
      </c>
      <c r="AS27" s="6" t="n">
        <v>192.9940981148242</v>
      </c>
      <c r="AT27" s="6" t="n">
        <v>9.945990150860249</v>
      </c>
      <c r="AU27" s="6" t="n">
        <v>0</v>
      </c>
      <c r="AV27" s="6" t="n">
        <v>7.230786246584723</v>
      </c>
      <c r="AW27" s="6" t="n">
        <v>1434.489661093132</v>
      </c>
      <c r="AX27" s="6" t="n">
        <v>0</v>
      </c>
      <c r="AY27" s="6" t="n">
        <v>100.0236434016531</v>
      </c>
      <c r="AZ27" s="6" t="n">
        <v>15.46262623516069</v>
      </c>
      <c r="BA27" s="6" t="n">
        <v>0.5433830938943079</v>
      </c>
      <c r="BB27" s="6" t="n">
        <v>0</v>
      </c>
      <c r="BC27" s="6" t="n">
        <v>113.6340746533703</v>
      </c>
      <c r="BD27" s="6" t="n">
        <v>145.9730488887439</v>
      </c>
      <c r="BE27" s="6" t="n">
        <v>1136.444704270507</v>
      </c>
      <c r="BF27" s="6" t="n">
        <v>495.1573546118534</v>
      </c>
      <c r="BG27" s="6" t="n">
        <v>170.0370384717147</v>
      </c>
      <c r="BH27" s="6" t="n">
        <v>0.21373091528039</v>
      </c>
      <c r="BI27" s="6" t="n">
        <v>0</v>
      </c>
      <c r="BJ27" s="6" t="n">
        <v>0.2856528160850083</v>
      </c>
      <c r="BK27" s="6" t="n">
        <v>0</v>
      </c>
      <c r="BL27" s="6" t="n">
        <v>0</v>
      </c>
      <c r="BM27" s="6" t="n">
        <v>22.98444587539904</v>
      </c>
      <c r="BN27" s="6" t="n">
        <v>1925.483633968959</v>
      </c>
      <c r="BO27" s="6" t="n">
        <v>214.8224377862116</v>
      </c>
      <c r="BP27" s="6" t="n">
        <v>6.916580014268943</v>
      </c>
      <c r="BQ27" s="6" t="n">
        <v>2844.63391858531</v>
      </c>
      <c r="BR27" s="6" t="n">
        <v>3135.296002403288</v>
      </c>
      <c r="BS27" s="6" t="n">
        <v>10202.02178908913</v>
      </c>
      <c r="BT27" s="6" t="n">
        <v>0</v>
      </c>
      <c r="BU27" s="6" t="n">
        <v>3606.174890579447</v>
      </c>
      <c r="BV27" s="6" t="n">
        <v>883.2498425331092</v>
      </c>
      <c r="BW27" s="6" t="n">
        <v>38.88347824350366</v>
      </c>
      <c r="BX27" s="6" t="n">
        <v>6762.535591749622</v>
      </c>
      <c r="BY27" s="6" t="n">
        <v>1577.235299846734</v>
      </c>
      <c r="BZ27" s="6" t="n">
        <v>0</v>
      </c>
      <c r="CA27" s="6" t="n">
        <v>0</v>
      </c>
      <c r="CB27" s="6" t="n">
        <v>2236.664123763706</v>
      </c>
      <c r="CC27" s="6" t="n">
        <v>3.557898724829835</v>
      </c>
      <c r="CD27" s="6" t="n">
        <v>83.53504239732453</v>
      </c>
      <c r="CE27" s="6" t="n">
        <v>0</v>
      </c>
      <c r="CF27" s="6" t="n">
        <v>0</v>
      </c>
      <c r="CG27" s="6" t="n">
        <v>0</v>
      </c>
      <c r="CH27" s="6" t="n">
        <v>0</v>
      </c>
      <c r="CI27" s="6" t="n">
        <v>295.602157964049</v>
      </c>
      <c r="CJ27" s="6" t="n">
        <v>241.8161473978749</v>
      </c>
      <c r="CK27" s="6" t="n">
        <v>13315.38372759778</v>
      </c>
      <c r="CL27" s="6" t="n">
        <v>662.3234092376308</v>
      </c>
      <c r="CM27" s="6" t="n">
        <v>605.2276165159765</v>
      </c>
      <c r="CN27" s="6" t="n">
        <v>394.979127770065</v>
      </c>
      <c r="CO27" s="6" t="n">
        <v>101.3043442356311</v>
      </c>
      <c r="CP27" s="6" t="n">
        <v>613.8042653084013</v>
      </c>
      <c r="CQ27" s="6" t="n">
        <v>3119.967986264691</v>
      </c>
      <c r="CR27" s="6" t="n">
        <v>488.586358598638</v>
      </c>
      <c r="CS27" s="6" t="n">
        <v>0</v>
      </c>
      <c r="CT27" s="6" t="n">
        <v>50.3171643048575</v>
      </c>
      <c r="CU27" s="6" t="n">
        <v>352.0375335711644</v>
      </c>
      <c r="CV27" s="6" t="n">
        <v>4658.654779876729</v>
      </c>
      <c r="CW27" s="6" t="n">
        <v>0.8134912942288188</v>
      </c>
      <c r="CX27" s="6" t="n">
        <v>0</v>
      </c>
      <c r="CY27" s="6" t="n">
        <v>482.8993824237384</v>
      </c>
      <c r="CZ27" s="6" t="n">
        <v>0</v>
      </c>
      <c r="DA27" s="6" t="n">
        <v>0</v>
      </c>
      <c r="DB27" s="6" t="n">
        <v>0</v>
      </c>
      <c r="DC27" s="6" t="n">
        <v>0</v>
      </c>
      <c r="DD27" s="6" t="n">
        <v>0</v>
      </c>
    </row>
    <row r="28">
      <c r="A28" s="4" t="inlineStr">
        <is>
          <t>U | Transporte armazenagem e correio</t>
        </is>
      </c>
      <c r="B28" s="6" t="n">
        <v>0</v>
      </c>
      <c r="C28" s="6" t="n">
        <v>0</v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</v>
      </c>
      <c r="W28" s="6" t="n">
        <v>0</v>
      </c>
      <c r="X28" s="6" t="n">
        <v>0.8615620713519342</v>
      </c>
      <c r="Y28" s="6" t="n">
        <v>0</v>
      </c>
      <c r="Z28" s="6" t="n">
        <v>0</v>
      </c>
      <c r="AA28" s="6" t="n">
        <v>0</v>
      </c>
      <c r="AB28" s="6" t="n">
        <v>0</v>
      </c>
      <c r="AC28" s="6" t="n">
        <v>2.222251017918076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>
        <v>0</v>
      </c>
      <c r="AI28" s="6" t="n">
        <v>0</v>
      </c>
      <c r="AJ28" s="6" t="n">
        <v>0</v>
      </c>
      <c r="AK28" s="6" t="n">
        <v>0</v>
      </c>
      <c r="AL28" s="6" t="n">
        <v>0</v>
      </c>
      <c r="AM28" s="6" t="n">
        <v>0</v>
      </c>
      <c r="AN28" s="6" t="n">
        <v>10.03346377713791</v>
      </c>
      <c r="AO28" s="6" t="n">
        <v>2.590019594389122</v>
      </c>
      <c r="AP28" s="6" t="n">
        <v>3.525435986793971</v>
      </c>
      <c r="AQ28" s="6" t="n">
        <v>0</v>
      </c>
      <c r="AR28" s="6" t="n">
        <v>0</v>
      </c>
      <c r="AS28" s="6" t="n">
        <v>14.62640977215297</v>
      </c>
      <c r="AT28" s="6" t="n">
        <v>112.257758865126</v>
      </c>
      <c r="AU28" s="6" t="n">
        <v>0</v>
      </c>
      <c r="AV28" s="6" t="n">
        <v>0</v>
      </c>
      <c r="AW28" s="6" t="n">
        <v>16.36744815592884</v>
      </c>
      <c r="AX28" s="6" t="n">
        <v>0</v>
      </c>
      <c r="AY28" s="6" t="n">
        <v>120.3813858834671</v>
      </c>
      <c r="AZ28" s="6" t="n">
        <v>62.13369002210294</v>
      </c>
      <c r="BA28" s="6" t="n">
        <v>0.6823387446812614</v>
      </c>
      <c r="BB28" s="6" t="n">
        <v>0</v>
      </c>
      <c r="BC28" s="6" t="n">
        <v>168.815280169709</v>
      </c>
      <c r="BD28" s="6" t="n">
        <v>258.3041042176358</v>
      </c>
      <c r="BE28" s="6" t="n">
        <v>13820.88312552813</v>
      </c>
      <c r="BF28" s="6" t="n">
        <v>2082.385597985246</v>
      </c>
      <c r="BG28" s="6" t="n">
        <v>271.9722924166056</v>
      </c>
      <c r="BH28" s="6" t="n">
        <v>0.2147094910690976</v>
      </c>
      <c r="BI28" s="6" t="n">
        <v>0</v>
      </c>
      <c r="BJ28" s="6" t="n">
        <v>0</v>
      </c>
      <c r="BK28" s="6" t="n">
        <v>0</v>
      </c>
      <c r="BL28" s="6" t="n">
        <v>0</v>
      </c>
      <c r="BM28" s="6" t="n">
        <v>76.91252396145798</v>
      </c>
      <c r="BN28" s="6" t="n">
        <v>80.29708987411973</v>
      </c>
      <c r="BO28" s="6" t="n">
        <v>12.79262437262684</v>
      </c>
      <c r="BP28" s="6" t="n">
        <v>1293.04651312121</v>
      </c>
      <c r="BQ28" s="6" t="n">
        <v>39.40647265745339</v>
      </c>
      <c r="BR28" s="6" t="n">
        <v>0</v>
      </c>
      <c r="BS28" s="6" t="n">
        <v>1.217246919755276</v>
      </c>
      <c r="BT28" s="6" t="n">
        <v>0</v>
      </c>
      <c r="BU28" s="6" t="n">
        <v>7.087093402042676</v>
      </c>
      <c r="BV28" s="6" t="n">
        <v>3.658440784530918</v>
      </c>
      <c r="BW28" s="6" t="n">
        <v>0</v>
      </c>
      <c r="BX28" s="6" t="n">
        <v>26.19352746546135</v>
      </c>
      <c r="BY28" s="6" t="n">
        <v>983.9733663601368</v>
      </c>
      <c r="BZ28" s="6" t="n">
        <v>0</v>
      </c>
      <c r="CA28" s="6" t="n">
        <v>13.21511744461578</v>
      </c>
      <c r="CB28" s="6" t="n">
        <v>249.9992863048694</v>
      </c>
      <c r="CC28" s="6" t="n">
        <v>55.81233140268608</v>
      </c>
      <c r="CD28" s="6" t="n">
        <v>3.86611839413577</v>
      </c>
      <c r="CE28" s="6" t="n">
        <v>0</v>
      </c>
      <c r="CF28" s="6" t="n">
        <v>154.0049961373614</v>
      </c>
      <c r="CG28" s="6" t="n">
        <v>2214.39654189952</v>
      </c>
      <c r="CH28" s="6" t="n">
        <v>394.2269190549342</v>
      </c>
      <c r="CI28" s="6" t="n">
        <v>126.9929873336589</v>
      </c>
      <c r="CJ28" s="6" t="n">
        <v>857.5159053460371</v>
      </c>
      <c r="CK28" s="6" t="n">
        <v>404.6224008125048</v>
      </c>
      <c r="CL28" s="6" t="n">
        <v>7256.747636178119</v>
      </c>
      <c r="CM28" s="6" t="n">
        <v>14168.91062571321</v>
      </c>
      <c r="CN28" s="6" t="n">
        <v>158.9856362314578</v>
      </c>
      <c r="CO28" s="6" t="n">
        <v>442.2706951768956</v>
      </c>
      <c r="CP28" s="6" t="n">
        <v>1305.898950942271</v>
      </c>
      <c r="CQ28" s="6" t="n">
        <v>3865.352050430688</v>
      </c>
      <c r="CR28" s="6" t="n">
        <v>1106.741548832235</v>
      </c>
      <c r="CS28" s="6" t="n">
        <v>0</v>
      </c>
      <c r="CT28" s="6" t="n">
        <v>207.1458155676536</v>
      </c>
      <c r="CU28" s="6" t="n">
        <v>353.3266791354501</v>
      </c>
      <c r="CV28" s="6" t="n">
        <v>6385.404547549427</v>
      </c>
      <c r="CW28" s="6" t="n">
        <v>306.4559615952242</v>
      </c>
      <c r="CX28" s="6" t="n">
        <v>0</v>
      </c>
      <c r="CY28" s="6" t="n">
        <v>935.8025297330604</v>
      </c>
      <c r="CZ28" s="6" t="n">
        <v>290.536961656037</v>
      </c>
      <c r="DA28" s="6" t="n">
        <v>0</v>
      </c>
      <c r="DB28" s="6" t="n">
        <v>0</v>
      </c>
      <c r="DC28" s="6" t="n">
        <v>0</v>
      </c>
      <c r="DD28" s="6" t="n">
        <v>0</v>
      </c>
    </row>
    <row r="29">
      <c r="A29" s="4" t="inlineStr">
        <is>
          <t>U | Agricultura silvicultura exploração florestal</t>
        </is>
      </c>
      <c r="B29" s="6" t="n">
        <v>97.65669079097373</v>
      </c>
      <c r="C29" s="6" t="n">
        <v>298.203190969429</v>
      </c>
      <c r="D29" s="6" t="n">
        <v>10.7497820837784</v>
      </c>
      <c r="E29" s="6" t="n">
        <v>182.1985383411954</v>
      </c>
      <c r="F29" s="6" t="n">
        <v>296.3102286823036</v>
      </c>
      <c r="G29" s="6" t="n">
        <v>771.1182524434737</v>
      </c>
      <c r="H29" s="6" t="n">
        <v>213.5671861686717</v>
      </c>
      <c r="I29" s="6" t="n">
        <v>6.643411768724041</v>
      </c>
      <c r="J29" s="6" t="n">
        <v>42.45159539230704</v>
      </c>
      <c r="K29" s="6" t="n">
        <v>1.513645405575888</v>
      </c>
      <c r="L29" s="6" t="n">
        <v>4.933894247334753</v>
      </c>
      <c r="M29" s="6" t="n">
        <v>357.5524414324936</v>
      </c>
      <c r="N29" s="6" t="n">
        <v>86.54149753079535</v>
      </c>
      <c r="O29" s="6" t="n">
        <v>10.45084922468001</v>
      </c>
      <c r="P29" s="6" t="n">
        <v>9.887748568177345</v>
      </c>
      <c r="Q29" s="6" t="n">
        <v>13.65456367300502</v>
      </c>
      <c r="R29" s="6" t="n">
        <v>4.451189912441407</v>
      </c>
      <c r="S29" s="6" t="n">
        <v>2.293674634186381</v>
      </c>
      <c r="T29" s="6" t="n">
        <v>0</v>
      </c>
      <c r="U29" s="6" t="n">
        <v>0</v>
      </c>
      <c r="V29" s="6" t="n">
        <v>0</v>
      </c>
      <c r="W29" s="6" t="n">
        <v>0</v>
      </c>
      <c r="X29" s="6" t="n">
        <v>6.913198701324504</v>
      </c>
      <c r="Y29" s="6" t="n">
        <v>1.114299331308493</v>
      </c>
      <c r="Z29" s="6" t="n">
        <v>0</v>
      </c>
      <c r="AA29" s="6" t="n">
        <v>0</v>
      </c>
      <c r="AB29" s="6" t="n">
        <v>0</v>
      </c>
      <c r="AC29" s="6" t="n">
        <v>0</v>
      </c>
      <c r="AD29" s="6" t="n">
        <v>34.92394611421117</v>
      </c>
      <c r="AE29" s="6" t="n">
        <v>0</v>
      </c>
      <c r="AF29" s="6" t="n">
        <v>0</v>
      </c>
      <c r="AG29" s="6" t="n">
        <v>0</v>
      </c>
      <c r="AH29" s="6" t="n">
        <v>0</v>
      </c>
      <c r="AI29" s="6" t="n">
        <v>3.16897500514938</v>
      </c>
      <c r="AJ29" s="6" t="n">
        <v>3.125033896187958</v>
      </c>
      <c r="AK29" s="6" t="n">
        <v>0</v>
      </c>
      <c r="AL29" s="6" t="n">
        <v>149.9047826554088</v>
      </c>
      <c r="AM29" s="6" t="n">
        <v>7.561128313941754</v>
      </c>
      <c r="AN29" s="6" t="n">
        <v>0</v>
      </c>
      <c r="AO29" s="6" t="n">
        <v>1.932247125028213</v>
      </c>
      <c r="AP29" s="6" t="n">
        <v>0</v>
      </c>
      <c r="AQ29" s="6" t="n">
        <v>0</v>
      </c>
      <c r="AR29" s="6" t="n">
        <v>17.12292373656551</v>
      </c>
      <c r="AS29" s="6" t="n">
        <v>153.2298703523518</v>
      </c>
      <c r="AT29" s="6" t="n">
        <v>2.679555770232877</v>
      </c>
      <c r="AU29" s="6" t="n">
        <v>0</v>
      </c>
      <c r="AV29" s="6" t="n">
        <v>0.3896101789057304</v>
      </c>
      <c r="AW29" s="6" t="n">
        <v>92.17882066859617</v>
      </c>
      <c r="AX29" s="6" t="n">
        <v>0</v>
      </c>
      <c r="AY29" s="6" t="n">
        <v>86.91701045973281</v>
      </c>
      <c r="AZ29" s="6" t="n">
        <v>1.815859942342794</v>
      </c>
      <c r="BA29" s="6" t="n">
        <v>57.98634569715643</v>
      </c>
      <c r="BB29" s="6" t="n">
        <v>0</v>
      </c>
      <c r="BC29" s="6" t="n">
        <v>56.69536710421334</v>
      </c>
      <c r="BD29" s="6" t="n">
        <v>11.85814119190058</v>
      </c>
      <c r="BE29" s="6" t="n">
        <v>1501.837872865068</v>
      </c>
      <c r="BF29" s="6" t="n">
        <v>85.57114385633299</v>
      </c>
      <c r="BG29" s="6" t="n">
        <v>48.60386309124057</v>
      </c>
      <c r="BH29" s="6" t="n">
        <v>4361.036417843154</v>
      </c>
      <c r="BI29" s="6" t="n">
        <v>0</v>
      </c>
      <c r="BJ29" s="6" t="n">
        <v>23.81077849669263</v>
      </c>
      <c r="BK29" s="6" t="n">
        <v>108.6205795840604</v>
      </c>
      <c r="BL29" s="6" t="n">
        <v>2960.407509652051</v>
      </c>
      <c r="BM29" s="6" t="n">
        <v>0.4355930914566307</v>
      </c>
      <c r="BN29" s="6" t="n">
        <v>3.399342489267119</v>
      </c>
      <c r="BO29" s="6" t="n">
        <v>0</v>
      </c>
      <c r="BP29" s="6" t="n">
        <v>0</v>
      </c>
      <c r="BQ29" s="6" t="n">
        <v>119.6047074776058</v>
      </c>
      <c r="BR29" s="6" t="n">
        <v>13.3902585263158</v>
      </c>
      <c r="BS29" s="6" t="n">
        <v>603.1260880236912</v>
      </c>
      <c r="BT29" s="6" t="n">
        <v>0</v>
      </c>
      <c r="BU29" s="6" t="n">
        <v>26.56667279728299</v>
      </c>
      <c r="BV29" s="6" t="n">
        <v>0</v>
      </c>
      <c r="BW29" s="6" t="n">
        <v>0</v>
      </c>
      <c r="BX29" s="6" t="n">
        <v>92.76978395862434</v>
      </c>
      <c r="BY29" s="6" t="n">
        <v>36.58252079812337</v>
      </c>
      <c r="BZ29" s="6" t="n">
        <v>0</v>
      </c>
      <c r="CA29" s="6" t="n">
        <v>0.2802285420978257</v>
      </c>
      <c r="CB29" s="6" t="n">
        <v>7.393125638790169</v>
      </c>
      <c r="CC29" s="6" t="n">
        <v>0</v>
      </c>
      <c r="CD29" s="6" t="n">
        <v>0</v>
      </c>
      <c r="CE29" s="6" t="n">
        <v>0</v>
      </c>
      <c r="CF29" s="6" t="n">
        <v>0</v>
      </c>
      <c r="CG29" s="6" t="n">
        <v>0</v>
      </c>
      <c r="CH29" s="6" t="n">
        <v>0</v>
      </c>
      <c r="CI29" s="6" t="n">
        <v>3.493812468984234</v>
      </c>
      <c r="CJ29" s="6" t="n">
        <v>1604.890427652924</v>
      </c>
      <c r="CK29" s="6" t="n">
        <v>16.15116928747912</v>
      </c>
      <c r="CL29" s="6" t="n">
        <v>202.2285850082114</v>
      </c>
      <c r="CM29" s="6" t="n">
        <v>1196.47599072921</v>
      </c>
      <c r="CN29" s="6" t="n">
        <v>8.327863367404639</v>
      </c>
      <c r="CO29" s="6" t="n">
        <v>0.6977022465994788</v>
      </c>
      <c r="CP29" s="6" t="n">
        <v>8.551006029443279</v>
      </c>
      <c r="CQ29" s="6" t="n">
        <v>1243.601963811938</v>
      </c>
      <c r="CR29" s="6" t="n">
        <v>4.356615895208993</v>
      </c>
      <c r="CS29" s="6" t="n">
        <v>0</v>
      </c>
      <c r="CT29" s="6" t="n">
        <v>2.259330073556908</v>
      </c>
      <c r="CU29" s="6" t="n">
        <v>2.64797949431099</v>
      </c>
      <c r="CV29" s="6" t="n">
        <v>253.5248499113531</v>
      </c>
      <c r="CW29" s="6" t="n">
        <v>0.7451549698556756</v>
      </c>
      <c r="CX29" s="6" t="n">
        <v>0</v>
      </c>
      <c r="CY29" s="6" t="n">
        <v>11.45064098883286</v>
      </c>
      <c r="CZ29" s="6" t="n">
        <v>35.3828606395222</v>
      </c>
      <c r="DA29" s="6" t="n">
        <v>0</v>
      </c>
      <c r="DB29" s="6" t="n">
        <v>0</v>
      </c>
      <c r="DC29" s="6" t="n">
        <v>0</v>
      </c>
      <c r="DD29" s="6" t="n">
        <v>0</v>
      </c>
    </row>
    <row r="30"/>
    <row r="31"/>
    <row r="32">
      <c r="A32" s="4" t="inlineStr">
        <is>
          <t>y[p] = suma componentes demanda final por producto</t>
        </is>
      </c>
      <c r="B32" s="6" t="n">
        <v>166.5438127672595</v>
      </c>
      <c r="C32" s="6" t="n">
        <v>1369.503948386809</v>
      </c>
      <c r="D32" s="6" t="n">
        <v>100.0095168146223</v>
      </c>
      <c r="E32" s="6" t="n">
        <v>292.8901532410821</v>
      </c>
      <c r="F32" s="6" t="n">
        <v>4266.047118644677</v>
      </c>
      <c r="G32" s="6" t="n">
        <v>11442.59247290027</v>
      </c>
      <c r="H32" s="6" t="n">
        <v>1513.028589650066</v>
      </c>
      <c r="I32" s="6" t="n">
        <v>58.7302818951956</v>
      </c>
      <c r="J32" s="6" t="n">
        <v>-124.3750297558629</v>
      </c>
      <c r="K32" s="6" t="n">
        <v>1122.17024558078</v>
      </c>
      <c r="L32" s="6" t="n">
        <v>2379.930894197503</v>
      </c>
      <c r="M32" s="6" t="n">
        <v>2306.529732956149</v>
      </c>
      <c r="N32" s="6" t="n">
        <v>4527.687956933371</v>
      </c>
      <c r="O32" s="6" t="n">
        <v>1830.735719513751</v>
      </c>
      <c r="P32" s="6" t="n">
        <v>94.99789190260415</v>
      </c>
      <c r="Q32" s="6" t="n">
        <v>160.1898346859079</v>
      </c>
      <c r="R32" s="6" t="n">
        <v>1369.054454132377</v>
      </c>
      <c r="S32" s="6" t="n">
        <v>2326.709856645873</v>
      </c>
      <c r="T32" s="6" t="n">
        <v>5406.819131289481</v>
      </c>
      <c r="U32" s="6" t="n">
        <v>6201.938556548924</v>
      </c>
      <c r="V32" s="6" t="n">
        <v>26.54948607233699</v>
      </c>
      <c r="W32" s="6" t="n">
        <v>410.5920613345873</v>
      </c>
      <c r="X32" s="6" t="n">
        <v>165.684048820054</v>
      </c>
      <c r="Y32" s="6" t="n">
        <v>20527.8653176891</v>
      </c>
      <c r="Z32" s="6" t="n">
        <v>1741.61120415242</v>
      </c>
      <c r="AA32" s="6" t="n">
        <v>9183.269899165534</v>
      </c>
      <c r="AB32" s="6" t="n">
        <v>1260.593816792553</v>
      </c>
      <c r="AC32" s="6" t="n">
        <v>4939.428110031056</v>
      </c>
      <c r="AD32" s="6" t="n">
        <v>4563.266922888606</v>
      </c>
      <c r="AE32" s="6" t="n">
        <v>1508.983234774057</v>
      </c>
      <c r="AF32" s="6" t="n">
        <v>3820.720821821392</v>
      </c>
      <c r="AG32" s="6" t="n">
        <v>3227.257183051646</v>
      </c>
      <c r="AH32" s="6" t="n">
        <v>7468.007001810439</v>
      </c>
      <c r="AI32" s="6" t="n">
        <v>3655.999851329671</v>
      </c>
      <c r="AJ32" s="6" t="n">
        <v>2740.261782387765</v>
      </c>
      <c r="AK32" s="6" t="n">
        <v>728.667532820094</v>
      </c>
      <c r="AL32" s="6" t="n">
        <v>2904.329669339827</v>
      </c>
      <c r="AM32" s="6" t="n">
        <v>8547.620166448658</v>
      </c>
      <c r="AN32" s="6" t="n">
        <v>1956.341124446742</v>
      </c>
      <c r="AO32" s="6" t="n">
        <v>20397.86775734016</v>
      </c>
      <c r="AP32" s="6" t="n">
        <v>10618.58748650826</v>
      </c>
      <c r="AQ32" s="6" t="n">
        <v>4385.412662389403</v>
      </c>
      <c r="AR32" s="6" t="n">
        <v>348.7133059489208</v>
      </c>
      <c r="AS32" s="6" t="n">
        <v>8584.201691426029</v>
      </c>
      <c r="AT32" s="6" t="n">
        <v>19568.36418595109</v>
      </c>
      <c r="AU32" s="6" t="n">
        <v>3038.807710503831</v>
      </c>
      <c r="AV32" s="6" t="n">
        <v>9774.405565913032</v>
      </c>
      <c r="AW32" s="6" t="n">
        <v>3213.753606590708</v>
      </c>
      <c r="AX32" s="6" t="n">
        <v>2482.925997526959</v>
      </c>
      <c r="AY32" s="6" t="n">
        <v>3174.126872420018</v>
      </c>
      <c r="AZ32" s="6" t="n">
        <v>611.0364572898893</v>
      </c>
      <c r="BA32" s="6" t="n">
        <v>4312.961902819467</v>
      </c>
      <c r="BB32" s="6" t="n">
        <v>1144.279921911258</v>
      </c>
      <c r="BC32" s="6" t="n">
        <v>18228.09919545158</v>
      </c>
      <c r="BD32" s="6" t="n">
        <v>2490.489677319424</v>
      </c>
      <c r="BE32" s="6" t="n">
        <v>-3073.412957223886</v>
      </c>
      <c r="BF32" s="6" t="n">
        <v>2207.787357733889</v>
      </c>
      <c r="BG32" s="6" t="n">
        <v>5558.997301153366</v>
      </c>
      <c r="BH32" s="6" t="n">
        <v>1414.949372677354</v>
      </c>
      <c r="BI32" s="6" t="n">
        <v>2248.252523376249</v>
      </c>
      <c r="BJ32" s="6" t="n">
        <v>1069.443976740617</v>
      </c>
      <c r="BK32" s="6" t="n">
        <v>11944.77256863077</v>
      </c>
      <c r="BL32" s="6" t="n">
        <v>14.17179393943536</v>
      </c>
      <c r="BM32" s="6" t="n">
        <v>6745.429541653439</v>
      </c>
      <c r="BN32" s="6" t="n">
        <v>-180.5935954690759</v>
      </c>
      <c r="BO32" s="6" t="n">
        <v>1759.594985921353</v>
      </c>
      <c r="BP32" s="6" t="n">
        <v>2377.232598551455</v>
      </c>
      <c r="BQ32" s="6" t="n">
        <v>2625.61478803992</v>
      </c>
      <c r="BR32" s="6" t="n">
        <v>-326.4606962203584</v>
      </c>
      <c r="BS32" s="6" t="n">
        <v>1711.114739041697</v>
      </c>
      <c r="BT32" s="6" t="n">
        <v>1567.5508960927</v>
      </c>
      <c r="BU32" s="6" t="n">
        <v>5696.877762757393</v>
      </c>
      <c r="BV32" s="6" t="n">
        <v>4113.886060755627</v>
      </c>
      <c r="BW32" s="6" t="n">
        <v>89.72976681241934</v>
      </c>
      <c r="BX32" s="6" t="n">
        <v>6761.529419257494</v>
      </c>
      <c r="BY32" s="6" t="n">
        <v>21051.27219268871</v>
      </c>
      <c r="BZ32" s="6" t="n">
        <v>4532.391438592083</v>
      </c>
      <c r="CA32" s="6" t="n">
        <v>4649.429172776679</v>
      </c>
      <c r="CB32" s="6" t="n">
        <v>5730.475491658401</v>
      </c>
      <c r="CC32" s="6" t="n">
        <v>12512.22284952472</v>
      </c>
      <c r="CD32" s="6" t="n">
        <v>2543.831186314764</v>
      </c>
      <c r="CE32" s="6" t="n">
        <v>27226.14961717465</v>
      </c>
      <c r="CF32" s="6" t="n">
        <v>10054.08352354965</v>
      </c>
      <c r="CG32" s="6" t="n">
        <v>4457.523264814476</v>
      </c>
      <c r="CH32" s="6" t="n">
        <v>8876.139982796756</v>
      </c>
      <c r="CI32" s="6" t="n">
        <v>15766.74853466145</v>
      </c>
      <c r="CJ32" s="6" t="n">
        <v>24763.41657358888</v>
      </c>
      <c r="CK32" s="6" t="n">
        <v>129892.6911887418</v>
      </c>
      <c r="CL32" s="6" t="n">
        <v>87355.96682034348</v>
      </c>
      <c r="CM32" s="6" t="n">
        <v>6637.565479188997</v>
      </c>
      <c r="CN32" s="6" t="n">
        <v>23578.06393520805</v>
      </c>
      <c r="CO32" s="6" t="n">
        <v>607.2697831654895</v>
      </c>
      <c r="CP32" s="6" t="n">
        <v>48121.29316084471</v>
      </c>
      <c r="CQ32" s="6" t="n">
        <v>32207.66503009525</v>
      </c>
      <c r="CR32" s="6" t="n">
        <v>20005.33609224626</v>
      </c>
      <c r="CS32" s="6" t="n">
        <v>111312.634171986</v>
      </c>
      <c r="CT32" s="6" t="n">
        <v>3400.211641586719</v>
      </c>
      <c r="CU32" s="6" t="n">
        <v>34840.54294655512</v>
      </c>
      <c r="CV32" s="6" t="n">
        <v>18407.01149735337</v>
      </c>
      <c r="CW32" s="6" t="n">
        <v>23262.9434657298</v>
      </c>
      <c r="CX32" s="6" t="n">
        <v>43648.77572192343</v>
      </c>
      <c r="CY32" s="6" t="n">
        <v>23974.71577640493</v>
      </c>
      <c r="CZ32" s="6" t="n">
        <v>27944.3655354812</v>
      </c>
      <c r="DA32" s="6" t="n">
        <v>13220.6650799048</v>
      </c>
      <c r="DB32" s="6" t="n">
        <v>46088.2797893512</v>
      </c>
      <c r="DC32" s="6" t="n">
        <v>27703.4295136783</v>
      </c>
      <c r="DD32" s="6" t="n">
        <v>162919.646298579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 ht="30" customHeight="1">
      <c r="A1" s="1" t="inlineStr">
        <is>
          <t>Paso 2: calcular Z_pre desde COU</t>
        </is>
      </c>
    </row>
    <row r="2">
      <c r="A2" s="2" t="inlineStr">
        <is>
          <t>Para cada celda: Z_pre[i,j] = SUMPRODUCT(D[i,*], U[*,j]).</t>
        </is>
      </c>
    </row>
    <row r="3"/>
    <row r="4">
      <c r="B4" s="9" t="inlineStr">
        <is>
          <t>Z_pre formula</t>
        </is>
      </c>
      <c r="J4" s="9" t="inlineStr">
        <is>
          <t>Z_pre guardada</t>
        </is>
      </c>
      <c r="R4" s="9" t="inlineStr">
        <is>
          <t>Diferencia</t>
        </is>
      </c>
    </row>
    <row r="5">
      <c r="B5" s="3" t="inlineStr">
        <is>
          <t>Comércio</t>
        </is>
      </c>
      <c r="C5" s="3" t="inlineStr">
        <is>
          <t>Alimentos e Bebidas</t>
        </is>
      </c>
      <c r="D5" s="3" t="inlineStr">
        <is>
          <t>Tintas vernizes esmaltes e lacas</t>
        </is>
      </c>
      <c r="E5" s="3" t="inlineStr">
        <is>
          <t>Construção civil</t>
        </is>
      </c>
      <c r="F5" s="3" t="inlineStr">
        <is>
          <t>Transporte armazenagem e correio</t>
        </is>
      </c>
      <c r="G5" s="3" t="inlineStr">
        <is>
          <t>Agricultura silvicultura exploração florestal</t>
        </is>
      </c>
      <c r="J5" s="3" t="inlineStr">
        <is>
          <t>Comércio</t>
        </is>
      </c>
      <c r="K5" s="3" t="inlineStr">
        <is>
          <t>Alimentos e Bebidas</t>
        </is>
      </c>
      <c r="L5" s="3" t="inlineStr">
        <is>
          <t>Tintas vernizes esmaltes e lacas</t>
        </is>
      </c>
      <c r="M5" s="3" t="inlineStr">
        <is>
          <t>Construção civil</t>
        </is>
      </c>
      <c r="N5" s="3" t="inlineStr">
        <is>
          <t>Transporte armazenagem e correio</t>
        </is>
      </c>
      <c r="O5" s="3" t="inlineStr">
        <is>
          <t>Agricultura silvicultura exploração florestal</t>
        </is>
      </c>
      <c r="R5" s="3" t="inlineStr">
        <is>
          <t>Comércio</t>
        </is>
      </c>
      <c r="S5" s="3" t="inlineStr">
        <is>
          <t>Alimentos e Bebidas</t>
        </is>
      </c>
      <c r="T5" s="3" t="inlineStr">
        <is>
          <t>Tintas vernizes esmaltes e lacas</t>
        </is>
      </c>
      <c r="U5" s="3" t="inlineStr">
        <is>
          <t>Construção civil</t>
        </is>
      </c>
      <c r="V5" s="3" t="inlineStr">
        <is>
          <t>Transporte armazenagem e correio</t>
        </is>
      </c>
      <c r="W5" s="3" t="inlineStr">
        <is>
          <t>Agricultura silvicultura exploração florestal</t>
        </is>
      </c>
    </row>
    <row r="6">
      <c r="A6" s="4" t="inlineStr">
        <is>
          <t>Comércio</t>
        </is>
      </c>
      <c r="B6" s="4">
        <f>SUMPRODUCT(Datos_COU!$B$15:$DD$15,Datos_COU!$B$24:$DD$24)</f>
        <v/>
      </c>
      <c r="C6" s="4">
        <f>SUMPRODUCT(Datos_COU!$B$15:$DD$15,Datos_COU!$B$25:$DD$25)</f>
        <v/>
      </c>
      <c r="D6" s="4">
        <f>SUMPRODUCT(Datos_COU!$B$15:$DD$15,Datos_COU!$B$26:$DD$26)</f>
        <v/>
      </c>
      <c r="E6" s="4">
        <f>SUMPRODUCT(Datos_COU!$B$15:$DD$15,Datos_COU!$B$27:$DD$27)</f>
        <v/>
      </c>
      <c r="F6" s="4">
        <f>SUMPRODUCT(Datos_COU!$B$15:$DD$15,Datos_COU!$B$28:$DD$28)</f>
        <v/>
      </c>
      <c r="G6" s="4">
        <f>SUMPRODUCT(Datos_COU!$B$15:$DD$15,Datos_COU!$B$29:$DD$29)</f>
        <v/>
      </c>
      <c r="J6" s="10" t="n">
        <v>8915.779247864768</v>
      </c>
      <c r="K6" s="10" t="n">
        <v>11592.96526259484</v>
      </c>
      <c r="L6" s="10" t="n">
        <v>261.1740819765291</v>
      </c>
      <c r="M6" s="10" t="n">
        <v>1269.594230381418</v>
      </c>
      <c r="N6" s="10" t="n">
        <v>7858.810940491117</v>
      </c>
      <c r="O6" s="10" t="n">
        <v>262.8527092663349</v>
      </c>
      <c r="R6" s="4">
        <f>B6-J6</f>
        <v/>
      </c>
      <c r="S6" s="4">
        <f>C6-K6</f>
        <v/>
      </c>
      <c r="T6" s="4">
        <f>D6-L6</f>
        <v/>
      </c>
      <c r="U6" s="4">
        <f>E6-M6</f>
        <v/>
      </c>
      <c r="V6" s="4">
        <f>F6-N6</f>
        <v/>
      </c>
      <c r="W6" s="4">
        <f>G6-O6</f>
        <v/>
      </c>
    </row>
    <row r="7">
      <c r="A7" s="4" t="inlineStr">
        <is>
          <t>Alimentos e Bebidas</t>
        </is>
      </c>
      <c r="B7" s="4">
        <f>SUMPRODUCT(Datos_COU!$B$16:$DD$16,Datos_COU!$B$24:$DD$24)</f>
        <v/>
      </c>
      <c r="C7" s="4">
        <f>SUMPRODUCT(Datos_COU!$B$16:$DD$16,Datos_COU!$B$25:$DD$25)</f>
        <v/>
      </c>
      <c r="D7" s="4">
        <f>SUMPRODUCT(Datos_COU!$B$16:$DD$16,Datos_COU!$B$26:$DD$26)</f>
        <v/>
      </c>
      <c r="E7" s="4">
        <f>SUMPRODUCT(Datos_COU!$B$16:$DD$16,Datos_COU!$B$27:$DD$27)</f>
        <v/>
      </c>
      <c r="F7" s="4">
        <f>SUMPRODUCT(Datos_COU!$B$16:$DD$16,Datos_COU!$B$28:$DD$28)</f>
        <v/>
      </c>
      <c r="G7" s="4">
        <f>SUMPRODUCT(Datos_COU!$B$16:$DD$16,Datos_COU!$B$29:$DD$29)</f>
        <v/>
      </c>
      <c r="J7" s="10" t="n">
        <v>948.1642884855382</v>
      </c>
      <c r="K7" s="10" t="n">
        <v>17796.19436269009</v>
      </c>
      <c r="L7" s="10" t="n">
        <v>90.03497467073792</v>
      </c>
      <c r="M7" s="10" t="n">
        <v>187.4221707827716</v>
      </c>
      <c r="N7" s="10" t="n">
        <v>247.3508097502316</v>
      </c>
      <c r="O7" s="10" t="n">
        <v>287.8250441332542</v>
      </c>
      <c r="R7" s="4">
        <f>B7-J7</f>
        <v/>
      </c>
      <c r="S7" s="4">
        <f>C7-K7</f>
        <v/>
      </c>
      <c r="T7" s="4">
        <f>D7-L7</f>
        <v/>
      </c>
      <c r="U7" s="4">
        <f>E7-M7</f>
        <v/>
      </c>
      <c r="V7" s="4">
        <f>F7-N7</f>
        <v/>
      </c>
      <c r="W7" s="4">
        <f>G7-O7</f>
        <v/>
      </c>
    </row>
    <row r="8">
      <c r="A8" s="4" t="inlineStr">
        <is>
          <t>Tintas vernizes esmaltes e lacas</t>
        </is>
      </c>
      <c r="B8" s="4">
        <f>SUMPRODUCT(Datos_COU!$B$17:$DD$17,Datos_COU!$B$24:$DD$24)</f>
        <v/>
      </c>
      <c r="C8" s="4">
        <f>SUMPRODUCT(Datos_COU!$B$17:$DD$17,Datos_COU!$B$25:$DD$25)</f>
        <v/>
      </c>
      <c r="D8" s="4">
        <f>SUMPRODUCT(Datos_COU!$B$17:$DD$17,Datos_COU!$B$26:$DD$26)</f>
        <v/>
      </c>
      <c r="E8" s="4">
        <f>SUMPRODUCT(Datos_COU!$B$17:$DD$17,Datos_COU!$B$27:$DD$27)</f>
        <v/>
      </c>
      <c r="F8" s="4">
        <f>SUMPRODUCT(Datos_COU!$B$17:$DD$17,Datos_COU!$B$28:$DD$28)</f>
        <v/>
      </c>
      <c r="G8" s="4">
        <f>SUMPRODUCT(Datos_COU!$B$17:$DD$17,Datos_COU!$B$29:$DD$29)</f>
        <v/>
      </c>
      <c r="J8" s="10" t="n">
        <v>294.7248438539112</v>
      </c>
      <c r="K8" s="10" t="n">
        <v>36.03636840366249</v>
      </c>
      <c r="L8" s="10" t="n">
        <v>44.06654464881965</v>
      </c>
      <c r="M8" s="10" t="n">
        <v>1788.052985684646</v>
      </c>
      <c r="N8" s="10" t="n">
        <v>77.87843491943772</v>
      </c>
      <c r="O8" s="10" t="n">
        <v>17.10871149057782</v>
      </c>
      <c r="R8" s="4">
        <f>B8-J8</f>
        <v/>
      </c>
      <c r="S8" s="4">
        <f>C8-K8</f>
        <v/>
      </c>
      <c r="T8" s="4">
        <f>D8-L8</f>
        <v/>
      </c>
      <c r="U8" s="4">
        <f>E8-M8</f>
        <v/>
      </c>
      <c r="V8" s="4">
        <f>F8-N8</f>
        <v/>
      </c>
      <c r="W8" s="4">
        <f>G8-O8</f>
        <v/>
      </c>
    </row>
    <row r="9">
      <c r="A9" s="4" t="inlineStr">
        <is>
          <t>Construção civil</t>
        </is>
      </c>
      <c r="B9" s="4">
        <f>SUMPRODUCT(Datos_COU!$B$18:$DD$18,Datos_COU!$B$24:$DD$24)</f>
        <v/>
      </c>
      <c r="C9" s="4">
        <f>SUMPRODUCT(Datos_COU!$B$18:$DD$18,Datos_COU!$B$25:$DD$25)</f>
        <v/>
      </c>
      <c r="D9" s="4">
        <f>SUMPRODUCT(Datos_COU!$B$18:$DD$18,Datos_COU!$B$26:$DD$26)</f>
        <v/>
      </c>
      <c r="E9" s="4">
        <f>SUMPRODUCT(Datos_COU!$B$18:$DD$18,Datos_COU!$B$27:$DD$27)</f>
        <v/>
      </c>
      <c r="F9" s="4">
        <f>SUMPRODUCT(Datos_COU!$B$18:$DD$18,Datos_COU!$B$28:$DD$28)</f>
        <v/>
      </c>
      <c r="G9" s="4">
        <f>SUMPRODUCT(Datos_COU!$B$18:$DD$18,Datos_COU!$B$29:$DD$29)</f>
        <v/>
      </c>
      <c r="J9" s="10" t="n">
        <v>434.0398202968261</v>
      </c>
      <c r="K9" s="10" t="n">
        <v>17.08852749255606</v>
      </c>
      <c r="L9" s="10" t="n">
        <v>0.801153137837277</v>
      </c>
      <c r="M9" s="10" t="n">
        <v>12927.76937661193</v>
      </c>
      <c r="N9" s="10" t="n">
        <v>417.6048084876727</v>
      </c>
      <c r="O9" s="10" t="n">
        <v>15.97103292709224</v>
      </c>
      <c r="R9" s="4">
        <f>B9-J9</f>
        <v/>
      </c>
      <c r="S9" s="4">
        <f>C9-K9</f>
        <v/>
      </c>
      <c r="T9" s="4">
        <f>D9-L9</f>
        <v/>
      </c>
      <c r="U9" s="4">
        <f>E9-M9</f>
        <v/>
      </c>
      <c r="V9" s="4">
        <f>F9-N9</f>
        <v/>
      </c>
      <c r="W9" s="4">
        <f>G9-O9</f>
        <v/>
      </c>
    </row>
    <row r="10">
      <c r="A10" s="4" t="inlineStr">
        <is>
          <t>Transporte armazenagem e correio</t>
        </is>
      </c>
      <c r="B10" s="4">
        <f>SUMPRODUCT(Datos_COU!$B$19:$DD$19,Datos_COU!$B$24:$DD$24)</f>
        <v/>
      </c>
      <c r="C10" s="4">
        <f>SUMPRODUCT(Datos_COU!$B$19:$DD$19,Datos_COU!$B$25:$DD$25)</f>
        <v/>
      </c>
      <c r="D10" s="4">
        <f>SUMPRODUCT(Datos_COU!$B$19:$DD$19,Datos_COU!$B$26:$DD$26)</f>
        <v/>
      </c>
      <c r="E10" s="4">
        <f>SUMPRODUCT(Datos_COU!$B$19:$DD$19,Datos_COU!$B$27:$DD$27)</f>
        <v/>
      </c>
      <c r="F10" s="4">
        <f>SUMPRODUCT(Datos_COU!$B$19:$DD$19,Datos_COU!$B$28:$DD$28)</f>
        <v/>
      </c>
      <c r="G10" s="4">
        <f>SUMPRODUCT(Datos_COU!$B$19:$DD$19,Datos_COU!$B$29:$DD$29)</f>
        <v/>
      </c>
      <c r="J10" s="10" t="n">
        <v>10201.25995793249</v>
      </c>
      <c r="K10" s="10" t="n">
        <v>9671.738877144368</v>
      </c>
      <c r="L10" s="10" t="n">
        <v>232.6988165588599</v>
      </c>
      <c r="M10" s="10" t="n">
        <v>1237.348027571995</v>
      </c>
      <c r="N10" s="10" t="n">
        <v>14709.7807308188</v>
      </c>
      <c r="O10" s="10" t="n">
        <v>1189.910050196152</v>
      </c>
      <c r="R10" s="4">
        <f>B10-J10</f>
        <v/>
      </c>
      <c r="S10" s="4">
        <f>C10-K10</f>
        <v/>
      </c>
      <c r="T10" s="4">
        <f>D10-L10</f>
        <v/>
      </c>
      <c r="U10" s="4">
        <f>E10-M10</f>
        <v/>
      </c>
      <c r="V10" s="4">
        <f>F10-N10</f>
        <v/>
      </c>
      <c r="W10" s="4">
        <f>G10-O10</f>
        <v/>
      </c>
    </row>
    <row r="11">
      <c r="A11" s="4" t="inlineStr">
        <is>
          <t>Agricultura silvicultura exploração florestal</t>
        </is>
      </c>
      <c r="B11" s="4">
        <f>SUMPRODUCT(Datos_COU!$B$20:$DD$20,Datos_COU!$B$24:$DD$24)</f>
        <v/>
      </c>
      <c r="C11" s="4">
        <f>SUMPRODUCT(Datos_COU!$B$20:$DD$20,Datos_COU!$B$25:$DD$25)</f>
        <v/>
      </c>
      <c r="D11" s="4">
        <f>SUMPRODUCT(Datos_COU!$B$20:$DD$20,Datos_COU!$B$26:$DD$26)</f>
        <v/>
      </c>
      <c r="E11" s="4">
        <f>SUMPRODUCT(Datos_COU!$B$20:$DD$20,Datos_COU!$B$27:$DD$27)</f>
        <v/>
      </c>
      <c r="F11" s="4">
        <f>SUMPRODUCT(Datos_COU!$B$20:$DD$20,Datos_COU!$B$28:$DD$28)</f>
        <v/>
      </c>
      <c r="G11" s="4">
        <f>SUMPRODUCT(Datos_COU!$B$20:$DD$20,Datos_COU!$B$29:$DD$29)</f>
        <v/>
      </c>
      <c r="J11" s="10" t="n">
        <v>1717.086048024237</v>
      </c>
      <c r="K11" s="10" t="n">
        <v>27187.22744887705</v>
      </c>
      <c r="L11" s="10" t="n">
        <v>15.22966205186783</v>
      </c>
      <c r="M11" s="10" t="n">
        <v>111.8385284587101</v>
      </c>
      <c r="N11" s="10" t="n">
        <v>1.470893960593101</v>
      </c>
      <c r="O11" s="10" t="n">
        <v>2194.934362563155</v>
      </c>
      <c r="R11" s="4">
        <f>B11-J11</f>
        <v/>
      </c>
      <c r="S11" s="4">
        <f>C11-K11</f>
        <v/>
      </c>
      <c r="T11" s="4">
        <f>D11-L11</f>
        <v/>
      </c>
      <c r="U11" s="4">
        <f>E11-M11</f>
        <v/>
      </c>
      <c r="V11" s="4">
        <f>F11-N11</f>
        <v/>
      </c>
      <c r="W11" s="4">
        <f>G11-O11</f>
        <v/>
      </c>
    </row>
    <row r="12"/>
    <row r="13"/>
    <row r="14"/>
    <row r="15">
      <c r="A15" s="3" t="inlineStr">
        <is>
          <t>Sector</t>
        </is>
      </c>
      <c r="B15" s="3" t="inlineStr">
        <is>
          <t>f_pre formula = D @ y</t>
        </is>
      </c>
      <c r="C15" s="3" t="inlineStr">
        <is>
          <t>f_pre guardada</t>
        </is>
      </c>
      <c r="D15" s="3" t="inlineStr">
        <is>
          <t>Diferencia</t>
        </is>
      </c>
    </row>
    <row r="16">
      <c r="A16" s="4" t="inlineStr">
        <is>
          <t>Comércio</t>
        </is>
      </c>
      <c r="B16" s="4">
        <f>SUMPRODUCT(Datos_COU!$B$15:$DD$15,Datos_COU!$B$32:$DD$32)</f>
        <v/>
      </c>
      <c r="C16" s="10" t="n">
        <v>94762.52989853974</v>
      </c>
      <c r="D16" s="4">
        <f>B16-C16</f>
        <v/>
      </c>
    </row>
    <row r="17">
      <c r="A17" s="5" t="inlineStr">
        <is>
          <t>Alimentos e Bebidas</t>
        </is>
      </c>
      <c r="B17" s="5">
        <f>SUMPRODUCT(Datos_COU!$B$16:$DD$16,Datos_COU!$B$32:$DD$32)</f>
        <v/>
      </c>
      <c r="C17" s="11" t="n">
        <v>106143.8380656865</v>
      </c>
      <c r="D17" s="5">
        <f>B17-C17</f>
        <v/>
      </c>
    </row>
    <row r="18">
      <c r="A18" s="4" t="inlineStr">
        <is>
          <t>Tintas vernizes esmaltes e lacas</t>
        </is>
      </c>
      <c r="B18" s="4">
        <f>SUMPRODUCT(Datos_COU!$B$17:$DD$17,Datos_COU!$B$32:$DD$32)</f>
        <v/>
      </c>
      <c r="C18" s="10" t="n">
        <v>-94.26034710851117</v>
      </c>
      <c r="D18" s="4">
        <f>B18-C18</f>
        <v/>
      </c>
    </row>
    <row r="19">
      <c r="A19" s="5" t="inlineStr">
        <is>
          <t>Construção civil</t>
        </is>
      </c>
      <c r="B19" s="5">
        <f>SUMPRODUCT(Datos_COU!$B$18:$DD$18,Datos_COU!$B$32:$DD$32)</f>
        <v/>
      </c>
      <c r="C19" s="11" t="n">
        <v>126353.8149774385</v>
      </c>
      <c r="D19" s="5">
        <f>B19-C19</f>
        <v/>
      </c>
    </row>
    <row r="20">
      <c r="A20" s="4" t="inlineStr">
        <is>
          <t>Transporte armazenagem e correio</t>
        </is>
      </c>
      <c r="B20" s="4">
        <f>SUMPRODUCT(Datos_COU!$B$19:$DD$19,Datos_COU!$B$32:$DD$32)</f>
        <v/>
      </c>
      <c r="C20" s="10" t="n">
        <v>31043.97907731001</v>
      </c>
      <c r="D20" s="4">
        <f>B20-C20</f>
        <v/>
      </c>
    </row>
    <row r="21">
      <c r="A21" s="5" t="inlineStr">
        <is>
          <t>Agricultura silvicultura exploração florestal</t>
        </is>
      </c>
      <c r="B21" s="5">
        <f>SUMPRODUCT(Datos_COU!$B$20:$DD$20,Datos_COU!$B$32:$DD$32)</f>
        <v/>
      </c>
      <c r="C21" s="11" t="n">
        <v>25759.31289840451</v>
      </c>
      <c r="D21" s="5">
        <f>B21-C21</f>
        <v/>
      </c>
    </row>
    <row r="22"/>
  </sheetData>
  <autoFilter ref="A15:D21"/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42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0" customHeight="1">
      <c r="A1" s="1" t="inlineStr">
        <is>
          <t>Paso 3: cierre menor documentado</t>
        </is>
      </c>
    </row>
    <row r="2">
      <c r="A2" s="2" t="inlineStr">
        <is>
          <t>Se conserva g y sum_col(Z); RAS ajusta Z_pre para producir Z_MIP final.</t>
        </is>
      </c>
    </row>
    <row r="3"/>
    <row r="4">
      <c r="A4" s="3" t="inlineStr">
        <is>
          <t>Sector</t>
        </is>
      </c>
      <c r="B4" s="3" t="inlineStr">
        <is>
          <t>g</t>
        </is>
      </c>
      <c r="C4" s="3" t="inlineStr">
        <is>
          <t>f_original</t>
        </is>
      </c>
      <c r="D4" s="3" t="inlineStr">
        <is>
          <t>f_final</t>
        </is>
      </c>
      <c r="E4" s="3" t="inlineStr">
        <is>
          <t>ajuste_f</t>
        </is>
      </c>
      <c r="F4" s="3" t="inlineStr">
        <is>
          <t>ventas_Z_pre</t>
        </is>
      </c>
      <c r="G4" s="3" t="inlineStr">
        <is>
          <t>ventas_Z_final</t>
        </is>
      </c>
      <c r="H4" s="3" t="inlineStr">
        <is>
          <t>ajuste_Z_ventas</t>
        </is>
      </c>
      <c r="I4" s="3" t="inlineStr">
        <is>
          <t>check_g-Z-f</t>
        </is>
      </c>
    </row>
    <row r="5">
      <c r="A5" s="4" t="inlineStr">
        <is>
          <t>Comércio</t>
        </is>
      </c>
      <c r="B5" s="6" t="n">
        <v>172998.5776728991</v>
      </c>
      <c r="C5" s="4">
        <f>'Paso_2_Z_pre'!B16</f>
        <v/>
      </c>
      <c r="D5" s="6" t="n">
        <v>94755.69595153906</v>
      </c>
      <c r="E5" s="4">
        <f>D5-C5</f>
        <v/>
      </c>
      <c r="F5" s="6" t="n">
        <v>77781.23795795879</v>
      </c>
      <c r="G5" s="6" t="n">
        <v>78242.88172136646</v>
      </c>
      <c r="H5" s="4">
        <f>G5-F5</f>
        <v/>
      </c>
      <c r="I5" s="4">
        <f>B5-G5-D5</f>
        <v/>
      </c>
    </row>
    <row r="6">
      <c r="A6" s="5" t="inlineStr">
        <is>
          <t>Alimentos e Bebidas</t>
        </is>
      </c>
      <c r="B6" s="7" t="n">
        <v>145347.8841165121</v>
      </c>
      <c r="C6" s="5">
        <f>'Paso_2_Z_pre'!B17</f>
        <v/>
      </c>
      <c r="D6" s="7" t="n">
        <v>106136.1833379733</v>
      </c>
      <c r="E6" s="5">
        <f>D6-C6</f>
        <v/>
      </c>
      <c r="F6" s="7" t="n">
        <v>39199.34249333091</v>
      </c>
      <c r="G6" s="7" t="n">
        <v>39211.70077853768</v>
      </c>
      <c r="H6" s="5">
        <f>G6-F6</f>
        <v/>
      </c>
      <c r="I6" s="5">
        <f>B6-G6-D6</f>
        <v/>
      </c>
    </row>
    <row r="7">
      <c r="A7" s="4" t="inlineStr">
        <is>
          <t>Tintas vernizes esmaltes e lacas</t>
        </is>
      </c>
      <c r="B7" s="6" t="n">
        <v>5261.424040213389</v>
      </c>
      <c r="C7" s="4">
        <f>'Paso_2_Z_pre'!B18</f>
        <v/>
      </c>
      <c r="D7" s="6" t="n">
        <v>0</v>
      </c>
      <c r="E7" s="4">
        <f>D7-C7</f>
        <v/>
      </c>
      <c r="F7" s="6" t="n">
        <v>5355.684387321897</v>
      </c>
      <c r="G7" s="6" t="n">
        <v>5261.424040214403</v>
      </c>
      <c r="H7" s="4">
        <f>G7-F7</f>
        <v/>
      </c>
      <c r="I7" s="4">
        <f>B7-G7-D7</f>
        <v/>
      </c>
    </row>
    <row r="8">
      <c r="A8" s="5" t="inlineStr">
        <is>
          <t>Construção civil</t>
        </is>
      </c>
      <c r="B8" s="7" t="n">
        <v>150433.3767559023</v>
      </c>
      <c r="C8" s="5">
        <f>'Paso_2_Z_pre'!B19</f>
        <v/>
      </c>
      <c r="D8" s="7" t="n">
        <v>126344.7027758561</v>
      </c>
      <c r="E8" s="5">
        <f>D8-C8</f>
        <v/>
      </c>
      <c r="F8" s="7" t="n">
        <v>24079.56177846428</v>
      </c>
      <c r="G8" s="7" t="n">
        <v>24088.67398005048</v>
      </c>
      <c r="H8" s="5">
        <f>G8-F8</f>
        <v/>
      </c>
      <c r="I8" s="5">
        <f>B8-G8-D8</f>
        <v/>
      </c>
    </row>
    <row r="9">
      <c r="A9" s="4" t="inlineStr">
        <is>
          <t>Transporte armazenagem e correio</t>
        </is>
      </c>
      <c r="B9" s="6" t="n">
        <v>105696.9088122315</v>
      </c>
      <c r="C9" s="4">
        <f>'Paso_2_Z_pre'!B20</f>
        <v/>
      </c>
      <c r="D9" s="6" t="n">
        <v>31041.74029255056</v>
      </c>
      <c r="E9" s="4">
        <f>D9-C9</f>
        <v/>
      </c>
      <c r="F9" s="6" t="n">
        <v>74652.85941456103</v>
      </c>
      <c r="G9" s="6" t="n">
        <v>74655.16851968007</v>
      </c>
      <c r="H9" s="4">
        <f>G9-F9</f>
        <v/>
      </c>
      <c r="I9" s="4">
        <f>B9-G9-D9</f>
        <v/>
      </c>
    </row>
    <row r="10">
      <c r="A10" s="5" t="inlineStr">
        <is>
          <t>Agricultura silvicultura exploração florestal</t>
        </is>
      </c>
      <c r="B10" s="7" t="n">
        <v>67926.98662659568</v>
      </c>
      <c r="C10" s="5">
        <f>'Paso_2_Z_pre'!B21</f>
        <v/>
      </c>
      <c r="D10" s="7" t="n">
        <v>25757.45522555313</v>
      </c>
      <c r="E10" s="5">
        <f>D10-C10</f>
        <v/>
      </c>
      <c r="F10" s="7" t="n">
        <v>42167.67174990167</v>
      </c>
      <c r="G10" s="7" t="n">
        <v>42169.53140104332</v>
      </c>
      <c r="H10" s="5">
        <f>G10-F10</f>
        <v/>
      </c>
      <c r="I10" s="5">
        <f>B10-G10-D10</f>
        <v/>
      </c>
    </row>
    <row r="11"/>
    <row r="12"/>
    <row r="13"/>
    <row r="14">
      <c r="A14" s="3" t="inlineStr">
        <is>
          <t>Restriccion</t>
        </is>
      </c>
      <c r="B14" s="3" t="inlineStr">
        <is>
          <t>Formula</t>
        </is>
      </c>
      <c r="C14" s="3" t="inlineStr">
        <is>
          <t>Lectura</t>
        </is>
      </c>
    </row>
    <row r="15">
      <c r="A15" s="4" t="inlineStr">
        <is>
          <t>Filas</t>
        </is>
      </c>
      <c r="B15" s="4" t="inlineStr">
        <is>
          <t>sum_row(Z_final) + f_final = g</t>
        </is>
      </c>
      <c r="C15" s="4" t="inlineStr">
        <is>
          <t>Columna check_g-Z-f debe ser cercana a cero.</t>
        </is>
      </c>
    </row>
    <row r="16">
      <c r="A16" s="5" t="inlineStr">
        <is>
          <t>Columnas</t>
        </is>
      </c>
      <c r="B16" s="5" t="inlineStr">
        <is>
          <t>sum_col(Z_final) = sum_col(Z_pre)</t>
        </is>
      </c>
      <c r="C16" s="5" t="inlineStr">
        <is>
          <t>Asi no se mueve el valor agregado residual.</t>
        </is>
      </c>
    </row>
    <row r="17">
      <c r="A17" s="4" t="inlineStr">
        <is>
          <t>Aplicacion</t>
        </is>
      </c>
      <c r="B17" s="4" t="inlineStr">
        <is>
          <t>Solo negativos pequenos y documentados</t>
        </is>
      </c>
      <c r="C17" s="4" t="inlineStr">
        <is>
          <t>Brasil 2001-2006; Uruguay 2016 por redondeo.</t>
        </is>
      </c>
    </row>
  </sheetData>
  <autoFilter ref="A14:C17"/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9" max="9"/>
  </cols>
  <sheetData>
    <row r="1" ht="30" customHeight="1">
      <c r="A1" s="1" t="inlineStr">
        <is>
          <t>Paso 4: matrices derivadas desde Z final</t>
        </is>
      </c>
    </row>
    <row r="2">
      <c r="A2" s="2" t="inlineStr">
        <is>
          <t>A y B se calculan con formulas; L se muestra como bloque de la inversa completa final.</t>
        </is>
      </c>
    </row>
    <row r="3"/>
    <row r="4">
      <c r="A4" s="9" t="inlineStr">
        <is>
          <t>Z_MIP final</t>
        </is>
      </c>
    </row>
    <row r="5">
      <c r="B5" s="12" t="inlineStr">
        <is>
          <t>Comércio</t>
        </is>
      </c>
      <c r="C5" s="12" t="inlineStr">
        <is>
          <t>Alimentos e Bebidas</t>
        </is>
      </c>
      <c r="D5" s="12" t="inlineStr">
        <is>
          <t>Tintas vernizes esmaltes e lacas</t>
        </is>
      </c>
      <c r="E5" s="12" t="inlineStr">
        <is>
          <t>Construção civil</t>
        </is>
      </c>
      <c r="F5" s="12" t="inlineStr">
        <is>
          <t>Transporte armazenagem e correio</t>
        </is>
      </c>
      <c r="G5" s="12" t="inlineStr">
        <is>
          <t>Agricultura silvicultura exploração florestal</t>
        </is>
      </c>
      <c r="I5" s="12" t="inlineStr">
        <is>
          <t>g vendedor</t>
        </is>
      </c>
    </row>
    <row r="6">
      <c r="A6" s="13" t="inlineStr">
        <is>
          <t>g comprador</t>
        </is>
      </c>
      <c r="B6" s="13" t="n">
        <v>172998.5776728991</v>
      </c>
      <c r="C6" s="13" t="n">
        <v>145347.8841165121</v>
      </c>
      <c r="D6" s="13" t="n">
        <v>5261.424040213389</v>
      </c>
      <c r="E6" s="13" t="n">
        <v>150433.3767559023</v>
      </c>
      <c r="F6" s="13" t="n">
        <v>105696.9088122315</v>
      </c>
      <c r="G6" s="13" t="n">
        <v>67926.98662659568</v>
      </c>
    </row>
    <row r="7">
      <c r="A7" s="13" t="inlineStr">
        <is>
          <t>Comércio</t>
        </is>
      </c>
      <c r="B7" s="13" t="n">
        <v>8972.08591438811</v>
      </c>
      <c r="C7" s="13" t="n">
        <v>11656.07159634907</v>
      </c>
      <c r="D7" s="13" t="n">
        <v>262.8322930907692</v>
      </c>
      <c r="E7" s="13" t="n">
        <v>1278.511617329022</v>
      </c>
      <c r="F7" s="13" t="n">
        <v>7904.409916385912</v>
      </c>
      <c r="G7" s="13" t="n">
        <v>264.4194843625607</v>
      </c>
      <c r="I7" s="13" t="n">
        <v>172998.5776728991</v>
      </c>
    </row>
    <row r="8">
      <c r="A8" s="13" t="inlineStr">
        <is>
          <t>Alimentos e Bebidas</t>
        </is>
      </c>
      <c r="B8" s="13" t="n">
        <v>949.0240712692736</v>
      </c>
      <c r="C8" s="13" t="n">
        <v>17796.89874207258</v>
      </c>
      <c r="D8" s="13" t="n">
        <v>90.11963234881945</v>
      </c>
      <c r="E8" s="13" t="n">
        <v>187.7241815605325</v>
      </c>
      <c r="F8" s="13" t="n">
        <v>247.4488655208426</v>
      </c>
      <c r="G8" s="13" t="n">
        <v>287.9844866613556</v>
      </c>
      <c r="I8" s="13" t="n">
        <v>145347.8841165121</v>
      </c>
    </row>
    <row r="9">
      <c r="A9" s="13" t="inlineStr">
        <is>
          <t>Tintas vernizes esmaltes e lacas</t>
        </is>
      </c>
      <c r="B9" s="13" t="n">
        <v>289.4749923412962</v>
      </c>
      <c r="C9" s="13" t="n">
        <v>35.36379611968711</v>
      </c>
      <c r="D9" s="13" t="n">
        <v>43.28304770257584</v>
      </c>
      <c r="E9" s="13" t="n">
        <v>1757.439206684334</v>
      </c>
      <c r="F9" s="13" t="n">
        <v>76.45220515873878</v>
      </c>
      <c r="G9" s="13" t="n">
        <v>16.79803520593512</v>
      </c>
      <c r="I9" s="13" t="n">
        <v>5261.424040213389</v>
      </c>
    </row>
    <row r="10">
      <c r="A10" s="13" t="inlineStr">
        <is>
          <t>Construção civil</t>
        </is>
      </c>
      <c r="B10" s="13" t="n">
        <v>433.9881755873041</v>
      </c>
      <c r="C10" s="13" t="n">
        <v>17.07169010251837</v>
      </c>
      <c r="D10" s="13" t="n">
        <v>0.8010846138642249</v>
      </c>
      <c r="E10" s="13" t="n">
        <v>12935.33080410933</v>
      </c>
      <c r="F10" s="13" t="n">
        <v>417.3422077705855</v>
      </c>
      <c r="G10" s="13" t="n">
        <v>15.96350330660371</v>
      </c>
      <c r="I10" s="13" t="n">
        <v>150433.3767559023</v>
      </c>
    </row>
    <row r="11">
      <c r="A11" s="13" t="inlineStr">
        <is>
          <t>Transporte armazenagem e correio</t>
        </is>
      </c>
      <c r="B11" s="13" t="n">
        <v>10203.51341620913</v>
      </c>
      <c r="C11" s="13" t="n">
        <v>9665.493718139307</v>
      </c>
      <c r="D11" s="13" t="n">
        <v>232.7580071789453</v>
      </c>
      <c r="E11" s="13" t="n">
        <v>1238.492603518715</v>
      </c>
      <c r="F11" s="13" t="n">
        <v>14705.5279405473</v>
      </c>
      <c r="G11" s="13" t="n">
        <v>1189.753352689617</v>
      </c>
      <c r="I11" s="13" t="n">
        <v>105696.9088122315</v>
      </c>
    </row>
    <row r="12">
      <c r="A12" s="13" t="inlineStr">
        <is>
          <t>Agricultura silvicultura exploração florestal</t>
        </is>
      </c>
      <c r="B12" s="13" t="n">
        <v>1718.417863790949</v>
      </c>
      <c r="C12" s="13" t="n">
        <v>27184.74070888643</v>
      </c>
      <c r="D12" s="13" t="n">
        <v>15.24198452201198</v>
      </c>
      <c r="E12" s="13" t="n">
        <v>112.0040650814798</v>
      </c>
      <c r="F12" s="13" t="n">
        <v>1.471284232265345</v>
      </c>
      <c r="G12" s="13" t="n">
        <v>2195.862471795206</v>
      </c>
      <c r="I12" s="13" t="n">
        <v>67926.98662659568</v>
      </c>
    </row>
    <row r="13"/>
    <row r="14"/>
    <row r="15"/>
    <row r="16">
      <c r="A16" s="9" t="inlineStr">
        <is>
          <t>A_coef_tecnicos = Z[i,j] / g[j]</t>
        </is>
      </c>
    </row>
    <row r="17">
      <c r="B17" s="12" t="inlineStr">
        <is>
          <t>Comércio</t>
        </is>
      </c>
      <c r="C17" s="12" t="inlineStr">
        <is>
          <t>Alimentos e Bebidas</t>
        </is>
      </c>
      <c r="D17" s="12" t="inlineStr">
        <is>
          <t>Tintas vernizes esmaltes e lacas</t>
        </is>
      </c>
      <c r="E17" s="12" t="inlineStr">
        <is>
          <t>Construção civil</t>
        </is>
      </c>
      <c r="F17" s="12" t="inlineStr">
        <is>
          <t>Transporte armazenagem e correio</t>
        </is>
      </c>
      <c r="G17" s="12" t="inlineStr">
        <is>
          <t>Agricultura silvicultura exploração florestal</t>
        </is>
      </c>
    </row>
    <row r="18">
      <c r="A18" s="13" t="inlineStr">
        <is>
          <t>Comércio</t>
        </is>
      </c>
      <c r="B18" s="13">
        <f>IF(B$6=0,0,B7/B$6)</f>
        <v/>
      </c>
      <c r="C18" s="13">
        <f>IF(C$6=0,0,C7/C$6)</f>
        <v/>
      </c>
      <c r="D18" s="13">
        <f>IF(D$6=0,0,D7/D$6)</f>
        <v/>
      </c>
      <c r="E18" s="13">
        <f>IF(E$6=0,0,E7/E$6)</f>
        <v/>
      </c>
      <c r="F18" s="13">
        <f>IF(F$6=0,0,F7/F$6)</f>
        <v/>
      </c>
      <c r="G18" s="13">
        <f>IF(G$6=0,0,G7/G$6)</f>
        <v/>
      </c>
    </row>
    <row r="19">
      <c r="A19" s="13" t="inlineStr">
        <is>
          <t>Alimentos e Bebidas</t>
        </is>
      </c>
      <c r="B19" s="13">
        <f>IF(B$6=0,0,B8/B$6)</f>
        <v/>
      </c>
      <c r="C19" s="13">
        <f>IF(C$6=0,0,C8/C$6)</f>
        <v/>
      </c>
      <c r="D19" s="13">
        <f>IF(D$6=0,0,D8/D$6)</f>
        <v/>
      </c>
      <c r="E19" s="13">
        <f>IF(E$6=0,0,E8/E$6)</f>
        <v/>
      </c>
      <c r="F19" s="13">
        <f>IF(F$6=0,0,F8/F$6)</f>
        <v/>
      </c>
      <c r="G19" s="13">
        <f>IF(G$6=0,0,G8/G$6)</f>
        <v/>
      </c>
    </row>
    <row r="20">
      <c r="A20" s="13" t="inlineStr">
        <is>
          <t>Tintas vernizes esmaltes e lacas</t>
        </is>
      </c>
      <c r="B20" s="13">
        <f>IF(B$6=0,0,B9/B$6)</f>
        <v/>
      </c>
      <c r="C20" s="13">
        <f>IF(C$6=0,0,C9/C$6)</f>
        <v/>
      </c>
      <c r="D20" s="13">
        <f>IF(D$6=0,0,D9/D$6)</f>
        <v/>
      </c>
      <c r="E20" s="13">
        <f>IF(E$6=0,0,E9/E$6)</f>
        <v/>
      </c>
      <c r="F20" s="13">
        <f>IF(F$6=0,0,F9/F$6)</f>
        <v/>
      </c>
      <c r="G20" s="13">
        <f>IF(G$6=0,0,G9/G$6)</f>
        <v/>
      </c>
    </row>
    <row r="21">
      <c r="A21" s="13" t="inlineStr">
        <is>
          <t>Construção civil</t>
        </is>
      </c>
      <c r="B21" s="13">
        <f>IF(B$6=0,0,B10/B$6)</f>
        <v/>
      </c>
      <c r="C21" s="13">
        <f>IF(C$6=0,0,C10/C$6)</f>
        <v/>
      </c>
      <c r="D21" s="13">
        <f>IF(D$6=0,0,D10/D$6)</f>
        <v/>
      </c>
      <c r="E21" s="13">
        <f>IF(E$6=0,0,E10/E$6)</f>
        <v/>
      </c>
      <c r="F21" s="13">
        <f>IF(F$6=0,0,F10/F$6)</f>
        <v/>
      </c>
      <c r="G21" s="13">
        <f>IF(G$6=0,0,G10/G$6)</f>
        <v/>
      </c>
    </row>
    <row r="22">
      <c r="A22" s="13" t="inlineStr">
        <is>
          <t>Transporte armazenagem e correio</t>
        </is>
      </c>
      <c r="B22" s="13">
        <f>IF(B$6=0,0,B11/B$6)</f>
        <v/>
      </c>
      <c r="C22" s="13">
        <f>IF(C$6=0,0,C11/C$6)</f>
        <v/>
      </c>
      <c r="D22" s="13">
        <f>IF(D$6=0,0,D11/D$6)</f>
        <v/>
      </c>
      <c r="E22" s="13">
        <f>IF(E$6=0,0,E11/E$6)</f>
        <v/>
      </c>
      <c r="F22" s="13">
        <f>IF(F$6=0,0,F11/F$6)</f>
        <v/>
      </c>
      <c r="G22" s="13">
        <f>IF(G$6=0,0,G11/G$6)</f>
        <v/>
      </c>
    </row>
    <row r="23">
      <c r="A23" s="13" t="inlineStr">
        <is>
          <t>Agricultura silvicultura exploração florestal</t>
        </is>
      </c>
      <c r="B23" s="13">
        <f>IF(B$6=0,0,B12/B$6)</f>
        <v/>
      </c>
      <c r="C23" s="13">
        <f>IF(C$6=0,0,C12/C$6)</f>
        <v/>
      </c>
      <c r="D23" s="13">
        <f>IF(D$6=0,0,D12/D$6)</f>
        <v/>
      </c>
      <c r="E23" s="13">
        <f>IF(E$6=0,0,E12/E$6)</f>
        <v/>
      </c>
      <c r="F23" s="13">
        <f>IF(F$6=0,0,F12/F$6)</f>
        <v/>
      </c>
      <c r="G23" s="13">
        <f>IF(G$6=0,0,G12/G$6)</f>
        <v/>
      </c>
    </row>
    <row r="24"/>
    <row r="25"/>
    <row r="26"/>
    <row r="27">
      <c r="A27" s="9" t="inlineStr">
        <is>
          <t>B_ghosh = Z[i,j] / g[i]</t>
        </is>
      </c>
    </row>
    <row r="28">
      <c r="B28" s="12" t="inlineStr">
        <is>
          <t>Comércio</t>
        </is>
      </c>
      <c r="C28" s="12" t="inlineStr">
        <is>
          <t>Alimentos e Bebidas</t>
        </is>
      </c>
      <c r="D28" s="12" t="inlineStr">
        <is>
          <t>Tintas vernizes esmaltes e lacas</t>
        </is>
      </c>
      <c r="E28" s="12" t="inlineStr">
        <is>
          <t>Construção civil</t>
        </is>
      </c>
      <c r="F28" s="12" t="inlineStr">
        <is>
          <t>Transporte armazenagem e correio</t>
        </is>
      </c>
      <c r="G28" s="12" t="inlineStr">
        <is>
          <t>Agricultura silvicultura exploração florestal</t>
        </is>
      </c>
    </row>
    <row r="29">
      <c r="A29" s="13" t="inlineStr">
        <is>
          <t>Comércio</t>
        </is>
      </c>
      <c r="B29" s="13">
        <f>IF($I7=0,0,B7/$I7)</f>
        <v/>
      </c>
      <c r="C29" s="13">
        <f>IF($I7=0,0,C7/$I7)</f>
        <v/>
      </c>
      <c r="D29" s="13">
        <f>IF($I7=0,0,D7/$I7)</f>
        <v/>
      </c>
      <c r="E29" s="13">
        <f>IF($I7=0,0,E7/$I7)</f>
        <v/>
      </c>
      <c r="F29" s="13">
        <f>IF($I7=0,0,F7/$I7)</f>
        <v/>
      </c>
      <c r="G29" s="13">
        <f>IF($I7=0,0,G7/$I7)</f>
        <v/>
      </c>
    </row>
    <row r="30">
      <c r="A30" s="13" t="inlineStr">
        <is>
          <t>Alimentos e Bebidas</t>
        </is>
      </c>
      <c r="B30" s="13">
        <f>IF($I8=0,0,B8/$I8)</f>
        <v/>
      </c>
      <c r="C30" s="13">
        <f>IF($I8=0,0,C8/$I8)</f>
        <v/>
      </c>
      <c r="D30" s="13">
        <f>IF($I8=0,0,D8/$I8)</f>
        <v/>
      </c>
      <c r="E30" s="13">
        <f>IF($I8=0,0,E8/$I8)</f>
        <v/>
      </c>
      <c r="F30" s="13">
        <f>IF($I8=0,0,F8/$I8)</f>
        <v/>
      </c>
      <c r="G30" s="13">
        <f>IF($I8=0,0,G8/$I8)</f>
        <v/>
      </c>
    </row>
    <row r="31">
      <c r="A31" s="13" t="inlineStr">
        <is>
          <t>Tintas vernizes esmaltes e lacas</t>
        </is>
      </c>
      <c r="B31" s="13">
        <f>IF($I9=0,0,B9/$I9)</f>
        <v/>
      </c>
      <c r="C31" s="13">
        <f>IF($I9=0,0,C9/$I9)</f>
        <v/>
      </c>
      <c r="D31" s="13">
        <f>IF($I9=0,0,D9/$I9)</f>
        <v/>
      </c>
      <c r="E31" s="13">
        <f>IF($I9=0,0,E9/$I9)</f>
        <v/>
      </c>
      <c r="F31" s="13">
        <f>IF($I9=0,0,F9/$I9)</f>
        <v/>
      </c>
      <c r="G31" s="13">
        <f>IF($I9=0,0,G9/$I9)</f>
        <v/>
      </c>
    </row>
    <row r="32">
      <c r="A32" s="13" t="inlineStr">
        <is>
          <t>Construção civil</t>
        </is>
      </c>
      <c r="B32" s="13">
        <f>IF($I10=0,0,B10/$I10)</f>
        <v/>
      </c>
      <c r="C32" s="13">
        <f>IF($I10=0,0,C10/$I10)</f>
        <v/>
      </c>
      <c r="D32" s="13">
        <f>IF($I10=0,0,D10/$I10)</f>
        <v/>
      </c>
      <c r="E32" s="13">
        <f>IF($I10=0,0,E10/$I10)</f>
        <v/>
      </c>
      <c r="F32" s="13">
        <f>IF($I10=0,0,F10/$I10)</f>
        <v/>
      </c>
      <c r="G32" s="13">
        <f>IF($I10=0,0,G10/$I10)</f>
        <v/>
      </c>
    </row>
    <row r="33">
      <c r="A33" s="13" t="inlineStr">
        <is>
          <t>Transporte armazenagem e correio</t>
        </is>
      </c>
      <c r="B33" s="13">
        <f>IF($I11=0,0,B11/$I11)</f>
        <v/>
      </c>
      <c r="C33" s="13">
        <f>IF($I11=0,0,C11/$I11)</f>
        <v/>
      </c>
      <c r="D33" s="13">
        <f>IF($I11=0,0,D11/$I11)</f>
        <v/>
      </c>
      <c r="E33" s="13">
        <f>IF($I11=0,0,E11/$I11)</f>
        <v/>
      </c>
      <c r="F33" s="13">
        <f>IF($I11=0,0,F11/$I11)</f>
        <v/>
      </c>
      <c r="G33" s="13">
        <f>IF($I11=0,0,G11/$I11)</f>
        <v/>
      </c>
    </row>
    <row r="34">
      <c r="A34" s="13" t="inlineStr">
        <is>
          <t>Agricultura silvicultura exploração florestal</t>
        </is>
      </c>
      <c r="B34" s="13">
        <f>IF($I12=0,0,B12/$I12)</f>
        <v/>
      </c>
      <c r="C34" s="13">
        <f>IF($I12=0,0,C12/$I12)</f>
        <v/>
      </c>
      <c r="D34" s="13">
        <f>IF($I12=0,0,D12/$I12)</f>
        <v/>
      </c>
      <c r="E34" s="13">
        <f>IF($I12=0,0,E12/$I12)</f>
        <v/>
      </c>
      <c r="F34" s="13">
        <f>IF($I12=0,0,F12/$I12)</f>
        <v/>
      </c>
      <c r="G34" s="13">
        <f>IF($I12=0,0,G12/$I12)</f>
        <v/>
      </c>
    </row>
    <row r="35"/>
    <row r="36"/>
    <row r="37"/>
    <row r="38">
      <c r="A38" s="9" t="inlineStr">
        <is>
          <t>L_leontief = (I - A)^-1, bloque tomado de la inversa completa</t>
        </is>
      </c>
    </row>
    <row r="39">
      <c r="B39" s="12" t="inlineStr">
        <is>
          <t>Comércio</t>
        </is>
      </c>
      <c r="C39" s="12" t="inlineStr">
        <is>
          <t>Alimentos e Bebidas</t>
        </is>
      </c>
      <c r="D39" s="12" t="inlineStr">
        <is>
          <t>Tintas vernizes esmaltes e lacas</t>
        </is>
      </c>
      <c r="E39" s="12" t="inlineStr">
        <is>
          <t>Construção civil</t>
        </is>
      </c>
      <c r="F39" s="12" t="inlineStr">
        <is>
          <t>Transporte armazenagem e correio</t>
        </is>
      </c>
      <c r="G39" s="12" t="inlineStr">
        <is>
          <t>Agricultura silvicultura exploração florestal</t>
        </is>
      </c>
    </row>
    <row r="40">
      <c r="A40" s="13" t="inlineStr">
        <is>
          <t>Comércio</t>
        </is>
      </c>
      <c r="B40" s="13" t="n">
        <v>1.079467971804866</v>
      </c>
      <c r="C40" s="13" t="n">
        <v>0.1339238324969593</v>
      </c>
      <c r="D40" s="13" t="n">
        <v>0.1048118505161552</v>
      </c>
      <c r="E40" s="13" t="n">
        <v>0.04979927758277924</v>
      </c>
      <c r="F40" s="13" t="n">
        <v>0.1148221844791262</v>
      </c>
      <c r="G40" s="13" t="n">
        <v>0.02382399117439748</v>
      </c>
    </row>
    <row r="41">
      <c r="A41" s="13" t="inlineStr">
        <is>
          <t>Alimentos e Bebidas</t>
        </is>
      </c>
      <c r="B41" s="13" t="n">
        <v>0.01129709540351649</v>
      </c>
      <c r="C41" s="13" t="n">
        <v>1.16039790869848</v>
      </c>
      <c r="D41" s="13" t="n">
        <v>0.03104041375946771</v>
      </c>
      <c r="E41" s="13" t="n">
        <v>0.006500490708662568</v>
      </c>
      <c r="F41" s="13" t="n">
        <v>0.01161207777426315</v>
      </c>
      <c r="G41" s="13" t="n">
        <v>0.009150864948548457</v>
      </c>
    </row>
    <row r="42">
      <c r="A42" s="13" t="inlineStr">
        <is>
          <t>Tintas vernizes esmaltes e lacas</t>
        </is>
      </c>
      <c r="B42" s="13" t="n">
        <v>0.003555200938718098</v>
      </c>
      <c r="C42" s="13" t="n">
        <v>0.002615673118897132</v>
      </c>
      <c r="D42" s="13" t="n">
        <v>1.010402996753343</v>
      </c>
      <c r="E42" s="13" t="n">
        <v>0.01594130375289779</v>
      </c>
      <c r="F42" s="13" t="n">
        <v>0.002467382291518066</v>
      </c>
      <c r="G42" s="13" t="n">
        <v>0.001024028673595466</v>
      </c>
    </row>
    <row r="43">
      <c r="A43" s="13" t="inlineStr">
        <is>
          <t>Construção civil</t>
        </is>
      </c>
      <c r="B43" s="13" t="n">
        <v>0.006755216242069526</v>
      </c>
      <c r="C43" s="13" t="n">
        <v>0.004877967107734607</v>
      </c>
      <c r="D43" s="13" t="n">
        <v>0.005058912311325338</v>
      </c>
      <c r="E43" s="13" t="n">
        <v>1.09738834359701</v>
      </c>
      <c r="F43" s="13" t="n">
        <v>0.01069232672659309</v>
      </c>
      <c r="G43" s="13" t="n">
        <v>0.00270303383709394</v>
      </c>
    </row>
    <row r="44">
      <c r="A44" s="13" t="inlineStr">
        <is>
          <t>Transporte armazenagem e correio</t>
        </is>
      </c>
      <c r="B44" s="13" t="n">
        <v>0.08996016077811649</v>
      </c>
      <c r="C44" s="13" t="n">
        <v>0.1256690887392372</v>
      </c>
      <c r="D44" s="13" t="n">
        <v>0.1006785741923711</v>
      </c>
      <c r="E44" s="13" t="n">
        <v>0.04160609718785176</v>
      </c>
      <c r="F44" s="13" t="n">
        <v>1.194186620914375</v>
      </c>
      <c r="G44" s="13" t="n">
        <v>0.0402457042733415</v>
      </c>
    </row>
    <row r="45">
      <c r="A45" s="13" t="inlineStr">
        <is>
          <t>Agricultura silvicultura exploração florestal</t>
        </is>
      </c>
      <c r="B45" s="13" t="n">
        <v>0.01514159536616312</v>
      </c>
      <c r="C45" s="13" t="n">
        <v>0.2378916131710813</v>
      </c>
      <c r="D45" s="13" t="n">
        <v>0.01685307356495663</v>
      </c>
      <c r="E45" s="13" t="n">
        <v>0.005653630674896484</v>
      </c>
      <c r="F45" s="13" t="n">
        <v>0.006883011730300972</v>
      </c>
      <c r="G45" s="13" t="n">
        <v>1.037703490196797</v>
      </c>
    </row>
    <row r="46"/>
    <row r="47">
      <c r="A47" s="13" t="inlineStr">
        <is>
          <t>Formula Excel sobre matriz completa</t>
        </is>
      </c>
      <c r="B47" s="13">
        <f>MINVERSE(I - A)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42" customWidth="1" min="1" max="1"/>
    <col width="14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  <col width="16" customWidth="1" min="8" max="8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0" customHeight="1">
      <c r="A1" s="1" t="inlineStr">
        <is>
          <t>Paso 5: simulador piloto de choque</t>
        </is>
      </c>
    </row>
    <row r="2">
      <c r="A2" s="2" t="inlineStr">
        <is>
          <t>Choque de demanda final sobre sectores visibles: Delta g = L @ Delta f.</t>
        </is>
      </c>
    </row>
    <row r="3"/>
    <row r="4">
      <c r="J4" s="9" t="inlineStr">
        <is>
          <t>Bloque L usado por el simulador</t>
        </is>
      </c>
    </row>
    <row r="5">
      <c r="A5" s="3" t="inlineStr">
        <is>
          <t>Sector</t>
        </is>
      </c>
      <c r="B5" s="3" t="inlineStr">
        <is>
          <t>g_base</t>
        </is>
      </c>
      <c r="C5" s="3" t="inlineStr">
        <is>
          <t>f_base</t>
        </is>
      </c>
      <c r="D5" s="3" t="inlineStr">
        <is>
          <t>shock_pct_editable</t>
        </is>
      </c>
      <c r="E5" s="3" t="inlineStr">
        <is>
          <t>Delta_f</t>
        </is>
      </c>
      <c r="F5" s="3" t="inlineStr">
        <is>
          <t>Delta_g_formula</t>
        </is>
      </c>
      <c r="G5" s="3" t="inlineStr">
        <is>
          <t>g_escenario</t>
        </is>
      </c>
      <c r="H5" s="3" t="inlineStr">
        <is>
          <t>Delta_g_control</t>
        </is>
      </c>
      <c r="J5" s="3" t="inlineStr">
        <is>
          <t>Comércio</t>
        </is>
      </c>
      <c r="K5" s="3" t="inlineStr">
        <is>
          <t>Alimentos e Bebidas</t>
        </is>
      </c>
      <c r="L5" s="3" t="inlineStr">
        <is>
          <t>Tintas vernizes esmaltes e lacas</t>
        </is>
      </c>
      <c r="M5" s="3" t="inlineStr">
        <is>
          <t>Construção civil</t>
        </is>
      </c>
      <c r="N5" s="3" t="inlineStr">
        <is>
          <t>Transporte armazenagem e correio</t>
        </is>
      </c>
      <c r="O5" s="3" t="inlineStr">
        <is>
          <t>Agricultura silvicultura exploração florestal</t>
        </is>
      </c>
    </row>
    <row r="6">
      <c r="A6" s="4" t="inlineStr">
        <is>
          <t>Comércio</t>
        </is>
      </c>
      <c r="B6" s="6" t="n">
        <v>172998.5776728991</v>
      </c>
      <c r="C6" s="6" t="n">
        <v>94755.69595153906</v>
      </c>
      <c r="D6" s="14" t="n">
        <v>0</v>
      </c>
      <c r="E6" s="6">
        <f>C6*D6</f>
        <v/>
      </c>
      <c r="F6" s="6">
        <f>SUMPRODUCT($J6:$O6,$E$6:$E$11)</f>
        <v/>
      </c>
      <c r="G6" s="6">
        <f>B6+F6</f>
        <v/>
      </c>
      <c r="H6" s="6" t="n">
        <v>710.708221961065</v>
      </c>
      <c r="J6" s="15" t="n">
        <v>1.079467971804866</v>
      </c>
      <c r="K6" s="15" t="n">
        <v>0.1339238324969593</v>
      </c>
      <c r="L6" s="15" t="n">
        <v>0.1048118505161552</v>
      </c>
      <c r="M6" s="15" t="n">
        <v>0.04979927758277924</v>
      </c>
      <c r="N6" s="15" t="n">
        <v>0.1148221844791262</v>
      </c>
      <c r="O6" s="15" t="n">
        <v>0.02382399117439748</v>
      </c>
    </row>
    <row r="7">
      <c r="A7" s="4" t="inlineStr">
        <is>
          <t>Alimentos e Bebidas</t>
        </is>
      </c>
      <c r="B7" s="6" t="n">
        <v>145347.8841165121</v>
      </c>
      <c r="C7" s="6" t="n">
        <v>106136.1833379733</v>
      </c>
      <c r="D7" s="14" t="n">
        <v>0.05</v>
      </c>
      <c r="E7" s="6">
        <f>C7*D7</f>
        <v/>
      </c>
      <c r="F7" s="6">
        <f>SUMPRODUCT($J7:$O7,$E$6:$E$11)</f>
        <v/>
      </c>
      <c r="G7" s="6">
        <f>B7+F7</f>
        <v/>
      </c>
      <c r="H7" s="6" t="n">
        <v>6158.010259131133</v>
      </c>
      <c r="J7" s="15" t="n">
        <v>0.01129709540351649</v>
      </c>
      <c r="K7" s="15" t="n">
        <v>1.16039790869848</v>
      </c>
      <c r="L7" s="15" t="n">
        <v>0.03104041375946771</v>
      </c>
      <c r="M7" s="15" t="n">
        <v>0.006500490708662568</v>
      </c>
      <c r="N7" s="15" t="n">
        <v>0.01161207777426315</v>
      </c>
      <c r="O7" s="15" t="n">
        <v>0.009150864948548457</v>
      </c>
    </row>
    <row r="8">
      <c r="A8" s="4" t="inlineStr">
        <is>
          <t>Tintas vernizes esmaltes e lacas</t>
        </is>
      </c>
      <c r="B8" s="6" t="n">
        <v>5261.424040213389</v>
      </c>
      <c r="C8" s="6" t="n">
        <v>0</v>
      </c>
      <c r="D8" s="14" t="n">
        <v>0</v>
      </c>
      <c r="E8" s="6">
        <f>C8*D8</f>
        <v/>
      </c>
      <c r="F8" s="6">
        <f>SUMPRODUCT($J8:$O8,$E$6:$E$11)</f>
        <v/>
      </c>
      <c r="G8" s="6">
        <f>B8+F8</f>
        <v/>
      </c>
      <c r="H8" s="6" t="n">
        <v>13.88087808497372</v>
      </c>
      <c r="J8" s="15" t="n">
        <v>0.003555200938718098</v>
      </c>
      <c r="K8" s="15" t="n">
        <v>0.002615673118897132</v>
      </c>
      <c r="L8" s="15" t="n">
        <v>1.010402996753343</v>
      </c>
      <c r="M8" s="15" t="n">
        <v>0.01594130375289779</v>
      </c>
      <c r="N8" s="15" t="n">
        <v>0.002467382291518066</v>
      </c>
      <c r="O8" s="15" t="n">
        <v>0.001024028673595466</v>
      </c>
    </row>
    <row r="9">
      <c r="A9" s="4" t="inlineStr">
        <is>
          <t>Construção civil</t>
        </is>
      </c>
      <c r="B9" s="6" t="n">
        <v>150433.3767559023</v>
      </c>
      <c r="C9" s="6" t="n">
        <v>126344.7027758561</v>
      </c>
      <c r="D9" s="14" t="n">
        <v>0</v>
      </c>
      <c r="E9" s="6">
        <f>C9*D9</f>
        <v/>
      </c>
      <c r="F9" s="6">
        <f>SUMPRODUCT($J9:$O9,$E$6:$E$11)</f>
        <v/>
      </c>
      <c r="G9" s="6">
        <f>B9+F9</f>
        <v/>
      </c>
      <c r="H9" s="6" t="n">
        <v>25.88644056315618</v>
      </c>
      <c r="J9" s="15" t="n">
        <v>0.006755216242069526</v>
      </c>
      <c r="K9" s="15" t="n">
        <v>0.004877967107734607</v>
      </c>
      <c r="L9" s="15" t="n">
        <v>0.005058912311325338</v>
      </c>
      <c r="M9" s="15" t="n">
        <v>1.09738834359701</v>
      </c>
      <c r="N9" s="15" t="n">
        <v>0.01069232672659309</v>
      </c>
      <c r="O9" s="15" t="n">
        <v>0.00270303383709394</v>
      </c>
    </row>
    <row r="10">
      <c r="A10" s="4" t="inlineStr">
        <is>
          <t>Transporte armazenagem e correio</t>
        </is>
      </c>
      <c r="B10" s="6" t="n">
        <v>105696.9088122315</v>
      </c>
      <c r="C10" s="6" t="n">
        <v>31041.74029255056</v>
      </c>
      <c r="D10" s="14" t="n">
        <v>0</v>
      </c>
      <c r="E10" s="6">
        <f>C10*D10</f>
        <v/>
      </c>
      <c r="F10" s="6">
        <f>SUMPRODUCT($J10:$O10,$E$6:$E$11)</f>
        <v/>
      </c>
      <c r="G10" s="6">
        <f>B10+F10</f>
        <v/>
      </c>
      <c r="H10" s="6" t="n">
        <v>666.9018721171859</v>
      </c>
      <c r="J10" s="15" t="n">
        <v>0.08996016077811649</v>
      </c>
      <c r="K10" s="15" t="n">
        <v>0.1256690887392372</v>
      </c>
      <c r="L10" s="15" t="n">
        <v>0.1006785741923711</v>
      </c>
      <c r="M10" s="15" t="n">
        <v>0.04160609718785176</v>
      </c>
      <c r="N10" s="15" t="n">
        <v>1.194186620914375</v>
      </c>
      <c r="O10" s="15" t="n">
        <v>0.0402457042733415</v>
      </c>
    </row>
    <row r="11">
      <c r="A11" s="4" t="inlineStr">
        <is>
          <t>Agricultura silvicultura exploração florestal</t>
        </is>
      </c>
      <c r="B11" s="6" t="n">
        <v>67926.98662659568</v>
      </c>
      <c r="C11" s="6" t="n">
        <v>25757.45522555313</v>
      </c>
      <c r="D11" s="14" t="n">
        <v>0</v>
      </c>
      <c r="E11" s="6">
        <f>C11*D11</f>
        <v/>
      </c>
      <c r="F11" s="6">
        <f>SUMPRODUCT($J11:$O11,$E$6:$E$11)</f>
        <v/>
      </c>
      <c r="G11" s="6">
        <f>B11+F11</f>
        <v/>
      </c>
      <c r="H11" s="6" t="n">
        <v>1262.445393504605</v>
      </c>
      <c r="J11" s="15" t="n">
        <v>0.01514159536616312</v>
      </c>
      <c r="K11" s="15" t="n">
        <v>0.2378916131710813</v>
      </c>
      <c r="L11" s="15" t="n">
        <v>0.01685307356495663</v>
      </c>
      <c r="M11" s="15" t="n">
        <v>0.005653630674896484</v>
      </c>
      <c r="N11" s="15" t="n">
        <v>0.006883011730300972</v>
      </c>
      <c r="O11" s="15" t="n">
        <v>1.037703490196797</v>
      </c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0" customWidth="1" min="2" max="2"/>
    <col width="12" customWidth="1" min="3" max="3"/>
    <col width="20" customWidth="1" min="4" max="4"/>
    <col width="20" customWidth="1" min="5" max="5"/>
    <col width="18" customWidth="1" min="6" max="6"/>
    <col width="18" customWidth="1" min="7" max="7"/>
    <col width="20" customWidth="1" min="8" max="8"/>
    <col width="18" customWidth="1" min="9" max="9"/>
    <col width="18" customWidth="1" min="10" max="10"/>
  </cols>
  <sheetData>
    <row r="1" ht="30" customHeight="1">
      <c r="A1" s="1" t="inlineStr">
        <is>
          <t>Validaciones matematicas</t>
        </is>
      </c>
    </row>
    <row r="2">
      <c r="A2" s="2" t="inlineStr">
        <is>
          <t>Resumen generado desde output/tablas/validacion_matematica_mip.xlsx.</t>
        </is>
      </c>
    </row>
    <row r="3"/>
    <row r="4">
      <c r="A4" s="3" t="inlineStr">
        <is>
          <t>pais</t>
        </is>
      </c>
      <c r="B4" s="3" t="inlineStr">
        <is>
          <t>anio</t>
        </is>
      </c>
      <c r="C4" s="3" t="inlineStr">
        <is>
          <t>n_sectores</t>
        </is>
      </c>
      <c r="D4" s="3" t="inlineStr">
        <is>
          <t>validacion_estructural</t>
        </is>
      </c>
      <c r="E4" s="3" t="inlineStr">
        <is>
          <t>validacion_diagnostica</t>
        </is>
      </c>
      <c r="F4" s="3" t="inlineStr">
        <is>
          <t>A_vs_Zg_abs_max</t>
        </is>
      </c>
      <c r="G4" s="3" t="inlineStr">
        <is>
          <t>leontief_abs_max</t>
        </is>
      </c>
      <c r="H4" s="3" t="inlineStr">
        <is>
          <t>oferta_vs_demanda_abs_max</t>
        </is>
      </c>
      <c r="I4" s="3" t="inlineStr">
        <is>
          <t>Lf_vs_g_abs_max</t>
        </is>
      </c>
      <c r="J4" s="3" t="inlineStr">
        <is>
          <t>demanda_final_neg_share</t>
        </is>
      </c>
    </row>
    <row r="5">
      <c r="A5" s="4" t="inlineStr">
        <is>
          <t>argentina</t>
        </is>
      </c>
      <c r="B5" s="6" t="n">
        <v>2004</v>
      </c>
      <c r="C5" s="6" t="n">
        <v>162</v>
      </c>
      <c r="D5" s="4" t="inlineStr">
        <is>
          <t>OK</t>
        </is>
      </c>
      <c r="E5" s="4" t="inlineStr">
        <is>
          <t>OK</t>
        </is>
      </c>
      <c r="F5" s="6" t="n">
        <v>8.881784197001252e-16</v>
      </c>
      <c r="G5" s="6" t="n">
        <v>6.147859998861804e-15</v>
      </c>
      <c r="H5" s="6" t="n">
        <v>2.235174179077148e-08</v>
      </c>
      <c r="I5" s="6" t="n">
        <v>1.490116119384766e-08</v>
      </c>
      <c r="J5" s="6" t="n">
        <v>0</v>
      </c>
    </row>
    <row r="6">
      <c r="A6" s="5" t="inlineStr">
        <is>
          <t>argentina</t>
        </is>
      </c>
      <c r="B6" s="7" t="n">
        <v>2018</v>
      </c>
      <c r="C6" s="7" t="n">
        <v>107</v>
      </c>
      <c r="D6" s="5" t="inlineStr">
        <is>
          <t>OK</t>
        </is>
      </c>
      <c r="E6" s="5" t="inlineStr">
        <is>
          <t>OK</t>
        </is>
      </c>
      <c r="F6" s="7" t="n">
        <v>1.387778780781446e-16</v>
      </c>
      <c r="G6" s="7" t="n">
        <v>1.332267629550188e-15</v>
      </c>
      <c r="H6" s="7" t="n">
        <v>4.76837158203125e-07</v>
      </c>
      <c r="I6" s="7" t="n">
        <v>5.960464477539062e-07</v>
      </c>
      <c r="J6" s="7" t="n">
        <v>0</v>
      </c>
    </row>
    <row r="7">
      <c r="A7" s="4" t="inlineStr">
        <is>
          <t>argentina</t>
        </is>
      </c>
      <c r="B7" s="6" t="n">
        <v>2019</v>
      </c>
      <c r="C7" s="6" t="n">
        <v>107</v>
      </c>
      <c r="D7" s="4" t="inlineStr">
        <is>
          <t>OK</t>
        </is>
      </c>
      <c r="E7" s="4" t="inlineStr">
        <is>
          <t>OK</t>
        </is>
      </c>
      <c r="F7" s="6" t="n">
        <v>1.665334536937735e-16</v>
      </c>
      <c r="G7" s="6" t="n">
        <v>1.554312234475219e-15</v>
      </c>
      <c r="H7" s="6" t="n">
        <v>9.5367431640625e-07</v>
      </c>
      <c r="I7" s="6" t="n">
        <v>7.152557373046875e-07</v>
      </c>
      <c r="J7" s="6" t="n">
        <v>0</v>
      </c>
    </row>
    <row r="8">
      <c r="A8" s="5" t="inlineStr">
        <is>
          <t>argentina</t>
        </is>
      </c>
      <c r="B8" s="7" t="n">
        <v>2020</v>
      </c>
      <c r="C8" s="7" t="n">
        <v>107</v>
      </c>
      <c r="D8" s="5" t="inlineStr">
        <is>
          <t>OK</t>
        </is>
      </c>
      <c r="E8" s="5" t="inlineStr">
        <is>
          <t>OK</t>
        </is>
      </c>
      <c r="F8" s="7" t="n">
        <v>2.220446049250313e-16</v>
      </c>
      <c r="G8" s="7" t="n">
        <v>2.109423746787797e-15</v>
      </c>
      <c r="H8" s="7" t="n">
        <v>7.152557373046875e-07</v>
      </c>
      <c r="I8" s="7" t="n">
        <v>1.430511474609375e-06</v>
      </c>
      <c r="J8" s="7" t="n">
        <v>0</v>
      </c>
    </row>
    <row r="9">
      <c r="A9" s="4" t="inlineStr">
        <is>
          <t>argentina</t>
        </is>
      </c>
      <c r="B9" s="6" t="n">
        <v>2021</v>
      </c>
      <c r="C9" s="6" t="n">
        <v>107</v>
      </c>
      <c r="D9" s="4" t="inlineStr">
        <is>
          <t>OK</t>
        </is>
      </c>
      <c r="E9" s="4" t="inlineStr">
        <is>
          <t>OK</t>
        </is>
      </c>
      <c r="F9" s="6" t="n">
        <v>4.440892098500626e-16</v>
      </c>
      <c r="G9" s="6" t="n">
        <v>1.554312234475219e-15</v>
      </c>
      <c r="H9" s="6" t="n">
        <v>1.9073486328125e-06</v>
      </c>
      <c r="I9" s="6" t="n">
        <v>1.9073486328125e-06</v>
      </c>
      <c r="J9" s="6" t="n">
        <v>0</v>
      </c>
    </row>
    <row r="10">
      <c r="A10" s="5" t="inlineStr">
        <is>
          <t>argentina_mip97</t>
        </is>
      </c>
      <c r="B10" s="7" t="n">
        <v>1997</v>
      </c>
      <c r="C10" s="7" t="n">
        <v>124</v>
      </c>
      <c r="D10" s="5" t="inlineStr">
        <is>
          <t>OK</t>
        </is>
      </c>
      <c r="E10" s="5" t="inlineStr">
        <is>
          <t>AVISO</t>
        </is>
      </c>
      <c r="F10" s="7" t="n">
        <v>0.000690852642775977</v>
      </c>
      <c r="G10" s="7" t="n">
        <v>4.92916818473077e-12</v>
      </c>
      <c r="H10" s="7" t="n">
        <v>3.725290298461914e-09</v>
      </c>
      <c r="I10" s="7" t="n">
        <v>1710.538463994861</v>
      </c>
      <c r="J10" s="7" t="n">
        <v>0</v>
      </c>
    </row>
    <row r="11">
      <c r="A11" s="4" t="inlineStr">
        <is>
          <t>brasil</t>
        </is>
      </c>
      <c r="B11" s="6" t="n">
        <v>2010</v>
      </c>
      <c r="C11" s="6" t="n">
        <v>68</v>
      </c>
      <c r="D11" s="4" t="inlineStr">
        <is>
          <t>OK</t>
        </is>
      </c>
      <c r="E11" s="4" t="inlineStr">
        <is>
          <t>AVISO</t>
        </is>
      </c>
      <c r="F11" s="6" t="n">
        <v>1.665334536937735e-16</v>
      </c>
      <c r="G11" s="6" t="n">
        <v>1.443289932012704e-15</v>
      </c>
      <c r="H11" s="6" t="n">
        <v>568.4045890633715</v>
      </c>
      <c r="I11" s="6" t="n">
        <v>655.7265491787111</v>
      </c>
      <c r="J11" s="6" t="n">
        <v>0</v>
      </c>
    </row>
    <row r="12">
      <c r="A12" s="5" t="inlineStr">
        <is>
          <t>brasil</t>
        </is>
      </c>
      <c r="B12" s="7" t="n">
        <v>2011</v>
      </c>
      <c r="C12" s="7" t="n">
        <v>68</v>
      </c>
      <c r="D12" s="5" t="inlineStr">
        <is>
          <t>OK</t>
        </is>
      </c>
      <c r="E12" s="5" t="inlineStr">
        <is>
          <t>AVISO</t>
        </is>
      </c>
      <c r="F12" s="7" t="n">
        <v>1.110223024625157e-16</v>
      </c>
      <c r="G12" s="7" t="n">
        <v>1.554312234475219e-15</v>
      </c>
      <c r="H12" s="7" t="n">
        <v>787.7762729106471</v>
      </c>
      <c r="I12" s="7" t="n">
        <v>915.2956661685603</v>
      </c>
      <c r="J12" s="7" t="n">
        <v>0</v>
      </c>
    </row>
    <row r="13">
      <c r="A13" s="4" t="inlineStr">
        <is>
          <t>brasil</t>
        </is>
      </c>
      <c r="B13" s="6" t="n">
        <v>2012</v>
      </c>
      <c r="C13" s="6" t="n">
        <v>68</v>
      </c>
      <c r="D13" s="4" t="inlineStr">
        <is>
          <t>OK</t>
        </is>
      </c>
      <c r="E13" s="4" t="inlineStr">
        <is>
          <t>AVISO</t>
        </is>
      </c>
      <c r="F13" s="6" t="n">
        <v>1.665334536937735e-16</v>
      </c>
      <c r="G13" s="6" t="n">
        <v>1.110223024625157e-15</v>
      </c>
      <c r="H13" s="6" t="n">
        <v>799.3443168383092</v>
      </c>
      <c r="I13" s="6" t="n">
        <v>926.085863463697</v>
      </c>
      <c r="J13" s="6" t="n">
        <v>0</v>
      </c>
    </row>
    <row r="14">
      <c r="A14" s="5" t="inlineStr">
        <is>
          <t>brasil</t>
        </is>
      </c>
      <c r="B14" s="7" t="n">
        <v>2013</v>
      </c>
      <c r="C14" s="7" t="n">
        <v>68</v>
      </c>
      <c r="D14" s="5" t="inlineStr">
        <is>
          <t>OK</t>
        </is>
      </c>
      <c r="E14" s="5" t="inlineStr">
        <is>
          <t>AVISO</t>
        </is>
      </c>
      <c r="F14" s="7" t="n">
        <v>1.110223024625157e-16</v>
      </c>
      <c r="G14" s="7" t="n">
        <v>1.554312234475219e-15</v>
      </c>
      <c r="H14" s="7" t="n">
        <v>998.4611635631882</v>
      </c>
      <c r="I14" s="7" t="n">
        <v>1163.741865767981</v>
      </c>
      <c r="J14" s="7" t="n">
        <v>0</v>
      </c>
    </row>
    <row r="15">
      <c r="A15" s="4" t="inlineStr">
        <is>
          <t>brasil</t>
        </is>
      </c>
      <c r="B15" s="6" t="n">
        <v>2014</v>
      </c>
      <c r="C15" s="6" t="n">
        <v>68</v>
      </c>
      <c r="D15" s="4" t="inlineStr">
        <is>
          <t>OK</t>
        </is>
      </c>
      <c r="E15" s="4" t="inlineStr">
        <is>
          <t>AVISO</t>
        </is>
      </c>
      <c r="F15" s="6" t="n">
        <v>1.665334536937735e-16</v>
      </c>
      <c r="G15" s="6" t="n">
        <v>1.554312234475219e-15</v>
      </c>
      <c r="H15" s="6" t="n">
        <v>694.8371658106335</v>
      </c>
      <c r="I15" s="6" t="n">
        <v>806.0285520588513</v>
      </c>
      <c r="J15" s="6" t="n">
        <v>0</v>
      </c>
    </row>
    <row r="16">
      <c r="A16" s="5" t="inlineStr">
        <is>
          <t>brasil</t>
        </is>
      </c>
      <c r="B16" s="7" t="n">
        <v>2015</v>
      </c>
      <c r="C16" s="7" t="n">
        <v>68</v>
      </c>
      <c r="D16" s="5" t="inlineStr">
        <is>
          <t>OK</t>
        </is>
      </c>
      <c r="E16" s="5" t="inlineStr">
        <is>
          <t>AVISO</t>
        </is>
      </c>
      <c r="F16" s="7" t="n">
        <v>1.665334536937735e-16</v>
      </c>
      <c r="G16" s="7" t="n">
        <v>1.332267629550188e-15</v>
      </c>
      <c r="H16" s="7" t="n">
        <v>224.4737316915998</v>
      </c>
      <c r="I16" s="7" t="n">
        <v>266.5394776551984</v>
      </c>
      <c r="J16" s="7" t="n">
        <v>0</v>
      </c>
    </row>
    <row r="17">
      <c r="A17" s="4" t="inlineStr">
        <is>
          <t>brasil</t>
        </is>
      </c>
      <c r="B17" s="6" t="n">
        <v>2016</v>
      </c>
      <c r="C17" s="6" t="n">
        <v>68</v>
      </c>
      <c r="D17" s="4" t="inlineStr">
        <is>
          <t>OK</t>
        </is>
      </c>
      <c r="E17" s="4" t="inlineStr">
        <is>
          <t>AVISO</t>
        </is>
      </c>
      <c r="F17" s="6" t="n">
        <v>2.220446049250313e-16</v>
      </c>
      <c r="G17" s="6" t="n">
        <v>2.109423746787797e-15</v>
      </c>
      <c r="H17" s="6" t="n">
        <v>21.58701042598113</v>
      </c>
      <c r="I17" s="6" t="n">
        <v>25.05347653967328</v>
      </c>
      <c r="J17" s="6" t="n">
        <v>0</v>
      </c>
    </row>
    <row r="18">
      <c r="A18" s="5" t="inlineStr">
        <is>
          <t>brasil</t>
        </is>
      </c>
      <c r="B18" s="7" t="n">
        <v>2017</v>
      </c>
      <c r="C18" s="7" t="n">
        <v>68</v>
      </c>
      <c r="D18" s="5" t="inlineStr">
        <is>
          <t>OK</t>
        </is>
      </c>
      <c r="E18" s="5" t="inlineStr">
        <is>
          <t>AVISO</t>
        </is>
      </c>
      <c r="F18" s="7" t="n">
        <v>1.110223024625157e-16</v>
      </c>
      <c r="G18" s="7" t="n">
        <v>1.443289932012704e-15</v>
      </c>
      <c r="H18" s="7" t="n">
        <v>602.4990921429126</v>
      </c>
      <c r="I18" s="7" t="n">
        <v>706.8542623416288</v>
      </c>
      <c r="J18" s="7" t="n">
        <v>0</v>
      </c>
    </row>
    <row r="19">
      <c r="A19" s="4" t="inlineStr">
        <is>
          <t>brasil</t>
        </is>
      </c>
      <c r="B19" s="6" t="n">
        <v>2018</v>
      </c>
      <c r="C19" s="6" t="n">
        <v>68</v>
      </c>
      <c r="D19" s="4" t="inlineStr">
        <is>
          <t>OK</t>
        </is>
      </c>
      <c r="E19" s="4" t="inlineStr">
        <is>
          <t>OK</t>
        </is>
      </c>
      <c r="F19" s="6" t="n">
        <v>1.665334536937735e-16</v>
      </c>
      <c r="G19" s="6" t="n">
        <v>1.443289932012704e-15</v>
      </c>
      <c r="H19" s="6" t="n">
        <v>4.656612873077393e-10</v>
      </c>
      <c r="I19" s="6" t="n">
        <v>4.656612873077393e-10</v>
      </c>
      <c r="J19" s="6" t="n">
        <v>0</v>
      </c>
    </row>
    <row r="20">
      <c r="A20" s="5" t="inlineStr">
        <is>
          <t>brasil</t>
        </is>
      </c>
      <c r="B20" s="7" t="n">
        <v>2019</v>
      </c>
      <c r="C20" s="7" t="n">
        <v>68</v>
      </c>
      <c r="D20" s="5" t="inlineStr">
        <is>
          <t>OK</t>
        </is>
      </c>
      <c r="E20" s="5" t="inlineStr">
        <is>
          <t>OK</t>
        </is>
      </c>
      <c r="F20" s="7" t="n">
        <v>1.110223024625157e-16</v>
      </c>
      <c r="G20" s="7" t="n">
        <v>1.554312234475219e-15</v>
      </c>
      <c r="H20" s="7" t="n">
        <v>2.328306436538696e-10</v>
      </c>
      <c r="I20" s="7" t="n">
        <v>3.492459654808044e-10</v>
      </c>
      <c r="J20" s="7" t="n">
        <v>0</v>
      </c>
    </row>
    <row r="21">
      <c r="A21" s="4" t="inlineStr">
        <is>
          <t>brasil</t>
        </is>
      </c>
      <c r="B21" s="6" t="n">
        <v>2020</v>
      </c>
      <c r="C21" s="6" t="n">
        <v>68</v>
      </c>
      <c r="D21" s="4" t="inlineStr">
        <is>
          <t>OK</t>
        </is>
      </c>
      <c r="E21" s="4" t="inlineStr">
        <is>
          <t>AVISO</t>
        </is>
      </c>
      <c r="F21" s="6" t="n">
        <v>1.665334536937735e-16</v>
      </c>
      <c r="G21" s="6" t="n">
        <v>1.554312234475219e-15</v>
      </c>
      <c r="H21" s="6" t="n">
        <v>184.9745980203152</v>
      </c>
      <c r="I21" s="6" t="n">
        <v>217.3657415492926</v>
      </c>
      <c r="J21" s="6" t="n">
        <v>0</v>
      </c>
    </row>
    <row r="22">
      <c r="A22" s="5" t="inlineStr">
        <is>
          <t>brasil</t>
        </is>
      </c>
      <c r="B22" s="7" t="n">
        <v>2021</v>
      </c>
      <c r="C22" s="7" t="n">
        <v>68</v>
      </c>
      <c r="D22" s="5" t="inlineStr">
        <is>
          <t>OK</t>
        </is>
      </c>
      <c r="E22" s="5" t="inlineStr">
        <is>
          <t>AVISO</t>
        </is>
      </c>
      <c r="F22" s="7" t="n">
        <v>1.665334536937735e-16</v>
      </c>
      <c r="G22" s="7" t="n">
        <v>1.332267629550188e-15</v>
      </c>
      <c r="H22" s="7" t="n">
        <v>285.3846563701518</v>
      </c>
      <c r="I22" s="7" t="n">
        <v>334.3216072747018</v>
      </c>
      <c r="J22" s="7" t="n">
        <v>0</v>
      </c>
    </row>
    <row r="23">
      <c r="A23" s="4" t="inlineStr">
        <is>
          <t>brasil_early</t>
        </is>
      </c>
      <c r="B23" s="6" t="n">
        <v>2000</v>
      </c>
      <c r="C23" s="6" t="n">
        <v>51</v>
      </c>
      <c r="D23" s="4" t="inlineStr">
        <is>
          <t>OK</t>
        </is>
      </c>
      <c r="E23" s="4" t="inlineStr">
        <is>
          <t>AVISO</t>
        </is>
      </c>
      <c r="F23" s="6" t="n">
        <v>1.110223024625157e-16</v>
      </c>
      <c r="G23" s="6" t="n">
        <v>1.332267629550188e-15</v>
      </c>
      <c r="H23" s="6" t="n">
        <v>423.5260419981205</v>
      </c>
      <c r="I23" s="6" t="n">
        <v>456.7713921025279</v>
      </c>
      <c r="J23" s="6" t="n">
        <v>0</v>
      </c>
    </row>
    <row r="24">
      <c r="A24" s="5" t="inlineStr">
        <is>
          <t>brasil_early</t>
        </is>
      </c>
      <c r="B24" s="7" t="n">
        <v>2001</v>
      </c>
      <c r="C24" s="7" t="n">
        <v>51</v>
      </c>
      <c r="D24" s="5" t="inlineStr">
        <is>
          <t>OK</t>
        </is>
      </c>
      <c r="E24" s="5" t="inlineStr">
        <is>
          <t>AVISO</t>
        </is>
      </c>
      <c r="F24" s="7" t="n">
        <v>1.110223024625157e-16</v>
      </c>
      <c r="G24" s="7" t="n">
        <v>1.554312234475219e-15</v>
      </c>
      <c r="H24" s="7" t="n">
        <v>468.8965698834218</v>
      </c>
      <c r="I24" s="7" t="n">
        <v>519.6551209768222</v>
      </c>
      <c r="J24" s="7" t="n">
        <v>0</v>
      </c>
    </row>
    <row r="25">
      <c r="A25" s="4" t="inlineStr">
        <is>
          <t>brasil_early</t>
        </is>
      </c>
      <c r="B25" s="6" t="n">
        <v>2002</v>
      </c>
      <c r="C25" s="6" t="n">
        <v>51</v>
      </c>
      <c r="D25" s="4" t="inlineStr">
        <is>
          <t>OK</t>
        </is>
      </c>
      <c r="E25" s="4" t="inlineStr">
        <is>
          <t>AVISO</t>
        </is>
      </c>
      <c r="F25" s="6" t="n">
        <v>1.665334536937735e-16</v>
      </c>
      <c r="G25" s="6" t="n">
        <v>1.443289932012704e-15</v>
      </c>
      <c r="H25" s="6" t="n">
        <v>463.0990200235974</v>
      </c>
      <c r="I25" s="6" t="n">
        <v>529.854376289004</v>
      </c>
      <c r="J25" s="6" t="n">
        <v>0</v>
      </c>
    </row>
    <row r="26">
      <c r="A26" s="5" t="inlineStr">
        <is>
          <t>brasil_early</t>
        </is>
      </c>
      <c r="B26" s="7" t="n">
        <v>2003</v>
      </c>
      <c r="C26" s="7" t="n">
        <v>51</v>
      </c>
      <c r="D26" s="5" t="inlineStr">
        <is>
          <t>OK</t>
        </is>
      </c>
      <c r="E26" s="5" t="inlineStr">
        <is>
          <t>AVISO</t>
        </is>
      </c>
      <c r="F26" s="7" t="n">
        <v>1.387778780781446e-16</v>
      </c>
      <c r="G26" s="7" t="n">
        <v>1.443289932012704e-15</v>
      </c>
      <c r="H26" s="7" t="n">
        <v>572.2698159218126</v>
      </c>
      <c r="I26" s="7" t="n">
        <v>621.1031355652958</v>
      </c>
      <c r="J26" s="7" t="n">
        <v>0</v>
      </c>
    </row>
    <row r="27">
      <c r="A27" s="4" t="inlineStr">
        <is>
          <t>brasil_early</t>
        </is>
      </c>
      <c r="B27" s="6" t="n">
        <v>2004</v>
      </c>
      <c r="C27" s="6" t="n">
        <v>51</v>
      </c>
      <c r="D27" s="4" t="inlineStr">
        <is>
          <t>OK</t>
        </is>
      </c>
      <c r="E27" s="4" t="inlineStr">
        <is>
          <t>AVISO</t>
        </is>
      </c>
      <c r="F27" s="6" t="n">
        <v>1.110223024625157e-16</v>
      </c>
      <c r="G27" s="6" t="n">
        <v>1.110223024625157e-15</v>
      </c>
      <c r="H27" s="6" t="n">
        <v>603.9112367413472</v>
      </c>
      <c r="I27" s="6" t="n">
        <v>657.1939591109985</v>
      </c>
      <c r="J27" s="6" t="n">
        <v>0</v>
      </c>
    </row>
    <row r="28">
      <c r="A28" s="5" t="inlineStr">
        <is>
          <t>brasil_early</t>
        </is>
      </c>
      <c r="B28" s="7" t="n">
        <v>2005</v>
      </c>
      <c r="C28" s="7" t="n">
        <v>51</v>
      </c>
      <c r="D28" s="5" t="inlineStr">
        <is>
          <t>OK</t>
        </is>
      </c>
      <c r="E28" s="5" t="inlineStr">
        <is>
          <t>AVISO</t>
        </is>
      </c>
      <c r="F28" s="7" t="n">
        <v>1.665334536937735e-16</v>
      </c>
      <c r="G28" s="7" t="n">
        <v>1.332267629550188e-15</v>
      </c>
      <c r="H28" s="7" t="n">
        <v>774.0081208376796</v>
      </c>
      <c r="I28" s="7" t="n">
        <v>844.8867201150861</v>
      </c>
      <c r="J28" s="7" t="n">
        <v>0</v>
      </c>
    </row>
    <row r="29">
      <c r="A29" s="4" t="inlineStr">
        <is>
          <t>brasil_early</t>
        </is>
      </c>
      <c r="B29" s="6" t="n">
        <v>2006</v>
      </c>
      <c r="C29" s="6" t="n">
        <v>51</v>
      </c>
      <c r="D29" s="4" t="inlineStr">
        <is>
          <t>OK</t>
        </is>
      </c>
      <c r="E29" s="4" t="inlineStr">
        <is>
          <t>AVISO</t>
        </is>
      </c>
      <c r="F29" s="6" t="n">
        <v>1.387778780781446e-16</v>
      </c>
      <c r="G29" s="6" t="n">
        <v>1.221245327087672e-15</v>
      </c>
      <c r="H29" s="6" t="n">
        <v>849.009810589836</v>
      </c>
      <c r="I29" s="6" t="n">
        <v>928.4832096964237</v>
      </c>
      <c r="J29" s="6" t="n">
        <v>0</v>
      </c>
    </row>
    <row r="30">
      <c r="A30" s="5" t="inlineStr">
        <is>
          <t>brasil_early</t>
        </is>
      </c>
      <c r="B30" s="7" t="n">
        <v>2007</v>
      </c>
      <c r="C30" s="7" t="n">
        <v>51</v>
      </c>
      <c r="D30" s="5" t="inlineStr">
        <is>
          <t>OK</t>
        </is>
      </c>
      <c r="E30" s="5" t="inlineStr">
        <is>
          <t>AVISO</t>
        </is>
      </c>
      <c r="F30" s="7" t="n">
        <v>1.110223024625157e-16</v>
      </c>
      <c r="G30" s="7" t="n">
        <v>1.110223024625157e-15</v>
      </c>
      <c r="H30" s="7" t="n">
        <v>1129.460600296792</v>
      </c>
      <c r="I30" s="7" t="n">
        <v>1241.773817741836</v>
      </c>
      <c r="J30" s="7" t="n">
        <v>0</v>
      </c>
    </row>
    <row r="31">
      <c r="A31" s="4" t="inlineStr">
        <is>
          <t>brasil_early</t>
        </is>
      </c>
      <c r="B31" s="6" t="n">
        <v>2008</v>
      </c>
      <c r="C31" s="6" t="n">
        <v>51</v>
      </c>
      <c r="D31" s="4" t="inlineStr">
        <is>
          <t>OK</t>
        </is>
      </c>
      <c r="E31" s="4" t="inlineStr">
        <is>
          <t>AVISO</t>
        </is>
      </c>
      <c r="F31" s="6" t="n">
        <v>1.387778780781446e-16</v>
      </c>
      <c r="G31" s="6" t="n">
        <v>1.110223024625157e-15</v>
      </c>
      <c r="H31" s="6" t="n">
        <v>1208.869434595399</v>
      </c>
      <c r="I31" s="6" t="n">
        <v>1332.656584697485</v>
      </c>
      <c r="J31" s="6" t="n">
        <v>0</v>
      </c>
    </row>
    <row r="32">
      <c r="A32" s="5" t="inlineStr">
        <is>
          <t>brasil_early</t>
        </is>
      </c>
      <c r="B32" s="7" t="n">
        <v>2009</v>
      </c>
      <c r="C32" s="7" t="n">
        <v>51</v>
      </c>
      <c r="D32" s="5" t="inlineStr">
        <is>
          <t>OK</t>
        </is>
      </c>
      <c r="E32" s="5" t="inlineStr">
        <is>
          <t>AVISO</t>
        </is>
      </c>
      <c r="F32" s="7" t="n">
        <v>1.110223024625157e-16</v>
      </c>
      <c r="G32" s="7" t="n">
        <v>1.110223024625157e-15</v>
      </c>
      <c r="H32" s="7" t="n">
        <v>1214.7142444239</v>
      </c>
      <c r="I32" s="7" t="n">
        <v>1349.402535793371</v>
      </c>
      <c r="J32" s="7" t="n">
        <v>0</v>
      </c>
    </row>
    <row r="33">
      <c r="A33" s="4" t="inlineStr">
        <is>
          <t>mexico</t>
        </is>
      </c>
      <c r="B33" s="6" t="n">
        <v>2003</v>
      </c>
      <c r="C33" s="6" t="n">
        <v>20</v>
      </c>
      <c r="D33" s="4" t="inlineStr">
        <is>
          <t>OK</t>
        </is>
      </c>
      <c r="E33" s="4" t="inlineStr">
        <is>
          <t>AVISO</t>
        </is>
      </c>
      <c r="F33" s="6" t="n">
        <v>5.551115123125783e-17</v>
      </c>
      <c r="G33" s="6" t="n">
        <v>8.881784197001252e-16</v>
      </c>
      <c r="H33" s="6" t="n">
        <v>0</v>
      </c>
      <c r="I33" s="6" t="n">
        <v>9.5367431640625e-07</v>
      </c>
      <c r="J33" s="6" t="n">
        <v>0</v>
      </c>
    </row>
    <row r="34">
      <c r="A34" s="5" t="inlineStr">
        <is>
          <t>mexico</t>
        </is>
      </c>
      <c r="B34" s="7" t="n">
        <v>2008</v>
      </c>
      <c r="C34" s="7" t="n">
        <v>262</v>
      </c>
      <c r="D34" s="5" t="inlineStr">
        <is>
          <t>OK</t>
        </is>
      </c>
      <c r="E34" s="5" t="inlineStr">
        <is>
          <t>AVISO</t>
        </is>
      </c>
      <c r="F34" s="7" t="n">
        <v>1.110223024625157e-16</v>
      </c>
      <c r="G34" s="7" t="n">
        <v>2.220446049250313e-15</v>
      </c>
      <c r="H34" s="7" t="n">
        <v>4.656612873077393e-10</v>
      </c>
      <c r="I34" s="7" t="n">
        <v>3.492459654808044e-10</v>
      </c>
      <c r="J34" s="7" t="n">
        <v>0.01145038167938931</v>
      </c>
    </row>
    <row r="35">
      <c r="A35" s="4" t="inlineStr">
        <is>
          <t>mexico</t>
        </is>
      </c>
      <c r="B35" s="6" t="n">
        <v>2013</v>
      </c>
      <c r="C35" s="6" t="n">
        <v>262</v>
      </c>
      <c r="D35" s="4" t="inlineStr">
        <is>
          <t>OK</t>
        </is>
      </c>
      <c r="E35" s="4" t="inlineStr">
        <is>
          <t>AVISO</t>
        </is>
      </c>
      <c r="F35" s="6" t="n">
        <v>7.510658761589184e-13</v>
      </c>
      <c r="G35" s="6" t="n">
        <v>3.108624468950438e-15</v>
      </c>
      <c r="H35" s="6" t="n">
        <v>2.328306436538696e-10</v>
      </c>
      <c r="I35" s="6" t="n">
        <v>2.693850547075272e-07</v>
      </c>
      <c r="J35" s="6" t="n">
        <v>0.003816793893129771</v>
      </c>
    </row>
    <row r="36">
      <c r="A36" s="5" t="inlineStr">
        <is>
          <t>mexico</t>
        </is>
      </c>
      <c r="B36" s="7" t="n">
        <v>2018</v>
      </c>
      <c r="C36" s="7" t="n">
        <v>263</v>
      </c>
      <c r="D36" s="5" t="inlineStr">
        <is>
          <t>OK</t>
        </is>
      </c>
      <c r="E36" s="5" t="inlineStr">
        <is>
          <t>AVISO</t>
        </is>
      </c>
      <c r="F36" s="7" t="n">
        <v>4.649058915617843e-13</v>
      </c>
      <c r="G36" s="7" t="n">
        <v>2.997602166487923e-15</v>
      </c>
      <c r="H36" s="7" t="n">
        <v>4.656612873077393e-10</v>
      </c>
      <c r="I36" s="7" t="n">
        <v>3.012828528881073e-07</v>
      </c>
      <c r="J36" s="7" t="n">
        <v>0</v>
      </c>
    </row>
    <row r="37">
      <c r="A37" s="4" t="inlineStr">
        <is>
          <t>uruguay</t>
        </is>
      </c>
      <c r="B37" s="6" t="n">
        <v>2016</v>
      </c>
      <c r="C37" s="6" t="n">
        <v>128</v>
      </c>
      <c r="D37" s="4" t="inlineStr">
        <is>
          <t>OK</t>
        </is>
      </c>
      <c r="E37" s="4" t="inlineStr">
        <is>
          <t>AVISO</t>
        </is>
      </c>
      <c r="F37" s="6" t="n">
        <v>1.665334536937735e-16</v>
      </c>
      <c r="G37" s="6" t="n">
        <v>1.332267629550188e-15</v>
      </c>
      <c r="H37" s="6" t="n">
        <v>8.256756700575352e-08</v>
      </c>
      <c r="I37" s="6" t="n">
        <v>8.256756700575352e-08</v>
      </c>
      <c r="J37" s="6" t="n">
        <v>0</v>
      </c>
    </row>
    <row r="38">
      <c r="A38" s="5" t="inlineStr">
        <is>
          <t>uruguay_cou</t>
        </is>
      </c>
      <c r="B38" s="7" t="n">
        <v>2017</v>
      </c>
      <c r="C38" s="7" t="n">
        <v>95</v>
      </c>
      <c r="D38" s="5" t="inlineStr">
        <is>
          <t>OK</t>
        </is>
      </c>
      <c r="E38" s="5" t="inlineStr">
        <is>
          <t>AVISO</t>
        </is>
      </c>
      <c r="F38" s="7" t="n">
        <v>5.551115123125783e-17</v>
      </c>
      <c r="G38" s="7" t="n">
        <v>1.443289932012704e-15</v>
      </c>
      <c r="H38" s="7" t="n">
        <v>2.91038304567337e-11</v>
      </c>
      <c r="I38" s="7" t="n">
        <v>5.820766091346741e-11</v>
      </c>
      <c r="J38" s="7" t="n">
        <v>0.02105263157894737</v>
      </c>
    </row>
  </sheetData>
  <autoFilter ref="A4:J38"/>
  <mergeCells count="2"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42" customWidth="1" min="2" max="2"/>
    <col width="70" customWidth="1" min="3" max="3"/>
  </cols>
  <sheetData>
    <row r="1" ht="30" customHeight="1">
      <c r="A1" s="1" t="inlineStr">
        <is>
          <t>Formulas clave</t>
        </is>
      </c>
    </row>
    <row r="2">
      <c r="A2" s="2" t="inlineStr">
        <is>
          <t>Identidades que se implementan en el Excel piloto.</t>
        </is>
      </c>
    </row>
    <row r="3"/>
    <row r="4">
      <c r="A4" s="3" t="inlineStr">
        <is>
          <t>Bloque</t>
        </is>
      </c>
      <c r="B4" s="3" t="inlineStr">
        <is>
          <t>Formula</t>
        </is>
      </c>
      <c r="C4" s="3" t="inlineStr">
        <is>
          <t>Lectura</t>
        </is>
      </c>
    </row>
    <row r="5">
      <c r="A5" s="4" t="inlineStr">
        <is>
          <t>Producto total</t>
        </is>
      </c>
      <c r="B5" s="4" t="inlineStr">
        <is>
          <t>q[p] = sum_i V[i,p]</t>
        </is>
      </c>
      <c r="C5" s="4" t="inlineStr">
        <is>
          <t>Produccion total por producto en el COU.</t>
        </is>
      </c>
    </row>
    <row r="6">
      <c r="A6" s="5" t="inlineStr">
        <is>
          <t>Market share</t>
        </is>
      </c>
      <c r="B6" s="5" t="inlineStr">
        <is>
          <t>D[i,p] = V[i,p] / q[p]</t>
        </is>
      </c>
      <c r="C6" s="5" t="inlineStr">
        <is>
          <t>Participacion de cada industria en cada producto.</t>
        </is>
      </c>
    </row>
    <row r="7">
      <c r="A7" s="4" t="inlineStr">
        <is>
          <t>Flujos previos</t>
        </is>
      </c>
      <c r="B7" s="4" t="inlineStr">
        <is>
          <t>Z_pre[i,j] = SUMPRODUCT(D[i,*], U[*,j])</t>
        </is>
      </c>
      <c r="C7" s="4" t="inlineStr">
        <is>
          <t>Operacion visible en Paso_2_Z_pre.</t>
        </is>
      </c>
    </row>
    <row r="8">
      <c r="A8" s="5" t="inlineStr">
        <is>
          <t>Demanda final previa</t>
        </is>
      </c>
      <c r="B8" s="5" t="inlineStr">
        <is>
          <t>f_pre[i] = SUMPRODUCT(D[i,*], y[*])</t>
        </is>
      </c>
      <c r="C8" s="5" t="inlineStr">
        <is>
          <t>Transforma demanda final por producto a industrias.</t>
        </is>
      </c>
    </row>
    <row r="9">
      <c r="A9" s="4" t="inlineStr">
        <is>
          <t>Cierre menor</t>
        </is>
      </c>
      <c r="B9" s="4" t="inlineStr">
        <is>
          <t>RAS(Z_pre) con filas g - f_final y columnas sum_col(Z_pre)</t>
        </is>
      </c>
      <c r="C9" s="4" t="inlineStr">
        <is>
          <t>Produce Z_MIP final sin mover el valor agregado residual.</t>
        </is>
      </c>
    </row>
    <row r="10">
      <c r="A10" s="5" t="inlineStr">
        <is>
          <t>Coeficientes tecnicos</t>
        </is>
      </c>
      <c r="B10" s="5" t="inlineStr">
        <is>
          <t>A[i,j] = Z_final[i,j] / g[j]</t>
        </is>
      </c>
      <c r="C10" s="5" t="inlineStr">
        <is>
          <t>Cada columna se normaliza por produccion del comprador.</t>
        </is>
      </c>
    </row>
    <row r="11">
      <c r="A11" s="4" t="inlineStr">
        <is>
          <t>Ghosh</t>
        </is>
      </c>
      <c r="B11" s="4" t="inlineStr">
        <is>
          <t>B[i,j] = Z_final[i,j] / g[i]</t>
        </is>
      </c>
      <c r="C11" s="4" t="inlineStr">
        <is>
          <t>Cada fila se normaliza por produccion del vendedor.</t>
        </is>
      </c>
    </row>
    <row r="12">
      <c r="A12" s="5" t="inlineStr">
        <is>
          <t>Leontief</t>
        </is>
      </c>
      <c r="B12" s="5" t="inlineStr">
        <is>
          <t>L = (I - A)^-1</t>
        </is>
      </c>
      <c r="C12" s="5" t="inlineStr">
        <is>
          <t>La inversa se calcula sobre la matriz completa final.</t>
        </is>
      </c>
    </row>
    <row r="13">
      <c r="A13" s="4" t="inlineStr">
        <is>
          <t>Simulador</t>
        </is>
      </c>
      <c r="B13" s="4" t="inlineStr">
        <is>
          <t>Delta g = L @ Delta f</t>
        </is>
      </c>
      <c r="C13" s="4" t="inlineStr">
        <is>
          <t>Impacto estimado de un choque de demanda final.</t>
        </is>
      </c>
    </row>
  </sheetData>
  <autoFilter ref="A4:C1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2026-06-04T19:47:10Z</dcterms:created>
  <dcterms:modified xmlns:dcterms="http://purl.org/dc/terms/" xmlns:xsi="http://www.w3.org/2001/XMLSchema-instance" xsi:type="dcterms:W3CDTF">2026-06-04T19:47:11Z</dcterms:modified>
</cp:coreProperties>
</file>