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ce" sheetId="1" state="visible" r:id="rId1"/>
    <sheet xmlns:r="http://schemas.openxmlformats.org/officeDocument/2006/relationships" name="Cuadro 1" sheetId="2" state="visible" r:id="rId2"/>
    <sheet xmlns:r="http://schemas.openxmlformats.org/officeDocument/2006/relationships" name="Cuadro 2" sheetId="3" state="visible" r:id="rId3"/>
    <sheet xmlns:r="http://schemas.openxmlformats.org/officeDocument/2006/relationships" name="Cuadro 3" sheetId="4" state="visible" r:id="rId4"/>
    <sheet xmlns:r="http://schemas.openxmlformats.org/officeDocument/2006/relationships" name="Cuadro 4" sheetId="5" state="visible" r:id="rId5"/>
    <sheet xmlns:r="http://schemas.openxmlformats.org/officeDocument/2006/relationships" name="Nota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;[Red]-#,##0.0000;&quot;-&quot;"/>
    <numFmt numFmtId="165" formatCode="#,##0.0;[Red]-#,##0.0;&quot;-&quot;"/>
  </numFmts>
  <fonts count="16">
    <font>
      <name val="Calibri"/>
      <family val="2"/>
      <color theme="1"/>
      <sz val="11"/>
      <scheme val="minor"/>
    </font>
    <font>
      <name val="Segoe UI"/>
      <color rgb="0017324D"/>
      <sz val="10"/>
    </font>
    <font>
      <name val="Segoe UI"/>
      <b val="1"/>
      <color rgb="00FFFFFF"/>
      <sz val="14"/>
    </font>
    <font>
      <name val="Segoe UI"/>
      <b val="1"/>
      <color rgb="0017324D"/>
      <sz val="12"/>
    </font>
    <font>
      <name val="Segoe UI"/>
      <b val="1"/>
      <color rgb="0017324D"/>
      <sz val="10"/>
    </font>
    <font>
      <name val="Segoe UI"/>
      <b val="1"/>
      <color rgb="00FFFFFF"/>
      <sz val="10"/>
    </font>
    <font>
      <name val="Segoe UI"/>
      <b val="1"/>
      <color rgb="000072BC"/>
      <sz val="10"/>
    </font>
    <font>
      <name val="Segoe UI"/>
      <b val="1"/>
      <color rgb="000072BC"/>
      <sz val="10"/>
      <u val="single"/>
    </font>
    <font>
      <name val="Segoe UI"/>
      <b val="1"/>
      <color rgb="0000558C"/>
      <sz val="9"/>
    </font>
    <font>
      <name val="Segoe UI"/>
      <color rgb="0017324D"/>
      <sz val="9"/>
    </font>
    <font>
      <name val="Segoe UI"/>
      <b val="1"/>
      <color rgb="0017324D"/>
      <sz val="9"/>
    </font>
    <font>
      <name val="Segoe UI"/>
      <color rgb="0017324D"/>
      <sz val="8"/>
    </font>
    <font>
      <name val="Segoe UI"/>
      <color rgb="000072BC"/>
      <sz val="8"/>
      <u val="single"/>
    </font>
    <font>
      <name val="Segoe UI"/>
      <b val="1"/>
      <color rgb="0017324D"/>
      <sz val="7.5"/>
    </font>
    <font>
      <name val="Segoe UI"/>
      <b val="1"/>
      <color rgb="0017324D"/>
      <sz val="8"/>
    </font>
    <font>
      <name val="Segoe UI"/>
      <b val="1"/>
      <color rgb="00842029"/>
      <sz val="8"/>
    </font>
  </fonts>
  <fills count="10">
    <fill>
      <patternFill/>
    </fill>
    <fill>
      <patternFill patternType="gray125"/>
    </fill>
    <fill>
      <patternFill patternType="solid">
        <fgColor rgb="000072BC"/>
      </patternFill>
    </fill>
    <fill>
      <patternFill patternType="solid">
        <fgColor rgb="00F2F2F2"/>
      </patternFill>
    </fill>
    <fill>
      <patternFill patternType="solid">
        <fgColor rgb="0000558C"/>
      </patternFill>
    </fill>
    <fill>
      <patternFill patternType="solid">
        <fgColor rgb="00F8D7DA"/>
      </patternFill>
    </fill>
    <fill>
      <patternFill patternType="solid">
        <fgColor rgb="00FAFBFC"/>
      </patternFill>
    </fill>
    <fill>
      <patternFill patternType="solid">
        <fgColor rgb="00EEF3F8"/>
      </patternFill>
    </fill>
    <fill>
      <patternFill patternType="solid">
        <fgColor rgb="00FFF3CD"/>
      </patternFill>
    </fill>
    <fill>
      <patternFill patternType="solid">
        <fgColor rgb="00D4EFDF"/>
      </patternFill>
    </fill>
  </fills>
  <borders count="7">
    <border>
      <left/>
      <right/>
      <top/>
      <bottom/>
      <diagonal/>
    </border>
    <border/>
    <border>
      <bottom style="thin">
        <color rgb="00D7DEE8"/>
      </bottom>
    </border>
    <border>
      <top style="thin">
        <color rgb="00D7DEE8"/>
      </top>
      <bottom style="thin">
        <color rgb="00D7DEE8"/>
      </bottom>
    </border>
    <border>
      <bottom style="hair">
        <color rgb="00E8EDF3"/>
      </bottom>
    </border>
    <border>
      <top style="thin">
        <color rgb="00D7DEE8"/>
      </top>
      <bottom style="hair">
        <color rgb="00E8EDF3"/>
      </bottom>
    </border>
    <border>
      <top style="medium">
        <color rgb="008B96A6"/>
      </top>
      <bottom style="thin">
        <color rgb="00D7DEE8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0" fontId="1" fillId="0" borderId="2" applyAlignment="1" pivotButton="0" quotePrefix="0" xfId="0">
      <alignment vertical="center" wrapText="1"/>
    </xf>
    <xf numFmtId="0" fontId="4" fillId="3" borderId="3" applyAlignment="1" pivotButton="0" quotePrefix="0" xfId="0">
      <alignment vertical="center" wrapText="1"/>
    </xf>
    <xf numFmtId="0" fontId="7" fillId="0" borderId="4" applyAlignment="1" pivotButton="0" quotePrefix="0" xfId="0">
      <alignment vertical="center" wrapText="1"/>
    </xf>
    <xf numFmtId="0" fontId="1" fillId="0" borderId="4" applyAlignment="1" pivotButton="0" quotePrefix="0" xfId="0">
      <alignment vertical="center" wrapText="1"/>
    </xf>
    <xf numFmtId="0" fontId="8" fillId="0" borderId="4" applyAlignment="1" pivotButton="0" quotePrefix="0" xfId="0">
      <alignment vertical="center" wrapText="1"/>
    </xf>
    <xf numFmtId="0" fontId="9" fillId="0" borderId="4" applyAlignment="1" pivotButton="0" quotePrefix="0" xfId="0">
      <alignment vertical="center" wrapText="1"/>
    </xf>
    <xf numFmtId="164" fontId="9" fillId="0" borderId="4" applyAlignment="1" pivotButton="0" quotePrefix="0" xfId="0">
      <alignment vertical="center" wrapText="1"/>
    </xf>
    <xf numFmtId="0" fontId="6" fillId="0" borderId="4" applyAlignment="1" pivotButton="0" quotePrefix="0" xfId="0">
      <alignment vertical="center" wrapText="1"/>
    </xf>
    <xf numFmtId="0" fontId="6" fillId="3" borderId="4" applyAlignment="1" pivotButton="0" quotePrefix="0" xfId="0">
      <alignment vertical="center" wrapText="1"/>
    </xf>
    <xf numFmtId="0" fontId="8" fillId="3" borderId="4" applyAlignment="1" pivotButton="0" quotePrefix="0" xfId="0">
      <alignment vertical="center" wrapText="1"/>
    </xf>
    <xf numFmtId="0" fontId="9" fillId="3" borderId="4" applyAlignment="1" pivotButton="0" quotePrefix="0" xfId="0">
      <alignment vertical="center" wrapText="1"/>
    </xf>
    <xf numFmtId="0" fontId="5" fillId="4" borderId="3" applyAlignment="1" pivotButton="0" quotePrefix="0" xfId="0">
      <alignment vertical="center" wrapText="1"/>
    </xf>
    <xf numFmtId="0" fontId="10" fillId="0" borderId="4" applyAlignment="1" pivotButton="0" quotePrefix="0" xfId="0">
      <alignment vertical="center" wrapText="1"/>
    </xf>
    <xf numFmtId="164" fontId="9" fillId="0" borderId="4" applyAlignment="1" pivotButton="0" quotePrefix="0" xfId="0">
      <alignment horizontal="right" vertical="center"/>
    </xf>
    <xf numFmtId="164" fontId="9" fillId="5" borderId="4" applyAlignment="1" pivotButton="0" quotePrefix="0" xfId="0">
      <alignment horizontal="right" vertical="center"/>
    </xf>
    <xf numFmtId="0" fontId="5" fillId="2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/>
    </xf>
    <xf numFmtId="0" fontId="12" fillId="0" borderId="0" applyAlignment="1" pivotButton="0" quotePrefix="0" xfId="0">
      <alignment horizontal="center" vertical="center"/>
    </xf>
    <xf numFmtId="0" fontId="13" fillId="3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13" fillId="3" borderId="3" applyAlignment="1" pivotButton="0" quotePrefix="0" xfId="0">
      <alignment horizontal="center" vertical="center" wrapText="1"/>
    </xf>
    <xf numFmtId="0" fontId="0" fillId="0" borderId="2" pivotButton="0" quotePrefix="0" xfId="0"/>
    <xf numFmtId="0" fontId="13" fillId="3" borderId="2" applyAlignment="1" pivotButton="0" quotePrefix="0" xfId="0">
      <alignment horizontal="center" vertical="center" wrapText="1"/>
    </xf>
    <xf numFmtId="165" fontId="11" fillId="6" borderId="4" applyAlignment="1" pivotButton="0" quotePrefix="0" xfId="0">
      <alignment horizontal="right" vertical="center"/>
    </xf>
    <xf numFmtId="0" fontId="11" fillId="6" borderId="4" applyAlignment="1" pivotButton="0" quotePrefix="0" xfId="0">
      <alignment vertical="center"/>
    </xf>
    <xf numFmtId="165" fontId="11" fillId="0" borderId="4" applyAlignment="1" pivotButton="0" quotePrefix="0" xfId="0">
      <alignment horizontal="right" vertical="center"/>
    </xf>
    <xf numFmtId="0" fontId="11" fillId="0" borderId="4" applyAlignment="1" pivotButton="0" quotePrefix="0" xfId="0">
      <alignment vertical="center"/>
    </xf>
    <xf numFmtId="0" fontId="14" fillId="7" borderId="6" applyAlignment="1" pivotButton="0" quotePrefix="0" xfId="0">
      <alignment vertical="center"/>
    </xf>
    <xf numFmtId="165" fontId="14" fillId="7" borderId="6" applyAlignment="1" pivotButton="0" quotePrefix="0" xfId="0">
      <alignment horizontal="right" vertical="center"/>
    </xf>
    <xf numFmtId="165" fontId="15" fillId="5" borderId="6" applyAlignment="1" pivotButton="0" quotePrefix="0" xfId="0">
      <alignment horizontal="right" vertical="center"/>
    </xf>
    <xf numFmtId="0" fontId="14" fillId="8" borderId="6" applyAlignment="1" pivotButton="0" quotePrefix="0" xfId="0">
      <alignment vertical="center"/>
    </xf>
    <xf numFmtId="165" fontId="14" fillId="8" borderId="6" applyAlignment="1" pivotButton="0" quotePrefix="0" xfId="0">
      <alignment horizontal="right" vertical="center"/>
    </xf>
    <xf numFmtId="0" fontId="10" fillId="3" borderId="3" applyAlignment="1" pivotButton="0" quotePrefix="0" xfId="0">
      <alignment vertical="center" wrapText="1"/>
    </xf>
    <xf numFmtId="164" fontId="9" fillId="9" borderId="4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Cuadro 1'!A1" TargetMode="External" Id="rId1"/><Relationship Type="http://schemas.openxmlformats.org/officeDocument/2006/relationships/hyperlink" Target="#'Cuadro 2'!A1" TargetMode="External" Id="rId2"/><Relationship Type="http://schemas.openxmlformats.org/officeDocument/2006/relationships/hyperlink" Target="#'Cuadro 3'!A1" TargetMode="External" Id="rId3"/><Relationship Type="http://schemas.openxmlformats.org/officeDocument/2006/relationships/hyperlink" Target="#'Cuadro 4'!A1" TargetMode="External" Id="rId4"/><Relationship Type="http://schemas.openxmlformats.org/officeDocument/2006/relationships/hyperlink" Target="#'Notas'!A1" TargetMode="External" Id="rId5"/></Relationships>
</file>

<file path=xl/worksheets/_rels/sheet2.xml.rels><Relationships xmlns="http://schemas.openxmlformats.org/package/2006/relationships"><Relationship Type="http://schemas.openxmlformats.org/officeDocument/2006/relationships/hyperlink" Target="#'Indice'!A1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#'Indice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Indice'!A1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5"/>
  <sheetViews>
    <sheetView showGridLines="0" zoomScale="85" workbookViewId="0">
      <pane ySplit="21" topLeftCell="A22" activePane="bottomLeft" state="frozen"/>
      <selection pane="bottomLeft" activeCell="A1" sqref="A1"/>
    </sheetView>
  </sheetViews>
  <sheetFormatPr baseColWidth="8" defaultRowHeight="15"/>
  <cols>
    <col width="3" customWidth="1" min="1" max="1"/>
    <col width="28" customWidth="1" min="2" max="2"/>
    <col width="24" customWidth="1" min="3" max="3"/>
    <col width="86" customWidth="1" min="4" max="4"/>
    <col width="4" customWidth="1" min="5" max="5"/>
    <col width="24" customWidth="1" min="6" max="6"/>
    <col width="28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 ht="54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17" customHeight="1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</row>
    <row r="3" ht="18" customHeight="1">
      <c r="A3" s="2" t="inlineStr">
        <is>
          <t>CEPAL | MATRICES INSUMO-PRODUCTO AUDITABLES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</row>
    <row r="4" ht="18" customHeight="1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</row>
    <row r="5" ht="18" customHeight="1">
      <c r="A5" s="3" t="inlineStr">
        <is>
          <t>Matriz insumo producto
Brasil 2009</t>
        </is>
      </c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</row>
    <row r="6" ht="18" customHeight="1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</row>
    <row r="7" ht="18" customHeight="1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 ht="17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</row>
    <row r="9" ht="17" customHeight="1">
      <c r="A9" s="1" t="n"/>
      <c r="B9" s="6" t="inlineStr">
        <is>
          <t>Matrices insumo-producto, actividad por actividad</t>
        </is>
      </c>
      <c r="C9" s="1" t="n"/>
      <c r="D9" s="1" t="n"/>
      <c r="E9" s="1" t="n"/>
      <c r="F9" s="6" t="inlineStr">
        <is>
          <t>Ficha tecnica</t>
        </is>
      </c>
      <c r="G9" s="1" t="n"/>
      <c r="H9" s="1" t="n"/>
      <c r="I9" s="1" t="n"/>
      <c r="J9" s="1" t="n"/>
      <c r="K9" s="1" t="n"/>
      <c r="L9" s="1" t="n"/>
      <c r="M9" s="1" t="n"/>
    </row>
    <row r="10" ht="22" customHeight="1">
      <c r="A10" s="1" t="n"/>
      <c r="B10" s="7" t="inlineStr">
        <is>
          <t>Cuadro 1</t>
        </is>
      </c>
      <c r="C10" s="8" t="inlineStr">
        <is>
          <t>Nacional / domestica</t>
        </is>
      </c>
      <c r="D10" s="1" t="n"/>
      <c r="E10" s="1" t="n"/>
      <c r="F10" s="9" t="inlineStr">
        <is>
          <t>Pais</t>
        </is>
      </c>
      <c r="G10" s="10" t="inlineStr">
        <is>
          <t>Brasil</t>
        </is>
      </c>
      <c r="H10" s="1" t="n"/>
      <c r="I10" s="1" t="n"/>
      <c r="J10" s="1" t="n"/>
      <c r="K10" s="1" t="n"/>
      <c r="L10" s="1" t="n"/>
      <c r="M10" s="1" t="n"/>
    </row>
    <row r="11" ht="22" customHeight="1">
      <c r="A11" s="1" t="n"/>
      <c r="B11" s="7" t="inlineStr">
        <is>
          <t>Cuadro 2</t>
        </is>
      </c>
      <c r="C11" s="8" t="inlineStr">
        <is>
          <t>Importada / ajuste intermedio</t>
        </is>
      </c>
      <c r="D11" s="1" t="n"/>
      <c r="E11" s="1" t="n"/>
      <c r="F11" s="9" t="inlineStr">
        <is>
          <t>Ano</t>
        </is>
      </c>
      <c r="G11" s="11" t="n">
        <v>2009</v>
      </c>
      <c r="H11" s="1" t="n"/>
      <c r="I11" s="1" t="n"/>
      <c r="J11" s="1" t="n"/>
      <c r="K11" s="1" t="n"/>
      <c r="L11" s="1" t="n"/>
      <c r="M11" s="1" t="n"/>
    </row>
    <row r="12" ht="22" customHeight="1">
      <c r="A12" s="1" t="n"/>
      <c r="B12" s="7" t="inlineStr">
        <is>
          <t>Cuadro 3</t>
        </is>
      </c>
      <c r="C12" s="8" t="inlineStr">
        <is>
          <t>Nacional e importada - total auditable</t>
        </is>
      </c>
      <c r="D12" s="1" t="n"/>
      <c r="E12" s="1" t="n"/>
      <c r="F12" s="9" t="inlineStr">
        <is>
          <t>Fuente metodologica</t>
        </is>
      </c>
      <c r="G12" s="10" t="inlineStr">
        <is>
          <t>COU CEPAL Brasil base 2000</t>
        </is>
      </c>
      <c r="H12" s="1" t="n"/>
      <c r="I12" s="1" t="n"/>
      <c r="J12" s="1" t="n"/>
      <c r="K12" s="1" t="n"/>
      <c r="L12" s="1" t="n"/>
      <c r="M12" s="1" t="n"/>
    </row>
    <row r="13" ht="17" customHeight="1">
      <c r="A13" s="1" t="n"/>
      <c r="B13" s="12" t="inlineStr"/>
      <c r="C13" s="8" t="inlineStr"/>
      <c r="D13" s="1" t="n"/>
      <c r="E13" s="1" t="n"/>
      <c r="F13" s="9" t="inlineStr">
        <is>
          <t>Tipo</t>
        </is>
      </c>
      <c r="G13" s="10" t="inlineStr">
        <is>
          <t>Reconstruida desde COU</t>
        </is>
      </c>
      <c r="H13" s="1" t="n"/>
      <c r="I13" s="1" t="n"/>
      <c r="J13" s="1" t="n"/>
      <c r="K13" s="1" t="n"/>
      <c r="L13" s="1" t="n"/>
      <c r="M13" s="1" t="n"/>
    </row>
    <row r="14" ht="17" customHeight="1">
      <c r="A14" s="1" t="n"/>
      <c r="B14" s="13" t="inlineStr">
        <is>
          <t>Auditoria, multiplicadores y notas</t>
        </is>
      </c>
      <c r="C14" s="1" t="n"/>
      <c r="D14" s="1" t="n"/>
      <c r="E14" s="1" t="n"/>
      <c r="F14" s="14" t="inlineStr">
        <is>
          <t>Ajuste intermedio</t>
        </is>
      </c>
      <c r="G14" s="15" t="inlineStr">
        <is>
          <t>U_importada/ajuste transformado a industrias con D = V * diag(q)^-1.</t>
        </is>
      </c>
      <c r="H14" s="1" t="n"/>
      <c r="I14" s="1" t="n"/>
      <c r="J14" s="1" t="n"/>
      <c r="K14" s="1" t="n"/>
      <c r="L14" s="1" t="n"/>
      <c r="M14" s="1" t="n"/>
    </row>
    <row r="15" ht="22" customHeight="1">
      <c r="A15" s="1" t="n"/>
      <c r="B15" s="7" t="inlineStr">
        <is>
          <t>Cuadro 4</t>
        </is>
      </c>
      <c r="C15" s="8" t="inlineStr">
        <is>
          <t>Multiplicadores y validaciones</t>
        </is>
      </c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</row>
    <row r="16" ht="22" customHeight="1">
      <c r="A16" s="1" t="n"/>
      <c r="B16" s="7" t="inlineStr">
        <is>
          <t>Notas</t>
        </is>
      </c>
      <c r="C16" s="8" t="inlineStr">
        <is>
          <t>Fuente, convenciones y lectura contable</t>
        </is>
      </c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</row>
    <row r="17" ht="17" customHeight="1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</row>
    <row r="18" ht="17" customHeight="1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</row>
    <row r="19" ht="17" customHeight="1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</row>
    <row r="20" ht="17" customHeight="1">
      <c r="A20" s="16" t="inlineStr">
        <is>
          <t>Validacion contable y matematica</t>
        </is>
      </c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</row>
    <row r="21" ht="17" customHeight="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</row>
    <row r="22" ht="17" customHeight="1">
      <c r="A22" s="1" t="n"/>
      <c r="B22" s="6" t="inlineStr">
        <is>
          <t>prueba</t>
        </is>
      </c>
      <c r="C22" s="6" t="inlineStr">
        <is>
          <t>resultado</t>
        </is>
      </c>
      <c r="D22" s="6" t="inlineStr">
        <is>
          <t>lectura</t>
        </is>
      </c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</row>
    <row r="23" ht="17" customHeight="1">
      <c r="A23" s="1" t="n"/>
      <c r="B23" s="17" t="inlineStr">
        <is>
          <t>sectores</t>
        </is>
      </c>
      <c r="C23" s="18" t="n">
        <v>51</v>
      </c>
      <c r="D23" s="10" t="inlineStr">
        <is>
          <t>Cantidad de sectores de la MIP.</t>
        </is>
      </c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</row>
    <row r="24" ht="17" customHeight="1">
      <c r="A24" s="1" t="n"/>
      <c r="B24" s="17" t="inlineStr">
        <is>
          <t>cuadrada_Z_A_L</t>
        </is>
      </c>
      <c r="C24" s="18" t="b">
        <v>1</v>
      </c>
      <c r="D24" s="10" t="inlineStr">
        <is>
          <t>Z, A y L son matrices cuadradas.</t>
        </is>
      </c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</row>
    <row r="25" ht="17" customHeight="1">
      <c r="A25" s="1" t="n"/>
      <c r="B25" s="17" t="inlineStr">
        <is>
          <t>max_abs_A_menos_Z_sobre_x</t>
        </is>
      </c>
      <c r="C25" s="18" t="n">
        <v>1.110223024625157e-16</v>
      </c>
      <c r="D25" s="10" t="inlineStr">
        <is>
          <t>Consistencia de coeficientes tecnicos.</t>
        </is>
      </c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</row>
    <row r="26" ht="17" customHeight="1">
      <c r="A26" s="1" t="n"/>
      <c r="B26" s="17" t="inlineStr">
        <is>
          <t>max_abs_Leontief</t>
        </is>
      </c>
      <c r="C26" s="18" t="n">
        <v>1.110223024625157e-15</v>
      </c>
      <c r="D26" s="10" t="inlineStr">
        <is>
          <t>Residual (I-A)L - I.</t>
        </is>
      </c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</row>
    <row r="27" ht="17" customHeight="1">
      <c r="A27" s="1" t="n"/>
      <c r="B27" s="17" t="inlineStr">
        <is>
          <t>max_abs_fila_x_menos_Z_menos_y</t>
        </is>
      </c>
      <c r="C27" s="18" t="n">
        <v>1214.7142444239</v>
      </c>
      <c r="D27" s="10" t="inlineStr">
        <is>
          <t>Cierre por filas: x = ventas intermedias + demanda final.</t>
        </is>
      </c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</row>
    <row r="28" ht="17" customHeight="1">
      <c r="A28" s="1" t="n"/>
      <c r="B28" s="17" t="inlineStr">
        <is>
          <t>max_abs_columna_x_menos_Z_menos_ajuste_menos_v</t>
        </is>
      </c>
      <c r="C28" s="18" t="n">
        <v>1253.262295488006</v>
      </c>
      <c r="D28" s="10" t="inlineStr">
        <is>
          <t>Cierre por columnas con ajuste procesado.</t>
        </is>
      </c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</row>
    <row r="29" ht="17" customHeight="1">
      <c r="A29" s="1" t="n"/>
      <c r="B29" s="17" t="inlineStr">
        <is>
          <t>max_abs_total_x_menos_Ztotal_menos_ajuste_no_asignado_menos_v</t>
        </is>
      </c>
      <c r="C29" s="18" t="n">
        <v>1253.262295487992</v>
      </c>
      <c r="D29" s="10" t="inlineStr">
        <is>
          <t>Cierre Cuadro 3.</t>
        </is>
      </c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</row>
    <row r="30" ht="17" customHeight="1">
      <c r="A30" s="1" t="n"/>
      <c r="B30" s="17" t="inlineStr">
        <is>
          <t>sectores_y_negativa</t>
        </is>
      </c>
      <c r="C30" s="18" t="n">
        <v>0</v>
      </c>
      <c r="D30" s="10" t="inlineStr">
        <is>
          <t>Demanda final total negativa.</t>
        </is>
      </c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</row>
    <row r="31" ht="17" customHeight="1">
      <c r="A31" s="1" t="n"/>
      <c r="B31" s="17" t="inlineStr">
        <is>
          <t>min_y</t>
        </is>
      </c>
      <c r="C31" s="18" t="n">
        <v>177.3059107023601</v>
      </c>
      <c r="D31" s="10" t="inlineStr">
        <is>
          <t>Minimo de demanda final total.</t>
        </is>
      </c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</row>
    <row r="32" ht="17" customHeight="1">
      <c r="A32" s="1" t="n"/>
      <c r="B32" s="17" t="inlineStr">
        <is>
          <t>sectores_va_negativo</t>
        </is>
      </c>
      <c r="C32" s="18" t="n">
        <v>0</v>
      </c>
      <c r="D32" s="10" t="inlineStr">
        <is>
          <t>Valor agregado negativo.</t>
        </is>
      </c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</row>
    <row r="33" ht="17" customHeight="1">
      <c r="A33" s="1" t="n"/>
      <c r="B33" s="17" t="inlineStr">
        <is>
          <t>min_va</t>
        </is>
      </c>
      <c r="C33" s="18" t="n">
        <v>1626.28977832027</v>
      </c>
      <c r="D33" s="10" t="inlineStr">
        <is>
          <t>Minimo de valor agregado.</t>
        </is>
      </c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</row>
    <row r="34" ht="17" customHeight="1">
      <c r="A34" s="1" t="n"/>
      <c r="B34" s="17" t="inlineStr">
        <is>
          <t>sectores_ajuste_negativo</t>
        </is>
      </c>
      <c r="C34" s="18" t="n">
        <v>6</v>
      </c>
      <c r="D34" s="10" t="inlineStr">
        <is>
          <t>Ajuste intermedio/importado con signo negativo.</t>
        </is>
      </c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</row>
    <row r="35" ht="17" customHeight="1">
      <c r="A35" s="1" t="n"/>
      <c r="B35" s="17" t="inlineStr">
        <is>
          <t>min_ajuste</t>
        </is>
      </c>
      <c r="C35" s="19" t="n">
        <v>-4629.727207051419</v>
      </c>
      <c r="D35" s="10" t="inlineStr">
        <is>
          <t>Minimo de ajuste intermedio/importado.</t>
        </is>
      </c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</row>
  </sheetData>
  <mergeCells count="17">
    <mergeCell ref="C12:D12"/>
    <mergeCell ref="G14:M14"/>
    <mergeCell ref="B14:D14"/>
    <mergeCell ref="A1:M1"/>
    <mergeCell ref="C10:D10"/>
    <mergeCell ref="C16:D16"/>
    <mergeCell ref="C15:D15"/>
    <mergeCell ref="G13:M13"/>
    <mergeCell ref="C11:D11"/>
    <mergeCell ref="F9:M9"/>
    <mergeCell ref="B9:D9"/>
    <mergeCell ref="G12:M12"/>
    <mergeCell ref="A3:M4"/>
    <mergeCell ref="A20:M20"/>
    <mergeCell ref="G10:M10"/>
    <mergeCell ref="G11:M11"/>
    <mergeCell ref="A5:M7"/>
  </mergeCells>
  <hyperlinks>
    <hyperlink xmlns:r="http://schemas.openxmlformats.org/officeDocument/2006/relationships" ref="B10" r:id="rId1"/>
    <hyperlink xmlns:r="http://schemas.openxmlformats.org/officeDocument/2006/relationships" ref="B11" r:id="rId2"/>
    <hyperlink xmlns:r="http://schemas.openxmlformats.org/officeDocument/2006/relationships" ref="B12" r:id="rId3"/>
    <hyperlink xmlns:r="http://schemas.openxmlformats.org/officeDocument/2006/relationships" ref="B15" r:id="rId4"/>
    <hyperlink xmlns:r="http://schemas.openxmlformats.org/officeDocument/2006/relationships" ref="B16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H75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7" customWidth="1" min="1" max="1"/>
    <col width="77.7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</cols>
  <sheetData>
    <row r="1" ht="44" customHeight="1"/>
    <row r="2"/>
    <row r="3" ht="16" customHeight="1">
      <c r="A3" s="20" t="inlineStr">
        <is>
          <t>Matriz insumo producto, actividad por actividad - Nacional</t>
        </is>
      </c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  <c r="AE3" s="20" t="n"/>
      <c r="AF3" s="20" t="n"/>
      <c r="AG3" s="20" t="n"/>
      <c r="AH3" s="20" t="n"/>
      <c r="AI3" s="20" t="n"/>
      <c r="AJ3" s="20" t="n"/>
      <c r="AK3" s="20" t="n"/>
      <c r="AL3" s="20" t="n"/>
      <c r="AM3" s="20" t="n"/>
      <c r="AN3" s="20" t="n"/>
      <c r="AO3" s="20" t="n"/>
      <c r="AP3" s="20" t="n"/>
      <c r="AQ3" s="20" t="n"/>
      <c r="AR3" s="20" t="n"/>
      <c r="AS3" s="20" t="n"/>
      <c r="AT3" s="20" t="n"/>
      <c r="AU3" s="20" t="n"/>
      <c r="AV3" s="20" t="n"/>
      <c r="AW3" s="20" t="n"/>
      <c r="AX3" s="20" t="n"/>
      <c r="AY3" s="20" t="n"/>
      <c r="AZ3" s="20" t="n"/>
      <c r="BA3" s="20" t="n"/>
      <c r="BB3" s="20" t="n"/>
      <c r="BC3" s="20" t="n"/>
      <c r="BD3" s="20" t="n"/>
      <c r="BE3" s="20" t="n"/>
      <c r="BF3" s="20" t="n"/>
      <c r="BG3" s="20" t="n"/>
      <c r="BH3" s="20" t="n"/>
    </row>
    <row r="4" ht="16" customHeight="1"/>
    <row r="5">
      <c r="A5" s="21" t="inlineStr">
        <is>
          <t>Valores a precios corrientes</t>
        </is>
      </c>
    </row>
    <row r="6" ht="16.5" customHeight="1">
      <c r="A6" s="21" t="inlineStr">
        <is>
          <t>Ano 2009</t>
        </is>
      </c>
      <c r="J6" s="22" t="inlineStr">
        <is>
          <t>Indice</t>
        </is>
      </c>
    </row>
    <row r="7">
      <c r="A7" s="21" t="inlineStr">
        <is>
          <t>Base / fuente original</t>
        </is>
      </c>
    </row>
    <row r="8">
      <c r="A8" s="21" t="inlineStr">
        <is>
          <t>Unidades monetarias de la fuente</t>
        </is>
      </c>
    </row>
    <row r="9"/>
    <row r="10" ht="16" customHeight="1">
      <c r="A10" s="23" t="inlineStr">
        <is>
          <t>Codigo</t>
        </is>
      </c>
      <c r="B10" s="23" t="inlineStr">
        <is>
          <t>Actividad economica</t>
        </is>
      </c>
      <c r="C10" s="23" t="inlineStr">
        <is>
          <t>Consumo intermedio por actividades economicas</t>
        </is>
      </c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n"/>
      <c r="W10" s="24" t="n"/>
      <c r="X10" s="24" t="n"/>
      <c r="Y10" s="24" t="n"/>
      <c r="Z10" s="24" t="n"/>
      <c r="AA10" s="24" t="n"/>
      <c r="AB10" s="24" t="n"/>
      <c r="AC10" s="24" t="n"/>
      <c r="AD10" s="24" t="n"/>
      <c r="AE10" s="24" t="n"/>
      <c r="AF10" s="24" t="n"/>
      <c r="AG10" s="24" t="n"/>
      <c r="AH10" s="24" t="n"/>
      <c r="AI10" s="24" t="n"/>
      <c r="AJ10" s="24" t="n"/>
      <c r="AK10" s="24" t="n"/>
      <c r="AL10" s="24" t="n"/>
      <c r="AM10" s="24" t="n"/>
      <c r="AN10" s="24" t="n"/>
      <c r="AO10" s="24" t="n"/>
      <c r="AP10" s="24" t="n"/>
      <c r="AQ10" s="24" t="n"/>
      <c r="AR10" s="24" t="n"/>
      <c r="AS10" s="24" t="n"/>
      <c r="AT10" s="24" t="n"/>
      <c r="AU10" s="24" t="n"/>
      <c r="AV10" s="24" t="n"/>
      <c r="AW10" s="24" t="n"/>
      <c r="AX10" s="24" t="n"/>
      <c r="AY10" s="24" t="n"/>
      <c r="AZ10" s="24" t="n"/>
      <c r="BA10" s="24" t="n"/>
      <c r="BB10" s="23" t="inlineStr">
        <is>
          <t>Total consumo intermedio</t>
        </is>
      </c>
      <c r="BC10" s="23" t="inlineStr">
        <is>
          <t>Demanda final</t>
        </is>
      </c>
      <c r="BD10" s="24" t="n"/>
      <c r="BE10" s="24" t="n"/>
      <c r="BF10" s="24" t="n"/>
      <c r="BG10" s="23" t="inlineStr">
        <is>
          <t>Total demanda final</t>
        </is>
      </c>
      <c r="BH10" s="23" t="inlineStr">
        <is>
          <t>Total</t>
        </is>
      </c>
    </row>
    <row r="11" ht="15" customHeight="1">
      <c r="C11" s="25" t="n">
        <v>1</v>
      </c>
      <c r="D11" s="25" t="n">
        <v>2</v>
      </c>
      <c r="E11" s="25" t="n">
        <v>3</v>
      </c>
      <c r="F11" s="25" t="n">
        <v>4</v>
      </c>
      <c r="G11" s="25" t="n">
        <v>5</v>
      </c>
      <c r="H11" s="25" t="n">
        <v>6</v>
      </c>
      <c r="I11" s="25" t="n">
        <v>7</v>
      </c>
      <c r="J11" s="25" t="n">
        <v>8</v>
      </c>
      <c r="K11" s="25" t="n">
        <v>9</v>
      </c>
      <c r="L11" s="25" t="n">
        <v>10</v>
      </c>
      <c r="M11" s="25" t="inlineStr">
        <is>
          <t>Produtos de madeira</t>
        </is>
      </c>
      <c r="N11" s="25" t="n">
        <v>12</v>
      </c>
      <c r="O11" s="25" t="n">
        <v>13</v>
      </c>
      <c r="P11" s="25" t="n">
        <v>14</v>
      </c>
      <c r="Q11" s="25" t="n">
        <v>15</v>
      </c>
      <c r="R11" s="25" t="n">
        <v>16</v>
      </c>
      <c r="S11" s="25" t="n">
        <v>17</v>
      </c>
      <c r="T11" s="25" t="n">
        <v>18</v>
      </c>
      <c r="U11" s="25" t="n">
        <v>19</v>
      </c>
      <c r="V11" s="25" t="n">
        <v>20</v>
      </c>
      <c r="W11" s="25" t="n">
        <v>21</v>
      </c>
      <c r="X11" s="25" t="n">
        <v>22</v>
      </c>
      <c r="Y11" s="25" t="n">
        <v>23</v>
      </c>
      <c r="Z11" s="25" t="n">
        <v>24</v>
      </c>
      <c r="AA11" s="25" t="n">
        <v>25</v>
      </c>
      <c r="AB11" s="25" t="n">
        <v>26</v>
      </c>
      <c r="AC11" s="25" t="inlineStr">
        <is>
          <t>Produtos de metal</t>
        </is>
      </c>
      <c r="AD11" s="25" t="n">
        <v>28</v>
      </c>
      <c r="AE11" s="25" t="n">
        <v>29</v>
      </c>
      <c r="AF11" s="25" t="n">
        <v>30</v>
      </c>
      <c r="AG11" s="25" t="n">
        <v>31</v>
      </c>
      <c r="AH11" s="25" t="n">
        <v>32</v>
      </c>
      <c r="AI11" s="25" t="n">
        <v>33</v>
      </c>
      <c r="AJ11" s="25" t="n">
        <v>34</v>
      </c>
      <c r="AK11" s="25" t="n">
        <v>35</v>
      </c>
      <c r="AL11" s="25" t="n">
        <v>36</v>
      </c>
      <c r="AM11" s="25" t="n">
        <v>37</v>
      </c>
      <c r="AN11" s="25" t="n">
        <v>38</v>
      </c>
      <c r="AO11" s="25" t="n">
        <v>39</v>
      </c>
      <c r="AP11" s="25" t="n">
        <v>40</v>
      </c>
      <c r="AQ11" s="25" t="n">
        <v>41</v>
      </c>
      <c r="AR11" s="25" t="n">
        <v>42</v>
      </c>
      <c r="AS11" s="25" t="n">
        <v>43</v>
      </c>
      <c r="AT11" s="25" t="n">
        <v>44</v>
      </c>
      <c r="AU11" s="25" t="n">
        <v>45</v>
      </c>
      <c r="AV11" s="25" t="n">
        <v>46</v>
      </c>
      <c r="AW11" s="25" t="n">
        <v>47</v>
      </c>
      <c r="AX11" s="25" t="n">
        <v>48</v>
      </c>
      <c r="AY11" s="25" t="n">
        <v>49</v>
      </c>
      <c r="AZ11" s="25" t="n">
        <v>50</v>
      </c>
      <c r="BA11" s="25" t="n">
        <v>51</v>
      </c>
      <c r="BC11" s="25" t="inlineStr"/>
      <c r="BD11" s="25" t="inlineStr"/>
      <c r="BE11" s="25" t="inlineStr"/>
      <c r="BF11" s="25" t="inlineStr"/>
    </row>
    <row r="12" ht="90" customHeight="1">
      <c r="A12" s="26" t="n"/>
      <c r="B12" s="26" t="n"/>
      <c r="C12" s="27" t="inlineStr">
        <is>
          <t>Agricultura silvicultura exploração florestal</t>
        </is>
      </c>
      <c r="D12" s="27" t="inlineStr">
        <is>
          <t>Pecuária e pesca</t>
        </is>
      </c>
      <c r="E12" s="27" t="inlineStr">
        <is>
          <t>Petróleo e gás natural</t>
        </is>
      </c>
      <c r="F12" s="27" t="inlineStr">
        <is>
          <t>Minério de ferro</t>
        </is>
      </c>
      <c r="G12" s="27" t="inlineStr">
        <is>
          <t>Outros da indústria extrativa</t>
        </is>
      </c>
      <c r="H12" s="27" t="inlineStr">
        <is>
          <t>Alimentos e Bebidas</t>
        </is>
      </c>
      <c r="I12" s="27" t="inlineStr">
        <is>
          <t>Produtos do fumo</t>
        </is>
      </c>
      <c r="J12" s="27" t="inlineStr">
        <is>
          <t>Têxteis</t>
        </is>
      </c>
      <c r="K12" s="27" t="inlineStr">
        <is>
          <t>Artigos do vestuário e acessórios</t>
        </is>
      </c>
      <c r="L12" s="27" t="inlineStr">
        <is>
          <t>Artefatos de couro e calçados</t>
        </is>
      </c>
      <c r="M12" s="27" t="inlineStr">
        <is>
          <t>exclusive móveis</t>
        </is>
      </c>
      <c r="N12" s="27" t="inlineStr">
        <is>
          <t>Celulose e produtos de papel</t>
        </is>
      </c>
      <c r="O12" s="27" t="inlineStr">
        <is>
          <t>Jornais revistas discos</t>
        </is>
      </c>
      <c r="P12" s="27" t="inlineStr">
        <is>
          <t>Refino de petróleo e coque</t>
        </is>
      </c>
      <c r="Q12" s="27" t="inlineStr">
        <is>
          <t>Álcool</t>
        </is>
      </c>
      <c r="R12" s="27" t="inlineStr">
        <is>
          <t>Produtos  químicos</t>
        </is>
      </c>
      <c r="S12" s="27" t="inlineStr">
        <is>
          <t>Fabricação de resina e elastômeros</t>
        </is>
      </c>
      <c r="T12" s="27" t="inlineStr">
        <is>
          <t>Produtos farmacêuticos</t>
        </is>
      </c>
      <c r="U12" s="27" t="inlineStr">
        <is>
          <t>Defensivos agrícolas</t>
        </is>
      </c>
      <c r="V12" s="27" t="inlineStr">
        <is>
          <t>Perfumaria higiene e limpeza</t>
        </is>
      </c>
      <c r="W12" s="27" t="inlineStr">
        <is>
          <t>Tintas vernizes esmaltes e lacas</t>
        </is>
      </c>
      <c r="X12" s="27" t="inlineStr">
        <is>
          <t>Produtos e preparados químicos diversos</t>
        </is>
      </c>
      <c r="Y12" s="27" t="inlineStr">
        <is>
          <t>Artigos de borracha e plástico</t>
        </is>
      </c>
      <c r="Z12" s="27" t="inlineStr">
        <is>
          <t>Cimento e outros produtos de minerais não-metálicos</t>
        </is>
      </c>
      <c r="AA12" s="27" t="inlineStr">
        <is>
          <t>Fabricação de aço e derivados</t>
        </is>
      </c>
      <c r="AB12" s="27" t="inlineStr">
        <is>
          <t>Metalurgia de metais não-ferrosos</t>
        </is>
      </c>
      <c r="AC12" s="27" t="inlineStr">
        <is>
          <t>exclusive máquinas e equipamentos</t>
        </is>
      </c>
      <c r="AD12" s="27" t="inlineStr">
        <is>
          <t>Máquinas e equipamentos inclusive manutenção e reparos</t>
        </is>
      </c>
      <c r="AE12" s="27" t="inlineStr">
        <is>
          <t>Eletrodomésticos e material eletronico</t>
        </is>
      </c>
      <c r="AF12" s="27" t="inlineStr">
        <is>
          <t>Máquinas para escritório aparelhos e e material eletronico</t>
        </is>
      </c>
      <c r="AG12" s="27" t="inlineStr">
        <is>
          <t>Automóveis camionetas caminhões e ônibus</t>
        </is>
      </c>
      <c r="AH12" s="27" t="inlineStr">
        <is>
          <t>Peças e acessórios para veículos automotores</t>
        </is>
      </c>
      <c r="AI12" s="27" t="inlineStr">
        <is>
          <t>Outros equipamentos de transporte</t>
        </is>
      </c>
      <c r="AJ12" s="27" t="inlineStr">
        <is>
          <t>Móveis e produtos das indústrias diversas</t>
        </is>
      </c>
      <c r="AK12" s="27" t="inlineStr">
        <is>
          <t>Produção e distribuição de eletricidade gás água esgoto e limpeza urbana</t>
        </is>
      </c>
      <c r="AL12" s="27" t="inlineStr">
        <is>
          <t>Construção civil</t>
        </is>
      </c>
      <c r="AM12" s="27" t="inlineStr">
        <is>
          <t>Comércio</t>
        </is>
      </c>
      <c r="AN12" s="27" t="inlineStr">
        <is>
          <t>Transporte armazenagem e correio</t>
        </is>
      </c>
      <c r="AO12" s="27" t="inlineStr">
        <is>
          <t>Serviços de informação</t>
        </is>
      </c>
      <c r="AP12" s="27" t="inlineStr">
        <is>
          <t>Intermediação financeira seguros e previdência complementar e serviços relacionados</t>
        </is>
      </c>
      <c r="AQ12" s="27" t="inlineStr">
        <is>
          <t>Atividades imobiliárias e aluguéis</t>
        </is>
      </c>
      <c r="AR12" s="27" t="inlineStr">
        <is>
          <t>Serviços de manutenção e reparação</t>
        </is>
      </c>
      <c r="AS12" s="27" t="inlineStr">
        <is>
          <t>Serviços de alojamento e alimentação</t>
        </is>
      </c>
      <c r="AT12" s="27" t="inlineStr">
        <is>
          <t>Serviços prestados às empresas</t>
        </is>
      </c>
      <c r="AU12" s="27" t="inlineStr">
        <is>
          <t>Educação mercantil</t>
        </is>
      </c>
      <c r="AV12" s="27" t="inlineStr">
        <is>
          <t>Saúde mercantil</t>
        </is>
      </c>
      <c r="AW12" s="27" t="inlineStr">
        <is>
          <t>Serviços prestados às famílias e associativas</t>
        </is>
      </c>
      <c r="AX12" s="27" t="inlineStr">
        <is>
          <t>Serviços domésticos</t>
        </is>
      </c>
      <c r="AY12" s="27" t="inlineStr">
        <is>
          <t>Educação pública</t>
        </is>
      </c>
      <c r="AZ12" s="27" t="inlineStr">
        <is>
          <t>Saúde pública</t>
        </is>
      </c>
      <c r="BA12" s="27" t="inlineStr">
        <is>
          <t>Administração pública e seguridade social</t>
        </is>
      </c>
      <c r="BB12" s="26" t="n"/>
      <c r="BC12" s="27" t="inlineStr">
        <is>
          <t>Gasto de consumo final</t>
        </is>
      </c>
      <c r="BD12" s="27" t="inlineStr">
        <is>
          <t>Formacion bruta de capital</t>
        </is>
      </c>
      <c r="BE12" s="27" t="inlineStr">
        <is>
          <t>Exportaciones netas</t>
        </is>
      </c>
      <c r="BF12" s="27" t="inlineStr">
        <is>
          <t>Sin desglose fuente</t>
        </is>
      </c>
      <c r="BG12" s="26" t="n"/>
      <c r="BH12" s="26" t="n"/>
    </row>
    <row r="13"/>
    <row r="14">
      <c r="A14" s="28" t="n">
        <v>1</v>
      </c>
      <c r="B14" s="29" t="inlineStr">
        <is>
          <t>Agricultura silvicultura exploração florestal</t>
        </is>
      </c>
      <c r="C14" s="28" t="n">
        <v>5994.882914447723</v>
      </c>
      <c r="D14" s="28" t="n">
        <v>4120.482912303885</v>
      </c>
      <c r="E14" s="28" t="n">
        <v>31.88563002069667</v>
      </c>
      <c r="F14" s="28" t="n">
        <v>5.99962165981297</v>
      </c>
      <c r="G14" s="28" t="n">
        <v>4.49336545766385</v>
      </c>
      <c r="H14" s="28" t="n">
        <v>62842.48985836341</v>
      </c>
      <c r="I14" s="28" t="n">
        <v>5155.434091328758</v>
      </c>
      <c r="J14" s="28" t="n">
        <v>4312.438743811626</v>
      </c>
      <c r="K14" s="28" t="n">
        <v>177.5860011643982</v>
      </c>
      <c r="L14" s="28" t="n">
        <v>27.42972601388839</v>
      </c>
      <c r="M14" s="28" t="n">
        <v>1794.374199543637</v>
      </c>
      <c r="N14" s="28" t="n">
        <v>1840.944504131304</v>
      </c>
      <c r="O14" s="28" t="n">
        <v>0.5682455158403179</v>
      </c>
      <c r="P14" s="28" t="n">
        <v>3.291872869169851</v>
      </c>
      <c r="Q14" s="28" t="n">
        <v>8969.25651192429</v>
      </c>
      <c r="R14" s="28" t="n">
        <v>198.23538847166</v>
      </c>
      <c r="S14" s="28" t="n">
        <v>239.7192381627486</v>
      </c>
      <c r="T14" s="28" t="n">
        <v>35.29914923751841</v>
      </c>
      <c r="U14" s="28" t="n">
        <v>86.22958658998439</v>
      </c>
      <c r="V14" s="28" t="n">
        <v>64.46224545335362</v>
      </c>
      <c r="W14" s="28" t="n">
        <v>52.17310700693308</v>
      </c>
      <c r="X14" s="28" t="n">
        <v>68.00169771435942</v>
      </c>
      <c r="Y14" s="28" t="n">
        <v>854.5924817542509</v>
      </c>
      <c r="Z14" s="28" t="n">
        <v>51.39029144341313</v>
      </c>
      <c r="AA14" s="28" t="n">
        <v>347.1203607259746</v>
      </c>
      <c r="AB14" s="28" t="n">
        <v>7.706610868608598</v>
      </c>
      <c r="AC14" s="28" t="n">
        <v>11.92375783679801</v>
      </c>
      <c r="AD14" s="28" t="n">
        <v>0.5872259678209971</v>
      </c>
      <c r="AE14" s="28" t="n">
        <v>1.838294177612442</v>
      </c>
      <c r="AF14" s="28" t="n">
        <v>1.888175094347943</v>
      </c>
      <c r="AG14" s="28" t="n">
        <v>1.347560778538729</v>
      </c>
      <c r="AH14" s="28" t="n">
        <v>0.2063977601729507</v>
      </c>
      <c r="AI14" s="28" t="n">
        <v>0.8767127136812108</v>
      </c>
      <c r="AJ14" s="28" t="n">
        <v>10.92353194489554</v>
      </c>
      <c r="AK14" s="28" t="n">
        <v>25.31513223340762</v>
      </c>
      <c r="AL14" s="28" t="n">
        <v>413.2620441697932</v>
      </c>
      <c r="AM14" s="28" t="n">
        <v>5043.892753476241</v>
      </c>
      <c r="AN14" s="28" t="n">
        <v>3.754709272062136</v>
      </c>
      <c r="AO14" s="28" t="n">
        <v>14.08416651199274</v>
      </c>
      <c r="AP14" s="28" t="n">
        <v>4.739639303033709</v>
      </c>
      <c r="AQ14" s="28" t="n">
        <v>4.11884118264433</v>
      </c>
      <c r="AR14" s="28" t="n">
        <v>0.01834342817313523</v>
      </c>
      <c r="AS14" s="28" t="n">
        <v>1974.840184991356</v>
      </c>
      <c r="AT14" s="28" t="n">
        <v>23.28422223385571</v>
      </c>
      <c r="AU14" s="28" t="n">
        <v>24.37337974178169</v>
      </c>
      <c r="AV14" s="28" t="n">
        <v>92.90427621105528</v>
      </c>
      <c r="AW14" s="28" t="n">
        <v>133.6333147794699</v>
      </c>
      <c r="AX14" s="28" t="n">
        <v>0</v>
      </c>
      <c r="AY14" s="28" t="n">
        <v>253.5759460400189</v>
      </c>
      <c r="AZ14" s="28" t="n">
        <v>110.3535044909638</v>
      </c>
      <c r="BA14" s="28" t="n">
        <v>817.2330706163957</v>
      </c>
      <c r="BB14" s="28">
        <f>SUM(C14:BA14)</f>
        <v/>
      </c>
      <c r="BC14" s="28" t="n">
        <v>0</v>
      </c>
      <c r="BD14" s="28" t="n">
        <v>0</v>
      </c>
      <c r="BE14" s="28" t="n">
        <v>69613.09035165694</v>
      </c>
      <c r="BF14" s="28" t="n">
        <v>0</v>
      </c>
      <c r="BG14" s="28">
        <f>SUM(BC14:BF14)</f>
        <v/>
      </c>
      <c r="BH14" s="28">
        <f>BB14+BG14</f>
        <v/>
      </c>
    </row>
    <row r="15">
      <c r="A15" s="30" t="n">
        <v>2</v>
      </c>
      <c r="B15" s="31" t="inlineStr">
        <is>
          <t>Pecuária e pesca</t>
        </is>
      </c>
      <c r="C15" s="30" t="n">
        <v>579.5350192537039</v>
      </c>
      <c r="D15" s="30" t="n">
        <v>3358.857762805651</v>
      </c>
      <c r="E15" s="30" t="n">
        <v>14.16114999995898</v>
      </c>
      <c r="F15" s="30" t="n">
        <v>3.817679448483815</v>
      </c>
      <c r="G15" s="30" t="n">
        <v>4.697028979479605</v>
      </c>
      <c r="H15" s="30" t="n">
        <v>48380.83059458429</v>
      </c>
      <c r="I15" s="30" t="n">
        <v>187.8911276567387</v>
      </c>
      <c r="J15" s="30" t="n">
        <v>81.2905209905835</v>
      </c>
      <c r="K15" s="30" t="n">
        <v>46.04941739099027</v>
      </c>
      <c r="L15" s="30" t="n">
        <v>6.96718810179244</v>
      </c>
      <c r="M15" s="30" t="n">
        <v>92.329947599305</v>
      </c>
      <c r="N15" s="30" t="n">
        <v>93.8074484804941</v>
      </c>
      <c r="O15" s="30" t="n">
        <v>0.08019529948253654</v>
      </c>
      <c r="P15" s="30" t="n">
        <v>0.06861900987861498</v>
      </c>
      <c r="Q15" s="30" t="n">
        <v>67.53363309965077</v>
      </c>
      <c r="R15" s="30" t="n">
        <v>36.8272398821136</v>
      </c>
      <c r="S15" s="30" t="n">
        <v>6.191322817835895</v>
      </c>
      <c r="T15" s="30" t="n">
        <v>2.013884102083337</v>
      </c>
      <c r="U15" s="30" t="n">
        <v>2.433678584737936</v>
      </c>
      <c r="V15" s="30" t="n">
        <v>3.895767323948548</v>
      </c>
      <c r="W15" s="30" t="n">
        <v>2.322812990137929</v>
      </c>
      <c r="X15" s="30" t="n">
        <v>2.692170054045953</v>
      </c>
      <c r="Y15" s="30" t="n">
        <v>42.99708545338694</v>
      </c>
      <c r="Z15" s="30" t="n">
        <v>48.5770066594487</v>
      </c>
      <c r="AA15" s="30" t="n">
        <v>22.00154426955496</v>
      </c>
      <c r="AB15" s="30" t="n">
        <v>6.713915041790039</v>
      </c>
      <c r="AC15" s="30" t="n">
        <v>0.8878845318260808</v>
      </c>
      <c r="AD15" s="30" t="n">
        <v>0.5069882611816431</v>
      </c>
      <c r="AE15" s="30" t="n">
        <v>0.5574102255736143</v>
      </c>
      <c r="AF15" s="30" t="n">
        <v>0.3251521659441289</v>
      </c>
      <c r="AG15" s="30" t="n">
        <v>1.255927833134874</v>
      </c>
      <c r="AH15" s="30" t="n">
        <v>0.4208295568450399</v>
      </c>
      <c r="AI15" s="30" t="n">
        <v>1.176984804589157</v>
      </c>
      <c r="AJ15" s="30" t="n">
        <v>3.459588524779798</v>
      </c>
      <c r="AK15" s="30" t="n">
        <v>21.48980406010235</v>
      </c>
      <c r="AL15" s="30" t="n">
        <v>282.9614452046864</v>
      </c>
      <c r="AM15" s="30" t="n">
        <v>182.9063402814704</v>
      </c>
      <c r="AN15" s="30" t="n">
        <v>5.894467110424594</v>
      </c>
      <c r="AO15" s="30" t="n">
        <v>21.10769268315915</v>
      </c>
      <c r="AP15" s="30" t="n">
        <v>6.371236671309095</v>
      </c>
      <c r="AQ15" s="30" t="n">
        <v>7.521727878849655</v>
      </c>
      <c r="AR15" s="30" t="n">
        <v>0.02318084196400343</v>
      </c>
      <c r="AS15" s="30" t="n">
        <v>1163.268881564757</v>
      </c>
      <c r="AT15" s="30" t="n">
        <v>9.576664207345965</v>
      </c>
      <c r="AU15" s="30" t="n">
        <v>15.81390637499553</v>
      </c>
      <c r="AV15" s="30" t="n">
        <v>88.93388237315118</v>
      </c>
      <c r="AW15" s="30" t="n">
        <v>30.92923571163883</v>
      </c>
      <c r="AX15" s="30" t="n">
        <v>0</v>
      </c>
      <c r="AY15" s="30" t="n">
        <v>115.7783774066433</v>
      </c>
      <c r="AZ15" s="30" t="n">
        <v>50.18737620120579</v>
      </c>
      <c r="BA15" s="30" t="n">
        <v>230.5277236776926</v>
      </c>
      <c r="BB15" s="30">
        <f>SUM(C15:BA15)</f>
        <v/>
      </c>
      <c r="BC15" s="30" t="n">
        <v>0</v>
      </c>
      <c r="BD15" s="30" t="n">
        <v>0</v>
      </c>
      <c r="BE15" s="30" t="n">
        <v>29731.4270998038</v>
      </c>
      <c r="BF15" s="30" t="n">
        <v>0</v>
      </c>
      <c r="BG15" s="30">
        <f>SUM(BC15:BF15)</f>
        <v/>
      </c>
      <c r="BH15" s="30">
        <f>BB15+BG15</f>
        <v/>
      </c>
    </row>
    <row r="16">
      <c r="A16" s="28" t="n">
        <v>3</v>
      </c>
      <c r="B16" s="29" t="inlineStr">
        <is>
          <t>Petróleo e gás natural</t>
        </is>
      </c>
      <c r="C16" s="28" t="n">
        <v>62.36866577639035</v>
      </c>
      <c r="D16" s="28" t="n">
        <v>51.79194323679508</v>
      </c>
      <c r="E16" s="28" t="n">
        <v>5743.61274313224</v>
      </c>
      <c r="F16" s="28" t="n">
        <v>123.7762818151102</v>
      </c>
      <c r="G16" s="28" t="n">
        <v>14.05984902056957</v>
      </c>
      <c r="H16" s="28" t="n">
        <v>499.3046975404333</v>
      </c>
      <c r="I16" s="28" t="n">
        <v>0.5579782597670416</v>
      </c>
      <c r="J16" s="28" t="n">
        <v>137.6171840363103</v>
      </c>
      <c r="K16" s="28" t="n">
        <v>1.000982160939244</v>
      </c>
      <c r="L16" s="28" t="n">
        <v>0.4778253241324177</v>
      </c>
      <c r="M16" s="28" t="n">
        <v>21.24916379458179</v>
      </c>
      <c r="N16" s="28" t="n">
        <v>379.5805599195261</v>
      </c>
      <c r="O16" s="28" t="n">
        <v>0.919659219455305</v>
      </c>
      <c r="P16" s="28" t="n">
        <v>50938.06185841865</v>
      </c>
      <c r="Q16" s="28" t="n">
        <v>0.7481765576376238</v>
      </c>
      <c r="R16" s="28" t="n">
        <v>593.5290391189479</v>
      </c>
      <c r="S16" s="28" t="n">
        <v>324.776762087214</v>
      </c>
      <c r="T16" s="28" t="n">
        <v>24.87343171213231</v>
      </c>
      <c r="U16" s="28" t="n">
        <v>23.82082786519425</v>
      </c>
      <c r="V16" s="28" t="n">
        <v>18.67176355159094</v>
      </c>
      <c r="W16" s="28" t="n">
        <v>19.47687875394822</v>
      </c>
      <c r="X16" s="28" t="n">
        <v>24.94941185246665</v>
      </c>
      <c r="Y16" s="28" t="n">
        <v>61.54250402531066</v>
      </c>
      <c r="Z16" s="28" t="n">
        <v>212.6729629683796</v>
      </c>
      <c r="AA16" s="28" t="n">
        <v>251.7626916135904</v>
      </c>
      <c r="AB16" s="28" t="n">
        <v>190.4315434471747</v>
      </c>
      <c r="AC16" s="28" t="n">
        <v>174.6285286415416</v>
      </c>
      <c r="AD16" s="28" t="n">
        <v>31.20278271438972</v>
      </c>
      <c r="AE16" s="28" t="n">
        <v>17.86651789209429</v>
      </c>
      <c r="AF16" s="28" t="n">
        <v>3.199314972589175</v>
      </c>
      <c r="AG16" s="28" t="n">
        <v>66.79374670728157</v>
      </c>
      <c r="AH16" s="28" t="n">
        <v>118.9884869747201</v>
      </c>
      <c r="AI16" s="28" t="n">
        <v>4.956235325655673</v>
      </c>
      <c r="AJ16" s="28" t="n">
        <v>1.664762243191306</v>
      </c>
      <c r="AK16" s="28" t="n">
        <v>3795.842104296176</v>
      </c>
      <c r="AL16" s="28" t="n">
        <v>502.7656903039482</v>
      </c>
      <c r="AM16" s="28" t="n">
        <v>97.89727901656561</v>
      </c>
      <c r="AN16" s="28" t="n">
        <v>21.19996565869291</v>
      </c>
      <c r="AO16" s="28" t="n">
        <v>61.66700348220232</v>
      </c>
      <c r="AP16" s="28" t="n">
        <v>22.7148450300741</v>
      </c>
      <c r="AQ16" s="28" t="n">
        <v>16.24386548150891</v>
      </c>
      <c r="AR16" s="28" t="n">
        <v>1.82068790089583</v>
      </c>
      <c r="AS16" s="28" t="n">
        <v>118.1122650244716</v>
      </c>
      <c r="AT16" s="28" t="n">
        <v>125.6850034789686</v>
      </c>
      <c r="AU16" s="28" t="n">
        <v>10.89625042565149</v>
      </c>
      <c r="AV16" s="28" t="n">
        <v>6.42366836567454</v>
      </c>
      <c r="AW16" s="28" t="n">
        <v>47.46927349283518</v>
      </c>
      <c r="AX16" s="28" t="n">
        <v>0</v>
      </c>
      <c r="AY16" s="28" t="n">
        <v>12.63011252741028</v>
      </c>
      <c r="AZ16" s="28" t="n">
        <v>24.32119821529342</v>
      </c>
      <c r="BA16" s="28" t="n">
        <v>108.7323901797923</v>
      </c>
      <c r="BB16" s="28">
        <f>SUM(C16:BA16)</f>
        <v/>
      </c>
      <c r="BC16" s="28" t="n">
        <v>0</v>
      </c>
      <c r="BD16" s="28" t="n">
        <v>0</v>
      </c>
      <c r="BE16" s="28" t="n">
        <v>26267.74521631353</v>
      </c>
      <c r="BF16" s="28" t="n">
        <v>0</v>
      </c>
      <c r="BG16" s="28">
        <f>SUM(BC16:BF16)</f>
        <v/>
      </c>
      <c r="BH16" s="28">
        <f>BB16+BG16</f>
        <v/>
      </c>
    </row>
    <row r="17">
      <c r="A17" s="30" t="n">
        <v>4</v>
      </c>
      <c r="B17" s="31" t="inlineStr">
        <is>
          <t>Minério de ferro</t>
        </is>
      </c>
      <c r="C17" s="30" t="n">
        <v>0.3252980250882477</v>
      </c>
      <c r="D17" s="30" t="n">
        <v>0.1725132671582275</v>
      </c>
      <c r="E17" s="30" t="n">
        <v>5.65440582806347</v>
      </c>
      <c r="F17" s="30" t="n">
        <v>399.6183215762562</v>
      </c>
      <c r="G17" s="30" t="n">
        <v>20.88050364792131</v>
      </c>
      <c r="H17" s="30" t="n">
        <v>8.172014886942055</v>
      </c>
      <c r="I17" s="30" t="n">
        <v>0.5681603135815381</v>
      </c>
      <c r="J17" s="30" t="n">
        <v>0.3422184629961593</v>
      </c>
      <c r="K17" s="30" t="n">
        <v>0.3526983123940358</v>
      </c>
      <c r="L17" s="30" t="n">
        <v>0.4172752972955661</v>
      </c>
      <c r="M17" s="30" t="n">
        <v>0.1096677370213457</v>
      </c>
      <c r="N17" s="30" t="n">
        <v>1.05219172221328</v>
      </c>
      <c r="O17" s="30" t="n">
        <v>0.1467813279608951</v>
      </c>
      <c r="P17" s="30" t="n">
        <v>1.418622599511502</v>
      </c>
      <c r="Q17" s="30" t="n">
        <v>0.2664434236550685</v>
      </c>
      <c r="R17" s="30" t="n">
        <v>1.166441292016924</v>
      </c>
      <c r="S17" s="30" t="n">
        <v>0.2676346783214394</v>
      </c>
      <c r="T17" s="30" t="n">
        <v>2.270469722395343</v>
      </c>
      <c r="U17" s="30" t="n">
        <v>0.7084284026654687</v>
      </c>
      <c r="V17" s="30" t="n">
        <v>0.9738961059134382</v>
      </c>
      <c r="W17" s="30" t="n">
        <v>0.5462596202858599</v>
      </c>
      <c r="X17" s="30" t="n">
        <v>0.3506608340990602</v>
      </c>
      <c r="Y17" s="30" t="n">
        <v>1.011018746086876</v>
      </c>
      <c r="Z17" s="30" t="n">
        <v>73.12334785931954</v>
      </c>
      <c r="AA17" s="30" t="n">
        <v>6526.897588558358</v>
      </c>
      <c r="AB17" s="30" t="n">
        <v>64.15746059168096</v>
      </c>
      <c r="AC17" s="30" t="n">
        <v>0.7610851993489488</v>
      </c>
      <c r="AD17" s="30" t="n">
        <v>1.656375190375277</v>
      </c>
      <c r="AE17" s="30" t="n">
        <v>1.423695262503755</v>
      </c>
      <c r="AF17" s="30" t="n">
        <v>1.830444208340922</v>
      </c>
      <c r="AG17" s="30" t="n">
        <v>3.540526829382081</v>
      </c>
      <c r="AH17" s="30" t="n">
        <v>0.9539503022954623</v>
      </c>
      <c r="AI17" s="30" t="n">
        <v>0.449526516659567</v>
      </c>
      <c r="AJ17" s="30" t="n">
        <v>0.3586019453788001</v>
      </c>
      <c r="AK17" s="30" t="n">
        <v>3.602699443679121</v>
      </c>
      <c r="AL17" s="30" t="n">
        <v>7.264708758674306</v>
      </c>
      <c r="AM17" s="30" t="n">
        <v>20.11458000382479</v>
      </c>
      <c r="AN17" s="30" t="n">
        <v>7.567530448672121</v>
      </c>
      <c r="AO17" s="30" t="n">
        <v>12.65635071996918</v>
      </c>
      <c r="AP17" s="30" t="n">
        <v>13.96402609355837</v>
      </c>
      <c r="AQ17" s="30" t="n">
        <v>1.056896265189545</v>
      </c>
      <c r="AR17" s="30" t="n">
        <v>0.09633952248457019</v>
      </c>
      <c r="AS17" s="30" t="n">
        <v>1.56583510174844</v>
      </c>
      <c r="AT17" s="30" t="n">
        <v>20.16826403310044</v>
      </c>
      <c r="AU17" s="30" t="n">
        <v>2.567821822790099</v>
      </c>
      <c r="AV17" s="30" t="n">
        <v>0.9516917922192256</v>
      </c>
      <c r="AW17" s="30" t="n">
        <v>4.871834691785592</v>
      </c>
      <c r="AX17" s="30" t="n">
        <v>0</v>
      </c>
      <c r="AY17" s="30" t="n">
        <v>2.692295790786636</v>
      </c>
      <c r="AZ17" s="30" t="n">
        <v>2.835119470756823</v>
      </c>
      <c r="BA17" s="30" t="n">
        <v>9.902809450611446</v>
      </c>
      <c r="BB17" s="30">
        <f>SUM(C17:BA17)</f>
        <v/>
      </c>
      <c r="BC17" s="30" t="n">
        <v>0</v>
      </c>
      <c r="BD17" s="30" t="n">
        <v>0</v>
      </c>
      <c r="BE17" s="30" t="n">
        <v>22041.6007410044</v>
      </c>
      <c r="BF17" s="30" t="n">
        <v>0</v>
      </c>
      <c r="BG17" s="30">
        <f>SUM(BC17:BF17)</f>
        <v/>
      </c>
      <c r="BH17" s="30">
        <f>BB17+BG17</f>
        <v/>
      </c>
    </row>
    <row r="18">
      <c r="A18" s="28" t="n">
        <v>5</v>
      </c>
      <c r="B18" s="29" t="inlineStr">
        <is>
          <t>Outros da indústria extrativa</t>
        </is>
      </c>
      <c r="C18" s="28" t="n">
        <v>277.9559777797544</v>
      </c>
      <c r="D18" s="28" t="n">
        <v>202.8845908234334</v>
      </c>
      <c r="E18" s="28" t="n">
        <v>263.9378672831221</v>
      </c>
      <c r="F18" s="28" t="n">
        <v>8.014295923119484</v>
      </c>
      <c r="G18" s="28" t="n">
        <v>930.1175990610784</v>
      </c>
      <c r="H18" s="28" t="n">
        <v>208.8101872698844</v>
      </c>
      <c r="I18" s="28" t="n">
        <v>0.07806033500731195</v>
      </c>
      <c r="J18" s="28" t="n">
        <v>4.515452784519973</v>
      </c>
      <c r="K18" s="28" t="n">
        <v>0.3851258782878484</v>
      </c>
      <c r="L18" s="28" t="n">
        <v>2.585498870905381</v>
      </c>
      <c r="M18" s="28" t="n">
        <v>0.3528559102111897</v>
      </c>
      <c r="N18" s="28" t="n">
        <v>25.34046118229933</v>
      </c>
      <c r="O18" s="28" t="n">
        <v>1.613236636996171</v>
      </c>
      <c r="P18" s="28" t="n">
        <v>10.67404076260121</v>
      </c>
      <c r="Q18" s="28" t="n">
        <v>99.08486006884509</v>
      </c>
      <c r="R18" s="28" t="n">
        <v>1802.127655938525</v>
      </c>
      <c r="S18" s="28" t="n">
        <v>10.02994778146468</v>
      </c>
      <c r="T18" s="28" t="n">
        <v>2.409070399228498</v>
      </c>
      <c r="U18" s="28" t="n">
        <v>1.624421245819418</v>
      </c>
      <c r="V18" s="28" t="n">
        <v>12.61537819436641</v>
      </c>
      <c r="W18" s="28" t="n">
        <v>72.94128043193486</v>
      </c>
      <c r="X18" s="28" t="n">
        <v>14.59006050473009</v>
      </c>
      <c r="Y18" s="28" t="n">
        <v>14.17995418602551</v>
      </c>
      <c r="Z18" s="28" t="n">
        <v>2649.403173344792</v>
      </c>
      <c r="AA18" s="28" t="n">
        <v>2345.373040480283</v>
      </c>
      <c r="AB18" s="28" t="n">
        <v>6004.805184226277</v>
      </c>
      <c r="AC18" s="28" t="n">
        <v>10.73391393807624</v>
      </c>
      <c r="AD18" s="28" t="n">
        <v>17.39664609176659</v>
      </c>
      <c r="AE18" s="28" t="n">
        <v>52.73509081949966</v>
      </c>
      <c r="AF18" s="28" t="n">
        <v>1.717289269033698</v>
      </c>
      <c r="AG18" s="28" t="n">
        <v>16.26379705297737</v>
      </c>
      <c r="AH18" s="28" t="n">
        <v>42.3482337141328</v>
      </c>
      <c r="AI18" s="28" t="n">
        <v>6.283610710216525</v>
      </c>
      <c r="AJ18" s="28" t="n">
        <v>25.62873836947275</v>
      </c>
      <c r="AK18" s="28" t="n">
        <v>300.9677774829257</v>
      </c>
      <c r="AL18" s="28" t="n">
        <v>3595.965463082739</v>
      </c>
      <c r="AM18" s="28" t="n">
        <v>45.33002295178171</v>
      </c>
      <c r="AN18" s="28" t="n">
        <v>6.320075964973538</v>
      </c>
      <c r="AO18" s="28" t="n">
        <v>3.403205947240985</v>
      </c>
      <c r="AP18" s="28" t="n">
        <v>2.458579520147083</v>
      </c>
      <c r="AQ18" s="28" t="n">
        <v>121.401111405919</v>
      </c>
      <c r="AR18" s="28" t="n">
        <v>0.137055385180882</v>
      </c>
      <c r="AS18" s="28" t="n">
        <v>21.56871929975936</v>
      </c>
      <c r="AT18" s="28" t="n">
        <v>11.13970846363144</v>
      </c>
      <c r="AU18" s="28" t="n">
        <v>1.691450964494824</v>
      </c>
      <c r="AV18" s="28" t="n">
        <v>12.55500252962473</v>
      </c>
      <c r="AW18" s="28" t="n">
        <v>7.508699793871066</v>
      </c>
      <c r="AX18" s="28" t="n">
        <v>0</v>
      </c>
      <c r="AY18" s="28" t="n">
        <v>17.69988093403935</v>
      </c>
      <c r="AZ18" s="28" t="n">
        <v>9.688354394265238</v>
      </c>
      <c r="BA18" s="28" t="n">
        <v>36.17571758702115</v>
      </c>
      <c r="BB18" s="28">
        <f>SUM(C18:BA18)</f>
        <v/>
      </c>
      <c r="BC18" s="28" t="n">
        <v>0</v>
      </c>
      <c r="BD18" s="28" t="n">
        <v>0</v>
      </c>
      <c r="BE18" s="28" t="n">
        <v>1915.62412422914</v>
      </c>
      <c r="BF18" s="28" t="n">
        <v>0</v>
      </c>
      <c r="BG18" s="28">
        <f>SUM(BC18:BF18)</f>
        <v/>
      </c>
      <c r="BH18" s="28">
        <f>BB18+BG18</f>
        <v/>
      </c>
    </row>
    <row r="19">
      <c r="A19" s="30" t="n">
        <v>6</v>
      </c>
      <c r="B19" s="31" t="inlineStr">
        <is>
          <t>Alimentos e Bebidas</t>
        </is>
      </c>
      <c r="C19" s="30" t="n">
        <v>1028.283200597473</v>
      </c>
      <c r="D19" s="30" t="n">
        <v>7221.808954065314</v>
      </c>
      <c r="E19" s="30" t="n">
        <v>148.4362626425957</v>
      </c>
      <c r="F19" s="30" t="n">
        <v>49.81528584955213</v>
      </c>
      <c r="G19" s="30" t="n">
        <v>114.913378126648</v>
      </c>
      <c r="H19" s="30" t="n">
        <v>46293.13747831039</v>
      </c>
      <c r="I19" s="30" t="n">
        <v>13.60481990850346</v>
      </c>
      <c r="J19" s="30" t="n">
        <v>62.83341978182926</v>
      </c>
      <c r="K19" s="30" t="n">
        <v>34.97116514123988</v>
      </c>
      <c r="L19" s="30" t="n">
        <v>1575.472216590407</v>
      </c>
      <c r="M19" s="30" t="n">
        <v>20.97997553816476</v>
      </c>
      <c r="N19" s="30" t="n">
        <v>476.4035315861026</v>
      </c>
      <c r="O19" s="30" t="n">
        <v>17.843939258239</v>
      </c>
      <c r="P19" s="30" t="n">
        <v>2897.927657209601</v>
      </c>
      <c r="Q19" s="30" t="n">
        <v>2176.714662274295</v>
      </c>
      <c r="R19" s="30" t="n">
        <v>330.1871266907029</v>
      </c>
      <c r="S19" s="30" t="n">
        <v>156.7286935875651</v>
      </c>
      <c r="T19" s="30" t="n">
        <v>240.2102216135754</v>
      </c>
      <c r="U19" s="30" t="n">
        <v>104.2547545186848</v>
      </c>
      <c r="V19" s="30" t="n">
        <v>1295.732937100189</v>
      </c>
      <c r="W19" s="30" t="n">
        <v>189.1261866306809</v>
      </c>
      <c r="X19" s="30" t="n">
        <v>720.183877563013</v>
      </c>
      <c r="Y19" s="30" t="n">
        <v>135.8362905781427</v>
      </c>
      <c r="Z19" s="30" t="n">
        <v>100.2746701972626</v>
      </c>
      <c r="AA19" s="30" t="n">
        <v>130.0436099719356</v>
      </c>
      <c r="AB19" s="30" t="n">
        <v>46.2623264815795</v>
      </c>
      <c r="AC19" s="30" t="n">
        <v>106.9255997480313</v>
      </c>
      <c r="AD19" s="30" t="n">
        <v>278.5644159684475</v>
      </c>
      <c r="AE19" s="30" t="n">
        <v>65.40107341720619</v>
      </c>
      <c r="AF19" s="30" t="n">
        <v>59.45884323354914</v>
      </c>
      <c r="AG19" s="30" t="n">
        <v>53.10259770952686</v>
      </c>
      <c r="AH19" s="30" t="n">
        <v>22.11268081973794</v>
      </c>
      <c r="AI19" s="30" t="n">
        <v>22.4099688839186</v>
      </c>
      <c r="AJ19" s="30" t="n">
        <v>39.58685421998562</v>
      </c>
      <c r="AK19" s="30" t="n">
        <v>211.6391346919675</v>
      </c>
      <c r="AL19" s="30" t="n">
        <v>252.1276535802093</v>
      </c>
      <c r="AM19" s="30" t="n">
        <v>2302.595408153968</v>
      </c>
      <c r="AN19" s="30" t="n">
        <v>443.0148278552547</v>
      </c>
      <c r="AO19" s="30" t="n">
        <v>292.2636236203959</v>
      </c>
      <c r="AP19" s="30" t="n">
        <v>228.3290458599802</v>
      </c>
      <c r="AQ19" s="30" t="n">
        <v>20.06676374709656</v>
      </c>
      <c r="AR19" s="30" t="n">
        <v>8.506038443772081</v>
      </c>
      <c r="AS19" s="30" t="n">
        <v>26025.23140775899</v>
      </c>
      <c r="AT19" s="30" t="n">
        <v>219.0687532725381</v>
      </c>
      <c r="AU19" s="30" t="n">
        <v>222.7797563843344</v>
      </c>
      <c r="AV19" s="30" t="n">
        <v>844.7637666979922</v>
      </c>
      <c r="AW19" s="30" t="n">
        <v>720.8448288449468</v>
      </c>
      <c r="AX19" s="30" t="n">
        <v>0</v>
      </c>
      <c r="AY19" s="30" t="n">
        <v>1827.498279036818</v>
      </c>
      <c r="AZ19" s="30" t="n">
        <v>1127.529916429289</v>
      </c>
      <c r="BA19" s="30" t="n">
        <v>2443.852906881216</v>
      </c>
      <c r="BB19" s="30">
        <f>SUM(C19:BA19)</f>
        <v/>
      </c>
      <c r="BC19" s="30" t="n">
        <v>0</v>
      </c>
      <c r="BD19" s="30" t="n">
        <v>0</v>
      </c>
      <c r="BE19" s="30" t="n">
        <v>257597.0135246307</v>
      </c>
      <c r="BF19" s="30" t="n">
        <v>0</v>
      </c>
      <c r="BG19" s="30">
        <f>SUM(BC19:BF19)</f>
        <v/>
      </c>
      <c r="BH19" s="30">
        <f>BB19+BG19</f>
        <v/>
      </c>
    </row>
    <row r="20">
      <c r="A20" s="28" t="n">
        <v>7</v>
      </c>
      <c r="B20" s="29" t="inlineStr">
        <is>
          <t>Produtos do fumo</t>
        </is>
      </c>
      <c r="C20" s="28" t="n">
        <v>0.2619650512815695</v>
      </c>
      <c r="D20" s="28" t="n">
        <v>0.09260111795402462</v>
      </c>
      <c r="E20" s="28" t="n">
        <v>1.150192615505128</v>
      </c>
      <c r="F20" s="28" t="n">
        <v>0.5630475292096363</v>
      </c>
      <c r="G20" s="28" t="n">
        <v>0.275880367675178</v>
      </c>
      <c r="H20" s="28" t="n">
        <v>8.337915960114108</v>
      </c>
      <c r="I20" s="28" t="n">
        <v>339.6356078859698</v>
      </c>
      <c r="J20" s="28" t="n">
        <v>0.7392544684036834</v>
      </c>
      <c r="K20" s="28" t="n">
        <v>0.6305955241584829</v>
      </c>
      <c r="L20" s="28" t="n">
        <v>0.7793275279798143</v>
      </c>
      <c r="M20" s="28" t="n">
        <v>0.2426354238379173</v>
      </c>
      <c r="N20" s="28" t="n">
        <v>2.79730748597402</v>
      </c>
      <c r="O20" s="28" t="n">
        <v>0.3730985028024179</v>
      </c>
      <c r="P20" s="28" t="n">
        <v>0.5859244182943424</v>
      </c>
      <c r="Q20" s="28" t="n">
        <v>0.2879668202633106</v>
      </c>
      <c r="R20" s="28" t="n">
        <v>0.4916998340876123</v>
      </c>
      <c r="S20" s="28" t="n">
        <v>0.3445336596716213</v>
      </c>
      <c r="T20" s="28" t="n">
        <v>1.415492774520544</v>
      </c>
      <c r="U20" s="28" t="n">
        <v>0.3917333035253689</v>
      </c>
      <c r="V20" s="28" t="n">
        <v>0.5305709800464777</v>
      </c>
      <c r="W20" s="28" t="n">
        <v>0.2571353331053349</v>
      </c>
      <c r="X20" s="28" t="n">
        <v>0.4285989860876412</v>
      </c>
      <c r="Y20" s="28" t="n">
        <v>1.522968130503165</v>
      </c>
      <c r="Z20" s="28" t="n">
        <v>1.38245727985901</v>
      </c>
      <c r="AA20" s="28" t="n">
        <v>1.131370563284872</v>
      </c>
      <c r="AB20" s="28" t="n">
        <v>0.4160533353522536</v>
      </c>
      <c r="AC20" s="28" t="n">
        <v>1.028087989510585</v>
      </c>
      <c r="AD20" s="28" t="n">
        <v>2.898156180523012</v>
      </c>
      <c r="AE20" s="28" t="n">
        <v>1.047196752981097</v>
      </c>
      <c r="AF20" s="28" t="n">
        <v>1.446372278674491</v>
      </c>
      <c r="AG20" s="28" t="n">
        <v>1.08386654039847</v>
      </c>
      <c r="AH20" s="28" t="n">
        <v>0.3350240256493873</v>
      </c>
      <c r="AI20" s="28" t="n">
        <v>0.2129303139378064</v>
      </c>
      <c r="AJ20" s="28" t="n">
        <v>0.4180778884387922</v>
      </c>
      <c r="AK20" s="28" t="n">
        <v>1.282130232374553</v>
      </c>
      <c r="AL20" s="28" t="n">
        <v>1.533844952767319</v>
      </c>
      <c r="AM20" s="28" t="n">
        <v>9.793880125229022</v>
      </c>
      <c r="AN20" s="28" t="n">
        <v>5.569168810881219</v>
      </c>
      <c r="AO20" s="28" t="n">
        <v>6.691974104664591</v>
      </c>
      <c r="AP20" s="28" t="n">
        <v>3.255062423635435</v>
      </c>
      <c r="AQ20" s="28" t="n">
        <v>0.241175948927138</v>
      </c>
      <c r="AR20" s="28" t="n">
        <v>0.02694637212235829</v>
      </c>
      <c r="AS20" s="28" t="n">
        <v>0.5260502034599744</v>
      </c>
      <c r="AT20" s="28" t="n">
        <v>4.604173183581071</v>
      </c>
      <c r="AU20" s="28" t="n">
        <v>0.574333199739098</v>
      </c>
      <c r="AV20" s="28" t="n">
        <v>0.7070835446296292</v>
      </c>
      <c r="AW20" s="28" t="n">
        <v>1.117225663672928</v>
      </c>
      <c r="AX20" s="28" t="n">
        <v>0</v>
      </c>
      <c r="AY20" s="28" t="n">
        <v>0.8346792620564065</v>
      </c>
      <c r="AZ20" s="28" t="n">
        <v>1.082023821039353</v>
      </c>
      <c r="BA20" s="28" t="n">
        <v>3.132984009538573</v>
      </c>
      <c r="BB20" s="28">
        <f>SUM(C20:BA20)</f>
        <v/>
      </c>
      <c r="BC20" s="28" t="n">
        <v>0</v>
      </c>
      <c r="BD20" s="28" t="n">
        <v>0</v>
      </c>
      <c r="BE20" s="28" t="n">
        <v>10812.65996365366</v>
      </c>
      <c r="BF20" s="28" t="n">
        <v>0</v>
      </c>
      <c r="BG20" s="28">
        <f>SUM(BC20:BF20)</f>
        <v/>
      </c>
      <c r="BH20" s="28">
        <f>BB20+BG20</f>
        <v/>
      </c>
    </row>
    <row r="21">
      <c r="A21" s="30" t="n">
        <v>8</v>
      </c>
      <c r="B21" s="31" t="inlineStr">
        <is>
          <t>Têxteis</t>
        </is>
      </c>
      <c r="C21" s="30" t="n">
        <v>319.3645569820602</v>
      </c>
      <c r="D21" s="30" t="n">
        <v>8.475906682045366</v>
      </c>
      <c r="E21" s="30" t="n">
        <v>56.53702493296011</v>
      </c>
      <c r="F21" s="30" t="n">
        <v>2.501886324566122</v>
      </c>
      <c r="G21" s="30" t="n">
        <v>114.6819760010687</v>
      </c>
      <c r="H21" s="30" t="n">
        <v>195.1036294166231</v>
      </c>
      <c r="I21" s="30" t="n">
        <v>1.050860068331547</v>
      </c>
      <c r="J21" s="30" t="n">
        <v>6683.126071510084</v>
      </c>
      <c r="K21" s="30" t="n">
        <v>8711.22478189938</v>
      </c>
      <c r="L21" s="30" t="n">
        <v>1534.567962429934</v>
      </c>
      <c r="M21" s="30" t="n">
        <v>5.169552128393405</v>
      </c>
      <c r="N21" s="30" t="n">
        <v>74.57480878419236</v>
      </c>
      <c r="O21" s="30" t="n">
        <v>4.480990803660974</v>
      </c>
      <c r="P21" s="30" t="n">
        <v>1.691633991112185</v>
      </c>
      <c r="Q21" s="30" t="n">
        <v>1.124461949006874</v>
      </c>
      <c r="R21" s="30" t="n">
        <v>5.657271430126691</v>
      </c>
      <c r="S21" s="30" t="n">
        <v>16.86477157929665</v>
      </c>
      <c r="T21" s="30" t="n">
        <v>63.88734643737686</v>
      </c>
      <c r="U21" s="30" t="n">
        <v>3.624815377236509</v>
      </c>
      <c r="V21" s="30" t="n">
        <v>12.37035827559734</v>
      </c>
      <c r="W21" s="30" t="n">
        <v>8.995087949499133</v>
      </c>
      <c r="X21" s="30" t="n">
        <v>22.08264062354376</v>
      </c>
      <c r="Y21" s="30" t="n">
        <v>397.8600354710603</v>
      </c>
      <c r="Z21" s="30" t="n">
        <v>26.53067723325365</v>
      </c>
      <c r="AA21" s="30" t="n">
        <v>5.195753710454212</v>
      </c>
      <c r="AB21" s="30" t="n">
        <v>2.762731137472216</v>
      </c>
      <c r="AC21" s="30" t="n">
        <v>29.92396245297759</v>
      </c>
      <c r="AD21" s="30" t="n">
        <v>21.71337766827003</v>
      </c>
      <c r="AE21" s="30" t="n">
        <v>35.93929517374465</v>
      </c>
      <c r="AF21" s="30" t="n">
        <v>16.98344646295305</v>
      </c>
      <c r="AG21" s="30" t="n">
        <v>100.6000161369728</v>
      </c>
      <c r="AH21" s="30" t="n">
        <v>818.50099253755</v>
      </c>
      <c r="AI21" s="30" t="n">
        <v>55.65965212063948</v>
      </c>
      <c r="AJ21" s="30" t="n">
        <v>706.4567479266068</v>
      </c>
      <c r="AK21" s="30" t="n">
        <v>20.19344497365413</v>
      </c>
      <c r="AL21" s="30" t="n">
        <v>364.1871742431945</v>
      </c>
      <c r="AM21" s="30" t="n">
        <v>161.6204645230549</v>
      </c>
      <c r="AN21" s="30" t="n">
        <v>74.07118241717438</v>
      </c>
      <c r="AO21" s="30" t="n">
        <v>29.8138550841507</v>
      </c>
      <c r="AP21" s="30" t="n">
        <v>20.52573166250121</v>
      </c>
      <c r="AQ21" s="30" t="n">
        <v>4.99092571732201</v>
      </c>
      <c r="AR21" s="30" t="n">
        <v>15.09335612673286</v>
      </c>
      <c r="AS21" s="30" t="n">
        <v>241.6244659722852</v>
      </c>
      <c r="AT21" s="30" t="n">
        <v>42.40267036972267</v>
      </c>
      <c r="AU21" s="30" t="n">
        <v>7.257304451836248</v>
      </c>
      <c r="AV21" s="30" t="n">
        <v>17.80906317596845</v>
      </c>
      <c r="AW21" s="30" t="n">
        <v>338.6129854695981</v>
      </c>
      <c r="AX21" s="30" t="n">
        <v>0</v>
      </c>
      <c r="AY21" s="30" t="n">
        <v>25.93237270467063</v>
      </c>
      <c r="AZ21" s="30" t="n">
        <v>18.73446356667577</v>
      </c>
      <c r="BA21" s="30" t="n">
        <v>39.30929024969846</v>
      </c>
      <c r="BB21" s="30">
        <f>SUM(C21:BA21)</f>
        <v/>
      </c>
      <c r="BC21" s="30" t="n">
        <v>0</v>
      </c>
      <c r="BD21" s="30" t="n">
        <v>0</v>
      </c>
      <c r="BE21" s="30" t="n">
        <v>15232.13686618025</v>
      </c>
      <c r="BF21" s="30" t="n">
        <v>0</v>
      </c>
      <c r="BG21" s="30">
        <f>SUM(BC21:BF21)</f>
        <v/>
      </c>
      <c r="BH21" s="30">
        <f>BB21+BG21</f>
        <v/>
      </c>
    </row>
    <row r="22">
      <c r="A22" s="28" t="n">
        <v>9</v>
      </c>
      <c r="B22" s="29" t="inlineStr">
        <is>
          <t>Artigos do vestuário e acessórios</t>
        </is>
      </c>
      <c r="C22" s="28" t="n">
        <v>12.82656340828984</v>
      </c>
      <c r="D22" s="28" t="n">
        <v>0.8011013546678647</v>
      </c>
      <c r="E22" s="28" t="n">
        <v>45.34076022805972</v>
      </c>
      <c r="F22" s="28" t="n">
        <v>2.450131001849498</v>
      </c>
      <c r="G22" s="28" t="n">
        <v>5.243602065793685</v>
      </c>
      <c r="H22" s="28" t="n">
        <v>24.65730051480762</v>
      </c>
      <c r="I22" s="28" t="n">
        <v>0.5355462503313468</v>
      </c>
      <c r="J22" s="28" t="n">
        <v>85.36586519024065</v>
      </c>
      <c r="K22" s="28" t="n">
        <v>1325.495852642585</v>
      </c>
      <c r="L22" s="28" t="n">
        <v>47.67846721921656</v>
      </c>
      <c r="M22" s="28" t="n">
        <v>0.5297522242600885</v>
      </c>
      <c r="N22" s="28" t="n">
        <v>4.90289786722491</v>
      </c>
      <c r="O22" s="28" t="n">
        <v>0.6782287554548078</v>
      </c>
      <c r="P22" s="28" t="n">
        <v>1.031965116519366</v>
      </c>
      <c r="Q22" s="28" t="n">
        <v>0.7628898847698737</v>
      </c>
      <c r="R22" s="28" t="n">
        <v>1.08350897302734</v>
      </c>
      <c r="S22" s="28" t="n">
        <v>0.8720023783332238</v>
      </c>
      <c r="T22" s="28" t="n">
        <v>2.806627968586043</v>
      </c>
      <c r="U22" s="28" t="n">
        <v>2.917492039023091</v>
      </c>
      <c r="V22" s="28" t="n">
        <v>0.5135362964431925</v>
      </c>
      <c r="W22" s="28" t="n">
        <v>1.004940905254405</v>
      </c>
      <c r="X22" s="28" t="n">
        <v>1.19547081129338</v>
      </c>
      <c r="Y22" s="28" t="n">
        <v>7.578673273068062</v>
      </c>
      <c r="Z22" s="28" t="n">
        <v>11.00811321514597</v>
      </c>
      <c r="AA22" s="28" t="n">
        <v>7.471848433879051</v>
      </c>
      <c r="AB22" s="28" t="n">
        <v>1.372995534073397</v>
      </c>
      <c r="AC22" s="28" t="n">
        <v>27.91088657753372</v>
      </c>
      <c r="AD22" s="28" t="n">
        <v>19.6829691090537</v>
      </c>
      <c r="AE22" s="28" t="n">
        <v>3.44555743164527</v>
      </c>
      <c r="AF22" s="28" t="n">
        <v>2.729277616161633</v>
      </c>
      <c r="AG22" s="28" t="n">
        <v>3.643229555638414</v>
      </c>
      <c r="AH22" s="28" t="n">
        <v>16.03657575312896</v>
      </c>
      <c r="AI22" s="28" t="n">
        <v>2.312362916649976</v>
      </c>
      <c r="AJ22" s="28" t="n">
        <v>15.84637383696717</v>
      </c>
      <c r="AK22" s="28" t="n">
        <v>108.8579790249541</v>
      </c>
      <c r="AL22" s="28" t="n">
        <v>37.43658870421975</v>
      </c>
      <c r="AM22" s="28" t="n">
        <v>177.6434733720668</v>
      </c>
      <c r="AN22" s="28" t="n">
        <v>270.9989580096398</v>
      </c>
      <c r="AO22" s="28" t="n">
        <v>105.3324301800936</v>
      </c>
      <c r="AP22" s="28" t="n">
        <v>397.1703862684919</v>
      </c>
      <c r="AQ22" s="28" t="n">
        <v>18.51532363303817</v>
      </c>
      <c r="AR22" s="28" t="n">
        <v>0.4519086052160319</v>
      </c>
      <c r="AS22" s="28" t="n">
        <v>135.52222816688</v>
      </c>
      <c r="AT22" s="28" t="n">
        <v>223.9304246457547</v>
      </c>
      <c r="AU22" s="28" t="n">
        <v>1.700688250073399</v>
      </c>
      <c r="AV22" s="28" t="n">
        <v>19.52722387946955</v>
      </c>
      <c r="AW22" s="28" t="n">
        <v>709.9810678418628</v>
      </c>
      <c r="AX22" s="28" t="n">
        <v>0</v>
      </c>
      <c r="AY22" s="28" t="n">
        <v>223.8100578455907</v>
      </c>
      <c r="AZ22" s="28" t="n">
        <v>20.92309110216064</v>
      </c>
      <c r="BA22" s="28" t="n">
        <v>352.6514654245532</v>
      </c>
      <c r="BB22" s="28">
        <f>SUM(C22:BA22)</f>
        <v/>
      </c>
      <c r="BC22" s="28" t="n">
        <v>0</v>
      </c>
      <c r="BD22" s="28" t="n">
        <v>0</v>
      </c>
      <c r="BE22" s="28" t="n">
        <v>40113.39340270935</v>
      </c>
      <c r="BF22" s="28" t="n">
        <v>0</v>
      </c>
      <c r="BG22" s="28">
        <f>SUM(BC22:BF22)</f>
        <v/>
      </c>
      <c r="BH22" s="28">
        <f>BB22+BG22</f>
        <v/>
      </c>
    </row>
    <row r="23">
      <c r="A23" s="30" t="n">
        <v>10</v>
      </c>
      <c r="B23" s="31" t="inlineStr">
        <is>
          <t>Artefatos de couro e calçados</t>
        </is>
      </c>
      <c r="C23" s="30" t="n">
        <v>3.014157064725119</v>
      </c>
      <c r="D23" s="30" t="n">
        <v>4.883882510646806</v>
      </c>
      <c r="E23" s="30" t="n">
        <v>6.852547520613703</v>
      </c>
      <c r="F23" s="30" t="n">
        <v>2.632406898966036</v>
      </c>
      <c r="G23" s="30" t="n">
        <v>6.896159870549713</v>
      </c>
      <c r="H23" s="30" t="n">
        <v>47.62713982402693</v>
      </c>
      <c r="I23" s="30" t="n">
        <v>0.8495424639854879</v>
      </c>
      <c r="J23" s="30" t="n">
        <v>7.173146171649477</v>
      </c>
      <c r="K23" s="30" t="n">
        <v>10.80357347822104</v>
      </c>
      <c r="L23" s="30" t="n">
        <v>2985.233300240249</v>
      </c>
      <c r="M23" s="30" t="n">
        <v>1.753022492686835</v>
      </c>
      <c r="N23" s="30" t="n">
        <v>56.30478251788077</v>
      </c>
      <c r="O23" s="30" t="n">
        <v>1.866279291393522</v>
      </c>
      <c r="P23" s="30" t="n">
        <v>2.222863481017947</v>
      </c>
      <c r="Q23" s="30" t="n">
        <v>2.364367448145929</v>
      </c>
      <c r="R23" s="30" t="n">
        <v>4.340532585860917</v>
      </c>
      <c r="S23" s="30" t="n">
        <v>3.653545599978546</v>
      </c>
      <c r="T23" s="30" t="n">
        <v>5.442210187112468</v>
      </c>
      <c r="U23" s="30" t="n">
        <v>2.53009370334335</v>
      </c>
      <c r="V23" s="30" t="n">
        <v>5.595894576454409</v>
      </c>
      <c r="W23" s="30" t="n">
        <v>3.97318524028559</v>
      </c>
      <c r="X23" s="30" t="n">
        <v>6.539608756880173</v>
      </c>
      <c r="Y23" s="30" t="n">
        <v>21.08156273928476</v>
      </c>
      <c r="Z23" s="30" t="n">
        <v>7.950039760385545</v>
      </c>
      <c r="AA23" s="30" t="n">
        <v>5.457483077397848</v>
      </c>
      <c r="AB23" s="30" t="n">
        <v>1.573737560653107</v>
      </c>
      <c r="AC23" s="30" t="n">
        <v>18.62329702061779</v>
      </c>
      <c r="AD23" s="30" t="n">
        <v>14.90650531620342</v>
      </c>
      <c r="AE23" s="30" t="n">
        <v>6.573312213379784</v>
      </c>
      <c r="AF23" s="30" t="n">
        <v>19.5644478316799</v>
      </c>
      <c r="AG23" s="30" t="n">
        <v>12.54584820810546</v>
      </c>
      <c r="AH23" s="30" t="n">
        <v>8.245430292769607</v>
      </c>
      <c r="AI23" s="30" t="n">
        <v>2.459616471459472</v>
      </c>
      <c r="AJ23" s="30" t="n">
        <v>6.442656238857525</v>
      </c>
      <c r="AK23" s="30" t="n">
        <v>50.29461755218323</v>
      </c>
      <c r="AL23" s="30" t="n">
        <v>38.326020342048</v>
      </c>
      <c r="AM23" s="30" t="n">
        <v>32.53935608660259</v>
      </c>
      <c r="AN23" s="30" t="n">
        <v>21.01197314698515</v>
      </c>
      <c r="AO23" s="30" t="n">
        <v>32.87243477326087</v>
      </c>
      <c r="AP23" s="30" t="n">
        <v>9.664276427000626</v>
      </c>
      <c r="AQ23" s="30" t="n">
        <v>1.53057807228424</v>
      </c>
      <c r="AR23" s="30" t="n">
        <v>0.1095640344292977</v>
      </c>
      <c r="AS23" s="30" t="n">
        <v>8.234796852309376</v>
      </c>
      <c r="AT23" s="30" t="n">
        <v>37.63414352280882</v>
      </c>
      <c r="AU23" s="30" t="n">
        <v>1.617865511460159</v>
      </c>
      <c r="AV23" s="30" t="n">
        <v>2.113180856557594</v>
      </c>
      <c r="AW23" s="30" t="n">
        <v>9.37894031287879</v>
      </c>
      <c r="AX23" s="30" t="n">
        <v>0</v>
      </c>
      <c r="AY23" s="30" t="n">
        <v>5.209651163590133</v>
      </c>
      <c r="AZ23" s="30" t="n">
        <v>5.314907143259289</v>
      </c>
      <c r="BA23" s="30" t="n">
        <v>23.35054234664553</v>
      </c>
      <c r="BB23" s="30">
        <f>SUM(C23:BA23)</f>
        <v/>
      </c>
      <c r="BC23" s="30" t="n">
        <v>0</v>
      </c>
      <c r="BD23" s="30" t="n">
        <v>0</v>
      </c>
      <c r="BE23" s="30" t="n">
        <v>20642.70857159375</v>
      </c>
      <c r="BF23" s="30" t="n">
        <v>0</v>
      </c>
      <c r="BG23" s="30">
        <f>SUM(BC23:BF23)</f>
        <v/>
      </c>
      <c r="BH23" s="30">
        <f>BB23+BG23</f>
        <v/>
      </c>
    </row>
    <row r="24">
      <c r="A24" s="29" t="inlineStr">
        <is>
          <t>Produtos de madeira</t>
        </is>
      </c>
      <c r="B24" s="29" t="inlineStr">
        <is>
          <t>exclusive móveis</t>
        </is>
      </c>
      <c r="C24" s="28" t="n">
        <v>273.7493348872507</v>
      </c>
      <c r="D24" s="28" t="n">
        <v>183.1620029098837</v>
      </c>
      <c r="E24" s="28" t="n">
        <v>3.057472464317238</v>
      </c>
      <c r="F24" s="28" t="n">
        <v>1.170173251548925</v>
      </c>
      <c r="G24" s="28" t="n">
        <v>4.90502012214243</v>
      </c>
      <c r="H24" s="28" t="n">
        <v>288.0549870431462</v>
      </c>
      <c r="I24" s="28" t="n">
        <v>0.4117219521631714</v>
      </c>
      <c r="J24" s="28" t="n">
        <v>23.1864145120958</v>
      </c>
      <c r="K24" s="28" t="n">
        <v>3.314413725679811</v>
      </c>
      <c r="L24" s="28" t="n">
        <v>1.449511130914112</v>
      </c>
      <c r="M24" s="28" t="n">
        <v>2112.235567959443</v>
      </c>
      <c r="N24" s="28" t="n">
        <v>304.4117509549547</v>
      </c>
      <c r="O24" s="28" t="n">
        <v>1.572261027458306</v>
      </c>
      <c r="P24" s="28" t="n">
        <v>0.8827094964029487</v>
      </c>
      <c r="Q24" s="28" t="n">
        <v>0.6188993811297937</v>
      </c>
      <c r="R24" s="28" t="n">
        <v>12.97993110327354</v>
      </c>
      <c r="S24" s="28" t="n">
        <v>0.8390285105889597</v>
      </c>
      <c r="T24" s="28" t="n">
        <v>1.810618180084246</v>
      </c>
      <c r="U24" s="28" t="n">
        <v>7.406502585772574</v>
      </c>
      <c r="V24" s="28" t="n">
        <v>2.59043929991552</v>
      </c>
      <c r="W24" s="28" t="n">
        <v>2.560874828116062</v>
      </c>
      <c r="X24" s="28" t="n">
        <v>18.47104444720168</v>
      </c>
      <c r="Y24" s="28" t="n">
        <v>11.00655501992359</v>
      </c>
      <c r="Z24" s="28" t="n">
        <v>29.92302798459527</v>
      </c>
      <c r="AA24" s="28" t="n">
        <v>16.15856805456264</v>
      </c>
      <c r="AB24" s="28" t="n">
        <v>3.381533798008234</v>
      </c>
      <c r="AC24" s="28" t="n">
        <v>138.0698507467403</v>
      </c>
      <c r="AD24" s="28" t="n">
        <v>219.8442249059297</v>
      </c>
      <c r="AE24" s="28" t="n">
        <v>9.431002394209766</v>
      </c>
      <c r="AF24" s="28" t="n">
        <v>3.582943858815327</v>
      </c>
      <c r="AG24" s="28" t="n">
        <v>139.2957124598704</v>
      </c>
      <c r="AH24" s="28" t="n">
        <v>53.57285955435501</v>
      </c>
      <c r="AI24" s="28" t="n">
        <v>133.0466912837674</v>
      </c>
      <c r="AJ24" s="28" t="n">
        <v>3938.679458833774</v>
      </c>
      <c r="AK24" s="28" t="n">
        <v>247.4728959799738</v>
      </c>
      <c r="AL24" s="28" t="n">
        <v>3768.83982743464</v>
      </c>
      <c r="AM24" s="28" t="n">
        <v>1180.893485839949</v>
      </c>
      <c r="AN24" s="28" t="n">
        <v>54.70836325050811</v>
      </c>
      <c r="AO24" s="28" t="n">
        <v>145.7491772304407</v>
      </c>
      <c r="AP24" s="28" t="n">
        <v>16.03909627087151</v>
      </c>
      <c r="AQ24" s="28" t="n">
        <v>249.7665264273126</v>
      </c>
      <c r="AR24" s="28" t="n">
        <v>1.567910158098188</v>
      </c>
      <c r="AS24" s="28" t="n">
        <v>13.11710627725961</v>
      </c>
      <c r="AT24" s="28" t="n">
        <v>24.5528450501966</v>
      </c>
      <c r="AU24" s="28" t="n">
        <v>8.096278508702486</v>
      </c>
      <c r="AV24" s="28" t="n">
        <v>5.478846406770451</v>
      </c>
      <c r="AW24" s="28" t="n">
        <v>222.2626074534482</v>
      </c>
      <c r="AX24" s="28" t="n">
        <v>0</v>
      </c>
      <c r="AY24" s="28" t="n">
        <v>20.27992783466903</v>
      </c>
      <c r="AZ24" s="28" t="n">
        <v>4.127940103305551</v>
      </c>
      <c r="BA24" s="28" t="n">
        <v>54.77087106138818</v>
      </c>
      <c r="BB24" s="28">
        <f>SUM(C24:BA24)</f>
        <v/>
      </c>
      <c r="BC24" s="28" t="n">
        <v>0</v>
      </c>
      <c r="BD24" s="28" t="n">
        <v>0</v>
      </c>
      <c r="BE24" s="28" t="n">
        <v>3347.797095517955</v>
      </c>
      <c r="BF24" s="28" t="n">
        <v>0</v>
      </c>
      <c r="BG24" s="28">
        <f>SUM(BC24:BF24)</f>
        <v/>
      </c>
      <c r="BH24" s="28">
        <f>BB24+BG24</f>
        <v/>
      </c>
    </row>
    <row r="25">
      <c r="A25" s="30" t="n">
        <v>12</v>
      </c>
      <c r="B25" s="31" t="inlineStr">
        <is>
          <t>Celulose e produtos de papel</t>
        </is>
      </c>
      <c r="C25" s="30" t="n">
        <v>206.3359812234686</v>
      </c>
      <c r="D25" s="30" t="n">
        <v>74.8001440094751</v>
      </c>
      <c r="E25" s="30" t="n">
        <v>34.963740155701</v>
      </c>
      <c r="F25" s="30" t="n">
        <v>41.58790925495326</v>
      </c>
      <c r="G25" s="30" t="n">
        <v>20.17181948497109</v>
      </c>
      <c r="H25" s="30" t="n">
        <v>2910.88786239945</v>
      </c>
      <c r="I25" s="30" t="n">
        <v>574.2362744157467</v>
      </c>
      <c r="J25" s="30" t="n">
        <v>432.8356683895944</v>
      </c>
      <c r="K25" s="30" t="n">
        <v>333.1358508410358</v>
      </c>
      <c r="L25" s="30" t="n">
        <v>354.4649606682283</v>
      </c>
      <c r="M25" s="30" t="n">
        <v>271.9326252547811</v>
      </c>
      <c r="N25" s="30" t="n">
        <v>7092.082565819344</v>
      </c>
      <c r="O25" s="30" t="n">
        <v>847.7632604537566</v>
      </c>
      <c r="P25" s="30" t="n">
        <v>70.01683604909567</v>
      </c>
      <c r="Q25" s="30" t="n">
        <v>23.41276289449724</v>
      </c>
      <c r="R25" s="30" t="n">
        <v>49.79486417368589</v>
      </c>
      <c r="S25" s="30" t="n">
        <v>13.92251761898083</v>
      </c>
      <c r="T25" s="30" t="n">
        <v>443.1567891790668</v>
      </c>
      <c r="U25" s="30" t="n">
        <v>60.33393668410081</v>
      </c>
      <c r="V25" s="30" t="n">
        <v>802.5862490608821</v>
      </c>
      <c r="W25" s="30" t="n">
        <v>10.74800695116094</v>
      </c>
      <c r="X25" s="30" t="n">
        <v>31.69666728098827</v>
      </c>
      <c r="Y25" s="30" t="n">
        <v>937.0547723991669</v>
      </c>
      <c r="Z25" s="30" t="n">
        <v>889.6538078452311</v>
      </c>
      <c r="AA25" s="30" t="n">
        <v>33.74278804205487</v>
      </c>
      <c r="AB25" s="30" t="n">
        <v>12.47341005345201</v>
      </c>
      <c r="AC25" s="30" t="n">
        <v>512.9494207022568</v>
      </c>
      <c r="AD25" s="30" t="n">
        <v>142.3896853414444</v>
      </c>
      <c r="AE25" s="30" t="n">
        <v>250.1004701330274</v>
      </c>
      <c r="AF25" s="30" t="n">
        <v>851.802900371038</v>
      </c>
      <c r="AG25" s="30" t="n">
        <v>174.0182668609513</v>
      </c>
      <c r="AH25" s="30" t="n">
        <v>386.2011105834112</v>
      </c>
      <c r="AI25" s="30" t="n">
        <v>41.11964925419092</v>
      </c>
      <c r="AJ25" s="30" t="n">
        <v>336.0097279911402</v>
      </c>
      <c r="AK25" s="30" t="n">
        <v>86.85368573524647</v>
      </c>
      <c r="AL25" s="30" t="n">
        <v>313.9099846249737</v>
      </c>
      <c r="AM25" s="30" t="n">
        <v>2712.81480279619</v>
      </c>
      <c r="AN25" s="30" t="n">
        <v>290.8109155399248</v>
      </c>
      <c r="AO25" s="30" t="n">
        <v>1408.023494960693</v>
      </c>
      <c r="AP25" s="30" t="n">
        <v>916.9767184649188</v>
      </c>
      <c r="AQ25" s="30" t="n">
        <v>135.0942141166564</v>
      </c>
      <c r="AR25" s="30" t="n">
        <v>21.75085268838335</v>
      </c>
      <c r="AS25" s="30" t="n">
        <v>613.6585114460291</v>
      </c>
      <c r="AT25" s="30" t="n">
        <v>2312.28982235499</v>
      </c>
      <c r="AU25" s="30" t="n">
        <v>217.6974065112441</v>
      </c>
      <c r="AV25" s="30" t="n">
        <v>425.0409083712029</v>
      </c>
      <c r="AW25" s="30" t="n">
        <v>444.2222081895287</v>
      </c>
      <c r="AX25" s="30" t="n">
        <v>0</v>
      </c>
      <c r="AY25" s="30" t="n">
        <v>367.9494286865927</v>
      </c>
      <c r="AZ25" s="30" t="n">
        <v>78.07815480649884</v>
      </c>
      <c r="BA25" s="30" t="n">
        <v>527.1279250480077</v>
      </c>
      <c r="BB25" s="30">
        <f>SUM(C25:BA25)</f>
        <v/>
      </c>
      <c r="BC25" s="30" t="n">
        <v>0</v>
      </c>
      <c r="BD25" s="30" t="n">
        <v>0</v>
      </c>
      <c r="BE25" s="30" t="n">
        <v>15104.33194081288</v>
      </c>
      <c r="BF25" s="30" t="n">
        <v>0</v>
      </c>
      <c r="BG25" s="30">
        <f>SUM(BC25:BF25)</f>
        <v/>
      </c>
      <c r="BH25" s="30">
        <f>BB25+BG25</f>
        <v/>
      </c>
    </row>
    <row r="26">
      <c r="A26" s="28" t="n">
        <v>13</v>
      </c>
      <c r="B26" s="29" t="inlineStr">
        <is>
          <t>Jornais revistas discos</t>
        </is>
      </c>
      <c r="C26" s="28" t="n">
        <v>5.790732669338352</v>
      </c>
      <c r="D26" s="28" t="n">
        <v>1.664127242602489</v>
      </c>
      <c r="E26" s="28" t="n">
        <v>5.449123206131292</v>
      </c>
      <c r="F26" s="28" t="n">
        <v>7.119763698253448</v>
      </c>
      <c r="G26" s="28" t="n">
        <v>5.455321590758365</v>
      </c>
      <c r="H26" s="28" t="n">
        <v>285.012128656206</v>
      </c>
      <c r="I26" s="28" t="n">
        <v>5.431242792752998</v>
      </c>
      <c r="J26" s="28" t="n">
        <v>18.97937315108926</v>
      </c>
      <c r="K26" s="28" t="n">
        <v>22.85101640732113</v>
      </c>
      <c r="L26" s="28" t="n">
        <v>11.05896387487587</v>
      </c>
      <c r="M26" s="28" t="n">
        <v>10.46039209398321</v>
      </c>
      <c r="N26" s="28" t="n">
        <v>129.6151215615086</v>
      </c>
      <c r="O26" s="28" t="n">
        <v>1119.605646957979</v>
      </c>
      <c r="P26" s="28" t="n">
        <v>4.268915051306912</v>
      </c>
      <c r="Q26" s="28" t="n">
        <v>4.796795391388745</v>
      </c>
      <c r="R26" s="28" t="n">
        <v>3.198950034733724</v>
      </c>
      <c r="S26" s="28" t="n">
        <v>2.254092137955535</v>
      </c>
      <c r="T26" s="28" t="n">
        <v>11.76479922469137</v>
      </c>
      <c r="U26" s="28" t="n">
        <v>9.658026844214362</v>
      </c>
      <c r="V26" s="28" t="n">
        <v>10.54584547747675</v>
      </c>
      <c r="W26" s="28" t="n">
        <v>3.331899875927794</v>
      </c>
      <c r="X26" s="28" t="n">
        <v>3.719399513703369</v>
      </c>
      <c r="Y26" s="28" t="n">
        <v>44.23506966188267</v>
      </c>
      <c r="Z26" s="28" t="n">
        <v>19.78009060298449</v>
      </c>
      <c r="AA26" s="28" t="n">
        <v>13.24616725712368</v>
      </c>
      <c r="AB26" s="28" t="n">
        <v>1.750101837464519</v>
      </c>
      <c r="AC26" s="28" t="n">
        <v>18.22735673119874</v>
      </c>
      <c r="AD26" s="28" t="n">
        <v>21.50087408791824</v>
      </c>
      <c r="AE26" s="28" t="n">
        <v>15.71329162403491</v>
      </c>
      <c r="AF26" s="28" t="n">
        <v>109.3332998571492</v>
      </c>
      <c r="AG26" s="28" t="n">
        <v>21.49722610133166</v>
      </c>
      <c r="AH26" s="28" t="n">
        <v>20.95191453114863</v>
      </c>
      <c r="AI26" s="28" t="n">
        <v>4.923800407758136</v>
      </c>
      <c r="AJ26" s="28" t="n">
        <v>32.37934688450947</v>
      </c>
      <c r="AK26" s="28" t="n">
        <v>23.13941667417396</v>
      </c>
      <c r="AL26" s="28" t="n">
        <v>48.24944638998911</v>
      </c>
      <c r="AM26" s="28" t="n">
        <v>3595.398768801712</v>
      </c>
      <c r="AN26" s="28" t="n">
        <v>111.548335683733</v>
      </c>
      <c r="AO26" s="28" t="n">
        <v>3464.075498382042</v>
      </c>
      <c r="AP26" s="28" t="n">
        <v>1339.466872285159</v>
      </c>
      <c r="AQ26" s="28" t="n">
        <v>183.3927826651833</v>
      </c>
      <c r="AR26" s="28" t="n">
        <v>1.424487099705857</v>
      </c>
      <c r="AS26" s="28" t="n">
        <v>52.85679849188119</v>
      </c>
      <c r="AT26" s="28" t="n">
        <v>3611.340266146135</v>
      </c>
      <c r="AU26" s="28" t="n">
        <v>22.39744334361709</v>
      </c>
      <c r="AV26" s="28" t="n">
        <v>22.70643960559519</v>
      </c>
      <c r="AW26" s="28" t="n">
        <v>691.9743387659217</v>
      </c>
      <c r="AX26" s="28" t="n">
        <v>0</v>
      </c>
      <c r="AY26" s="28" t="n">
        <v>162.1262042164523</v>
      </c>
      <c r="AZ26" s="28" t="n">
        <v>49.44313271788918</v>
      </c>
      <c r="BA26" s="28" t="n">
        <v>658.9974817029355</v>
      </c>
      <c r="BB26" s="28">
        <f>SUM(C26:BA26)</f>
        <v/>
      </c>
      <c r="BC26" s="28" t="n">
        <v>0</v>
      </c>
      <c r="BD26" s="28" t="n">
        <v>0</v>
      </c>
      <c r="BE26" s="28" t="n">
        <v>177.3059107023601</v>
      </c>
      <c r="BF26" s="28" t="n">
        <v>0</v>
      </c>
      <c r="BG26" s="28">
        <f>SUM(BC26:BF26)</f>
        <v/>
      </c>
      <c r="BH26" s="28">
        <f>BB26+BG26</f>
        <v/>
      </c>
    </row>
    <row r="27">
      <c r="A27" s="30" t="n">
        <v>14</v>
      </c>
      <c r="B27" s="31" t="inlineStr">
        <is>
          <t>Refino de petróleo e coque</t>
        </is>
      </c>
      <c r="C27" s="30" t="n">
        <v>6054.557783051378</v>
      </c>
      <c r="D27" s="30" t="n">
        <v>2549.496365102555</v>
      </c>
      <c r="E27" s="30" t="n">
        <v>857.2780839743705</v>
      </c>
      <c r="F27" s="30" t="n">
        <v>1185.367417055898</v>
      </c>
      <c r="G27" s="30" t="n">
        <v>1520.665969134414</v>
      </c>
      <c r="H27" s="30" t="n">
        <v>4654.61882246499</v>
      </c>
      <c r="I27" s="30" t="n">
        <v>20.80999967678193</v>
      </c>
      <c r="J27" s="30" t="n">
        <v>209.7665985028581</v>
      </c>
      <c r="K27" s="30" t="n">
        <v>76.7140548448069</v>
      </c>
      <c r="L27" s="30" t="n">
        <v>121.1048710838668</v>
      </c>
      <c r="M27" s="30" t="n">
        <v>96.77210068621945</v>
      </c>
      <c r="N27" s="30" t="n">
        <v>924.9170430046196</v>
      </c>
      <c r="O27" s="30" t="n">
        <v>24.76991684842791</v>
      </c>
      <c r="P27" s="30" t="n">
        <v>69525.38180342648</v>
      </c>
      <c r="Q27" s="30" t="n">
        <v>463.9162768808745</v>
      </c>
      <c r="R27" s="30" t="n">
        <v>5569.79501453045</v>
      </c>
      <c r="S27" s="30" t="n">
        <v>178.6354708515406</v>
      </c>
      <c r="T27" s="30" t="n">
        <v>117.8035729379937</v>
      </c>
      <c r="U27" s="30" t="n">
        <v>122.4301461184559</v>
      </c>
      <c r="V27" s="30" t="n">
        <v>288.7108102294258</v>
      </c>
      <c r="W27" s="30" t="n">
        <v>262.6431343740865</v>
      </c>
      <c r="X27" s="30" t="n">
        <v>270.7316374223743</v>
      </c>
      <c r="Y27" s="30" t="n">
        <v>904.2946668772385</v>
      </c>
      <c r="Z27" s="30" t="n">
        <v>1940.055879133605</v>
      </c>
      <c r="AA27" s="30" t="n">
        <v>1523.045288316375</v>
      </c>
      <c r="AB27" s="30" t="n">
        <v>1208.040672606846</v>
      </c>
      <c r="AC27" s="30" t="n">
        <v>218.2166089950991</v>
      </c>
      <c r="AD27" s="30" t="n">
        <v>431.0264908764232</v>
      </c>
      <c r="AE27" s="30" t="n">
        <v>397.7349494825694</v>
      </c>
      <c r="AF27" s="30" t="n">
        <v>129.8725322531607</v>
      </c>
      <c r="AG27" s="30" t="n">
        <v>682.0075358762722</v>
      </c>
      <c r="AH27" s="30" t="n">
        <v>231.7668026951808</v>
      </c>
      <c r="AI27" s="30" t="n">
        <v>91.47141653537635</v>
      </c>
      <c r="AJ27" s="30" t="n">
        <v>150.0320044571601</v>
      </c>
      <c r="AK27" s="30" t="n">
        <v>3514.735808577652</v>
      </c>
      <c r="AL27" s="30" t="n">
        <v>5541.483728777344</v>
      </c>
      <c r="AM27" s="30" t="n">
        <v>6818.204304481459</v>
      </c>
      <c r="AN27" s="30" t="n">
        <v>44451.76750874273</v>
      </c>
      <c r="AO27" s="30" t="n">
        <v>195.71873487888</v>
      </c>
      <c r="AP27" s="30" t="n">
        <v>346.145178958183</v>
      </c>
      <c r="AQ27" s="30" t="n">
        <v>46.64229250231367</v>
      </c>
      <c r="AR27" s="30" t="n">
        <v>45.06010375599294</v>
      </c>
      <c r="AS27" s="30" t="n">
        <v>581.0089759269646</v>
      </c>
      <c r="AT27" s="30" t="n">
        <v>1143.415147643406</v>
      </c>
      <c r="AU27" s="30" t="n">
        <v>72.24160643037524</v>
      </c>
      <c r="AV27" s="30" t="n">
        <v>153.6495282928815</v>
      </c>
      <c r="AW27" s="30" t="n">
        <v>559.4200111756875</v>
      </c>
      <c r="AX27" s="30" t="n">
        <v>0</v>
      </c>
      <c r="AY27" s="30" t="n">
        <v>182.8045506380527</v>
      </c>
      <c r="AZ27" s="30" t="n">
        <v>60.87010256245834</v>
      </c>
      <c r="BA27" s="30" t="n">
        <v>1369.629157203265</v>
      </c>
      <c r="BB27" s="30">
        <f>SUM(C27:BA27)</f>
        <v/>
      </c>
      <c r="BC27" s="30" t="n">
        <v>0</v>
      </c>
      <c r="BD27" s="30" t="n">
        <v>0</v>
      </c>
      <c r="BE27" s="30" t="n">
        <v>50971.64160450493</v>
      </c>
      <c r="BF27" s="30" t="n">
        <v>0</v>
      </c>
      <c r="BG27" s="30">
        <f>SUM(BC27:BF27)</f>
        <v/>
      </c>
      <c r="BH27" s="30">
        <f>BB27+BG27</f>
        <v/>
      </c>
    </row>
    <row r="28">
      <c r="A28" s="28" t="n">
        <v>15</v>
      </c>
      <c r="B28" s="29" t="inlineStr">
        <is>
          <t>Álcool</t>
        </is>
      </c>
      <c r="C28" s="28" t="n">
        <v>44.5450282858388</v>
      </c>
      <c r="D28" s="28" t="n">
        <v>62.69264409391543</v>
      </c>
      <c r="E28" s="28" t="n">
        <v>113.9466881806048</v>
      </c>
      <c r="F28" s="28" t="n">
        <v>1.874282814341972</v>
      </c>
      <c r="G28" s="28" t="n">
        <v>4.189834812035905</v>
      </c>
      <c r="H28" s="28" t="n">
        <v>1104.111186154181</v>
      </c>
      <c r="I28" s="28" t="n">
        <v>0.1562970325208053</v>
      </c>
      <c r="J28" s="28" t="n">
        <v>1.973026309442676</v>
      </c>
      <c r="K28" s="28" t="n">
        <v>0.6026950526334673</v>
      </c>
      <c r="L28" s="28" t="n">
        <v>0.8914961397160344</v>
      </c>
      <c r="M28" s="28" t="n">
        <v>0.8206933395192954</v>
      </c>
      <c r="N28" s="28" t="n">
        <v>3.624500495834271</v>
      </c>
      <c r="O28" s="28" t="n">
        <v>0.6839937231897649</v>
      </c>
      <c r="P28" s="28" t="n">
        <v>3852.285928285609</v>
      </c>
      <c r="Q28" s="28" t="n">
        <v>175.3081957048732</v>
      </c>
      <c r="R28" s="28" t="n">
        <v>77.87661712568618</v>
      </c>
      <c r="S28" s="28" t="n">
        <v>2.72592450075887</v>
      </c>
      <c r="T28" s="28" t="n">
        <v>180.8904691691295</v>
      </c>
      <c r="U28" s="28" t="n">
        <v>37.86014836600796</v>
      </c>
      <c r="V28" s="28" t="n">
        <v>305.7254674683082</v>
      </c>
      <c r="W28" s="28" t="n">
        <v>50.23578215486479</v>
      </c>
      <c r="X28" s="28" t="n">
        <v>56.89334281088257</v>
      </c>
      <c r="Y28" s="28" t="n">
        <v>3.13962712049914</v>
      </c>
      <c r="Z28" s="28" t="n">
        <v>3.952960211711514</v>
      </c>
      <c r="AA28" s="28" t="n">
        <v>7.3886316522044</v>
      </c>
      <c r="AB28" s="28" t="n">
        <v>4.295970261291968</v>
      </c>
      <c r="AC28" s="28" t="n">
        <v>8.924614454434854</v>
      </c>
      <c r="AD28" s="28" t="n">
        <v>8.93620793089084</v>
      </c>
      <c r="AE28" s="28" t="n">
        <v>2.860203495632129</v>
      </c>
      <c r="AF28" s="28" t="n">
        <v>0.698444116475103</v>
      </c>
      <c r="AG28" s="28" t="n">
        <v>4.499026866426154</v>
      </c>
      <c r="AH28" s="28" t="n">
        <v>1.971036222329752</v>
      </c>
      <c r="AI28" s="28" t="n">
        <v>0.7415883539922431</v>
      </c>
      <c r="AJ28" s="28" t="n">
        <v>1.678026687866125</v>
      </c>
      <c r="AK28" s="28" t="n">
        <v>40.34868245542919</v>
      </c>
      <c r="AL28" s="28" t="n">
        <v>105.6694302519085</v>
      </c>
      <c r="AM28" s="28" t="n">
        <v>89.34192903409442</v>
      </c>
      <c r="AN28" s="28" t="n">
        <v>156.3126918037918</v>
      </c>
      <c r="AO28" s="28" t="n">
        <v>6.995802179572149</v>
      </c>
      <c r="AP28" s="28" t="n">
        <v>4.03082018474329</v>
      </c>
      <c r="AQ28" s="28" t="n">
        <v>1.241643354521723</v>
      </c>
      <c r="AR28" s="28" t="n">
        <v>8.320121821449293</v>
      </c>
      <c r="AS28" s="28" t="n">
        <v>85.47282147119972</v>
      </c>
      <c r="AT28" s="28" t="n">
        <v>43.20929580785153</v>
      </c>
      <c r="AU28" s="28" t="n">
        <v>3.234431860342297</v>
      </c>
      <c r="AV28" s="28" t="n">
        <v>16.20924915129708</v>
      </c>
      <c r="AW28" s="28" t="n">
        <v>28.43606100999393</v>
      </c>
      <c r="AX28" s="28" t="n">
        <v>0</v>
      </c>
      <c r="AY28" s="28" t="n">
        <v>48.01006545643793</v>
      </c>
      <c r="AZ28" s="28" t="n">
        <v>19.83911701300468</v>
      </c>
      <c r="BA28" s="28" t="n">
        <v>282.3219143324299</v>
      </c>
      <c r="BB28" s="28">
        <f>SUM(C28:BA28)</f>
        <v/>
      </c>
      <c r="BC28" s="28" t="n">
        <v>0</v>
      </c>
      <c r="BD28" s="28" t="n">
        <v>0</v>
      </c>
      <c r="BE28" s="28" t="n">
        <v>13415.90482559578</v>
      </c>
      <c r="BF28" s="28" t="n">
        <v>0</v>
      </c>
      <c r="BG28" s="28">
        <f>SUM(BC28:BF28)</f>
        <v/>
      </c>
      <c r="BH28" s="28">
        <f>BB28+BG28</f>
        <v/>
      </c>
    </row>
    <row r="29">
      <c r="A29" s="30" t="n">
        <v>16</v>
      </c>
      <c r="B29" s="31" t="inlineStr">
        <is>
          <t>Produtos  químicos</t>
        </is>
      </c>
      <c r="C29" s="30" t="n">
        <v>14028.34857176777</v>
      </c>
      <c r="D29" s="30" t="n">
        <v>1770.378536153352</v>
      </c>
      <c r="E29" s="30" t="n">
        <v>1281.378504709982</v>
      </c>
      <c r="F29" s="30" t="n">
        <v>112.8781863332198</v>
      </c>
      <c r="G29" s="30" t="n">
        <v>227.5801580581606</v>
      </c>
      <c r="H29" s="30" t="n">
        <v>1030.243622009868</v>
      </c>
      <c r="I29" s="30" t="n">
        <v>3.182257583829516</v>
      </c>
      <c r="J29" s="30" t="n">
        <v>925.3033205977955</v>
      </c>
      <c r="K29" s="30" t="n">
        <v>93.23977902937604</v>
      </c>
      <c r="L29" s="30" t="n">
        <v>429.7996653847148</v>
      </c>
      <c r="M29" s="30" t="n">
        <v>20.71177662387868</v>
      </c>
      <c r="N29" s="30" t="n">
        <v>1834.54302295528</v>
      </c>
      <c r="O29" s="30" t="n">
        <v>22.922066784439</v>
      </c>
      <c r="P29" s="30" t="n">
        <v>728.5583361394781</v>
      </c>
      <c r="Q29" s="30" t="n">
        <v>263.5323758071015</v>
      </c>
      <c r="R29" s="30" t="n">
        <v>12551.74800732375</v>
      </c>
      <c r="S29" s="30" t="n">
        <v>6629.596664915228</v>
      </c>
      <c r="T29" s="30" t="n">
        <v>933.8581661620283</v>
      </c>
      <c r="U29" s="30" t="n">
        <v>2283.301759790465</v>
      </c>
      <c r="V29" s="30" t="n">
        <v>2254.625625224537</v>
      </c>
      <c r="W29" s="30" t="n">
        <v>2441.852281816607</v>
      </c>
      <c r="X29" s="30" t="n">
        <v>2450.65073143124</v>
      </c>
      <c r="Y29" s="30" t="n">
        <v>1482.390744175097</v>
      </c>
      <c r="Z29" s="30" t="n">
        <v>895.6251926838033</v>
      </c>
      <c r="AA29" s="30" t="n">
        <v>728.7866892856865</v>
      </c>
      <c r="AB29" s="30" t="n">
        <v>569.7216096527191</v>
      </c>
      <c r="AC29" s="30" t="n">
        <v>355.7625130403329</v>
      </c>
      <c r="AD29" s="30" t="n">
        <v>180.5212967879909</v>
      </c>
      <c r="AE29" s="30" t="n">
        <v>211.8764591422816</v>
      </c>
      <c r="AF29" s="30" t="n">
        <v>69.04426424805507</v>
      </c>
      <c r="AG29" s="30" t="n">
        <v>36.38926750529648</v>
      </c>
      <c r="AH29" s="30" t="n">
        <v>38.57535217312559</v>
      </c>
      <c r="AI29" s="30" t="n">
        <v>110.3800435756699</v>
      </c>
      <c r="AJ29" s="30" t="n">
        <v>183.7488790547996</v>
      </c>
      <c r="AK29" s="30" t="n">
        <v>722.0347961317291</v>
      </c>
      <c r="AL29" s="30" t="n">
        <v>112.9898162608806</v>
      </c>
      <c r="AM29" s="30" t="n">
        <v>542.5320356173455</v>
      </c>
      <c r="AN29" s="30" t="n">
        <v>77.70170247308822</v>
      </c>
      <c r="AO29" s="30" t="n">
        <v>76.85446208926648</v>
      </c>
      <c r="AP29" s="30" t="n">
        <v>61.33596961728183</v>
      </c>
      <c r="AQ29" s="30" t="n">
        <v>17.00067974471681</v>
      </c>
      <c r="AR29" s="30" t="n">
        <v>2.501020398350297</v>
      </c>
      <c r="AS29" s="30" t="n">
        <v>50.18398895103914</v>
      </c>
      <c r="AT29" s="30" t="n">
        <v>165.8487326446903</v>
      </c>
      <c r="AU29" s="30" t="n">
        <v>26.93044962285684</v>
      </c>
      <c r="AV29" s="30" t="n">
        <v>584.0748210243698</v>
      </c>
      <c r="AW29" s="30" t="n">
        <v>243.8918757136489</v>
      </c>
      <c r="AX29" s="30" t="n">
        <v>0</v>
      </c>
      <c r="AY29" s="30" t="n">
        <v>57.65553079854402</v>
      </c>
      <c r="AZ29" s="30" t="n">
        <v>220.1657847154937</v>
      </c>
      <c r="BA29" s="30" t="n">
        <v>53.08816768421053</v>
      </c>
      <c r="BB29" s="30">
        <f>SUM(C29:BA29)</f>
        <v/>
      </c>
      <c r="BC29" s="30" t="n">
        <v>0</v>
      </c>
      <c r="BD29" s="30" t="n">
        <v>0</v>
      </c>
      <c r="BE29" s="30" t="n">
        <v>3997.339606216039</v>
      </c>
      <c r="BF29" s="30" t="n">
        <v>0</v>
      </c>
      <c r="BG29" s="30">
        <f>SUM(BC29:BF29)</f>
        <v/>
      </c>
      <c r="BH29" s="30">
        <f>BB29+BG29</f>
        <v/>
      </c>
    </row>
    <row r="30">
      <c r="A30" s="28" t="n">
        <v>17</v>
      </c>
      <c r="B30" s="29" t="inlineStr">
        <is>
          <t>Fabricação de resina e elastômeros</t>
        </is>
      </c>
      <c r="C30" s="28" t="n">
        <v>116.1097601336589</v>
      </c>
      <c r="D30" s="28" t="n">
        <v>12.67845221513507</v>
      </c>
      <c r="E30" s="28" t="n">
        <v>430.1708841619266</v>
      </c>
      <c r="F30" s="28" t="n">
        <v>4.135653906330935</v>
      </c>
      <c r="G30" s="28" t="n">
        <v>9.304967297993125</v>
      </c>
      <c r="H30" s="28" t="n">
        <v>64.09067490608551</v>
      </c>
      <c r="I30" s="28" t="n">
        <v>17.11810745027636</v>
      </c>
      <c r="J30" s="28" t="n">
        <v>2174.232621663696</v>
      </c>
      <c r="K30" s="28" t="n">
        <v>44.45751731174151</v>
      </c>
      <c r="L30" s="28" t="n">
        <v>524.2646559426909</v>
      </c>
      <c r="M30" s="28" t="n">
        <v>206.4714637794294</v>
      </c>
      <c r="N30" s="28" t="n">
        <v>692.5387094946791</v>
      </c>
      <c r="O30" s="28" t="n">
        <v>32.31381619617186</v>
      </c>
      <c r="P30" s="28" t="n">
        <v>16.81529655670403</v>
      </c>
      <c r="Q30" s="28" t="n">
        <v>3.250991053202661</v>
      </c>
      <c r="R30" s="28" t="n">
        <v>173.9039648106452</v>
      </c>
      <c r="S30" s="28" t="n">
        <v>947.1173031913763</v>
      </c>
      <c r="T30" s="28" t="n">
        <v>43.05748496614329</v>
      </c>
      <c r="U30" s="28" t="n">
        <v>42.91659011737436</v>
      </c>
      <c r="V30" s="28" t="n">
        <v>469.0944543247231</v>
      </c>
      <c r="W30" s="28" t="n">
        <v>471.3650026732786</v>
      </c>
      <c r="X30" s="28" t="n">
        <v>407.398698260134</v>
      </c>
      <c r="Y30" s="28" t="n">
        <v>6811.340928381201</v>
      </c>
      <c r="Z30" s="28" t="n">
        <v>714.6715257947648</v>
      </c>
      <c r="AA30" s="28" t="n">
        <v>12.25130838740185</v>
      </c>
      <c r="AB30" s="28" t="n">
        <v>93.57572628981676</v>
      </c>
      <c r="AC30" s="28" t="n">
        <v>365.1796063572127</v>
      </c>
      <c r="AD30" s="28" t="n">
        <v>94.11803378416356</v>
      </c>
      <c r="AE30" s="28" t="n">
        <v>1495.396450948517</v>
      </c>
      <c r="AF30" s="28" t="n">
        <v>272.6363575782809</v>
      </c>
      <c r="AG30" s="28" t="n">
        <v>80.71566668327091</v>
      </c>
      <c r="AH30" s="28" t="n">
        <v>691.1340980148822</v>
      </c>
      <c r="AI30" s="28" t="n">
        <v>160.0579611243061</v>
      </c>
      <c r="AJ30" s="28" t="n">
        <v>501.7755473143025</v>
      </c>
      <c r="AK30" s="28" t="n">
        <v>12.38171574804061</v>
      </c>
      <c r="AL30" s="28" t="n">
        <v>82.48451092714922</v>
      </c>
      <c r="AM30" s="28" t="n">
        <v>112.5358946305787</v>
      </c>
      <c r="AN30" s="28" t="n">
        <v>30.134761609759</v>
      </c>
      <c r="AO30" s="28" t="n">
        <v>25.08474037820695</v>
      </c>
      <c r="AP30" s="28" t="n">
        <v>19.85170211228784</v>
      </c>
      <c r="AQ30" s="28" t="n">
        <v>8.933610737495295</v>
      </c>
      <c r="AR30" s="28" t="n">
        <v>1.015971267194534</v>
      </c>
      <c r="AS30" s="28" t="n">
        <v>14.16710442838541</v>
      </c>
      <c r="AT30" s="28" t="n">
        <v>48.01323969552273</v>
      </c>
      <c r="AU30" s="28" t="n">
        <v>8.152326988516894</v>
      </c>
      <c r="AV30" s="28" t="n">
        <v>9.470565712730849</v>
      </c>
      <c r="AW30" s="28" t="n">
        <v>24.48190923947552</v>
      </c>
      <c r="AX30" s="28" t="n">
        <v>0</v>
      </c>
      <c r="AY30" s="28" t="n">
        <v>5.513320739244177</v>
      </c>
      <c r="AZ30" s="28" t="n">
        <v>7.397467407647815</v>
      </c>
      <c r="BA30" s="28" t="n">
        <v>14.48906674823568</v>
      </c>
      <c r="BB30" s="28">
        <f>SUM(C30:BA30)</f>
        <v/>
      </c>
      <c r="BC30" s="28" t="n">
        <v>0</v>
      </c>
      <c r="BD30" s="28" t="n">
        <v>0</v>
      </c>
      <c r="BE30" s="28" t="n">
        <v>3063.729714191873</v>
      </c>
      <c r="BF30" s="28" t="n">
        <v>0</v>
      </c>
      <c r="BG30" s="28">
        <f>SUM(BC30:BF30)</f>
        <v/>
      </c>
      <c r="BH30" s="28">
        <f>BB30+BG30</f>
        <v/>
      </c>
    </row>
    <row r="31">
      <c r="A31" s="30" t="n">
        <v>18</v>
      </c>
      <c r="B31" s="31" t="inlineStr">
        <is>
          <t>Produtos farmacêuticos</t>
        </is>
      </c>
      <c r="C31" s="30" t="n">
        <v>296.636370670312</v>
      </c>
      <c r="D31" s="30" t="n">
        <v>1447.61826088969</v>
      </c>
      <c r="E31" s="30" t="n">
        <v>131.6923288000601</v>
      </c>
      <c r="F31" s="30" t="n">
        <v>7.092231973538565</v>
      </c>
      <c r="G31" s="30" t="n">
        <v>7.490626069003167</v>
      </c>
      <c r="H31" s="30" t="n">
        <v>158.4521058216704</v>
      </c>
      <c r="I31" s="30" t="n">
        <v>3.572851528001674</v>
      </c>
      <c r="J31" s="30" t="n">
        <v>37.97209964909101</v>
      </c>
      <c r="K31" s="30" t="n">
        <v>19.69092698824684</v>
      </c>
      <c r="L31" s="30" t="n">
        <v>14.40931897059999</v>
      </c>
      <c r="M31" s="30" t="n">
        <v>3.831174559548144</v>
      </c>
      <c r="N31" s="30" t="n">
        <v>24.21814473156967</v>
      </c>
      <c r="O31" s="30" t="n">
        <v>3.523441163714863</v>
      </c>
      <c r="P31" s="30" t="n">
        <v>7.874103474750953</v>
      </c>
      <c r="Q31" s="30" t="n">
        <v>3.826090175863157</v>
      </c>
      <c r="R31" s="30" t="n">
        <v>33.54578123857503</v>
      </c>
      <c r="S31" s="30" t="n">
        <v>38.05661220399445</v>
      </c>
      <c r="T31" s="30" t="n">
        <v>1794.447314291381</v>
      </c>
      <c r="U31" s="30" t="n">
        <v>130.2942416716611</v>
      </c>
      <c r="V31" s="30" t="n">
        <v>27.29087686474908</v>
      </c>
      <c r="W31" s="30" t="n">
        <v>15.79024724116367</v>
      </c>
      <c r="X31" s="30" t="n">
        <v>19.56946537198403</v>
      </c>
      <c r="Y31" s="30" t="n">
        <v>92.73659242765171</v>
      </c>
      <c r="Z31" s="30" t="n">
        <v>27.84375685179536</v>
      </c>
      <c r="AA31" s="30" t="n">
        <v>14.41340823479553</v>
      </c>
      <c r="AB31" s="30" t="n">
        <v>6.135577034656832</v>
      </c>
      <c r="AC31" s="30" t="n">
        <v>13.88517592986791</v>
      </c>
      <c r="AD31" s="30" t="n">
        <v>37.38062263808414</v>
      </c>
      <c r="AE31" s="30" t="n">
        <v>27.49726491483452</v>
      </c>
      <c r="AF31" s="30" t="n">
        <v>21.75816599833802</v>
      </c>
      <c r="AG31" s="30" t="n">
        <v>25.3318810469972</v>
      </c>
      <c r="AH31" s="30" t="n">
        <v>14.57264040513733</v>
      </c>
      <c r="AI31" s="30" t="n">
        <v>5.23669352418379</v>
      </c>
      <c r="AJ31" s="30" t="n">
        <v>13.29180756625908</v>
      </c>
      <c r="AK31" s="30" t="n">
        <v>23.56817899964434</v>
      </c>
      <c r="AL31" s="30" t="n">
        <v>142.8449610125932</v>
      </c>
      <c r="AM31" s="30" t="n">
        <v>231.3867834415923</v>
      </c>
      <c r="AN31" s="30" t="n">
        <v>56.97341675043356</v>
      </c>
      <c r="AO31" s="30" t="n">
        <v>75.033393582763</v>
      </c>
      <c r="AP31" s="30" t="n">
        <v>62.24935717447971</v>
      </c>
      <c r="AQ31" s="30" t="n">
        <v>8.624725342213797</v>
      </c>
      <c r="AR31" s="30" t="n">
        <v>0.819922470243911</v>
      </c>
      <c r="AS31" s="30" t="n">
        <v>16.70291734999326</v>
      </c>
      <c r="AT31" s="30" t="n">
        <v>97.60081683690018</v>
      </c>
      <c r="AU31" s="30" t="n">
        <v>76.91066935871328</v>
      </c>
      <c r="AV31" s="30" t="n">
        <v>3252.866034616345</v>
      </c>
      <c r="AW31" s="30" t="n">
        <v>300.1463662339238</v>
      </c>
      <c r="AX31" s="30" t="n">
        <v>0</v>
      </c>
      <c r="AY31" s="30" t="n">
        <v>218.7716275953081</v>
      </c>
      <c r="AZ31" s="30" t="n">
        <v>1590.626243874668</v>
      </c>
      <c r="BA31" s="30" t="n">
        <v>217.186893210468</v>
      </c>
      <c r="BB31" s="30">
        <f>SUM(C31:BA31)</f>
        <v/>
      </c>
      <c r="BC31" s="30" t="n">
        <v>0</v>
      </c>
      <c r="BD31" s="30" t="n">
        <v>0</v>
      </c>
      <c r="BE31" s="30" t="n">
        <v>27875.78383685353</v>
      </c>
      <c r="BF31" s="30" t="n">
        <v>0</v>
      </c>
      <c r="BG31" s="30">
        <f>SUM(BC31:BF31)</f>
        <v/>
      </c>
      <c r="BH31" s="30">
        <f>BB31+BG31</f>
        <v/>
      </c>
    </row>
    <row r="32">
      <c r="A32" s="28" t="n">
        <v>19</v>
      </c>
      <c r="B32" s="29" t="inlineStr">
        <is>
          <t>Defensivos agrícolas</t>
        </is>
      </c>
      <c r="C32" s="28" t="n">
        <v>7721.900205440281</v>
      </c>
      <c r="D32" s="28" t="n">
        <v>688.8623198093771</v>
      </c>
      <c r="E32" s="28" t="n">
        <v>65.73923723644823</v>
      </c>
      <c r="F32" s="28" t="n">
        <v>11.02999975870539</v>
      </c>
      <c r="G32" s="28" t="n">
        <v>49.49550125652505</v>
      </c>
      <c r="H32" s="28" t="n">
        <v>140.0245797656582</v>
      </c>
      <c r="I32" s="28" t="n">
        <v>3.572562084521693</v>
      </c>
      <c r="J32" s="28" t="n">
        <v>160.7953940142498</v>
      </c>
      <c r="K32" s="28" t="n">
        <v>5.798175013548614</v>
      </c>
      <c r="L32" s="28" t="n">
        <v>46.57808111740421</v>
      </c>
      <c r="M32" s="28" t="n">
        <v>18.80868184013108</v>
      </c>
      <c r="N32" s="28" t="n">
        <v>81.02552072864769</v>
      </c>
      <c r="O32" s="28" t="n">
        <v>9.063866037971591</v>
      </c>
      <c r="P32" s="28" t="n">
        <v>10.3842012798613</v>
      </c>
      <c r="Q32" s="28" t="n">
        <v>11.74052025877406</v>
      </c>
      <c r="R32" s="28" t="n">
        <v>111.1780206969909</v>
      </c>
      <c r="S32" s="28" t="n">
        <v>251.6971529806249</v>
      </c>
      <c r="T32" s="28" t="n">
        <v>53.03075778432754</v>
      </c>
      <c r="U32" s="28" t="n">
        <v>1739.992436081905</v>
      </c>
      <c r="V32" s="28" t="n">
        <v>350.7373762222539</v>
      </c>
      <c r="W32" s="28" t="n">
        <v>121.577053732586</v>
      </c>
      <c r="X32" s="28" t="n">
        <v>116.1598595506106</v>
      </c>
      <c r="Y32" s="28" t="n">
        <v>475.0938801476188</v>
      </c>
      <c r="Z32" s="28" t="n">
        <v>60.36678251423798</v>
      </c>
      <c r="AA32" s="28" t="n">
        <v>23.83486992871333</v>
      </c>
      <c r="AB32" s="28" t="n">
        <v>13.67400154190751</v>
      </c>
      <c r="AC32" s="28" t="n">
        <v>50.80193738469087</v>
      </c>
      <c r="AD32" s="28" t="n">
        <v>33.8075095265039</v>
      </c>
      <c r="AE32" s="28" t="n">
        <v>102.5258306732145</v>
      </c>
      <c r="AF32" s="28" t="n">
        <v>26.98912456650588</v>
      </c>
      <c r="AG32" s="28" t="n">
        <v>16.01780400709828</v>
      </c>
      <c r="AH32" s="28" t="n">
        <v>44.53418794581692</v>
      </c>
      <c r="AI32" s="28" t="n">
        <v>12.3087417686413</v>
      </c>
      <c r="AJ32" s="28" t="n">
        <v>39.75429480479432</v>
      </c>
      <c r="AK32" s="28" t="n">
        <v>20.09067502626417</v>
      </c>
      <c r="AL32" s="28" t="n">
        <v>37.3395915374082</v>
      </c>
      <c r="AM32" s="28" t="n">
        <v>114.2064261861448</v>
      </c>
      <c r="AN32" s="28" t="n">
        <v>41.92523747984876</v>
      </c>
      <c r="AO32" s="28" t="n">
        <v>52.70508419798268</v>
      </c>
      <c r="AP32" s="28" t="n">
        <v>38.46229772209506</v>
      </c>
      <c r="AQ32" s="28" t="n">
        <v>4.211079868853422</v>
      </c>
      <c r="AR32" s="28" t="n">
        <v>0.3078761158554073</v>
      </c>
      <c r="AS32" s="28" t="n">
        <v>8.029330544419361</v>
      </c>
      <c r="AT32" s="28" t="n">
        <v>104.6894038226883</v>
      </c>
      <c r="AU32" s="28" t="n">
        <v>7.235082812104861</v>
      </c>
      <c r="AV32" s="28" t="n">
        <v>8.811167661897258</v>
      </c>
      <c r="AW32" s="28" t="n">
        <v>420.345402097378</v>
      </c>
      <c r="AX32" s="28" t="n">
        <v>0</v>
      </c>
      <c r="AY32" s="28" t="n">
        <v>15.89672171763672</v>
      </c>
      <c r="AZ32" s="28" t="n">
        <v>29.92806012764114</v>
      </c>
      <c r="BA32" s="28" t="n">
        <v>33.05662518141543</v>
      </c>
      <c r="BB32" s="28">
        <f>SUM(C32:BA32)</f>
        <v/>
      </c>
      <c r="BC32" s="28" t="n">
        <v>0</v>
      </c>
      <c r="BD32" s="28" t="n">
        <v>0</v>
      </c>
      <c r="BE32" s="28" t="n">
        <v>1471.244636291563</v>
      </c>
      <c r="BF32" s="28" t="n">
        <v>0</v>
      </c>
      <c r="BG32" s="28">
        <f>SUM(BC32:BF32)</f>
        <v/>
      </c>
      <c r="BH32" s="28">
        <f>BB32+BG32</f>
        <v/>
      </c>
    </row>
    <row r="33">
      <c r="A33" s="30" t="n">
        <v>20</v>
      </c>
      <c r="B33" s="31" t="inlineStr">
        <is>
          <t>Perfumaria higiene e limpeza</t>
        </is>
      </c>
      <c r="C33" s="30" t="n">
        <v>272.5316501458698</v>
      </c>
      <c r="D33" s="30" t="n">
        <v>58.48280107097321</v>
      </c>
      <c r="E33" s="30" t="n">
        <v>68.21385963862728</v>
      </c>
      <c r="F33" s="30" t="n">
        <v>32.5819849631315</v>
      </c>
      <c r="G33" s="30" t="n">
        <v>42.400437149703</v>
      </c>
      <c r="H33" s="30" t="n">
        <v>296.0182591602031</v>
      </c>
      <c r="I33" s="30" t="n">
        <v>6.093242654531995</v>
      </c>
      <c r="J33" s="30" t="n">
        <v>40.54006694941197</v>
      </c>
      <c r="K33" s="30" t="n">
        <v>30.41897008002887</v>
      </c>
      <c r="L33" s="30" t="n">
        <v>15.52558852436759</v>
      </c>
      <c r="M33" s="30" t="n">
        <v>12.99248210382543</v>
      </c>
      <c r="N33" s="30" t="n">
        <v>57.27822200266436</v>
      </c>
      <c r="O33" s="30" t="n">
        <v>8.361181328080104</v>
      </c>
      <c r="P33" s="30" t="n">
        <v>44.54323563344066</v>
      </c>
      <c r="Q33" s="30" t="n">
        <v>12.61128429601352</v>
      </c>
      <c r="R33" s="30" t="n">
        <v>139.2508682223488</v>
      </c>
      <c r="S33" s="30" t="n">
        <v>35.18439862192078</v>
      </c>
      <c r="T33" s="30" t="n">
        <v>58.64292182495366</v>
      </c>
      <c r="U33" s="30" t="n">
        <v>96.00242008784801</v>
      </c>
      <c r="V33" s="30" t="n">
        <v>638.5705074835869</v>
      </c>
      <c r="W33" s="30" t="n">
        <v>32.82014370722127</v>
      </c>
      <c r="X33" s="30" t="n">
        <v>51.0268267210036</v>
      </c>
      <c r="Y33" s="30" t="n">
        <v>54.91511065940445</v>
      </c>
      <c r="Z33" s="30" t="n">
        <v>160.1863093444642</v>
      </c>
      <c r="AA33" s="30" t="n">
        <v>44.37934342755746</v>
      </c>
      <c r="AB33" s="30" t="n">
        <v>33.33300351471016</v>
      </c>
      <c r="AC33" s="30" t="n">
        <v>186.8490100384417</v>
      </c>
      <c r="AD33" s="30" t="n">
        <v>74.64792610658809</v>
      </c>
      <c r="AE33" s="30" t="n">
        <v>26.82446127834271</v>
      </c>
      <c r="AF33" s="30" t="n">
        <v>57.59554959572355</v>
      </c>
      <c r="AG33" s="30" t="n">
        <v>33.30011285663925</v>
      </c>
      <c r="AH33" s="30" t="n">
        <v>21.58467223284869</v>
      </c>
      <c r="AI33" s="30" t="n">
        <v>6.669301203140042</v>
      </c>
      <c r="AJ33" s="30" t="n">
        <v>16.76072989860264</v>
      </c>
      <c r="AK33" s="30" t="n">
        <v>60.85126007831407</v>
      </c>
      <c r="AL33" s="30" t="n">
        <v>245.1306921532142</v>
      </c>
      <c r="AM33" s="30" t="n">
        <v>996.4590648067544</v>
      </c>
      <c r="AN33" s="30" t="n">
        <v>266.7671104750858</v>
      </c>
      <c r="AO33" s="30" t="n">
        <v>198.5807730732385</v>
      </c>
      <c r="AP33" s="30" t="n">
        <v>65.55433397842894</v>
      </c>
      <c r="AQ33" s="30" t="n">
        <v>9.894135660018959</v>
      </c>
      <c r="AR33" s="30" t="n">
        <v>0.4667655003695746</v>
      </c>
      <c r="AS33" s="30" t="n">
        <v>78.89108031441015</v>
      </c>
      <c r="AT33" s="30" t="n">
        <v>427.4226864221138</v>
      </c>
      <c r="AU33" s="30" t="n">
        <v>67.7547664481161</v>
      </c>
      <c r="AV33" s="30" t="n">
        <v>298.7625279862055</v>
      </c>
      <c r="AW33" s="30" t="n">
        <v>1236.317270632096</v>
      </c>
      <c r="AX33" s="30" t="n">
        <v>0</v>
      </c>
      <c r="AY33" s="30" t="n">
        <v>148.6496861433408</v>
      </c>
      <c r="AZ33" s="30" t="n">
        <v>95.10844920958854</v>
      </c>
      <c r="BA33" s="30" t="n">
        <v>150.3958656331715</v>
      </c>
      <c r="BB33" s="30">
        <f>SUM(C33:BA33)</f>
        <v/>
      </c>
      <c r="BC33" s="30" t="n">
        <v>0</v>
      </c>
      <c r="BD33" s="30" t="n">
        <v>0</v>
      </c>
      <c r="BE33" s="30" t="n">
        <v>19837.8512029831</v>
      </c>
      <c r="BF33" s="30" t="n">
        <v>0</v>
      </c>
      <c r="BG33" s="30">
        <f>SUM(BC33:BF33)</f>
        <v/>
      </c>
      <c r="BH33" s="30">
        <f>BB33+BG33</f>
        <v/>
      </c>
    </row>
    <row r="34">
      <c r="A34" s="28" t="n">
        <v>21</v>
      </c>
      <c r="B34" s="29" t="inlineStr">
        <is>
          <t>Tintas vernizes esmaltes e lacas</t>
        </is>
      </c>
      <c r="C34" s="28" t="n">
        <v>52.34318876909833</v>
      </c>
      <c r="D34" s="28" t="n">
        <v>27.76176746543567</v>
      </c>
      <c r="E34" s="28" t="n">
        <v>15.14727955508418</v>
      </c>
      <c r="F34" s="28" t="n">
        <v>3.733580938293835</v>
      </c>
      <c r="G34" s="28" t="n">
        <v>23.63206639495995</v>
      </c>
      <c r="H34" s="28" t="n">
        <v>79.7200068379463</v>
      </c>
      <c r="I34" s="28" t="n">
        <v>0.968027876554077</v>
      </c>
      <c r="J34" s="28" t="n">
        <v>82.59046732829079</v>
      </c>
      <c r="K34" s="28" t="n">
        <v>35.51454463411189</v>
      </c>
      <c r="L34" s="28" t="n">
        <v>72.56682255246493</v>
      </c>
      <c r="M34" s="28" t="n">
        <v>158.1414476265745</v>
      </c>
      <c r="N34" s="28" t="n">
        <v>790.7967347010241</v>
      </c>
      <c r="O34" s="28" t="n">
        <v>669.2072328268033</v>
      </c>
      <c r="P34" s="28" t="n">
        <v>6.151679559511614</v>
      </c>
      <c r="Q34" s="28" t="n">
        <v>2.718860251524911</v>
      </c>
      <c r="R34" s="28" t="n">
        <v>39.19081351211862</v>
      </c>
      <c r="S34" s="28" t="n">
        <v>36.91215178856432</v>
      </c>
      <c r="T34" s="28" t="n">
        <v>14.85130261746875</v>
      </c>
      <c r="U34" s="28" t="n">
        <v>14.90122968856132</v>
      </c>
      <c r="V34" s="28" t="n">
        <v>32.61871134852429</v>
      </c>
      <c r="W34" s="28" t="n">
        <v>104.7934434238798</v>
      </c>
      <c r="X34" s="28" t="n">
        <v>37.85772090416036</v>
      </c>
      <c r="Y34" s="28" t="n">
        <v>980.4911521390721</v>
      </c>
      <c r="Z34" s="28" t="n">
        <v>505.3304865456889</v>
      </c>
      <c r="AA34" s="28" t="n">
        <v>10.76920206921636</v>
      </c>
      <c r="AB34" s="28" t="n">
        <v>9.046018634707687</v>
      </c>
      <c r="AC34" s="28" t="n">
        <v>305.9107160175341</v>
      </c>
      <c r="AD34" s="28" t="n">
        <v>374.4705515627571</v>
      </c>
      <c r="AE34" s="28" t="n">
        <v>39.31761656784172</v>
      </c>
      <c r="AF34" s="28" t="n">
        <v>312.2374101701236</v>
      </c>
      <c r="AG34" s="28" t="n">
        <v>377.1486865594978</v>
      </c>
      <c r="AH34" s="28" t="n">
        <v>167.3907833608603</v>
      </c>
      <c r="AI34" s="28" t="n">
        <v>99.72738945892847</v>
      </c>
      <c r="AJ34" s="28" t="n">
        <v>154.8096027287049</v>
      </c>
      <c r="AK34" s="28" t="n">
        <v>111.0585614892819</v>
      </c>
      <c r="AL34" s="28" t="n">
        <v>3958.215411628609</v>
      </c>
      <c r="AM34" s="28" t="n">
        <v>785.4659853759596</v>
      </c>
      <c r="AN34" s="28" t="n">
        <v>191.2289526193143</v>
      </c>
      <c r="AO34" s="28" t="n">
        <v>282.8525400164709</v>
      </c>
      <c r="AP34" s="28" t="n">
        <v>19.40228260149705</v>
      </c>
      <c r="AQ34" s="28" t="n">
        <v>472.9111713396413</v>
      </c>
      <c r="AR34" s="28" t="n">
        <v>0.5597569247687501</v>
      </c>
      <c r="AS34" s="28" t="n">
        <v>12.30611016305508</v>
      </c>
      <c r="AT34" s="28" t="n">
        <v>41.67790983389777</v>
      </c>
      <c r="AU34" s="28" t="n">
        <v>6.500088547978704</v>
      </c>
      <c r="AV34" s="28" t="n">
        <v>4.681091571317665</v>
      </c>
      <c r="AW34" s="28" t="n">
        <v>254.4433073404582</v>
      </c>
      <c r="AX34" s="28" t="n">
        <v>0</v>
      </c>
      <c r="AY34" s="28" t="n">
        <v>54.18086672384813</v>
      </c>
      <c r="AZ34" s="28" t="n">
        <v>13.79535487243885</v>
      </c>
      <c r="BA34" s="28" t="n">
        <v>125.0357509091771</v>
      </c>
      <c r="BB34" s="28">
        <f>SUM(C34:BA34)</f>
        <v/>
      </c>
      <c r="BC34" s="28" t="n">
        <v>0</v>
      </c>
      <c r="BD34" s="28" t="n">
        <v>0</v>
      </c>
      <c r="BE34" s="28" t="n">
        <v>869.166830964335</v>
      </c>
      <c r="BF34" s="28" t="n">
        <v>0</v>
      </c>
      <c r="BG34" s="28">
        <f>SUM(BC34:BF34)</f>
        <v/>
      </c>
      <c r="BH34" s="28">
        <f>BB34+BG34</f>
        <v/>
      </c>
    </row>
    <row r="35">
      <c r="A35" s="30" t="n">
        <v>22</v>
      </c>
      <c r="B35" s="31" t="inlineStr">
        <is>
          <t>Produtos e preparados químicos diversos</t>
        </is>
      </c>
      <c r="C35" s="30" t="n">
        <v>176.1165601480027</v>
      </c>
      <c r="D35" s="30" t="n">
        <v>37.9836298426048</v>
      </c>
      <c r="E35" s="30" t="n">
        <v>165.8514408681116</v>
      </c>
      <c r="F35" s="30" t="n">
        <v>105.6592933385383</v>
      </c>
      <c r="G35" s="30" t="n">
        <v>1259.108420964692</v>
      </c>
      <c r="H35" s="30" t="n">
        <v>1774.503799872158</v>
      </c>
      <c r="I35" s="30" t="n">
        <v>7.080819379218791</v>
      </c>
      <c r="J35" s="30" t="n">
        <v>200.4144147904194</v>
      </c>
      <c r="K35" s="30" t="n">
        <v>7.252767410292605</v>
      </c>
      <c r="L35" s="30" t="n">
        <v>91.12082844307464</v>
      </c>
      <c r="M35" s="30" t="n">
        <v>149.7742038009259</v>
      </c>
      <c r="N35" s="30" t="n">
        <v>329.6521067512604</v>
      </c>
      <c r="O35" s="30" t="n">
        <v>177.2997760964833</v>
      </c>
      <c r="P35" s="30" t="n">
        <v>150.2837845661963</v>
      </c>
      <c r="Q35" s="30" t="n">
        <v>67.83530661390019</v>
      </c>
      <c r="R35" s="30" t="n">
        <v>333.9803742975478</v>
      </c>
      <c r="S35" s="30" t="n">
        <v>379.003036953798</v>
      </c>
      <c r="T35" s="30" t="n">
        <v>467.9588786566826</v>
      </c>
      <c r="U35" s="30" t="n">
        <v>161.6640942238179</v>
      </c>
      <c r="V35" s="30" t="n">
        <v>560.1918307281301</v>
      </c>
      <c r="W35" s="30" t="n">
        <v>415.3532665257153</v>
      </c>
      <c r="X35" s="30" t="n">
        <v>1078.818805930529</v>
      </c>
      <c r="Y35" s="30" t="n">
        <v>861.2607638189369</v>
      </c>
      <c r="Z35" s="30" t="n">
        <v>260.9753948364714</v>
      </c>
      <c r="AA35" s="30" t="n">
        <v>251.8958896548203</v>
      </c>
      <c r="AB35" s="30" t="n">
        <v>38.68121599391013</v>
      </c>
      <c r="AC35" s="30" t="n">
        <v>102.2495688691512</v>
      </c>
      <c r="AD35" s="30" t="n">
        <v>216.3537566902769</v>
      </c>
      <c r="AE35" s="30" t="n">
        <v>120.4101476837407</v>
      </c>
      <c r="AF35" s="30" t="n">
        <v>29.57697647346358</v>
      </c>
      <c r="AG35" s="30" t="n">
        <v>74.2439307785002</v>
      </c>
      <c r="AH35" s="30" t="n">
        <v>45.90731452482644</v>
      </c>
      <c r="AI35" s="30" t="n">
        <v>22.93012359945364</v>
      </c>
      <c r="AJ35" s="30" t="n">
        <v>176.5237015197534</v>
      </c>
      <c r="AK35" s="30" t="n">
        <v>129.1230929227038</v>
      </c>
      <c r="AL35" s="30" t="n">
        <v>486.8129844684874</v>
      </c>
      <c r="AM35" s="30" t="n">
        <v>902.2310978842954</v>
      </c>
      <c r="AN35" s="30" t="n">
        <v>70.08509056544175</v>
      </c>
      <c r="AO35" s="30" t="n">
        <v>35.0064615092677</v>
      </c>
      <c r="AP35" s="30" t="n">
        <v>39.03788935729885</v>
      </c>
      <c r="AQ35" s="30" t="n">
        <v>30.03464649266507</v>
      </c>
      <c r="AR35" s="30" t="n">
        <v>0.851616599643834</v>
      </c>
      <c r="AS35" s="30" t="n">
        <v>21.05253917507297</v>
      </c>
      <c r="AT35" s="30" t="n">
        <v>98.65086810227693</v>
      </c>
      <c r="AU35" s="30" t="n">
        <v>8.737930032482135</v>
      </c>
      <c r="AV35" s="30" t="n">
        <v>17.30432380194507</v>
      </c>
      <c r="AW35" s="30" t="n">
        <v>48.72159007558444</v>
      </c>
      <c r="AX35" s="30" t="n">
        <v>0</v>
      </c>
      <c r="AY35" s="30" t="n">
        <v>178.2021830668384</v>
      </c>
      <c r="AZ35" s="30" t="n">
        <v>418.3138299966926</v>
      </c>
      <c r="BA35" s="30" t="n">
        <v>56.26676192484943</v>
      </c>
      <c r="BB35" s="30">
        <f>SUM(C35:BA35)</f>
        <v/>
      </c>
      <c r="BC35" s="30" t="n">
        <v>0</v>
      </c>
      <c r="BD35" s="30" t="n">
        <v>0</v>
      </c>
      <c r="BE35" s="30" t="n">
        <v>2187.032755100314</v>
      </c>
      <c r="BF35" s="30" t="n">
        <v>0</v>
      </c>
      <c r="BG35" s="30">
        <f>SUM(BC35:BF35)</f>
        <v/>
      </c>
      <c r="BH35" s="30">
        <f>BB35+BG35</f>
        <v/>
      </c>
    </row>
    <row r="36">
      <c r="A36" s="28" t="n">
        <v>23</v>
      </c>
      <c r="B36" s="29" t="inlineStr">
        <is>
          <t>Artigos de borracha e plástico</t>
        </is>
      </c>
      <c r="C36" s="28" t="n">
        <v>318.7774693982076</v>
      </c>
      <c r="D36" s="28" t="n">
        <v>127.8506142986705</v>
      </c>
      <c r="E36" s="28" t="n">
        <v>129.0327837173668</v>
      </c>
      <c r="F36" s="28" t="n">
        <v>248.7449112503084</v>
      </c>
      <c r="G36" s="28" t="n">
        <v>164.9211897872817</v>
      </c>
      <c r="H36" s="28" t="n">
        <v>6298.821066047552</v>
      </c>
      <c r="I36" s="28" t="n">
        <v>6.04535650438056</v>
      </c>
      <c r="J36" s="28" t="n">
        <v>214.0846048619873</v>
      </c>
      <c r="K36" s="28" t="n">
        <v>222.5991562927838</v>
      </c>
      <c r="L36" s="28" t="n">
        <v>500.1890406549147</v>
      </c>
      <c r="M36" s="28" t="n">
        <v>98.87853327379027</v>
      </c>
      <c r="N36" s="28" t="n">
        <v>450.0141626080306</v>
      </c>
      <c r="O36" s="28" t="n">
        <v>659.8013343965436</v>
      </c>
      <c r="P36" s="28" t="n">
        <v>53.79898160208122</v>
      </c>
      <c r="Q36" s="28" t="n">
        <v>22.80907774982309</v>
      </c>
      <c r="R36" s="28" t="n">
        <v>502.245190821161</v>
      </c>
      <c r="S36" s="28" t="n">
        <v>195.3233988242411</v>
      </c>
      <c r="T36" s="28" t="n">
        <v>253.1071620677415</v>
      </c>
      <c r="U36" s="28" t="n">
        <v>195.2325119735369</v>
      </c>
      <c r="V36" s="28" t="n">
        <v>941.1757516866078</v>
      </c>
      <c r="W36" s="28" t="n">
        <v>104.8014004353784</v>
      </c>
      <c r="X36" s="28" t="n">
        <v>112.1134794814636</v>
      </c>
      <c r="Y36" s="28" t="n">
        <v>7729.416117262651</v>
      </c>
      <c r="Z36" s="28" t="n">
        <v>1150.12070233802</v>
      </c>
      <c r="AA36" s="28" t="n">
        <v>321.2312047974139</v>
      </c>
      <c r="AB36" s="28" t="n">
        <v>27.18728237933343</v>
      </c>
      <c r="AC36" s="28" t="n">
        <v>381.9105259192417</v>
      </c>
      <c r="AD36" s="28" t="n">
        <v>1698.164224575821</v>
      </c>
      <c r="AE36" s="28" t="n">
        <v>1345.257997369356</v>
      </c>
      <c r="AF36" s="28" t="n">
        <v>1057.724391256721</v>
      </c>
      <c r="AG36" s="28" t="n">
        <v>4942.938421574904</v>
      </c>
      <c r="AH36" s="28" t="n">
        <v>2297.72839933673</v>
      </c>
      <c r="AI36" s="28" t="n">
        <v>558.2059790754483</v>
      </c>
      <c r="AJ36" s="28" t="n">
        <v>1053.646570458451</v>
      </c>
      <c r="AK36" s="28" t="n">
        <v>294.9845002611398</v>
      </c>
      <c r="AL36" s="28" t="n">
        <v>6477.552856952198</v>
      </c>
      <c r="AM36" s="28" t="n">
        <v>3344.15241839475</v>
      </c>
      <c r="AN36" s="28" t="n">
        <v>3466.993627392014</v>
      </c>
      <c r="AO36" s="28" t="n">
        <v>84.88078712048849</v>
      </c>
      <c r="AP36" s="28" t="n">
        <v>85.59161924934364</v>
      </c>
      <c r="AQ36" s="28" t="n">
        <v>62.02587537019483</v>
      </c>
      <c r="AR36" s="28" t="n">
        <v>47.74591778249894</v>
      </c>
      <c r="AS36" s="28" t="n">
        <v>250.4566025144075</v>
      </c>
      <c r="AT36" s="28" t="n">
        <v>654.5081901294363</v>
      </c>
      <c r="AU36" s="28" t="n">
        <v>24.75709203604084</v>
      </c>
      <c r="AV36" s="28" t="n">
        <v>247.5392055168667</v>
      </c>
      <c r="AW36" s="28" t="n">
        <v>219.1543341827102</v>
      </c>
      <c r="AX36" s="28" t="n">
        <v>0</v>
      </c>
      <c r="AY36" s="28" t="n">
        <v>139.291623229395</v>
      </c>
      <c r="AZ36" s="28" t="n">
        <v>324.3509371183735</v>
      </c>
      <c r="BA36" s="28" t="n">
        <v>135.8576759128398</v>
      </c>
      <c r="BB36" s="28">
        <f>SUM(C36:BA36)</f>
        <v/>
      </c>
      <c r="BC36" s="28" t="n">
        <v>0</v>
      </c>
      <c r="BD36" s="28" t="n">
        <v>0</v>
      </c>
      <c r="BE36" s="28" t="n">
        <v>11792.05585802706</v>
      </c>
      <c r="BF36" s="28" t="n">
        <v>0</v>
      </c>
      <c r="BG36" s="28">
        <f>SUM(BC36:BF36)</f>
        <v/>
      </c>
      <c r="BH36" s="28">
        <f>BB36+BG36</f>
        <v/>
      </c>
    </row>
    <row r="37">
      <c r="A37" s="30" t="n">
        <v>24</v>
      </c>
      <c r="B37" s="31" t="inlineStr">
        <is>
          <t>Cimento e outros produtos de minerais não-metálicos</t>
        </is>
      </c>
      <c r="C37" s="30" t="n">
        <v>1691.724187253439</v>
      </c>
      <c r="D37" s="30" t="n">
        <v>1290.973101326632</v>
      </c>
      <c r="E37" s="30" t="n">
        <v>119.4421862229879</v>
      </c>
      <c r="F37" s="30" t="n">
        <v>6.777817754013793</v>
      </c>
      <c r="G37" s="30" t="n">
        <v>63.74391120163521</v>
      </c>
      <c r="H37" s="30" t="n">
        <v>1811.356179801693</v>
      </c>
      <c r="I37" s="30" t="n">
        <v>2.170459242838858</v>
      </c>
      <c r="J37" s="30" t="n">
        <v>18.26400349712452</v>
      </c>
      <c r="K37" s="30" t="n">
        <v>20.93095148083609</v>
      </c>
      <c r="L37" s="30" t="n">
        <v>11.2536466408323</v>
      </c>
      <c r="M37" s="30" t="n">
        <v>10.37019069349243</v>
      </c>
      <c r="N37" s="30" t="n">
        <v>150.3392948907873</v>
      </c>
      <c r="O37" s="30" t="n">
        <v>28.24914004965807</v>
      </c>
      <c r="P37" s="30" t="n">
        <v>10.47233600520214</v>
      </c>
      <c r="Q37" s="30" t="n">
        <v>5.96051555623435</v>
      </c>
      <c r="R37" s="30" t="n">
        <v>325.7265204629536</v>
      </c>
      <c r="S37" s="30" t="n">
        <v>18.19388092332614</v>
      </c>
      <c r="T37" s="30" t="n">
        <v>47.82514607052423</v>
      </c>
      <c r="U37" s="30" t="n">
        <v>8.79800236394631</v>
      </c>
      <c r="V37" s="30" t="n">
        <v>202.9326366223272</v>
      </c>
      <c r="W37" s="30" t="n">
        <v>47.07285857091063</v>
      </c>
      <c r="X37" s="30" t="n">
        <v>100.0073625726191</v>
      </c>
      <c r="Y37" s="30" t="n">
        <v>321.0330933322819</v>
      </c>
      <c r="Z37" s="30" t="n">
        <v>5766.92625806287</v>
      </c>
      <c r="AA37" s="30" t="n">
        <v>227.0194451446135</v>
      </c>
      <c r="AB37" s="30" t="n">
        <v>16.46183555863945</v>
      </c>
      <c r="AC37" s="30" t="n">
        <v>99.1403315695505</v>
      </c>
      <c r="AD37" s="30" t="n">
        <v>317.0279328759199</v>
      </c>
      <c r="AE37" s="30" t="n">
        <v>216.5042864672095</v>
      </c>
      <c r="AF37" s="30" t="n">
        <v>36.00077900978197</v>
      </c>
      <c r="AG37" s="30" t="n">
        <v>1286.768399828264</v>
      </c>
      <c r="AH37" s="30" t="n">
        <v>86.54397579268058</v>
      </c>
      <c r="AI37" s="30" t="n">
        <v>98.84271169611989</v>
      </c>
      <c r="AJ37" s="30" t="n">
        <v>269.0010546304314</v>
      </c>
      <c r="AK37" s="30" t="n">
        <v>1137.965105495761</v>
      </c>
      <c r="AL37" s="30" t="n">
        <v>31212.05475146923</v>
      </c>
      <c r="AM37" s="30" t="n">
        <v>327.7058901716691</v>
      </c>
      <c r="AN37" s="30" t="n">
        <v>70.42947035146247</v>
      </c>
      <c r="AO37" s="30" t="n">
        <v>50.80781633825433</v>
      </c>
      <c r="AP37" s="30" t="n">
        <v>34.56782533165389</v>
      </c>
      <c r="AQ37" s="30" t="n">
        <v>1104.14198967083</v>
      </c>
      <c r="AR37" s="30" t="n">
        <v>2.270732425784344</v>
      </c>
      <c r="AS37" s="30" t="n">
        <v>399.0591128580342</v>
      </c>
      <c r="AT37" s="30" t="n">
        <v>62.61404495848065</v>
      </c>
      <c r="AU37" s="30" t="n">
        <v>16.41580464899888</v>
      </c>
      <c r="AV37" s="30" t="n">
        <v>76.24552209474085</v>
      </c>
      <c r="AW37" s="30" t="n">
        <v>179.5578193653978</v>
      </c>
      <c r="AX37" s="30" t="n">
        <v>0</v>
      </c>
      <c r="AY37" s="30" t="n">
        <v>110.926872897026</v>
      </c>
      <c r="AZ37" s="30" t="n">
        <v>98.37536086329361</v>
      </c>
      <c r="BA37" s="30" t="n">
        <v>287.967333845452</v>
      </c>
      <c r="BB37" s="30">
        <f>SUM(C37:BA37)</f>
        <v/>
      </c>
      <c r="BC37" s="30" t="n">
        <v>0</v>
      </c>
      <c r="BD37" s="30" t="n">
        <v>0</v>
      </c>
      <c r="BE37" s="30" t="n">
        <v>5486.494096106346</v>
      </c>
      <c r="BF37" s="30" t="n">
        <v>0</v>
      </c>
      <c r="BG37" s="30">
        <f>SUM(BC37:BF37)</f>
        <v/>
      </c>
      <c r="BH37" s="30">
        <f>BB37+BG37</f>
        <v/>
      </c>
    </row>
    <row r="38">
      <c r="A38" s="28" t="n">
        <v>25</v>
      </c>
      <c r="B38" s="29" t="inlineStr">
        <is>
          <t>Fabricação de aço e derivados</t>
        </is>
      </c>
      <c r="C38" s="28" t="n">
        <v>115.7038135653298</v>
      </c>
      <c r="D38" s="28" t="n">
        <v>205.8601846162835</v>
      </c>
      <c r="E38" s="28" t="n">
        <v>1525.763769100341</v>
      </c>
      <c r="F38" s="28" t="n">
        <v>18.20650701626288</v>
      </c>
      <c r="G38" s="28" t="n">
        <v>163.7468674293332</v>
      </c>
      <c r="H38" s="28" t="n">
        <v>309.7939615600024</v>
      </c>
      <c r="I38" s="28" t="n">
        <v>2.550638791780882</v>
      </c>
      <c r="J38" s="28" t="n">
        <v>8.688715732957389</v>
      </c>
      <c r="K38" s="28" t="n">
        <v>6.72003481891718</v>
      </c>
      <c r="L38" s="28" t="n">
        <v>5.751069864129792</v>
      </c>
      <c r="M38" s="28" t="n">
        <v>7.055492182113095</v>
      </c>
      <c r="N38" s="28" t="n">
        <v>122.6507540115228</v>
      </c>
      <c r="O38" s="28" t="n">
        <v>6.400720558176238</v>
      </c>
      <c r="P38" s="28" t="n">
        <v>15.14582895416715</v>
      </c>
      <c r="Q38" s="28" t="n">
        <v>4.815255819313509</v>
      </c>
      <c r="R38" s="28" t="n">
        <v>36.17313178281802</v>
      </c>
      <c r="S38" s="28" t="n">
        <v>15.81330091090536</v>
      </c>
      <c r="T38" s="28" t="n">
        <v>19.05498498363043</v>
      </c>
      <c r="U38" s="28" t="n">
        <v>8.102810340240159</v>
      </c>
      <c r="V38" s="28" t="n">
        <v>23.87843460600358</v>
      </c>
      <c r="W38" s="28" t="n">
        <v>20.1600132321974</v>
      </c>
      <c r="X38" s="28" t="n">
        <v>19.70451882506682</v>
      </c>
      <c r="Y38" s="28" t="n">
        <v>598.421898424946</v>
      </c>
      <c r="Z38" s="28" t="n">
        <v>473.4683107216441</v>
      </c>
      <c r="AA38" s="28" t="n">
        <v>8500.666349175013</v>
      </c>
      <c r="AB38" s="28" t="n">
        <v>694.0408380156398</v>
      </c>
      <c r="AC38" s="28" t="n">
        <v>12925.12287795576</v>
      </c>
      <c r="AD38" s="28" t="n">
        <v>6405.690042682488</v>
      </c>
      <c r="AE38" s="28" t="n">
        <v>2611.288207075127</v>
      </c>
      <c r="AF38" s="28" t="n">
        <v>127.2038493400373</v>
      </c>
      <c r="AG38" s="28" t="n">
        <v>5393.676302153904</v>
      </c>
      <c r="AH38" s="28" t="n">
        <v>6242.280067530864</v>
      </c>
      <c r="AI38" s="28" t="n">
        <v>813.9923166173492</v>
      </c>
      <c r="AJ38" s="28" t="n">
        <v>911.7584911324275</v>
      </c>
      <c r="AK38" s="28" t="n">
        <v>229.4880310360602</v>
      </c>
      <c r="AL38" s="28" t="n">
        <v>12258.81945519777</v>
      </c>
      <c r="AM38" s="28" t="n">
        <v>898.4254545042515</v>
      </c>
      <c r="AN38" s="28" t="n">
        <v>99.25772841581116</v>
      </c>
      <c r="AO38" s="28" t="n">
        <v>83.75524805111044</v>
      </c>
      <c r="AP38" s="28" t="n">
        <v>73.75348408783304</v>
      </c>
      <c r="AQ38" s="28" t="n">
        <v>19.55897995848747</v>
      </c>
      <c r="AR38" s="28" t="n">
        <v>2.567155196430827</v>
      </c>
      <c r="AS38" s="28" t="n">
        <v>56.12904678267623</v>
      </c>
      <c r="AT38" s="28" t="n">
        <v>266.0284047332666</v>
      </c>
      <c r="AU38" s="28" t="n">
        <v>27.80942198769012</v>
      </c>
      <c r="AV38" s="28" t="n">
        <v>14.78026284515685</v>
      </c>
      <c r="AW38" s="28" t="n">
        <v>62.92862204596304</v>
      </c>
      <c r="AX38" s="28" t="n">
        <v>0</v>
      </c>
      <c r="AY38" s="28" t="n">
        <v>39.03243230706935</v>
      </c>
      <c r="AZ38" s="28" t="n">
        <v>21.33458198224545</v>
      </c>
      <c r="BA38" s="28" t="n">
        <v>153.0738831190205</v>
      </c>
      <c r="BB38" s="28">
        <f>SUM(C38:BA38)</f>
        <v/>
      </c>
      <c r="BC38" s="28" t="n">
        <v>0</v>
      </c>
      <c r="BD38" s="28" t="n">
        <v>0</v>
      </c>
      <c r="BE38" s="28" t="n">
        <v>9953.923208609292</v>
      </c>
      <c r="BF38" s="28" t="n">
        <v>0</v>
      </c>
      <c r="BG38" s="28">
        <f>SUM(BC38:BF38)</f>
        <v/>
      </c>
      <c r="BH38" s="28">
        <f>BB38+BG38</f>
        <v/>
      </c>
    </row>
    <row r="39">
      <c r="A39" s="30" t="n">
        <v>26</v>
      </c>
      <c r="B39" s="31" t="inlineStr">
        <is>
          <t>Metalurgia de metais não-ferrosos</t>
        </is>
      </c>
      <c r="C39" s="30" t="n">
        <v>357.2271734598385</v>
      </c>
      <c r="D39" s="30" t="n">
        <v>47.59189047554482</v>
      </c>
      <c r="E39" s="30" t="n">
        <v>40.09398692173698</v>
      </c>
      <c r="F39" s="30" t="n">
        <v>10.49150161424794</v>
      </c>
      <c r="G39" s="30" t="n">
        <v>64.25606555621466</v>
      </c>
      <c r="H39" s="30" t="n">
        <v>487.0762420309974</v>
      </c>
      <c r="I39" s="30" t="n">
        <v>1.046665413187835</v>
      </c>
      <c r="J39" s="30" t="n">
        <v>9.13229511023532</v>
      </c>
      <c r="K39" s="30" t="n">
        <v>8.189005095723665</v>
      </c>
      <c r="L39" s="30" t="n">
        <v>5.680327497506988</v>
      </c>
      <c r="M39" s="30" t="n">
        <v>3.272078574460067</v>
      </c>
      <c r="N39" s="30" t="n">
        <v>190.2859678315496</v>
      </c>
      <c r="O39" s="30" t="n">
        <v>207.121957298641</v>
      </c>
      <c r="P39" s="30" t="n">
        <v>6.025526140371517</v>
      </c>
      <c r="Q39" s="30" t="n">
        <v>3.015711848200076</v>
      </c>
      <c r="R39" s="30" t="n">
        <v>275.6216484729175</v>
      </c>
      <c r="S39" s="30" t="n">
        <v>18.8263388578481</v>
      </c>
      <c r="T39" s="30" t="n">
        <v>14.45622866026101</v>
      </c>
      <c r="U39" s="30" t="n">
        <v>13.1512981503127</v>
      </c>
      <c r="V39" s="30" t="n">
        <v>24.51317607347213</v>
      </c>
      <c r="W39" s="30" t="n">
        <v>34.68482558844099</v>
      </c>
      <c r="X39" s="30" t="n">
        <v>141.2880282104811</v>
      </c>
      <c r="Y39" s="30" t="n">
        <v>62.91150091412774</v>
      </c>
      <c r="Z39" s="30" t="n">
        <v>84.58567076175073</v>
      </c>
      <c r="AA39" s="30" t="n">
        <v>902.5247803088516</v>
      </c>
      <c r="AB39" s="30" t="n">
        <v>4578.926629156525</v>
      </c>
      <c r="AC39" s="30" t="n">
        <v>1060.913284939099</v>
      </c>
      <c r="AD39" s="30" t="n">
        <v>1986.261793522974</v>
      </c>
      <c r="AE39" s="30" t="n">
        <v>5084.812386441212</v>
      </c>
      <c r="AF39" s="30" t="n">
        <v>173.3751545674866</v>
      </c>
      <c r="AG39" s="30" t="n">
        <v>389.4633329911874</v>
      </c>
      <c r="AH39" s="30" t="n">
        <v>3372.110669832048</v>
      </c>
      <c r="AI39" s="30" t="n">
        <v>605.9467525954386</v>
      </c>
      <c r="AJ39" s="30" t="n">
        <v>1202.364177125526</v>
      </c>
      <c r="AK39" s="30" t="n">
        <v>142.6567940931506</v>
      </c>
      <c r="AL39" s="30" t="n">
        <v>2525.340746253387</v>
      </c>
      <c r="AM39" s="30" t="n">
        <v>554.5938878451047</v>
      </c>
      <c r="AN39" s="30" t="n">
        <v>54.2584755694778</v>
      </c>
      <c r="AO39" s="30" t="n">
        <v>54.61803534948069</v>
      </c>
      <c r="AP39" s="30" t="n">
        <v>60.52412953533434</v>
      </c>
      <c r="AQ39" s="30" t="n">
        <v>51.82955929131226</v>
      </c>
      <c r="AR39" s="30" t="n">
        <v>3.233706626813422</v>
      </c>
      <c r="AS39" s="30" t="n">
        <v>48.94880785633202</v>
      </c>
      <c r="AT39" s="30" t="n">
        <v>87.83311795921723</v>
      </c>
      <c r="AU39" s="30" t="n">
        <v>29.20693129881539</v>
      </c>
      <c r="AV39" s="30" t="n">
        <v>28.01831654638326</v>
      </c>
      <c r="AW39" s="30" t="n">
        <v>69.46961767903001</v>
      </c>
      <c r="AX39" s="30" t="n">
        <v>0</v>
      </c>
      <c r="AY39" s="30" t="n">
        <v>10.13342137467283</v>
      </c>
      <c r="AZ39" s="30" t="n">
        <v>12.01781403161336</v>
      </c>
      <c r="BA39" s="30" t="n">
        <v>43.74784433419714</v>
      </c>
      <c r="BB39" s="30">
        <f>SUM(C39:BA39)</f>
        <v/>
      </c>
      <c r="BC39" s="30" t="n">
        <v>0</v>
      </c>
      <c r="BD39" s="30" t="n">
        <v>0</v>
      </c>
      <c r="BE39" s="30" t="n">
        <v>7222.916686194018</v>
      </c>
      <c r="BF39" s="30" t="n">
        <v>0</v>
      </c>
      <c r="BG39" s="30">
        <f>SUM(BC39:BF39)</f>
        <v/>
      </c>
      <c r="BH39" s="30">
        <f>BB39+BG39</f>
        <v/>
      </c>
    </row>
    <row r="40">
      <c r="A40" s="29" t="inlineStr">
        <is>
          <t>Produtos de metal</t>
        </is>
      </c>
      <c r="B40" s="29" t="inlineStr">
        <is>
          <t>exclusive máquinas e equipamentos</t>
        </is>
      </c>
      <c r="C40" s="28" t="n">
        <v>278.4214620145971</v>
      </c>
      <c r="D40" s="28" t="n">
        <v>397.810055794051</v>
      </c>
      <c r="E40" s="28" t="n">
        <v>991.6553654381546</v>
      </c>
      <c r="F40" s="28" t="n">
        <v>384.5599357722625</v>
      </c>
      <c r="G40" s="28" t="n">
        <v>209.6587692681698</v>
      </c>
      <c r="H40" s="28" t="n">
        <v>5002.931359431712</v>
      </c>
      <c r="I40" s="28" t="n">
        <v>23.29352248966906</v>
      </c>
      <c r="J40" s="28" t="n">
        <v>81.99786493888925</v>
      </c>
      <c r="K40" s="28" t="n">
        <v>87.55498794230964</v>
      </c>
      <c r="L40" s="28" t="n">
        <v>52.82451635883366</v>
      </c>
      <c r="M40" s="28" t="n">
        <v>220.517627535058</v>
      </c>
      <c r="N40" s="28" t="n">
        <v>108.7522564972839</v>
      </c>
      <c r="O40" s="28" t="n">
        <v>35.05489683231846</v>
      </c>
      <c r="P40" s="28" t="n">
        <v>203.651566587224</v>
      </c>
      <c r="Q40" s="28" t="n">
        <v>42.37915910503838</v>
      </c>
      <c r="R40" s="28" t="n">
        <v>211.3008942558541</v>
      </c>
      <c r="S40" s="28" t="n">
        <v>89.14727751166606</v>
      </c>
      <c r="T40" s="28" t="n">
        <v>106.1093909733183</v>
      </c>
      <c r="U40" s="28" t="n">
        <v>41.08776892186237</v>
      </c>
      <c r="V40" s="28" t="n">
        <v>625.0741695822154</v>
      </c>
      <c r="W40" s="28" t="n">
        <v>573.8139353317424</v>
      </c>
      <c r="X40" s="28" t="n">
        <v>38.96822353331731</v>
      </c>
      <c r="Y40" s="28" t="n">
        <v>169.9862766045524</v>
      </c>
      <c r="Z40" s="28" t="n">
        <v>168.5869200921178</v>
      </c>
      <c r="AA40" s="28" t="n">
        <v>1592.592160153284</v>
      </c>
      <c r="AB40" s="28" t="n">
        <v>189.8268757800971</v>
      </c>
      <c r="AC40" s="28" t="n">
        <v>4621.940415663952</v>
      </c>
      <c r="AD40" s="28" t="n">
        <v>5139.673403171279</v>
      </c>
      <c r="AE40" s="28" t="n">
        <v>1693.826175367122</v>
      </c>
      <c r="AF40" s="28" t="n">
        <v>819.5875794096153</v>
      </c>
      <c r="AG40" s="28" t="n">
        <v>2908.368822531618</v>
      </c>
      <c r="AH40" s="28" t="n">
        <v>2006.197498129189</v>
      </c>
      <c r="AI40" s="28" t="n">
        <v>1595.330391255441</v>
      </c>
      <c r="AJ40" s="28" t="n">
        <v>753.3179637072268</v>
      </c>
      <c r="AK40" s="28" t="n">
        <v>1743.020061864576</v>
      </c>
      <c r="AL40" s="28" t="n">
        <v>16051.39560743899</v>
      </c>
      <c r="AM40" s="28" t="n">
        <v>1180.704322920299</v>
      </c>
      <c r="AN40" s="28" t="n">
        <v>200.5456747914589</v>
      </c>
      <c r="AO40" s="28" t="n">
        <v>114.4698153879075</v>
      </c>
      <c r="AP40" s="28" t="n">
        <v>62.15798045600494</v>
      </c>
      <c r="AQ40" s="28" t="n">
        <v>278.4381405768518</v>
      </c>
      <c r="AR40" s="28" t="n">
        <v>6.125127206855265</v>
      </c>
      <c r="AS40" s="28" t="n">
        <v>1212.087378991959</v>
      </c>
      <c r="AT40" s="28" t="n">
        <v>219.775433201459</v>
      </c>
      <c r="AU40" s="28" t="n">
        <v>29.36103611193318</v>
      </c>
      <c r="AV40" s="28" t="n">
        <v>38.06676269959038</v>
      </c>
      <c r="AW40" s="28" t="n">
        <v>292.2306173992254</v>
      </c>
      <c r="AX40" s="28" t="n">
        <v>0</v>
      </c>
      <c r="AY40" s="28" t="n">
        <v>64.08247799457854</v>
      </c>
      <c r="AZ40" s="28" t="n">
        <v>60.84583032585733</v>
      </c>
      <c r="BA40" s="28" t="n">
        <v>803.5259030164676</v>
      </c>
      <c r="BB40" s="28">
        <f>SUM(C40:BA40)</f>
        <v/>
      </c>
      <c r="BC40" s="28" t="n">
        <v>0</v>
      </c>
      <c r="BD40" s="28" t="n">
        <v>0</v>
      </c>
      <c r="BE40" s="28" t="n">
        <v>13793.45965733862</v>
      </c>
      <c r="BF40" s="28" t="n">
        <v>0</v>
      </c>
      <c r="BG40" s="28">
        <f>SUM(BC40:BF40)</f>
        <v/>
      </c>
      <c r="BH40" s="28">
        <f>BB40+BG40</f>
        <v/>
      </c>
    </row>
    <row r="41">
      <c r="A41" s="30" t="n">
        <v>28</v>
      </c>
      <c r="B41" s="31" t="inlineStr">
        <is>
          <t>Máquinas e equipamentos inclusive manutenção e reparos</t>
        </is>
      </c>
      <c r="C41" s="30" t="n">
        <v>112.3799866419606</v>
      </c>
      <c r="D41" s="30" t="n">
        <v>56.06505240697749</v>
      </c>
      <c r="E41" s="30" t="n">
        <v>3259.759322370508</v>
      </c>
      <c r="F41" s="30" t="n">
        <v>1939.029906055291</v>
      </c>
      <c r="G41" s="30" t="n">
        <v>1163.170722619028</v>
      </c>
      <c r="H41" s="30" t="n">
        <v>1360.95634609047</v>
      </c>
      <c r="I41" s="30" t="n">
        <v>11.04887666908121</v>
      </c>
      <c r="J41" s="30" t="n">
        <v>155.6087511629896</v>
      </c>
      <c r="K41" s="30" t="n">
        <v>258.3993364740948</v>
      </c>
      <c r="L41" s="30" t="n">
        <v>84.25026441215009</v>
      </c>
      <c r="M41" s="30" t="n">
        <v>239.5527578682035</v>
      </c>
      <c r="N41" s="30" t="n">
        <v>1010.081250552487</v>
      </c>
      <c r="O41" s="30" t="n">
        <v>622.6006470340716</v>
      </c>
      <c r="P41" s="30" t="n">
        <v>274.5899446552597</v>
      </c>
      <c r="Q41" s="30" t="n">
        <v>233.9020293985243</v>
      </c>
      <c r="R41" s="30" t="n">
        <v>370.2689143703028</v>
      </c>
      <c r="S41" s="30" t="n">
        <v>154.9393910621749</v>
      </c>
      <c r="T41" s="30" t="n">
        <v>274.3021215977888</v>
      </c>
      <c r="U41" s="30" t="n">
        <v>77.09821135205405</v>
      </c>
      <c r="V41" s="30" t="n">
        <v>117.9064950220876</v>
      </c>
      <c r="W41" s="30" t="n">
        <v>147.168118479154</v>
      </c>
      <c r="X41" s="30" t="n">
        <v>139.5367652548908</v>
      </c>
      <c r="Y41" s="30" t="n">
        <v>358.3029046945269</v>
      </c>
      <c r="Z41" s="30" t="n">
        <v>1133.953001660721</v>
      </c>
      <c r="AA41" s="30" t="n">
        <v>3644.87460006934</v>
      </c>
      <c r="AB41" s="30" t="n">
        <v>808.1630957794899</v>
      </c>
      <c r="AC41" s="30" t="n">
        <v>490.0853785196894</v>
      </c>
      <c r="AD41" s="30" t="n">
        <v>16164.36261738027</v>
      </c>
      <c r="AE41" s="30" t="n">
        <v>851.41036027134</v>
      </c>
      <c r="AF41" s="30" t="n">
        <v>284.3996462361901</v>
      </c>
      <c r="AG41" s="30" t="n">
        <v>1684.421194412517</v>
      </c>
      <c r="AH41" s="30" t="n">
        <v>600.6613485434121</v>
      </c>
      <c r="AI41" s="30" t="n">
        <v>624.9787195133498</v>
      </c>
      <c r="AJ41" s="30" t="n">
        <v>270.7528502235849</v>
      </c>
      <c r="AK41" s="30" t="n">
        <v>1157.009515511765</v>
      </c>
      <c r="AL41" s="30" t="n">
        <v>4115.032198372441</v>
      </c>
      <c r="AM41" s="30" t="n">
        <v>2675.180690775499</v>
      </c>
      <c r="AN41" s="30" t="n">
        <v>2455.480282358672</v>
      </c>
      <c r="AO41" s="30" t="n">
        <v>1220.212166616735</v>
      </c>
      <c r="AP41" s="30" t="n">
        <v>217.07601893129</v>
      </c>
      <c r="AQ41" s="30" t="n">
        <v>59.0530766478157</v>
      </c>
      <c r="AR41" s="30" t="n">
        <v>36.3326165357912</v>
      </c>
      <c r="AS41" s="30" t="n">
        <v>155.3292088829965</v>
      </c>
      <c r="AT41" s="30" t="n">
        <v>1398.419298869404</v>
      </c>
      <c r="AU41" s="30" t="n">
        <v>13.58156691846683</v>
      </c>
      <c r="AV41" s="30" t="n">
        <v>321.9655334542645</v>
      </c>
      <c r="AW41" s="30" t="n">
        <v>1044.013362112124</v>
      </c>
      <c r="AX41" s="30" t="n">
        <v>0</v>
      </c>
      <c r="AY41" s="30" t="n">
        <v>77.84980417221794</v>
      </c>
      <c r="AZ41" s="30" t="n">
        <v>452.1640830379073</v>
      </c>
      <c r="BA41" s="30" t="n">
        <v>531.367814929049</v>
      </c>
      <c r="BB41" s="30">
        <f>SUM(C41:BA41)</f>
        <v/>
      </c>
      <c r="BC41" s="30" t="n">
        <v>0</v>
      </c>
      <c r="BD41" s="30" t="n">
        <v>0</v>
      </c>
      <c r="BE41" s="30" t="n">
        <v>52514.15607345305</v>
      </c>
      <c r="BF41" s="30" t="n">
        <v>0</v>
      </c>
      <c r="BG41" s="30">
        <f>SUM(BC41:BF41)</f>
        <v/>
      </c>
      <c r="BH41" s="30">
        <f>BB41+BG41</f>
        <v/>
      </c>
    </row>
    <row r="42">
      <c r="A42" s="28" t="n">
        <v>29</v>
      </c>
      <c r="B42" s="29" t="inlineStr">
        <is>
          <t>Eletrodomésticos e material eletronico</t>
        </is>
      </c>
      <c r="C42" s="28" t="n">
        <v>30.04751936796267</v>
      </c>
      <c r="D42" s="28" t="n">
        <v>63.50280063246073</v>
      </c>
      <c r="E42" s="28" t="n">
        <v>162.1503216958718</v>
      </c>
      <c r="F42" s="28" t="n">
        <v>37.05443262053474</v>
      </c>
      <c r="G42" s="28" t="n">
        <v>38.64219653261828</v>
      </c>
      <c r="H42" s="28" t="n">
        <v>206.7032927885354</v>
      </c>
      <c r="I42" s="28" t="n">
        <v>4.95256136343784</v>
      </c>
      <c r="J42" s="28" t="n">
        <v>45.56854176073031</v>
      </c>
      <c r="K42" s="28" t="n">
        <v>22.3270307416242</v>
      </c>
      <c r="L42" s="28" t="n">
        <v>12.23399208396792</v>
      </c>
      <c r="M42" s="28" t="n">
        <v>15.9800398137</v>
      </c>
      <c r="N42" s="28" t="n">
        <v>56.44424346447199</v>
      </c>
      <c r="O42" s="28" t="n">
        <v>20.03808603331879</v>
      </c>
      <c r="P42" s="28" t="n">
        <v>10.87680468711147</v>
      </c>
      <c r="Q42" s="28" t="n">
        <v>7.709537837746173</v>
      </c>
      <c r="R42" s="28" t="n">
        <v>50.90270379308348</v>
      </c>
      <c r="S42" s="28" t="n">
        <v>22.34835360915342</v>
      </c>
      <c r="T42" s="28" t="n">
        <v>17.94441135224134</v>
      </c>
      <c r="U42" s="28" t="n">
        <v>5.370126466395342</v>
      </c>
      <c r="V42" s="28" t="n">
        <v>18.76803377461449</v>
      </c>
      <c r="W42" s="28" t="n">
        <v>9.503228924160402</v>
      </c>
      <c r="X42" s="28" t="n">
        <v>13.35289594649634</v>
      </c>
      <c r="Y42" s="28" t="n">
        <v>83.28795634247533</v>
      </c>
      <c r="Z42" s="28" t="n">
        <v>99.70223014205057</v>
      </c>
      <c r="AA42" s="28" t="n">
        <v>84.38256230168373</v>
      </c>
      <c r="AB42" s="28" t="n">
        <v>111.2095357557867</v>
      </c>
      <c r="AC42" s="28" t="n">
        <v>86.59860345128614</v>
      </c>
      <c r="AD42" s="28" t="n">
        <v>2718.806646819851</v>
      </c>
      <c r="AE42" s="28" t="n">
        <v>5146.763578359395</v>
      </c>
      <c r="AF42" s="28" t="n">
        <v>1189.436481550606</v>
      </c>
      <c r="AG42" s="28" t="n">
        <v>798.5378381741275</v>
      </c>
      <c r="AH42" s="28" t="n">
        <v>702.2867923540047</v>
      </c>
      <c r="AI42" s="28" t="n">
        <v>233.0700811372677</v>
      </c>
      <c r="AJ42" s="28" t="n">
        <v>163.4062108272113</v>
      </c>
      <c r="AK42" s="28" t="n">
        <v>2828.299273378044</v>
      </c>
      <c r="AL42" s="28" t="n">
        <v>6245.220010456773</v>
      </c>
      <c r="AM42" s="28" t="n">
        <v>830.3779334084792</v>
      </c>
      <c r="AN42" s="28" t="n">
        <v>759.0900817890282</v>
      </c>
      <c r="AO42" s="28" t="n">
        <v>683.4908465194969</v>
      </c>
      <c r="AP42" s="28" t="n">
        <v>78.5188760468088</v>
      </c>
      <c r="AQ42" s="28" t="n">
        <v>248.7313050809332</v>
      </c>
      <c r="AR42" s="28" t="n">
        <v>177.8989282118946</v>
      </c>
      <c r="AS42" s="28" t="n">
        <v>58.47316969921842</v>
      </c>
      <c r="AT42" s="28" t="n">
        <v>528.5474923718276</v>
      </c>
      <c r="AU42" s="28" t="n">
        <v>16.89367450818679</v>
      </c>
      <c r="AV42" s="28" t="n">
        <v>110.897696935663</v>
      </c>
      <c r="AW42" s="28" t="n">
        <v>779.0039174261503</v>
      </c>
      <c r="AX42" s="28" t="n">
        <v>0</v>
      </c>
      <c r="AY42" s="28" t="n">
        <v>54.46611728907408</v>
      </c>
      <c r="AZ42" s="28" t="n">
        <v>44.89370536066718</v>
      </c>
      <c r="BA42" s="28" t="n">
        <v>114.2475853877586</v>
      </c>
      <c r="BB42" s="28">
        <f>SUM(C42:BA42)</f>
        <v/>
      </c>
      <c r="BC42" s="28" t="n">
        <v>0</v>
      </c>
      <c r="BD42" s="28" t="n">
        <v>0</v>
      </c>
      <c r="BE42" s="28" t="n">
        <v>26063.15116302371</v>
      </c>
      <c r="BF42" s="28" t="n">
        <v>0</v>
      </c>
      <c r="BG42" s="28">
        <f>SUM(BC42:BF42)</f>
        <v/>
      </c>
      <c r="BH42" s="28">
        <f>BB42+BG42</f>
        <v/>
      </c>
    </row>
    <row r="43">
      <c r="A43" s="30" t="n">
        <v>30</v>
      </c>
      <c r="B43" s="31" t="inlineStr">
        <is>
          <t>Máquinas para escritório aparelhos e e material eletronico</t>
        </is>
      </c>
      <c r="C43" s="30" t="n">
        <v>6.67588617108828</v>
      </c>
      <c r="D43" s="30" t="n">
        <v>5.61487113548387</v>
      </c>
      <c r="E43" s="30" t="n">
        <v>173.4238586164066</v>
      </c>
      <c r="F43" s="30" t="n">
        <v>29.06492499354468</v>
      </c>
      <c r="G43" s="30" t="n">
        <v>68.04827416390155</v>
      </c>
      <c r="H43" s="30" t="n">
        <v>207.0735686320818</v>
      </c>
      <c r="I43" s="30" t="n">
        <v>5.242694972401307</v>
      </c>
      <c r="J43" s="30" t="n">
        <v>17.05629819970042</v>
      </c>
      <c r="K43" s="30" t="n">
        <v>13.75879613566118</v>
      </c>
      <c r="L43" s="30" t="n">
        <v>12.22501012782989</v>
      </c>
      <c r="M43" s="30" t="n">
        <v>10.82808622349897</v>
      </c>
      <c r="N43" s="30" t="n">
        <v>40.07893076560395</v>
      </c>
      <c r="O43" s="30" t="n">
        <v>180.6337354247893</v>
      </c>
      <c r="P43" s="30" t="n">
        <v>18.09706969337932</v>
      </c>
      <c r="Q43" s="30" t="n">
        <v>8.502137308176049</v>
      </c>
      <c r="R43" s="30" t="n">
        <v>20.56055189080496</v>
      </c>
      <c r="S43" s="30" t="n">
        <v>16.40101294302411</v>
      </c>
      <c r="T43" s="30" t="n">
        <v>49.77533057054111</v>
      </c>
      <c r="U43" s="30" t="n">
        <v>11.53214058338507</v>
      </c>
      <c r="V43" s="30" t="n">
        <v>30.71361755418799</v>
      </c>
      <c r="W43" s="30" t="n">
        <v>21.48226965642701</v>
      </c>
      <c r="X43" s="30" t="n">
        <v>49.85319158229389</v>
      </c>
      <c r="Y43" s="30" t="n">
        <v>57.37737465661283</v>
      </c>
      <c r="Z43" s="30" t="n">
        <v>37.27721727082419</v>
      </c>
      <c r="AA43" s="30" t="n">
        <v>58.4672377885222</v>
      </c>
      <c r="AB43" s="30" t="n">
        <v>18.67353851573665</v>
      </c>
      <c r="AC43" s="30" t="n">
        <v>27.39293083249321</v>
      </c>
      <c r="AD43" s="30" t="n">
        <v>687.7617891443475</v>
      </c>
      <c r="AE43" s="30" t="n">
        <v>352.6428175181217</v>
      </c>
      <c r="AF43" s="30" t="n">
        <v>11324.10701606207</v>
      </c>
      <c r="AG43" s="30" t="n">
        <v>231.6094719700076</v>
      </c>
      <c r="AH43" s="30" t="n">
        <v>117.9891839062277</v>
      </c>
      <c r="AI43" s="30" t="n">
        <v>48.64211374859661</v>
      </c>
      <c r="AJ43" s="30" t="n">
        <v>43.61645351158277</v>
      </c>
      <c r="AK43" s="30" t="n">
        <v>174.2345464909257</v>
      </c>
      <c r="AL43" s="30" t="n">
        <v>440.393665564482</v>
      </c>
      <c r="AM43" s="30" t="n">
        <v>418.2821078915496</v>
      </c>
      <c r="AN43" s="30" t="n">
        <v>224.3894156026157</v>
      </c>
      <c r="AO43" s="30" t="n">
        <v>1943.645963585236</v>
      </c>
      <c r="AP43" s="30" t="n">
        <v>388.8352911483832</v>
      </c>
      <c r="AQ43" s="30" t="n">
        <v>17.72598425480047</v>
      </c>
      <c r="AR43" s="30" t="n">
        <v>486.5908132564454</v>
      </c>
      <c r="AS43" s="30" t="n">
        <v>23.06511855338821</v>
      </c>
      <c r="AT43" s="30" t="n">
        <v>1663.937207595452</v>
      </c>
      <c r="AU43" s="30" t="n">
        <v>110.2832712672445</v>
      </c>
      <c r="AV43" s="30" t="n">
        <v>3013.245745238963</v>
      </c>
      <c r="AW43" s="30" t="n">
        <v>229.1804043053334</v>
      </c>
      <c r="AX43" s="30" t="n">
        <v>0</v>
      </c>
      <c r="AY43" s="30" t="n">
        <v>766.4634285890394</v>
      </c>
      <c r="AZ43" s="30" t="n">
        <v>870.1918790657118</v>
      </c>
      <c r="BA43" s="30" t="n">
        <v>470.3448910721622</v>
      </c>
      <c r="BB43" s="30">
        <f>SUM(C43:BA43)</f>
        <v/>
      </c>
      <c r="BC43" s="30" t="n">
        <v>0</v>
      </c>
      <c r="BD43" s="30" t="n">
        <v>0</v>
      </c>
      <c r="BE43" s="30" t="n">
        <v>37024.93024581926</v>
      </c>
      <c r="BF43" s="30" t="n">
        <v>0</v>
      </c>
      <c r="BG43" s="30">
        <f>SUM(BC43:BF43)</f>
        <v/>
      </c>
      <c r="BH43" s="30">
        <f>BB43+BG43</f>
        <v/>
      </c>
    </row>
    <row r="44">
      <c r="A44" s="28" t="n">
        <v>31</v>
      </c>
      <c r="B44" s="29" t="inlineStr">
        <is>
          <t>Automóveis camionetas caminhões e ônibus</t>
        </is>
      </c>
      <c r="C44" s="28" t="n">
        <v>6.574346470615077</v>
      </c>
      <c r="D44" s="28" t="n">
        <v>3.559421264477816</v>
      </c>
      <c r="E44" s="28" t="n">
        <v>68.33044680786526</v>
      </c>
      <c r="F44" s="28" t="n">
        <v>21.25304079546498</v>
      </c>
      <c r="G44" s="28" t="n">
        <v>13.61122080696818</v>
      </c>
      <c r="H44" s="28" t="n">
        <v>232.4110023092262</v>
      </c>
      <c r="I44" s="28" t="n">
        <v>9.066287752880399</v>
      </c>
      <c r="J44" s="28" t="n">
        <v>16.34467302924344</v>
      </c>
      <c r="K44" s="28" t="n">
        <v>18.42612930803517</v>
      </c>
      <c r="L44" s="28" t="n">
        <v>15.7645352834782</v>
      </c>
      <c r="M44" s="28" t="n">
        <v>4.538841560837435</v>
      </c>
      <c r="N44" s="28" t="n">
        <v>33.14806406222024</v>
      </c>
      <c r="O44" s="28" t="n">
        <v>4.783053066959083</v>
      </c>
      <c r="P44" s="28" t="n">
        <v>20.2179692340253</v>
      </c>
      <c r="Q44" s="28" t="n">
        <v>7.413660630844033</v>
      </c>
      <c r="R44" s="28" t="n">
        <v>18.02227096392187</v>
      </c>
      <c r="S44" s="28" t="n">
        <v>8.475292008716906</v>
      </c>
      <c r="T44" s="28" t="n">
        <v>37.73526343468316</v>
      </c>
      <c r="U44" s="28" t="n">
        <v>11.38291479565009</v>
      </c>
      <c r="V44" s="28" t="n">
        <v>11.63738046594796</v>
      </c>
      <c r="W44" s="28" t="n">
        <v>8.894985386057815</v>
      </c>
      <c r="X44" s="28" t="n">
        <v>24.34779913027463</v>
      </c>
      <c r="Y44" s="28" t="n">
        <v>29.09662671868588</v>
      </c>
      <c r="Z44" s="28" t="n">
        <v>31.05415311454372</v>
      </c>
      <c r="AA44" s="28" t="n">
        <v>39.3409667760078</v>
      </c>
      <c r="AB44" s="28" t="n">
        <v>13.46326845009674</v>
      </c>
      <c r="AC44" s="28" t="n">
        <v>24.07172920382925</v>
      </c>
      <c r="AD44" s="28" t="n">
        <v>163.887587584223</v>
      </c>
      <c r="AE44" s="28" t="n">
        <v>98.28324308286503</v>
      </c>
      <c r="AF44" s="28" t="n">
        <v>54.75959814432109</v>
      </c>
      <c r="AG44" s="28" t="n">
        <v>3964.933759529237</v>
      </c>
      <c r="AH44" s="28" t="n">
        <v>107.6400672839429</v>
      </c>
      <c r="AI44" s="28" t="n">
        <v>56.84303307763975</v>
      </c>
      <c r="AJ44" s="28" t="n">
        <v>11.68696099792111</v>
      </c>
      <c r="AK44" s="28" t="n">
        <v>91.34855338085546</v>
      </c>
      <c r="AL44" s="28" t="n">
        <v>174.3857697428937</v>
      </c>
      <c r="AM44" s="28" t="n">
        <v>563.0693853926571</v>
      </c>
      <c r="AN44" s="28" t="n">
        <v>614.0596254105471</v>
      </c>
      <c r="AO44" s="28" t="n">
        <v>201.8163977371595</v>
      </c>
      <c r="AP44" s="28" t="n">
        <v>143.1483708049896</v>
      </c>
      <c r="AQ44" s="28" t="n">
        <v>13.36352325205188</v>
      </c>
      <c r="AR44" s="28" t="n">
        <v>1.561829883619488</v>
      </c>
      <c r="AS44" s="28" t="n">
        <v>15.76308661626791</v>
      </c>
      <c r="AT44" s="28" t="n">
        <v>184.2044126385378</v>
      </c>
      <c r="AU44" s="28" t="n">
        <v>24.52801873510557</v>
      </c>
      <c r="AV44" s="28" t="n">
        <v>16.35540211767703</v>
      </c>
      <c r="AW44" s="28" t="n">
        <v>61.76464891690824</v>
      </c>
      <c r="AX44" s="28" t="n">
        <v>0</v>
      </c>
      <c r="AY44" s="28" t="n">
        <v>32.05095760147443</v>
      </c>
      <c r="AZ44" s="28" t="n">
        <v>38.84337005862211</v>
      </c>
      <c r="BA44" s="28" t="n">
        <v>134.6910030214984</v>
      </c>
      <c r="BB44" s="28">
        <f>SUM(C44:BA44)</f>
        <v/>
      </c>
      <c r="BC44" s="28" t="n">
        <v>0</v>
      </c>
      <c r="BD44" s="28" t="n">
        <v>0</v>
      </c>
      <c r="BE44" s="28" t="n">
        <v>114046.8221400001</v>
      </c>
      <c r="BF44" s="28" t="n">
        <v>0</v>
      </c>
      <c r="BG44" s="28">
        <f>SUM(BC44:BF44)</f>
        <v/>
      </c>
      <c r="BH44" s="28">
        <f>BB44+BG44</f>
        <v/>
      </c>
    </row>
    <row r="45">
      <c r="A45" s="30" t="n">
        <v>32</v>
      </c>
      <c r="B45" s="31" t="inlineStr">
        <is>
          <t>Peças e acessórios para veículos automotores</t>
        </is>
      </c>
      <c r="C45" s="30" t="n">
        <v>13.56510552267084</v>
      </c>
      <c r="D45" s="30" t="n">
        <v>13.49018699072316</v>
      </c>
      <c r="E45" s="30" t="n">
        <v>95.00539964508296</v>
      </c>
      <c r="F45" s="30" t="n">
        <v>44.12320417306922</v>
      </c>
      <c r="G45" s="30" t="n">
        <v>37.31098951245493</v>
      </c>
      <c r="H45" s="30" t="n">
        <v>181.7664874627835</v>
      </c>
      <c r="I45" s="30" t="n">
        <v>2.405569752657282</v>
      </c>
      <c r="J45" s="30" t="n">
        <v>11.87931280717747</v>
      </c>
      <c r="K45" s="30" t="n">
        <v>17.49469357162977</v>
      </c>
      <c r="L45" s="30" t="n">
        <v>14.0990628778711</v>
      </c>
      <c r="M45" s="30" t="n">
        <v>8.140618496652111</v>
      </c>
      <c r="N45" s="30" t="n">
        <v>28.24632744611698</v>
      </c>
      <c r="O45" s="30" t="n">
        <v>21.32545461273357</v>
      </c>
      <c r="P45" s="30" t="n">
        <v>12.368894899933</v>
      </c>
      <c r="Q45" s="30" t="n">
        <v>7.583783861334282</v>
      </c>
      <c r="R45" s="30" t="n">
        <v>43.43245849714187</v>
      </c>
      <c r="S45" s="30" t="n">
        <v>6.800278640469939</v>
      </c>
      <c r="T45" s="30" t="n">
        <v>17.35259540934754</v>
      </c>
      <c r="U45" s="30" t="n">
        <v>6.065311783972577</v>
      </c>
      <c r="V45" s="30" t="n">
        <v>22.25937292768787</v>
      </c>
      <c r="W45" s="30" t="n">
        <v>13.26415415203722</v>
      </c>
      <c r="X45" s="30" t="n">
        <v>8.444623145719708</v>
      </c>
      <c r="Y45" s="30" t="n">
        <v>96.78332506138808</v>
      </c>
      <c r="Z45" s="30" t="n">
        <v>83.21845834153267</v>
      </c>
      <c r="AA45" s="30" t="n">
        <v>127.3563169542561</v>
      </c>
      <c r="AB45" s="30" t="n">
        <v>60.34425876235546</v>
      </c>
      <c r="AC45" s="30" t="n">
        <v>116.6639759149063</v>
      </c>
      <c r="AD45" s="30" t="n">
        <v>517.2913143959912</v>
      </c>
      <c r="AE45" s="30" t="n">
        <v>191.5665953673159</v>
      </c>
      <c r="AF45" s="30" t="n">
        <v>95.79735845357874</v>
      </c>
      <c r="AG45" s="30" t="n">
        <v>27750.11403242264</v>
      </c>
      <c r="AH45" s="30" t="n">
        <v>6958.892635130498</v>
      </c>
      <c r="AI45" s="30" t="n">
        <v>98.93352134384486</v>
      </c>
      <c r="AJ45" s="30" t="n">
        <v>35.08195951494711</v>
      </c>
      <c r="AK45" s="30" t="n">
        <v>86.48616748467099</v>
      </c>
      <c r="AL45" s="30" t="n">
        <v>570.1971146602014</v>
      </c>
      <c r="AM45" s="30" t="n">
        <v>8867.762066290203</v>
      </c>
      <c r="AN45" s="30" t="n">
        <v>6552.04582181064</v>
      </c>
      <c r="AO45" s="30" t="n">
        <v>80.01711270841213</v>
      </c>
      <c r="AP45" s="30" t="n">
        <v>60.3422399024329</v>
      </c>
      <c r="AQ45" s="30" t="n">
        <v>17.44976541882725</v>
      </c>
      <c r="AR45" s="30" t="n">
        <v>4.097902716438956</v>
      </c>
      <c r="AS45" s="30" t="n">
        <v>35.14286019443718</v>
      </c>
      <c r="AT45" s="30" t="n">
        <v>225.4666976075631</v>
      </c>
      <c r="AU45" s="30" t="n">
        <v>15.80169857110864</v>
      </c>
      <c r="AV45" s="30" t="n">
        <v>103.6384125537772</v>
      </c>
      <c r="AW45" s="30" t="n">
        <v>59.56301995305319</v>
      </c>
      <c r="AX45" s="30" t="n">
        <v>0</v>
      </c>
      <c r="AY45" s="30" t="n">
        <v>170.5327462721946</v>
      </c>
      <c r="AZ45" s="30" t="n">
        <v>121.3822163125953</v>
      </c>
      <c r="BA45" s="30" t="n">
        <v>747.4240418290377</v>
      </c>
      <c r="BB45" s="30">
        <f>SUM(C45:BA45)</f>
        <v/>
      </c>
      <c r="BC45" s="30" t="n">
        <v>0</v>
      </c>
      <c r="BD45" s="30" t="n">
        <v>0</v>
      </c>
      <c r="BE45" s="30" t="n">
        <v>8360.519666257142</v>
      </c>
      <c r="BF45" s="30" t="n">
        <v>0</v>
      </c>
      <c r="BG45" s="30">
        <f>SUM(BC45:BF45)</f>
        <v/>
      </c>
      <c r="BH45" s="30">
        <f>BB45+BG45</f>
        <v/>
      </c>
    </row>
    <row r="46">
      <c r="A46" s="28" t="n">
        <v>33</v>
      </c>
      <c r="B46" s="29" t="inlineStr">
        <is>
          <t>Outros equipamentos de transporte</t>
        </is>
      </c>
      <c r="C46" s="28" t="n">
        <v>1.832698560394175</v>
      </c>
      <c r="D46" s="28" t="n">
        <v>1.152275076145149</v>
      </c>
      <c r="E46" s="28" t="n">
        <v>27.9966231012128</v>
      </c>
      <c r="F46" s="28" t="n">
        <v>9.57182804932048</v>
      </c>
      <c r="G46" s="28" t="n">
        <v>6.0454230152672</v>
      </c>
      <c r="H46" s="28" t="n">
        <v>42.45526370229362</v>
      </c>
      <c r="I46" s="28" t="n">
        <v>2.092441198611577</v>
      </c>
      <c r="J46" s="28" t="n">
        <v>2.39533105093351</v>
      </c>
      <c r="K46" s="28" t="n">
        <v>8.680004325680905</v>
      </c>
      <c r="L46" s="28" t="n">
        <v>4.430807556354773</v>
      </c>
      <c r="M46" s="28" t="n">
        <v>1.443121854138273</v>
      </c>
      <c r="N46" s="28" t="n">
        <v>7.841616961531964</v>
      </c>
      <c r="O46" s="28" t="n">
        <v>2.584517078405842</v>
      </c>
      <c r="P46" s="28" t="n">
        <v>5.895993288787898</v>
      </c>
      <c r="Q46" s="28" t="n">
        <v>1.885741393175035</v>
      </c>
      <c r="R46" s="28" t="n">
        <v>5.657311412658805</v>
      </c>
      <c r="S46" s="28" t="n">
        <v>1.841644964896744</v>
      </c>
      <c r="T46" s="28" t="n">
        <v>9.236152494589824</v>
      </c>
      <c r="U46" s="28" t="n">
        <v>2.974161033050251</v>
      </c>
      <c r="V46" s="28" t="n">
        <v>4.262830698519864</v>
      </c>
      <c r="W46" s="28" t="n">
        <v>2.859901109699365</v>
      </c>
      <c r="X46" s="28" t="n">
        <v>1.997437975015514</v>
      </c>
      <c r="Y46" s="28" t="n">
        <v>9.636584416864801</v>
      </c>
      <c r="Z46" s="28" t="n">
        <v>9.080595673762359</v>
      </c>
      <c r="AA46" s="28" t="n">
        <v>17.89158616179835</v>
      </c>
      <c r="AB46" s="28" t="n">
        <v>4.602594773917712</v>
      </c>
      <c r="AC46" s="28" t="n">
        <v>10.97878277004471</v>
      </c>
      <c r="AD46" s="28" t="n">
        <v>858.7793810312296</v>
      </c>
      <c r="AE46" s="28" t="n">
        <v>10.92895763910997</v>
      </c>
      <c r="AF46" s="28" t="n">
        <v>8.321815094817877</v>
      </c>
      <c r="AG46" s="28" t="n">
        <v>52.57619733076754</v>
      </c>
      <c r="AH46" s="28" t="n">
        <v>16.89211292821424</v>
      </c>
      <c r="AI46" s="28" t="n">
        <v>7832.638561758446</v>
      </c>
      <c r="AJ46" s="28" t="n">
        <v>10.90814607020421</v>
      </c>
      <c r="AK46" s="28" t="n">
        <v>17.56662887647639</v>
      </c>
      <c r="AL46" s="28" t="n">
        <v>52.60482552613936</v>
      </c>
      <c r="AM46" s="28" t="n">
        <v>179.0236583847463</v>
      </c>
      <c r="AN46" s="28" t="n">
        <v>691.7793533109598</v>
      </c>
      <c r="AO46" s="28" t="n">
        <v>49.61783255808096</v>
      </c>
      <c r="AP46" s="28" t="n">
        <v>47.77824946102356</v>
      </c>
      <c r="AQ46" s="28" t="n">
        <v>4.520027997638823</v>
      </c>
      <c r="AR46" s="28" t="n">
        <v>43.51181374670806</v>
      </c>
      <c r="AS46" s="28" t="n">
        <v>8.26879872515619</v>
      </c>
      <c r="AT46" s="28" t="n">
        <v>55.89271901219767</v>
      </c>
      <c r="AU46" s="28" t="n">
        <v>9.077906139407755</v>
      </c>
      <c r="AV46" s="28" t="n">
        <v>4.887782284416209</v>
      </c>
      <c r="AW46" s="28" t="n">
        <v>21.88162358551993</v>
      </c>
      <c r="AX46" s="28" t="n">
        <v>0</v>
      </c>
      <c r="AY46" s="28" t="n">
        <v>10.6795939609869</v>
      </c>
      <c r="AZ46" s="28" t="n">
        <v>11.79135647597193</v>
      </c>
      <c r="BA46" s="28" t="n">
        <v>174.4377143546434</v>
      </c>
      <c r="BB46" s="28">
        <f>SUM(C46:BA46)</f>
        <v/>
      </c>
      <c r="BC46" s="28" t="n">
        <v>0</v>
      </c>
      <c r="BD46" s="28" t="n">
        <v>0</v>
      </c>
      <c r="BE46" s="28" t="n">
        <v>23228.4479877527</v>
      </c>
      <c r="BF46" s="28" t="n">
        <v>0</v>
      </c>
      <c r="BG46" s="28">
        <f>SUM(BC46:BF46)</f>
        <v/>
      </c>
      <c r="BH46" s="28">
        <f>BB46+BG46</f>
        <v/>
      </c>
    </row>
    <row r="47">
      <c r="A47" s="30" t="n">
        <v>34</v>
      </c>
      <c r="B47" s="31" t="inlineStr">
        <is>
          <t>Móveis e produtos das indústrias diversas</t>
        </is>
      </c>
      <c r="C47" s="30" t="n">
        <v>19.15319977807132</v>
      </c>
      <c r="D47" s="30" t="n">
        <v>12.06162570901934</v>
      </c>
      <c r="E47" s="30" t="n">
        <v>43.7752234100967</v>
      </c>
      <c r="F47" s="30" t="n">
        <v>22.27982464186189</v>
      </c>
      <c r="G47" s="30" t="n">
        <v>9.596178757411707</v>
      </c>
      <c r="H47" s="30" t="n">
        <v>158.7697693522583</v>
      </c>
      <c r="I47" s="30" t="n">
        <v>1.183348569686176</v>
      </c>
      <c r="J47" s="30" t="n">
        <v>38.94214514539875</v>
      </c>
      <c r="K47" s="30" t="n">
        <v>1080.97766654614</v>
      </c>
      <c r="L47" s="30" t="n">
        <v>213.5901553306879</v>
      </c>
      <c r="M47" s="30" t="n">
        <v>17.51538168534369</v>
      </c>
      <c r="N47" s="30" t="n">
        <v>18.98093246793398</v>
      </c>
      <c r="O47" s="30" t="n">
        <v>12.02007817163121</v>
      </c>
      <c r="P47" s="30" t="n">
        <v>6.18499789095496</v>
      </c>
      <c r="Q47" s="30" t="n">
        <v>2.924627547878223</v>
      </c>
      <c r="R47" s="30" t="n">
        <v>54.21044863719947</v>
      </c>
      <c r="S47" s="30" t="n">
        <v>21.9581245157259</v>
      </c>
      <c r="T47" s="30" t="n">
        <v>19.91143006625826</v>
      </c>
      <c r="U47" s="30" t="n">
        <v>28.28696969127627</v>
      </c>
      <c r="V47" s="30" t="n">
        <v>18.51253442183129</v>
      </c>
      <c r="W47" s="30" t="n">
        <v>8.209914134001304</v>
      </c>
      <c r="X47" s="30" t="n">
        <v>5.294132138157313</v>
      </c>
      <c r="Y47" s="30" t="n">
        <v>109.387926444186</v>
      </c>
      <c r="Z47" s="30" t="n">
        <v>110.4202075647872</v>
      </c>
      <c r="AA47" s="30" t="n">
        <v>26.42342465966702</v>
      </c>
      <c r="AB47" s="30" t="n">
        <v>6.306551768012337</v>
      </c>
      <c r="AC47" s="30" t="n">
        <v>38.94637684298023</v>
      </c>
      <c r="AD47" s="30" t="n">
        <v>443.3610176605958</v>
      </c>
      <c r="AE47" s="30" t="n">
        <v>36.73746949892304</v>
      </c>
      <c r="AF47" s="30" t="n">
        <v>29.70811115445619</v>
      </c>
      <c r="AG47" s="30" t="n">
        <v>282.7470768916966</v>
      </c>
      <c r="AH47" s="30" t="n">
        <v>327.2508781076113</v>
      </c>
      <c r="AI47" s="30" t="n">
        <v>65.27249921439565</v>
      </c>
      <c r="AJ47" s="30" t="n">
        <v>1312.997599879519</v>
      </c>
      <c r="AK47" s="30" t="n">
        <v>76.98842891423892</v>
      </c>
      <c r="AL47" s="30" t="n">
        <v>755.4373997559676</v>
      </c>
      <c r="AM47" s="30" t="n">
        <v>332.3882024519729</v>
      </c>
      <c r="AN47" s="30" t="n">
        <v>259.2803919873101</v>
      </c>
      <c r="AO47" s="30" t="n">
        <v>112.6453241020191</v>
      </c>
      <c r="AP47" s="30" t="n">
        <v>163.7871109599938</v>
      </c>
      <c r="AQ47" s="30" t="n">
        <v>77.53541809875708</v>
      </c>
      <c r="AR47" s="30" t="n">
        <v>4.295126837967212</v>
      </c>
      <c r="AS47" s="30" t="n">
        <v>20.20393888796703</v>
      </c>
      <c r="AT47" s="30" t="n">
        <v>967.682297801776</v>
      </c>
      <c r="AU47" s="30" t="n">
        <v>20.44186164825345</v>
      </c>
      <c r="AV47" s="30" t="n">
        <v>60.56674709421413</v>
      </c>
      <c r="AW47" s="30" t="n">
        <v>272.971101820046</v>
      </c>
      <c r="AX47" s="30" t="n">
        <v>0</v>
      </c>
      <c r="AY47" s="30" t="n">
        <v>125.1199312229733</v>
      </c>
      <c r="AZ47" s="30" t="n">
        <v>135.1908226920194</v>
      </c>
      <c r="BA47" s="30" t="n">
        <v>278.4993152035648</v>
      </c>
      <c r="BB47" s="30">
        <f>SUM(C47:BA47)</f>
        <v/>
      </c>
      <c r="BC47" s="30" t="n">
        <v>0</v>
      </c>
      <c r="BD47" s="30" t="n">
        <v>0</v>
      </c>
      <c r="BE47" s="30" t="n">
        <v>30985.75541869025</v>
      </c>
      <c r="BF47" s="30" t="n">
        <v>0</v>
      </c>
      <c r="BG47" s="30">
        <f>SUM(BC47:BF47)</f>
        <v/>
      </c>
      <c r="BH47" s="30">
        <f>BB47+BG47</f>
        <v/>
      </c>
    </row>
    <row r="48">
      <c r="A48" s="28" t="n">
        <v>35</v>
      </c>
      <c r="B48" s="29" t="inlineStr">
        <is>
          <t>Produção e distribuição de eletricidade gás água esgoto e limpeza urbana</t>
        </is>
      </c>
      <c r="C48" s="28" t="n">
        <v>3624.446482147309</v>
      </c>
      <c r="D48" s="28" t="n">
        <v>2522.96285240275</v>
      </c>
      <c r="E48" s="28" t="n">
        <v>179.5235924176742</v>
      </c>
      <c r="F48" s="28" t="n">
        <v>525.4297607840991</v>
      </c>
      <c r="G48" s="28" t="n">
        <v>654.93228358922</v>
      </c>
      <c r="H48" s="28" t="n">
        <v>2968.057537096793</v>
      </c>
      <c r="I48" s="28" t="n">
        <v>47.89874530337919</v>
      </c>
      <c r="J48" s="28" t="n">
        <v>1171.43332470193</v>
      </c>
      <c r="K48" s="28" t="n">
        <v>141.1803801361331</v>
      </c>
      <c r="L48" s="28" t="n">
        <v>174.3256977694832</v>
      </c>
      <c r="M48" s="28" t="n">
        <v>429.2228112525066</v>
      </c>
      <c r="N48" s="28" t="n">
        <v>1491.295788379276</v>
      </c>
      <c r="O48" s="28" t="n">
        <v>104.9225592356793</v>
      </c>
      <c r="P48" s="28" t="n">
        <v>194.1166311134218</v>
      </c>
      <c r="Q48" s="28" t="n">
        <v>90.72451630028225</v>
      </c>
      <c r="R48" s="28" t="n">
        <v>1754.294696356857</v>
      </c>
      <c r="S48" s="28" t="n">
        <v>1009.44011984597</v>
      </c>
      <c r="T48" s="28" t="n">
        <v>189.6392062278211</v>
      </c>
      <c r="U48" s="28" t="n">
        <v>146.3521737761193</v>
      </c>
      <c r="V48" s="28" t="n">
        <v>185.0332463933504</v>
      </c>
      <c r="W48" s="28" t="n">
        <v>92.06696772592093</v>
      </c>
      <c r="X48" s="28" t="n">
        <v>256.8531092762836</v>
      </c>
      <c r="Y48" s="28" t="n">
        <v>1364.001534058016</v>
      </c>
      <c r="Z48" s="28" t="n">
        <v>2414.967345591902</v>
      </c>
      <c r="AA48" s="28" t="n">
        <v>4461.108209611287</v>
      </c>
      <c r="AB48" s="28" t="n">
        <v>2270.736311863572</v>
      </c>
      <c r="AC48" s="28" t="n">
        <v>636.1258049735162</v>
      </c>
      <c r="AD48" s="28" t="n">
        <v>453.823419952523</v>
      </c>
      <c r="AE48" s="28" t="n">
        <v>394.6531947360255</v>
      </c>
      <c r="AF48" s="28" t="n">
        <v>138.7095855798475</v>
      </c>
      <c r="AG48" s="28" t="n">
        <v>386.6429162036905</v>
      </c>
      <c r="AH48" s="28" t="n">
        <v>887.4448228696</v>
      </c>
      <c r="AI48" s="28" t="n">
        <v>231.5563686321059</v>
      </c>
      <c r="AJ48" s="28" t="n">
        <v>200.6951635330751</v>
      </c>
      <c r="AK48" s="28" t="n">
        <v>33482.26118052154</v>
      </c>
      <c r="AL48" s="28" t="n">
        <v>490.1010736830819</v>
      </c>
      <c r="AM48" s="28" t="n">
        <v>10168.40576389267</v>
      </c>
      <c r="AN48" s="28" t="n">
        <v>1790.993804356546</v>
      </c>
      <c r="AO48" s="28" t="n">
        <v>1868.811042748871</v>
      </c>
      <c r="AP48" s="28" t="n">
        <v>1437.360033533489</v>
      </c>
      <c r="AQ48" s="28" t="n">
        <v>346.1618437378133</v>
      </c>
      <c r="AR48" s="28" t="n">
        <v>124.1487855906488</v>
      </c>
      <c r="AS48" s="28" t="n">
        <v>1900.19773352784</v>
      </c>
      <c r="AT48" s="28" t="n">
        <v>1570.961030329617</v>
      </c>
      <c r="AU48" s="28" t="n">
        <v>1218.476357621917</v>
      </c>
      <c r="AV48" s="28" t="n">
        <v>1630.243254152355</v>
      </c>
      <c r="AW48" s="28" t="n">
        <v>7871.345803368482</v>
      </c>
      <c r="AX48" s="28" t="n">
        <v>0</v>
      </c>
      <c r="AY48" s="28" t="n">
        <v>1673.494050690419</v>
      </c>
      <c r="AZ48" s="28" t="n">
        <v>1310.309808773851</v>
      </c>
      <c r="BA48" s="28" t="n">
        <v>7528.148362449326</v>
      </c>
      <c r="BB48" s="28">
        <f>SUM(C48:BA48)</f>
        <v/>
      </c>
      <c r="BC48" s="28" t="n">
        <v>0</v>
      </c>
      <c r="BD48" s="28" t="n">
        <v>0</v>
      </c>
      <c r="BE48" s="28" t="n">
        <v>58914.82355006042</v>
      </c>
      <c r="BF48" s="28" t="n">
        <v>0</v>
      </c>
      <c r="BG48" s="28">
        <f>SUM(BC48:BF48)</f>
        <v/>
      </c>
      <c r="BH48" s="28">
        <f>BB48+BG48</f>
        <v/>
      </c>
    </row>
    <row r="49">
      <c r="A49" s="30" t="n">
        <v>36</v>
      </c>
      <c r="B49" s="31" t="inlineStr">
        <is>
          <t>Construção civil</t>
        </is>
      </c>
      <c r="C49" s="30" t="n">
        <v>42.90877224289138</v>
      </c>
      <c r="D49" s="30" t="n">
        <v>105.4273892373691</v>
      </c>
      <c r="E49" s="30" t="n">
        <v>1720.831824458127</v>
      </c>
      <c r="F49" s="30" t="n">
        <v>660.2562325470723</v>
      </c>
      <c r="G49" s="30" t="n">
        <v>185.5592477126077</v>
      </c>
      <c r="H49" s="30" t="n">
        <v>34.15445755410322</v>
      </c>
      <c r="I49" s="30" t="n">
        <v>1.383154732105924</v>
      </c>
      <c r="J49" s="30" t="n">
        <v>25.75987711212932</v>
      </c>
      <c r="K49" s="30" t="n">
        <v>5.4443148636721</v>
      </c>
      <c r="L49" s="30" t="n">
        <v>1.893119989664148</v>
      </c>
      <c r="M49" s="30" t="n">
        <v>0.5611337707415646</v>
      </c>
      <c r="N49" s="30" t="n">
        <v>16.38093711342467</v>
      </c>
      <c r="O49" s="30" t="n">
        <v>14.01857318556048</v>
      </c>
      <c r="P49" s="30" t="n">
        <v>14.53893246136728</v>
      </c>
      <c r="Q49" s="30" t="n">
        <v>19.22894481044649</v>
      </c>
      <c r="R49" s="30" t="n">
        <v>47.66838877044598</v>
      </c>
      <c r="S49" s="30" t="n">
        <v>0.8774709953226366</v>
      </c>
      <c r="T49" s="30" t="n">
        <v>6.41941910988696</v>
      </c>
      <c r="U49" s="30" t="n">
        <v>2.371359045408365</v>
      </c>
      <c r="V49" s="30" t="n">
        <v>3.424079969315793</v>
      </c>
      <c r="W49" s="30" t="n">
        <v>1.980736193055894</v>
      </c>
      <c r="X49" s="30" t="n">
        <v>1.041266377148377</v>
      </c>
      <c r="Y49" s="30" t="n">
        <v>5.824562567996079</v>
      </c>
      <c r="Z49" s="30" t="n">
        <v>20.00081251989401</v>
      </c>
      <c r="AA49" s="30" t="n">
        <v>92.18520746494559</v>
      </c>
      <c r="AB49" s="30" t="n">
        <v>737.0165840979382</v>
      </c>
      <c r="AC49" s="30" t="n">
        <v>30.37344082014297</v>
      </c>
      <c r="AD49" s="30" t="n">
        <v>55.75653163383617</v>
      </c>
      <c r="AE49" s="30" t="n">
        <v>13.858069427795</v>
      </c>
      <c r="AF49" s="30" t="n">
        <v>46.24888291124545</v>
      </c>
      <c r="AG49" s="30" t="n">
        <v>191.5879303278697</v>
      </c>
      <c r="AH49" s="30" t="n">
        <v>22.31834333382154</v>
      </c>
      <c r="AI49" s="30" t="n">
        <v>191.9064075761576</v>
      </c>
      <c r="AJ49" s="30" t="n">
        <v>11.64664697733649</v>
      </c>
      <c r="AK49" s="30" t="n">
        <v>3177.398508294864</v>
      </c>
      <c r="AL49" s="30" t="n">
        <v>36873.87862939639</v>
      </c>
      <c r="AM49" s="30" t="n">
        <v>1082.616144658139</v>
      </c>
      <c r="AN49" s="30" t="n">
        <v>993.2200244563894</v>
      </c>
      <c r="AO49" s="30" t="n">
        <v>3753.764242349009</v>
      </c>
      <c r="AP49" s="30" t="n">
        <v>948.675648665274</v>
      </c>
      <c r="AQ49" s="30" t="n">
        <v>966.2581117273641</v>
      </c>
      <c r="AR49" s="30" t="n">
        <v>4.195444286050265</v>
      </c>
      <c r="AS49" s="30" t="n">
        <v>384.6802600772789</v>
      </c>
      <c r="AT49" s="30" t="n">
        <v>824.8554291255147</v>
      </c>
      <c r="AU49" s="30" t="n">
        <v>277.0832251573747</v>
      </c>
      <c r="AV49" s="30" t="n">
        <v>20.11155926458925</v>
      </c>
      <c r="AW49" s="30" t="n">
        <v>1846.924889023998</v>
      </c>
      <c r="AX49" s="30" t="n">
        <v>0</v>
      </c>
      <c r="AY49" s="30" t="n">
        <v>641.0297503901272</v>
      </c>
      <c r="AZ49" s="30" t="n">
        <v>1678.686182771602</v>
      </c>
      <c r="BA49" s="30" t="n">
        <v>7380.081512144218</v>
      </c>
      <c r="BB49" s="30">
        <f>SUM(C49:BA49)</f>
        <v/>
      </c>
      <c r="BC49" s="30" t="n">
        <v>0</v>
      </c>
      <c r="BD49" s="30" t="n">
        <v>0</v>
      </c>
      <c r="BE49" s="30" t="n">
        <v>298788.2797738015</v>
      </c>
      <c r="BF49" s="30" t="n">
        <v>0</v>
      </c>
      <c r="BG49" s="30">
        <f>SUM(BC49:BF49)</f>
        <v/>
      </c>
      <c r="BH49" s="30">
        <f>BB49+BG49</f>
        <v/>
      </c>
    </row>
    <row r="50">
      <c r="A50" s="28" t="n">
        <v>37</v>
      </c>
      <c r="B50" s="29" t="inlineStr">
        <is>
          <t>Comércio</t>
        </is>
      </c>
      <c r="C50" s="28" t="n">
        <v>1160.173035146</v>
      </c>
      <c r="D50" s="28" t="n">
        <v>662.9064024557181</v>
      </c>
      <c r="E50" s="28" t="n">
        <v>951.4665216546452</v>
      </c>
      <c r="F50" s="28" t="n">
        <v>3155.207352584026</v>
      </c>
      <c r="G50" s="28" t="n">
        <v>1116.531835068701</v>
      </c>
      <c r="H50" s="28" t="n">
        <v>44154.89605294639</v>
      </c>
      <c r="I50" s="28" t="n">
        <v>1356.533066271881</v>
      </c>
      <c r="J50" s="28" t="n">
        <v>3885.436803728002</v>
      </c>
      <c r="K50" s="28" t="n">
        <v>3343.456133912789</v>
      </c>
      <c r="L50" s="28" t="n">
        <v>4200.688607603861</v>
      </c>
      <c r="M50" s="28" t="n">
        <v>953.0370670442051</v>
      </c>
      <c r="N50" s="28" t="n">
        <v>7907.154301496701</v>
      </c>
      <c r="O50" s="28" t="n">
        <v>439.1377447871333</v>
      </c>
      <c r="P50" s="28" t="n">
        <v>2459.0061298871</v>
      </c>
      <c r="Q50" s="28" t="n">
        <v>1871.18635196241</v>
      </c>
      <c r="R50" s="28" t="n">
        <v>2828.120907645817</v>
      </c>
      <c r="S50" s="28" t="n">
        <v>2146.630034333822</v>
      </c>
      <c r="T50" s="28" t="n">
        <v>5915.83912364143</v>
      </c>
      <c r="U50" s="28" t="n">
        <v>1665.990441198326</v>
      </c>
      <c r="V50" s="28" t="n">
        <v>466.5978547937064</v>
      </c>
      <c r="W50" s="28" t="n">
        <v>1098.864040982421</v>
      </c>
      <c r="X50" s="28" t="n">
        <v>2569.734662745754</v>
      </c>
      <c r="Y50" s="28" t="n">
        <v>7462.44476882408</v>
      </c>
      <c r="Z50" s="28" t="n">
        <v>6399.329942066714</v>
      </c>
      <c r="AA50" s="28" t="n">
        <v>7266.927138206422</v>
      </c>
      <c r="AB50" s="28" t="n">
        <v>2441.969071798145</v>
      </c>
      <c r="AC50" s="28" t="n">
        <v>5178.230539978648</v>
      </c>
      <c r="AD50" s="28" t="n">
        <v>19126.15877296674</v>
      </c>
      <c r="AE50" s="28" t="n">
        <v>5033.412137234604</v>
      </c>
      <c r="AF50" s="28" t="n">
        <v>5806.122159748587</v>
      </c>
      <c r="AG50" s="28" t="n">
        <v>2430.281300648151</v>
      </c>
      <c r="AH50" s="28" t="n">
        <v>308.3235565447985</v>
      </c>
      <c r="AI50" s="28" t="n">
        <v>857.4125806166668</v>
      </c>
      <c r="AJ50" s="28" t="n">
        <v>1815.178258383118</v>
      </c>
      <c r="AK50" s="28" t="n">
        <v>4290.014833066308</v>
      </c>
      <c r="AL50" s="28" t="n">
        <v>3986.982750032844</v>
      </c>
      <c r="AM50" s="28" t="n">
        <v>38846.74707860441</v>
      </c>
      <c r="AN50" s="28" t="n">
        <v>30148.55038921598</v>
      </c>
      <c r="AO50" s="28" t="n">
        <v>28381.01609545087</v>
      </c>
      <c r="AP50" s="28" t="n">
        <v>1404.825912951741</v>
      </c>
      <c r="AQ50" s="28" t="n">
        <v>155.9211173912853</v>
      </c>
      <c r="AR50" s="28" t="n">
        <v>70.72337047834915</v>
      </c>
      <c r="AS50" s="28" t="n">
        <v>1166.468384340316</v>
      </c>
      <c r="AT50" s="28" t="n">
        <v>9429.165857487958</v>
      </c>
      <c r="AU50" s="28" t="n">
        <v>250.1882446062535</v>
      </c>
      <c r="AV50" s="28" t="n">
        <v>3337.421642103967</v>
      </c>
      <c r="AW50" s="28" t="n">
        <v>983.7752564804453</v>
      </c>
      <c r="AX50" s="28" t="n">
        <v>0</v>
      </c>
      <c r="AY50" s="28" t="n">
        <v>1368.190401936532</v>
      </c>
      <c r="AZ50" s="28" t="n">
        <v>3918.447701659303</v>
      </c>
      <c r="BA50" s="28" t="n">
        <v>7886.836365517171</v>
      </c>
      <c r="BB50" s="28">
        <f>SUM(C50:BA50)</f>
        <v/>
      </c>
      <c r="BC50" s="28" t="n">
        <v>0</v>
      </c>
      <c r="BD50" s="28" t="n">
        <v>0</v>
      </c>
      <c r="BE50" s="28" t="n">
        <v>270796.4747118225</v>
      </c>
      <c r="BF50" s="28" t="n">
        <v>0</v>
      </c>
      <c r="BG50" s="28">
        <f>SUM(BC50:BF50)</f>
        <v/>
      </c>
      <c r="BH50" s="28">
        <f>BB50+BG50</f>
        <v/>
      </c>
    </row>
    <row r="51">
      <c r="A51" s="30" t="n">
        <v>38</v>
      </c>
      <c r="B51" s="31" t="inlineStr">
        <is>
          <t>Transporte armazenagem e correio</t>
        </is>
      </c>
      <c r="C51" s="30" t="n">
        <v>3660.89475598804</v>
      </c>
      <c r="D51" s="30" t="n">
        <v>698.8889042070595</v>
      </c>
      <c r="E51" s="30" t="n">
        <v>9540.400577920869</v>
      </c>
      <c r="F51" s="30" t="n">
        <v>2955.719401504909</v>
      </c>
      <c r="G51" s="30" t="n">
        <v>1501.511961856377</v>
      </c>
      <c r="H51" s="30" t="n">
        <v>24817.44621693738</v>
      </c>
      <c r="I51" s="30" t="n">
        <v>235.6936296089726</v>
      </c>
      <c r="J51" s="30" t="n">
        <v>1086.893129322844</v>
      </c>
      <c r="K51" s="30" t="n">
        <v>567.5978765641279</v>
      </c>
      <c r="L51" s="30" t="n">
        <v>771.6573466186445</v>
      </c>
      <c r="M51" s="30" t="n">
        <v>739.682471021986</v>
      </c>
      <c r="N51" s="30" t="n">
        <v>3490.397098020853</v>
      </c>
      <c r="O51" s="30" t="n">
        <v>454.9170413698133</v>
      </c>
      <c r="P51" s="30" t="n">
        <v>2158.488488214397</v>
      </c>
      <c r="Q51" s="30" t="n">
        <v>1038.528942273408</v>
      </c>
      <c r="R51" s="30" t="n">
        <v>3501.856474459174</v>
      </c>
      <c r="S51" s="30" t="n">
        <v>972.458955977086</v>
      </c>
      <c r="T51" s="30" t="n">
        <v>2308.812917196305</v>
      </c>
      <c r="U51" s="30" t="n">
        <v>793.7947012601741</v>
      </c>
      <c r="V51" s="30" t="n">
        <v>1282.93123875886</v>
      </c>
      <c r="W51" s="30" t="n">
        <v>634.9630669925218</v>
      </c>
      <c r="X51" s="30" t="n">
        <v>580.1269795793346</v>
      </c>
      <c r="Y51" s="30" t="n">
        <v>1884.222782548508</v>
      </c>
      <c r="Z51" s="30" t="n">
        <v>2154.591737864796</v>
      </c>
      <c r="AA51" s="30" t="n">
        <v>5287.700439788787</v>
      </c>
      <c r="AB51" s="30" t="n">
        <v>481.9584273094876</v>
      </c>
      <c r="AC51" s="30" t="n">
        <v>1903.418689540419</v>
      </c>
      <c r="AD51" s="30" t="n">
        <v>1859.344892773153</v>
      </c>
      <c r="AE51" s="30" t="n">
        <v>1851.280542397663</v>
      </c>
      <c r="AF51" s="30" t="n">
        <v>2166.40409633276</v>
      </c>
      <c r="AG51" s="30" t="n">
        <v>6378.326775568978</v>
      </c>
      <c r="AH51" s="30" t="n">
        <v>1783.201704834949</v>
      </c>
      <c r="AI51" s="30" t="n">
        <v>949.8383863210491</v>
      </c>
      <c r="AJ51" s="30" t="n">
        <v>878.0622080832405</v>
      </c>
      <c r="AK51" s="30" t="n">
        <v>2219.324229494416</v>
      </c>
      <c r="AL51" s="30" t="n">
        <v>2836.726751094884</v>
      </c>
      <c r="AM51" s="30" t="n">
        <v>29608.55147475665</v>
      </c>
      <c r="AN51" s="30" t="n">
        <v>39855.31076255997</v>
      </c>
      <c r="AO51" s="30" t="n">
        <v>2666.564378284518</v>
      </c>
      <c r="AP51" s="30" t="n">
        <v>5406.759449208447</v>
      </c>
      <c r="AQ51" s="30" t="n">
        <v>243.7959437352092</v>
      </c>
      <c r="AR51" s="30" t="n">
        <v>85.13870361136405</v>
      </c>
      <c r="AS51" s="30" t="n">
        <v>813.7036284580464</v>
      </c>
      <c r="AT51" s="30" t="n">
        <v>4285.903376826269</v>
      </c>
      <c r="AU51" s="30" t="n">
        <v>1697.65378431353</v>
      </c>
      <c r="AV51" s="30" t="n">
        <v>221.1930195091367</v>
      </c>
      <c r="AW51" s="30" t="n">
        <v>9114.387822709738</v>
      </c>
      <c r="AX51" s="30" t="n">
        <v>0</v>
      </c>
      <c r="AY51" s="30" t="n">
        <v>1030.730448014893</v>
      </c>
      <c r="AZ51" s="30" t="n">
        <v>860.667198897957</v>
      </c>
      <c r="BA51" s="30" t="n">
        <v>4874.932789845665</v>
      </c>
      <c r="BB51" s="30">
        <f>SUM(C51:BA51)</f>
        <v/>
      </c>
      <c r="BC51" s="30" t="n">
        <v>0</v>
      </c>
      <c r="BD51" s="30" t="n">
        <v>0</v>
      </c>
      <c r="BE51" s="30" t="n">
        <v>73370.28783538553</v>
      </c>
      <c r="BF51" s="30" t="n">
        <v>0</v>
      </c>
      <c r="BG51" s="30">
        <f>SUM(BC51:BF51)</f>
        <v/>
      </c>
      <c r="BH51" s="30">
        <f>BB51+BG51</f>
        <v/>
      </c>
    </row>
    <row r="52">
      <c r="A52" s="28" t="n">
        <v>39</v>
      </c>
      <c r="B52" s="29" t="inlineStr">
        <is>
          <t>Serviços de informação</t>
        </is>
      </c>
      <c r="C52" s="28" t="n">
        <v>23.32009512661729</v>
      </c>
      <c r="D52" s="28" t="n">
        <v>10.538575890157</v>
      </c>
      <c r="E52" s="28" t="n">
        <v>489.6647428807854</v>
      </c>
      <c r="F52" s="28" t="n">
        <v>142.8609895022182</v>
      </c>
      <c r="G52" s="28" t="n">
        <v>70.17468355799384</v>
      </c>
      <c r="H52" s="28" t="n">
        <v>2713.79073905456</v>
      </c>
      <c r="I52" s="28" t="n">
        <v>51.78084141424419</v>
      </c>
      <c r="J52" s="28" t="n">
        <v>287.312066121354</v>
      </c>
      <c r="K52" s="28" t="n">
        <v>524.8517028351031</v>
      </c>
      <c r="L52" s="28" t="n">
        <v>155.1023298362497</v>
      </c>
      <c r="M52" s="28" t="n">
        <v>67.25055917512546</v>
      </c>
      <c r="N52" s="28" t="n">
        <v>390.435576280643</v>
      </c>
      <c r="O52" s="28" t="n">
        <v>454.4377697299111</v>
      </c>
      <c r="P52" s="28" t="n">
        <v>200.6008507111206</v>
      </c>
      <c r="Q52" s="28" t="n">
        <v>98.06111749010427</v>
      </c>
      <c r="R52" s="28" t="n">
        <v>405.4007164532267</v>
      </c>
      <c r="S52" s="28" t="n">
        <v>99.54367247293465</v>
      </c>
      <c r="T52" s="28" t="n">
        <v>423.6979113929519</v>
      </c>
      <c r="U52" s="28" t="n">
        <v>176.4012894235828</v>
      </c>
      <c r="V52" s="28" t="n">
        <v>43.95313145650886</v>
      </c>
      <c r="W52" s="28" t="n">
        <v>120.3862503945599</v>
      </c>
      <c r="X52" s="28" t="n">
        <v>77.68229541907667</v>
      </c>
      <c r="Y52" s="28" t="n">
        <v>354.073903429309</v>
      </c>
      <c r="Z52" s="28" t="n">
        <v>432.5348868262406</v>
      </c>
      <c r="AA52" s="28" t="n">
        <v>287.5977084555403</v>
      </c>
      <c r="AB52" s="28" t="n">
        <v>69.18798799724533</v>
      </c>
      <c r="AC52" s="28" t="n">
        <v>336.6357872459106</v>
      </c>
      <c r="AD52" s="28" t="n">
        <v>576.6695317099154</v>
      </c>
      <c r="AE52" s="28" t="n">
        <v>621.8034467113276</v>
      </c>
      <c r="AF52" s="28" t="n">
        <v>802.1205054330211</v>
      </c>
      <c r="AG52" s="28" t="n">
        <v>1889.911989382408</v>
      </c>
      <c r="AH52" s="28" t="n">
        <v>1170.299694141916</v>
      </c>
      <c r="AI52" s="28" t="n">
        <v>233.080656170209</v>
      </c>
      <c r="AJ52" s="28" t="n">
        <v>315.8911645063947</v>
      </c>
      <c r="AK52" s="28" t="n">
        <v>1100.578105946971</v>
      </c>
      <c r="AL52" s="28" t="n">
        <v>1368.542333984367</v>
      </c>
      <c r="AM52" s="28" t="n">
        <v>9468.120257954175</v>
      </c>
      <c r="AN52" s="28" t="n">
        <v>2865.345813529986</v>
      </c>
      <c r="AO52" s="28" t="n">
        <v>34457.70204756385</v>
      </c>
      <c r="AP52" s="28" t="n">
        <v>16066.5155812107</v>
      </c>
      <c r="AQ52" s="28" t="n">
        <v>642.5753662045718</v>
      </c>
      <c r="AR52" s="28" t="n">
        <v>197.0285008799295</v>
      </c>
      <c r="AS52" s="28" t="n">
        <v>742.233263064886</v>
      </c>
      <c r="AT52" s="28" t="n">
        <v>28907.24919898685</v>
      </c>
      <c r="AU52" s="28" t="n">
        <v>2370.232326827101</v>
      </c>
      <c r="AV52" s="28" t="n">
        <v>959.0566826311365</v>
      </c>
      <c r="AW52" s="28" t="n">
        <v>3443.446638337895</v>
      </c>
      <c r="AX52" s="28" t="n">
        <v>0</v>
      </c>
      <c r="AY52" s="28" t="n">
        <v>2797.340811504089</v>
      </c>
      <c r="AZ52" s="28" t="n">
        <v>1385.915284248665</v>
      </c>
      <c r="BA52" s="28" t="n">
        <v>9109.493331544158</v>
      </c>
      <c r="BB52" s="28">
        <f>SUM(C52:BA52)</f>
        <v/>
      </c>
      <c r="BC52" s="28" t="n">
        <v>0</v>
      </c>
      <c r="BD52" s="28" t="n">
        <v>0</v>
      </c>
      <c r="BE52" s="28" t="n">
        <v>112508.6842633022</v>
      </c>
      <c r="BF52" s="28" t="n">
        <v>0</v>
      </c>
      <c r="BG52" s="28">
        <f>SUM(BC52:BF52)</f>
        <v/>
      </c>
      <c r="BH52" s="28">
        <f>BB52+BG52</f>
        <v/>
      </c>
    </row>
    <row r="53">
      <c r="A53" s="30" t="n">
        <v>40</v>
      </c>
      <c r="B53" s="31" t="inlineStr">
        <is>
          <t>Intermediação financeira seguros e previdência complementar e serviços relacionados</t>
        </is>
      </c>
      <c r="C53" s="30" t="n">
        <v>2402.647643684329</v>
      </c>
      <c r="D53" s="30" t="n">
        <v>1140.311187852441</v>
      </c>
      <c r="E53" s="30" t="n">
        <v>2133.857166314561</v>
      </c>
      <c r="F53" s="30" t="n">
        <v>991.756326654548</v>
      </c>
      <c r="G53" s="30" t="n">
        <v>627.7551425736933</v>
      </c>
      <c r="H53" s="30" t="n">
        <v>7411.639856934419</v>
      </c>
      <c r="I53" s="30" t="n">
        <v>308.9026917393429</v>
      </c>
      <c r="J53" s="30" t="n">
        <v>683.329450464</v>
      </c>
      <c r="K53" s="30" t="n">
        <v>653.9834157154792</v>
      </c>
      <c r="L53" s="30" t="n">
        <v>466.0697678879453</v>
      </c>
      <c r="M53" s="30" t="n">
        <v>290.6949239147664</v>
      </c>
      <c r="N53" s="30" t="n">
        <v>1292.306247092641</v>
      </c>
      <c r="O53" s="30" t="n">
        <v>273.5257584562549</v>
      </c>
      <c r="P53" s="30" t="n">
        <v>1493.18263861707</v>
      </c>
      <c r="Q53" s="30" t="n">
        <v>556.7993173091311</v>
      </c>
      <c r="R53" s="30" t="n">
        <v>1314.97766881063</v>
      </c>
      <c r="S53" s="30" t="n">
        <v>559.6077774533265</v>
      </c>
      <c r="T53" s="30" t="n">
        <v>577.5147438814708</v>
      </c>
      <c r="U53" s="30" t="n">
        <v>292.2074509449269</v>
      </c>
      <c r="V53" s="30" t="n">
        <v>473.2549347830711</v>
      </c>
      <c r="W53" s="30" t="n">
        <v>220.477815109402</v>
      </c>
      <c r="X53" s="30" t="n">
        <v>271.0852709838841</v>
      </c>
      <c r="Y53" s="30" t="n">
        <v>1104.395770740864</v>
      </c>
      <c r="Z53" s="30" t="n">
        <v>1214.298042036069</v>
      </c>
      <c r="AA53" s="30" t="n">
        <v>1867.100241413537</v>
      </c>
      <c r="AB53" s="30" t="n">
        <v>667.7121043877385</v>
      </c>
      <c r="AC53" s="30" t="n">
        <v>988.9019429690295</v>
      </c>
      <c r="AD53" s="30" t="n">
        <v>1569.04226896873</v>
      </c>
      <c r="AE53" s="30" t="n">
        <v>997.9236148668873</v>
      </c>
      <c r="AF53" s="30" t="n">
        <v>1025.883443192516</v>
      </c>
      <c r="AG53" s="30" t="n">
        <v>2193.127090255404</v>
      </c>
      <c r="AH53" s="30" t="n">
        <v>873.1201132705787</v>
      </c>
      <c r="AI53" s="30" t="n">
        <v>593.300194541815</v>
      </c>
      <c r="AJ53" s="30" t="n">
        <v>509.9107243097766</v>
      </c>
      <c r="AK53" s="30" t="n">
        <v>3653.208852299259</v>
      </c>
      <c r="AL53" s="30" t="n">
        <v>5380.889577881593</v>
      </c>
      <c r="AM53" s="30" t="n">
        <v>13894.52729591236</v>
      </c>
      <c r="AN53" s="30" t="n">
        <v>6827.527605022083</v>
      </c>
      <c r="AO53" s="30" t="n">
        <v>5680.307273956089</v>
      </c>
      <c r="AP53" s="30" t="n">
        <v>34860.09248217577</v>
      </c>
      <c r="AQ53" s="30" t="n">
        <v>14278.14544561065</v>
      </c>
      <c r="AR53" s="30" t="n">
        <v>234.3559141798374</v>
      </c>
      <c r="AS53" s="30" t="n">
        <v>1794.6841560819</v>
      </c>
      <c r="AT53" s="30" t="n">
        <v>5756.313657560323</v>
      </c>
      <c r="AU53" s="30" t="n">
        <v>777.8879649416633</v>
      </c>
      <c r="AV53" s="30" t="n">
        <v>2497.724024814825</v>
      </c>
      <c r="AW53" s="30" t="n">
        <v>3202.909602763145</v>
      </c>
      <c r="AX53" s="30" t="n">
        <v>0</v>
      </c>
      <c r="AY53" s="30" t="n">
        <v>173.396129570704</v>
      </c>
      <c r="AZ53" s="30" t="n">
        <v>197.6282418052802</v>
      </c>
      <c r="BA53" s="30" t="n">
        <v>29422.27981786664</v>
      </c>
      <c r="BB53" s="30">
        <f>SUM(C53:BA53)</f>
        <v/>
      </c>
      <c r="BC53" s="30" t="n">
        <v>0</v>
      </c>
      <c r="BD53" s="30" t="n">
        <v>0</v>
      </c>
      <c r="BE53" s="30" t="n">
        <v>138628.8424468179</v>
      </c>
      <c r="BF53" s="30" t="n">
        <v>0</v>
      </c>
      <c r="BG53" s="30">
        <f>SUM(BC53:BF53)</f>
        <v/>
      </c>
      <c r="BH53" s="30">
        <f>BB53+BG53</f>
        <v/>
      </c>
    </row>
    <row r="54">
      <c r="A54" s="28" t="n">
        <v>41</v>
      </c>
      <c r="B54" s="29" t="inlineStr">
        <is>
          <t>Atividades imobiliárias e aluguéis</t>
        </is>
      </c>
      <c r="C54" s="28" t="n">
        <v>7.239346200028799</v>
      </c>
      <c r="D54" s="28" t="n">
        <v>2.137479062951162</v>
      </c>
      <c r="E54" s="28" t="n">
        <v>125.1326424772159</v>
      </c>
      <c r="F54" s="28" t="n">
        <v>12.20463502580991</v>
      </c>
      <c r="G54" s="28" t="n">
        <v>22.47673622713235</v>
      </c>
      <c r="H54" s="28" t="n">
        <v>554.5025511465728</v>
      </c>
      <c r="I54" s="28" t="n">
        <v>19.68082333999263</v>
      </c>
      <c r="J54" s="28" t="n">
        <v>184.950649916964</v>
      </c>
      <c r="K54" s="28" t="n">
        <v>204.2662058613591</v>
      </c>
      <c r="L54" s="28" t="n">
        <v>51.1635043991046</v>
      </c>
      <c r="M54" s="28" t="n">
        <v>13.64414054136765</v>
      </c>
      <c r="N54" s="28" t="n">
        <v>73.73170372230963</v>
      </c>
      <c r="O54" s="28" t="n">
        <v>31.1026764243221</v>
      </c>
      <c r="P54" s="28" t="n">
        <v>71.57085381373791</v>
      </c>
      <c r="Q54" s="28" t="n">
        <v>73.00336811992103</v>
      </c>
      <c r="R54" s="28" t="n">
        <v>58.61828616449386</v>
      </c>
      <c r="S54" s="28" t="n">
        <v>17.31335376575955</v>
      </c>
      <c r="T54" s="28" t="n">
        <v>113.8503004750803</v>
      </c>
      <c r="U54" s="28" t="n">
        <v>17.9931952221253</v>
      </c>
      <c r="V54" s="28" t="n">
        <v>77.39732229121978</v>
      </c>
      <c r="W54" s="28" t="n">
        <v>12.25637742786837</v>
      </c>
      <c r="X54" s="28" t="n">
        <v>18.74159894367549</v>
      </c>
      <c r="Y54" s="28" t="n">
        <v>175.1152407738618</v>
      </c>
      <c r="Z54" s="28" t="n">
        <v>93.31850790655447</v>
      </c>
      <c r="AA54" s="28" t="n">
        <v>142.4151303691065</v>
      </c>
      <c r="AB54" s="28" t="n">
        <v>6.019624000219202</v>
      </c>
      <c r="AC54" s="28" t="n">
        <v>92.87017748111386</v>
      </c>
      <c r="AD54" s="28" t="n">
        <v>116.2918147515114</v>
      </c>
      <c r="AE54" s="28" t="n">
        <v>57.66206715012132</v>
      </c>
      <c r="AF54" s="28" t="n">
        <v>107.9514785738584</v>
      </c>
      <c r="AG54" s="28" t="n">
        <v>65.53902187802137</v>
      </c>
      <c r="AH54" s="28" t="n">
        <v>103.3292863041723</v>
      </c>
      <c r="AI54" s="28" t="n">
        <v>32.56800633407375</v>
      </c>
      <c r="AJ54" s="28" t="n">
        <v>93.27852605346465</v>
      </c>
      <c r="AK54" s="28" t="n">
        <v>535.0531983612843</v>
      </c>
      <c r="AL54" s="28" t="n">
        <v>718.1591813305913</v>
      </c>
      <c r="AM54" s="28" t="n">
        <v>15033.99093731847</v>
      </c>
      <c r="AN54" s="28" t="n">
        <v>1621.493421525547</v>
      </c>
      <c r="AO54" s="28" t="n">
        <v>2441.061748455247</v>
      </c>
      <c r="AP54" s="28" t="n">
        <v>3022.980545731092</v>
      </c>
      <c r="AQ54" s="28" t="n">
        <v>916.1509344897573</v>
      </c>
      <c r="AR54" s="28" t="n">
        <v>171.1265114939185</v>
      </c>
      <c r="AS54" s="28" t="n">
        <v>2392.55670982187</v>
      </c>
      <c r="AT54" s="28" t="n">
        <v>4175.25297989009</v>
      </c>
      <c r="AU54" s="28" t="n">
        <v>1664.672894434148</v>
      </c>
      <c r="AV54" s="28" t="n">
        <v>785.3253678432033</v>
      </c>
      <c r="AW54" s="28" t="n">
        <v>3387.233376645726</v>
      </c>
      <c r="AX54" s="28" t="n">
        <v>0</v>
      </c>
      <c r="AY54" s="28" t="n">
        <v>252.1429932047149</v>
      </c>
      <c r="AZ54" s="28" t="n">
        <v>175.4293617980262</v>
      </c>
      <c r="BA54" s="28" t="n">
        <v>1202.969714924697</v>
      </c>
      <c r="BB54" s="28">
        <f>SUM(C54:BA54)</f>
        <v/>
      </c>
      <c r="BC54" s="28" t="n">
        <v>0</v>
      </c>
      <c r="BD54" s="28" t="n">
        <v>0</v>
      </c>
      <c r="BE54" s="28" t="n">
        <v>232988.108685223</v>
      </c>
      <c r="BF54" s="28" t="n">
        <v>0</v>
      </c>
      <c r="BG54" s="28">
        <f>SUM(BC54:BF54)</f>
        <v/>
      </c>
      <c r="BH54" s="28">
        <f>BB54+BG54</f>
        <v/>
      </c>
    </row>
    <row r="55">
      <c r="A55" s="30" t="n">
        <v>42</v>
      </c>
      <c r="B55" s="31" t="inlineStr">
        <is>
          <t>Serviços de manutenção e reparação</t>
        </is>
      </c>
      <c r="C55" s="30" t="n">
        <v>3.815846013582032</v>
      </c>
      <c r="D55" s="30" t="n">
        <v>0.1843845350315476</v>
      </c>
      <c r="E55" s="30" t="n">
        <v>26.92408033912646</v>
      </c>
      <c r="F55" s="30" t="n">
        <v>2.460412588939266</v>
      </c>
      <c r="G55" s="30" t="n">
        <v>2.126607430203123</v>
      </c>
      <c r="H55" s="30" t="n">
        <v>33.83742115590512</v>
      </c>
      <c r="I55" s="30" t="n">
        <v>1.07057979284291</v>
      </c>
      <c r="J55" s="30" t="n">
        <v>10.20095467082046</v>
      </c>
      <c r="K55" s="30" t="n">
        <v>2.609644463634049</v>
      </c>
      <c r="L55" s="30" t="n">
        <v>3.373490710314592</v>
      </c>
      <c r="M55" s="30" t="n">
        <v>0.7400370347455826</v>
      </c>
      <c r="N55" s="30" t="n">
        <v>6.183520531311581</v>
      </c>
      <c r="O55" s="30" t="n">
        <v>9.982088287363696</v>
      </c>
      <c r="P55" s="30" t="n">
        <v>1.543038025346754</v>
      </c>
      <c r="Q55" s="30" t="n">
        <v>1.319963019363244</v>
      </c>
      <c r="R55" s="30" t="n">
        <v>1.376298362031174</v>
      </c>
      <c r="S55" s="30" t="n">
        <v>1.664121404741461</v>
      </c>
      <c r="T55" s="30" t="n">
        <v>4.546738172085479</v>
      </c>
      <c r="U55" s="30" t="n">
        <v>1.289652374576104</v>
      </c>
      <c r="V55" s="30" t="n">
        <v>0.3056181341041347</v>
      </c>
      <c r="W55" s="30" t="n">
        <v>0.809003399446671</v>
      </c>
      <c r="X55" s="30" t="n">
        <v>2.001161467690896</v>
      </c>
      <c r="Y55" s="30" t="n">
        <v>6.043057600343468</v>
      </c>
      <c r="Z55" s="30" t="n">
        <v>6.077452520989188</v>
      </c>
      <c r="AA55" s="30" t="n">
        <v>16.60615122342877</v>
      </c>
      <c r="AB55" s="30" t="n">
        <v>3.648351756891542</v>
      </c>
      <c r="AC55" s="30" t="n">
        <v>16.55076478709198</v>
      </c>
      <c r="AD55" s="30" t="n">
        <v>23.617499293524</v>
      </c>
      <c r="AE55" s="30" t="n">
        <v>40.86328477216364</v>
      </c>
      <c r="AF55" s="30" t="n">
        <v>212.8257654790442</v>
      </c>
      <c r="AG55" s="30" t="n">
        <v>3.709632600808016</v>
      </c>
      <c r="AH55" s="30" t="n">
        <v>0.3841496321999831</v>
      </c>
      <c r="AI55" s="30" t="n">
        <v>0.7303301159124936</v>
      </c>
      <c r="AJ55" s="30" t="n">
        <v>3.796786420216687</v>
      </c>
      <c r="AK55" s="30" t="n">
        <v>249.3355788920008</v>
      </c>
      <c r="AL55" s="30" t="n">
        <v>62.98705610998178</v>
      </c>
      <c r="AM55" s="30" t="n">
        <v>1092.258205585908</v>
      </c>
      <c r="AN55" s="30" t="n">
        <v>277.5374993908175</v>
      </c>
      <c r="AO55" s="30" t="n">
        <v>3103.291230607684</v>
      </c>
      <c r="AP55" s="30" t="n">
        <v>729.2475843329173</v>
      </c>
      <c r="AQ55" s="30" t="n">
        <v>41.37188740665901</v>
      </c>
      <c r="AR55" s="30" t="n">
        <v>62.51442452691366</v>
      </c>
      <c r="AS55" s="30" t="n">
        <v>66.61115273479314</v>
      </c>
      <c r="AT55" s="30" t="n">
        <v>812.4779642461555</v>
      </c>
      <c r="AU55" s="30" t="n">
        <v>222.1021609143497</v>
      </c>
      <c r="AV55" s="30" t="n">
        <v>305.9904471866809</v>
      </c>
      <c r="AW55" s="30" t="n">
        <v>13.61462257882041</v>
      </c>
      <c r="AX55" s="30" t="n">
        <v>0</v>
      </c>
      <c r="AY55" s="30" t="n">
        <v>30.7744262200083</v>
      </c>
      <c r="AZ55" s="30" t="n">
        <v>110.8244080641956</v>
      </c>
      <c r="BA55" s="30" t="n">
        <v>373.4435054226137</v>
      </c>
      <c r="BB55" s="30">
        <f>SUM(C55:BA55)</f>
        <v/>
      </c>
      <c r="BC55" s="30" t="n">
        <v>0</v>
      </c>
      <c r="BD55" s="30" t="n">
        <v>0</v>
      </c>
      <c r="BE55" s="30" t="n">
        <v>4822.017213540908</v>
      </c>
      <c r="BF55" s="30" t="n">
        <v>0</v>
      </c>
      <c r="BG55" s="30">
        <f>SUM(BC55:BF55)</f>
        <v/>
      </c>
      <c r="BH55" s="30">
        <f>BB55+BG55</f>
        <v/>
      </c>
    </row>
    <row r="56">
      <c r="A56" s="28" t="n">
        <v>43</v>
      </c>
      <c r="B56" s="29" t="inlineStr">
        <is>
          <t>Serviços de alojamento e alimentação</t>
        </is>
      </c>
      <c r="C56" s="28" t="n">
        <v>9.00666316560242</v>
      </c>
      <c r="D56" s="28" t="n">
        <v>1.637559062951908</v>
      </c>
      <c r="E56" s="28" t="n">
        <v>183.1640557339699</v>
      </c>
      <c r="F56" s="28" t="n">
        <v>38.38470012275955</v>
      </c>
      <c r="G56" s="28" t="n">
        <v>21.53388148600527</v>
      </c>
      <c r="H56" s="28" t="n">
        <v>474.5934021095861</v>
      </c>
      <c r="I56" s="28" t="n">
        <v>29.09407828021924</v>
      </c>
      <c r="J56" s="28" t="n">
        <v>38.23691158049909</v>
      </c>
      <c r="K56" s="28" t="n">
        <v>23.36296123884749</v>
      </c>
      <c r="L56" s="28" t="n">
        <v>26.89737923767595</v>
      </c>
      <c r="M56" s="28" t="n">
        <v>6.062302946404674</v>
      </c>
      <c r="N56" s="28" t="n">
        <v>66.49700231113731</v>
      </c>
      <c r="O56" s="28" t="n">
        <v>15.55613782650936</v>
      </c>
      <c r="P56" s="28" t="n">
        <v>24.30002145520259</v>
      </c>
      <c r="Q56" s="28" t="n">
        <v>12.50852937052003</v>
      </c>
      <c r="R56" s="28" t="n">
        <v>97.49744713351252</v>
      </c>
      <c r="S56" s="28" t="n">
        <v>14.26325448300239</v>
      </c>
      <c r="T56" s="28" t="n">
        <v>227.6579601922397</v>
      </c>
      <c r="U56" s="28" t="n">
        <v>57.47865434675968</v>
      </c>
      <c r="V56" s="28" t="n">
        <v>26.16585296364693</v>
      </c>
      <c r="W56" s="28" t="n">
        <v>25.5725681297295</v>
      </c>
      <c r="X56" s="28" t="n">
        <v>55.39159016716552</v>
      </c>
      <c r="Y56" s="28" t="n">
        <v>78.06270967154288</v>
      </c>
      <c r="Z56" s="28" t="n">
        <v>60.19923380520705</v>
      </c>
      <c r="AA56" s="28" t="n">
        <v>135.3851583560928</v>
      </c>
      <c r="AB56" s="28" t="n">
        <v>44.38466816464039</v>
      </c>
      <c r="AC56" s="28" t="n">
        <v>98.84016681317337</v>
      </c>
      <c r="AD56" s="28" t="n">
        <v>274.1742390962551</v>
      </c>
      <c r="AE56" s="28" t="n">
        <v>86.65884603938528</v>
      </c>
      <c r="AF56" s="28" t="n">
        <v>114.8333768984285</v>
      </c>
      <c r="AG56" s="28" t="n">
        <v>261.8904483175731</v>
      </c>
      <c r="AH56" s="28" t="n">
        <v>59.81990224810756</v>
      </c>
      <c r="AI56" s="28" t="n">
        <v>35.79431016068922</v>
      </c>
      <c r="AJ56" s="28" t="n">
        <v>39.08295919613222</v>
      </c>
      <c r="AK56" s="28" t="n">
        <v>195.3857229676894</v>
      </c>
      <c r="AL56" s="28" t="n">
        <v>781.7007876022255</v>
      </c>
      <c r="AM56" s="28" t="n">
        <v>1820.506436464753</v>
      </c>
      <c r="AN56" s="28" t="n">
        <v>856.8551944631583</v>
      </c>
      <c r="AO56" s="28" t="n">
        <v>746.8487788793199</v>
      </c>
      <c r="AP56" s="28" t="n">
        <v>1885.684450025077</v>
      </c>
      <c r="AQ56" s="28" t="n">
        <v>60.7139401005618</v>
      </c>
      <c r="AR56" s="28" t="n">
        <v>41.01199712993281</v>
      </c>
      <c r="AS56" s="28" t="n">
        <v>121.6068738685693</v>
      </c>
      <c r="AT56" s="28" t="n">
        <v>1291.666210198703</v>
      </c>
      <c r="AU56" s="28" t="n">
        <v>277.7697316856457</v>
      </c>
      <c r="AV56" s="28" t="n">
        <v>1380.854573076963</v>
      </c>
      <c r="AW56" s="28" t="n">
        <v>11457.84006766445</v>
      </c>
      <c r="AX56" s="28" t="n">
        <v>0</v>
      </c>
      <c r="AY56" s="28" t="n">
        <v>994.1277844593129</v>
      </c>
      <c r="AZ56" s="28" t="n">
        <v>2202.78714906362</v>
      </c>
      <c r="BA56" s="28" t="n">
        <v>5848.19327757582</v>
      </c>
      <c r="BB56" s="28">
        <f>SUM(C56:BA56)</f>
        <v/>
      </c>
      <c r="BC56" s="28" t="n">
        <v>0</v>
      </c>
      <c r="BD56" s="28" t="n">
        <v>0</v>
      </c>
      <c r="BE56" s="28" t="n">
        <v>91467.59098949669</v>
      </c>
      <c r="BF56" s="28" t="n">
        <v>0</v>
      </c>
      <c r="BG56" s="28">
        <f>SUM(BC56:BF56)</f>
        <v/>
      </c>
      <c r="BH56" s="28">
        <f>BB56+BG56</f>
        <v/>
      </c>
    </row>
    <row r="57">
      <c r="A57" s="30" t="n">
        <v>44</v>
      </c>
      <c r="B57" s="31" t="inlineStr">
        <is>
          <t>Serviços prestados às empresas</t>
        </is>
      </c>
      <c r="C57" s="30" t="n">
        <v>593.5489517971018</v>
      </c>
      <c r="D57" s="30" t="n">
        <v>307.1524765630996</v>
      </c>
      <c r="E57" s="30" t="n">
        <v>9430.569051586155</v>
      </c>
      <c r="F57" s="30" t="n">
        <v>1212.394955257362</v>
      </c>
      <c r="G57" s="30" t="n">
        <v>1140.102030733751</v>
      </c>
      <c r="H57" s="30" t="n">
        <v>14883.18986789685</v>
      </c>
      <c r="I57" s="30" t="n">
        <v>1037.875299495959</v>
      </c>
      <c r="J57" s="30" t="n">
        <v>576.2449343522759</v>
      </c>
      <c r="K57" s="30" t="n">
        <v>594.9183518763932</v>
      </c>
      <c r="L57" s="30" t="n">
        <v>755.336997944452</v>
      </c>
      <c r="M57" s="30" t="n">
        <v>201.2714653225194</v>
      </c>
      <c r="N57" s="30" t="n">
        <v>1927.09790293754</v>
      </c>
      <c r="O57" s="30" t="n">
        <v>267.9112086807869</v>
      </c>
      <c r="P57" s="30" t="n">
        <v>2588.51608140016</v>
      </c>
      <c r="Q57" s="30" t="n">
        <v>469.3424704925602</v>
      </c>
      <c r="R57" s="30" t="n">
        <v>2125.484763992179</v>
      </c>
      <c r="S57" s="30" t="n">
        <v>489.644077374081</v>
      </c>
      <c r="T57" s="30" t="n">
        <v>4140.298781446869</v>
      </c>
      <c r="U57" s="30" t="n">
        <v>1297.013969645419</v>
      </c>
      <c r="V57" s="30" t="n">
        <v>1766.607846590614</v>
      </c>
      <c r="W57" s="30" t="n">
        <v>1002.055588189057</v>
      </c>
      <c r="X57" s="30" t="n">
        <v>641.5953196089923</v>
      </c>
      <c r="Y57" s="30" t="n">
        <v>1815.747413080504</v>
      </c>
      <c r="Z57" s="30" t="n">
        <v>2084.043335532859</v>
      </c>
      <c r="AA57" s="30" t="n">
        <v>1613.996916344289</v>
      </c>
      <c r="AB57" s="30" t="n">
        <v>774.5153483543853</v>
      </c>
      <c r="AC57" s="30" t="n">
        <v>1379.315046400188</v>
      </c>
      <c r="AD57" s="30" t="n">
        <v>3240.553943251694</v>
      </c>
      <c r="AE57" s="30" t="n">
        <v>2610.097296422035</v>
      </c>
      <c r="AF57" s="30" t="n">
        <v>3330.747344892628</v>
      </c>
      <c r="AG57" s="30" t="n">
        <v>6485.270492098098</v>
      </c>
      <c r="AH57" s="30" t="n">
        <v>1564.067789427727</v>
      </c>
      <c r="AI57" s="30" t="n">
        <v>806.2166257568554</v>
      </c>
      <c r="AJ57" s="30" t="n">
        <v>634.9189747533794</v>
      </c>
      <c r="AK57" s="30" t="n">
        <v>6163.631675873019</v>
      </c>
      <c r="AL57" s="30" t="n">
        <v>9639.012481216381</v>
      </c>
      <c r="AM57" s="30" t="n">
        <v>32278.80024685001</v>
      </c>
      <c r="AN57" s="30" t="n">
        <v>13352.88783901301</v>
      </c>
      <c r="AO57" s="30" t="n">
        <v>22161.916923702</v>
      </c>
      <c r="AP57" s="30" t="n">
        <v>24620.82569009121</v>
      </c>
      <c r="AQ57" s="30" t="n">
        <v>1567.554753263082</v>
      </c>
      <c r="AR57" s="30" t="n">
        <v>124.4834351537365</v>
      </c>
      <c r="AS57" s="30" t="n">
        <v>2108.294170605341</v>
      </c>
      <c r="AT57" s="30" t="n">
        <v>22854.55195574814</v>
      </c>
      <c r="AU57" s="30" t="n">
        <v>4177.507190721089</v>
      </c>
      <c r="AV57" s="30" t="n">
        <v>1510.314888967493</v>
      </c>
      <c r="AW57" s="30" t="n">
        <v>7743.24743912319</v>
      </c>
      <c r="AX57" s="30" t="n">
        <v>0</v>
      </c>
      <c r="AY57" s="30" t="n">
        <v>4805.198577228456</v>
      </c>
      <c r="AZ57" s="30" t="n">
        <v>4997.756329877383</v>
      </c>
      <c r="BA57" s="30" t="n">
        <v>17112.80012387309</v>
      </c>
      <c r="BB57" s="30">
        <f>SUM(C57:BA57)</f>
        <v/>
      </c>
      <c r="BC57" s="30" t="n">
        <v>0</v>
      </c>
      <c r="BD57" s="30" t="n">
        <v>0</v>
      </c>
      <c r="BE57" s="30" t="n">
        <v>45990.97227363862</v>
      </c>
      <c r="BF57" s="30" t="n">
        <v>0</v>
      </c>
      <c r="BG57" s="30">
        <f>SUM(BC57:BF57)</f>
        <v/>
      </c>
      <c r="BH57" s="30">
        <f>BB57+BG57</f>
        <v/>
      </c>
    </row>
    <row r="58">
      <c r="A58" s="28" t="n">
        <v>45</v>
      </c>
      <c r="B58" s="29" t="inlineStr">
        <is>
          <t>Educação mercantil</t>
        </is>
      </c>
      <c r="C58" s="28" t="n">
        <v>3.144459873369263</v>
      </c>
      <c r="D58" s="28" t="n">
        <v>1.639262697502409</v>
      </c>
      <c r="E58" s="28" t="n">
        <v>39.69864571547627</v>
      </c>
      <c r="F58" s="28" t="n">
        <v>52.40738057326347</v>
      </c>
      <c r="G58" s="28" t="n">
        <v>14.73905038381997</v>
      </c>
      <c r="H58" s="28" t="n">
        <v>50.74925914218419</v>
      </c>
      <c r="I58" s="28" t="n">
        <v>2.624513738158529</v>
      </c>
      <c r="J58" s="28" t="n">
        <v>2.52586089011188</v>
      </c>
      <c r="K58" s="28" t="n">
        <v>1.671621964241073</v>
      </c>
      <c r="L58" s="28" t="n">
        <v>2.108383919931079</v>
      </c>
      <c r="M58" s="28" t="n">
        <v>0.5436094814560422</v>
      </c>
      <c r="N58" s="28" t="n">
        <v>25.30078321359543</v>
      </c>
      <c r="O58" s="28" t="n">
        <v>0.6629534701772821</v>
      </c>
      <c r="P58" s="28" t="n">
        <v>9.914721060500494</v>
      </c>
      <c r="Q58" s="28" t="n">
        <v>1.254682334114625</v>
      </c>
      <c r="R58" s="28" t="n">
        <v>10.27705213141359</v>
      </c>
      <c r="S58" s="28" t="n">
        <v>1.324694502293765</v>
      </c>
      <c r="T58" s="28" t="n">
        <v>10.48872009820274</v>
      </c>
      <c r="U58" s="28" t="n">
        <v>14.16204938932746</v>
      </c>
      <c r="V58" s="28" t="n">
        <v>4.349992844604181</v>
      </c>
      <c r="W58" s="28" t="n">
        <v>4.814435186710647</v>
      </c>
      <c r="X58" s="28" t="n">
        <v>1.723535877525407</v>
      </c>
      <c r="Y58" s="28" t="n">
        <v>6.481847403100605</v>
      </c>
      <c r="Z58" s="28" t="n">
        <v>5.448689550505756</v>
      </c>
      <c r="AA58" s="28" t="n">
        <v>107.6119480809941</v>
      </c>
      <c r="AB58" s="28" t="n">
        <v>33.05159083310019</v>
      </c>
      <c r="AC58" s="28" t="n">
        <v>31.0634175767381</v>
      </c>
      <c r="AD58" s="28" t="n">
        <v>24.45450362312955</v>
      </c>
      <c r="AE58" s="28" t="n">
        <v>6.663303756321524</v>
      </c>
      <c r="AF58" s="28" t="n">
        <v>9.278639119035148</v>
      </c>
      <c r="AG58" s="28" t="n">
        <v>62.39125610196527</v>
      </c>
      <c r="AH58" s="28" t="n">
        <v>5.934780609233473</v>
      </c>
      <c r="AI58" s="28" t="n">
        <v>2.00425610687059</v>
      </c>
      <c r="AJ58" s="28" t="n">
        <v>1.663682779460808</v>
      </c>
      <c r="AK58" s="28" t="n">
        <v>59.33961238836015</v>
      </c>
      <c r="AL58" s="28" t="n">
        <v>25.25739609456624</v>
      </c>
      <c r="AM58" s="28" t="n">
        <v>373.6816767775395</v>
      </c>
      <c r="AN58" s="28" t="n">
        <v>636.4101625452549</v>
      </c>
      <c r="AO58" s="28" t="n">
        <v>89.26402838691806</v>
      </c>
      <c r="AP58" s="28" t="n">
        <v>965.7899666853116</v>
      </c>
      <c r="AQ58" s="28" t="n">
        <v>3.995683874702722</v>
      </c>
      <c r="AR58" s="28" t="n">
        <v>195.3737395937436</v>
      </c>
      <c r="AS58" s="28" t="n">
        <v>6.435866342573545</v>
      </c>
      <c r="AT58" s="28" t="n">
        <v>2292.787354628707</v>
      </c>
      <c r="AU58" s="28" t="n">
        <v>10.5094447616234</v>
      </c>
      <c r="AV58" s="28" t="n">
        <v>3.995125744862843</v>
      </c>
      <c r="AW58" s="28" t="n">
        <v>99.44594456855121</v>
      </c>
      <c r="AX58" s="28" t="n">
        <v>0</v>
      </c>
      <c r="AY58" s="28" t="n">
        <v>757.6905145570908</v>
      </c>
      <c r="AZ58" s="28" t="n">
        <v>287.3832419575358</v>
      </c>
      <c r="BA58" s="28" t="n">
        <v>349.6891250900425</v>
      </c>
      <c r="BB58" s="28">
        <f>SUM(C58:BA58)</f>
        <v/>
      </c>
      <c r="BC58" s="28" t="n">
        <v>0</v>
      </c>
      <c r="BD58" s="28" t="n">
        <v>0</v>
      </c>
      <c r="BE58" s="28" t="n">
        <v>44422.88960814216</v>
      </c>
      <c r="BF58" s="28" t="n">
        <v>0</v>
      </c>
      <c r="BG58" s="28">
        <f>SUM(BC58:BF58)</f>
        <v/>
      </c>
      <c r="BH58" s="28">
        <f>BB58+BG58</f>
        <v/>
      </c>
    </row>
    <row r="59">
      <c r="A59" s="30" t="n">
        <v>46</v>
      </c>
      <c r="B59" s="31" t="inlineStr">
        <is>
          <t>Saúde mercantil</t>
        </is>
      </c>
      <c r="C59" s="30" t="n">
        <v>3.663074537470517</v>
      </c>
      <c r="D59" s="30" t="n">
        <v>0.9628367505776581</v>
      </c>
      <c r="E59" s="30" t="n">
        <v>4.005170781872107</v>
      </c>
      <c r="F59" s="30" t="n">
        <v>12.14154899113829</v>
      </c>
      <c r="G59" s="30" t="n">
        <v>4.429764279028264</v>
      </c>
      <c r="H59" s="30" t="n">
        <v>168.8987869566725</v>
      </c>
      <c r="I59" s="30" t="n">
        <v>5.611973897960612</v>
      </c>
      <c r="J59" s="30" t="n">
        <v>17.10933697002673</v>
      </c>
      <c r="K59" s="30" t="n">
        <v>15.19882611872842</v>
      </c>
      <c r="L59" s="30" t="n">
        <v>17.04543342490751</v>
      </c>
      <c r="M59" s="30" t="n">
        <v>3.838275585852272</v>
      </c>
      <c r="N59" s="30" t="n">
        <v>31.66153764078975</v>
      </c>
      <c r="O59" s="30" t="n">
        <v>1.934733556765494</v>
      </c>
      <c r="P59" s="30" t="n">
        <v>8.63724918311844</v>
      </c>
      <c r="Q59" s="30" t="n">
        <v>7.376297305776602</v>
      </c>
      <c r="R59" s="30" t="n">
        <v>7.633269639197854</v>
      </c>
      <c r="S59" s="30" t="n">
        <v>8.491659565603145</v>
      </c>
      <c r="T59" s="30" t="n">
        <v>24.13560512056868</v>
      </c>
      <c r="U59" s="30" t="n">
        <v>6.702742471484003</v>
      </c>
      <c r="V59" s="30" t="n">
        <v>2.48709339067619</v>
      </c>
      <c r="W59" s="30" t="n">
        <v>4.229786986267068</v>
      </c>
      <c r="X59" s="30" t="n">
        <v>10.19058881207491</v>
      </c>
      <c r="Y59" s="30" t="n">
        <v>30.94293952759769</v>
      </c>
      <c r="Z59" s="30" t="n">
        <v>25.14137541047608</v>
      </c>
      <c r="AA59" s="30" t="n">
        <v>28.89273747834064</v>
      </c>
      <c r="AB59" s="30" t="n">
        <v>9.488831679081086</v>
      </c>
      <c r="AC59" s="30" t="n">
        <v>21.04040354275125</v>
      </c>
      <c r="AD59" s="30" t="n">
        <v>74.02486138448299</v>
      </c>
      <c r="AE59" s="30" t="n">
        <v>19.97009202483135</v>
      </c>
      <c r="AF59" s="30" t="n">
        <v>23.48831900916488</v>
      </c>
      <c r="AG59" s="30" t="n">
        <v>9.498220030152789</v>
      </c>
      <c r="AH59" s="30" t="n">
        <v>1.979464756509071</v>
      </c>
      <c r="AI59" s="30" t="n">
        <v>3.543589962220333</v>
      </c>
      <c r="AJ59" s="30" t="n">
        <v>7.94266587094419</v>
      </c>
      <c r="AK59" s="30" t="n">
        <v>22.3215512986486</v>
      </c>
      <c r="AL59" s="30" t="n">
        <v>19.08617450405373</v>
      </c>
      <c r="AM59" s="30" t="n">
        <v>322.2757417146469</v>
      </c>
      <c r="AN59" s="30" t="n">
        <v>132.786801125336</v>
      </c>
      <c r="AO59" s="30" t="n">
        <v>135.3838677558301</v>
      </c>
      <c r="AP59" s="30" t="n">
        <v>39.57768501379908</v>
      </c>
      <c r="AQ59" s="30" t="n">
        <v>10.98106389704892</v>
      </c>
      <c r="AR59" s="30" t="n">
        <v>2.100414597557902</v>
      </c>
      <c r="AS59" s="30" t="n">
        <v>29.27846884923775</v>
      </c>
      <c r="AT59" s="30" t="n">
        <v>83.7093607597857</v>
      </c>
      <c r="AU59" s="30" t="n">
        <v>19.74714211285204</v>
      </c>
      <c r="AV59" s="30" t="n">
        <v>10594.44925919638</v>
      </c>
      <c r="AW59" s="30" t="n">
        <v>41.80875691729813</v>
      </c>
      <c r="AX59" s="30" t="n">
        <v>0</v>
      </c>
      <c r="AY59" s="30" t="n">
        <v>9.491785231906192</v>
      </c>
      <c r="AZ59" s="30" t="n">
        <v>22.98807330456818</v>
      </c>
      <c r="BA59" s="30" t="n">
        <v>82.14676181924339</v>
      </c>
      <c r="BB59" s="30">
        <f>SUM(C59:BA59)</f>
        <v/>
      </c>
      <c r="BC59" s="30" t="n">
        <v>0</v>
      </c>
      <c r="BD59" s="30" t="n">
        <v>0</v>
      </c>
      <c r="BE59" s="30" t="n">
        <v>94390.67903527383</v>
      </c>
      <c r="BF59" s="30" t="n">
        <v>0</v>
      </c>
      <c r="BG59" s="30">
        <f>SUM(BC59:BF59)</f>
        <v/>
      </c>
      <c r="BH59" s="30">
        <f>BB59+BG59</f>
        <v/>
      </c>
    </row>
    <row r="60">
      <c r="A60" s="28" t="n">
        <v>47</v>
      </c>
      <c r="B60" s="29" t="inlineStr">
        <is>
          <t>Serviços prestados às famílias e associativas</t>
        </is>
      </c>
      <c r="C60" s="28" t="n">
        <v>98.87753125579056</v>
      </c>
      <c r="D60" s="28" t="n">
        <v>36.60225773050563</v>
      </c>
      <c r="E60" s="28" t="n">
        <v>556.5684548499946</v>
      </c>
      <c r="F60" s="28" t="n">
        <v>208.0489155818148</v>
      </c>
      <c r="G60" s="28" t="n">
        <v>95.95650225950827</v>
      </c>
      <c r="H60" s="28" t="n">
        <v>1330.358590712897</v>
      </c>
      <c r="I60" s="28" t="n">
        <v>70.3150946203194</v>
      </c>
      <c r="J60" s="28" t="n">
        <v>118.6828594589611</v>
      </c>
      <c r="K60" s="28" t="n">
        <v>98.57465592612498</v>
      </c>
      <c r="L60" s="28" t="n">
        <v>85.35455413905466</v>
      </c>
      <c r="M60" s="28" t="n">
        <v>46.43269834614793</v>
      </c>
      <c r="N60" s="28" t="n">
        <v>449.1060855964638</v>
      </c>
      <c r="O60" s="28" t="n">
        <v>56.24585390207402</v>
      </c>
      <c r="P60" s="28" t="n">
        <v>211.0393641690212</v>
      </c>
      <c r="Q60" s="28" t="n">
        <v>241.4041755819133</v>
      </c>
      <c r="R60" s="28" t="n">
        <v>208.6101288462771</v>
      </c>
      <c r="S60" s="28" t="n">
        <v>31.71778162284156</v>
      </c>
      <c r="T60" s="28" t="n">
        <v>381.0277259416545</v>
      </c>
      <c r="U60" s="28" t="n">
        <v>160.4103757237517</v>
      </c>
      <c r="V60" s="28" t="n">
        <v>142.7111673582507</v>
      </c>
      <c r="W60" s="28" t="n">
        <v>60.18577401542763</v>
      </c>
      <c r="X60" s="28" t="n">
        <v>217.6399142605145</v>
      </c>
      <c r="Y60" s="28" t="n">
        <v>465.5511475534162</v>
      </c>
      <c r="Z60" s="28" t="n">
        <v>243.3226633662214</v>
      </c>
      <c r="AA60" s="28" t="n">
        <v>242.9286186250528</v>
      </c>
      <c r="AB60" s="28" t="n">
        <v>90.75975882175628</v>
      </c>
      <c r="AC60" s="28" t="n">
        <v>227.7241148800509</v>
      </c>
      <c r="AD60" s="28" t="n">
        <v>435.1338218033371</v>
      </c>
      <c r="AE60" s="28" t="n">
        <v>254.9880701426769</v>
      </c>
      <c r="AF60" s="28" t="n">
        <v>292.8079738993237</v>
      </c>
      <c r="AG60" s="28" t="n">
        <v>873.712046069063</v>
      </c>
      <c r="AH60" s="28" t="n">
        <v>235.9279195098991</v>
      </c>
      <c r="AI60" s="28" t="n">
        <v>136.9081319303774</v>
      </c>
      <c r="AJ60" s="28" t="n">
        <v>140.6084737993072</v>
      </c>
      <c r="AK60" s="28" t="n">
        <v>721.0636327201285</v>
      </c>
      <c r="AL60" s="28" t="n">
        <v>1000.898472473638</v>
      </c>
      <c r="AM60" s="28" t="n">
        <v>4807.003655295667</v>
      </c>
      <c r="AN60" s="28" t="n">
        <v>2469.591618367842</v>
      </c>
      <c r="AO60" s="28" t="n">
        <v>4625.615948660628</v>
      </c>
      <c r="AP60" s="28" t="n">
        <v>2882.983754414891</v>
      </c>
      <c r="AQ60" s="28" t="n">
        <v>511.730888725539</v>
      </c>
      <c r="AR60" s="28" t="n">
        <v>46.42027088022595</v>
      </c>
      <c r="AS60" s="28" t="n">
        <v>825.8108338229439</v>
      </c>
      <c r="AT60" s="28" t="n">
        <v>2466.166616905015</v>
      </c>
      <c r="AU60" s="28" t="n">
        <v>872.613950704239</v>
      </c>
      <c r="AV60" s="28" t="n">
        <v>2015.480379662653</v>
      </c>
      <c r="AW60" s="28" t="n">
        <v>4222.517387969194</v>
      </c>
      <c r="AX60" s="28" t="n">
        <v>0</v>
      </c>
      <c r="AY60" s="28" t="n">
        <v>1181.377400122045</v>
      </c>
      <c r="AZ60" s="28" t="n">
        <v>1554.604279955278</v>
      </c>
      <c r="BA60" s="28" t="n">
        <v>2669.969002399401</v>
      </c>
      <c r="BB60" s="28">
        <f>SUM(C60:BA60)</f>
        <v/>
      </c>
      <c r="BC60" s="28" t="n">
        <v>0</v>
      </c>
      <c r="BD60" s="28" t="n">
        <v>0</v>
      </c>
      <c r="BE60" s="28" t="n">
        <v>119463.2607979188</v>
      </c>
      <c r="BF60" s="28" t="n">
        <v>0</v>
      </c>
      <c r="BG60" s="28">
        <f>SUM(BC60:BF60)</f>
        <v/>
      </c>
      <c r="BH60" s="28">
        <f>BB60+BG60</f>
        <v/>
      </c>
    </row>
    <row r="61">
      <c r="A61" s="30" t="n">
        <v>48</v>
      </c>
      <c r="B61" s="31" t="inlineStr">
        <is>
          <t>Serviços domésticos</t>
        </is>
      </c>
      <c r="C61" s="30" t="n">
        <v>0</v>
      </c>
      <c r="D61" s="30" t="n">
        <v>0</v>
      </c>
      <c r="E61" s="30" t="n">
        <v>0</v>
      </c>
      <c r="F61" s="30" t="n">
        <v>0</v>
      </c>
      <c r="G61" s="30" t="n">
        <v>0</v>
      </c>
      <c r="H61" s="30" t="n">
        <v>0</v>
      </c>
      <c r="I61" s="30" t="n">
        <v>0</v>
      </c>
      <c r="J61" s="30" t="n">
        <v>0</v>
      </c>
      <c r="K61" s="30" t="n">
        <v>0</v>
      </c>
      <c r="L61" s="30" t="n">
        <v>0</v>
      </c>
      <c r="M61" s="30" t="n">
        <v>0</v>
      </c>
      <c r="N61" s="30" t="n">
        <v>0</v>
      </c>
      <c r="O61" s="30" t="n">
        <v>0</v>
      </c>
      <c r="P61" s="30" t="n">
        <v>0</v>
      </c>
      <c r="Q61" s="30" t="n">
        <v>0</v>
      </c>
      <c r="R61" s="30" t="n">
        <v>0</v>
      </c>
      <c r="S61" s="30" t="n">
        <v>0</v>
      </c>
      <c r="T61" s="30" t="n">
        <v>0</v>
      </c>
      <c r="U61" s="30" t="n">
        <v>0</v>
      </c>
      <c r="V61" s="30" t="n">
        <v>0</v>
      </c>
      <c r="W61" s="30" t="n">
        <v>0</v>
      </c>
      <c r="X61" s="30" t="n">
        <v>0</v>
      </c>
      <c r="Y61" s="30" t="n">
        <v>0</v>
      </c>
      <c r="Z61" s="30" t="n">
        <v>0</v>
      </c>
      <c r="AA61" s="30" t="n">
        <v>0</v>
      </c>
      <c r="AB61" s="30" t="n">
        <v>0</v>
      </c>
      <c r="AC61" s="30" t="n">
        <v>0</v>
      </c>
      <c r="AD61" s="30" t="n">
        <v>0</v>
      </c>
      <c r="AE61" s="30" t="n">
        <v>0</v>
      </c>
      <c r="AF61" s="30" t="n">
        <v>0</v>
      </c>
      <c r="AG61" s="30" t="n">
        <v>0</v>
      </c>
      <c r="AH61" s="30" t="n">
        <v>0</v>
      </c>
      <c r="AI61" s="30" t="n">
        <v>0</v>
      </c>
      <c r="AJ61" s="30" t="n">
        <v>0</v>
      </c>
      <c r="AK61" s="30" t="n">
        <v>0</v>
      </c>
      <c r="AL61" s="30" t="n">
        <v>0</v>
      </c>
      <c r="AM61" s="30" t="n">
        <v>0</v>
      </c>
      <c r="AN61" s="30" t="n">
        <v>0</v>
      </c>
      <c r="AO61" s="30" t="n">
        <v>0</v>
      </c>
      <c r="AP61" s="30" t="n">
        <v>0</v>
      </c>
      <c r="AQ61" s="30" t="n">
        <v>0</v>
      </c>
      <c r="AR61" s="30" t="n">
        <v>0</v>
      </c>
      <c r="AS61" s="30" t="n">
        <v>0</v>
      </c>
      <c r="AT61" s="30" t="n">
        <v>0</v>
      </c>
      <c r="AU61" s="30" t="n">
        <v>0</v>
      </c>
      <c r="AV61" s="30" t="n">
        <v>0</v>
      </c>
      <c r="AW61" s="30" t="n">
        <v>0</v>
      </c>
      <c r="AX61" s="30" t="n">
        <v>0</v>
      </c>
      <c r="AY61" s="30" t="n">
        <v>0</v>
      </c>
      <c r="AZ61" s="30" t="n">
        <v>0</v>
      </c>
      <c r="BA61" s="30" t="n">
        <v>0</v>
      </c>
      <c r="BB61" s="30">
        <f>SUM(C61:BA61)</f>
        <v/>
      </c>
      <c r="BC61" s="30" t="n">
        <v>0</v>
      </c>
      <c r="BD61" s="30" t="n">
        <v>0</v>
      </c>
      <c r="BE61" s="30" t="n">
        <v>36931.8534512071</v>
      </c>
      <c r="BF61" s="30" t="n">
        <v>0</v>
      </c>
      <c r="BG61" s="30">
        <f>SUM(BC61:BF61)</f>
        <v/>
      </c>
      <c r="BH61" s="30">
        <f>BB61+BG61</f>
        <v/>
      </c>
    </row>
    <row r="62">
      <c r="A62" s="28" t="n">
        <v>49</v>
      </c>
      <c r="B62" s="29" t="inlineStr">
        <is>
          <t>Educação pública</t>
        </is>
      </c>
      <c r="C62" s="28" t="n">
        <v>19.5855435780629</v>
      </c>
      <c r="D62" s="28" t="n">
        <v>10.69725329336773</v>
      </c>
      <c r="E62" s="28" t="n">
        <v>308.3443719229485</v>
      </c>
      <c r="F62" s="28" t="n">
        <v>39.38953359163072</v>
      </c>
      <c r="G62" s="28" t="n">
        <v>37.01813221121976</v>
      </c>
      <c r="H62" s="28" t="n">
        <v>491.3139387765273</v>
      </c>
      <c r="I62" s="28" t="n">
        <v>34.07127240000659</v>
      </c>
      <c r="J62" s="28" t="n">
        <v>18.77481660154485</v>
      </c>
      <c r="K62" s="28" t="n">
        <v>19.25034229942942</v>
      </c>
      <c r="L62" s="28" t="n">
        <v>24.70524728565398</v>
      </c>
      <c r="M62" s="28" t="n">
        <v>6.495108160006899</v>
      </c>
      <c r="N62" s="28" t="n">
        <v>63.06780058268074</v>
      </c>
      <c r="O62" s="28" t="n">
        <v>9.247618494215152</v>
      </c>
      <c r="P62" s="28" t="n">
        <v>84.81949854262383</v>
      </c>
      <c r="Q62" s="28" t="n">
        <v>15.3169479312544</v>
      </c>
      <c r="R62" s="28" t="n">
        <v>69.67309800903809</v>
      </c>
      <c r="S62" s="28" t="n">
        <v>15.99704355821011</v>
      </c>
      <c r="T62" s="28" t="n">
        <v>135.8217804405867</v>
      </c>
      <c r="U62" s="28" t="n">
        <v>42.66188581651247</v>
      </c>
      <c r="V62" s="28" t="n">
        <v>57.9276753364853</v>
      </c>
      <c r="W62" s="28" t="n">
        <v>32.84256756302302</v>
      </c>
      <c r="X62" s="28" t="n">
        <v>21.01571115940065</v>
      </c>
      <c r="Y62" s="28" t="n">
        <v>59.32478162696088</v>
      </c>
      <c r="Z62" s="28" t="n">
        <v>67.883207350682</v>
      </c>
      <c r="AA62" s="28" t="n">
        <v>52.31418252283856</v>
      </c>
      <c r="AB62" s="28" t="n">
        <v>25.37529674959553</v>
      </c>
      <c r="AC62" s="28" t="n">
        <v>45.2187825412229</v>
      </c>
      <c r="AD62" s="28" t="n">
        <v>99.01425795596569</v>
      </c>
      <c r="AE62" s="28" t="n">
        <v>85.2941107299545</v>
      </c>
      <c r="AF62" s="28" t="n">
        <v>109.2852098362575</v>
      </c>
      <c r="AG62" s="28" t="n">
        <v>212.6976320970474</v>
      </c>
      <c r="AH62" s="28" t="n">
        <v>51.10364074487622</v>
      </c>
      <c r="AI62" s="28" t="n">
        <v>26.18585412705716</v>
      </c>
      <c r="AJ62" s="28" t="n">
        <v>20.68633908770027</v>
      </c>
      <c r="AK62" s="28" t="n">
        <v>202.4834377400815</v>
      </c>
      <c r="AL62" s="28" t="n">
        <v>314.3092119187502</v>
      </c>
      <c r="AM62" s="28" t="n">
        <v>1064.075728542646</v>
      </c>
      <c r="AN62" s="28" t="n">
        <v>443.2326162008717</v>
      </c>
      <c r="AO62" s="28" t="n">
        <v>729.8044587507427</v>
      </c>
      <c r="AP62" s="28" t="n">
        <v>818.3564086051919</v>
      </c>
      <c r="AQ62" s="28" t="n">
        <v>51.57700620795808</v>
      </c>
      <c r="AR62" s="28" t="n">
        <v>5.979775381345428</v>
      </c>
      <c r="AS62" s="28" t="n">
        <v>69.22433953896247</v>
      </c>
      <c r="AT62" s="28" t="n">
        <v>774.1600964198317</v>
      </c>
      <c r="AU62" s="28" t="n">
        <v>137.2349400731104</v>
      </c>
      <c r="AV62" s="28" t="n">
        <v>54.05947687165747</v>
      </c>
      <c r="AW62" s="28" t="n">
        <v>256.4878019148114</v>
      </c>
      <c r="AX62" s="28" t="n">
        <v>0</v>
      </c>
      <c r="AY62" s="28" t="n">
        <v>165.274404593713</v>
      </c>
      <c r="AZ62" s="28" t="n">
        <v>166.8835464084844</v>
      </c>
      <c r="BA62" s="28" t="n">
        <v>565.8637347859868</v>
      </c>
      <c r="BB62" s="28">
        <f>SUM(C62:BA62)</f>
        <v/>
      </c>
      <c r="BC62" s="28" t="n">
        <v>0</v>
      </c>
      <c r="BD62" s="28" t="n">
        <v>0</v>
      </c>
      <c r="BE62" s="28" t="n">
        <v>133305.6059589025</v>
      </c>
      <c r="BF62" s="28" t="n">
        <v>0</v>
      </c>
      <c r="BG62" s="28">
        <f>SUM(BC62:BF62)</f>
        <v/>
      </c>
      <c r="BH62" s="28">
        <f>BB62+BG62</f>
        <v/>
      </c>
    </row>
    <row r="63">
      <c r="A63" s="30" t="n">
        <v>50</v>
      </c>
      <c r="B63" s="31" t="inlineStr">
        <is>
          <t>Saúde pública</t>
        </is>
      </c>
      <c r="C63" s="30" t="n">
        <v>1.822818384082573</v>
      </c>
      <c r="D63" s="30" t="n">
        <v>1.053734652616198</v>
      </c>
      <c r="E63" s="30" t="n">
        <v>28.70975094320776</v>
      </c>
      <c r="F63" s="30" t="n">
        <v>3.618990434756587</v>
      </c>
      <c r="G63" s="30" t="n">
        <v>3.434239164218614</v>
      </c>
      <c r="H63" s="30" t="n">
        <v>45.33531306940577</v>
      </c>
      <c r="I63" s="30" t="n">
        <v>3.17080655664782</v>
      </c>
      <c r="J63" s="30" t="n">
        <v>1.728104806756588</v>
      </c>
      <c r="K63" s="30" t="n">
        <v>1.773425707836891</v>
      </c>
      <c r="L63" s="30" t="n">
        <v>2.29170297731105</v>
      </c>
      <c r="M63" s="30" t="n">
        <v>0.6021036255519573</v>
      </c>
      <c r="N63" s="30" t="n">
        <v>5.83097998762437</v>
      </c>
      <c r="O63" s="30" t="n">
        <v>0.7889799839963897</v>
      </c>
      <c r="P63" s="30" t="n">
        <v>7.89111590022149</v>
      </c>
      <c r="Q63" s="30" t="n">
        <v>1.417263597596497</v>
      </c>
      <c r="R63" s="30" t="n">
        <v>6.478189309233634</v>
      </c>
      <c r="S63" s="30" t="n">
        <v>1.485579214816571</v>
      </c>
      <c r="T63" s="30" t="n">
        <v>12.78225863909812</v>
      </c>
      <c r="U63" s="30" t="n">
        <v>3.968248993447703</v>
      </c>
      <c r="V63" s="30" t="n">
        <v>5.390635868593494</v>
      </c>
      <c r="W63" s="30" t="n">
        <v>3.055113590029324</v>
      </c>
      <c r="X63" s="30" t="n">
        <v>1.950570297971927</v>
      </c>
      <c r="Y63" s="30" t="n">
        <v>5.500392081505019</v>
      </c>
      <c r="Z63" s="30" t="n">
        <v>6.307029955764731</v>
      </c>
      <c r="AA63" s="30" t="n">
        <v>4.755818230407395</v>
      </c>
      <c r="AB63" s="30" t="n">
        <v>2.330503853654745</v>
      </c>
      <c r="AC63" s="30" t="n">
        <v>4.17227805490973</v>
      </c>
      <c r="AD63" s="30" t="n">
        <v>9.172842066074256</v>
      </c>
      <c r="AE63" s="30" t="n">
        <v>7.93413196552557</v>
      </c>
      <c r="AF63" s="30" t="n">
        <v>10.15825479780317</v>
      </c>
      <c r="AG63" s="30" t="n">
        <v>19.76248936262193</v>
      </c>
      <c r="AH63" s="30" t="n">
        <v>4.749496728344882</v>
      </c>
      <c r="AI63" s="30" t="n">
        <v>2.435436776768693</v>
      </c>
      <c r="AJ63" s="30" t="n">
        <v>1.916632075706562</v>
      </c>
      <c r="AK63" s="30" t="n">
        <v>18.75866298374693</v>
      </c>
      <c r="AL63" s="30" t="n">
        <v>29.21730393570501</v>
      </c>
      <c r="AM63" s="30" t="n">
        <v>97.49029926764028</v>
      </c>
      <c r="AN63" s="30" t="n">
        <v>40.57546326614032</v>
      </c>
      <c r="AO63" s="30" t="n">
        <v>67.51548706634712</v>
      </c>
      <c r="AP63" s="30" t="n">
        <v>75.09651167567606</v>
      </c>
      <c r="AQ63" s="30" t="n">
        <v>4.726796036090562</v>
      </c>
      <c r="AR63" s="30" t="n">
        <v>0.3671556903668562</v>
      </c>
      <c r="AS63" s="30" t="n">
        <v>6.266921454719148</v>
      </c>
      <c r="AT63" s="30" t="n">
        <v>69.54152260741236</v>
      </c>
      <c r="AU63" s="30" t="n">
        <v>12.66548113460138</v>
      </c>
      <c r="AV63" s="30" t="n">
        <v>218.7055468669565</v>
      </c>
      <c r="AW63" s="30" t="n">
        <v>23.42121867123125</v>
      </c>
      <c r="AX63" s="30" t="n">
        <v>0</v>
      </c>
      <c r="AY63" s="30" t="n">
        <v>14.73038401487842</v>
      </c>
      <c r="AZ63" s="30" t="n">
        <v>15.51657077044496</v>
      </c>
      <c r="BA63" s="30" t="n">
        <v>53.02736037633608</v>
      </c>
      <c r="BB63" s="30">
        <f>SUM(C63:BA63)</f>
        <v/>
      </c>
      <c r="BC63" s="30" t="n">
        <v>0</v>
      </c>
      <c r="BD63" s="30" t="n">
        <v>0</v>
      </c>
      <c r="BE63" s="30" t="n">
        <v>89582.22537886575</v>
      </c>
      <c r="BF63" s="30" t="n">
        <v>0</v>
      </c>
      <c r="BG63" s="30">
        <f>SUM(BC63:BF63)</f>
        <v/>
      </c>
      <c r="BH63" s="30">
        <f>BB63+BG63</f>
        <v/>
      </c>
    </row>
    <row r="64">
      <c r="A64" s="28" t="n">
        <v>51</v>
      </c>
      <c r="B64" s="29" t="inlineStr">
        <is>
          <t>Administração pública e seguridade social</t>
        </is>
      </c>
      <c r="C64" s="28" t="n">
        <v>294.7132992512708</v>
      </c>
      <c r="D64" s="28" t="n">
        <v>100.6469492670122</v>
      </c>
      <c r="E64" s="28" t="n">
        <v>578.5659606544473</v>
      </c>
      <c r="F64" s="28" t="n">
        <v>97.49251332316386</v>
      </c>
      <c r="G64" s="28" t="n">
        <v>81.67248693660919</v>
      </c>
      <c r="H64" s="28" t="n">
        <v>1343.698080498013</v>
      </c>
      <c r="I64" s="28" t="n">
        <v>54.71114934900501</v>
      </c>
      <c r="J64" s="28" t="n">
        <v>55.6894952094231</v>
      </c>
      <c r="K64" s="28" t="n">
        <v>49.61823278469551</v>
      </c>
      <c r="L64" s="28" t="n">
        <v>49.32242276200975</v>
      </c>
      <c r="M64" s="28" t="n">
        <v>28.73754250448432</v>
      </c>
      <c r="N64" s="28" t="n">
        <v>170.2161284969027</v>
      </c>
      <c r="O64" s="28" t="n">
        <v>112.9480746026467</v>
      </c>
      <c r="P64" s="28" t="n">
        <v>152.4379672162939</v>
      </c>
      <c r="Q64" s="28" t="n">
        <v>37.65875234913966</v>
      </c>
      <c r="R64" s="28" t="n">
        <v>291.2633850298833</v>
      </c>
      <c r="S64" s="28" t="n">
        <v>51.35607587776595</v>
      </c>
      <c r="T64" s="28" t="n">
        <v>240.1301331440006</v>
      </c>
      <c r="U64" s="28" t="n">
        <v>76.7824082980938</v>
      </c>
      <c r="V64" s="28" t="n">
        <v>110.397456772086</v>
      </c>
      <c r="W64" s="28" t="n">
        <v>72.28384983842925</v>
      </c>
      <c r="X64" s="28" t="n">
        <v>52.52353686665695</v>
      </c>
      <c r="Y64" s="28" t="n">
        <v>133.1684769211687</v>
      </c>
      <c r="Z64" s="28" t="n">
        <v>164.1564913355102</v>
      </c>
      <c r="AA64" s="28" t="n">
        <v>187.1929879134778</v>
      </c>
      <c r="AB64" s="28" t="n">
        <v>71.70099650027866</v>
      </c>
      <c r="AC64" s="28" t="n">
        <v>106.1717568745992</v>
      </c>
      <c r="AD64" s="28" t="n">
        <v>205.1609425403252</v>
      </c>
      <c r="AE64" s="28" t="n">
        <v>157.2122163487377</v>
      </c>
      <c r="AF64" s="28" t="n">
        <v>198.1964263996241</v>
      </c>
      <c r="AG64" s="28" t="n">
        <v>392.0744903576966</v>
      </c>
      <c r="AH64" s="28" t="n">
        <v>109.8962832820238</v>
      </c>
      <c r="AI64" s="28" t="n">
        <v>54.79292951685377</v>
      </c>
      <c r="AJ64" s="28" t="n">
        <v>46.78164040027378</v>
      </c>
      <c r="AK64" s="28" t="n">
        <v>659.9783423356371</v>
      </c>
      <c r="AL64" s="28" t="n">
        <v>557.1980625833412</v>
      </c>
      <c r="AM64" s="28" t="n">
        <v>2500.174846971387</v>
      </c>
      <c r="AN64" s="28" t="n">
        <v>1093.662210669818</v>
      </c>
      <c r="AO64" s="28" t="n">
        <v>1540.691115511994</v>
      </c>
      <c r="AP64" s="28" t="n">
        <v>1508.38773935831</v>
      </c>
      <c r="AQ64" s="28" t="n">
        <v>122.3532212579648</v>
      </c>
      <c r="AR64" s="28" t="n">
        <v>16.45942404837986</v>
      </c>
      <c r="AS64" s="28" t="n">
        <v>177.8199421228649</v>
      </c>
      <c r="AT64" s="28" t="n">
        <v>1673.132308977579</v>
      </c>
      <c r="AU64" s="28" t="n">
        <v>284.9908070323676</v>
      </c>
      <c r="AV64" s="28" t="n">
        <v>159.5233383608591</v>
      </c>
      <c r="AW64" s="28" t="n">
        <v>842.057552609511</v>
      </c>
      <c r="AX64" s="28" t="n">
        <v>0</v>
      </c>
      <c r="AY64" s="28" t="n">
        <v>327.7315498644806</v>
      </c>
      <c r="AZ64" s="28" t="n">
        <v>309.0526360497296</v>
      </c>
      <c r="BA64" s="28" t="n">
        <v>1128.435046170944</v>
      </c>
      <c r="BB64" s="28">
        <f>SUM(C64:BA64)</f>
        <v/>
      </c>
      <c r="BC64" s="28" t="n">
        <v>0</v>
      </c>
      <c r="BD64" s="28" t="n">
        <v>0</v>
      </c>
      <c r="BE64" s="28" t="n">
        <v>412434.8036548282</v>
      </c>
      <c r="BF64" s="28" t="n">
        <v>0</v>
      </c>
      <c r="BG64" s="28">
        <f>SUM(BC64:BF64)</f>
        <v/>
      </c>
      <c r="BH64" s="28">
        <f>BB64+BG64</f>
        <v/>
      </c>
    </row>
    <row r="65">
      <c r="B65" s="32" t="inlineStr">
        <is>
          <t>Total consumo intermedio</t>
        </is>
      </c>
      <c r="C65" s="33">
        <f>SUM(C14:C64)</f>
        <v/>
      </c>
      <c r="D65" s="33">
        <f>SUM(D14:D64)</f>
        <v/>
      </c>
      <c r="E65" s="33">
        <f>SUM(E14:E64)</f>
        <v/>
      </c>
      <c r="F65" s="33">
        <f>SUM(F14:F64)</f>
        <v/>
      </c>
      <c r="G65" s="33">
        <f>SUM(G14:G64)</f>
        <v/>
      </c>
      <c r="H65" s="33">
        <f>SUM(H14:H64)</f>
        <v/>
      </c>
      <c r="I65" s="33">
        <f>SUM(I14:I64)</f>
        <v/>
      </c>
      <c r="J65" s="33">
        <f>SUM(J14:J64)</f>
        <v/>
      </c>
      <c r="K65" s="33">
        <f>SUM(K14:K64)</f>
        <v/>
      </c>
      <c r="L65" s="33">
        <f>SUM(L14:L64)</f>
        <v/>
      </c>
      <c r="M65" s="33">
        <f>SUM(M14:M64)</f>
        <v/>
      </c>
      <c r="N65" s="33">
        <f>SUM(N14:N64)</f>
        <v/>
      </c>
      <c r="O65" s="33">
        <f>SUM(O14:O64)</f>
        <v/>
      </c>
      <c r="P65" s="33">
        <f>SUM(P14:P64)</f>
        <v/>
      </c>
      <c r="Q65" s="33">
        <f>SUM(Q14:Q64)</f>
        <v/>
      </c>
      <c r="R65" s="33">
        <f>SUM(R14:R64)</f>
        <v/>
      </c>
      <c r="S65" s="33">
        <f>SUM(S14:S64)</f>
        <v/>
      </c>
      <c r="T65" s="33">
        <f>SUM(T14:T64)</f>
        <v/>
      </c>
      <c r="U65" s="33">
        <f>SUM(U14:U64)</f>
        <v/>
      </c>
      <c r="V65" s="33">
        <f>SUM(V14:V64)</f>
        <v/>
      </c>
      <c r="W65" s="33">
        <f>SUM(W14:W64)</f>
        <v/>
      </c>
      <c r="X65" s="33">
        <f>SUM(X14:X64)</f>
        <v/>
      </c>
      <c r="Y65" s="33">
        <f>SUM(Y14:Y64)</f>
        <v/>
      </c>
      <c r="Z65" s="33">
        <f>SUM(Z14:Z64)</f>
        <v/>
      </c>
      <c r="AA65" s="33">
        <f>SUM(AA14:AA64)</f>
        <v/>
      </c>
      <c r="AB65" s="33">
        <f>SUM(AB14:AB64)</f>
        <v/>
      </c>
      <c r="AC65" s="33">
        <f>SUM(AC14:AC64)</f>
        <v/>
      </c>
      <c r="AD65" s="33">
        <f>SUM(AD14:AD64)</f>
        <v/>
      </c>
      <c r="AE65" s="33">
        <f>SUM(AE14:AE64)</f>
        <v/>
      </c>
      <c r="AF65" s="33">
        <f>SUM(AF14:AF64)</f>
        <v/>
      </c>
      <c r="AG65" s="33">
        <f>SUM(AG14:AG64)</f>
        <v/>
      </c>
      <c r="AH65" s="33">
        <f>SUM(AH14:AH64)</f>
        <v/>
      </c>
      <c r="AI65" s="33">
        <f>SUM(AI14:AI64)</f>
        <v/>
      </c>
      <c r="AJ65" s="33">
        <f>SUM(AJ14:AJ64)</f>
        <v/>
      </c>
      <c r="AK65" s="33">
        <f>SUM(AK14:AK64)</f>
        <v/>
      </c>
      <c r="AL65" s="33">
        <f>SUM(AL14:AL64)</f>
        <v/>
      </c>
      <c r="AM65" s="33">
        <f>SUM(AM14:AM64)</f>
        <v/>
      </c>
      <c r="AN65" s="33">
        <f>SUM(AN14:AN64)</f>
        <v/>
      </c>
      <c r="AO65" s="33">
        <f>SUM(AO14:AO64)</f>
        <v/>
      </c>
      <c r="AP65" s="33">
        <f>SUM(AP14:AP64)</f>
        <v/>
      </c>
      <c r="AQ65" s="33">
        <f>SUM(AQ14:AQ64)</f>
        <v/>
      </c>
      <c r="AR65" s="33">
        <f>SUM(AR14:AR64)</f>
        <v/>
      </c>
      <c r="AS65" s="33">
        <f>SUM(AS14:AS64)</f>
        <v/>
      </c>
      <c r="AT65" s="33">
        <f>SUM(AT14:AT64)</f>
        <v/>
      </c>
      <c r="AU65" s="33">
        <f>SUM(AU14:AU64)</f>
        <v/>
      </c>
      <c r="AV65" s="33">
        <f>SUM(AV14:AV64)</f>
        <v/>
      </c>
      <c r="AW65" s="33">
        <f>SUM(AW14:AW64)</f>
        <v/>
      </c>
      <c r="AX65" s="33">
        <f>SUM(AX14:AX64)</f>
        <v/>
      </c>
      <c r="AY65" s="33">
        <f>SUM(AY14:AY64)</f>
        <v/>
      </c>
      <c r="AZ65" s="33">
        <f>SUM(AZ14:AZ64)</f>
        <v/>
      </c>
      <c r="BA65" s="33">
        <f>SUM(BA14:BA64)</f>
        <v/>
      </c>
      <c r="BB65" s="33">
        <f>SUM(BB14:BB64)</f>
        <v/>
      </c>
      <c r="BC65" s="33">
        <f>SUM(BC14:BC64)</f>
        <v/>
      </c>
      <c r="BD65" s="33">
        <f>SUM(BD14:BD64)</f>
        <v/>
      </c>
      <c r="BE65" s="33">
        <f>SUM(BE14:BE64)</f>
        <v/>
      </c>
      <c r="BF65" s="33">
        <f>SUM(BF14:BF64)</f>
        <v/>
      </c>
      <c r="BG65" s="33">
        <f>SUM(BG14:BG64)</f>
        <v/>
      </c>
      <c r="BH65" s="33">
        <f>SUM(BH14:BH64)</f>
        <v/>
      </c>
    </row>
    <row r="66"/>
    <row r="67">
      <c r="B67" s="32" t="inlineStr">
        <is>
          <t>Ajuste intermedio no asignado a matriz</t>
        </is>
      </c>
      <c r="C67" s="33" t="n">
        <v>19226.80205188433</v>
      </c>
      <c r="D67" s="33" t="n">
        <v>10352.21926206752</v>
      </c>
      <c r="E67" s="33" t="n">
        <v>8053.361927023672</v>
      </c>
      <c r="F67" s="34" t="n">
        <v>-391.6992979159745</v>
      </c>
      <c r="G67" s="33" t="n">
        <v>2149.441222178714</v>
      </c>
      <c r="H67" s="33" t="n">
        <v>12175.78078483853</v>
      </c>
      <c r="I67" s="34" t="n">
        <v>-73.30962937298324</v>
      </c>
      <c r="J67" s="33" t="n">
        <v>4173.442455575178</v>
      </c>
      <c r="K67" s="33" t="n">
        <v>4952.266455497952</v>
      </c>
      <c r="L67" s="33" t="n">
        <v>1238.793146094413</v>
      </c>
      <c r="M67" s="33" t="n">
        <v>1500.325318525559</v>
      </c>
      <c r="N67" s="33" t="n">
        <v>707.7704370630581</v>
      </c>
      <c r="O67" s="33" t="n">
        <v>2198.450430878978</v>
      </c>
      <c r="P67" s="33" t="n">
        <v>40107.85682181345</v>
      </c>
      <c r="Q67" s="33" t="n">
        <v>508.2239850817726</v>
      </c>
      <c r="R67" s="33" t="n">
        <v>13714.4235108768</v>
      </c>
      <c r="S67" s="33" t="n">
        <v>4219.632268401191</v>
      </c>
      <c r="T67" s="34" t="n">
        <v>-479.6878333070713</v>
      </c>
      <c r="U67" s="33" t="n">
        <v>2088.707126349102</v>
      </c>
      <c r="V67" s="33" t="n">
        <v>4990.62253240074</v>
      </c>
      <c r="W67" s="33" t="n">
        <v>2208.088761783394</v>
      </c>
      <c r="X67" s="33" t="n">
        <v>1080.551243946259</v>
      </c>
      <c r="Y67" s="33" t="n">
        <v>5403.785671085684</v>
      </c>
      <c r="Z67" s="33" t="n">
        <v>3577.752296770697</v>
      </c>
      <c r="AA67" s="33" t="n">
        <v>7948.200432144139</v>
      </c>
      <c r="AB67" s="33" t="n">
        <v>4965.268454476232</v>
      </c>
      <c r="AC67" s="33" t="n">
        <v>4082.410061051608</v>
      </c>
      <c r="AD67" s="33" t="n">
        <v>4629.246285429828</v>
      </c>
      <c r="AE67" s="33" t="n">
        <v>6715.720734884506</v>
      </c>
      <c r="AF67" s="33" t="n">
        <v>16084.75306637005</v>
      </c>
      <c r="AG67" s="33" t="n">
        <v>22427.994087979</v>
      </c>
      <c r="AH67" s="33" t="n">
        <v>11718.82582747897</v>
      </c>
      <c r="AI67" s="33" t="n">
        <v>7025.286941902072</v>
      </c>
      <c r="AJ67" s="33" t="n">
        <v>4467.894386656906</v>
      </c>
      <c r="AK67" s="33" t="n">
        <v>14243.4377682218</v>
      </c>
      <c r="AL67" s="33" t="n">
        <v>44045.05689528731</v>
      </c>
      <c r="AM67" s="34" t="n">
        <v>-4629.727207051419</v>
      </c>
      <c r="AN67" s="34" t="n">
        <v>-4351.683572921862</v>
      </c>
      <c r="AO67" s="34" t="n">
        <v>-4595.241896002359</v>
      </c>
      <c r="AP67" s="33" t="n">
        <v>15981.0646330507</v>
      </c>
      <c r="AQ67" s="33" t="n">
        <v>3874.33580673623</v>
      </c>
      <c r="AR67" s="33" t="n">
        <v>1039.331833537398</v>
      </c>
      <c r="AS67" s="33" t="n">
        <v>20944.50057409798</v>
      </c>
      <c r="AT67" s="33" t="n">
        <v>13853.01919027908</v>
      </c>
      <c r="AU67" s="33" t="n">
        <v>2613.704631923896</v>
      </c>
      <c r="AV67" s="33" t="n">
        <v>12637.63209879438</v>
      </c>
      <c r="AW67" s="33" t="n">
        <v>14405.73638970692</v>
      </c>
      <c r="AX67" s="33" t="n">
        <v>0</v>
      </c>
      <c r="AY67" s="33" t="n">
        <v>5040.998220293692</v>
      </c>
      <c r="AZ67" s="33" t="n">
        <v>4779.074636499214</v>
      </c>
      <c r="BA67" s="33" t="n">
        <v>12173.27827531319</v>
      </c>
      <c r="BH67" s="33">
        <f>SUM(C67:BA67)</f>
        <v/>
      </c>
    </row>
    <row r="68"/>
    <row r="69">
      <c r="B69" s="32" t="inlineStr">
        <is>
          <t>Valor agregado</t>
        </is>
      </c>
      <c r="C69" s="33" t="n">
        <v>104212.079534268</v>
      </c>
      <c r="D69" s="33" t="n">
        <v>45000.559501409</v>
      </c>
      <c r="E69" s="33" t="n">
        <v>40905.4275279958</v>
      </c>
      <c r="F69" s="33" t="n">
        <v>14672.7724515063</v>
      </c>
      <c r="G69" s="33" t="n">
        <v>7126.4211362825</v>
      </c>
      <c r="H69" s="33" t="n">
        <v>59780.5479099458</v>
      </c>
      <c r="I69" s="33" t="n">
        <v>1626.28977832027</v>
      </c>
      <c r="J69" s="33" t="n">
        <v>8078.24103690438</v>
      </c>
      <c r="K69" s="33" t="n">
        <v>20658.379836732</v>
      </c>
      <c r="L69" s="33" t="n">
        <v>7397.03830916817</v>
      </c>
      <c r="M69" s="33" t="n">
        <v>7383.1679151733</v>
      </c>
      <c r="N69" s="33" t="n">
        <v>9693.47592953556</v>
      </c>
      <c r="O69" s="33" t="n">
        <v>7029.51375320717</v>
      </c>
      <c r="P69" s="33" t="n">
        <v>40358.8694089936</v>
      </c>
      <c r="Q69" s="33" t="n">
        <v>2740.00570560223</v>
      </c>
      <c r="R69" s="33" t="n">
        <v>13766.314444062</v>
      </c>
      <c r="S69" s="33" t="n">
        <v>2196.78658140871</v>
      </c>
      <c r="T69" s="33" t="n">
        <v>19174.229495761</v>
      </c>
      <c r="U69" s="33" t="n">
        <v>2889.54542059119</v>
      </c>
      <c r="V69" s="33" t="n">
        <v>8114.64887831819</v>
      </c>
      <c r="W69" s="33" t="n">
        <v>1971.74468227615</v>
      </c>
      <c r="X69" s="33" t="n">
        <v>3106.88777541414</v>
      </c>
      <c r="Y69" s="33" t="n">
        <v>17860.0633217699</v>
      </c>
      <c r="Z69" s="33" t="n">
        <v>18583.4903023288</v>
      </c>
      <c r="AA69" s="33" t="n">
        <v>15012.3765160157</v>
      </c>
      <c r="AB69" s="33" t="n">
        <v>4921.97888400076</v>
      </c>
      <c r="AC69" s="33" t="n">
        <v>29893.71507536</v>
      </c>
      <c r="AD69" s="33" t="n">
        <v>35328.0099402112</v>
      </c>
      <c r="AE69" s="33" t="n">
        <v>12430.0474442545</v>
      </c>
      <c r="AF69" s="33" t="n">
        <v>14595.0813661936</v>
      </c>
      <c r="AG69" s="33" t="n">
        <v>25656.388376015</v>
      </c>
      <c r="AH69" s="33" t="n">
        <v>18352.9986696181</v>
      </c>
      <c r="AI69" s="33" t="n">
        <v>9008.657191856069</v>
      </c>
      <c r="AJ69" s="33" t="n">
        <v>17668.5191902923</v>
      </c>
      <c r="AK69" s="33" t="n">
        <v>76616.1156564331</v>
      </c>
      <c r="AL69" s="33" t="n">
        <v>154624.352828171</v>
      </c>
      <c r="AM69" s="33" t="n">
        <v>361913.880317644</v>
      </c>
      <c r="AN69" s="33" t="n">
        <v>109402.566148702</v>
      </c>
      <c r="AO69" s="33" t="n">
        <v>122172.985663074</v>
      </c>
      <c r="AP69" s="33" t="n">
        <v>187593.272616759</v>
      </c>
      <c r="AQ69" s="33" t="n">
        <v>247216.983195915</v>
      </c>
      <c r="AR69" s="33" t="n">
        <v>9482.66232663341</v>
      </c>
      <c r="AS69" s="33" t="n">
        <v>57126.2175331103</v>
      </c>
      <c r="AT69" s="33" t="n">
        <v>178726.216623332</v>
      </c>
      <c r="AU69" s="33" t="n">
        <v>33093.8298377736</v>
      </c>
      <c r="AV69" s="33" t="n">
        <v>58331.9203249387</v>
      </c>
      <c r="AW69" s="33" t="n">
        <v>82156.91201609009</v>
      </c>
      <c r="AX69" s="33" t="n">
        <v>36931.8534512071</v>
      </c>
      <c r="AY69" s="33" t="n">
        <v>114727.0009658</v>
      </c>
      <c r="AZ69" s="33" t="n">
        <v>60429.6230948659</v>
      </c>
      <c r="BA69" s="33" t="n">
        <v>312022.17625409</v>
      </c>
      <c r="BH69" s="33">
        <f>SUM(C69:BA69)</f>
        <v/>
      </c>
    </row>
    <row r="70"/>
    <row r="71">
      <c r="B71" s="32" t="inlineStr">
        <is>
          <t>Produccion total</t>
        </is>
      </c>
      <c r="C71" s="33">
        <f>C65+C67+C69</f>
        <v/>
      </c>
      <c r="D71" s="33">
        <f>D65+D67+D69</f>
        <v/>
      </c>
      <c r="E71" s="33">
        <f>E65+E67+E69</f>
        <v/>
      </c>
      <c r="F71" s="33">
        <f>F65+F67+F69</f>
        <v/>
      </c>
      <c r="G71" s="33">
        <f>G65+G67+G69</f>
        <v/>
      </c>
      <c r="H71" s="33">
        <f>H65+H67+H69</f>
        <v/>
      </c>
      <c r="I71" s="33">
        <f>I65+I67+I69</f>
        <v/>
      </c>
      <c r="J71" s="33">
        <f>J65+J67+J69</f>
        <v/>
      </c>
      <c r="K71" s="33">
        <f>K65+K67+K69</f>
        <v/>
      </c>
      <c r="L71" s="33">
        <f>L65+L67+L69</f>
        <v/>
      </c>
      <c r="M71" s="33">
        <f>M65+M67+M69</f>
        <v/>
      </c>
      <c r="N71" s="33">
        <f>N65+N67+N69</f>
        <v/>
      </c>
      <c r="O71" s="33">
        <f>O65+O67+O69</f>
        <v/>
      </c>
      <c r="P71" s="33">
        <f>P65+P67+P69</f>
        <v/>
      </c>
      <c r="Q71" s="33">
        <f>Q65+Q67+Q69</f>
        <v/>
      </c>
      <c r="R71" s="33">
        <f>R65+R67+R69</f>
        <v/>
      </c>
      <c r="S71" s="33">
        <f>S65+S67+S69</f>
        <v/>
      </c>
      <c r="T71" s="33">
        <f>T65+T67+T69</f>
        <v/>
      </c>
      <c r="U71" s="33">
        <f>U65+U67+U69</f>
        <v/>
      </c>
      <c r="V71" s="33">
        <f>V65+V67+V69</f>
        <v/>
      </c>
      <c r="W71" s="33">
        <f>W65+W67+W69</f>
        <v/>
      </c>
      <c r="X71" s="33">
        <f>X65+X67+X69</f>
        <v/>
      </c>
      <c r="Y71" s="33">
        <f>Y65+Y67+Y69</f>
        <v/>
      </c>
      <c r="Z71" s="33">
        <f>Z65+Z67+Z69</f>
        <v/>
      </c>
      <c r="AA71" s="33">
        <f>AA65+AA67+AA69</f>
        <v/>
      </c>
      <c r="AB71" s="33">
        <f>AB65+AB67+AB69</f>
        <v/>
      </c>
      <c r="AC71" s="33">
        <f>AC65+AC67+AC69</f>
        <v/>
      </c>
      <c r="AD71" s="33">
        <f>AD65+AD67+AD69</f>
        <v/>
      </c>
      <c r="AE71" s="33">
        <f>AE65+AE67+AE69</f>
        <v/>
      </c>
      <c r="AF71" s="33">
        <f>AF65+AF67+AF69</f>
        <v/>
      </c>
      <c r="AG71" s="33">
        <f>AG65+AG67+AG69</f>
        <v/>
      </c>
      <c r="AH71" s="33">
        <f>AH65+AH67+AH69</f>
        <v/>
      </c>
      <c r="AI71" s="33">
        <f>AI65+AI67+AI69</f>
        <v/>
      </c>
      <c r="AJ71" s="33">
        <f>AJ65+AJ67+AJ69</f>
        <v/>
      </c>
      <c r="AK71" s="33">
        <f>AK65+AK67+AK69</f>
        <v/>
      </c>
      <c r="AL71" s="33">
        <f>AL65+AL67+AL69</f>
        <v/>
      </c>
      <c r="AM71" s="33">
        <f>AM65+AM67+AM69</f>
        <v/>
      </c>
      <c r="AN71" s="33">
        <f>AN65+AN67+AN69</f>
        <v/>
      </c>
      <c r="AO71" s="33">
        <f>AO65+AO67+AO69</f>
        <v/>
      </c>
      <c r="AP71" s="33">
        <f>AP65+AP67+AP69</f>
        <v/>
      </c>
      <c r="AQ71" s="33">
        <f>AQ65+AQ67+AQ69</f>
        <v/>
      </c>
      <c r="AR71" s="33">
        <f>AR65+AR67+AR69</f>
        <v/>
      </c>
      <c r="AS71" s="33">
        <f>AS65+AS67+AS69</f>
        <v/>
      </c>
      <c r="AT71" s="33">
        <f>AT65+AT67+AT69</f>
        <v/>
      </c>
      <c r="AU71" s="33">
        <f>AU65+AU67+AU69</f>
        <v/>
      </c>
      <c r="AV71" s="33">
        <f>AV65+AV67+AV69</f>
        <v/>
      </c>
      <c r="AW71" s="33">
        <f>AW65+AW67+AW69</f>
        <v/>
      </c>
      <c r="AX71" s="33">
        <f>AX65+AX67+AX69</f>
        <v/>
      </c>
      <c r="AY71" s="33">
        <f>AY65+AY67+AY69</f>
        <v/>
      </c>
      <c r="AZ71" s="33">
        <f>AZ65+AZ67+AZ69</f>
        <v/>
      </c>
      <c r="BA71" s="33">
        <f>BA65+BA67+BA69</f>
        <v/>
      </c>
      <c r="BH71" s="33">
        <f>SUM(C71:BA71)</f>
        <v/>
      </c>
    </row>
    <row r="72">
      <c r="B72" s="32" t="inlineStr">
        <is>
          <t>Produccion fuente</t>
        </is>
      </c>
      <c r="C72" s="33" t="n">
        <v>175868.5562383268</v>
      </c>
      <c r="D72" s="33" t="n">
        <v>85067.89356783663</v>
      </c>
      <c r="E72" s="33" t="n">
        <v>91383.10257987339</v>
      </c>
      <c r="F72" s="33" t="n">
        <v>29275.42407270773</v>
      </c>
      <c r="G72" s="33" t="n">
        <v>21249.22823751539</v>
      </c>
      <c r="H72" s="33" t="n">
        <v>361027.1141577447</v>
      </c>
      <c r="I72" s="33" t="n">
        <v>11227.33549110681</v>
      </c>
      <c r="J72" s="33" t="n">
        <v>36719.98594875087</v>
      </c>
      <c r="K72" s="33" t="n">
        <v>44605.95308216341</v>
      </c>
      <c r="L72" s="33" t="n">
        <v>24220.30342190613</v>
      </c>
      <c r="M72" s="33" t="n">
        <v>17310.44563524837</v>
      </c>
      <c r="N72" s="33" t="n">
        <v>45245.18549844064</v>
      </c>
      <c r="O72" s="33" t="n">
        <v>16221.57469069237</v>
      </c>
      <c r="P72" s="33" t="n">
        <v>219059.0776136115</v>
      </c>
      <c r="Q72" s="33" t="n">
        <v>20483.97490114793</v>
      </c>
      <c r="R72" s="33" t="n">
        <v>64194.17988269989</v>
      </c>
      <c r="S72" s="33" t="n">
        <v>21683.69562363739</v>
      </c>
      <c r="T72" s="33" t="n">
        <v>38775.91618440356</v>
      </c>
      <c r="U72" s="33" t="n">
        <v>15078.2127362164</v>
      </c>
      <c r="V72" s="33" t="n">
        <v>26954.49153344995</v>
      </c>
      <c r="W72" s="33" t="n">
        <v>12842.4810029503</v>
      </c>
      <c r="X72" s="33" t="n">
        <v>15025.65298634467</v>
      </c>
      <c r="Y72" s="33" t="n">
        <v>62036.55434332245</v>
      </c>
      <c r="Z72" s="33" t="n">
        <v>55391.93503279505</v>
      </c>
      <c r="AA72" s="33" t="n">
        <v>72620.43362225003</v>
      </c>
      <c r="AB72" s="33" t="n">
        <v>32466.62050078451</v>
      </c>
      <c r="AC72" s="33" t="n">
        <v>67616.9168476772</v>
      </c>
      <c r="AD72" s="33" t="n">
        <v>107424.8307429642</v>
      </c>
      <c r="AE72" s="33" t="n">
        <v>51912.58027002666</v>
      </c>
      <c r="AF72" s="33" t="n">
        <v>62269.58840716687</v>
      </c>
      <c r="AG72" s="33" t="n">
        <v>121551.6032800584</v>
      </c>
      <c r="AH72" s="33" t="n">
        <v>62836.51044819216</v>
      </c>
      <c r="AI72" s="33" t="n">
        <v>33610.325880304</v>
      </c>
      <c r="AJ72" s="33" t="n">
        <v>39253.24192213803</v>
      </c>
      <c r="AK72" s="33" t="n">
        <v>165120.8817504364</v>
      </c>
      <c r="AL72" s="33" t="n">
        <v>363972.5923875003</v>
      </c>
      <c r="AM72" s="33" t="n">
        <v>566070.8490564777</v>
      </c>
      <c r="AN72" s="33" t="n">
        <v>270563.8406959669</v>
      </c>
      <c r="AO72" s="33" t="n">
        <v>242507.1149763499</v>
      </c>
      <c r="AP72" s="33" t="n">
        <v>305301.3232373904</v>
      </c>
      <c r="AQ72" s="33" t="n">
        <v>274333.1413695201</v>
      </c>
      <c r="AR72" s="33" t="n">
        <v>12830.58352358138</v>
      </c>
      <c r="AS72" s="33" t="n">
        <v>124197.4600619591</v>
      </c>
      <c r="AT72" s="33" t="n">
        <v>294998.24511296</v>
      </c>
      <c r="AU72" s="33" t="n">
        <v>51132.18963820278</v>
      </c>
      <c r="AV72" s="33" t="n">
        <v>106585.9527429974</v>
      </c>
      <c r="AW72" s="33" t="n">
        <v>160883.8420304647</v>
      </c>
      <c r="AX72" s="33" t="n">
        <v>36931.8534512071</v>
      </c>
      <c r="AY72" s="33" t="n">
        <v>141537.0517709362</v>
      </c>
      <c r="AZ72" s="33" t="n">
        <v>90553.62329633815</v>
      </c>
      <c r="BA72" s="33" t="n">
        <v>431266.184748297</v>
      </c>
      <c r="BH72" s="33">
        <f>SUM(C72:BA72)</f>
        <v/>
      </c>
    </row>
    <row r="73">
      <c r="B73" s="35" t="inlineStr">
        <is>
          <t>Check produccion total - fuente</t>
        </is>
      </c>
      <c r="C73" s="36">
        <f>C71-C72</f>
        <v/>
      </c>
      <c r="D73" s="36">
        <f>D71-D72</f>
        <v/>
      </c>
      <c r="E73" s="36">
        <f>E71-E72</f>
        <v/>
      </c>
      <c r="F73" s="36">
        <f>F71-F72</f>
        <v/>
      </c>
      <c r="G73" s="36">
        <f>G71-G72</f>
        <v/>
      </c>
      <c r="H73" s="36">
        <f>H71-H72</f>
        <v/>
      </c>
      <c r="I73" s="36">
        <f>I71-I72</f>
        <v/>
      </c>
      <c r="J73" s="36">
        <f>J71-J72</f>
        <v/>
      </c>
      <c r="K73" s="36">
        <f>K71-K72</f>
        <v/>
      </c>
      <c r="L73" s="36">
        <f>L71-L72</f>
        <v/>
      </c>
      <c r="M73" s="36">
        <f>M71-M72</f>
        <v/>
      </c>
      <c r="N73" s="36">
        <f>N71-N72</f>
        <v/>
      </c>
      <c r="O73" s="36">
        <f>O71-O72</f>
        <v/>
      </c>
      <c r="P73" s="36">
        <f>P71-P72</f>
        <v/>
      </c>
      <c r="Q73" s="36">
        <f>Q71-Q72</f>
        <v/>
      </c>
      <c r="R73" s="36">
        <f>R71-R72</f>
        <v/>
      </c>
      <c r="S73" s="36">
        <f>S71-S72</f>
        <v/>
      </c>
      <c r="T73" s="36">
        <f>T71-T72</f>
        <v/>
      </c>
      <c r="U73" s="36">
        <f>U71-U72</f>
        <v/>
      </c>
      <c r="V73" s="36">
        <f>V71-V72</f>
        <v/>
      </c>
      <c r="W73" s="36">
        <f>W71-W72</f>
        <v/>
      </c>
      <c r="X73" s="36">
        <f>X71-X72</f>
        <v/>
      </c>
      <c r="Y73" s="36">
        <f>Y71-Y72</f>
        <v/>
      </c>
      <c r="Z73" s="36">
        <f>Z71-Z72</f>
        <v/>
      </c>
      <c r="AA73" s="36">
        <f>AA71-AA72</f>
        <v/>
      </c>
      <c r="AB73" s="36">
        <f>AB71-AB72</f>
        <v/>
      </c>
      <c r="AC73" s="36">
        <f>AC71-AC72</f>
        <v/>
      </c>
      <c r="AD73" s="36">
        <f>AD71-AD72</f>
        <v/>
      </c>
      <c r="AE73" s="36">
        <f>AE71-AE72</f>
        <v/>
      </c>
      <c r="AF73" s="36">
        <f>AF71-AF72</f>
        <v/>
      </c>
      <c r="AG73" s="36">
        <f>AG71-AG72</f>
        <v/>
      </c>
      <c r="AH73" s="36">
        <f>AH71-AH72</f>
        <v/>
      </c>
      <c r="AI73" s="36">
        <f>AI71-AI72</f>
        <v/>
      </c>
      <c r="AJ73" s="36">
        <f>AJ71-AJ72</f>
        <v/>
      </c>
      <c r="AK73" s="36">
        <f>AK71-AK72</f>
        <v/>
      </c>
      <c r="AL73" s="36">
        <f>AL71-AL72</f>
        <v/>
      </c>
      <c r="AM73" s="36">
        <f>AM71-AM72</f>
        <v/>
      </c>
      <c r="AN73" s="36">
        <f>AN71-AN72</f>
        <v/>
      </c>
      <c r="AO73" s="36">
        <f>AO71-AO72</f>
        <v/>
      </c>
      <c r="AP73" s="36">
        <f>AP71-AP72</f>
        <v/>
      </c>
      <c r="AQ73" s="36">
        <f>AQ71-AQ72</f>
        <v/>
      </c>
      <c r="AR73" s="36">
        <f>AR71-AR72</f>
        <v/>
      </c>
      <c r="AS73" s="36">
        <f>AS71-AS72</f>
        <v/>
      </c>
      <c r="AT73" s="36">
        <f>AT71-AT72</f>
        <v/>
      </c>
      <c r="AU73" s="36">
        <f>AU71-AU72</f>
        <v/>
      </c>
      <c r="AV73" s="36">
        <f>AV71-AV72</f>
        <v/>
      </c>
      <c r="AW73" s="36">
        <f>AW71-AW72</f>
        <v/>
      </c>
      <c r="AX73" s="36">
        <f>AX71-AX72</f>
        <v/>
      </c>
      <c r="AY73" s="36">
        <f>AY71-AY72</f>
        <v/>
      </c>
      <c r="AZ73" s="36">
        <f>AZ71-AZ72</f>
        <v/>
      </c>
      <c r="BA73" s="36">
        <f>BA71-BA72</f>
        <v/>
      </c>
      <c r="BH73" s="36">
        <f>SUM(C73:BA73)</f>
        <v/>
      </c>
    </row>
    <row r="74"/>
    <row r="75">
      <c r="B75" s="31" t="inlineStr">
        <is>
          <t>Nota</t>
        </is>
      </c>
      <c r="C75" s="31" t="inlineStr">
        <is>
          <t>Z contiene consumo intermedio nacional/domestico. El ajuste intermedio fuera de Z queda visible antes del valor agregado.</t>
        </is>
      </c>
    </row>
  </sheetData>
  <mergeCells count="9">
    <mergeCell ref="BG10:BG12"/>
    <mergeCell ref="C10:BA10"/>
    <mergeCell ref="BH10:BH12"/>
    <mergeCell ref="A3:H4"/>
    <mergeCell ref="B10:B12"/>
    <mergeCell ref="A10:A12"/>
    <mergeCell ref="A1:H1"/>
    <mergeCell ref="BB10:BB12"/>
    <mergeCell ref="BC10:BF10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H75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7" customWidth="1" min="1" max="1"/>
    <col width="77.7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</cols>
  <sheetData>
    <row r="1" ht="44" customHeight="1"/>
    <row r="2"/>
    <row r="3" ht="16" customHeight="1">
      <c r="A3" s="20" t="inlineStr">
        <is>
          <t>Matriz insumo producto, actividad por actividad - Importada / ajuste</t>
        </is>
      </c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  <c r="AE3" s="20" t="n"/>
      <c r="AF3" s="20" t="n"/>
      <c r="AG3" s="20" t="n"/>
      <c r="AH3" s="20" t="n"/>
      <c r="AI3" s="20" t="n"/>
      <c r="AJ3" s="20" t="n"/>
      <c r="AK3" s="20" t="n"/>
      <c r="AL3" s="20" t="n"/>
      <c r="AM3" s="20" t="n"/>
      <c r="AN3" s="20" t="n"/>
      <c r="AO3" s="20" t="n"/>
      <c r="AP3" s="20" t="n"/>
      <c r="AQ3" s="20" t="n"/>
      <c r="AR3" s="20" t="n"/>
      <c r="AS3" s="20" t="n"/>
      <c r="AT3" s="20" t="n"/>
      <c r="AU3" s="20" t="n"/>
      <c r="AV3" s="20" t="n"/>
      <c r="AW3" s="20" t="n"/>
      <c r="AX3" s="20" t="n"/>
      <c r="AY3" s="20" t="n"/>
      <c r="AZ3" s="20" t="n"/>
      <c r="BA3" s="20" t="n"/>
      <c r="BB3" s="20" t="n"/>
      <c r="BC3" s="20" t="n"/>
      <c r="BD3" s="20" t="n"/>
      <c r="BE3" s="20" t="n"/>
      <c r="BF3" s="20" t="n"/>
      <c r="BG3" s="20" t="n"/>
      <c r="BH3" s="20" t="n"/>
    </row>
    <row r="4" ht="16" customHeight="1"/>
    <row r="5">
      <c r="A5" s="21" t="inlineStr">
        <is>
          <t>Valores a precios corrientes</t>
        </is>
      </c>
    </row>
    <row r="6" ht="16.5" customHeight="1">
      <c r="A6" s="21" t="inlineStr">
        <is>
          <t>Ano 2009</t>
        </is>
      </c>
      <c r="J6" s="22" t="inlineStr">
        <is>
          <t>Indice</t>
        </is>
      </c>
    </row>
    <row r="7">
      <c r="A7" s="21" t="inlineStr">
        <is>
          <t>Base / fuente original</t>
        </is>
      </c>
    </row>
    <row r="8">
      <c r="A8" s="21" t="inlineStr">
        <is>
          <t>Unidades monetarias de la fuente</t>
        </is>
      </c>
    </row>
    <row r="9"/>
    <row r="10" ht="16" customHeight="1">
      <c r="A10" s="23" t="inlineStr">
        <is>
          <t>Codigo</t>
        </is>
      </c>
      <c r="B10" s="23" t="inlineStr">
        <is>
          <t>Actividad economica</t>
        </is>
      </c>
      <c r="C10" s="23" t="inlineStr">
        <is>
          <t>Consumo intermedio por actividades economicas</t>
        </is>
      </c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n"/>
      <c r="W10" s="24" t="n"/>
      <c r="X10" s="24" t="n"/>
      <c r="Y10" s="24" t="n"/>
      <c r="Z10" s="24" t="n"/>
      <c r="AA10" s="24" t="n"/>
      <c r="AB10" s="24" t="n"/>
      <c r="AC10" s="24" t="n"/>
      <c r="AD10" s="24" t="n"/>
      <c r="AE10" s="24" t="n"/>
      <c r="AF10" s="24" t="n"/>
      <c r="AG10" s="24" t="n"/>
      <c r="AH10" s="24" t="n"/>
      <c r="AI10" s="24" t="n"/>
      <c r="AJ10" s="24" t="n"/>
      <c r="AK10" s="24" t="n"/>
      <c r="AL10" s="24" t="n"/>
      <c r="AM10" s="24" t="n"/>
      <c r="AN10" s="24" t="n"/>
      <c r="AO10" s="24" t="n"/>
      <c r="AP10" s="24" t="n"/>
      <c r="AQ10" s="24" t="n"/>
      <c r="AR10" s="24" t="n"/>
      <c r="AS10" s="24" t="n"/>
      <c r="AT10" s="24" t="n"/>
      <c r="AU10" s="24" t="n"/>
      <c r="AV10" s="24" t="n"/>
      <c r="AW10" s="24" t="n"/>
      <c r="AX10" s="24" t="n"/>
      <c r="AY10" s="24" t="n"/>
      <c r="AZ10" s="24" t="n"/>
      <c r="BA10" s="24" t="n"/>
      <c r="BB10" s="23" t="inlineStr">
        <is>
          <t>Total consumo intermedio</t>
        </is>
      </c>
      <c r="BC10" s="23" t="inlineStr">
        <is>
          <t>Demanda final</t>
        </is>
      </c>
      <c r="BD10" s="24" t="n"/>
      <c r="BE10" s="24" t="n"/>
      <c r="BF10" s="24" t="n"/>
      <c r="BG10" s="23" t="inlineStr">
        <is>
          <t>Total demanda final</t>
        </is>
      </c>
      <c r="BH10" s="23" t="inlineStr">
        <is>
          <t>Total</t>
        </is>
      </c>
    </row>
    <row r="11" ht="15" customHeight="1">
      <c r="C11" s="25" t="n">
        <v>1</v>
      </c>
      <c r="D11" s="25" t="n">
        <v>2</v>
      </c>
      <c r="E11" s="25" t="n">
        <v>3</v>
      </c>
      <c r="F11" s="25" t="n">
        <v>4</v>
      </c>
      <c r="G11" s="25" t="n">
        <v>5</v>
      </c>
      <c r="H11" s="25" t="n">
        <v>6</v>
      </c>
      <c r="I11" s="25" t="n">
        <v>7</v>
      </c>
      <c r="J11" s="25" t="n">
        <v>8</v>
      </c>
      <c r="K11" s="25" t="n">
        <v>9</v>
      </c>
      <c r="L11" s="25" t="n">
        <v>10</v>
      </c>
      <c r="M11" s="25" t="inlineStr">
        <is>
          <t>Produtos de madeira</t>
        </is>
      </c>
      <c r="N11" s="25" t="n">
        <v>12</v>
      </c>
      <c r="O11" s="25" t="n">
        <v>13</v>
      </c>
      <c r="P11" s="25" t="n">
        <v>14</v>
      </c>
      <c r="Q11" s="25" t="n">
        <v>15</v>
      </c>
      <c r="R11" s="25" t="n">
        <v>16</v>
      </c>
      <c r="S11" s="25" t="n">
        <v>17</v>
      </c>
      <c r="T11" s="25" t="n">
        <v>18</v>
      </c>
      <c r="U11" s="25" t="n">
        <v>19</v>
      </c>
      <c r="V11" s="25" t="n">
        <v>20</v>
      </c>
      <c r="W11" s="25" t="n">
        <v>21</v>
      </c>
      <c r="X11" s="25" t="n">
        <v>22</v>
      </c>
      <c r="Y11" s="25" t="n">
        <v>23</v>
      </c>
      <c r="Z11" s="25" t="n">
        <v>24</v>
      </c>
      <c r="AA11" s="25" t="n">
        <v>25</v>
      </c>
      <c r="AB11" s="25" t="n">
        <v>26</v>
      </c>
      <c r="AC11" s="25" t="inlineStr">
        <is>
          <t>Produtos de metal</t>
        </is>
      </c>
      <c r="AD11" s="25" t="n">
        <v>28</v>
      </c>
      <c r="AE11" s="25" t="n">
        <v>29</v>
      </c>
      <c r="AF11" s="25" t="n">
        <v>30</v>
      </c>
      <c r="AG11" s="25" t="n">
        <v>31</v>
      </c>
      <c r="AH11" s="25" t="n">
        <v>32</v>
      </c>
      <c r="AI11" s="25" t="n">
        <v>33</v>
      </c>
      <c r="AJ11" s="25" t="n">
        <v>34</v>
      </c>
      <c r="AK11" s="25" t="n">
        <v>35</v>
      </c>
      <c r="AL11" s="25" t="n">
        <v>36</v>
      </c>
      <c r="AM11" s="25" t="n">
        <v>37</v>
      </c>
      <c r="AN11" s="25" t="n">
        <v>38</v>
      </c>
      <c r="AO11" s="25" t="n">
        <v>39</v>
      </c>
      <c r="AP11" s="25" t="n">
        <v>40</v>
      </c>
      <c r="AQ11" s="25" t="n">
        <v>41</v>
      </c>
      <c r="AR11" s="25" t="n">
        <v>42</v>
      </c>
      <c r="AS11" s="25" t="n">
        <v>43</v>
      </c>
      <c r="AT11" s="25" t="n">
        <v>44</v>
      </c>
      <c r="AU11" s="25" t="n">
        <v>45</v>
      </c>
      <c r="AV11" s="25" t="n">
        <v>46</v>
      </c>
      <c r="AW11" s="25" t="n">
        <v>47</v>
      </c>
      <c r="AX11" s="25" t="n">
        <v>48</v>
      </c>
      <c r="AY11" s="25" t="n">
        <v>49</v>
      </c>
      <c r="AZ11" s="25" t="n">
        <v>50</v>
      </c>
      <c r="BA11" s="25" t="n">
        <v>51</v>
      </c>
      <c r="BC11" s="25" t="inlineStr"/>
      <c r="BD11" s="25" t="inlineStr"/>
      <c r="BE11" s="25" t="inlineStr"/>
      <c r="BF11" s="25" t="inlineStr"/>
    </row>
    <row r="12" ht="90" customHeight="1">
      <c r="A12" s="26" t="n"/>
      <c r="B12" s="26" t="n"/>
      <c r="C12" s="27" t="inlineStr">
        <is>
          <t>Agricultura silvicultura exploração florestal</t>
        </is>
      </c>
      <c r="D12" s="27" t="inlineStr">
        <is>
          <t>Pecuária e pesca</t>
        </is>
      </c>
      <c r="E12" s="27" t="inlineStr">
        <is>
          <t>Petróleo e gás natural</t>
        </is>
      </c>
      <c r="F12" s="27" t="inlineStr">
        <is>
          <t>Minério de ferro</t>
        </is>
      </c>
      <c r="G12" s="27" t="inlineStr">
        <is>
          <t>Outros da indústria extrativa</t>
        </is>
      </c>
      <c r="H12" s="27" t="inlineStr">
        <is>
          <t>Alimentos e Bebidas</t>
        </is>
      </c>
      <c r="I12" s="27" t="inlineStr">
        <is>
          <t>Produtos do fumo</t>
        </is>
      </c>
      <c r="J12" s="27" t="inlineStr">
        <is>
          <t>Têxteis</t>
        </is>
      </c>
      <c r="K12" s="27" t="inlineStr">
        <is>
          <t>Artigos do vestuário e acessórios</t>
        </is>
      </c>
      <c r="L12" s="27" t="inlineStr">
        <is>
          <t>Artefatos de couro e calçados</t>
        </is>
      </c>
      <c r="M12" s="27" t="inlineStr">
        <is>
          <t>exclusive móveis</t>
        </is>
      </c>
      <c r="N12" s="27" t="inlineStr">
        <is>
          <t>Celulose e produtos de papel</t>
        </is>
      </c>
      <c r="O12" s="27" t="inlineStr">
        <is>
          <t>Jornais revistas discos</t>
        </is>
      </c>
      <c r="P12" s="27" t="inlineStr">
        <is>
          <t>Refino de petróleo e coque</t>
        </is>
      </c>
      <c r="Q12" s="27" t="inlineStr">
        <is>
          <t>Álcool</t>
        </is>
      </c>
      <c r="R12" s="27" t="inlineStr">
        <is>
          <t>Produtos  químicos</t>
        </is>
      </c>
      <c r="S12" s="27" t="inlineStr">
        <is>
          <t>Fabricação de resina e elastômeros</t>
        </is>
      </c>
      <c r="T12" s="27" t="inlineStr">
        <is>
          <t>Produtos farmacêuticos</t>
        </is>
      </c>
      <c r="U12" s="27" t="inlineStr">
        <is>
          <t>Defensivos agrícolas</t>
        </is>
      </c>
      <c r="V12" s="27" t="inlineStr">
        <is>
          <t>Perfumaria higiene e limpeza</t>
        </is>
      </c>
      <c r="W12" s="27" t="inlineStr">
        <is>
          <t>Tintas vernizes esmaltes e lacas</t>
        </is>
      </c>
      <c r="X12" s="27" t="inlineStr">
        <is>
          <t>Produtos e preparados químicos diversos</t>
        </is>
      </c>
      <c r="Y12" s="27" t="inlineStr">
        <is>
          <t>Artigos de borracha e plástico</t>
        </is>
      </c>
      <c r="Z12" s="27" t="inlineStr">
        <is>
          <t>Cimento e outros produtos de minerais não-metálicos</t>
        </is>
      </c>
      <c r="AA12" s="27" t="inlineStr">
        <is>
          <t>Fabricação de aço e derivados</t>
        </is>
      </c>
      <c r="AB12" s="27" t="inlineStr">
        <is>
          <t>Metalurgia de metais não-ferrosos</t>
        </is>
      </c>
      <c r="AC12" s="27" t="inlineStr">
        <is>
          <t>exclusive máquinas e equipamentos</t>
        </is>
      </c>
      <c r="AD12" s="27" t="inlineStr">
        <is>
          <t>Máquinas e equipamentos inclusive manutenção e reparos</t>
        </is>
      </c>
      <c r="AE12" s="27" t="inlineStr">
        <is>
          <t>Eletrodomésticos e material eletronico</t>
        </is>
      </c>
      <c r="AF12" s="27" t="inlineStr">
        <is>
          <t>Máquinas para escritório aparelhos e e material eletronico</t>
        </is>
      </c>
      <c r="AG12" s="27" t="inlineStr">
        <is>
          <t>Automóveis camionetas caminhões e ônibus</t>
        </is>
      </c>
      <c r="AH12" s="27" t="inlineStr">
        <is>
          <t>Peças e acessórios para veículos automotores</t>
        </is>
      </c>
      <c r="AI12" s="27" t="inlineStr">
        <is>
          <t>Outros equipamentos de transporte</t>
        </is>
      </c>
      <c r="AJ12" s="27" t="inlineStr">
        <is>
          <t>Móveis e produtos das indústrias diversas</t>
        </is>
      </c>
      <c r="AK12" s="27" t="inlineStr">
        <is>
          <t>Produção e distribuição de eletricidade gás água esgoto e limpeza urbana</t>
        </is>
      </c>
      <c r="AL12" s="27" t="inlineStr">
        <is>
          <t>Construção civil</t>
        </is>
      </c>
      <c r="AM12" s="27" t="inlineStr">
        <is>
          <t>Comércio</t>
        </is>
      </c>
      <c r="AN12" s="27" t="inlineStr">
        <is>
          <t>Transporte armazenagem e correio</t>
        </is>
      </c>
      <c r="AO12" s="27" t="inlineStr">
        <is>
          <t>Serviços de informação</t>
        </is>
      </c>
      <c r="AP12" s="27" t="inlineStr">
        <is>
          <t>Intermediação financeira seguros e previdência complementar e serviços relacionados</t>
        </is>
      </c>
      <c r="AQ12" s="27" t="inlineStr">
        <is>
          <t>Atividades imobiliárias e aluguéis</t>
        </is>
      </c>
      <c r="AR12" s="27" t="inlineStr">
        <is>
          <t>Serviços de manutenção e reparação</t>
        </is>
      </c>
      <c r="AS12" s="27" t="inlineStr">
        <is>
          <t>Serviços de alojamento e alimentação</t>
        </is>
      </c>
      <c r="AT12" s="27" t="inlineStr">
        <is>
          <t>Serviços prestados às empresas</t>
        </is>
      </c>
      <c r="AU12" s="27" t="inlineStr">
        <is>
          <t>Educação mercantil</t>
        </is>
      </c>
      <c r="AV12" s="27" t="inlineStr">
        <is>
          <t>Saúde mercantil</t>
        </is>
      </c>
      <c r="AW12" s="27" t="inlineStr">
        <is>
          <t>Serviços prestados às famílias e associativas</t>
        </is>
      </c>
      <c r="AX12" s="27" t="inlineStr">
        <is>
          <t>Serviços domésticos</t>
        </is>
      </c>
      <c r="AY12" s="27" t="inlineStr">
        <is>
          <t>Educação pública</t>
        </is>
      </c>
      <c r="AZ12" s="27" t="inlineStr">
        <is>
          <t>Saúde pública</t>
        </is>
      </c>
      <c r="BA12" s="27" t="inlineStr">
        <is>
          <t>Administração pública e seguridade social</t>
        </is>
      </c>
      <c r="BB12" s="26" t="n"/>
      <c r="BC12" s="27" t="inlineStr">
        <is>
          <t>Gasto de consumo final</t>
        </is>
      </c>
      <c r="BD12" s="27" t="inlineStr">
        <is>
          <t>Formacion bruta de capital</t>
        </is>
      </c>
      <c r="BE12" s="27" t="inlineStr">
        <is>
          <t>Exportaciones netas</t>
        </is>
      </c>
      <c r="BF12" s="27" t="inlineStr">
        <is>
          <t>Sin desglose fuente</t>
        </is>
      </c>
      <c r="BG12" s="26" t="n"/>
      <c r="BH12" s="26" t="n"/>
    </row>
    <row r="13"/>
    <row r="14">
      <c r="A14" s="28" t="n">
        <v>1</v>
      </c>
      <c r="B14" s="29" t="inlineStr">
        <is>
          <t>Agricultura silvicultura exploração florestal</t>
        </is>
      </c>
      <c r="C14" s="28" t="n">
        <v>1515.083081676147</v>
      </c>
      <c r="D14" s="28" t="n">
        <v>917.5571464620093</v>
      </c>
      <c r="E14" s="28" t="n">
        <v>16.61415180673346</v>
      </c>
      <c r="F14" s="28" t="n">
        <v>2.49354928867962</v>
      </c>
      <c r="G14" s="28" t="n">
        <v>2.05273950614103</v>
      </c>
      <c r="H14" s="28" t="n">
        <v>11566.65738374771</v>
      </c>
      <c r="I14" s="28" t="n">
        <v>207.087458531879</v>
      </c>
      <c r="J14" s="28" t="n">
        <v>818.2309349672076</v>
      </c>
      <c r="K14" s="28" t="n">
        <v>79.71272198514892</v>
      </c>
      <c r="L14" s="28" t="n">
        <v>12.2056332053434</v>
      </c>
      <c r="M14" s="28" t="n">
        <v>535.0330201725592</v>
      </c>
      <c r="N14" s="28" t="n">
        <v>556.6548451269128</v>
      </c>
      <c r="O14" s="28" t="n">
        <v>0.2143719412976252</v>
      </c>
      <c r="P14" s="28" t="n">
        <v>1.343407325735116</v>
      </c>
      <c r="Q14" s="28" t="n">
        <v>791.0793648249776</v>
      </c>
      <c r="R14" s="28" t="n">
        <v>93.13158319261916</v>
      </c>
      <c r="S14" s="28" t="n">
        <v>148.8438383774643</v>
      </c>
      <c r="T14" s="28" t="n">
        <v>21.21450129987231</v>
      </c>
      <c r="U14" s="28" t="n">
        <v>53.51876721196206</v>
      </c>
      <c r="V14" s="28" t="n">
        <v>39.74299424375627</v>
      </c>
      <c r="W14" s="28" t="n">
        <v>32.38480611177249</v>
      </c>
      <c r="X14" s="28" t="n">
        <v>41.34916576768371</v>
      </c>
      <c r="Y14" s="28" t="n">
        <v>266.7161483745098</v>
      </c>
      <c r="Z14" s="28" t="n">
        <v>19.67838889477753</v>
      </c>
      <c r="AA14" s="28" t="n">
        <v>106.6841831669344</v>
      </c>
      <c r="AB14" s="28" t="n">
        <v>3.421886434660181</v>
      </c>
      <c r="AC14" s="28" t="n">
        <v>5.522711347082531</v>
      </c>
      <c r="AD14" s="28" t="n">
        <v>0.1504904058554041</v>
      </c>
      <c r="AE14" s="28" t="n">
        <v>1.103296213817357</v>
      </c>
      <c r="AF14" s="28" t="n">
        <v>1.062790539260628</v>
      </c>
      <c r="AG14" s="28" t="n">
        <v>0.4335369291742041</v>
      </c>
      <c r="AH14" s="28" t="n">
        <v>0.07491075681982447</v>
      </c>
      <c r="AI14" s="28" t="n">
        <v>0.1433558693261739</v>
      </c>
      <c r="AJ14" s="28" t="n">
        <v>4.702342238606487</v>
      </c>
      <c r="AK14" s="28" t="n">
        <v>7.84885457476209</v>
      </c>
      <c r="AL14" s="28" t="n">
        <v>100.4302168072511</v>
      </c>
      <c r="AM14" s="28" t="n">
        <v>819.632149261352</v>
      </c>
      <c r="AN14" s="28" t="n">
        <v>0.3670626878406563</v>
      </c>
      <c r="AO14" s="28" t="n">
        <v>1.394920753925841</v>
      </c>
      <c r="AP14" s="28" t="n">
        <v>1.009679135957546</v>
      </c>
      <c r="AQ14" s="28" t="n">
        <v>0.7102870841777119</v>
      </c>
      <c r="AR14" s="28" t="n">
        <v>0.004408909637336465</v>
      </c>
      <c r="AS14" s="28" t="n">
        <v>652.8705476831524</v>
      </c>
      <c r="AT14" s="28" t="n">
        <v>5.34838552183402</v>
      </c>
      <c r="AU14" s="28" t="n">
        <v>10.25958898654938</v>
      </c>
      <c r="AV14" s="28" t="n">
        <v>39.10984834767083</v>
      </c>
      <c r="AW14" s="28" t="n">
        <v>54.45737727430778</v>
      </c>
      <c r="AX14" s="28" t="n">
        <v>0</v>
      </c>
      <c r="AY14" s="28" t="n">
        <v>109.0976369916234</v>
      </c>
      <c r="AZ14" s="28" t="n">
        <v>46.66770992082347</v>
      </c>
      <c r="BA14" s="28" t="n">
        <v>308.1288960688457</v>
      </c>
      <c r="BB14" s="28">
        <f>SUM(C14:BA14)</f>
        <v/>
      </c>
      <c r="BC14" s="28" t="n">
        <v>0</v>
      </c>
      <c r="BD14" s="28" t="n">
        <v>0</v>
      </c>
      <c r="BE14" s="28" t="n">
        <v>0</v>
      </c>
      <c r="BF14" s="28" t="n">
        <v>0</v>
      </c>
      <c r="BG14" s="28">
        <f>SUM(BC14:BF14)</f>
        <v/>
      </c>
      <c r="BH14" s="28">
        <f>BB14+BG14</f>
        <v/>
      </c>
    </row>
    <row r="15">
      <c r="A15" s="30" t="n">
        <v>2</v>
      </c>
      <c r="B15" s="31" t="inlineStr">
        <is>
          <t>Pecuária e pesca</t>
        </is>
      </c>
      <c r="C15" s="30" t="n">
        <v>109.3270279090504</v>
      </c>
      <c r="D15" s="30" t="n">
        <v>531.5500008561814</v>
      </c>
      <c r="E15" s="30" t="n">
        <v>3.40278818981214</v>
      </c>
      <c r="F15" s="30" t="n">
        <v>0.2799683727649959</v>
      </c>
      <c r="G15" s="30" t="n">
        <v>2.355564149440743</v>
      </c>
      <c r="H15" s="30" t="n">
        <v>6096.169720212681</v>
      </c>
      <c r="I15" s="30" t="n">
        <v>8.495895344601612</v>
      </c>
      <c r="J15" s="30" t="n">
        <v>35.33487539315968</v>
      </c>
      <c r="K15" s="30" t="n">
        <v>20.8649149294031</v>
      </c>
      <c r="L15" s="30" t="n">
        <v>2.55388638702097</v>
      </c>
      <c r="M15" s="30" t="n">
        <v>27.6294090890957</v>
      </c>
      <c r="N15" s="30" t="n">
        <v>28.24812571033866</v>
      </c>
      <c r="O15" s="30" t="n">
        <v>0.005640174707094207</v>
      </c>
      <c r="P15" s="30" t="n">
        <v>0.005131035701018373</v>
      </c>
      <c r="Q15" s="30" t="n">
        <v>8.849406838152218</v>
      </c>
      <c r="R15" s="30" t="n">
        <v>21.59819613327513</v>
      </c>
      <c r="S15" s="30" t="n">
        <v>3.842177546775835</v>
      </c>
      <c r="T15" s="30" t="n">
        <v>1.018204170990075</v>
      </c>
      <c r="U15" s="30" t="n">
        <v>1.457561929105838</v>
      </c>
      <c r="V15" s="30" t="n">
        <v>1.820064482472802</v>
      </c>
      <c r="W15" s="30" t="n">
        <v>1.448323106949793</v>
      </c>
      <c r="X15" s="30" t="n">
        <v>1.344529989731389</v>
      </c>
      <c r="Y15" s="30" t="n">
        <v>13.19753848871633</v>
      </c>
      <c r="Z15" s="30" t="n">
        <v>30.13225487607783</v>
      </c>
      <c r="AA15" s="30" t="n">
        <v>7.893564206810024</v>
      </c>
      <c r="AB15" s="30" t="n">
        <v>1.866319320090714</v>
      </c>
      <c r="AC15" s="30" t="n">
        <v>0.3050755965580423</v>
      </c>
      <c r="AD15" s="30" t="n">
        <v>0.08771911644518164</v>
      </c>
      <c r="AE15" s="30" t="n">
        <v>0.3032489791677814</v>
      </c>
      <c r="AF15" s="30" t="n">
        <v>0.05019528170299412</v>
      </c>
      <c r="AG15" s="30" t="n">
        <v>0.1235965060535598</v>
      </c>
      <c r="AH15" s="30" t="n">
        <v>0.1868289548818204</v>
      </c>
      <c r="AI15" s="30" t="n">
        <v>0.1011277660162369</v>
      </c>
      <c r="AJ15" s="30" t="n">
        <v>1.429156408328211</v>
      </c>
      <c r="AK15" s="30" t="n">
        <v>3.232948710649685</v>
      </c>
      <c r="AL15" s="30" t="n">
        <v>54.85814013827429</v>
      </c>
      <c r="AM15" s="30" t="n">
        <v>31.12113173672015</v>
      </c>
      <c r="AN15" s="30" t="n">
        <v>0.4867233433185812</v>
      </c>
      <c r="AO15" s="30" t="n">
        <v>1.295161959163504</v>
      </c>
      <c r="AP15" s="30" t="n">
        <v>0.8280900203796271</v>
      </c>
      <c r="AQ15" s="30" t="n">
        <v>1.660722220847627</v>
      </c>
      <c r="AR15" s="30" t="n">
        <v>0.004183885015151411</v>
      </c>
      <c r="AS15" s="30" t="n">
        <v>276.6855753522388</v>
      </c>
      <c r="AT15" s="30" t="n">
        <v>1.081316130529244</v>
      </c>
      <c r="AU15" s="30" t="n">
        <v>3.134441710012536</v>
      </c>
      <c r="AV15" s="30" t="n">
        <v>15.2016669371626</v>
      </c>
      <c r="AW15" s="30" t="n">
        <v>6.111843776870765</v>
      </c>
      <c r="AX15" s="30" t="n">
        <v>0</v>
      </c>
      <c r="AY15" s="30" t="n">
        <v>25.55525599814249</v>
      </c>
      <c r="AZ15" s="30" t="n">
        <v>10.78934120092184</v>
      </c>
      <c r="BA15" s="30" t="n">
        <v>44.06365890959434</v>
      </c>
      <c r="BB15" s="30">
        <f>SUM(C15:BA15)</f>
        <v/>
      </c>
      <c r="BC15" s="30" t="n">
        <v>0</v>
      </c>
      <c r="BD15" s="30" t="n">
        <v>0</v>
      </c>
      <c r="BE15" s="30" t="n">
        <v>0</v>
      </c>
      <c r="BF15" s="30" t="n">
        <v>0</v>
      </c>
      <c r="BG15" s="30">
        <f>SUM(BC15:BF15)</f>
        <v/>
      </c>
      <c r="BH15" s="30">
        <f>BB15+BG15</f>
        <v/>
      </c>
    </row>
    <row r="16">
      <c r="A16" s="28" t="n">
        <v>3</v>
      </c>
      <c r="B16" s="29" t="inlineStr">
        <is>
          <t>Petróleo e gás natural</t>
        </is>
      </c>
      <c r="C16" s="28" t="n">
        <v>70.42369943139239</v>
      </c>
      <c r="D16" s="28" t="n">
        <v>73.92989496864524</v>
      </c>
      <c r="E16" s="28" t="n">
        <v>1701.541453366238</v>
      </c>
      <c r="F16" s="28" t="n">
        <v>35.19140922241361</v>
      </c>
      <c r="G16" s="28" t="n">
        <v>4.430534811548199</v>
      </c>
      <c r="H16" s="28" t="n">
        <v>174.9234949568923</v>
      </c>
      <c r="I16" s="28" t="n">
        <v>0.710071819614963</v>
      </c>
      <c r="J16" s="28" t="n">
        <v>47.7640175563331</v>
      </c>
      <c r="K16" s="28" t="n">
        <v>0.1643668085459113</v>
      </c>
      <c r="L16" s="28" t="n">
        <v>0.1646274268146913</v>
      </c>
      <c r="M16" s="28" t="n">
        <v>6.365813086769729</v>
      </c>
      <c r="N16" s="28" t="n">
        <v>116.0343002759612</v>
      </c>
      <c r="O16" s="28" t="n">
        <v>0.3706657776817173</v>
      </c>
      <c r="P16" s="28" t="n">
        <v>15129.14552535502</v>
      </c>
      <c r="Q16" s="28" t="n">
        <v>0.162349103123869</v>
      </c>
      <c r="R16" s="28" t="n">
        <v>189.9478355496094</v>
      </c>
      <c r="S16" s="28" t="n">
        <v>96.7384554918023</v>
      </c>
      <c r="T16" s="28" t="n">
        <v>7.586688021244155</v>
      </c>
      <c r="U16" s="28" t="n">
        <v>11.16620592118775</v>
      </c>
      <c r="V16" s="28" t="n">
        <v>5.889797540077252</v>
      </c>
      <c r="W16" s="28" t="n">
        <v>6.794433697560079</v>
      </c>
      <c r="X16" s="28" t="n">
        <v>7.761849584988012</v>
      </c>
      <c r="Y16" s="28" t="n">
        <v>19.52422419769812</v>
      </c>
      <c r="Z16" s="28" t="n">
        <v>65.74506289679675</v>
      </c>
      <c r="AA16" s="28" t="n">
        <v>79.1499100323143</v>
      </c>
      <c r="AB16" s="28" t="n">
        <v>54.64382030758102</v>
      </c>
      <c r="AC16" s="28" t="n">
        <v>53.00896322178092</v>
      </c>
      <c r="AD16" s="28" t="n">
        <v>15.55676744505094</v>
      </c>
      <c r="AE16" s="28" t="n">
        <v>6.824045128163984</v>
      </c>
      <c r="AF16" s="28" t="n">
        <v>0.8720931303475438</v>
      </c>
      <c r="AG16" s="28" t="n">
        <v>20.87099664582805</v>
      </c>
      <c r="AH16" s="28" t="n">
        <v>38.82602913847825</v>
      </c>
      <c r="AI16" s="28" t="n">
        <v>2.347403226491163</v>
      </c>
      <c r="AJ16" s="28" t="n">
        <v>1.161074230349933</v>
      </c>
      <c r="AK16" s="28" t="n">
        <v>1117.57969292967</v>
      </c>
      <c r="AL16" s="28" t="n">
        <v>33.64325015158199</v>
      </c>
      <c r="AM16" s="28" t="n">
        <v>50.72669173388399</v>
      </c>
      <c r="AN16" s="28" t="n">
        <v>2.802597598412107</v>
      </c>
      <c r="AO16" s="28" t="n">
        <v>4.648456283965372</v>
      </c>
      <c r="AP16" s="28" t="n">
        <v>1.098439098916721</v>
      </c>
      <c r="AQ16" s="28" t="n">
        <v>1.27276345272202</v>
      </c>
      <c r="AR16" s="28" t="n">
        <v>1.838678450485183</v>
      </c>
      <c r="AS16" s="28" t="n">
        <v>160.8727331044105</v>
      </c>
      <c r="AT16" s="28" t="n">
        <v>47.82953347147495</v>
      </c>
      <c r="AU16" s="28" t="n">
        <v>0.8744165827207435</v>
      </c>
      <c r="AV16" s="28" t="n">
        <v>4.435377239660228</v>
      </c>
      <c r="AW16" s="28" t="n">
        <v>18.57654116200496</v>
      </c>
      <c r="AX16" s="28" t="n">
        <v>0</v>
      </c>
      <c r="AY16" s="28" t="n">
        <v>5.452378121873524</v>
      </c>
      <c r="AZ16" s="28" t="n">
        <v>2.911320031281608</v>
      </c>
      <c r="BA16" s="28" t="n">
        <v>15.46219185368088</v>
      </c>
      <c r="BB16" s="28">
        <f>SUM(C16:BA16)</f>
        <v/>
      </c>
      <c r="BC16" s="28" t="n">
        <v>0</v>
      </c>
      <c r="BD16" s="28" t="n">
        <v>0</v>
      </c>
      <c r="BE16" s="28" t="n">
        <v>0</v>
      </c>
      <c r="BF16" s="28" t="n">
        <v>0</v>
      </c>
      <c r="BG16" s="28">
        <f>SUM(BC16:BF16)</f>
        <v/>
      </c>
      <c r="BH16" s="28">
        <f>BB16+BG16</f>
        <v/>
      </c>
    </row>
    <row r="17">
      <c r="A17" s="30" t="n">
        <v>4</v>
      </c>
      <c r="B17" s="31" t="inlineStr">
        <is>
          <t>Minério de ferro</t>
        </is>
      </c>
      <c r="C17" s="30" t="n">
        <v>0.05448502878254508</v>
      </c>
      <c r="D17" s="30" t="n">
        <v>0.02845744461807434</v>
      </c>
      <c r="E17" s="30" t="n">
        <v>1.035056279450994</v>
      </c>
      <c r="F17" s="30" t="n">
        <v>56.55104296605859</v>
      </c>
      <c r="G17" s="30" t="n">
        <v>4.94336995761404</v>
      </c>
      <c r="H17" s="30" t="n">
        <v>1.365296637157857</v>
      </c>
      <c r="I17" s="30" t="n">
        <v>0.0954086885092187</v>
      </c>
      <c r="J17" s="30" t="n">
        <v>0.05289066700205888</v>
      </c>
      <c r="K17" s="30" t="n">
        <v>0.05428192368320325</v>
      </c>
      <c r="L17" s="30" t="n">
        <v>0.06913153328487341</v>
      </c>
      <c r="M17" s="30" t="n">
        <v>0.01816401654638686</v>
      </c>
      <c r="N17" s="30" t="n">
        <v>0.175667735037701</v>
      </c>
      <c r="O17" s="30" t="n">
        <v>0.02390403862243012</v>
      </c>
      <c r="P17" s="30" t="n">
        <v>0.2375815155777173</v>
      </c>
      <c r="Q17" s="30" t="n">
        <v>0.04300237397606625</v>
      </c>
      <c r="R17" s="30" t="n">
        <v>0.1951469825762815</v>
      </c>
      <c r="S17" s="30" t="n">
        <v>0.04473863640827486</v>
      </c>
      <c r="T17" s="30" t="n">
        <v>0.380363764162738</v>
      </c>
      <c r="U17" s="30" t="n">
        <v>0.1191274889088318</v>
      </c>
      <c r="V17" s="30" t="n">
        <v>0.1624128386013983</v>
      </c>
      <c r="W17" s="30" t="n">
        <v>0.09189797907104849</v>
      </c>
      <c r="X17" s="30" t="n">
        <v>0.05871861413713084</v>
      </c>
      <c r="Y17" s="30" t="n">
        <v>0.166175188059027</v>
      </c>
      <c r="Z17" s="30" t="n">
        <v>10.44753936151563</v>
      </c>
      <c r="AA17" s="30" t="n">
        <v>926.6490402853236</v>
      </c>
      <c r="AB17" s="30" t="n">
        <v>24.65724063286893</v>
      </c>
      <c r="AC17" s="30" t="n">
        <v>0.1259423220794248</v>
      </c>
      <c r="AD17" s="30" t="n">
        <v>0.2764202301738741</v>
      </c>
      <c r="AE17" s="30" t="n">
        <v>0.2388056773230835</v>
      </c>
      <c r="AF17" s="30" t="n">
        <v>0.305996418621942</v>
      </c>
      <c r="AG17" s="30" t="n">
        <v>0.5949373612041011</v>
      </c>
      <c r="AH17" s="30" t="n">
        <v>0.1774997237359224</v>
      </c>
      <c r="AI17" s="30" t="n">
        <v>0.07394363707314559</v>
      </c>
      <c r="AJ17" s="30" t="n">
        <v>0.05808517839091622</v>
      </c>
      <c r="AK17" s="30" t="n">
        <v>0.5760495817950424</v>
      </c>
      <c r="AL17" s="30" t="n">
        <v>0.9938010204758376</v>
      </c>
      <c r="AM17" s="30" t="n">
        <v>3.004122799648565</v>
      </c>
      <c r="AN17" s="30" t="n">
        <v>1.230293537853622</v>
      </c>
      <c r="AO17" s="30" t="n">
        <v>2.052342063483251</v>
      </c>
      <c r="AP17" s="30" t="n">
        <v>2.274431178402518</v>
      </c>
      <c r="AQ17" s="30" t="n">
        <v>0.1493240869878227</v>
      </c>
      <c r="AR17" s="30" t="n">
        <v>0.01185236396945105</v>
      </c>
      <c r="AS17" s="30" t="n">
        <v>0.2007775877785053</v>
      </c>
      <c r="AT17" s="30" t="n">
        <v>3.108540237590388</v>
      </c>
      <c r="AU17" s="30" t="n">
        <v>0.3892150967228062</v>
      </c>
      <c r="AV17" s="30" t="n">
        <v>0.1404215573701885</v>
      </c>
      <c r="AW17" s="30" t="n">
        <v>0.724901731422564</v>
      </c>
      <c r="AX17" s="30" t="n">
        <v>0</v>
      </c>
      <c r="AY17" s="30" t="n">
        <v>0.444335020874326</v>
      </c>
      <c r="AZ17" s="30" t="n">
        <v>0.464390585750499</v>
      </c>
      <c r="BA17" s="30" t="n">
        <v>1.598113910071516</v>
      </c>
      <c r="BB17" s="30">
        <f>SUM(C17:BA17)</f>
        <v/>
      </c>
      <c r="BC17" s="30" t="n">
        <v>0</v>
      </c>
      <c r="BD17" s="30" t="n">
        <v>0</v>
      </c>
      <c r="BE17" s="30" t="n">
        <v>0</v>
      </c>
      <c r="BF17" s="30" t="n">
        <v>0</v>
      </c>
      <c r="BG17" s="30">
        <f>SUM(BC17:BF17)</f>
        <v/>
      </c>
      <c r="BH17" s="30">
        <f>BB17+BG17</f>
        <v/>
      </c>
    </row>
    <row r="18">
      <c r="A18" s="28" t="n">
        <v>5</v>
      </c>
      <c r="B18" s="29" t="inlineStr">
        <is>
          <t>Outros da indústria extrativa</t>
        </is>
      </c>
      <c r="C18" s="28" t="n">
        <v>155.9466773620122</v>
      </c>
      <c r="D18" s="28" t="n">
        <v>123.2093592339045</v>
      </c>
      <c r="E18" s="28" t="n">
        <v>156.5302219643756</v>
      </c>
      <c r="F18" s="28" t="n">
        <v>2.61535436351505</v>
      </c>
      <c r="G18" s="28" t="n">
        <v>409.9083967264199</v>
      </c>
      <c r="H18" s="28" t="n">
        <v>131.4210055071601</v>
      </c>
      <c r="I18" s="28" t="n">
        <v>-0.02356163120988564</v>
      </c>
      <c r="J18" s="28" t="n">
        <v>2.372592605436903</v>
      </c>
      <c r="K18" s="28" t="n">
        <v>0.00410666192536312</v>
      </c>
      <c r="L18" s="28" t="n">
        <v>1.279301465304767</v>
      </c>
      <c r="M18" s="28" t="n">
        <v>0.1548267505501535</v>
      </c>
      <c r="N18" s="28" t="n">
        <v>13.81236432130906</v>
      </c>
      <c r="O18" s="28" t="n">
        <v>0.7211435724352896</v>
      </c>
      <c r="P18" s="28" t="n">
        <v>25.71595756936108</v>
      </c>
      <c r="Q18" s="28" t="n">
        <v>62.8109054828094</v>
      </c>
      <c r="R18" s="28" t="n">
        <v>1168.299229184127</v>
      </c>
      <c r="S18" s="28" t="n">
        <v>5.60453831908253</v>
      </c>
      <c r="T18" s="28" t="n">
        <v>1.011768490624384</v>
      </c>
      <c r="U18" s="28" t="n">
        <v>0.8354205035340568</v>
      </c>
      <c r="V18" s="28" t="n">
        <v>6.788520931673445</v>
      </c>
      <c r="W18" s="28" t="n">
        <v>44.90882440540928</v>
      </c>
      <c r="X18" s="28" t="n">
        <v>7.954401153699572</v>
      </c>
      <c r="Y18" s="28" t="n">
        <v>7.317650017493913</v>
      </c>
      <c r="Z18" s="28" t="n">
        <v>1666.033240588727</v>
      </c>
      <c r="AA18" s="28" t="n">
        <v>4652.975793702219</v>
      </c>
      <c r="AB18" s="28" t="n">
        <v>2621.247765577925</v>
      </c>
      <c r="AC18" s="28" t="n">
        <v>4.920532583408595</v>
      </c>
      <c r="AD18" s="28" t="n">
        <v>7.827391826694094</v>
      </c>
      <c r="AE18" s="28" t="n">
        <v>27.6202135999908</v>
      </c>
      <c r="AF18" s="28" t="n">
        <v>0.5376683717017662</v>
      </c>
      <c r="AG18" s="28" t="n">
        <v>6.474604615845214</v>
      </c>
      <c r="AH18" s="28" t="n">
        <v>56.86048934447985</v>
      </c>
      <c r="AI18" s="28" t="n">
        <v>2.907689127857099</v>
      </c>
      <c r="AJ18" s="28" t="n">
        <v>14.01381771286411</v>
      </c>
      <c r="AK18" s="28" t="n">
        <v>709.7467111793061</v>
      </c>
      <c r="AL18" s="28" t="n">
        <v>2205.354941861544</v>
      </c>
      <c r="AM18" s="28" t="n">
        <v>19.72826201224182</v>
      </c>
      <c r="AN18" s="28" t="n">
        <v>1.907894408523666</v>
      </c>
      <c r="AO18" s="28" t="n">
        <v>-0.2886939158480843</v>
      </c>
      <c r="AP18" s="28" t="n">
        <v>0.112764755008664</v>
      </c>
      <c r="AQ18" s="28" t="n">
        <v>74.17430921878298</v>
      </c>
      <c r="AR18" s="28" t="n">
        <v>0.009061762239508157</v>
      </c>
      <c r="AS18" s="28" t="n">
        <v>10.24133609304755</v>
      </c>
      <c r="AT18" s="28" t="n">
        <v>21.77746919929819</v>
      </c>
      <c r="AU18" s="28" t="n">
        <v>0.2858479452584518</v>
      </c>
      <c r="AV18" s="28" t="n">
        <v>6.625216431372611</v>
      </c>
      <c r="AW18" s="28" t="n">
        <v>2.628396641333124</v>
      </c>
      <c r="AX18" s="28" t="n">
        <v>0</v>
      </c>
      <c r="AY18" s="28" t="n">
        <v>10.47138688300227</v>
      </c>
      <c r="AZ18" s="28" t="n">
        <v>5.142157698891939</v>
      </c>
      <c r="BA18" s="28" t="n">
        <v>21.00971371608797</v>
      </c>
      <c r="BB18" s="28">
        <f>SUM(C18:BA18)</f>
        <v/>
      </c>
      <c r="BC18" s="28" t="n">
        <v>0</v>
      </c>
      <c r="BD18" s="28" t="n">
        <v>0</v>
      </c>
      <c r="BE18" s="28" t="n">
        <v>0</v>
      </c>
      <c r="BF18" s="28" t="n">
        <v>0</v>
      </c>
      <c r="BG18" s="28">
        <f>SUM(BC18:BF18)</f>
        <v/>
      </c>
      <c r="BH18" s="28">
        <f>BB18+BG18</f>
        <v/>
      </c>
    </row>
    <row r="19">
      <c r="A19" s="30" t="n">
        <v>6</v>
      </c>
      <c r="B19" s="31" t="inlineStr">
        <is>
          <t>Alimentos e Bebidas</t>
        </is>
      </c>
      <c r="C19" s="30" t="n">
        <v>408.8767103869012</v>
      </c>
      <c r="D19" s="30" t="n">
        <v>2768.620778630021</v>
      </c>
      <c r="E19" s="30" t="n">
        <v>60.55218412563929</v>
      </c>
      <c r="F19" s="30" t="n">
        <v>-11.14760622579825</v>
      </c>
      <c r="G19" s="30" t="n">
        <v>42.47231832683121</v>
      </c>
      <c r="H19" s="30" t="n">
        <v>16833.14554950112</v>
      </c>
      <c r="I19" s="30" t="n">
        <v>-9.273510481975629</v>
      </c>
      <c r="J19" s="30" t="n">
        <v>-13.50532912764283</v>
      </c>
      <c r="K19" s="30" t="n">
        <v>-21.27465504054867</v>
      </c>
      <c r="L19" s="30" t="n">
        <v>518.0725320727144</v>
      </c>
      <c r="M19" s="30" t="n">
        <v>-1.171685035779452</v>
      </c>
      <c r="N19" s="30" t="n">
        <v>123.4026837517058</v>
      </c>
      <c r="O19" s="30" t="n">
        <v>3.928050194054274</v>
      </c>
      <c r="P19" s="30" t="n">
        <v>1177.474470431502</v>
      </c>
      <c r="Q19" s="30" t="n">
        <v>443.4933910223642</v>
      </c>
      <c r="R19" s="30" t="n">
        <v>155.82780138812</v>
      </c>
      <c r="S19" s="30" t="n">
        <v>66.38850619937847</v>
      </c>
      <c r="T19" s="30" t="n">
        <v>43.17758693828832</v>
      </c>
      <c r="U19" s="30" t="n">
        <v>33.45288176385188</v>
      </c>
      <c r="V19" s="30" t="n">
        <v>541.0306885680999</v>
      </c>
      <c r="W19" s="30" t="n">
        <v>65.04637425618061</v>
      </c>
      <c r="X19" s="30" t="n">
        <v>208.5375442639184</v>
      </c>
      <c r="Y19" s="30" t="n">
        <v>-19.28623063069928</v>
      </c>
      <c r="Z19" s="30" t="n">
        <v>-23.23543899021878</v>
      </c>
      <c r="AA19" s="30" t="n">
        <v>-20.24450707838449</v>
      </c>
      <c r="AB19" s="30" t="n">
        <v>-6.394507283696544</v>
      </c>
      <c r="AC19" s="30" t="n">
        <v>-12.41286092980345</v>
      </c>
      <c r="AD19" s="30" t="n">
        <v>-76.51630286833188</v>
      </c>
      <c r="AE19" s="30" t="n">
        <v>-26.38476623965629</v>
      </c>
      <c r="AF19" s="30" t="n">
        <v>-37.68807833732075</v>
      </c>
      <c r="AG19" s="30" t="n">
        <v>-2.261143498911097</v>
      </c>
      <c r="AH19" s="30" t="n">
        <v>6.03321259141562</v>
      </c>
      <c r="AI19" s="30" t="n">
        <v>0.5219764023115308</v>
      </c>
      <c r="AJ19" s="30" t="n">
        <v>-1.523173726663036</v>
      </c>
      <c r="AK19" s="30" t="n">
        <v>20.42591678691473</v>
      </c>
      <c r="AL19" s="30" t="n">
        <v>67.21656118283686</v>
      </c>
      <c r="AM19" s="30" t="n">
        <v>414.11452042425</v>
      </c>
      <c r="AN19" s="30" t="n">
        <v>-131.5963138571124</v>
      </c>
      <c r="AO19" s="30" t="n">
        <v>-185.4606120330263</v>
      </c>
      <c r="AP19" s="30" t="n">
        <v>109.4215791608419</v>
      </c>
      <c r="AQ19" s="30" t="n">
        <v>4.358971241270316</v>
      </c>
      <c r="AR19" s="30" t="n">
        <v>2.520845787411989</v>
      </c>
      <c r="AS19" s="30" t="n">
        <v>16212.5769992523</v>
      </c>
      <c r="AT19" s="30" t="n">
        <v>-18.01174941680981</v>
      </c>
      <c r="AU19" s="30" t="n">
        <v>88.70244354397731</v>
      </c>
      <c r="AV19" s="30" t="n">
        <v>366.3152476381521</v>
      </c>
      <c r="AW19" s="30" t="n">
        <v>287.8293059002988</v>
      </c>
      <c r="AX19" s="30" t="n">
        <v>0</v>
      </c>
      <c r="AY19" s="30" t="n">
        <v>775.8353831188532</v>
      </c>
      <c r="AZ19" s="30" t="n">
        <v>490.5658933502538</v>
      </c>
      <c r="BA19" s="30" t="n">
        <v>922.7349553907344</v>
      </c>
      <c r="BB19" s="30">
        <f>SUM(C19:BA19)</f>
        <v/>
      </c>
      <c r="BC19" s="30" t="n">
        <v>0</v>
      </c>
      <c r="BD19" s="30" t="n">
        <v>0</v>
      </c>
      <c r="BE19" s="30" t="n">
        <v>0</v>
      </c>
      <c r="BF19" s="30" t="n">
        <v>0</v>
      </c>
      <c r="BG19" s="30">
        <f>SUM(BC19:BF19)</f>
        <v/>
      </c>
      <c r="BH19" s="30">
        <f>BB19+BG19</f>
        <v/>
      </c>
    </row>
    <row r="20">
      <c r="A20" s="28" t="n">
        <v>7</v>
      </c>
      <c r="B20" s="29" t="inlineStr">
        <is>
          <t>Produtos do fumo</t>
        </is>
      </c>
      <c r="C20" s="28" t="n">
        <v>-0.06126335595137877</v>
      </c>
      <c r="D20" s="28" t="n">
        <v>-0.009439670057184388</v>
      </c>
      <c r="E20" s="28" t="n">
        <v>0.1300889825090087</v>
      </c>
      <c r="F20" s="28" t="n">
        <v>-0.3307437067961366</v>
      </c>
      <c r="G20" s="28" t="n">
        <v>-0.09935485857892234</v>
      </c>
      <c r="H20" s="28" t="n">
        <v>-4.098918143915081</v>
      </c>
      <c r="I20" s="28" t="n">
        <v>344.2199541883975</v>
      </c>
      <c r="J20" s="28" t="n">
        <v>-0.3669343402709316</v>
      </c>
      <c r="K20" s="28" t="n">
        <v>-0.3195481851830969</v>
      </c>
      <c r="L20" s="28" t="n">
        <v>-0.4221797599938096</v>
      </c>
      <c r="M20" s="28" t="n">
        <v>-0.06274408412483455</v>
      </c>
      <c r="N20" s="28" t="n">
        <v>-0.166950676904911</v>
      </c>
      <c r="O20" s="28" t="n">
        <v>0.09611102122286815</v>
      </c>
      <c r="P20" s="28" t="n">
        <v>-0.1682387674246582</v>
      </c>
      <c r="Q20" s="28" t="n">
        <v>-0.1834890264920485</v>
      </c>
      <c r="R20" s="28" t="n">
        <v>-0.1584963112103926</v>
      </c>
      <c r="S20" s="28" t="n">
        <v>-0.239162075951134</v>
      </c>
      <c r="T20" s="28" t="n">
        <v>-0.5242224898202698</v>
      </c>
      <c r="U20" s="28" t="n">
        <v>-0.1582116178959005</v>
      </c>
      <c r="V20" s="28" t="n">
        <v>0.1224158672274498</v>
      </c>
      <c r="W20" s="28" t="n">
        <v>-0.1003992568689588</v>
      </c>
      <c r="X20" s="28" t="n">
        <v>-0.2826088879620577</v>
      </c>
      <c r="Y20" s="28" t="n">
        <v>-0.6846392570627349</v>
      </c>
      <c r="Z20" s="28" t="n">
        <v>-0.5322946745016963</v>
      </c>
      <c r="AA20" s="28" t="n">
        <v>-0.7856645541486534</v>
      </c>
      <c r="AB20" s="28" t="n">
        <v>-0.2666577514777299</v>
      </c>
      <c r="AC20" s="28" t="n">
        <v>-0.4876320323579091</v>
      </c>
      <c r="AD20" s="28" t="n">
        <v>-2.11495385985852</v>
      </c>
      <c r="AE20" s="28" t="n">
        <v>-0.4863454518732264</v>
      </c>
      <c r="AF20" s="28" t="n">
        <v>-0.4565479732899589</v>
      </c>
      <c r="AG20" s="28" t="n">
        <v>-0.09735129414525188</v>
      </c>
      <c r="AH20" s="28" t="n">
        <v>0.07325242132367565</v>
      </c>
      <c r="AI20" s="28" t="n">
        <v>-0.07213661612427429</v>
      </c>
      <c r="AJ20" s="28" t="n">
        <v>-0.1421796494054904</v>
      </c>
      <c r="AK20" s="28" t="n">
        <v>-0.3420949326027996</v>
      </c>
      <c r="AL20" s="28" t="n">
        <v>-0.08734300066665344</v>
      </c>
      <c r="AM20" s="28" t="n">
        <v>-3.385624591485147</v>
      </c>
      <c r="AN20" s="28" t="n">
        <v>-3.111436783409093</v>
      </c>
      <c r="AO20" s="28" t="n">
        <v>-2.53889724689104</v>
      </c>
      <c r="AP20" s="28" t="n">
        <v>0.5374532387624563</v>
      </c>
      <c r="AQ20" s="28" t="n">
        <v>0.04158682479327892</v>
      </c>
      <c r="AR20" s="28" t="n">
        <v>0.002205111185845903</v>
      </c>
      <c r="AS20" s="28" t="n">
        <v>0.0942832096754624</v>
      </c>
      <c r="AT20" s="28" t="n">
        <v>-0.2103363070226709</v>
      </c>
      <c r="AU20" s="28" t="n">
        <v>0.1081692250097287</v>
      </c>
      <c r="AV20" s="28" t="n">
        <v>-0.2362633974554917</v>
      </c>
      <c r="AW20" s="28" t="n">
        <v>0.1435960018176547</v>
      </c>
      <c r="AX20" s="28" t="n">
        <v>0</v>
      </c>
      <c r="AY20" s="28" t="n">
        <v>0.01993864442426551</v>
      </c>
      <c r="AZ20" s="28" t="n">
        <v>-0.3117392362419693</v>
      </c>
      <c r="BA20" s="28" t="n">
        <v>-0.4380637487756493</v>
      </c>
      <c r="BB20" s="28">
        <f>SUM(C20:BA20)</f>
        <v/>
      </c>
      <c r="BC20" s="28" t="n">
        <v>0</v>
      </c>
      <c r="BD20" s="28" t="n">
        <v>0</v>
      </c>
      <c r="BE20" s="28" t="n">
        <v>0</v>
      </c>
      <c r="BF20" s="28" t="n">
        <v>0</v>
      </c>
      <c r="BG20" s="28">
        <f>SUM(BC20:BF20)</f>
        <v/>
      </c>
      <c r="BH20" s="28">
        <f>BB20+BG20</f>
        <v/>
      </c>
    </row>
    <row r="21">
      <c r="A21" s="30" t="n">
        <v>8</v>
      </c>
      <c r="B21" s="31" t="inlineStr">
        <is>
          <t>Têxteis</t>
        </is>
      </c>
      <c r="C21" s="30" t="n">
        <v>175.4054187624262</v>
      </c>
      <c r="D21" s="30" t="n">
        <v>5.028480678868757</v>
      </c>
      <c r="E21" s="30" t="n">
        <v>30.88997106444682</v>
      </c>
      <c r="F21" s="30" t="n">
        <v>-0.1126116056436496</v>
      </c>
      <c r="G21" s="30" t="n">
        <v>63.57208983864727</v>
      </c>
      <c r="H21" s="30" t="n">
        <v>83.74447893704611</v>
      </c>
      <c r="I21" s="30" t="n">
        <v>-0.1334424443044576</v>
      </c>
      <c r="J21" s="30" t="n">
        <v>3382.884099631084</v>
      </c>
      <c r="K21" s="30" t="n">
        <v>4660.159644364995</v>
      </c>
      <c r="L21" s="30" t="n">
        <v>856.5463536646985</v>
      </c>
      <c r="M21" s="30" t="n">
        <v>2.337028981890563</v>
      </c>
      <c r="N21" s="30" t="n">
        <v>38.00916801299351</v>
      </c>
      <c r="O21" s="30" t="n">
        <v>1.63173677255746</v>
      </c>
      <c r="P21" s="30" t="n">
        <v>-0.301659837198087</v>
      </c>
      <c r="Q21" s="30" t="n">
        <v>-0.3153255013650933</v>
      </c>
      <c r="R21" s="30" t="n">
        <v>1.869574897178536</v>
      </c>
      <c r="S21" s="30" t="n">
        <v>8.854957124841059</v>
      </c>
      <c r="T21" s="30" t="n">
        <v>28.29773629497966</v>
      </c>
      <c r="U21" s="30" t="n">
        <v>1.129976013486816</v>
      </c>
      <c r="V21" s="30" t="n">
        <v>6.123056218780816</v>
      </c>
      <c r="W21" s="30" t="n">
        <v>4.651645146320213</v>
      </c>
      <c r="X21" s="30" t="n">
        <v>11.28306791102137</v>
      </c>
      <c r="Y21" s="30" t="n">
        <v>215.6405699789106</v>
      </c>
      <c r="Z21" s="30" t="n">
        <v>11.40560748176655</v>
      </c>
      <c r="AA21" s="30" t="n">
        <v>-0.8234028704615841</v>
      </c>
      <c r="AB21" s="30" t="n">
        <v>0.4437695820656271</v>
      </c>
      <c r="AC21" s="30" t="n">
        <v>13.36705024783622</v>
      </c>
      <c r="AD21" s="30" t="n">
        <v>2.988198005283266</v>
      </c>
      <c r="AE21" s="30" t="n">
        <v>17.55221062941013</v>
      </c>
      <c r="AF21" s="30" t="n">
        <v>6.599214261788879</v>
      </c>
      <c r="AG21" s="30" t="n">
        <v>46.56302662824417</v>
      </c>
      <c r="AH21" s="30" t="n">
        <v>456.2533877744683</v>
      </c>
      <c r="AI21" s="30" t="n">
        <v>30.54832811351026</v>
      </c>
      <c r="AJ21" s="30" t="n">
        <v>392.3036777357352</v>
      </c>
      <c r="AK21" s="30" t="n">
        <v>7.866667713869729</v>
      </c>
      <c r="AL21" s="30" t="n">
        <v>194.0639619634714</v>
      </c>
      <c r="AM21" s="30" t="n">
        <v>37.01819061667016</v>
      </c>
      <c r="AN21" s="30" t="n">
        <v>22.83650004143158</v>
      </c>
      <c r="AO21" s="30" t="n">
        <v>-2.371240768640149</v>
      </c>
      <c r="AP21" s="30" t="n">
        <v>3.729415875631919</v>
      </c>
      <c r="AQ21" s="30" t="n">
        <v>0.7522655087061467</v>
      </c>
      <c r="AR21" s="30" t="n">
        <v>8.082172745461961</v>
      </c>
      <c r="AS21" s="30" t="n">
        <v>130.2638470881172</v>
      </c>
      <c r="AT21" s="30" t="n">
        <v>10.08677701187371</v>
      </c>
      <c r="AU21" s="30" t="n">
        <v>0.4490735977826161</v>
      </c>
      <c r="AV21" s="30" t="n">
        <v>11.22148273800707</v>
      </c>
      <c r="AW21" s="30" t="n">
        <v>183.5737201479983</v>
      </c>
      <c r="AX21" s="30" t="n">
        <v>0</v>
      </c>
      <c r="AY21" s="30" t="n">
        <v>13.80293328350425</v>
      </c>
      <c r="AZ21" s="30" t="n">
        <v>9.573721250091438</v>
      </c>
      <c r="BA21" s="30" t="n">
        <v>15.60307334126992</v>
      </c>
      <c r="BB21" s="30">
        <f>SUM(C21:BA21)</f>
        <v/>
      </c>
      <c r="BC21" s="30" t="n">
        <v>0</v>
      </c>
      <c r="BD21" s="30" t="n">
        <v>0</v>
      </c>
      <c r="BE21" s="30" t="n">
        <v>0</v>
      </c>
      <c r="BF21" s="30" t="n">
        <v>0</v>
      </c>
      <c r="BG21" s="30">
        <f>SUM(BC21:BF21)</f>
        <v/>
      </c>
      <c r="BH21" s="30">
        <f>BB21+BG21</f>
        <v/>
      </c>
    </row>
    <row r="22">
      <c r="A22" s="28" t="n">
        <v>9</v>
      </c>
      <c r="B22" s="29" t="inlineStr">
        <is>
          <t>Artigos do vestuário e acessórios</t>
        </is>
      </c>
      <c r="C22" s="28" t="n">
        <v>8.963520034645493</v>
      </c>
      <c r="D22" s="28" t="n">
        <v>0.5055482478476878</v>
      </c>
      <c r="E22" s="28" t="n">
        <v>38.06614518027127</v>
      </c>
      <c r="F22" s="28" t="n">
        <v>0.01201674299680948</v>
      </c>
      <c r="G22" s="28" t="n">
        <v>3.053939388623617</v>
      </c>
      <c r="H22" s="28" t="n">
        <v>-2.874664438980299</v>
      </c>
      <c r="I22" s="28" t="n">
        <v>-0.3262424197575443</v>
      </c>
      <c r="J22" s="28" t="n">
        <v>46.22808822200842</v>
      </c>
      <c r="K22" s="28" t="n">
        <v>1120.573918300485</v>
      </c>
      <c r="L22" s="28" t="n">
        <v>26.29644090546223</v>
      </c>
      <c r="M22" s="28" t="n">
        <v>-0.1235726310835691</v>
      </c>
      <c r="N22" s="28" t="n">
        <v>-0.775286629172001</v>
      </c>
      <c r="O22" s="28" t="n">
        <v>0.2254627202382917</v>
      </c>
      <c r="P22" s="28" t="n">
        <v>-0.3660588657292336</v>
      </c>
      <c r="Q22" s="28" t="n">
        <v>-0.33658524220816</v>
      </c>
      <c r="R22" s="28" t="n">
        <v>-0.2081681863538792</v>
      </c>
      <c r="S22" s="28" t="n">
        <v>-0.4384007429109278</v>
      </c>
      <c r="T22" s="28" t="n">
        <v>-1.073247588088344</v>
      </c>
      <c r="U22" s="28" t="n">
        <v>1.595552701094577</v>
      </c>
      <c r="V22" s="28" t="n">
        <v>0.02544091298609091</v>
      </c>
      <c r="W22" s="28" t="n">
        <v>0.2126854132155424</v>
      </c>
      <c r="X22" s="28" t="n">
        <v>-0.4552608014766067</v>
      </c>
      <c r="Y22" s="28" t="n">
        <v>0.8895591027859234</v>
      </c>
      <c r="Z22" s="28" t="n">
        <v>5.948291330892032</v>
      </c>
      <c r="AA22" s="28" t="n">
        <v>1.841630964979428</v>
      </c>
      <c r="AB22" s="28" t="n">
        <v>-0.3038206771156204</v>
      </c>
      <c r="AC22" s="28" t="n">
        <v>21.25454655542062</v>
      </c>
      <c r="AD22" s="28" t="n">
        <v>3.50198620545527</v>
      </c>
      <c r="AE22" s="28" t="n">
        <v>-0.01711422987352354</v>
      </c>
      <c r="AF22" s="28" t="n">
        <v>-0.6733690568301708</v>
      </c>
      <c r="AG22" s="28" t="n">
        <v>0.9583839254369021</v>
      </c>
      <c r="AH22" s="28" t="n">
        <v>8.933045376277073</v>
      </c>
      <c r="AI22" s="28" t="n">
        <v>0.9226881187252787</v>
      </c>
      <c r="AJ22" s="28" t="n">
        <v>8.788313985863288</v>
      </c>
      <c r="AK22" s="28" t="n">
        <v>92.46003350436715</v>
      </c>
      <c r="AL22" s="28" t="n">
        <v>25.83106675067192</v>
      </c>
      <c r="AM22" s="28" t="n">
        <v>123.4854899092993</v>
      </c>
      <c r="AN22" s="28" t="n">
        <v>220.5877334192591</v>
      </c>
      <c r="AO22" s="28" t="n">
        <v>75.23905332562016</v>
      </c>
      <c r="AP22" s="28" t="n">
        <v>345.7509376162628</v>
      </c>
      <c r="AQ22" s="28" t="n">
        <v>15.48352202604183</v>
      </c>
      <c r="AR22" s="28" t="n">
        <v>0.1693651565084941</v>
      </c>
      <c r="AS22" s="28" t="n">
        <v>115.7904470225598</v>
      </c>
      <c r="AT22" s="28" t="n">
        <v>188.1808354320234</v>
      </c>
      <c r="AU22" s="28" t="n">
        <v>0.106915870261661</v>
      </c>
      <c r="AV22" s="28" t="n">
        <v>16.26977459277802</v>
      </c>
      <c r="AW22" s="28" t="n">
        <v>619.5036388988592</v>
      </c>
      <c r="AX22" s="28" t="n">
        <v>0</v>
      </c>
      <c r="AY22" s="28" t="n">
        <v>195.8696402701504</v>
      </c>
      <c r="AZ22" s="28" t="n">
        <v>16.2887984057075</v>
      </c>
      <c r="BA22" s="28" t="n">
        <v>304.2982017498305</v>
      </c>
      <c r="BB22" s="28">
        <f>SUM(C22:BA22)</f>
        <v/>
      </c>
      <c r="BC22" s="28" t="n">
        <v>0</v>
      </c>
      <c r="BD22" s="28" t="n">
        <v>0</v>
      </c>
      <c r="BE22" s="28" t="n">
        <v>0</v>
      </c>
      <c r="BF22" s="28" t="n">
        <v>0</v>
      </c>
      <c r="BG22" s="28">
        <f>SUM(BC22:BF22)</f>
        <v/>
      </c>
      <c r="BH22" s="28">
        <f>BB22+BG22</f>
        <v/>
      </c>
    </row>
    <row r="23">
      <c r="A23" s="30" t="n">
        <v>10</v>
      </c>
      <c r="B23" s="31" t="inlineStr">
        <is>
          <t>Artefatos de couro e calçados</t>
        </is>
      </c>
      <c r="C23" s="30" t="n">
        <v>1.284072363961405</v>
      </c>
      <c r="D23" s="30" t="n">
        <v>1.924008342236818</v>
      </c>
      <c r="E23" s="30" t="n">
        <v>2.831628282337731</v>
      </c>
      <c r="F23" s="30" t="n">
        <v>-0.2014296984748719</v>
      </c>
      <c r="G23" s="30" t="n">
        <v>2.798829563192298</v>
      </c>
      <c r="H23" s="30" t="n">
        <v>1.695684365983555</v>
      </c>
      <c r="I23" s="30" t="n">
        <v>-0.3032554949658932</v>
      </c>
      <c r="J23" s="30" t="n">
        <v>2.179482808024366</v>
      </c>
      <c r="K23" s="30" t="n">
        <v>6.329827579262849</v>
      </c>
      <c r="L23" s="30" t="n">
        <v>1892.501189342375</v>
      </c>
      <c r="M23" s="30" t="n">
        <v>0.4066624040774595</v>
      </c>
      <c r="N23" s="30" t="n">
        <v>23.3935782027159</v>
      </c>
      <c r="O23" s="30" t="n">
        <v>0.621444908878789</v>
      </c>
      <c r="P23" s="30" t="n">
        <v>-0.05741391932511136</v>
      </c>
      <c r="Q23" s="30" t="n">
        <v>0.01701912892593503</v>
      </c>
      <c r="R23" s="30" t="n">
        <v>1.374508488174915</v>
      </c>
      <c r="S23" s="30" t="n">
        <v>0.9555541383935444</v>
      </c>
      <c r="T23" s="30" t="n">
        <v>-0.3720680126282203</v>
      </c>
      <c r="U23" s="30" t="n">
        <v>0.6557359241371156</v>
      </c>
      <c r="V23" s="30" t="n">
        <v>2.502768211990971</v>
      </c>
      <c r="W23" s="30" t="n">
        <v>1.555345633262453</v>
      </c>
      <c r="X23" s="30" t="n">
        <v>2.028784461811322</v>
      </c>
      <c r="Y23" s="30" t="n">
        <v>7.522087128276192</v>
      </c>
      <c r="Z23" s="30" t="n">
        <v>1.263329188921118</v>
      </c>
      <c r="AA23" s="30" t="n">
        <v>-0.6993710478793468</v>
      </c>
      <c r="AB23" s="30" t="n">
        <v>-0.3628922988963431</v>
      </c>
      <c r="AC23" s="30" t="n">
        <v>10.28932969977437</v>
      </c>
      <c r="AD23" s="30" t="n">
        <v>-1.469031713357493</v>
      </c>
      <c r="AE23" s="30" t="n">
        <v>0.8330164536772493</v>
      </c>
      <c r="AF23" s="30" t="n">
        <v>6.48566397799039</v>
      </c>
      <c r="AG23" s="30" t="n">
        <v>4.601419684283631</v>
      </c>
      <c r="AH23" s="30" t="n">
        <v>3.95728701894348</v>
      </c>
      <c r="AI23" s="30" t="n">
        <v>0.7037351614973205</v>
      </c>
      <c r="AJ23" s="30" t="n">
        <v>3.067258230828652</v>
      </c>
      <c r="AK23" s="30" t="n">
        <v>35.85710665490889</v>
      </c>
      <c r="AL23" s="30" t="n">
        <v>20.11038204770184</v>
      </c>
      <c r="AM23" s="30" t="n">
        <v>-4.886255552092368</v>
      </c>
      <c r="AN23" s="30" t="n">
        <v>-3.608778759986465</v>
      </c>
      <c r="AO23" s="30" t="n">
        <v>6.00843513551778</v>
      </c>
      <c r="AP23" s="30" t="n">
        <v>2.595852263953458</v>
      </c>
      <c r="AQ23" s="30" t="n">
        <v>0.5286000982750433</v>
      </c>
      <c r="AR23" s="30" t="n">
        <v>0.01725905956390068</v>
      </c>
      <c r="AS23" s="30" t="n">
        <v>3.090797407349245</v>
      </c>
      <c r="AT23" s="30" t="n">
        <v>19.99287121498882</v>
      </c>
      <c r="AU23" s="30" t="n">
        <v>0.2849614304962815</v>
      </c>
      <c r="AV23" s="30" t="n">
        <v>-0.3548830292846043</v>
      </c>
      <c r="AW23" s="30" t="n">
        <v>5.533401119604273</v>
      </c>
      <c r="AX23" s="30" t="n">
        <v>0</v>
      </c>
      <c r="AY23" s="30" t="n">
        <v>1.905137855537012</v>
      </c>
      <c r="AZ23" s="30" t="n">
        <v>0.5584808912059188</v>
      </c>
      <c r="BA23" s="30" t="n">
        <v>6.881682039370542</v>
      </c>
      <c r="BB23" s="30">
        <f>SUM(C23:BA23)</f>
        <v/>
      </c>
      <c r="BC23" s="30" t="n">
        <v>0</v>
      </c>
      <c r="BD23" s="30" t="n">
        <v>0</v>
      </c>
      <c r="BE23" s="30" t="n">
        <v>0</v>
      </c>
      <c r="BF23" s="30" t="n">
        <v>0</v>
      </c>
      <c r="BG23" s="30">
        <f>SUM(BC23:BF23)</f>
        <v/>
      </c>
      <c r="BH23" s="30">
        <f>BB23+BG23</f>
        <v/>
      </c>
    </row>
    <row r="24">
      <c r="A24" s="29" t="inlineStr">
        <is>
          <t>Produtos de madeira</t>
        </is>
      </c>
      <c r="B24" s="29" t="inlineStr">
        <is>
          <t>exclusive móveis</t>
        </is>
      </c>
      <c r="C24" s="28" t="n">
        <v>105.7178072896864</v>
      </c>
      <c r="D24" s="28" t="n">
        <v>70.77484799083541</v>
      </c>
      <c r="E24" s="28" t="n">
        <v>1.02293090934007</v>
      </c>
      <c r="F24" s="28" t="n">
        <v>0.2382439131925699</v>
      </c>
      <c r="G24" s="28" t="n">
        <v>1.805190517132421</v>
      </c>
      <c r="H24" s="28" t="n">
        <v>106.1548208852544</v>
      </c>
      <c r="I24" s="28" t="n">
        <v>0.001465395348596486</v>
      </c>
      <c r="J24" s="28" t="n">
        <v>8.333038780751874</v>
      </c>
      <c r="K24" s="28" t="n">
        <v>1.437978809654993</v>
      </c>
      <c r="L24" s="28" t="n">
        <v>0.2823778178137973</v>
      </c>
      <c r="M24" s="28" t="n">
        <v>816.2619011261373</v>
      </c>
      <c r="N24" s="28" t="n">
        <v>116.9143921971235</v>
      </c>
      <c r="O24" s="28" t="n">
        <v>0.5780107005655093</v>
      </c>
      <c r="P24" s="28" t="n">
        <v>0.04558135278252413</v>
      </c>
      <c r="Q24" s="28" t="n">
        <v>-0.03009814782186377</v>
      </c>
      <c r="R24" s="28" t="n">
        <v>4.818966420844008</v>
      </c>
      <c r="S24" s="28" t="n">
        <v>0.1619128417123401</v>
      </c>
      <c r="T24" s="28" t="n">
        <v>-0.04779778714883157</v>
      </c>
      <c r="U24" s="28" t="n">
        <v>2.697678838803703</v>
      </c>
      <c r="V24" s="28" t="n">
        <v>0.7960987226727821</v>
      </c>
      <c r="W24" s="28" t="n">
        <v>0.8736528738962431</v>
      </c>
      <c r="X24" s="28" t="n">
        <v>6.886268968826852</v>
      </c>
      <c r="Y24" s="28" t="n">
        <v>2.87368844286208</v>
      </c>
      <c r="Z24" s="28" t="n">
        <v>10.91507005804379</v>
      </c>
      <c r="AA24" s="28" t="n">
        <v>9.471496639842892</v>
      </c>
      <c r="AB24" s="28" t="n">
        <v>1.506438467269575</v>
      </c>
      <c r="AC24" s="28" t="n">
        <v>52.60413382890104</v>
      </c>
      <c r="AD24" s="28" t="n">
        <v>84.20338791185326</v>
      </c>
      <c r="AE24" s="28" t="n">
        <v>3.307269383821836</v>
      </c>
      <c r="AF24" s="28" t="n">
        <v>1.075584021544765</v>
      </c>
      <c r="AG24" s="28" t="n">
        <v>53.65379034090812</v>
      </c>
      <c r="AH24" s="28" t="n">
        <v>20.71795225677811</v>
      </c>
      <c r="AI24" s="28" t="n">
        <v>51.31423004201742</v>
      </c>
      <c r="AJ24" s="28" t="n">
        <v>1522.858238244418</v>
      </c>
      <c r="AK24" s="28" t="n">
        <v>95.05850564987615</v>
      </c>
      <c r="AL24" s="28" t="n">
        <v>1455.350462153654</v>
      </c>
      <c r="AM24" s="28" t="n">
        <v>427.4474775816425</v>
      </c>
      <c r="AN24" s="28" t="n">
        <v>15.87398749227638</v>
      </c>
      <c r="AO24" s="28" t="n">
        <v>49.59222299641286</v>
      </c>
      <c r="AP24" s="28" t="n">
        <v>0.8927276059811812</v>
      </c>
      <c r="AQ24" s="28" t="n">
        <v>95.02658426280048</v>
      </c>
      <c r="AR24" s="28" t="n">
        <v>0.3206375671180633</v>
      </c>
      <c r="AS24" s="28" t="n">
        <v>0.991271262288422</v>
      </c>
      <c r="AT24" s="28" t="n">
        <v>2.397835523395202</v>
      </c>
      <c r="AU24" s="28" t="n">
        <v>0.2875984095049059</v>
      </c>
      <c r="AV24" s="28" t="n">
        <v>2.268454358157206</v>
      </c>
      <c r="AW24" s="28" t="n">
        <v>80.30963498807881</v>
      </c>
      <c r="AX24" s="28" t="n">
        <v>0</v>
      </c>
      <c r="AY24" s="28" t="n">
        <v>7.497315365237016</v>
      </c>
      <c r="AZ24" s="28" t="n">
        <v>1.433328571827742</v>
      </c>
      <c r="BA24" s="28" t="n">
        <v>18.46335376958325</v>
      </c>
      <c r="BB24" s="28">
        <f>SUM(C24:BA24)</f>
        <v/>
      </c>
      <c r="BC24" s="28" t="n">
        <v>0</v>
      </c>
      <c r="BD24" s="28" t="n">
        <v>0</v>
      </c>
      <c r="BE24" s="28" t="n">
        <v>0</v>
      </c>
      <c r="BF24" s="28" t="n">
        <v>0</v>
      </c>
      <c r="BG24" s="28">
        <f>SUM(BC24:BF24)</f>
        <v/>
      </c>
      <c r="BH24" s="28">
        <f>BB24+BG24</f>
        <v/>
      </c>
    </row>
    <row r="25">
      <c r="A25" s="30" t="n">
        <v>12</v>
      </c>
      <c r="B25" s="31" t="inlineStr">
        <is>
          <t>Celulose e produtos de papel</t>
        </is>
      </c>
      <c r="C25" s="30" t="n">
        <v>98.17282331177255</v>
      </c>
      <c r="D25" s="30" t="n">
        <v>35.76004434167942</v>
      </c>
      <c r="E25" s="30" t="n">
        <v>16.53634306541007</v>
      </c>
      <c r="F25" s="30" t="n">
        <v>20.07952796104852</v>
      </c>
      <c r="G25" s="30" t="n">
        <v>9.523456145355315</v>
      </c>
      <c r="H25" s="30" t="n">
        <v>1373.371909609065</v>
      </c>
      <c r="I25" s="30" t="n">
        <v>273.9289700244437</v>
      </c>
      <c r="J25" s="30" t="n">
        <v>205.9110452494466</v>
      </c>
      <c r="K25" s="30" t="n">
        <v>158.566408932316</v>
      </c>
      <c r="L25" s="30" t="n">
        <v>168.2406061640309</v>
      </c>
      <c r="M25" s="30" t="n">
        <v>128.7196580990911</v>
      </c>
      <c r="N25" s="30" t="n">
        <v>2604.899253578802</v>
      </c>
      <c r="O25" s="30" t="n">
        <v>402.2490459066682</v>
      </c>
      <c r="P25" s="30" t="n">
        <v>32.74419367805973</v>
      </c>
      <c r="Q25" s="30" t="n">
        <v>10.46222645558586</v>
      </c>
      <c r="R25" s="30" t="n">
        <v>21.32025218876788</v>
      </c>
      <c r="S25" s="30" t="n">
        <v>3.971422601105849</v>
      </c>
      <c r="T25" s="30" t="n">
        <v>209.5822663691631</v>
      </c>
      <c r="U25" s="30" t="n">
        <v>28.80972450901827</v>
      </c>
      <c r="V25" s="30" t="n">
        <v>398.5790335237058</v>
      </c>
      <c r="W25" s="30" t="n">
        <v>4.980614495207287</v>
      </c>
      <c r="X25" s="30" t="n">
        <v>14.92760255877727</v>
      </c>
      <c r="Y25" s="30" t="n">
        <v>437.9596619181435</v>
      </c>
      <c r="Z25" s="30" t="n">
        <v>423.1748884554443</v>
      </c>
      <c r="AA25" s="30" t="n">
        <v>14.71044911880885</v>
      </c>
      <c r="AB25" s="30" t="n">
        <v>6.002863058966811</v>
      </c>
      <c r="AC25" s="30" t="n">
        <v>247.6144931178845</v>
      </c>
      <c r="AD25" s="30" t="n">
        <v>67.58487756754913</v>
      </c>
      <c r="AE25" s="30" t="n">
        <v>116.8645311794292</v>
      </c>
      <c r="AF25" s="30" t="n">
        <v>409.5047467458548</v>
      </c>
      <c r="AG25" s="30" t="n">
        <v>80.56631538417528</v>
      </c>
      <c r="AH25" s="30" t="n">
        <v>182.7287765922254</v>
      </c>
      <c r="AI25" s="30" t="n">
        <v>19.19204394604483</v>
      </c>
      <c r="AJ25" s="30" t="n">
        <v>157.0508676967804</v>
      </c>
      <c r="AK25" s="30" t="n">
        <v>37.49107801566363</v>
      </c>
      <c r="AL25" s="30" t="n">
        <v>136.7873823945788</v>
      </c>
      <c r="AM25" s="30" t="n">
        <v>1215.701979821776</v>
      </c>
      <c r="AN25" s="30" t="n">
        <v>128.0437802122743</v>
      </c>
      <c r="AO25" s="30" t="n">
        <v>647.2717022201442</v>
      </c>
      <c r="AP25" s="30" t="n">
        <v>415.8761023320301</v>
      </c>
      <c r="AQ25" s="30" t="n">
        <v>58.75160473584807</v>
      </c>
      <c r="AR25" s="30" t="n">
        <v>9.496468249841806</v>
      </c>
      <c r="AS25" s="30" t="n">
        <v>281.99923758018</v>
      </c>
      <c r="AT25" s="30" t="n">
        <v>1081.707705175539</v>
      </c>
      <c r="AU25" s="30" t="n">
        <v>95.96371607431358</v>
      </c>
      <c r="AV25" s="30" t="n">
        <v>219.0078123447408</v>
      </c>
      <c r="AW25" s="30" t="n">
        <v>224.7486088257584</v>
      </c>
      <c r="AX25" s="30" t="n">
        <v>0</v>
      </c>
      <c r="AY25" s="30" t="n">
        <v>178.0494801981631</v>
      </c>
      <c r="AZ25" s="30" t="n">
        <v>39.74133164117313</v>
      </c>
      <c r="BA25" s="30" t="n">
        <v>243.1922577382087</v>
      </c>
      <c r="BB25" s="30">
        <f>SUM(C25:BA25)</f>
        <v/>
      </c>
      <c r="BC25" s="30" t="n">
        <v>0</v>
      </c>
      <c r="BD25" s="30" t="n">
        <v>0</v>
      </c>
      <c r="BE25" s="30" t="n">
        <v>0</v>
      </c>
      <c r="BF25" s="30" t="n">
        <v>0</v>
      </c>
      <c r="BG25" s="30">
        <f>SUM(BC25:BF25)</f>
        <v/>
      </c>
      <c r="BH25" s="30">
        <f>BB25+BG25</f>
        <v/>
      </c>
    </row>
    <row r="26">
      <c r="A26" s="28" t="n">
        <v>13</v>
      </c>
      <c r="B26" s="29" t="inlineStr">
        <is>
          <t>Jornais revistas discos</t>
        </is>
      </c>
      <c r="C26" s="28" t="n">
        <v>2.32190772920223</v>
      </c>
      <c r="D26" s="28" t="n">
        <v>0.6777747605201606</v>
      </c>
      <c r="E26" s="28" t="n">
        <v>2.097092919564657</v>
      </c>
      <c r="F26" s="28" t="n">
        <v>2.466069243662195</v>
      </c>
      <c r="G26" s="28" t="n">
        <v>2.186004902656658</v>
      </c>
      <c r="H26" s="28" t="n">
        <v>108.8597927355859</v>
      </c>
      <c r="I26" s="28" t="n">
        <v>2.298368822484794</v>
      </c>
      <c r="J26" s="28" t="n">
        <v>7.554600986786372</v>
      </c>
      <c r="K26" s="28" t="n">
        <v>12.83439901712222</v>
      </c>
      <c r="L26" s="28" t="n">
        <v>4.827039292300633</v>
      </c>
      <c r="M26" s="28" t="n">
        <v>4.292385815500547</v>
      </c>
      <c r="N26" s="28" t="n">
        <v>53.99050057797511</v>
      </c>
      <c r="O26" s="28" t="n">
        <v>455.2716828296673</v>
      </c>
      <c r="P26" s="28" t="n">
        <v>1.293135055776191</v>
      </c>
      <c r="Q26" s="28" t="n">
        <v>1.513133263927259</v>
      </c>
      <c r="R26" s="28" t="n">
        <v>1.02302932409753</v>
      </c>
      <c r="S26" s="28" t="n">
        <v>0.7862559357521798</v>
      </c>
      <c r="T26" s="28" t="n">
        <v>3.889662988091691</v>
      </c>
      <c r="U26" s="28" t="n">
        <v>3.732383128910986</v>
      </c>
      <c r="V26" s="28" t="n">
        <v>4.563524549573141</v>
      </c>
      <c r="W26" s="28" t="n">
        <v>1.297053108605736</v>
      </c>
      <c r="X26" s="28" t="n">
        <v>1.27702081966388</v>
      </c>
      <c r="Y26" s="28" t="n">
        <v>17.54149433739158</v>
      </c>
      <c r="Z26" s="28" t="n">
        <v>7.70899630006179</v>
      </c>
      <c r="AA26" s="28" t="n">
        <v>3.94040013773838</v>
      </c>
      <c r="AB26" s="28" t="n">
        <v>0.3317286910526851</v>
      </c>
      <c r="AC26" s="28" t="n">
        <v>6.693007422927482</v>
      </c>
      <c r="AD26" s="28" t="n">
        <v>6.990606884854972</v>
      </c>
      <c r="AE26" s="28" t="n">
        <v>5.768144511728446</v>
      </c>
      <c r="AF26" s="28" t="n">
        <v>44.42911807147033</v>
      </c>
      <c r="AG26" s="28" t="n">
        <v>9.0794860624283</v>
      </c>
      <c r="AH26" s="28" t="n">
        <v>9.607320339739854</v>
      </c>
      <c r="AI26" s="28" t="n">
        <v>1.852862942285332</v>
      </c>
      <c r="AJ26" s="28" t="n">
        <v>17.83223190000937</v>
      </c>
      <c r="AK26" s="28" t="n">
        <v>7.634220398445259</v>
      </c>
      <c r="AL26" s="28" t="n">
        <v>18.85837852362435</v>
      </c>
      <c r="AM26" s="28" t="n">
        <v>1418.941315344862</v>
      </c>
      <c r="AN26" s="28" t="n">
        <v>37.45861637370393</v>
      </c>
      <c r="AO26" s="28" t="n">
        <v>1398.015259441117</v>
      </c>
      <c r="AP26" s="28" t="n">
        <v>537.616210512653</v>
      </c>
      <c r="AQ26" s="28" t="n">
        <v>72.53805193826993</v>
      </c>
      <c r="AR26" s="28" t="n">
        <v>0.1773620455976096</v>
      </c>
      <c r="AS26" s="28" t="n">
        <v>15.75203952362557</v>
      </c>
      <c r="AT26" s="28" t="n">
        <v>1460.550606014734</v>
      </c>
      <c r="AU26" s="28" t="n">
        <v>5.081535320839961</v>
      </c>
      <c r="AV26" s="28" t="n">
        <v>8.496017452305621</v>
      </c>
      <c r="AW26" s="28" t="n">
        <v>273.7525661518525</v>
      </c>
      <c r="AX26" s="28" t="n">
        <v>0</v>
      </c>
      <c r="AY26" s="28" t="n">
        <v>65.86897356893682</v>
      </c>
      <c r="AZ26" s="28" t="n">
        <v>19.94036876824925</v>
      </c>
      <c r="BA26" s="28" t="n">
        <v>264.8774067407805</v>
      </c>
      <c r="BB26" s="28">
        <f>SUM(C26:BA26)</f>
        <v/>
      </c>
      <c r="BC26" s="28" t="n">
        <v>0</v>
      </c>
      <c r="BD26" s="28" t="n">
        <v>0</v>
      </c>
      <c r="BE26" s="28" t="n">
        <v>0</v>
      </c>
      <c r="BF26" s="28" t="n">
        <v>0</v>
      </c>
      <c r="BG26" s="28">
        <f>SUM(BC26:BF26)</f>
        <v/>
      </c>
      <c r="BH26" s="28">
        <f>BB26+BG26</f>
        <v/>
      </c>
    </row>
    <row r="27">
      <c r="A27" s="30" t="n">
        <v>14</v>
      </c>
      <c r="B27" s="31" t="inlineStr">
        <is>
          <t>Refino de petróleo e coque</t>
        </is>
      </c>
      <c r="C27" s="30" t="n">
        <v>1946.985328030182</v>
      </c>
      <c r="D27" s="30" t="n">
        <v>1081.177603736593</v>
      </c>
      <c r="E27" s="30" t="n">
        <v>521.9732797221225</v>
      </c>
      <c r="F27" s="30" t="n">
        <v>358.6235153535797</v>
      </c>
      <c r="G27" s="30" t="n">
        <v>403.1663037387827</v>
      </c>
      <c r="H27" s="30" t="n">
        <v>1454.233237218623</v>
      </c>
      <c r="I27" s="30" t="n">
        <v>7.903987435176981</v>
      </c>
      <c r="J27" s="30" t="n">
        <v>93.01398554791642</v>
      </c>
      <c r="K27" s="30" t="n">
        <v>18.9505720058866</v>
      </c>
      <c r="L27" s="30" t="n">
        <v>50.52574461278451</v>
      </c>
      <c r="M27" s="30" t="n">
        <v>45.88870969092871</v>
      </c>
      <c r="N27" s="30" t="n">
        <v>305.7238352880443</v>
      </c>
      <c r="O27" s="30" t="n">
        <v>6.72795138592622</v>
      </c>
      <c r="P27" s="30" t="n">
        <v>22412.47916084619</v>
      </c>
      <c r="Q27" s="30" t="n">
        <v>118.7096910309911</v>
      </c>
      <c r="R27" s="30" t="n">
        <v>3533.110615111598</v>
      </c>
      <c r="S27" s="30" t="n">
        <v>82.0798739197613</v>
      </c>
      <c r="T27" s="30" t="n">
        <v>34.97001790690416</v>
      </c>
      <c r="U27" s="30" t="n">
        <v>72.9824372779153</v>
      </c>
      <c r="V27" s="30" t="n">
        <v>131.7760575447203</v>
      </c>
      <c r="W27" s="30" t="n">
        <v>157.8135808435102</v>
      </c>
      <c r="X27" s="30" t="n">
        <v>117.7351178755954</v>
      </c>
      <c r="Y27" s="30" t="n">
        <v>462.7780890535797</v>
      </c>
      <c r="Z27" s="30" t="n">
        <v>938.6568719927785</v>
      </c>
      <c r="AA27" s="30" t="n">
        <v>900.3167343158443</v>
      </c>
      <c r="AB27" s="30" t="n">
        <v>320.0420477795275</v>
      </c>
      <c r="AC27" s="30" t="n">
        <v>76.72271812078874</v>
      </c>
      <c r="AD27" s="30" t="n">
        <v>171.5373542868727</v>
      </c>
      <c r="AE27" s="30" t="n">
        <v>211.244102131938</v>
      </c>
      <c r="AF27" s="30" t="n">
        <v>32.5752117295881</v>
      </c>
      <c r="AG27" s="30" t="n">
        <v>213.8963384896585</v>
      </c>
      <c r="AH27" s="30" t="n">
        <v>118.3091890636393</v>
      </c>
      <c r="AI27" s="30" t="n">
        <v>29.38651422528463</v>
      </c>
      <c r="AJ27" s="30" t="n">
        <v>52.46439349539384</v>
      </c>
      <c r="AK27" s="30" t="n">
        <v>971.7571942604883</v>
      </c>
      <c r="AL27" s="30" t="n">
        <v>2026.893517802798</v>
      </c>
      <c r="AM27" s="30" t="n">
        <v>2855.019188324742</v>
      </c>
      <c r="AN27" s="30" t="n">
        <v>13396.43487590629</v>
      </c>
      <c r="AO27" s="30" t="n">
        <v>118.441771612364</v>
      </c>
      <c r="AP27" s="30" t="n">
        <v>234.3081839156608</v>
      </c>
      <c r="AQ27" s="30" t="n">
        <v>28.64193913536093</v>
      </c>
      <c r="AR27" s="30" t="n">
        <v>35.80972911869453</v>
      </c>
      <c r="AS27" s="30" t="n">
        <v>783.5943787561312</v>
      </c>
      <c r="AT27" s="30" t="n">
        <v>735.2613361818827</v>
      </c>
      <c r="AU27" s="30" t="n">
        <v>21.70035633971286</v>
      </c>
      <c r="AV27" s="30" t="n">
        <v>102.6334042218276</v>
      </c>
      <c r="AW27" s="30" t="n">
        <v>314.795184016269</v>
      </c>
      <c r="AX27" s="30" t="n">
        <v>0</v>
      </c>
      <c r="AY27" s="30" t="n">
        <v>109.5844967408766</v>
      </c>
      <c r="AZ27" s="30" t="n">
        <v>35.08784332857612</v>
      </c>
      <c r="BA27" s="30" t="n">
        <v>872.3180698880559</v>
      </c>
      <c r="BB27" s="30">
        <f>SUM(C27:BA27)</f>
        <v/>
      </c>
      <c r="BC27" s="30" t="n">
        <v>0</v>
      </c>
      <c r="BD27" s="30" t="n">
        <v>0</v>
      </c>
      <c r="BE27" s="30" t="n">
        <v>0</v>
      </c>
      <c r="BF27" s="30" t="n">
        <v>0</v>
      </c>
      <c r="BG27" s="30">
        <f>SUM(BC27:BF27)</f>
        <v/>
      </c>
      <c r="BH27" s="30">
        <f>BB27+BG27</f>
        <v/>
      </c>
    </row>
    <row r="28">
      <c r="A28" s="28" t="n">
        <v>15</v>
      </c>
      <c r="B28" s="29" t="inlineStr">
        <is>
          <t>Álcool</t>
        </is>
      </c>
      <c r="C28" s="28" t="n">
        <v>16.180008470058</v>
      </c>
      <c r="D28" s="28" t="n">
        <v>16.27842235684253</v>
      </c>
      <c r="E28" s="28" t="n">
        <v>47.15266330026959</v>
      </c>
      <c r="F28" s="28" t="n">
        <v>0.5192465879693405</v>
      </c>
      <c r="G28" s="28" t="n">
        <v>1.714768595759364</v>
      </c>
      <c r="H28" s="28" t="n">
        <v>234.7105440712886</v>
      </c>
      <c r="I28" s="28" t="n">
        <v>-0.05478262584831125</v>
      </c>
      <c r="J28" s="28" t="n">
        <v>0.3091435328819992</v>
      </c>
      <c r="K28" s="28" t="n">
        <v>-0.05766044520687966</v>
      </c>
      <c r="L28" s="28" t="n">
        <v>0.003488450734223676</v>
      </c>
      <c r="M28" s="28" t="n">
        <v>0.2139338764536189</v>
      </c>
      <c r="N28" s="28" t="n">
        <v>0.7376637364963727</v>
      </c>
      <c r="O28" s="28" t="n">
        <v>0.2784297026776868</v>
      </c>
      <c r="P28" s="28" t="n">
        <v>1593.409021733607</v>
      </c>
      <c r="Q28" s="28" t="n">
        <v>49.75007906653661</v>
      </c>
      <c r="R28" s="28" t="n">
        <v>32.17776583293175</v>
      </c>
      <c r="S28" s="28" t="n">
        <v>1.030374940685066</v>
      </c>
      <c r="T28" s="28" t="n">
        <v>74.39291828875248</v>
      </c>
      <c r="U28" s="28" t="n">
        <v>15.61280399927767</v>
      </c>
      <c r="V28" s="28" t="n">
        <v>127.0087524368221</v>
      </c>
      <c r="W28" s="28" t="n">
        <v>20.81103384700069</v>
      </c>
      <c r="X28" s="28" t="n">
        <v>13.10676396611534</v>
      </c>
      <c r="Y28" s="28" t="n">
        <v>0.5408270790999475</v>
      </c>
      <c r="Z28" s="28" t="n">
        <v>0.8030101168861272</v>
      </c>
      <c r="AA28" s="28" t="n">
        <v>1.897949787479717</v>
      </c>
      <c r="AB28" s="28" t="n">
        <v>1.187375310880865</v>
      </c>
      <c r="AC28" s="28" t="n">
        <v>3.28501497376179</v>
      </c>
      <c r="AD28" s="28" t="n">
        <v>3.135710919175069</v>
      </c>
      <c r="AE28" s="28" t="n">
        <v>0.7801140750579358</v>
      </c>
      <c r="AF28" s="28" t="n">
        <v>-0.1775066865083784</v>
      </c>
      <c r="AG28" s="28" t="n">
        <v>1.676038063640474</v>
      </c>
      <c r="AH28" s="28" t="n">
        <v>0.6467415245691961</v>
      </c>
      <c r="AI28" s="28" t="n">
        <v>0.2133118295339596</v>
      </c>
      <c r="AJ28" s="28" t="n">
        <v>0.5359069176388681</v>
      </c>
      <c r="AK28" s="28" t="n">
        <v>9.73837283285004</v>
      </c>
      <c r="AL28" s="28" t="n">
        <v>40.18964996223021</v>
      </c>
      <c r="AM28" s="28" t="n">
        <v>28.04872701147227</v>
      </c>
      <c r="AN28" s="28" t="n">
        <v>61.8208284787654</v>
      </c>
      <c r="AO28" s="28" t="n">
        <v>-0.3904558559762456</v>
      </c>
      <c r="AP28" s="28" t="n">
        <v>0.5224771506565162</v>
      </c>
      <c r="AQ28" s="28" t="n">
        <v>0.1344223830280639</v>
      </c>
      <c r="AR28" s="28" t="n">
        <v>3.37520709834225</v>
      </c>
      <c r="AS28" s="28" t="n">
        <v>24.82456803600701</v>
      </c>
      <c r="AT28" s="28" t="n">
        <v>16.04761810781552</v>
      </c>
      <c r="AU28" s="28" t="n">
        <v>0.560841659411639</v>
      </c>
      <c r="AV28" s="28" t="n">
        <v>5.706926297704872</v>
      </c>
      <c r="AW28" s="28" t="n">
        <v>9.803450525515021</v>
      </c>
      <c r="AX28" s="28" t="n">
        <v>0</v>
      </c>
      <c r="AY28" s="28" t="n">
        <v>18.1964943374914</v>
      </c>
      <c r="AZ28" s="28" t="n">
        <v>7.073705513114104</v>
      </c>
      <c r="BA28" s="28" t="n">
        <v>112.6614788600667</v>
      </c>
      <c r="BB28" s="28">
        <f>SUM(C28:BA28)</f>
        <v/>
      </c>
      <c r="BC28" s="28" t="n">
        <v>0</v>
      </c>
      <c r="BD28" s="28" t="n">
        <v>0</v>
      </c>
      <c r="BE28" s="28" t="n">
        <v>0</v>
      </c>
      <c r="BF28" s="28" t="n">
        <v>0</v>
      </c>
      <c r="BG28" s="28">
        <f>SUM(BC28:BF28)</f>
        <v/>
      </c>
      <c r="BH28" s="28">
        <f>BB28+BG28</f>
        <v/>
      </c>
    </row>
    <row r="29">
      <c r="A29" s="30" t="n">
        <v>16</v>
      </c>
      <c r="B29" s="31" t="inlineStr">
        <is>
          <t>Produtos  químicos</t>
        </is>
      </c>
      <c r="C29" s="30" t="n">
        <v>7962.206959401885</v>
      </c>
      <c r="D29" s="30" t="n">
        <v>1006.985437483179</v>
      </c>
      <c r="E29" s="30" t="n">
        <v>757.1937053851486</v>
      </c>
      <c r="F29" s="30" t="n">
        <v>65.01457315356555</v>
      </c>
      <c r="G29" s="30" t="n">
        <v>121.8566572434437</v>
      </c>
      <c r="H29" s="30" t="n">
        <v>530.204530217081</v>
      </c>
      <c r="I29" s="30" t="n">
        <v>-0.228757959594018</v>
      </c>
      <c r="J29" s="30" t="n">
        <v>557.0968951105108</v>
      </c>
      <c r="K29" s="30" t="n">
        <v>51.37055258874933</v>
      </c>
      <c r="L29" s="30" t="n">
        <v>253.6539234826551</v>
      </c>
      <c r="M29" s="30" t="n">
        <v>9.820130723754906</v>
      </c>
      <c r="N29" s="30" t="n">
        <v>1062.729135562403</v>
      </c>
      <c r="O29" s="30" t="n">
        <v>10.95035244585791</v>
      </c>
      <c r="P29" s="30" t="n">
        <v>324.9661299738513</v>
      </c>
      <c r="Q29" s="30" t="n">
        <v>159.5309118439194</v>
      </c>
      <c r="R29" s="30" t="n">
        <v>7252.150606920802</v>
      </c>
      <c r="S29" s="30" t="n">
        <v>4082.540940544833</v>
      </c>
      <c r="T29" s="30" t="n">
        <v>562.6984501515855</v>
      </c>
      <c r="U29" s="30" t="n">
        <v>1410.153924091949</v>
      </c>
      <c r="V29" s="30" t="n">
        <v>1371.937116959492</v>
      </c>
      <c r="W29" s="30" t="n">
        <v>1452.502839023029</v>
      </c>
      <c r="X29" s="30" t="n">
        <v>1470.267980228747</v>
      </c>
      <c r="Y29" s="30" t="n">
        <v>882.7937846356074</v>
      </c>
      <c r="Z29" s="30" t="n">
        <v>500.7694795870776</v>
      </c>
      <c r="AA29" s="30" t="n">
        <v>418.2598758085879</v>
      </c>
      <c r="AB29" s="30" t="n">
        <v>325.9049195205156</v>
      </c>
      <c r="AC29" s="30" t="n">
        <v>205.8971301466808</v>
      </c>
      <c r="AD29" s="30" t="n">
        <v>78.26016104111839</v>
      </c>
      <c r="AE29" s="30" t="n">
        <v>116.7804505166421</v>
      </c>
      <c r="AF29" s="30" t="n">
        <v>33.85429739624274</v>
      </c>
      <c r="AG29" s="30" t="n">
        <v>16.07953438588007</v>
      </c>
      <c r="AH29" s="30" t="n">
        <v>21.32689431106335</v>
      </c>
      <c r="AI29" s="30" t="n">
        <v>61.35266165356974</v>
      </c>
      <c r="AJ29" s="30" t="n">
        <v>103.3959816578508</v>
      </c>
      <c r="AK29" s="30" t="n">
        <v>403.7922743491675</v>
      </c>
      <c r="AL29" s="30" t="n">
        <v>48.10252631532809</v>
      </c>
      <c r="AM29" s="30" t="n">
        <v>161.8051978919494</v>
      </c>
      <c r="AN29" s="30" t="n">
        <v>-0.5310523807270171</v>
      </c>
      <c r="AO29" s="30" t="n">
        <v>-10.13509053570028</v>
      </c>
      <c r="AP29" s="30" t="n">
        <v>5.059444329685498</v>
      </c>
      <c r="AQ29" s="30" t="n">
        <v>2.262664393111168</v>
      </c>
      <c r="AR29" s="30" t="n">
        <v>0.1891620555040093</v>
      </c>
      <c r="AS29" s="30" t="n">
        <v>15.11571344926415</v>
      </c>
      <c r="AT29" s="30" t="n">
        <v>57.50401229609727</v>
      </c>
      <c r="AU29" s="30" t="n">
        <v>3.325500050145221</v>
      </c>
      <c r="AV29" s="30" t="n">
        <v>332.5732788321047</v>
      </c>
      <c r="AW29" s="30" t="n">
        <v>135.6791550217379</v>
      </c>
      <c r="AX29" s="30" t="n">
        <v>0</v>
      </c>
      <c r="AY29" s="30" t="n">
        <v>30.78042967535582</v>
      </c>
      <c r="AZ29" s="30" t="n">
        <v>120.8904890434203</v>
      </c>
      <c r="BA29" s="30" t="n">
        <v>9.987635049729901</v>
      </c>
      <c r="BB29" s="30">
        <f>SUM(C29:BA29)</f>
        <v/>
      </c>
      <c r="BC29" s="30" t="n">
        <v>0</v>
      </c>
      <c r="BD29" s="30" t="n">
        <v>0</v>
      </c>
      <c r="BE29" s="30" t="n">
        <v>0</v>
      </c>
      <c r="BF29" s="30" t="n">
        <v>0</v>
      </c>
      <c r="BG29" s="30">
        <f>SUM(BC29:BF29)</f>
        <v/>
      </c>
      <c r="BH29" s="30">
        <f>BB29+BG29</f>
        <v/>
      </c>
    </row>
    <row r="30">
      <c r="A30" s="28" t="n">
        <v>17</v>
      </c>
      <c r="B30" s="29" t="inlineStr">
        <is>
          <t>Fabricação de resina e elastômeros</t>
        </is>
      </c>
      <c r="C30" s="28" t="n">
        <v>66.38767201957801</v>
      </c>
      <c r="D30" s="28" t="n">
        <v>6.980625859310506</v>
      </c>
      <c r="E30" s="28" t="n">
        <v>254.3896903477308</v>
      </c>
      <c r="F30" s="28" t="n">
        <v>1.488099607016694</v>
      </c>
      <c r="G30" s="28" t="n">
        <v>4.327720447141932</v>
      </c>
      <c r="H30" s="28" t="n">
        <v>17.74984428182301</v>
      </c>
      <c r="I30" s="28" t="n">
        <v>9.58552281686574</v>
      </c>
      <c r="J30" s="28" t="n">
        <v>1290.065407598522</v>
      </c>
      <c r="K30" s="28" t="n">
        <v>23.26295427160981</v>
      </c>
      <c r="L30" s="28" t="n">
        <v>310.0500278378343</v>
      </c>
      <c r="M30" s="28" t="n">
        <v>122.0457242359793</v>
      </c>
      <c r="N30" s="28" t="n">
        <v>406.8917996019952</v>
      </c>
      <c r="O30" s="28" t="n">
        <v>16.99721573275961</v>
      </c>
      <c r="P30" s="28" t="n">
        <v>7.020819118970596</v>
      </c>
      <c r="Q30" s="28" t="n">
        <v>1.317633387379542</v>
      </c>
      <c r="R30" s="28" t="n">
        <v>101.4609314389149</v>
      </c>
      <c r="S30" s="28" t="n">
        <v>563.6717360549767</v>
      </c>
      <c r="T30" s="28" t="n">
        <v>23.18030401258329</v>
      </c>
      <c r="U30" s="28" t="n">
        <v>25.19891312393766</v>
      </c>
      <c r="V30" s="28" t="n">
        <v>278.1784884482625</v>
      </c>
      <c r="W30" s="28" t="n">
        <v>279.6720810545825</v>
      </c>
      <c r="X30" s="28" t="n">
        <v>241.2575076861607</v>
      </c>
      <c r="Y30" s="28" t="n">
        <v>4040.835035491772</v>
      </c>
      <c r="Z30" s="28" t="n">
        <v>420.9780075060385</v>
      </c>
      <c r="AA30" s="28" t="n">
        <v>4.696821114516816</v>
      </c>
      <c r="AB30" s="28" t="n">
        <v>54.89732099093308</v>
      </c>
      <c r="AC30" s="28" t="n">
        <v>214.426892584479</v>
      </c>
      <c r="AD30" s="28" t="n">
        <v>48.72607535095985</v>
      </c>
      <c r="AE30" s="28" t="n">
        <v>886.4970023558567</v>
      </c>
      <c r="AF30" s="28" t="n">
        <v>159.2797331575462</v>
      </c>
      <c r="AG30" s="28" t="n">
        <v>40.75729451627387</v>
      </c>
      <c r="AH30" s="28" t="n">
        <v>407.8729026781257</v>
      </c>
      <c r="AI30" s="28" t="n">
        <v>94.33830975613053</v>
      </c>
      <c r="AJ30" s="28" t="n">
        <v>296.4099260454843</v>
      </c>
      <c r="AK30" s="28" t="n">
        <v>3.832766935779321</v>
      </c>
      <c r="AL30" s="28" t="n">
        <v>30.25400439244821</v>
      </c>
      <c r="AM30" s="28" t="n">
        <v>15.74682228996396</v>
      </c>
      <c r="AN30" s="28" t="n">
        <v>5.00795757336847</v>
      </c>
      <c r="AO30" s="28" t="n">
        <v>0.1898098216575599</v>
      </c>
      <c r="AP30" s="28" t="n">
        <v>2.159651298061546</v>
      </c>
      <c r="AQ30" s="28" t="n">
        <v>2.105476817697722</v>
      </c>
      <c r="AR30" s="28" t="n">
        <v>0.1658130043898973</v>
      </c>
      <c r="AS30" s="28" t="n">
        <v>2.204886851780976</v>
      </c>
      <c r="AT30" s="28" t="n">
        <v>14.45718958392681</v>
      </c>
      <c r="AU30" s="28" t="n">
        <v>0.6415240536661888</v>
      </c>
      <c r="AV30" s="28" t="n">
        <v>3.575126528735353</v>
      </c>
      <c r="AW30" s="28" t="n">
        <v>6.61655528957417</v>
      </c>
      <c r="AX30" s="28" t="n">
        <v>0</v>
      </c>
      <c r="AY30" s="28" t="n">
        <v>1.801854469696588</v>
      </c>
      <c r="AZ30" s="28" t="n">
        <v>2.352436735580398</v>
      </c>
      <c r="BA30" s="28" t="n">
        <v>2.029635297167064</v>
      </c>
      <c r="BB30" s="28">
        <f>SUM(C30:BA30)</f>
        <v/>
      </c>
      <c r="BC30" s="28" t="n">
        <v>0</v>
      </c>
      <c r="BD30" s="28" t="n">
        <v>0</v>
      </c>
      <c r="BE30" s="28" t="n">
        <v>0</v>
      </c>
      <c r="BF30" s="28" t="n">
        <v>0</v>
      </c>
      <c r="BG30" s="28">
        <f>SUM(BC30:BF30)</f>
        <v/>
      </c>
      <c r="BH30" s="28">
        <f>BB30+BG30</f>
        <v/>
      </c>
    </row>
    <row r="31">
      <c r="A31" s="30" t="n">
        <v>18</v>
      </c>
      <c r="B31" s="31" t="inlineStr">
        <is>
          <t>Produtos farmacêuticos</t>
        </is>
      </c>
      <c r="C31" s="30" t="n">
        <v>270.2945373249472</v>
      </c>
      <c r="D31" s="30" t="n">
        <v>1586.360494420197</v>
      </c>
      <c r="E31" s="30" t="n">
        <v>120.2090107806426</v>
      </c>
      <c r="F31" s="30" t="n">
        <v>0.08252584559009787</v>
      </c>
      <c r="G31" s="30" t="n">
        <v>1.983426785956603</v>
      </c>
      <c r="H31" s="30" t="n">
        <v>63.70585466353301</v>
      </c>
      <c r="I31" s="30" t="n">
        <v>-0.2522509387194803</v>
      </c>
      <c r="J31" s="30" t="n">
        <v>17.56171884282354</v>
      </c>
      <c r="K31" s="30" t="n">
        <v>7.518023395217762</v>
      </c>
      <c r="L31" s="30" t="n">
        <v>3.50688028084243</v>
      </c>
      <c r="M31" s="30" t="n">
        <v>1.108929676569026</v>
      </c>
      <c r="N31" s="30" t="n">
        <v>4.315053656010316</v>
      </c>
      <c r="O31" s="30" t="n">
        <v>2.145367018219284</v>
      </c>
      <c r="P31" s="30" t="n">
        <v>0.2423302753123577</v>
      </c>
      <c r="Q31" s="30" t="n">
        <v>0.07557324931593387</v>
      </c>
      <c r="R31" s="30" t="n">
        <v>16.37035462608376</v>
      </c>
      <c r="S31" s="30" t="n">
        <v>20.5863027901919</v>
      </c>
      <c r="T31" s="30" t="n">
        <v>1963.121984672231</v>
      </c>
      <c r="U31" s="30" t="n">
        <v>125.676905382743</v>
      </c>
      <c r="V31" s="30" t="n">
        <v>17.14109573535211</v>
      </c>
      <c r="W31" s="30" t="n">
        <v>7.441313333232499</v>
      </c>
      <c r="X31" s="30" t="n">
        <v>9.287281335689503</v>
      </c>
      <c r="Y31" s="30" t="n">
        <v>43.54801927893516</v>
      </c>
      <c r="Z31" s="30" t="n">
        <v>6.537451898750961</v>
      </c>
      <c r="AA31" s="30" t="n">
        <v>-0.3143983996575428</v>
      </c>
      <c r="AB31" s="30" t="n">
        <v>0.5869134944722838</v>
      </c>
      <c r="AC31" s="30" t="n">
        <v>2.543558899508175</v>
      </c>
      <c r="AD31" s="30" t="n">
        <v>2.309350472546603</v>
      </c>
      <c r="AE31" s="30" t="n">
        <v>8.550760402713983</v>
      </c>
      <c r="AF31" s="30" t="n">
        <v>13.10606751642111</v>
      </c>
      <c r="AG31" s="30" t="n">
        <v>6.00336644327665</v>
      </c>
      <c r="AH31" s="30" t="n">
        <v>6.534141374864912</v>
      </c>
      <c r="AI31" s="30" t="n">
        <v>1.511088364699613</v>
      </c>
      <c r="AJ31" s="30" t="n">
        <v>5.210616225485612</v>
      </c>
      <c r="AK31" s="30" t="n">
        <v>2.941103354352375</v>
      </c>
      <c r="AL31" s="30" t="n">
        <v>51.45996120748073</v>
      </c>
      <c r="AM31" s="30" t="n">
        <v>99.7501491139938</v>
      </c>
      <c r="AN31" s="30" t="n">
        <v>-8.532111201441907</v>
      </c>
      <c r="AO31" s="30" t="n">
        <v>-5.564719255789522</v>
      </c>
      <c r="AP31" s="30" t="n">
        <v>9.562477526366651</v>
      </c>
      <c r="AQ31" s="30" t="n">
        <v>1.865149190230272</v>
      </c>
      <c r="AR31" s="30" t="n">
        <v>0.2221941770105497</v>
      </c>
      <c r="AS31" s="30" t="n">
        <v>4.425680966108211</v>
      </c>
      <c r="AT31" s="30" t="n">
        <v>40.55610886024913</v>
      </c>
      <c r="AU31" s="30" t="n">
        <v>72.41451296393375</v>
      </c>
      <c r="AV31" s="30" t="n">
        <v>3609.592351320605</v>
      </c>
      <c r="AW31" s="30" t="n">
        <v>304.984290564134</v>
      </c>
      <c r="AX31" s="30" t="n">
        <v>0</v>
      </c>
      <c r="AY31" s="30" t="n">
        <v>230.8992586724535</v>
      </c>
      <c r="AZ31" s="30" t="n">
        <v>1746.348435786393</v>
      </c>
      <c r="BA31" s="30" t="n">
        <v>191.0249663053</v>
      </c>
      <c r="BB31" s="30">
        <f>SUM(C31:BA31)</f>
        <v/>
      </c>
      <c r="BC31" s="30" t="n">
        <v>0</v>
      </c>
      <c r="BD31" s="30" t="n">
        <v>0</v>
      </c>
      <c r="BE31" s="30" t="n">
        <v>0</v>
      </c>
      <c r="BF31" s="30" t="n">
        <v>0</v>
      </c>
      <c r="BG31" s="30">
        <f>SUM(BC31:BF31)</f>
        <v/>
      </c>
      <c r="BH31" s="30">
        <f>BB31+BG31</f>
        <v/>
      </c>
    </row>
    <row r="32">
      <c r="A32" s="28" t="n">
        <v>19</v>
      </c>
      <c r="B32" s="29" t="inlineStr">
        <is>
          <t>Defensivos agrícolas</t>
        </is>
      </c>
      <c r="C32" s="28" t="n">
        <v>4649.943093434351</v>
      </c>
      <c r="D32" s="28" t="n">
        <v>414.7257876695206</v>
      </c>
      <c r="E32" s="28" t="n">
        <v>32.8742788312226</v>
      </c>
      <c r="F32" s="28" t="n">
        <v>2.533506247355541</v>
      </c>
      <c r="G32" s="28" t="n">
        <v>22.81763228292586</v>
      </c>
      <c r="H32" s="28" t="n">
        <v>27.10634834972237</v>
      </c>
      <c r="I32" s="28" t="n">
        <v>0.1236156492325051</v>
      </c>
      <c r="J32" s="28" t="n">
        <v>91.65534363753333</v>
      </c>
      <c r="K32" s="28" t="n">
        <v>-0.1190553493679288</v>
      </c>
      <c r="L32" s="28" t="n">
        <v>23.08485416997831</v>
      </c>
      <c r="M32" s="28" t="n">
        <v>9.553941068509982</v>
      </c>
      <c r="N32" s="28" t="n">
        <v>38.44629578169879</v>
      </c>
      <c r="O32" s="28" t="n">
        <v>3.96157466299322</v>
      </c>
      <c r="P32" s="28" t="n">
        <v>2.112636933730922</v>
      </c>
      <c r="Q32" s="28" t="n">
        <v>4.994031287378069</v>
      </c>
      <c r="R32" s="28" t="n">
        <v>63.95472908516069</v>
      </c>
      <c r="S32" s="28" t="n">
        <v>151.3529447139156</v>
      </c>
      <c r="T32" s="28" t="n">
        <v>22.5807530624233</v>
      </c>
      <c r="U32" s="28" t="n">
        <v>1046.706187681278</v>
      </c>
      <c r="V32" s="28" t="n">
        <v>209.6140523600287</v>
      </c>
      <c r="W32" s="28" t="n">
        <v>70.55234351305457</v>
      </c>
      <c r="X32" s="28" t="n">
        <v>63.52614108768312</v>
      </c>
      <c r="Y32" s="28" t="n">
        <v>272.4272050843608</v>
      </c>
      <c r="Z32" s="28" t="n">
        <v>27.60343234732246</v>
      </c>
      <c r="AA32" s="28" t="n">
        <v>5.639410269992025</v>
      </c>
      <c r="AB32" s="28" t="n">
        <v>5.321150952118586</v>
      </c>
      <c r="AC32" s="28" t="n">
        <v>24.5145769596873</v>
      </c>
      <c r="AD32" s="28" t="n">
        <v>-1.029456783256246</v>
      </c>
      <c r="AE32" s="28" t="n">
        <v>54.36293183451822</v>
      </c>
      <c r="AF32" s="28" t="n">
        <v>8.402892496373068</v>
      </c>
      <c r="AG32" s="28" t="n">
        <v>3.17878922003919</v>
      </c>
      <c r="AH32" s="28" t="n">
        <v>25.26035135297281</v>
      </c>
      <c r="AI32" s="28" t="n">
        <v>5.951000410992263</v>
      </c>
      <c r="AJ32" s="28" t="n">
        <v>20.90998876530847</v>
      </c>
      <c r="AK32" s="28" t="n">
        <v>3.634897073729434</v>
      </c>
      <c r="AL32" s="28" t="n">
        <v>10.65319482572078</v>
      </c>
      <c r="AM32" s="28" t="n">
        <v>4.600737528819806</v>
      </c>
      <c r="AN32" s="28" t="n">
        <v>-12.07397543142536</v>
      </c>
      <c r="AO32" s="28" t="n">
        <v>-9.573109023234597</v>
      </c>
      <c r="AP32" s="28" t="n">
        <v>5.993405323596579</v>
      </c>
      <c r="AQ32" s="28" t="n">
        <v>0.9331140101908924</v>
      </c>
      <c r="AR32" s="28" t="n">
        <v>0.01973870182726161</v>
      </c>
      <c r="AS32" s="28" t="n">
        <v>2.441616719837256</v>
      </c>
      <c r="AT32" s="28" t="n">
        <v>39.28597023051517</v>
      </c>
      <c r="AU32" s="28" t="n">
        <v>1.256463638493887</v>
      </c>
      <c r="AV32" s="28" t="n">
        <v>2.477113855548322</v>
      </c>
      <c r="AW32" s="28" t="n">
        <v>249.0493344575578</v>
      </c>
      <c r="AX32" s="28" t="n">
        <v>0</v>
      </c>
      <c r="AY32" s="28" t="n">
        <v>4.94133042419257</v>
      </c>
      <c r="AZ32" s="28" t="n">
        <v>10.05613825472027</v>
      </c>
      <c r="BA32" s="28" t="n">
        <v>1.658602367219986</v>
      </c>
      <c r="BB32" s="28">
        <f>SUM(C32:BA32)</f>
        <v/>
      </c>
      <c r="BC32" s="28" t="n">
        <v>0</v>
      </c>
      <c r="BD32" s="28" t="n">
        <v>0</v>
      </c>
      <c r="BE32" s="28" t="n">
        <v>0</v>
      </c>
      <c r="BF32" s="28" t="n">
        <v>0</v>
      </c>
      <c r="BG32" s="28">
        <f>SUM(BC32:BF32)</f>
        <v/>
      </c>
      <c r="BH32" s="28">
        <f>BB32+BG32</f>
        <v/>
      </c>
    </row>
    <row r="33">
      <c r="A33" s="30" t="n">
        <v>20</v>
      </c>
      <c r="B33" s="31" t="inlineStr">
        <is>
          <t>Perfumaria higiene e limpeza</t>
        </is>
      </c>
      <c r="C33" s="30" t="n">
        <v>161.4623719721086</v>
      </c>
      <c r="D33" s="30" t="n">
        <v>48.33989512374173</v>
      </c>
      <c r="E33" s="30" t="n">
        <v>51.90985847518927</v>
      </c>
      <c r="F33" s="30" t="n">
        <v>23.21276349065385</v>
      </c>
      <c r="G33" s="30" t="n">
        <v>22.62925016216627</v>
      </c>
      <c r="H33" s="30" t="n">
        <v>97.64910435599239</v>
      </c>
      <c r="I33" s="30" t="n">
        <v>-1.434607932098851</v>
      </c>
      <c r="J33" s="30" t="n">
        <v>29.16094095955911</v>
      </c>
      <c r="K33" s="30" t="n">
        <v>20.54295103581487</v>
      </c>
      <c r="L33" s="30" t="n">
        <v>-3.864469063873008</v>
      </c>
      <c r="M33" s="30" t="n">
        <v>9.215738920699133</v>
      </c>
      <c r="N33" s="30" t="n">
        <v>18.78020324501768</v>
      </c>
      <c r="O33" s="30" t="n">
        <v>3.117264314046983</v>
      </c>
      <c r="P33" s="30" t="n">
        <v>24.9802279796587</v>
      </c>
      <c r="Q33" s="30" t="n">
        <v>2.298639878505631</v>
      </c>
      <c r="R33" s="30" t="n">
        <v>93.57261777771784</v>
      </c>
      <c r="S33" s="30" t="n">
        <v>14.41574698459831</v>
      </c>
      <c r="T33" s="30" t="n">
        <v>27.323929041819</v>
      </c>
      <c r="U33" s="30" t="n">
        <v>71.18142973347369</v>
      </c>
      <c r="V33" s="30" t="n">
        <v>796.6262372754339</v>
      </c>
      <c r="W33" s="30" t="n">
        <v>21.89950737244655</v>
      </c>
      <c r="X33" s="30" t="n">
        <v>32.17137431793848</v>
      </c>
      <c r="Y33" s="30" t="n">
        <v>15.67986673924509</v>
      </c>
      <c r="Z33" s="30" t="n">
        <v>96.40187150001341</v>
      </c>
      <c r="AA33" s="30" t="n">
        <v>9.703126565098898</v>
      </c>
      <c r="AB33" s="30" t="n">
        <v>25.2586381717765</v>
      </c>
      <c r="AC33" s="30" t="n">
        <v>210.4074831699388</v>
      </c>
      <c r="AD33" s="30" t="n">
        <v>-5.308855953808568</v>
      </c>
      <c r="AE33" s="30" t="n">
        <v>3.130593246549274</v>
      </c>
      <c r="AF33" s="30" t="n">
        <v>40.09338492008177</v>
      </c>
      <c r="AG33" s="30" t="n">
        <v>15.01207270858818</v>
      </c>
      <c r="AH33" s="30" t="n">
        <v>19.88332949860885</v>
      </c>
      <c r="AI33" s="30" t="n">
        <v>1.70274573652608</v>
      </c>
      <c r="AJ33" s="30" t="n">
        <v>6.11376028491228</v>
      </c>
      <c r="AK33" s="30" t="n">
        <v>37.99200127809344</v>
      </c>
      <c r="AL33" s="30" t="n">
        <v>166.5899333733468</v>
      </c>
      <c r="AM33" s="30" t="n">
        <v>1027.402461076443</v>
      </c>
      <c r="AN33" s="30" t="n">
        <v>182.5606920204864</v>
      </c>
      <c r="AO33" s="30" t="n">
        <v>85.33455074585376</v>
      </c>
      <c r="AP33" s="30" t="n">
        <v>24.173385752295</v>
      </c>
      <c r="AQ33" s="30" t="n">
        <v>4.209887950650488</v>
      </c>
      <c r="AR33" s="30" t="n">
        <v>0.06793107830282806</v>
      </c>
      <c r="AS33" s="30" t="n">
        <v>84.48011845180859</v>
      </c>
      <c r="AT33" s="30" t="n">
        <v>455.6781824315101</v>
      </c>
      <c r="AU33" s="30" t="n">
        <v>77.14765005552178</v>
      </c>
      <c r="AV33" s="30" t="n">
        <v>365.2698579040747</v>
      </c>
      <c r="AW33" s="30" t="n">
        <v>1568.709580642843</v>
      </c>
      <c r="AX33" s="30" t="n">
        <v>0</v>
      </c>
      <c r="AY33" s="30" t="n">
        <v>171.1310491814633</v>
      </c>
      <c r="AZ33" s="30" t="n">
        <v>85.43553814922852</v>
      </c>
      <c r="BA33" s="30" t="n">
        <v>118.357924916478</v>
      </c>
      <c r="BB33" s="30">
        <f>SUM(C33:BA33)</f>
        <v/>
      </c>
      <c r="BC33" s="30" t="n">
        <v>0</v>
      </c>
      <c r="BD33" s="30" t="n">
        <v>0</v>
      </c>
      <c r="BE33" s="30" t="n">
        <v>0</v>
      </c>
      <c r="BF33" s="30" t="n">
        <v>0</v>
      </c>
      <c r="BG33" s="30">
        <f>SUM(BC33:BF33)</f>
        <v/>
      </c>
      <c r="BH33" s="30">
        <f>BB33+BG33</f>
        <v/>
      </c>
    </row>
    <row r="34">
      <c r="A34" s="28" t="n">
        <v>21</v>
      </c>
      <c r="B34" s="29" t="inlineStr">
        <is>
          <t>Tintas vernizes esmaltes e lacas</t>
        </is>
      </c>
      <c r="C34" s="28" t="n">
        <v>28.1483371203082</v>
      </c>
      <c r="D34" s="28" t="n">
        <v>11.79973542049968</v>
      </c>
      <c r="E34" s="28" t="n">
        <v>6.998767875088475</v>
      </c>
      <c r="F34" s="28" t="n">
        <v>0.9905760060845117</v>
      </c>
      <c r="G34" s="28" t="n">
        <v>11.05244750784535</v>
      </c>
      <c r="H34" s="28" t="n">
        <v>23.10683781699085</v>
      </c>
      <c r="I34" s="28" t="n">
        <v>-0.01161058707539094</v>
      </c>
      <c r="J34" s="28" t="n">
        <v>36.63572751609146</v>
      </c>
      <c r="K34" s="28" t="n">
        <v>13.10001726014929</v>
      </c>
      <c r="L34" s="28" t="n">
        <v>29.05002327327435</v>
      </c>
      <c r="M34" s="28" t="n">
        <v>62.95382335263366</v>
      </c>
      <c r="N34" s="28" t="n">
        <v>313.4905535452838</v>
      </c>
      <c r="O34" s="28" t="n">
        <v>264.9533992666239</v>
      </c>
      <c r="P34" s="28" t="n">
        <v>2.52388381736951</v>
      </c>
      <c r="Q34" s="28" t="n">
        <v>0.8731517994954986</v>
      </c>
      <c r="R34" s="28" t="n">
        <v>22.55912355377315</v>
      </c>
      <c r="S34" s="28" t="n">
        <v>21.45628357347864</v>
      </c>
      <c r="T34" s="28" t="n">
        <v>5.486380653955945</v>
      </c>
      <c r="U34" s="28" t="n">
        <v>8.231687643310755</v>
      </c>
      <c r="V34" s="28" t="n">
        <v>16.35448468870964</v>
      </c>
      <c r="W34" s="28" t="n">
        <v>44.12759501502323</v>
      </c>
      <c r="X34" s="28" t="n">
        <v>18.3467084645385</v>
      </c>
      <c r="Y34" s="28" t="n">
        <v>401.5774574796387</v>
      </c>
      <c r="Z34" s="28" t="n">
        <v>200.7364110583339</v>
      </c>
      <c r="AA34" s="28" t="n">
        <v>3.405073156817588</v>
      </c>
      <c r="AB34" s="28" t="n">
        <v>3.430975311227845</v>
      </c>
      <c r="AC34" s="28" t="n">
        <v>120.7786838765278</v>
      </c>
      <c r="AD34" s="28" t="n">
        <v>144.1002877447619</v>
      </c>
      <c r="AE34" s="28" t="n">
        <v>17.42657326390893</v>
      </c>
      <c r="AF34" s="28" t="n">
        <v>122.4090157244514</v>
      </c>
      <c r="AG34" s="28" t="n">
        <v>148.8106749620408</v>
      </c>
      <c r="AH34" s="28" t="n">
        <v>67.52878997906171</v>
      </c>
      <c r="AI34" s="28" t="n">
        <v>39.77928121029624</v>
      </c>
      <c r="AJ34" s="28" t="n">
        <v>62.02157524526443</v>
      </c>
      <c r="AK34" s="28" t="n">
        <v>42.37054267996628</v>
      </c>
      <c r="AL34" s="28" t="n">
        <v>1565.080215356911</v>
      </c>
      <c r="AM34" s="28" t="n">
        <v>285.6085897996811</v>
      </c>
      <c r="AN34" s="28" t="n">
        <v>68.55052553913102</v>
      </c>
      <c r="AO34" s="28" t="n">
        <v>101.0298290733429</v>
      </c>
      <c r="AP34" s="28" t="n">
        <v>2.132250082495969</v>
      </c>
      <c r="AQ34" s="28" t="n">
        <v>186.0204549939841</v>
      </c>
      <c r="AR34" s="28" t="n">
        <v>0.02269504564224728</v>
      </c>
      <c r="AS34" s="28" t="n">
        <v>2.080398315670152</v>
      </c>
      <c r="AT34" s="28" t="n">
        <v>8.48412439027835</v>
      </c>
      <c r="AU34" s="28" t="n">
        <v>0.4512340922565826</v>
      </c>
      <c r="AV34" s="28" t="n">
        <v>0.5704710933941666</v>
      </c>
      <c r="AW34" s="28" t="n">
        <v>97.34193582785433</v>
      </c>
      <c r="AX34" s="28" t="n">
        <v>0</v>
      </c>
      <c r="AY34" s="28" t="n">
        <v>20.86475546891368</v>
      </c>
      <c r="AZ34" s="28" t="n">
        <v>4.747004480787411</v>
      </c>
      <c r="BA34" s="28" t="n">
        <v>45.25792883442308</v>
      </c>
      <c r="BB34" s="28">
        <f>SUM(C34:BA34)</f>
        <v/>
      </c>
      <c r="BC34" s="28" t="n">
        <v>0</v>
      </c>
      <c r="BD34" s="28" t="n">
        <v>0</v>
      </c>
      <c r="BE34" s="28" t="n">
        <v>0</v>
      </c>
      <c r="BF34" s="28" t="n">
        <v>0</v>
      </c>
      <c r="BG34" s="28">
        <f>SUM(BC34:BF34)</f>
        <v/>
      </c>
      <c r="BH34" s="28">
        <f>BB34+BG34</f>
        <v/>
      </c>
    </row>
    <row r="35">
      <c r="A35" s="30" t="n">
        <v>22</v>
      </c>
      <c r="B35" s="31" t="inlineStr">
        <is>
          <t>Produtos e preparados químicos diversos</t>
        </is>
      </c>
      <c r="C35" s="30" t="n">
        <v>100.5177525445539</v>
      </c>
      <c r="D35" s="30" t="n">
        <v>20.8050795220323</v>
      </c>
      <c r="E35" s="30" t="n">
        <v>84.24349652429211</v>
      </c>
      <c r="F35" s="30" t="n">
        <v>50.89096071452418</v>
      </c>
      <c r="G35" s="30" t="n">
        <v>612.0247913390322</v>
      </c>
      <c r="H35" s="30" t="n">
        <v>849.271048939908</v>
      </c>
      <c r="I35" s="30" t="n">
        <v>3.006156580855812</v>
      </c>
      <c r="J35" s="30" t="n">
        <v>106.8052465269416</v>
      </c>
      <c r="K35" s="30" t="n">
        <v>2.700711196801771</v>
      </c>
      <c r="L35" s="30" t="n">
        <v>46.07659563177862</v>
      </c>
      <c r="M35" s="30" t="n">
        <v>72.98471145664141</v>
      </c>
      <c r="N35" s="30" t="n">
        <v>161.3940918839952</v>
      </c>
      <c r="O35" s="30" t="n">
        <v>84.39068256254119</v>
      </c>
      <c r="P35" s="30" t="n">
        <v>73.18939603126397</v>
      </c>
      <c r="Q35" s="30" t="n">
        <v>33.07223087456007</v>
      </c>
      <c r="R35" s="30" t="n">
        <v>181.3874015799709</v>
      </c>
      <c r="S35" s="30" t="n">
        <v>205.8031798364509</v>
      </c>
      <c r="T35" s="30" t="n">
        <v>228.600725297708</v>
      </c>
      <c r="U35" s="30" t="n">
        <v>85.58958303023763</v>
      </c>
      <c r="V35" s="30" t="n">
        <v>282.0921991263222</v>
      </c>
      <c r="W35" s="30" t="n">
        <v>208.1760412987024</v>
      </c>
      <c r="X35" s="30" t="n">
        <v>530.9238052414227</v>
      </c>
      <c r="Y35" s="30" t="n">
        <v>442.7690332366865</v>
      </c>
      <c r="Z35" s="30" t="n">
        <v>127.8296948586859</v>
      </c>
      <c r="AA35" s="30" t="n">
        <v>114.0378379959223</v>
      </c>
      <c r="AB35" s="30" t="n">
        <v>17.54775415382599</v>
      </c>
      <c r="AC35" s="30" t="n">
        <v>50.01743708397674</v>
      </c>
      <c r="AD35" s="30" t="n">
        <v>99.28307086900926</v>
      </c>
      <c r="AE35" s="30" t="n">
        <v>62.67244549793129</v>
      </c>
      <c r="AF35" s="30" t="n">
        <v>13.15624909303022</v>
      </c>
      <c r="AG35" s="30" t="n">
        <v>33.88433782109162</v>
      </c>
      <c r="AH35" s="30" t="n">
        <v>24.10461550501076</v>
      </c>
      <c r="AI35" s="30" t="n">
        <v>11.27056554033731</v>
      </c>
      <c r="AJ35" s="30" t="n">
        <v>86.91608043729744</v>
      </c>
      <c r="AK35" s="30" t="n">
        <v>60.62878809073506</v>
      </c>
      <c r="AL35" s="30" t="n">
        <v>223.273185003405</v>
      </c>
      <c r="AM35" s="30" t="n">
        <v>399.6063880390254</v>
      </c>
      <c r="AN35" s="30" t="n">
        <v>25.19626162326439</v>
      </c>
      <c r="AO35" s="30" t="n">
        <v>1.879443939823354</v>
      </c>
      <c r="AP35" s="30" t="n">
        <v>10.61360253048793</v>
      </c>
      <c r="AQ35" s="30" t="n">
        <v>11.62992223594906</v>
      </c>
      <c r="AR35" s="30" t="n">
        <v>0.07495337971079345</v>
      </c>
      <c r="AS35" s="30" t="n">
        <v>7.543943887686585</v>
      </c>
      <c r="AT35" s="30" t="n">
        <v>37.61976361865958</v>
      </c>
      <c r="AU35" s="30" t="n">
        <v>1.077923991312318</v>
      </c>
      <c r="AV35" s="30" t="n">
        <v>12.01223000605978</v>
      </c>
      <c r="AW35" s="30" t="n">
        <v>22.71061934743492</v>
      </c>
      <c r="AX35" s="30" t="n">
        <v>0</v>
      </c>
      <c r="AY35" s="30" t="n">
        <v>86.40385093912747</v>
      </c>
      <c r="AZ35" s="30" t="n">
        <v>203.4732729022689</v>
      </c>
      <c r="BA35" s="30" t="n">
        <v>21.95260978910953</v>
      </c>
      <c r="BB35" s="30">
        <f>SUM(C35:BA35)</f>
        <v/>
      </c>
      <c r="BC35" s="30" t="n">
        <v>0</v>
      </c>
      <c r="BD35" s="30" t="n">
        <v>0</v>
      </c>
      <c r="BE35" s="30" t="n">
        <v>0</v>
      </c>
      <c r="BF35" s="30" t="n">
        <v>0</v>
      </c>
      <c r="BG35" s="30">
        <f>SUM(BC35:BF35)</f>
        <v/>
      </c>
      <c r="BH35" s="30">
        <f>BB35+BG35</f>
        <v/>
      </c>
    </row>
    <row r="36">
      <c r="A36" s="28" t="n">
        <v>23</v>
      </c>
      <c r="B36" s="29" t="inlineStr">
        <is>
          <t>Artigos de borracha e plástico</t>
        </is>
      </c>
      <c r="C36" s="28" t="n">
        <v>110.3918037791772</v>
      </c>
      <c r="D36" s="28" t="n">
        <v>44.14562268525638</v>
      </c>
      <c r="E36" s="28" t="n">
        <v>55.88552176645728</v>
      </c>
      <c r="F36" s="28" t="n">
        <v>126.6163277994314</v>
      </c>
      <c r="G36" s="28" t="n">
        <v>67.76602129420684</v>
      </c>
      <c r="H36" s="28" t="n">
        <v>2101.565115457904</v>
      </c>
      <c r="I36" s="28" t="n">
        <v>1.491807655307781</v>
      </c>
      <c r="J36" s="28" t="n">
        <v>102.7238526063402</v>
      </c>
      <c r="K36" s="28" t="n">
        <v>112.6033831532538</v>
      </c>
      <c r="L36" s="28" t="n">
        <v>227.8007387020514</v>
      </c>
      <c r="M36" s="28" t="n">
        <v>34.48460997549918</v>
      </c>
      <c r="N36" s="28" t="n">
        <v>155.0733187147328</v>
      </c>
      <c r="O36" s="28" t="n">
        <v>225.2866175255931</v>
      </c>
      <c r="P36" s="28" t="n">
        <v>16.7580480874132</v>
      </c>
      <c r="Q36" s="28" t="n">
        <v>6.620184550088076</v>
      </c>
      <c r="R36" s="28" t="n">
        <v>171.0479145037989</v>
      </c>
      <c r="S36" s="28" t="n">
        <v>73.4709550168122</v>
      </c>
      <c r="T36" s="28" t="n">
        <v>83.58703951481415</v>
      </c>
      <c r="U36" s="28" t="n">
        <v>66.63452629682953</v>
      </c>
      <c r="V36" s="28" t="n">
        <v>322.0549434417502</v>
      </c>
      <c r="W36" s="28" t="n">
        <v>38.64249182092952</v>
      </c>
      <c r="X36" s="28" t="n">
        <v>41.57792212392628</v>
      </c>
      <c r="Y36" s="28" t="n">
        <v>2796.995639891487</v>
      </c>
      <c r="Z36" s="28" t="n">
        <v>396.4386281770596</v>
      </c>
      <c r="AA36" s="28" t="n">
        <v>131.3465589972715</v>
      </c>
      <c r="AB36" s="28" t="n">
        <v>11.16309884085974</v>
      </c>
      <c r="AC36" s="28" t="n">
        <v>128.9981041515895</v>
      </c>
      <c r="AD36" s="28" t="n">
        <v>720.4174509811022</v>
      </c>
      <c r="AE36" s="28" t="n">
        <v>478.6398264884054</v>
      </c>
      <c r="AF36" s="28" t="n">
        <v>423.3271616186715</v>
      </c>
      <c r="AG36" s="28" t="n">
        <v>2301.019823902781</v>
      </c>
      <c r="AH36" s="28" t="n">
        <v>956.0161761954581</v>
      </c>
      <c r="AI36" s="28" t="n">
        <v>268.4383999172776</v>
      </c>
      <c r="AJ36" s="28" t="n">
        <v>370.5685754030773</v>
      </c>
      <c r="AK36" s="28" t="n">
        <v>98.35678419153302</v>
      </c>
      <c r="AL36" s="28" t="n">
        <v>2199.395794987761</v>
      </c>
      <c r="AM36" s="28" t="n">
        <v>1135.622418966171</v>
      </c>
      <c r="AN36" s="28" t="n">
        <v>1752.124263089803</v>
      </c>
      <c r="AO36" s="28" t="n">
        <v>2.332499260188305</v>
      </c>
      <c r="AP36" s="28" t="n">
        <v>16.58115844422221</v>
      </c>
      <c r="AQ36" s="28" t="n">
        <v>17.92066155292625</v>
      </c>
      <c r="AR36" s="28" t="n">
        <v>18.85957238126726</v>
      </c>
      <c r="AS36" s="28" t="n">
        <v>77.54171860633518</v>
      </c>
      <c r="AT36" s="28" t="n">
        <v>239.5543205319941</v>
      </c>
      <c r="AU36" s="28" t="n">
        <v>1.790963304563755</v>
      </c>
      <c r="AV36" s="28" t="n">
        <v>106.0312599042736</v>
      </c>
      <c r="AW36" s="28" t="n">
        <v>65.38051184254005</v>
      </c>
      <c r="AX36" s="28" t="n">
        <v>0</v>
      </c>
      <c r="AY36" s="28" t="n">
        <v>49.30683429948058</v>
      </c>
      <c r="AZ36" s="28" t="n">
        <v>115.9104442156409</v>
      </c>
      <c r="BA36" s="28" t="n">
        <v>38.6447797859522</v>
      </c>
      <c r="BB36" s="28">
        <f>SUM(C36:BA36)</f>
        <v/>
      </c>
      <c r="BC36" s="28" t="n">
        <v>0</v>
      </c>
      <c r="BD36" s="28" t="n">
        <v>0</v>
      </c>
      <c r="BE36" s="28" t="n">
        <v>0</v>
      </c>
      <c r="BF36" s="28" t="n">
        <v>0</v>
      </c>
      <c r="BG36" s="28">
        <f>SUM(BC36:BF36)</f>
        <v/>
      </c>
      <c r="BH36" s="28">
        <f>BB36+BG36</f>
        <v/>
      </c>
    </row>
    <row r="37">
      <c r="A37" s="30" t="n">
        <v>24</v>
      </c>
      <c r="B37" s="31" t="inlineStr">
        <is>
          <t>Cimento e outros produtos de minerais não-metálicos</t>
        </is>
      </c>
      <c r="C37" s="30" t="n">
        <v>670.0146972618766</v>
      </c>
      <c r="D37" s="30" t="n">
        <v>503.2699922205206</v>
      </c>
      <c r="E37" s="30" t="n">
        <v>40.90828737918602</v>
      </c>
      <c r="F37" s="30" t="n">
        <v>1.670390697071713</v>
      </c>
      <c r="G37" s="30" t="n">
        <v>27.89549650688848</v>
      </c>
      <c r="H37" s="30" t="n">
        <v>696.6872813173444</v>
      </c>
      <c r="I37" s="30" t="n">
        <v>0.1821728500264941</v>
      </c>
      <c r="J37" s="30" t="n">
        <v>6.822149816931868</v>
      </c>
      <c r="K37" s="30" t="n">
        <v>8.763682924796512</v>
      </c>
      <c r="L37" s="30" t="n">
        <v>3.190927237696513</v>
      </c>
      <c r="M37" s="30" t="n">
        <v>3.844491978764061</v>
      </c>
      <c r="N37" s="30" t="n">
        <v>57.43042462537036</v>
      </c>
      <c r="O37" s="30" t="n">
        <v>11.64093292817622</v>
      </c>
      <c r="P37" s="30" t="n">
        <v>4.80438234628303</v>
      </c>
      <c r="Q37" s="30" t="n">
        <v>2.182322741247697</v>
      </c>
      <c r="R37" s="30" t="n">
        <v>150.7529663065159</v>
      </c>
      <c r="S37" s="30" t="n">
        <v>9.291215475761151</v>
      </c>
      <c r="T37" s="30" t="n">
        <v>22.079513397039</v>
      </c>
      <c r="U37" s="30" t="n">
        <v>4.008023892224617</v>
      </c>
      <c r="V37" s="30" t="n">
        <v>81.88906907007332</v>
      </c>
      <c r="W37" s="30" t="n">
        <v>20.19519682887106</v>
      </c>
      <c r="X37" s="30" t="n">
        <v>40.7697556381824</v>
      </c>
      <c r="Y37" s="30" t="n">
        <v>124.5940726831425</v>
      </c>
      <c r="Z37" s="30" t="n">
        <v>1682.542806998658</v>
      </c>
      <c r="AA37" s="30" t="n">
        <v>89.22260286044018</v>
      </c>
      <c r="AB37" s="30" t="n">
        <v>6.769730389882141</v>
      </c>
      <c r="AC37" s="30" t="n">
        <v>36.74889751747337</v>
      </c>
      <c r="AD37" s="30" t="n">
        <v>120.4971667702828</v>
      </c>
      <c r="AE37" s="30" t="n">
        <v>87.02035059140586</v>
      </c>
      <c r="AF37" s="30" t="n">
        <v>15.7641425314949</v>
      </c>
      <c r="AG37" s="30" t="n">
        <v>511.132404585545</v>
      </c>
      <c r="AH37" s="30" t="n">
        <v>35.46051328701292</v>
      </c>
      <c r="AI37" s="30" t="n">
        <v>39.78549705295378</v>
      </c>
      <c r="AJ37" s="30" t="n">
        <v>106.052738023449</v>
      </c>
      <c r="AK37" s="30" t="n">
        <v>388.370151086376</v>
      </c>
      <c r="AL37" s="30" t="n">
        <v>11268.00932135144</v>
      </c>
      <c r="AM37" s="30" t="n">
        <v>65.86539409785188</v>
      </c>
      <c r="AN37" s="30" t="n">
        <v>14.95342738883285</v>
      </c>
      <c r="AO37" s="30" t="n">
        <v>-1.502211671648139</v>
      </c>
      <c r="AP37" s="30" t="n">
        <v>2.486967769792598</v>
      </c>
      <c r="AQ37" s="30" t="n">
        <v>370.6939622387585</v>
      </c>
      <c r="AR37" s="30" t="n">
        <v>0.6107086706817831</v>
      </c>
      <c r="AS37" s="30" t="n">
        <v>149.7577707219097</v>
      </c>
      <c r="AT37" s="30" t="n">
        <v>9.022233723869839</v>
      </c>
      <c r="AU37" s="30" t="n">
        <v>1.066260650846863</v>
      </c>
      <c r="AV37" s="30" t="n">
        <v>53.28022911408171</v>
      </c>
      <c r="AW37" s="30" t="n">
        <v>61.62739273032611</v>
      </c>
      <c r="AX37" s="30" t="n">
        <v>0</v>
      </c>
      <c r="AY37" s="30" t="n">
        <v>42.1692153704608</v>
      </c>
      <c r="AZ37" s="30" t="n">
        <v>45.9187859175481</v>
      </c>
      <c r="BA37" s="30" t="n">
        <v>99.12372229622602</v>
      </c>
      <c r="BB37" s="30">
        <f>SUM(C37:BA37)</f>
        <v/>
      </c>
      <c r="BC37" s="30" t="n">
        <v>0</v>
      </c>
      <c r="BD37" s="30" t="n">
        <v>0</v>
      </c>
      <c r="BE37" s="30" t="n">
        <v>0</v>
      </c>
      <c r="BF37" s="30" t="n">
        <v>0</v>
      </c>
      <c r="BG37" s="30">
        <f>SUM(BC37:BF37)</f>
        <v/>
      </c>
      <c r="BH37" s="30">
        <f>BB37+BG37</f>
        <v/>
      </c>
    </row>
    <row r="38">
      <c r="A38" s="28" t="n">
        <v>25</v>
      </c>
      <c r="B38" s="29" t="inlineStr">
        <is>
          <t>Fabricação de aço e derivados</t>
        </is>
      </c>
      <c r="C38" s="28" t="n">
        <v>38.74775485109046</v>
      </c>
      <c r="D38" s="28" t="n">
        <v>65.33434127279706</v>
      </c>
      <c r="E38" s="28" t="n">
        <v>481.6229071858094</v>
      </c>
      <c r="F38" s="28" t="n">
        <v>6.785727213382668</v>
      </c>
      <c r="G38" s="28" t="n">
        <v>56.38102519613662</v>
      </c>
      <c r="H38" s="28" t="n">
        <v>86.21574008236378</v>
      </c>
      <c r="I38" s="28" t="n">
        <v>0.02384235615078249</v>
      </c>
      <c r="J38" s="28" t="n">
        <v>1.151705927160532</v>
      </c>
      <c r="K38" s="28" t="n">
        <v>0.238430943483192</v>
      </c>
      <c r="L38" s="28" t="n">
        <v>0.2814779878766939</v>
      </c>
      <c r="M38" s="28" t="n">
        <v>2.477139744100717</v>
      </c>
      <c r="N38" s="28" t="n">
        <v>36.94654719860553</v>
      </c>
      <c r="O38" s="28" t="n">
        <v>2.701799285503963</v>
      </c>
      <c r="P38" s="28" t="n">
        <v>5.474754938904058</v>
      </c>
      <c r="Q38" s="28" t="n">
        <v>0.9810374391066454</v>
      </c>
      <c r="R38" s="28" t="n">
        <v>19.37625169312934</v>
      </c>
      <c r="S38" s="28" t="n">
        <v>7.570728714390742</v>
      </c>
      <c r="T38" s="28" t="n">
        <v>4.132915875409608</v>
      </c>
      <c r="U38" s="28" t="n">
        <v>2.963804221589231</v>
      </c>
      <c r="V38" s="28" t="n">
        <v>9.47656818941082</v>
      </c>
      <c r="W38" s="28" t="n">
        <v>8.188492953762061</v>
      </c>
      <c r="X38" s="28" t="n">
        <v>8.417547530182038</v>
      </c>
      <c r="Y38" s="28" t="n">
        <v>186.6347983373831</v>
      </c>
      <c r="Z38" s="28" t="n">
        <v>145.450957820281</v>
      </c>
      <c r="AA38" s="28" t="n">
        <v>2258.760945839927</v>
      </c>
      <c r="AB38" s="28" t="n">
        <v>149.0370740148098</v>
      </c>
      <c r="AC38" s="28" t="n">
        <v>4058.388439996012</v>
      </c>
      <c r="AD38" s="28" t="n">
        <v>2021.295790588557</v>
      </c>
      <c r="AE38" s="28" t="n">
        <v>821.8310397832743</v>
      </c>
      <c r="AF38" s="28" t="n">
        <v>37.65978823629739</v>
      </c>
      <c r="AG38" s="28" t="n">
        <v>1693.090791293617</v>
      </c>
      <c r="AH38" s="28" t="n">
        <v>1961.923597818737</v>
      </c>
      <c r="AI38" s="28" t="n">
        <v>257.311816459933</v>
      </c>
      <c r="AJ38" s="28" t="n">
        <v>286.8865705432388</v>
      </c>
      <c r="AK38" s="28" t="n">
        <v>70.40220505302858</v>
      </c>
      <c r="AL38" s="28" t="n">
        <v>3862.976512554796</v>
      </c>
      <c r="AM38" s="28" t="n">
        <v>209.2461000207981</v>
      </c>
      <c r="AN38" s="28" t="n">
        <v>18.60076236108379</v>
      </c>
      <c r="AO38" s="28" t="n">
        <v>2.774332810364993</v>
      </c>
      <c r="AP38" s="28" t="n">
        <v>6.701492557387693</v>
      </c>
      <c r="AQ38" s="28" t="n">
        <v>2.63067815576997</v>
      </c>
      <c r="AR38" s="28" t="n">
        <v>0.1344492037011317</v>
      </c>
      <c r="AS38" s="28" t="n">
        <v>9.165098852495101</v>
      </c>
      <c r="AT38" s="28" t="n">
        <v>60.54187588669998</v>
      </c>
      <c r="AU38" s="28" t="n">
        <v>1.488722505846382</v>
      </c>
      <c r="AV38" s="28" t="n">
        <v>0.5242474109215834</v>
      </c>
      <c r="AW38" s="28" t="n">
        <v>6.109968363886522</v>
      </c>
      <c r="AX38" s="28" t="n">
        <v>0</v>
      </c>
      <c r="AY38" s="28" t="n">
        <v>10.40794255752579</v>
      </c>
      <c r="AZ38" s="28" t="n">
        <v>4.973739158673856</v>
      </c>
      <c r="BA38" s="28" t="n">
        <v>38.82719547714015</v>
      </c>
      <c r="BB38" s="28">
        <f>SUM(C38:BA38)</f>
        <v/>
      </c>
      <c r="BC38" s="28" t="n">
        <v>0</v>
      </c>
      <c r="BD38" s="28" t="n">
        <v>0</v>
      </c>
      <c r="BE38" s="28" t="n">
        <v>0</v>
      </c>
      <c r="BF38" s="28" t="n">
        <v>0</v>
      </c>
      <c r="BG38" s="28">
        <f>SUM(BC38:BF38)</f>
        <v/>
      </c>
      <c r="BH38" s="28">
        <f>BB38+BG38</f>
        <v/>
      </c>
    </row>
    <row r="39">
      <c r="A39" s="30" t="n">
        <v>26</v>
      </c>
      <c r="B39" s="31" t="inlineStr">
        <is>
          <t>Metalurgia de metais não-ferrosos</t>
        </is>
      </c>
      <c r="C39" s="30" t="n">
        <v>202.1596505710527</v>
      </c>
      <c r="D39" s="30" t="n">
        <v>26.3956244716006</v>
      </c>
      <c r="E39" s="30" t="n">
        <v>18.85209423609967</v>
      </c>
      <c r="F39" s="30" t="n">
        <v>5.065842571776274</v>
      </c>
      <c r="G39" s="30" t="n">
        <v>29.60175411583008</v>
      </c>
      <c r="H39" s="30" t="n">
        <v>203.6918209500878</v>
      </c>
      <c r="I39" s="30" t="n">
        <v>0.1795366023497076</v>
      </c>
      <c r="J39" s="30" t="n">
        <v>3.144425122665606</v>
      </c>
      <c r="K39" s="30" t="n">
        <v>3.445465086441873</v>
      </c>
      <c r="L39" s="30" t="n">
        <v>2.598825268081483</v>
      </c>
      <c r="M39" s="30" t="n">
        <v>1.340804580523548</v>
      </c>
      <c r="N39" s="30" t="n">
        <v>85.4913949275879</v>
      </c>
      <c r="O39" s="30" t="n">
        <v>89.0887724912608</v>
      </c>
      <c r="P39" s="30" t="n">
        <v>1.766711151160494</v>
      </c>
      <c r="Q39" s="30" t="n">
        <v>0.8678579773608225</v>
      </c>
      <c r="R39" s="30" t="n">
        <v>153.3596319249287</v>
      </c>
      <c r="S39" s="30" t="n">
        <v>10.35605814474262</v>
      </c>
      <c r="T39" s="30" t="n">
        <v>5.490912573719865</v>
      </c>
      <c r="U39" s="30" t="n">
        <v>5.916845815018877</v>
      </c>
      <c r="V39" s="30" t="n">
        <v>11.93349326854736</v>
      </c>
      <c r="W39" s="30" t="n">
        <v>18.53879450363171</v>
      </c>
      <c r="X39" s="30" t="n">
        <v>63.32733686697809</v>
      </c>
      <c r="Y39" s="30" t="n">
        <v>26.4825989400124</v>
      </c>
      <c r="Z39" s="30" t="n">
        <v>38.80712625424562</v>
      </c>
      <c r="AA39" s="30" t="n">
        <v>389.6734161305492</v>
      </c>
      <c r="AB39" s="30" t="n">
        <v>1974.644512210576</v>
      </c>
      <c r="AC39" s="30" t="n">
        <v>453.5382628827126</v>
      </c>
      <c r="AD39" s="30" t="n">
        <v>886.2135506954379</v>
      </c>
      <c r="AE39" s="30" t="n">
        <v>2204.058918353733</v>
      </c>
      <c r="AF39" s="30" t="n">
        <v>75.73056731320939</v>
      </c>
      <c r="AG39" s="30" t="n">
        <v>166.4705721163868</v>
      </c>
      <c r="AH39" s="30" t="n">
        <v>1484.617157960284</v>
      </c>
      <c r="AI39" s="30" t="n">
        <v>261.1568434005717</v>
      </c>
      <c r="AJ39" s="30" t="n">
        <v>517.6264624340689</v>
      </c>
      <c r="AK39" s="30" t="n">
        <v>59.85580534526984</v>
      </c>
      <c r="AL39" s="30" t="n">
        <v>1082.56555745102</v>
      </c>
      <c r="AM39" s="30" t="n">
        <v>142.5025183080766</v>
      </c>
      <c r="AN39" s="30" t="n">
        <v>12.07005591157231</v>
      </c>
      <c r="AO39" s="30" t="n">
        <v>5.107110842574762</v>
      </c>
      <c r="AP39" s="30" t="n">
        <v>3.716336664542155</v>
      </c>
      <c r="AQ39" s="30" t="n">
        <v>16.07287186655166</v>
      </c>
      <c r="AR39" s="30" t="n">
        <v>0.3955182783620922</v>
      </c>
      <c r="AS39" s="30" t="n">
        <v>4.459490786912621</v>
      </c>
      <c r="AT39" s="30" t="n">
        <v>9.535597170385582</v>
      </c>
      <c r="AU39" s="30" t="n">
        <v>1.050666743694217</v>
      </c>
      <c r="AV39" s="30" t="n">
        <v>8.555010567688793</v>
      </c>
      <c r="AW39" s="30" t="n">
        <v>7.94888591748524</v>
      </c>
      <c r="AX39" s="30" t="n">
        <v>0</v>
      </c>
      <c r="AY39" s="30" t="n">
        <v>2.427795181422741</v>
      </c>
      <c r="AZ39" s="30" t="n">
        <v>4.272165073189343</v>
      </c>
      <c r="BA39" s="30" t="n">
        <v>9.226108393620136</v>
      </c>
      <c r="BB39" s="30">
        <f>SUM(C39:BA39)</f>
        <v/>
      </c>
      <c r="BC39" s="30" t="n">
        <v>0</v>
      </c>
      <c r="BD39" s="30" t="n">
        <v>0</v>
      </c>
      <c r="BE39" s="30" t="n">
        <v>0</v>
      </c>
      <c r="BF39" s="30" t="n">
        <v>0</v>
      </c>
      <c r="BG39" s="30">
        <f>SUM(BC39:BF39)</f>
        <v/>
      </c>
      <c r="BH39" s="30">
        <f>BB39+BG39</f>
        <v/>
      </c>
    </row>
    <row r="40">
      <c r="A40" s="29" t="inlineStr">
        <is>
          <t>Produtos de metal</t>
        </is>
      </c>
      <c r="B40" s="29" t="inlineStr">
        <is>
          <t>exclusive máquinas e equipamentos</t>
        </is>
      </c>
      <c r="C40" s="28" t="n">
        <v>109.088403735509</v>
      </c>
      <c r="D40" s="28" t="n">
        <v>149.1820277902138</v>
      </c>
      <c r="E40" s="28" t="n">
        <v>376.5890075678223</v>
      </c>
      <c r="F40" s="28" t="n">
        <v>145.9725816040204</v>
      </c>
      <c r="G40" s="28" t="n">
        <v>80.47187558787712</v>
      </c>
      <c r="H40" s="28" t="n">
        <v>1834.700601448641</v>
      </c>
      <c r="I40" s="28" t="n">
        <v>7.410193811392954</v>
      </c>
      <c r="J40" s="28" t="n">
        <v>28.5304201622978</v>
      </c>
      <c r="K40" s="28" t="n">
        <v>35.7557757197803</v>
      </c>
      <c r="L40" s="28" t="n">
        <v>17.72842029776281</v>
      </c>
      <c r="M40" s="28" t="n">
        <v>82.37065175434019</v>
      </c>
      <c r="N40" s="28" t="n">
        <v>36.49124970365701</v>
      </c>
      <c r="O40" s="28" t="n">
        <v>14.85729243181997</v>
      </c>
      <c r="P40" s="28" t="n">
        <v>74.80499659950189</v>
      </c>
      <c r="Q40" s="28" t="n">
        <v>14.58424232228016</v>
      </c>
      <c r="R40" s="28" t="n">
        <v>78.91360503074389</v>
      </c>
      <c r="S40" s="28" t="n">
        <v>32.06192470689742</v>
      </c>
      <c r="T40" s="28" t="n">
        <v>34.88938059010675</v>
      </c>
      <c r="U40" s="28" t="n">
        <v>15.85622064452677</v>
      </c>
      <c r="V40" s="28" t="n">
        <v>247.5135272067559</v>
      </c>
      <c r="W40" s="28" t="n">
        <v>214.1392038422584</v>
      </c>
      <c r="X40" s="28" t="n">
        <v>13.53663890207088</v>
      </c>
      <c r="Y40" s="28" t="n">
        <v>57.00809324926085</v>
      </c>
      <c r="Z40" s="28" t="n">
        <v>60.72776176084325</v>
      </c>
      <c r="AA40" s="28" t="n">
        <v>592.6534590623329</v>
      </c>
      <c r="AB40" s="28" t="n">
        <v>74.35153264670073</v>
      </c>
      <c r="AC40" s="28" t="n">
        <v>1717.76882163295</v>
      </c>
      <c r="AD40" s="28" t="n">
        <v>1944.315854011046</v>
      </c>
      <c r="AE40" s="28" t="n">
        <v>639.3553523848158</v>
      </c>
      <c r="AF40" s="28" t="n">
        <v>331.8271265203092</v>
      </c>
      <c r="AG40" s="28" t="n">
        <v>1103.012348002941</v>
      </c>
      <c r="AH40" s="28" t="n">
        <v>754.4732833627844</v>
      </c>
      <c r="AI40" s="28" t="n">
        <v>605.2639302037121</v>
      </c>
      <c r="AJ40" s="28" t="n">
        <v>286.2035634659339</v>
      </c>
      <c r="AK40" s="28" t="n">
        <v>650.9089861630746</v>
      </c>
      <c r="AL40" s="28" t="n">
        <v>6000.831996157958</v>
      </c>
      <c r="AM40" s="28" t="n">
        <v>359.3998471735076</v>
      </c>
      <c r="AN40" s="28" t="n">
        <v>57.56718871351999</v>
      </c>
      <c r="AO40" s="28" t="n">
        <v>14.85081377151784</v>
      </c>
      <c r="AP40" s="28" t="n">
        <v>6.437127754628683</v>
      </c>
      <c r="AQ40" s="28" t="n">
        <v>99.63191102655605</v>
      </c>
      <c r="AR40" s="28" t="n">
        <v>3.193796143340977</v>
      </c>
      <c r="AS40" s="28" t="n">
        <v>441.2110138318356</v>
      </c>
      <c r="AT40" s="28" t="n">
        <v>71.7388009090561</v>
      </c>
      <c r="AU40" s="28" t="n">
        <v>3.294056798764891</v>
      </c>
      <c r="AV40" s="28" t="n">
        <v>36.265067553833</v>
      </c>
      <c r="AW40" s="28" t="n">
        <v>123.6002078335524</v>
      </c>
      <c r="AX40" s="28" t="n">
        <v>0</v>
      </c>
      <c r="AY40" s="28" t="n">
        <v>28.03817807148196</v>
      </c>
      <c r="AZ40" s="28" t="n">
        <v>27.05556238214667</v>
      </c>
      <c r="BA40" s="28" t="n">
        <v>292.5589219181535</v>
      </c>
      <c r="BB40" s="28">
        <f>SUM(C40:BA40)</f>
        <v/>
      </c>
      <c r="BC40" s="28" t="n">
        <v>0</v>
      </c>
      <c r="BD40" s="28" t="n">
        <v>0</v>
      </c>
      <c r="BE40" s="28" t="n">
        <v>0</v>
      </c>
      <c r="BF40" s="28" t="n">
        <v>0</v>
      </c>
      <c r="BG40" s="28">
        <f>SUM(BC40:BF40)</f>
        <v/>
      </c>
      <c r="BH40" s="28">
        <f>BB40+BG40</f>
        <v/>
      </c>
    </row>
    <row r="41">
      <c r="A41" s="30" t="n">
        <v>28</v>
      </c>
      <c r="B41" s="31" t="inlineStr">
        <is>
          <t>Máquinas e equipamentos inclusive manutenção e reparos</t>
        </is>
      </c>
      <c r="C41" s="30" t="n">
        <v>58.64098661496152</v>
      </c>
      <c r="D41" s="30" t="n">
        <v>27.98459731730822</v>
      </c>
      <c r="E41" s="30" t="n">
        <v>1832.077255339031</v>
      </c>
      <c r="F41" s="30" t="n">
        <v>1088.324595867407</v>
      </c>
      <c r="G41" s="30" t="n">
        <v>653.7273180698443</v>
      </c>
      <c r="H41" s="30" t="n">
        <v>636.9636214242162</v>
      </c>
      <c r="I41" s="30" t="n">
        <v>2.693630166643291</v>
      </c>
      <c r="J41" s="30" t="n">
        <v>79.69614389672168</v>
      </c>
      <c r="K41" s="30" t="n">
        <v>140.8930897315473</v>
      </c>
      <c r="L41" s="30" t="n">
        <v>38.79121549425817</v>
      </c>
      <c r="M41" s="30" t="n">
        <v>132.0107863514575</v>
      </c>
      <c r="N41" s="30" t="n">
        <v>553.4426802729459</v>
      </c>
      <c r="O41" s="30" t="n">
        <v>352.5476813972749</v>
      </c>
      <c r="P41" s="30" t="n">
        <v>147.5062729733897</v>
      </c>
      <c r="Q41" s="30" t="n">
        <v>128.491646192886</v>
      </c>
      <c r="R41" s="30" t="n">
        <v>202.5965415824933</v>
      </c>
      <c r="S41" s="30" t="n">
        <v>82.63466505480058</v>
      </c>
      <c r="T41" s="30" t="n">
        <v>140.09665042905</v>
      </c>
      <c r="U41" s="30" t="n">
        <v>38.98823730842977</v>
      </c>
      <c r="V41" s="30" t="n">
        <v>59.08909319538375</v>
      </c>
      <c r="W41" s="30" t="n">
        <v>77.08075036038451</v>
      </c>
      <c r="X41" s="30" t="n">
        <v>73.17736269043174</v>
      </c>
      <c r="Y41" s="30" t="n">
        <v>171.7382896720197</v>
      </c>
      <c r="Z41" s="30" t="n">
        <v>624.4144899313793</v>
      </c>
      <c r="AA41" s="30" t="n">
        <v>2033.92583155692</v>
      </c>
      <c r="AB41" s="30" t="n">
        <v>449.4198916394436</v>
      </c>
      <c r="AC41" s="30" t="n">
        <v>230.5763203014701</v>
      </c>
      <c r="AD41" s="30" t="n">
        <v>9083.8837245343</v>
      </c>
      <c r="AE41" s="30" t="n">
        <v>467.521254060863</v>
      </c>
      <c r="AF41" s="30" t="n">
        <v>212.495879829327</v>
      </c>
      <c r="AG41" s="30" t="n">
        <v>885.4465656176797</v>
      </c>
      <c r="AH41" s="30" t="n">
        <v>310.0250726983376</v>
      </c>
      <c r="AI41" s="30" t="n">
        <v>347.4300268091342</v>
      </c>
      <c r="AJ41" s="30" t="n">
        <v>144.6030814547425</v>
      </c>
      <c r="AK41" s="30" t="n">
        <v>635.6995644264055</v>
      </c>
      <c r="AL41" s="30" t="n">
        <v>2206.419148067472</v>
      </c>
      <c r="AM41" s="30" t="n">
        <v>1379.806051615092</v>
      </c>
      <c r="AN41" s="30" t="n">
        <v>1315.131395456145</v>
      </c>
      <c r="AO41" s="30" t="n">
        <v>628.3369241240359</v>
      </c>
      <c r="AP41" s="30" t="n">
        <v>99.9213665138778</v>
      </c>
      <c r="AQ41" s="30" t="n">
        <v>29.52168877738039</v>
      </c>
      <c r="AR41" s="30" t="n">
        <v>24.18619472460729</v>
      </c>
      <c r="AS41" s="30" t="n">
        <v>75.32244311525987</v>
      </c>
      <c r="AT41" s="30" t="n">
        <v>768.6629044284549</v>
      </c>
      <c r="AU41" s="30" t="n">
        <v>2.722581830077621</v>
      </c>
      <c r="AV41" s="30" t="n">
        <v>268.6938736509221</v>
      </c>
      <c r="AW41" s="30" t="n">
        <v>580.4994980265416</v>
      </c>
      <c r="AX41" s="30" t="n">
        <v>0</v>
      </c>
      <c r="AY41" s="30" t="n">
        <v>48.24073383417448</v>
      </c>
      <c r="AZ41" s="30" t="n">
        <v>268.7997693568703</v>
      </c>
      <c r="BA41" s="30" t="n">
        <v>271.1745792997642</v>
      </c>
      <c r="BB41" s="30">
        <f>SUM(C41:BA41)</f>
        <v/>
      </c>
      <c r="BC41" s="30" t="n">
        <v>0</v>
      </c>
      <c r="BD41" s="30" t="n">
        <v>0</v>
      </c>
      <c r="BE41" s="30" t="n">
        <v>0</v>
      </c>
      <c r="BF41" s="30" t="n">
        <v>0</v>
      </c>
      <c r="BG41" s="30">
        <f>SUM(BC41:BF41)</f>
        <v/>
      </c>
      <c r="BH41" s="30">
        <f>BB41+BG41</f>
        <v/>
      </c>
    </row>
    <row r="42">
      <c r="A42" s="28" t="n">
        <v>29</v>
      </c>
      <c r="B42" s="29" t="inlineStr">
        <is>
          <t>Eletrodomésticos e material eletronico</t>
        </is>
      </c>
      <c r="C42" s="28" t="n">
        <v>16.93816085080125</v>
      </c>
      <c r="D42" s="28" t="n">
        <v>39.18026655024862</v>
      </c>
      <c r="E42" s="28" t="n">
        <v>97.0996227144124</v>
      </c>
      <c r="F42" s="28" t="n">
        <v>19.12499225151407</v>
      </c>
      <c r="G42" s="28" t="n">
        <v>22.04296017090847</v>
      </c>
      <c r="H42" s="28" t="n">
        <v>77.98518268297379</v>
      </c>
      <c r="I42" s="28" t="n">
        <v>1.625985811711766</v>
      </c>
      <c r="J42" s="28" t="n">
        <v>24.76387210933578</v>
      </c>
      <c r="K42" s="28" t="n">
        <v>11.50323580396798</v>
      </c>
      <c r="L42" s="28" t="n">
        <v>4.535765357519091</v>
      </c>
      <c r="M42" s="28" t="n">
        <v>8.802077455525426</v>
      </c>
      <c r="N42" s="28" t="n">
        <v>27.88300049214304</v>
      </c>
      <c r="O42" s="28" t="n">
        <v>15.48486346063635</v>
      </c>
      <c r="P42" s="28" t="n">
        <v>3.458575304624502</v>
      </c>
      <c r="Q42" s="28" t="n">
        <v>3.150622580318445</v>
      </c>
      <c r="R42" s="28" t="n">
        <v>28.9342398525093</v>
      </c>
      <c r="S42" s="28" t="n">
        <v>12.34557571969528</v>
      </c>
      <c r="T42" s="28" t="n">
        <v>5.054622439165854</v>
      </c>
      <c r="U42" s="28" t="n">
        <v>1.334891716123378</v>
      </c>
      <c r="V42" s="28" t="n">
        <v>8.683700432614662</v>
      </c>
      <c r="W42" s="28" t="n">
        <v>3.57887557486475</v>
      </c>
      <c r="X42" s="28" t="n">
        <v>6.060199913964226</v>
      </c>
      <c r="Y42" s="28" t="n">
        <v>37.12842328604918</v>
      </c>
      <c r="Z42" s="28" t="n">
        <v>55.55873128316704</v>
      </c>
      <c r="AA42" s="28" t="n">
        <v>38.17855135648887</v>
      </c>
      <c r="AB42" s="28" t="n">
        <v>56.6845515485566</v>
      </c>
      <c r="AC42" s="28" t="n">
        <v>34.42341850256823</v>
      </c>
      <c r="AD42" s="28" t="n">
        <v>1722.526392600862</v>
      </c>
      <c r="AE42" s="28" t="n">
        <v>3439.41646432986</v>
      </c>
      <c r="AF42" s="28" t="n">
        <v>903.0702781305366</v>
      </c>
      <c r="AG42" s="28" t="n">
        <v>494.321358219151</v>
      </c>
      <c r="AH42" s="28" t="n">
        <v>435.6833694611408</v>
      </c>
      <c r="AI42" s="28" t="n">
        <v>144.1347668299209</v>
      </c>
      <c r="AJ42" s="28" t="n">
        <v>98.71371075036241</v>
      </c>
      <c r="AK42" s="28" t="n">
        <v>1808.549197151157</v>
      </c>
      <c r="AL42" s="28" t="n">
        <v>3959.811075017655</v>
      </c>
      <c r="AM42" s="28" t="n">
        <v>422.4690680554361</v>
      </c>
      <c r="AN42" s="28" t="n">
        <v>454.5079134026067</v>
      </c>
      <c r="AO42" s="28" t="n">
        <v>405.6665569684848</v>
      </c>
      <c r="AP42" s="28" t="n">
        <v>24.18819104058504</v>
      </c>
      <c r="AQ42" s="28" t="n">
        <v>154.4503450526594</v>
      </c>
      <c r="AR42" s="28" t="n">
        <v>163.1691408470433</v>
      </c>
      <c r="AS42" s="28" t="n">
        <v>23.62699333379074</v>
      </c>
      <c r="AT42" s="28" t="n">
        <v>328.1714998433608</v>
      </c>
      <c r="AU42" s="28" t="n">
        <v>1.481298678875119</v>
      </c>
      <c r="AV42" s="28" t="n">
        <v>217.5911301333638</v>
      </c>
      <c r="AW42" s="28" t="n">
        <v>481.9946864095961</v>
      </c>
      <c r="AX42" s="28" t="n">
        <v>0</v>
      </c>
      <c r="AY42" s="28" t="n">
        <v>44.65935123448841</v>
      </c>
      <c r="AZ42" s="28" t="n">
        <v>62.02027464136047</v>
      </c>
      <c r="BA42" s="28" t="n">
        <v>57.55864358513892</v>
      </c>
      <c r="BB42" s="28">
        <f>SUM(C42:BA42)</f>
        <v/>
      </c>
      <c r="BC42" s="28" t="n">
        <v>0</v>
      </c>
      <c r="BD42" s="28" t="n">
        <v>0</v>
      </c>
      <c r="BE42" s="28" t="n">
        <v>0</v>
      </c>
      <c r="BF42" s="28" t="n">
        <v>0</v>
      </c>
      <c r="BG42" s="28">
        <f>SUM(BC42:BF42)</f>
        <v/>
      </c>
      <c r="BH42" s="28">
        <f>BB42+BG42</f>
        <v/>
      </c>
    </row>
    <row r="43">
      <c r="A43" s="30" t="n">
        <v>30</v>
      </c>
      <c r="B43" s="31" t="inlineStr">
        <is>
          <t>Máquinas para escritório aparelhos e e material eletronico</t>
        </is>
      </c>
      <c r="C43" s="30" t="n">
        <v>1.403427031275127</v>
      </c>
      <c r="D43" s="30" t="n">
        <v>2.812151848817472</v>
      </c>
      <c r="E43" s="30" t="n">
        <v>221.004040251548</v>
      </c>
      <c r="F43" s="30" t="n">
        <v>8.967304620980622</v>
      </c>
      <c r="G43" s="30" t="n">
        <v>31.06636399095172</v>
      </c>
      <c r="H43" s="30" t="n">
        <v>20.4254646997786</v>
      </c>
      <c r="I43" s="30" t="n">
        <v>-0.7619534082181201</v>
      </c>
      <c r="J43" s="30" t="n">
        <v>0.6812186435905137</v>
      </c>
      <c r="K43" s="30" t="n">
        <v>1.160825189836435</v>
      </c>
      <c r="L43" s="30" t="n">
        <v>-2.124951158119119</v>
      </c>
      <c r="M43" s="30" t="n">
        <v>3.500672080746408</v>
      </c>
      <c r="N43" s="30" t="n">
        <v>4.261224640909726</v>
      </c>
      <c r="O43" s="30" t="n">
        <v>321.3827159891898</v>
      </c>
      <c r="P43" s="30" t="n">
        <v>3.234855025005371</v>
      </c>
      <c r="Q43" s="30" t="n">
        <v>0.7738432989217522</v>
      </c>
      <c r="R43" s="30" t="n">
        <v>5.415016060539364</v>
      </c>
      <c r="S43" s="30" t="n">
        <v>4.048035220106566</v>
      </c>
      <c r="T43" s="30" t="n">
        <v>25.15438195327565</v>
      </c>
      <c r="U43" s="30" t="n">
        <v>1.711890820997013</v>
      </c>
      <c r="V43" s="30" t="n">
        <v>12.60095347908794</v>
      </c>
      <c r="W43" s="30" t="n">
        <v>7.785329221390955</v>
      </c>
      <c r="X43" s="30" t="n">
        <v>19.2386044270725</v>
      </c>
      <c r="Y43" s="30" t="n">
        <v>11.29591260675</v>
      </c>
      <c r="Z43" s="30" t="n">
        <v>5.975219423877133</v>
      </c>
      <c r="AA43" s="30" t="n">
        <v>16.28882917394005</v>
      </c>
      <c r="AB43" s="30" t="n">
        <v>4.541140040775233</v>
      </c>
      <c r="AC43" s="30" t="n">
        <v>1.88713932434237</v>
      </c>
      <c r="AD43" s="30" t="n">
        <v>864.8952088137935</v>
      </c>
      <c r="AE43" s="30" t="n">
        <v>422.5529913696852</v>
      </c>
      <c r="AF43" s="30" t="n">
        <v>17100.32005543513</v>
      </c>
      <c r="AG43" s="30" t="n">
        <v>301.6203615840824</v>
      </c>
      <c r="AH43" s="30" t="n">
        <v>145.7661456425484</v>
      </c>
      <c r="AI43" s="30" t="n">
        <v>56.39908697569851</v>
      </c>
      <c r="AJ43" s="30" t="n">
        <v>42.25953305109094</v>
      </c>
      <c r="AK43" s="30" t="n">
        <v>132.7379741427287</v>
      </c>
      <c r="AL43" s="30" t="n">
        <v>514.5337300456742</v>
      </c>
      <c r="AM43" s="30" t="n">
        <v>155.1466310062378</v>
      </c>
      <c r="AN43" s="30" t="n">
        <v>138.9801776124626</v>
      </c>
      <c r="AO43" s="30" t="n">
        <v>1749.17011348031</v>
      </c>
      <c r="AP43" s="30" t="n">
        <v>312.6675764642251</v>
      </c>
      <c r="AQ43" s="30" t="n">
        <v>6.007299832305752</v>
      </c>
      <c r="AR43" s="30" t="n">
        <v>602.2403591030491</v>
      </c>
      <c r="AS43" s="30" t="n">
        <v>3.415263274288112</v>
      </c>
      <c r="AT43" s="30" t="n">
        <v>2190.40026829003</v>
      </c>
      <c r="AU43" s="30" t="n">
        <v>80.10472900277752</v>
      </c>
      <c r="AV43" s="30" t="n">
        <v>6559.661891103051</v>
      </c>
      <c r="AW43" s="30" t="n">
        <v>201.539246189921</v>
      </c>
      <c r="AX43" s="30" t="n">
        <v>0</v>
      </c>
      <c r="AY43" s="30" t="n">
        <v>1031.940124113037</v>
      </c>
      <c r="AZ43" s="30" t="n">
        <v>1755.150324812691</v>
      </c>
      <c r="BA43" s="30" t="n">
        <v>494.5164631057318</v>
      </c>
      <c r="BB43" s="30">
        <f>SUM(C43:BA43)</f>
        <v/>
      </c>
      <c r="BC43" s="30" t="n">
        <v>0</v>
      </c>
      <c r="BD43" s="30" t="n">
        <v>0</v>
      </c>
      <c r="BE43" s="30" t="n">
        <v>0</v>
      </c>
      <c r="BF43" s="30" t="n">
        <v>0</v>
      </c>
      <c r="BG43" s="30">
        <f>SUM(BC43:BF43)</f>
        <v/>
      </c>
      <c r="BH43" s="30">
        <f>BB43+BG43</f>
        <v/>
      </c>
    </row>
    <row r="44">
      <c r="A44" s="28" t="n">
        <v>31</v>
      </c>
      <c r="B44" s="29" t="inlineStr">
        <is>
          <t>Automóveis camionetas caminhões e ônibus</t>
        </is>
      </c>
      <c r="C44" s="28" t="n">
        <v>-0.5985316726974252</v>
      </c>
      <c r="D44" s="28" t="n">
        <v>0.5699417591532357</v>
      </c>
      <c r="E44" s="28" t="n">
        <v>16.03392802865248</v>
      </c>
      <c r="F44" s="28" t="n">
        <v>-0.7156677727518047</v>
      </c>
      <c r="G44" s="28" t="n">
        <v>1.732040631776376</v>
      </c>
      <c r="H44" s="28" t="n">
        <v>-50.5843712845418</v>
      </c>
      <c r="I44" s="28" t="n">
        <v>-1.675639762795113</v>
      </c>
      <c r="J44" s="28" t="n">
        <v>-4.663215884788968</v>
      </c>
      <c r="K44" s="28" t="n">
        <v>-1.761363964541879</v>
      </c>
      <c r="L44" s="28" t="n">
        <v>-6.616137894621667</v>
      </c>
      <c r="M44" s="28" t="n">
        <v>-1.004439202209974</v>
      </c>
      <c r="N44" s="28" t="n">
        <v>-11.38972132025981</v>
      </c>
      <c r="O44" s="28" t="n">
        <v>0.8785046564896805</v>
      </c>
      <c r="P44" s="28" t="n">
        <v>-0.8113146937927087</v>
      </c>
      <c r="Q44" s="28" t="n">
        <v>-2.351518989848789</v>
      </c>
      <c r="R44" s="28" t="n">
        <v>-0.2794283651544657</v>
      </c>
      <c r="S44" s="28" t="n">
        <v>-3.253215740828605</v>
      </c>
      <c r="T44" s="28" t="n">
        <v>-6.936913714798561</v>
      </c>
      <c r="U44" s="28" t="n">
        <v>-1.865217738076081</v>
      </c>
      <c r="V44" s="28" t="n">
        <v>1.304797556822536</v>
      </c>
      <c r="W44" s="28" t="n">
        <v>-0.6668748578933221</v>
      </c>
      <c r="X44" s="28" t="n">
        <v>0.1374025433194669</v>
      </c>
      <c r="Y44" s="28" t="n">
        <v>-11.8805557146095</v>
      </c>
      <c r="Z44" s="28" t="n">
        <v>-7.184248270006923</v>
      </c>
      <c r="AA44" s="28" t="n">
        <v>-4.362474912019504</v>
      </c>
      <c r="AB44" s="28" t="n">
        <v>-1.957523097741848</v>
      </c>
      <c r="AC44" s="28" t="n">
        <v>-6.837953707217007</v>
      </c>
      <c r="AD44" s="28" t="n">
        <v>27.54781191968322</v>
      </c>
      <c r="AE44" s="28" t="n">
        <v>38.97551388490407</v>
      </c>
      <c r="AF44" s="28" t="n">
        <v>13.02153837875934</v>
      </c>
      <c r="AG44" s="28" t="n">
        <v>1574.153056223018</v>
      </c>
      <c r="AH44" s="28" t="n">
        <v>45.59111824780867</v>
      </c>
      <c r="AI44" s="28" t="n">
        <v>30.93781222508139</v>
      </c>
      <c r="AJ44" s="28" t="n">
        <v>-0.5274390235544097</v>
      </c>
      <c r="AK44" s="28" t="n">
        <v>27.62535413909873</v>
      </c>
      <c r="AL44" s="28" t="n">
        <v>73.32092045554333</v>
      </c>
      <c r="AM44" s="28" t="n">
        <v>86.76528821604342</v>
      </c>
      <c r="AN44" s="28" t="n">
        <v>112.7144173539418</v>
      </c>
      <c r="AO44" s="28" t="n">
        <v>-24.17181172517136</v>
      </c>
      <c r="AP44" s="28" t="n">
        <v>22.70933362876019</v>
      </c>
      <c r="AQ44" s="28" t="n">
        <v>3.795221341838154</v>
      </c>
      <c r="AR44" s="28" t="n">
        <v>0.6752034875543129</v>
      </c>
      <c r="AS44" s="28" t="n">
        <v>2.144884962450889</v>
      </c>
      <c r="AT44" s="28" t="n">
        <v>28.02004245275669</v>
      </c>
      <c r="AU44" s="28" t="n">
        <v>3.877510831713608</v>
      </c>
      <c r="AV44" s="28" t="n">
        <v>-3.647026317363228</v>
      </c>
      <c r="AW44" s="28" t="n">
        <v>15.77146773372573</v>
      </c>
      <c r="AX44" s="28" t="n">
        <v>0</v>
      </c>
      <c r="AY44" s="28" t="n">
        <v>3.465953504159819</v>
      </c>
      <c r="AZ44" s="28" t="n">
        <v>-1.053975849232789</v>
      </c>
      <c r="BA44" s="28" t="n">
        <v>15.02793269706087</v>
      </c>
      <c r="BB44" s="28">
        <f>SUM(C44:BA44)</f>
        <v/>
      </c>
      <c r="BC44" s="28" t="n">
        <v>0</v>
      </c>
      <c r="BD44" s="28" t="n">
        <v>0</v>
      </c>
      <c r="BE44" s="28" t="n">
        <v>0</v>
      </c>
      <c r="BF44" s="28" t="n">
        <v>0</v>
      </c>
      <c r="BG44" s="28">
        <f>SUM(BC44:BF44)</f>
        <v/>
      </c>
      <c r="BH44" s="28">
        <f>BB44+BG44</f>
        <v/>
      </c>
    </row>
    <row r="45">
      <c r="A45" s="30" t="n">
        <v>32</v>
      </c>
      <c r="B45" s="31" t="inlineStr">
        <is>
          <t>Peças e acessórios para veículos automotores</t>
        </is>
      </c>
      <c r="C45" s="30" t="n">
        <v>5.17492444606782</v>
      </c>
      <c r="D45" s="30" t="n">
        <v>5.784841103014764</v>
      </c>
      <c r="E45" s="30" t="n">
        <v>47.48395951744465</v>
      </c>
      <c r="F45" s="30" t="n">
        <v>22.49228159883296</v>
      </c>
      <c r="G45" s="30" t="n">
        <v>18.772709319042</v>
      </c>
      <c r="H45" s="30" t="n">
        <v>57.71701557761349</v>
      </c>
      <c r="I45" s="30" t="n">
        <v>0.3022338595761832</v>
      </c>
      <c r="J45" s="30" t="n">
        <v>4.723783894724373</v>
      </c>
      <c r="K45" s="30" t="n">
        <v>8.101642272569995</v>
      </c>
      <c r="L45" s="30" t="n">
        <v>5.687269465060268</v>
      </c>
      <c r="M45" s="30" t="n">
        <v>3.566239493286422</v>
      </c>
      <c r="N45" s="30" t="n">
        <v>11.65299095570367</v>
      </c>
      <c r="O45" s="30" t="n">
        <v>14.58052699569442</v>
      </c>
      <c r="P45" s="30" t="n">
        <v>4.136736133040705</v>
      </c>
      <c r="Q45" s="30" t="n">
        <v>3.413916660929162</v>
      </c>
      <c r="R45" s="30" t="n">
        <v>22.81965192102219</v>
      </c>
      <c r="S45" s="30" t="n">
        <v>2.495761991480477</v>
      </c>
      <c r="T45" s="30" t="n">
        <v>5.211852106537014</v>
      </c>
      <c r="U45" s="30" t="n">
        <v>1.705972673943346</v>
      </c>
      <c r="V45" s="30" t="n">
        <v>7.641744593556639</v>
      </c>
      <c r="W45" s="30" t="n">
        <v>5.120356112479726</v>
      </c>
      <c r="X45" s="30" t="n">
        <v>3.212229132639032</v>
      </c>
      <c r="Y45" s="30" t="n">
        <v>35.24024829015495</v>
      </c>
      <c r="Z45" s="30" t="n">
        <v>43.18383182438631</v>
      </c>
      <c r="AA45" s="30" t="n">
        <v>57.59799499679871</v>
      </c>
      <c r="AB45" s="30" t="n">
        <v>27.90868182781884</v>
      </c>
      <c r="AC45" s="30" t="n">
        <v>40.32804546856882</v>
      </c>
      <c r="AD45" s="30" t="n">
        <v>268.2518377069803</v>
      </c>
      <c r="AE45" s="30" t="n">
        <v>92.52835971185907</v>
      </c>
      <c r="AF45" s="30" t="n">
        <v>122.2975846026438</v>
      </c>
      <c r="AG45" s="30" t="n">
        <v>13050.65080599858</v>
      </c>
      <c r="AH45" s="30" t="n">
        <v>3265.50630806355</v>
      </c>
      <c r="AI45" s="30" t="n">
        <v>51.85435893802962</v>
      </c>
      <c r="AJ45" s="30" t="n">
        <v>13.92386117187028</v>
      </c>
      <c r="AK45" s="30" t="n">
        <v>40.16472437085142</v>
      </c>
      <c r="AL45" s="30" t="n">
        <v>255.8934599113158</v>
      </c>
      <c r="AM45" s="30" t="n">
        <v>4114.539386801312</v>
      </c>
      <c r="AN45" s="30" t="n">
        <v>3074.39076117617</v>
      </c>
      <c r="AO45" s="30" t="n">
        <v>20.69755399169253</v>
      </c>
      <c r="AP45" s="30" t="n">
        <v>9.3892875721279</v>
      </c>
      <c r="AQ45" s="30" t="n">
        <v>5.50849461493926</v>
      </c>
      <c r="AR45" s="30" t="n">
        <v>3.291481027222284</v>
      </c>
      <c r="AS45" s="30" t="n">
        <v>8.340305521467348</v>
      </c>
      <c r="AT45" s="30" t="n">
        <v>105.9332605093918</v>
      </c>
      <c r="AU45" s="30" t="n">
        <v>1.403600325742909</v>
      </c>
      <c r="AV45" s="30" t="n">
        <v>203.3649049182686</v>
      </c>
      <c r="AW45" s="30" t="n">
        <v>18.73274136862407</v>
      </c>
      <c r="AX45" s="30" t="n">
        <v>0</v>
      </c>
      <c r="AY45" s="30" t="n">
        <v>91.41730572562588</v>
      </c>
      <c r="AZ45" s="30" t="n">
        <v>94.53235527603904</v>
      </c>
      <c r="BA45" s="30" t="n">
        <v>343.5338774393054</v>
      </c>
      <c r="BB45" s="30">
        <f>SUM(C45:BA45)</f>
        <v/>
      </c>
      <c r="BC45" s="30" t="n">
        <v>0</v>
      </c>
      <c r="BD45" s="30" t="n">
        <v>0</v>
      </c>
      <c r="BE45" s="30" t="n">
        <v>0</v>
      </c>
      <c r="BF45" s="30" t="n">
        <v>0</v>
      </c>
      <c r="BG45" s="30">
        <f>SUM(BC45:BF45)</f>
        <v/>
      </c>
      <c r="BH45" s="30">
        <f>BB45+BG45</f>
        <v/>
      </c>
    </row>
    <row r="46">
      <c r="A46" s="28" t="n">
        <v>33</v>
      </c>
      <c r="B46" s="29" t="inlineStr">
        <is>
          <t>Outros equipamentos de transporte</t>
        </is>
      </c>
      <c r="C46" s="28" t="n">
        <v>0.3668844719678768</v>
      </c>
      <c r="D46" s="28" t="n">
        <v>0.3034171684428957</v>
      </c>
      <c r="E46" s="28" t="n">
        <v>8.863649128014849</v>
      </c>
      <c r="F46" s="28" t="n">
        <v>3.818469583839554</v>
      </c>
      <c r="G46" s="28" t="n">
        <v>2.341311171890986</v>
      </c>
      <c r="H46" s="28" t="n">
        <v>3.078210975993803</v>
      </c>
      <c r="I46" s="28" t="n">
        <v>0.1453141517302989</v>
      </c>
      <c r="J46" s="28" t="n">
        <v>0.01254764938729314</v>
      </c>
      <c r="K46" s="28" t="n">
        <v>5.453438292645211</v>
      </c>
      <c r="L46" s="28" t="n">
        <v>1.293134725421236</v>
      </c>
      <c r="M46" s="28" t="n">
        <v>0.4301138795954052</v>
      </c>
      <c r="N46" s="28" t="n">
        <v>1.290480638623363</v>
      </c>
      <c r="O46" s="28" t="n">
        <v>1.137696006722954</v>
      </c>
      <c r="P46" s="28" t="n">
        <v>1.030766116376438</v>
      </c>
      <c r="Q46" s="28" t="n">
        <v>0.3302309033335411</v>
      </c>
      <c r="R46" s="28" t="n">
        <v>1.31494290497203</v>
      </c>
      <c r="S46" s="28" t="n">
        <v>0.2306039245333601</v>
      </c>
      <c r="T46" s="28" t="n">
        <v>0.9942484192013571</v>
      </c>
      <c r="U46" s="28" t="n">
        <v>0.4340353934582396</v>
      </c>
      <c r="V46" s="28" t="n">
        <v>0.9027036252444463</v>
      </c>
      <c r="W46" s="28" t="n">
        <v>0.5825987064688246</v>
      </c>
      <c r="X46" s="28" t="n">
        <v>0.1007584535439238</v>
      </c>
      <c r="Y46" s="28" t="n">
        <v>1.959492103286522</v>
      </c>
      <c r="Z46" s="28" t="n">
        <v>2.332924761281222</v>
      </c>
      <c r="AA46" s="28" t="n">
        <v>6.828309547909758</v>
      </c>
      <c r="AB46" s="28" t="n">
        <v>1.448871774355919</v>
      </c>
      <c r="AC46" s="28" t="n">
        <v>2.642664032615261</v>
      </c>
      <c r="AD46" s="28" t="n">
        <v>535.5175212623952</v>
      </c>
      <c r="AE46" s="28" t="n">
        <v>2.922257694789727</v>
      </c>
      <c r="AF46" s="28" t="n">
        <v>0.9035651371284144</v>
      </c>
      <c r="AG46" s="28" t="n">
        <v>21.56576772834797</v>
      </c>
      <c r="AH46" s="28" t="n">
        <v>7.561772284870979</v>
      </c>
      <c r="AI46" s="28" t="n">
        <v>4989.60056542835</v>
      </c>
      <c r="AJ46" s="28" t="n">
        <v>7.275716113119414</v>
      </c>
      <c r="AK46" s="28" t="n">
        <v>4.171918205422365</v>
      </c>
      <c r="AL46" s="28" t="n">
        <v>18.15020312433542</v>
      </c>
      <c r="AM46" s="28" t="n">
        <v>68.10659482186044</v>
      </c>
      <c r="AN46" s="28" t="n">
        <v>419.9158905784041</v>
      </c>
      <c r="AO46" s="28" t="n">
        <v>5.412088173663613</v>
      </c>
      <c r="AP46" s="28" t="n">
        <v>8.341235457205132</v>
      </c>
      <c r="AQ46" s="28" t="n">
        <v>1.015313002252108</v>
      </c>
      <c r="AR46" s="28" t="n">
        <v>27.54655170417822</v>
      </c>
      <c r="AS46" s="28" t="n">
        <v>1.877321204542262</v>
      </c>
      <c r="AT46" s="28" t="n">
        <v>13.13559856612118</v>
      </c>
      <c r="AU46" s="28" t="n">
        <v>1.36430365945106</v>
      </c>
      <c r="AV46" s="28" t="n">
        <v>0.734515010243691</v>
      </c>
      <c r="AW46" s="28" t="n">
        <v>5.455436641611041</v>
      </c>
      <c r="AX46" s="28" t="n">
        <v>0</v>
      </c>
      <c r="AY46" s="28" t="n">
        <v>2.526016457512656</v>
      </c>
      <c r="AZ46" s="28" t="n">
        <v>2.442108184512672</v>
      </c>
      <c r="BA46" s="28" t="n">
        <v>94.38002283471494</v>
      </c>
      <c r="BB46" s="28">
        <f>SUM(C46:BA46)</f>
        <v/>
      </c>
      <c r="BC46" s="28" t="n">
        <v>0</v>
      </c>
      <c r="BD46" s="28" t="n">
        <v>0</v>
      </c>
      <c r="BE46" s="28" t="n">
        <v>0</v>
      </c>
      <c r="BF46" s="28" t="n">
        <v>0</v>
      </c>
      <c r="BG46" s="28">
        <f>SUM(BC46:BF46)</f>
        <v/>
      </c>
      <c r="BH46" s="28">
        <f>BB46+BG46</f>
        <v/>
      </c>
    </row>
    <row r="47">
      <c r="A47" s="30" t="n">
        <v>34</v>
      </c>
      <c r="B47" s="31" t="inlineStr">
        <is>
          <t>Móveis e produtos das indústrias diversas</t>
        </is>
      </c>
      <c r="C47" s="30" t="n">
        <v>10.75061671889858</v>
      </c>
      <c r="D47" s="30" t="n">
        <v>7.577684387630526</v>
      </c>
      <c r="E47" s="30" t="n">
        <v>31.52474047127883</v>
      </c>
      <c r="F47" s="30" t="n">
        <v>14.57508049161042</v>
      </c>
      <c r="G47" s="30" t="n">
        <v>4.839701868827372</v>
      </c>
      <c r="H47" s="30" t="n">
        <v>46.33263345871755</v>
      </c>
      <c r="I47" s="30" t="n">
        <v>-0.3341530359598352</v>
      </c>
      <c r="J47" s="30" t="n">
        <v>21.66265384673294</v>
      </c>
      <c r="K47" s="30" t="n">
        <v>910.2724908285702</v>
      </c>
      <c r="L47" s="30" t="n">
        <v>174.437161701677</v>
      </c>
      <c r="M47" s="30" t="n">
        <v>8.488655934370593</v>
      </c>
      <c r="N47" s="30" t="n">
        <v>3.969700854108146</v>
      </c>
      <c r="O47" s="30" t="n">
        <v>5.06332391636938</v>
      </c>
      <c r="P47" s="30" t="n">
        <v>2.339650367026114</v>
      </c>
      <c r="Q47" s="30" t="n">
        <v>0.7126952344898645</v>
      </c>
      <c r="R47" s="30" t="n">
        <v>40.06473075911393</v>
      </c>
      <c r="S47" s="30" t="n">
        <v>15.08982965794001</v>
      </c>
      <c r="T47" s="30" t="n">
        <v>10.52385696037711</v>
      </c>
      <c r="U47" s="30" t="n">
        <v>21.50986635734848</v>
      </c>
      <c r="V47" s="30" t="n">
        <v>7.640370326741779</v>
      </c>
      <c r="W47" s="30" t="n">
        <v>3.295425405630438</v>
      </c>
      <c r="X47" s="30" t="n">
        <v>0.9700629673469714</v>
      </c>
      <c r="Y47" s="30" t="n">
        <v>39.18420541237237</v>
      </c>
      <c r="Z47" s="30" t="n">
        <v>79.22337209027624</v>
      </c>
      <c r="AA47" s="30" t="n">
        <v>9.797317605627027</v>
      </c>
      <c r="AB47" s="30" t="n">
        <v>1.675747851816728</v>
      </c>
      <c r="AC47" s="30" t="n">
        <v>13.20906054677245</v>
      </c>
      <c r="AD47" s="30" t="n">
        <v>338.1721142575343</v>
      </c>
      <c r="AE47" s="30" t="n">
        <v>12.85358135136522</v>
      </c>
      <c r="AF47" s="30" t="n">
        <v>17.79325623991424</v>
      </c>
      <c r="AG47" s="30" t="n">
        <v>218.112532653146</v>
      </c>
      <c r="AH47" s="30" t="n">
        <v>262.6465375018793</v>
      </c>
      <c r="AI47" s="30" t="n">
        <v>38.67314336091211</v>
      </c>
      <c r="AJ47" s="30" t="n">
        <v>1105.582583376947</v>
      </c>
      <c r="AK47" s="30" t="n">
        <v>53.55867553250397</v>
      </c>
      <c r="AL47" s="30" t="n">
        <v>531.8730111859883</v>
      </c>
      <c r="AM47" s="30" t="n">
        <v>217.761112271739</v>
      </c>
      <c r="AN47" s="30" t="n">
        <v>191.7294298092021</v>
      </c>
      <c r="AO47" s="30" t="n">
        <v>69.15160469547635</v>
      </c>
      <c r="AP47" s="30" t="n">
        <v>134.0038313654111</v>
      </c>
      <c r="AQ47" s="30" t="n">
        <v>62.96972857080702</v>
      </c>
      <c r="AR47" s="30" t="n">
        <v>3.282438693395914</v>
      </c>
      <c r="AS47" s="30" t="n">
        <v>9.758155872445432</v>
      </c>
      <c r="AT47" s="30" t="n">
        <v>815.1573008706904</v>
      </c>
      <c r="AU47" s="30" t="n">
        <v>15.82840750718172</v>
      </c>
      <c r="AV47" s="30" t="n">
        <v>70.14140006619901</v>
      </c>
      <c r="AW47" s="30" t="n">
        <v>227.692958876032</v>
      </c>
      <c r="AX47" s="30" t="n">
        <v>0</v>
      </c>
      <c r="AY47" s="30" t="n">
        <v>106.410070332937</v>
      </c>
      <c r="AZ47" s="30" t="n">
        <v>115.9568500634681</v>
      </c>
      <c r="BA47" s="30" t="n">
        <v>226.7532027506039</v>
      </c>
      <c r="BB47" s="30">
        <f>SUM(C47:BA47)</f>
        <v/>
      </c>
      <c r="BC47" s="30" t="n">
        <v>0</v>
      </c>
      <c r="BD47" s="30" t="n">
        <v>0</v>
      </c>
      <c r="BE47" s="30" t="n">
        <v>0</v>
      </c>
      <c r="BF47" s="30" t="n">
        <v>0</v>
      </c>
      <c r="BG47" s="30">
        <f>SUM(BC47:BF47)</f>
        <v/>
      </c>
      <c r="BH47" s="30">
        <f>BB47+BG47</f>
        <v/>
      </c>
    </row>
    <row r="48">
      <c r="A48" s="28" t="n">
        <v>35</v>
      </c>
      <c r="B48" s="29" t="inlineStr">
        <is>
          <t>Produção e distribuição de eletricidade gás água esgoto e limpeza urbana</t>
        </is>
      </c>
      <c r="C48" s="28" t="n">
        <v>857.3191598881327</v>
      </c>
      <c r="D48" s="28" t="n">
        <v>597.8609481536375</v>
      </c>
      <c r="E48" s="28" t="n">
        <v>37.10432421621809</v>
      </c>
      <c r="F48" s="28" t="n">
        <v>122.8386415207469</v>
      </c>
      <c r="G48" s="28" t="n">
        <v>154.4042388618858</v>
      </c>
      <c r="H48" s="28" t="n">
        <v>688.2171300734003</v>
      </c>
      <c r="I48" s="28" t="n">
        <v>11.16607839872606</v>
      </c>
      <c r="J48" s="28" t="n">
        <v>277.0682496111979</v>
      </c>
      <c r="K48" s="28" t="n">
        <v>33.10245323378657</v>
      </c>
      <c r="L48" s="28" t="n">
        <v>40.81696394096445</v>
      </c>
      <c r="M48" s="28" t="n">
        <v>101.4661347663009</v>
      </c>
      <c r="N48" s="28" t="n">
        <v>351.4535388396724</v>
      </c>
      <c r="O48" s="28" t="n">
        <v>24.61945461331918</v>
      </c>
      <c r="P48" s="28" t="n">
        <v>44.65353672099342</v>
      </c>
      <c r="Q48" s="28" t="n">
        <v>20.86436009042396</v>
      </c>
      <c r="R48" s="28" t="n">
        <v>413.9326268205032</v>
      </c>
      <c r="S48" s="28" t="n">
        <v>238.773712489768</v>
      </c>
      <c r="T48" s="28" t="n">
        <v>43.43520208701761</v>
      </c>
      <c r="U48" s="28" t="n">
        <v>34.29912145341346</v>
      </c>
      <c r="V48" s="28" t="n">
        <v>43.05146967969856</v>
      </c>
      <c r="W48" s="28" t="n">
        <v>21.4993322227116</v>
      </c>
      <c r="X48" s="28" t="n">
        <v>60.51239972571896</v>
      </c>
      <c r="Y48" s="28" t="n">
        <v>322.1912963402281</v>
      </c>
      <c r="Z48" s="28" t="n">
        <v>571.3537757630568</v>
      </c>
      <c r="AA48" s="28" t="n">
        <v>1054.627706224036</v>
      </c>
      <c r="AB48" s="28" t="n">
        <v>538.1269332047644</v>
      </c>
      <c r="AC48" s="28" t="n">
        <v>149.6862051724676</v>
      </c>
      <c r="AD48" s="28" t="n">
        <v>106.2692517616842</v>
      </c>
      <c r="AE48" s="28" t="n">
        <v>92.39699060734411</v>
      </c>
      <c r="AF48" s="28" t="n">
        <v>31.48425995689231</v>
      </c>
      <c r="AG48" s="28" t="n">
        <v>87.79741538554184</v>
      </c>
      <c r="AH48" s="28" t="n">
        <v>209.4508505856022</v>
      </c>
      <c r="AI48" s="28" t="n">
        <v>54.36088598773816</v>
      </c>
      <c r="AJ48" s="28" t="n">
        <v>47.05593483509433</v>
      </c>
      <c r="AK48" s="28" t="n">
        <v>7938.346837797841</v>
      </c>
      <c r="AL48" s="28" t="n">
        <v>114.5617255552575</v>
      </c>
      <c r="AM48" s="28" t="n">
        <v>2390.428890660483</v>
      </c>
      <c r="AN48" s="28" t="n">
        <v>400.7600027826666</v>
      </c>
      <c r="AO48" s="28" t="n">
        <v>440.3372945814677</v>
      </c>
      <c r="AP48" s="28" t="n">
        <v>338.4490508881221</v>
      </c>
      <c r="AQ48" s="28" t="n">
        <v>81.76471999506208</v>
      </c>
      <c r="AR48" s="28" t="n">
        <v>29.36381835099322</v>
      </c>
      <c r="AS48" s="28" t="n">
        <v>449.5953617936408</v>
      </c>
      <c r="AT48" s="28" t="n">
        <v>369.3326180256918</v>
      </c>
      <c r="AU48" s="28" t="n">
        <v>288.3027174859902</v>
      </c>
      <c r="AV48" s="28" t="n">
        <v>386.2562721877827</v>
      </c>
      <c r="AW48" s="28" t="n">
        <v>1864.422509806894</v>
      </c>
      <c r="AX48" s="28" t="n">
        <v>0</v>
      </c>
      <c r="AY48" s="28" t="n">
        <v>396.4465423696343</v>
      </c>
      <c r="AZ48" s="28" t="n">
        <v>310.1956784687027</v>
      </c>
      <c r="BA48" s="28" t="n">
        <v>1782.616575222716</v>
      </c>
      <c r="BB48" s="28">
        <f>SUM(C48:BA48)</f>
        <v/>
      </c>
      <c r="BC48" s="28" t="n">
        <v>0</v>
      </c>
      <c r="BD48" s="28" t="n">
        <v>0</v>
      </c>
      <c r="BE48" s="28" t="n">
        <v>0</v>
      </c>
      <c r="BF48" s="28" t="n">
        <v>0</v>
      </c>
      <c r="BG48" s="28">
        <f>SUM(BC48:BF48)</f>
        <v/>
      </c>
      <c r="BH48" s="28">
        <f>BB48+BG48</f>
        <v/>
      </c>
    </row>
    <row r="49">
      <c r="A49" s="30" t="n">
        <v>36</v>
      </c>
      <c r="B49" s="31" t="inlineStr">
        <is>
          <t>Construção civil</t>
        </is>
      </c>
      <c r="C49" s="30" t="n">
        <v>2.55350723816491</v>
      </c>
      <c r="D49" s="30" t="n">
        <v>6.146323381789459</v>
      </c>
      <c r="E49" s="30" t="n">
        <v>101.0524722606857</v>
      </c>
      <c r="F49" s="30" t="n">
        <v>38.66153643610682</v>
      </c>
      <c r="G49" s="30" t="n">
        <v>11.01514929632245</v>
      </c>
      <c r="H49" s="30" t="n">
        <v>3.163814151057117</v>
      </c>
      <c r="I49" s="30" t="n">
        <v>0.1676563009913849</v>
      </c>
      <c r="J49" s="30" t="n">
        <v>1.429438267487801</v>
      </c>
      <c r="K49" s="30" t="n">
        <v>0.2520052397312725</v>
      </c>
      <c r="L49" s="30" t="n">
        <v>0.1545825447185808</v>
      </c>
      <c r="M49" s="30" t="n">
        <v>0.07411106186058934</v>
      </c>
      <c r="N49" s="30" t="n">
        <v>1.221034573886226</v>
      </c>
      <c r="O49" s="30" t="n">
        <v>0.9015487387906248</v>
      </c>
      <c r="P49" s="30" t="n">
        <v>1.077763613022491</v>
      </c>
      <c r="Q49" s="30" t="n">
        <v>1.137769854310282</v>
      </c>
      <c r="R49" s="30" t="n">
        <v>2.976203916581937</v>
      </c>
      <c r="S49" s="30" t="n">
        <v>0.1058314771808449</v>
      </c>
      <c r="T49" s="30" t="n">
        <v>0.7263128866930633</v>
      </c>
      <c r="U49" s="30" t="n">
        <v>0.2603192251450843</v>
      </c>
      <c r="V49" s="30" t="n">
        <v>0.3245485194899587</v>
      </c>
      <c r="W49" s="30" t="n">
        <v>0.2210315415938736</v>
      </c>
      <c r="X49" s="30" t="n">
        <v>0.1273262077011621</v>
      </c>
      <c r="Y49" s="30" t="n">
        <v>0.4197752030169479</v>
      </c>
      <c r="Z49" s="30" t="n">
        <v>1.447304657544718</v>
      </c>
      <c r="AA49" s="30" t="n">
        <v>5.896486990965529</v>
      </c>
      <c r="AB49" s="30" t="n">
        <v>42.91379942526395</v>
      </c>
      <c r="AC49" s="30" t="n">
        <v>1.867843487184021</v>
      </c>
      <c r="AD49" s="30" t="n">
        <v>5.695239276992774</v>
      </c>
      <c r="AE49" s="30" t="n">
        <v>1.104059307699464</v>
      </c>
      <c r="AF49" s="30" t="n">
        <v>2.943540735866425</v>
      </c>
      <c r="AG49" s="30" t="n">
        <v>11.85500951249021</v>
      </c>
      <c r="AH49" s="30" t="n">
        <v>1.420638940126075</v>
      </c>
      <c r="AI49" s="30" t="n">
        <v>11.24985446743988</v>
      </c>
      <c r="AJ49" s="30" t="n">
        <v>0.6969856351050208</v>
      </c>
      <c r="AK49" s="30" t="n">
        <v>184.5675310537527</v>
      </c>
      <c r="AL49" s="30" t="n">
        <v>2138.821395451566</v>
      </c>
      <c r="AM49" s="30" t="n">
        <v>54.87357728387175</v>
      </c>
      <c r="AN49" s="30" t="n">
        <v>57.9837581009052</v>
      </c>
      <c r="AO49" s="30" t="n">
        <v>218.1172385836253</v>
      </c>
      <c r="AP49" s="30" t="n">
        <v>55.14506530228163</v>
      </c>
      <c r="AQ49" s="30" t="n">
        <v>55.48888084245678</v>
      </c>
      <c r="AR49" s="30" t="n">
        <v>0.1294355226957574</v>
      </c>
      <c r="AS49" s="30" t="n">
        <v>20.71363093170238</v>
      </c>
      <c r="AT49" s="30" t="n">
        <v>47.08012155173473</v>
      </c>
      <c r="AU49" s="30" t="n">
        <v>15.21352643390247</v>
      </c>
      <c r="AV49" s="30" t="n">
        <v>0.7548091837128088</v>
      </c>
      <c r="AW49" s="30" t="n">
        <v>105.4176415807906</v>
      </c>
      <c r="AX49" s="30" t="n">
        <v>0</v>
      </c>
      <c r="AY49" s="30" t="n">
        <v>37.45272154148898</v>
      </c>
      <c r="AZ49" s="30" t="n">
        <v>97.7449783017253</v>
      </c>
      <c r="BA49" s="30" t="n">
        <v>428.7237144900474</v>
      </c>
      <c r="BB49" s="30">
        <f>SUM(C49:BA49)</f>
        <v/>
      </c>
      <c r="BC49" s="30" t="n">
        <v>0</v>
      </c>
      <c r="BD49" s="30" t="n">
        <v>0</v>
      </c>
      <c r="BE49" s="30" t="n">
        <v>0</v>
      </c>
      <c r="BF49" s="30" t="n">
        <v>0</v>
      </c>
      <c r="BG49" s="30">
        <f>SUM(BC49:BF49)</f>
        <v/>
      </c>
      <c r="BH49" s="30">
        <f>BB49+BG49</f>
        <v/>
      </c>
    </row>
    <row r="50">
      <c r="A50" s="28" t="n">
        <v>37</v>
      </c>
      <c r="B50" s="29" t="inlineStr">
        <is>
          <t>Comércio</t>
        </is>
      </c>
      <c r="C50" s="28" t="n">
        <v>-656.6081689462765</v>
      </c>
      <c r="D50" s="28" t="n">
        <v>20.17657616948593</v>
      </c>
      <c r="E50" s="28" t="n">
        <v>-202.5674676726985</v>
      </c>
      <c r="F50" s="28" t="n">
        <v>-2552.499305585864</v>
      </c>
      <c r="G50" s="28" t="n">
        <v>-861.4370652799303</v>
      </c>
      <c r="H50" s="28" t="n">
        <v>-34481.90558538724</v>
      </c>
      <c r="I50" s="28" t="n">
        <v>-1160.713427934686</v>
      </c>
      <c r="J50" s="28" t="n">
        <v>-3233.476461487473</v>
      </c>
      <c r="K50" s="28" t="n">
        <v>-2751.291625157953</v>
      </c>
      <c r="L50" s="28" t="n">
        <v>-3574.090531457285</v>
      </c>
      <c r="M50" s="28" t="n">
        <v>-795.3683782162009</v>
      </c>
      <c r="N50" s="28" t="n">
        <v>-6669.206463729663</v>
      </c>
      <c r="O50" s="28" t="n">
        <v>-320.6589818407328</v>
      </c>
      <c r="P50" s="28" t="n">
        <v>-1404.338736204828</v>
      </c>
      <c r="Q50" s="28" t="n">
        <v>-1389.730437134788</v>
      </c>
      <c r="R50" s="28" t="n">
        <v>-765.8419547173675</v>
      </c>
      <c r="S50" s="28" t="n">
        <v>-1783.313682150406</v>
      </c>
      <c r="T50" s="28" t="n">
        <v>-4766.305094850447</v>
      </c>
      <c r="U50" s="28" t="n">
        <v>-1378.518607718625</v>
      </c>
      <c r="V50" s="28" t="n">
        <v>-280.0924420714495</v>
      </c>
      <c r="W50" s="28" t="n">
        <v>-836.1494568094007</v>
      </c>
      <c r="X50" s="28" t="n">
        <v>-2149.543779466286</v>
      </c>
      <c r="Y50" s="28" t="n">
        <v>-6221.73302288898</v>
      </c>
      <c r="Z50" s="28" t="n">
        <v>-5045.841394013367</v>
      </c>
      <c r="AA50" s="28" t="n">
        <v>-5749.891775276205</v>
      </c>
      <c r="AB50" s="28" t="n">
        <v>-2019.348573364656</v>
      </c>
      <c r="AC50" s="28" t="n">
        <v>-4306.912960326914</v>
      </c>
      <c r="AD50" s="28" t="n">
        <v>-15480.16271274142</v>
      </c>
      <c r="AE50" s="28" t="n">
        <v>-4102.181843054625</v>
      </c>
      <c r="AF50" s="28" t="n">
        <v>-4699.875868054788</v>
      </c>
      <c r="AG50" s="28" t="n">
        <v>-1692.713267258699</v>
      </c>
      <c r="AH50" s="28" t="n">
        <v>-90.42083687586884</v>
      </c>
      <c r="AI50" s="28" t="n">
        <v>-655.8095625202045</v>
      </c>
      <c r="AJ50" s="28" t="n">
        <v>-1451.985753300667</v>
      </c>
      <c r="AK50" s="28" t="n">
        <v>-3353.493536932582</v>
      </c>
      <c r="AL50" s="28" t="n">
        <v>-1631.947173969533</v>
      </c>
      <c r="AM50" s="28" t="n">
        <v>-31688.07803173465</v>
      </c>
      <c r="AN50" s="28" t="n">
        <v>-24159.56294724473</v>
      </c>
      <c r="AO50" s="28" t="n">
        <v>-22950.16482293641</v>
      </c>
      <c r="AP50" s="28" t="n">
        <v>-507.4058698168798</v>
      </c>
      <c r="AQ50" s="28" t="n">
        <v>-45.32454321014436</v>
      </c>
      <c r="AR50" s="28" t="n">
        <v>-13.61297875702508</v>
      </c>
      <c r="AS50" s="28" t="n">
        <v>28.88427422206627</v>
      </c>
      <c r="AT50" s="28" t="n">
        <v>-7216.346772115505</v>
      </c>
      <c r="AU50" s="28" t="n">
        <v>-14.11998392925413</v>
      </c>
      <c r="AV50" s="28" t="n">
        <v>-1977.980070853321</v>
      </c>
      <c r="AW50" s="28" t="n">
        <v>-343.6141223709584</v>
      </c>
      <c r="AX50" s="28" t="n">
        <v>0</v>
      </c>
      <c r="AY50" s="28" t="n">
        <v>-854.9727678229495</v>
      </c>
      <c r="AZ50" s="28" t="n">
        <v>-2795.315033971349</v>
      </c>
      <c r="BA50" s="28" t="n">
        <v>-5976.456563139962</v>
      </c>
      <c r="BB50" s="28">
        <f>SUM(C50:BA50)</f>
        <v/>
      </c>
      <c r="BC50" s="28" t="n">
        <v>0</v>
      </c>
      <c r="BD50" s="28" t="n">
        <v>0</v>
      </c>
      <c r="BE50" s="28" t="n">
        <v>0</v>
      </c>
      <c r="BF50" s="28" t="n">
        <v>0</v>
      </c>
      <c r="BG50" s="28">
        <f>SUM(BC50:BF50)</f>
        <v/>
      </c>
      <c r="BH50" s="28">
        <f>BB50+BG50</f>
        <v/>
      </c>
    </row>
    <row r="51">
      <c r="A51" s="30" t="n">
        <v>38</v>
      </c>
      <c r="B51" s="31" t="inlineStr">
        <is>
          <t>Transporte armazenagem e correio</t>
        </is>
      </c>
      <c r="C51" s="30" t="n">
        <v>-604.5152128019232</v>
      </c>
      <c r="D51" s="30" t="n">
        <v>-112.7757261856683</v>
      </c>
      <c r="E51" s="30" t="n">
        <v>-1215.263373792795</v>
      </c>
      <c r="F51" s="30" t="n">
        <v>-443.8812494452935</v>
      </c>
      <c r="G51" s="30" t="n">
        <v>-218.9860069780512</v>
      </c>
      <c r="H51" s="30" t="n">
        <v>-3890.952223964209</v>
      </c>
      <c r="I51" s="30" t="n">
        <v>-22.97423579380098</v>
      </c>
      <c r="J51" s="30" t="n">
        <v>-153.7380074287142</v>
      </c>
      <c r="K51" s="30" t="n">
        <v>-43.01775637423943</v>
      </c>
      <c r="L51" s="30" t="n">
        <v>-102.8320168006399</v>
      </c>
      <c r="M51" s="30" t="n">
        <v>-29.72995652536179</v>
      </c>
      <c r="N51" s="30" t="n">
        <v>-530.789740132833</v>
      </c>
      <c r="O51" s="30" t="n">
        <v>-61.86473254961552</v>
      </c>
      <c r="P51" s="30" t="n">
        <v>-325.7709552120597</v>
      </c>
      <c r="Q51" s="30" t="n">
        <v>-158.4316057558038</v>
      </c>
      <c r="R51" s="30" t="n">
        <v>-514.1429656678517</v>
      </c>
      <c r="S51" s="30" t="n">
        <v>-141.0281155746757</v>
      </c>
      <c r="T51" s="30" t="n">
        <v>-299.7197720558171</v>
      </c>
      <c r="U51" s="30" t="n">
        <v>-51.67483675696202</v>
      </c>
      <c r="V51" s="30" t="n">
        <v>-194.8185548778455</v>
      </c>
      <c r="W51" s="30" t="n">
        <v>-49.75668875610619</v>
      </c>
      <c r="X51" s="30" t="n">
        <v>-81.37945401250602</v>
      </c>
      <c r="Y51" s="30" t="n">
        <v>-253.0080067102108</v>
      </c>
      <c r="Z51" s="30" t="n">
        <v>-255.6377912506883</v>
      </c>
      <c r="AA51" s="30" t="n">
        <v>-848.1840842785089</v>
      </c>
      <c r="AB51" s="30" t="n">
        <v>-67.92821197054472</v>
      </c>
      <c r="AC51" s="30" t="n">
        <v>-239.5494594291718</v>
      </c>
      <c r="AD51" s="30" t="n">
        <v>-145.9046606664063</v>
      </c>
      <c r="AE51" s="30" t="n">
        <v>-239.8557311978549</v>
      </c>
      <c r="AF51" s="30" t="n">
        <v>-283.6818921359506</v>
      </c>
      <c r="AG51" s="30" t="n">
        <v>-959.0335034075407</v>
      </c>
      <c r="AH51" s="30" t="n">
        <v>-213.2244671816081</v>
      </c>
      <c r="AI51" s="30" t="n">
        <v>-119.8259895123461</v>
      </c>
      <c r="AJ51" s="30" t="n">
        <v>-117.2337028630966</v>
      </c>
      <c r="AK51" s="30" t="n">
        <v>-178.2939537913774</v>
      </c>
      <c r="AL51" s="30" t="n">
        <v>-49.61955695374807</v>
      </c>
      <c r="AM51" s="30" t="n">
        <v>-3705.698297717169</v>
      </c>
      <c r="AN51" s="30" t="n">
        <v>-6275.788751980434</v>
      </c>
      <c r="AO51" s="30" t="n">
        <v>93.56441526539805</v>
      </c>
      <c r="AP51" s="30" t="n">
        <v>480.7177853453817</v>
      </c>
      <c r="AQ51" s="30" t="n">
        <v>22.74023738177961</v>
      </c>
      <c r="AR51" s="30" t="n">
        <v>-2.537111627771959</v>
      </c>
      <c r="AS51" s="30" t="n">
        <v>-42.90615932174507</v>
      </c>
      <c r="AT51" s="30" t="n">
        <v>232.9540937976404</v>
      </c>
      <c r="AU51" s="30" t="n">
        <v>320.9262878821451</v>
      </c>
      <c r="AV51" s="30" t="n">
        <v>18.77272172933989</v>
      </c>
      <c r="AW51" s="30" t="n">
        <v>1334.328516260794</v>
      </c>
      <c r="AX51" s="30" t="n">
        <v>0</v>
      </c>
      <c r="AY51" s="30" t="n">
        <v>159.8037068170986</v>
      </c>
      <c r="AZ51" s="30" t="n">
        <v>56.74950940335591</v>
      </c>
      <c r="BA51" s="30" t="n">
        <v>55.54552468805729</v>
      </c>
      <c r="BB51" s="30">
        <f>SUM(C51:BA51)</f>
        <v/>
      </c>
      <c r="BC51" s="30" t="n">
        <v>0</v>
      </c>
      <c r="BD51" s="30" t="n">
        <v>0</v>
      </c>
      <c r="BE51" s="30" t="n">
        <v>0</v>
      </c>
      <c r="BF51" s="30" t="n">
        <v>0</v>
      </c>
      <c r="BG51" s="30">
        <f>SUM(BC51:BF51)</f>
        <v/>
      </c>
      <c r="BH51" s="30">
        <f>BB51+BG51</f>
        <v/>
      </c>
    </row>
    <row r="52">
      <c r="A52" s="28" t="n">
        <v>39</v>
      </c>
      <c r="B52" s="29" t="inlineStr">
        <is>
          <t>Serviços de informação</t>
        </is>
      </c>
      <c r="C52" s="28" t="n">
        <v>4.695440885295267</v>
      </c>
      <c r="D52" s="28" t="n">
        <v>2.105453103756232</v>
      </c>
      <c r="E52" s="28" t="n">
        <v>98.13396413499228</v>
      </c>
      <c r="F52" s="28" t="n">
        <v>28.98623974074739</v>
      </c>
      <c r="G52" s="28" t="n">
        <v>14.13032696354403</v>
      </c>
      <c r="H52" s="28" t="n">
        <v>553.5757448276952</v>
      </c>
      <c r="I52" s="28" t="n">
        <v>10.36062474365346</v>
      </c>
      <c r="J52" s="28" t="n">
        <v>58.40931526985541</v>
      </c>
      <c r="K52" s="28" t="n">
        <v>106.7190073923642</v>
      </c>
      <c r="L52" s="28" t="n">
        <v>31.47958671168425</v>
      </c>
      <c r="M52" s="28" t="n">
        <v>13.76692614599047</v>
      </c>
      <c r="N52" s="28" t="n">
        <v>80.57206599051956</v>
      </c>
      <c r="O52" s="28" t="n">
        <v>110.475779403885</v>
      </c>
      <c r="P52" s="28" t="n">
        <v>40.4139158463358</v>
      </c>
      <c r="Q52" s="28" t="n">
        <v>19.89235741946933</v>
      </c>
      <c r="R52" s="28" t="n">
        <v>82.17100892822864</v>
      </c>
      <c r="S52" s="28" t="n">
        <v>20.17731195302931</v>
      </c>
      <c r="T52" s="28" t="n">
        <v>85.59742961606595</v>
      </c>
      <c r="U52" s="28" t="n">
        <v>35.82742527394996</v>
      </c>
      <c r="V52" s="28" t="n">
        <v>8.600758173111696</v>
      </c>
      <c r="W52" s="28" t="n">
        <v>24.37071884568126</v>
      </c>
      <c r="X52" s="28" t="n">
        <v>15.7097069757858</v>
      </c>
      <c r="Y52" s="28" t="n">
        <v>71.87045766121368</v>
      </c>
      <c r="Z52" s="28" t="n">
        <v>87.77242680440328</v>
      </c>
      <c r="AA52" s="28" t="n">
        <v>58.35537848864294</v>
      </c>
      <c r="AB52" s="28" t="n">
        <v>13.97929485090774</v>
      </c>
      <c r="AC52" s="28" t="n">
        <v>68.42737608704041</v>
      </c>
      <c r="AD52" s="28" t="n">
        <v>117.0290302512385</v>
      </c>
      <c r="AE52" s="28" t="n">
        <v>126.2740971870258</v>
      </c>
      <c r="AF52" s="28" t="n">
        <v>164.2135052151392</v>
      </c>
      <c r="AG52" s="28" t="n">
        <v>383.9800191654045</v>
      </c>
      <c r="AH52" s="28" t="n">
        <v>238.1465436804926</v>
      </c>
      <c r="AI52" s="28" t="n">
        <v>47.36649109814513</v>
      </c>
      <c r="AJ52" s="28" t="n">
        <v>64.38191661024575</v>
      </c>
      <c r="AK52" s="28" t="n">
        <v>222.85187120595</v>
      </c>
      <c r="AL52" s="28" t="n">
        <v>276.8837718808862</v>
      </c>
      <c r="AM52" s="28" t="n">
        <v>1965.8089131641</v>
      </c>
      <c r="AN52" s="28" t="n">
        <v>581.359835660086</v>
      </c>
      <c r="AO52" s="28" t="n">
        <v>7065.450244200681</v>
      </c>
      <c r="AP52" s="28" t="n">
        <v>3286.067764507447</v>
      </c>
      <c r="AQ52" s="28" t="n">
        <v>132.6504022449798</v>
      </c>
      <c r="AR52" s="28" t="n">
        <v>39.93185306007909</v>
      </c>
      <c r="AS52" s="28" t="n">
        <v>149.2598918823848</v>
      </c>
      <c r="AT52" s="28" t="n">
        <v>5936.496983257902</v>
      </c>
      <c r="AU52" s="28" t="n">
        <v>480.6362306046841</v>
      </c>
      <c r="AV52" s="28" t="n">
        <v>194.4649741729635</v>
      </c>
      <c r="AW52" s="28" t="n">
        <v>707.8377997436252</v>
      </c>
      <c r="AX52" s="28" t="n">
        <v>0</v>
      </c>
      <c r="AY52" s="28" t="n">
        <v>571.1457700290478</v>
      </c>
      <c r="AZ52" s="28" t="n">
        <v>281.9449380220444</v>
      </c>
      <c r="BA52" s="28" t="n">
        <v>1861.482810368028</v>
      </c>
      <c r="BB52" s="28">
        <f>SUM(C52:BA52)</f>
        <v/>
      </c>
      <c r="BC52" s="28" t="n">
        <v>0</v>
      </c>
      <c r="BD52" s="28" t="n">
        <v>0</v>
      </c>
      <c r="BE52" s="28" t="n">
        <v>0</v>
      </c>
      <c r="BF52" s="28" t="n">
        <v>0</v>
      </c>
      <c r="BG52" s="28">
        <f>SUM(BC52:BF52)</f>
        <v/>
      </c>
      <c r="BH52" s="28">
        <f>BB52+BG52</f>
        <v/>
      </c>
    </row>
    <row r="53">
      <c r="A53" s="30" t="n">
        <v>40</v>
      </c>
      <c r="B53" s="31" t="inlineStr">
        <is>
          <t>Intermediação financeira seguros e previdência complementar e serviços relacionados</t>
        </is>
      </c>
      <c r="C53" s="30" t="n">
        <v>326.7004898811875</v>
      </c>
      <c r="D53" s="30" t="n">
        <v>155.0684170351832</v>
      </c>
      <c r="E53" s="30" t="n">
        <v>289.0684651143986</v>
      </c>
      <c r="F53" s="30" t="n">
        <v>134.7355884686848</v>
      </c>
      <c r="G53" s="30" t="n">
        <v>85.16671188535078</v>
      </c>
      <c r="H53" s="30" t="n">
        <v>1002.400767370132</v>
      </c>
      <c r="I53" s="30" t="n">
        <v>41.81592014563385</v>
      </c>
      <c r="J53" s="30" t="n">
        <v>91.08224864051539</v>
      </c>
      <c r="K53" s="30" t="n">
        <v>86.92725351053032</v>
      </c>
      <c r="L53" s="30" t="n">
        <v>62.87828687042121</v>
      </c>
      <c r="M53" s="30" t="n">
        <v>39.39575826211873</v>
      </c>
      <c r="N53" s="30" t="n">
        <v>174.8552213689494</v>
      </c>
      <c r="O53" s="30" t="n">
        <v>36.88430779525776</v>
      </c>
      <c r="P53" s="30" t="n">
        <v>202.3667825532928</v>
      </c>
      <c r="Q53" s="30" t="n">
        <v>74.88037348750396</v>
      </c>
      <c r="R53" s="30" t="n">
        <v>178.2264462177039</v>
      </c>
      <c r="S53" s="30" t="n">
        <v>75.94846389641845</v>
      </c>
      <c r="T53" s="30" t="n">
        <v>77.34621978910489</v>
      </c>
      <c r="U53" s="30" t="n">
        <v>39.50562205608957</v>
      </c>
      <c r="V53" s="30" t="n">
        <v>63.58186713910647</v>
      </c>
      <c r="W53" s="30" t="n">
        <v>29.86527237702073</v>
      </c>
      <c r="X53" s="30" t="n">
        <v>36.57781169213093</v>
      </c>
      <c r="Y53" s="30" t="n">
        <v>148.2955814566255</v>
      </c>
      <c r="Z53" s="30" t="n">
        <v>164.2021058643959</v>
      </c>
      <c r="AA53" s="30" t="n">
        <v>252.4741364176145</v>
      </c>
      <c r="AB53" s="30" t="n">
        <v>90.7422224946226</v>
      </c>
      <c r="AC53" s="30" t="n">
        <v>133.5444902516591</v>
      </c>
      <c r="AD53" s="30" t="n">
        <v>212.1598238570472</v>
      </c>
      <c r="AE53" s="30" t="n">
        <v>135.1165756655297</v>
      </c>
      <c r="AF53" s="30" t="n">
        <v>138.4249289991449</v>
      </c>
      <c r="AG53" s="30" t="n">
        <v>297.3667213786656</v>
      </c>
      <c r="AH53" s="30" t="n">
        <v>117.6821294728422</v>
      </c>
      <c r="AI53" s="30" t="n">
        <v>80.32897911831841</v>
      </c>
      <c r="AJ53" s="30" t="n">
        <v>68.39108072645494</v>
      </c>
      <c r="AK53" s="30" t="n">
        <v>491.3086875817596</v>
      </c>
      <c r="AL53" s="30" t="n">
        <v>724.5113180303968</v>
      </c>
      <c r="AM53" s="30" t="n">
        <v>1739.25819403138</v>
      </c>
      <c r="AN53" s="30" t="n">
        <v>911.7421411038418</v>
      </c>
      <c r="AO53" s="30" t="n">
        <v>746.21129313123</v>
      </c>
      <c r="AP53" s="30" t="n">
        <v>4710.200617221665</v>
      </c>
      <c r="AQ53" s="30" t="n">
        <v>1932.568447320589</v>
      </c>
      <c r="AR53" s="30" t="n">
        <v>30.16006566977962</v>
      </c>
      <c r="AS53" s="30" t="n">
        <v>220.0100791488663</v>
      </c>
      <c r="AT53" s="30" t="n">
        <v>740.8589255809648</v>
      </c>
      <c r="AU53" s="30" t="n">
        <v>88.92315389769624</v>
      </c>
      <c r="AV53" s="30" t="n">
        <v>330.6741918985341</v>
      </c>
      <c r="AW53" s="30" t="n">
        <v>399.6582167185257</v>
      </c>
      <c r="AX53" s="30" t="n">
        <v>0</v>
      </c>
      <c r="AY53" s="30" t="n">
        <v>20.47410325763603</v>
      </c>
      <c r="AZ53" s="30" t="n">
        <v>24.29370583353581</v>
      </c>
      <c r="BA53" s="30" t="n">
        <v>3988.508504437015</v>
      </c>
      <c r="BB53" s="30">
        <f>SUM(C53:BA53)</f>
        <v/>
      </c>
      <c r="BC53" s="30" t="n">
        <v>0</v>
      </c>
      <c r="BD53" s="30" t="n">
        <v>0</v>
      </c>
      <c r="BE53" s="30" t="n">
        <v>0</v>
      </c>
      <c r="BF53" s="30" t="n">
        <v>0</v>
      </c>
      <c r="BG53" s="30">
        <f>SUM(BC53:BF53)</f>
        <v/>
      </c>
      <c r="BH53" s="30">
        <f>BB53+BG53</f>
        <v/>
      </c>
    </row>
    <row r="54">
      <c r="A54" s="28" t="n">
        <v>41</v>
      </c>
      <c r="B54" s="29" t="inlineStr">
        <is>
          <t>Atividades imobiliárias e aluguéis</t>
        </is>
      </c>
      <c r="C54" s="28" t="n">
        <v>0.1314536277624072</v>
      </c>
      <c r="D54" s="28" t="n">
        <v>0.04247238940443821</v>
      </c>
      <c r="E54" s="28" t="n">
        <v>3.402706541443376</v>
      </c>
      <c r="F54" s="28" t="n">
        <v>0.1879143908917439</v>
      </c>
      <c r="G54" s="28" t="n">
        <v>0.5644143190120742</v>
      </c>
      <c r="H54" s="28" t="n">
        <v>11.78037137471975</v>
      </c>
      <c r="I54" s="28" t="n">
        <v>0.4237634188828381</v>
      </c>
      <c r="J54" s="28" t="n">
        <v>4.610234267102919</v>
      </c>
      <c r="K54" s="28" t="n">
        <v>5.160637765209431</v>
      </c>
      <c r="L54" s="28" t="n">
        <v>1.056950238018562</v>
      </c>
      <c r="M54" s="28" t="n">
        <v>0.3024682436386912</v>
      </c>
      <c r="N54" s="28" t="n">
        <v>1.430868534631855</v>
      </c>
      <c r="O54" s="28" t="n">
        <v>0.8147012984399579</v>
      </c>
      <c r="P54" s="28" t="n">
        <v>1.758960206360854</v>
      </c>
      <c r="Q54" s="28" t="n">
        <v>1.815584225727725</v>
      </c>
      <c r="R54" s="28" t="n">
        <v>1.436213392670407</v>
      </c>
      <c r="S54" s="28" t="n">
        <v>0.3137814481925317</v>
      </c>
      <c r="T54" s="28" t="n">
        <v>2.605961585536885</v>
      </c>
      <c r="U54" s="28" t="n">
        <v>0.3621652585270108</v>
      </c>
      <c r="V54" s="28" t="n">
        <v>2.01596289342953</v>
      </c>
      <c r="W54" s="28" t="n">
        <v>0.2558224810904841</v>
      </c>
      <c r="X54" s="28" t="n">
        <v>0.3210301300178319</v>
      </c>
      <c r="Y54" s="28" t="n">
        <v>4.107863494686025</v>
      </c>
      <c r="Z54" s="28" t="n">
        <v>2.072064959983577</v>
      </c>
      <c r="AA54" s="28" t="n">
        <v>3.401489054744969</v>
      </c>
      <c r="AB54" s="28" t="n">
        <v>0.02843882567526632</v>
      </c>
      <c r="AC54" s="28" t="n">
        <v>2.102687437559441</v>
      </c>
      <c r="AD54" s="28" t="n">
        <v>2.366586391224649</v>
      </c>
      <c r="AE54" s="28" t="n">
        <v>1.201181224366222</v>
      </c>
      <c r="AF54" s="28" t="n">
        <v>2.455611867628779</v>
      </c>
      <c r="AG54" s="28" t="n">
        <v>1.624741637681781</v>
      </c>
      <c r="AH54" s="28" t="n">
        <v>2.724193286123632</v>
      </c>
      <c r="AI54" s="28" t="n">
        <v>0.8228797845002068</v>
      </c>
      <c r="AJ54" s="28" t="n">
        <v>2.343375732849256</v>
      </c>
      <c r="AK54" s="28" t="n">
        <v>13.88590211771163</v>
      </c>
      <c r="AL54" s="28" t="n">
        <v>19.25349705338098</v>
      </c>
      <c r="AM54" s="28" t="n">
        <v>393.5096481079673</v>
      </c>
      <c r="AN54" s="28" t="n">
        <v>40.79004738430881</v>
      </c>
      <c r="AO54" s="28" t="n">
        <v>62.4943740232853</v>
      </c>
      <c r="AP54" s="28" t="n">
        <v>79.61741260346595</v>
      </c>
      <c r="AQ54" s="28" t="n">
        <v>24.14053152922014</v>
      </c>
      <c r="AR54" s="28" t="n">
        <v>4.506622130934238</v>
      </c>
      <c r="AS54" s="28" t="n">
        <v>63.16523205701972</v>
      </c>
      <c r="AT54" s="28" t="n">
        <v>109.4364526913116</v>
      </c>
      <c r="AU54" s="28" t="n">
        <v>43.84974282264708</v>
      </c>
      <c r="AV54" s="28" t="n">
        <v>20.50468014616573</v>
      </c>
      <c r="AW54" s="28" t="n">
        <v>89.24599276202758</v>
      </c>
      <c r="AX54" s="28" t="n">
        <v>0</v>
      </c>
      <c r="AY54" s="28" t="n">
        <v>6.580167030877698</v>
      </c>
      <c r="AZ54" s="28" t="n">
        <v>4.410042360051952</v>
      </c>
      <c r="BA54" s="28" t="n">
        <v>31.28775022593947</v>
      </c>
      <c r="BB54" s="28">
        <f>SUM(C54:BA54)</f>
        <v/>
      </c>
      <c r="BC54" s="28" t="n">
        <v>0</v>
      </c>
      <c r="BD54" s="28" t="n">
        <v>0</v>
      </c>
      <c r="BE54" s="28" t="n">
        <v>0</v>
      </c>
      <c r="BF54" s="28" t="n">
        <v>0</v>
      </c>
      <c r="BG54" s="28">
        <f>SUM(BC54:BF54)</f>
        <v/>
      </c>
      <c r="BH54" s="28">
        <f>BB54+BG54</f>
        <v/>
      </c>
    </row>
    <row r="55">
      <c r="A55" s="30" t="n">
        <v>42</v>
      </c>
      <c r="B55" s="31" t="inlineStr">
        <is>
          <t>Serviços de manutenção e reparação</t>
        </is>
      </c>
      <c r="C55" s="30" t="n">
        <v>-0.4677065058929818</v>
      </c>
      <c r="D55" s="30" t="n">
        <v>-0.1595379092993404</v>
      </c>
      <c r="E55" s="30" t="n">
        <v>0.9589902651906064</v>
      </c>
      <c r="F55" s="30" t="n">
        <v>-2.046593277187958</v>
      </c>
      <c r="G55" s="30" t="n">
        <v>-0.6439190728817722</v>
      </c>
      <c r="H55" s="30" t="n">
        <v>-28.08665730369144</v>
      </c>
      <c r="I55" s="30" t="n">
        <v>-0.9251839753492557</v>
      </c>
      <c r="J55" s="30" t="n">
        <v>-2.258027041515875</v>
      </c>
      <c r="K55" s="30" t="n">
        <v>-2.231642148902283</v>
      </c>
      <c r="L55" s="30" t="n">
        <v>-2.826936115056175</v>
      </c>
      <c r="M55" s="30" t="n">
        <v>-0.639528715620412</v>
      </c>
      <c r="N55" s="30" t="n">
        <v>-5.349773239488309</v>
      </c>
      <c r="O55" s="30" t="n">
        <v>0.1918212464343011</v>
      </c>
      <c r="P55" s="30" t="n">
        <v>-1.326960107554847</v>
      </c>
      <c r="Q55" s="30" t="n">
        <v>-1.133345944896299</v>
      </c>
      <c r="R55" s="30" t="n">
        <v>-1.184360328570126</v>
      </c>
      <c r="S55" s="30" t="n">
        <v>-1.440121961036128</v>
      </c>
      <c r="T55" s="30" t="n">
        <v>-3.924462813306568</v>
      </c>
      <c r="U55" s="30" t="n">
        <v>-1.115367422645647</v>
      </c>
      <c r="V55" s="30" t="n">
        <v>-0.2532798794081932</v>
      </c>
      <c r="W55" s="30" t="n">
        <v>-0.6995284528702267</v>
      </c>
      <c r="X55" s="30" t="n">
        <v>-1.731285545225729</v>
      </c>
      <c r="Y55" s="30" t="n">
        <v>-4.90582763870682</v>
      </c>
      <c r="Z55" s="30" t="n">
        <v>-4.105510922171603</v>
      </c>
      <c r="AA55" s="30" t="n">
        <v>-4.183363932307373</v>
      </c>
      <c r="AB55" s="30" t="n">
        <v>-1.548069180082555</v>
      </c>
      <c r="AC55" s="30" t="n">
        <v>-2.863903899823518</v>
      </c>
      <c r="AD55" s="30" t="n">
        <v>-12.11651759493467</v>
      </c>
      <c r="AE55" s="30" t="n">
        <v>-1.549572033389874</v>
      </c>
      <c r="AF55" s="30" t="n">
        <v>6.15211141021096</v>
      </c>
      <c r="AG55" s="30" t="n">
        <v>-0.9305140447870991</v>
      </c>
      <c r="AH55" s="30" t="n">
        <v>0.006191078841346766</v>
      </c>
      <c r="AI55" s="30" t="n">
        <v>-0.489767254374772</v>
      </c>
      <c r="AJ55" s="30" t="n">
        <v>-1.071154463739601</v>
      </c>
      <c r="AK55" s="30" t="n">
        <v>9.062883142901317</v>
      </c>
      <c r="AL55" s="30" t="n">
        <v>1.143558797574604</v>
      </c>
      <c r="AM55" s="30" t="n">
        <v>25.43769072603508</v>
      </c>
      <c r="AN55" s="30" t="n">
        <v>-7.11406215266262</v>
      </c>
      <c r="AO55" s="30" t="n">
        <v>129.2977875967907</v>
      </c>
      <c r="AP55" s="30" t="n">
        <v>34.43725517028707</v>
      </c>
      <c r="AQ55" s="30" t="n">
        <v>1.927542902645174</v>
      </c>
      <c r="AR55" s="30" t="n">
        <v>2.974977588098884</v>
      </c>
      <c r="AS55" s="30" t="n">
        <v>2.909279411897649</v>
      </c>
      <c r="AT55" s="30" t="n">
        <v>32.73821414331541</v>
      </c>
      <c r="AU55" s="30" t="n">
        <v>10.60239737811277</v>
      </c>
      <c r="AV55" s="30" t="n">
        <v>12.63075030026569</v>
      </c>
      <c r="AW55" s="30" t="n">
        <v>0.2555000275792639</v>
      </c>
      <c r="AX55" s="30" t="n">
        <v>0</v>
      </c>
      <c r="AY55" s="30" t="n">
        <v>0.6604972809661545</v>
      </c>
      <c r="AZ55" s="30" t="n">
        <v>2.752792738968947</v>
      </c>
      <c r="BA55" s="30" t="n">
        <v>12.69677111162711</v>
      </c>
      <c r="BB55" s="30">
        <f>SUM(C55:BA55)</f>
        <v/>
      </c>
      <c r="BC55" s="30" t="n">
        <v>0</v>
      </c>
      <c r="BD55" s="30" t="n">
        <v>0</v>
      </c>
      <c r="BE55" s="30" t="n">
        <v>0</v>
      </c>
      <c r="BF55" s="30" t="n">
        <v>0</v>
      </c>
      <c r="BG55" s="30">
        <f>SUM(BC55:BF55)</f>
        <v/>
      </c>
      <c r="BH55" s="30">
        <f>BB55+BG55</f>
        <v/>
      </c>
    </row>
    <row r="56">
      <c r="A56" s="28" t="n">
        <v>43</v>
      </c>
      <c r="B56" s="29" t="inlineStr">
        <is>
          <t>Serviços de alojamento e alimentação</t>
        </is>
      </c>
      <c r="C56" s="28" t="n">
        <v>-0.09959803503890355</v>
      </c>
      <c r="D56" s="28" t="n">
        <v>-0.157659516842902</v>
      </c>
      <c r="E56" s="28" t="n">
        <v>34.07734269904633</v>
      </c>
      <c r="F56" s="28" t="n">
        <v>1.258812718112632</v>
      </c>
      <c r="G56" s="28" t="n">
        <v>2.005827466852395</v>
      </c>
      <c r="H56" s="28" t="n">
        <v>8.190708516446575</v>
      </c>
      <c r="I56" s="28" t="n">
        <v>2.849982605613658</v>
      </c>
      <c r="J56" s="28" t="n">
        <v>-0.5489935410909745</v>
      </c>
      <c r="K56" s="28" t="n">
        <v>-2.361215617174992</v>
      </c>
      <c r="L56" s="28" t="n">
        <v>-3.314951674400071</v>
      </c>
      <c r="M56" s="28" t="n">
        <v>-0.7356031029513596</v>
      </c>
      <c r="N56" s="28" t="n">
        <v>-3.045260114558586</v>
      </c>
      <c r="O56" s="28" t="n">
        <v>2.16174136004295</v>
      </c>
      <c r="P56" s="28" t="n">
        <v>0.6141111885297342</v>
      </c>
      <c r="Q56" s="28" t="n">
        <v>-1.035503558013526</v>
      </c>
      <c r="R56" s="28" t="n">
        <v>15.24941232084874</v>
      </c>
      <c r="S56" s="28" t="n">
        <v>-1.5199828007267</v>
      </c>
      <c r="T56" s="28" t="n">
        <v>32.25138138533045</v>
      </c>
      <c r="U56" s="28" t="n">
        <v>7.783418372373554</v>
      </c>
      <c r="V56" s="28" t="n">
        <v>4.156489452372232</v>
      </c>
      <c r="W56" s="28" t="n">
        <v>2.844473144806258</v>
      </c>
      <c r="X56" s="28" t="n">
        <v>5.583687486933977</v>
      </c>
      <c r="Y56" s="28" t="n">
        <v>0.02167868471232305</v>
      </c>
      <c r="Z56" s="28" t="n">
        <v>-0.8232482517266979</v>
      </c>
      <c r="AA56" s="28" t="n">
        <v>12.03100927990322</v>
      </c>
      <c r="AB56" s="28" t="n">
        <v>3.753620306461748</v>
      </c>
      <c r="AC56" s="28" t="n">
        <v>8.763635458570626</v>
      </c>
      <c r="AD56" s="28" t="n">
        <v>15.60790206809263</v>
      </c>
      <c r="AE56" s="28" t="n">
        <v>6.80642767373275</v>
      </c>
      <c r="AF56" s="28" t="n">
        <v>10.69007800133818</v>
      </c>
      <c r="AG56" s="28" t="n">
        <v>46.21294131652007</v>
      </c>
      <c r="AH56" s="28" t="n">
        <v>11.05290755934063</v>
      </c>
      <c r="AI56" s="28" t="n">
        <v>5.267075902345598</v>
      </c>
      <c r="AJ56" s="28" t="n">
        <v>3.91507783419528</v>
      </c>
      <c r="AK56" s="28" t="n">
        <v>28.84506931673586</v>
      </c>
      <c r="AL56" s="28" t="n">
        <v>144.9127069124144</v>
      </c>
      <c r="AM56" s="28" t="n">
        <v>255.153573653366</v>
      </c>
      <c r="AN56" s="28" t="n">
        <v>105.1791095548863</v>
      </c>
      <c r="AO56" s="28" t="n">
        <v>86.3067373716944</v>
      </c>
      <c r="AP56" s="28" t="n">
        <v>358.8667365582439</v>
      </c>
      <c r="AQ56" s="28" t="n">
        <v>10.26338354524882</v>
      </c>
      <c r="AR56" s="28" t="n">
        <v>7.639224032429183</v>
      </c>
      <c r="AS56" s="28" t="n">
        <v>19.53348383524683</v>
      </c>
      <c r="AT56" s="28" t="n">
        <v>226.2693756332214</v>
      </c>
      <c r="AU56" s="28" t="n">
        <v>51.21938948309202</v>
      </c>
      <c r="AV56" s="28" t="n">
        <v>260.7277363283395</v>
      </c>
      <c r="AW56" s="28" t="n">
        <v>2213.802865381467</v>
      </c>
      <c r="AX56" s="28" t="n">
        <v>0</v>
      </c>
      <c r="AY56" s="28" t="n">
        <v>189.8848654982621</v>
      </c>
      <c r="AZ56" s="28" t="n">
        <v>419.3077537330888</v>
      </c>
      <c r="BA56" s="28" t="n">
        <v>1116.369883375093</v>
      </c>
      <c r="BB56" s="28">
        <f>SUM(C56:BA56)</f>
        <v/>
      </c>
      <c r="BC56" s="28" t="n">
        <v>0</v>
      </c>
      <c r="BD56" s="28" t="n">
        <v>0</v>
      </c>
      <c r="BE56" s="28" t="n">
        <v>0</v>
      </c>
      <c r="BF56" s="28" t="n">
        <v>0</v>
      </c>
      <c r="BG56" s="28">
        <f>SUM(BC56:BF56)</f>
        <v/>
      </c>
      <c r="BH56" s="28">
        <f>BB56+BG56</f>
        <v/>
      </c>
    </row>
    <row r="57">
      <c r="A57" s="30" t="n">
        <v>44</v>
      </c>
      <c r="B57" s="31" t="inlineStr">
        <is>
          <t>Serviços prestados às empresas</t>
        </is>
      </c>
      <c r="C57" s="30" t="n">
        <v>100.2127950166382</v>
      </c>
      <c r="D57" s="30" t="n">
        <v>51.99850811260004</v>
      </c>
      <c r="E57" s="30" t="n">
        <v>1609.145792476088</v>
      </c>
      <c r="F57" s="30" t="n">
        <v>213.1657858335961</v>
      </c>
      <c r="G57" s="30" t="n">
        <v>198.0838707711699</v>
      </c>
      <c r="H57" s="30" t="n">
        <v>2489.569879599214</v>
      </c>
      <c r="I57" s="30" t="n">
        <v>174.2352344075677</v>
      </c>
      <c r="J57" s="30" t="n">
        <v>95.71379395356239</v>
      </c>
      <c r="K57" s="30" t="n">
        <v>100.6720490770483</v>
      </c>
      <c r="L57" s="30" t="n">
        <v>125.2588945320484</v>
      </c>
      <c r="M57" s="30" t="n">
        <v>34.60215673617009</v>
      </c>
      <c r="N57" s="30" t="n">
        <v>325.1048233570922</v>
      </c>
      <c r="O57" s="30" t="n">
        <v>48.30756552663021</v>
      </c>
      <c r="P57" s="30" t="n">
        <v>437.143451699885</v>
      </c>
      <c r="Q57" s="30" t="n">
        <v>79.09605201683736</v>
      </c>
      <c r="R57" s="30" t="n">
        <v>359.4110396883766</v>
      </c>
      <c r="S57" s="30" t="n">
        <v>81.95730404981624</v>
      </c>
      <c r="T57" s="30" t="n">
        <v>695.9776944692368</v>
      </c>
      <c r="U57" s="30" t="n">
        <v>218.1588758946416</v>
      </c>
      <c r="V57" s="30" t="n">
        <v>298.4294133168073</v>
      </c>
      <c r="W57" s="30" t="n">
        <v>169.2430000998333</v>
      </c>
      <c r="X57" s="30" t="n">
        <v>107.219350593737</v>
      </c>
      <c r="Y57" s="30" t="n">
        <v>303.1686601847758</v>
      </c>
      <c r="Z57" s="30" t="n">
        <v>353.4537619529898</v>
      </c>
      <c r="AA57" s="30" t="n">
        <v>287.1472403829194</v>
      </c>
      <c r="AB57" s="30" t="n">
        <v>133.4071836786319</v>
      </c>
      <c r="AC57" s="30" t="n">
        <v>231.8234418336148</v>
      </c>
      <c r="AD57" s="30" t="n">
        <v>622.6878338998133</v>
      </c>
      <c r="AE57" s="30" t="n">
        <v>441.2984166399971</v>
      </c>
      <c r="AF57" s="30" t="n">
        <v>559.8257929510171</v>
      </c>
      <c r="AG57" s="30" t="n">
        <v>1100.606992818048</v>
      </c>
      <c r="AH57" s="30" t="n">
        <v>266.490115886935</v>
      </c>
      <c r="AI57" s="30" t="n">
        <v>138.5641284172288</v>
      </c>
      <c r="AJ57" s="30" t="n">
        <v>107.3308528158772</v>
      </c>
      <c r="AK57" s="30" t="n">
        <v>1042.170618571979</v>
      </c>
      <c r="AL57" s="30" t="n">
        <v>1646.413466228078</v>
      </c>
      <c r="AM57" s="30" t="n">
        <v>5385.879219816195</v>
      </c>
      <c r="AN57" s="30" t="n">
        <v>2240.86445105989</v>
      </c>
      <c r="AO57" s="30" t="n">
        <v>3720.472636032693</v>
      </c>
      <c r="AP57" s="30" t="n">
        <v>4146.610323512162</v>
      </c>
      <c r="AQ57" s="30" t="n">
        <v>261.7932638885452</v>
      </c>
      <c r="AR57" s="30" t="n">
        <v>20.58894608202706</v>
      </c>
      <c r="AS57" s="30" t="n">
        <v>348.5809799526461</v>
      </c>
      <c r="AT57" s="30" t="n">
        <v>3845.470256478276</v>
      </c>
      <c r="AU57" s="30" t="n">
        <v>699.6047320757971</v>
      </c>
      <c r="AV57" s="30" t="n">
        <v>251.7862598961208</v>
      </c>
      <c r="AW57" s="30" t="n">
        <v>1301.092504471296</v>
      </c>
      <c r="AX57" s="30" t="n">
        <v>0</v>
      </c>
      <c r="AY57" s="30" t="n">
        <v>809.854734398224</v>
      </c>
      <c r="AZ57" s="30" t="n">
        <v>842.9666866616726</v>
      </c>
      <c r="BA57" s="30" t="n">
        <v>2882.474305145641</v>
      </c>
      <c r="BB57" s="30">
        <f>SUM(C57:BA57)</f>
        <v/>
      </c>
      <c r="BC57" s="30" t="n">
        <v>0</v>
      </c>
      <c r="BD57" s="30" t="n">
        <v>0</v>
      </c>
      <c r="BE57" s="30" t="n">
        <v>0</v>
      </c>
      <c r="BF57" s="30" t="n">
        <v>0</v>
      </c>
      <c r="BG57" s="30">
        <f>SUM(BC57:BF57)</f>
        <v/>
      </c>
      <c r="BH57" s="30">
        <f>BB57+BG57</f>
        <v/>
      </c>
    </row>
    <row r="58">
      <c r="A58" s="28" t="n">
        <v>45</v>
      </c>
      <c r="B58" s="29" t="inlineStr">
        <is>
          <t>Educação mercantil</t>
        </is>
      </c>
      <c r="C58" s="28" t="n">
        <v>0.2369269106822978</v>
      </c>
      <c r="D58" s="28" t="n">
        <v>0.1361644356927275</v>
      </c>
      <c r="E58" s="28" t="n">
        <v>4.280620968819092</v>
      </c>
      <c r="F58" s="28" t="n">
        <v>1.599806639970742</v>
      </c>
      <c r="G58" s="28" t="n">
        <v>0.7153398613120521</v>
      </c>
      <c r="H58" s="28" t="n">
        <v>4.16540358200497</v>
      </c>
      <c r="I58" s="28" t="n">
        <v>0.3536712146046744</v>
      </c>
      <c r="J58" s="28" t="n">
        <v>0.04749163226159982</v>
      </c>
      <c r="K58" s="28" t="n">
        <v>0.06132505285362519</v>
      </c>
      <c r="L58" s="28" t="n">
        <v>0.07987263366971008</v>
      </c>
      <c r="M58" s="28" t="n">
        <v>0.02998258104042278</v>
      </c>
      <c r="N58" s="28" t="n">
        <v>0.8794246683383942</v>
      </c>
      <c r="O58" s="28" t="n">
        <v>0.08485421256370954</v>
      </c>
      <c r="P58" s="28" t="n">
        <v>1.048498780363861</v>
      </c>
      <c r="Q58" s="28" t="n">
        <v>0.1006722732115207</v>
      </c>
      <c r="R58" s="28" t="n">
        <v>0.90830087573066</v>
      </c>
      <c r="S58" s="28" t="n">
        <v>0.08494320241400442</v>
      </c>
      <c r="T58" s="28" t="n">
        <v>1.390467123283509</v>
      </c>
      <c r="U58" s="28" t="n">
        <v>0.7271195363518839</v>
      </c>
      <c r="V58" s="28" t="n">
        <v>0.7074499225539254</v>
      </c>
      <c r="W58" s="28" t="n">
        <v>0.4158734650689043</v>
      </c>
      <c r="X58" s="28" t="n">
        <v>0.124274034283455</v>
      </c>
      <c r="Y58" s="28" t="n">
        <v>0.381068132668108</v>
      </c>
      <c r="Z58" s="28" t="n">
        <v>0.5167651324292019</v>
      </c>
      <c r="AA58" s="28" t="n">
        <v>2.94093983964678</v>
      </c>
      <c r="AB58" s="28" t="n">
        <v>0.9877449773648367</v>
      </c>
      <c r="AC58" s="28" t="n">
        <v>0.9951362847064134</v>
      </c>
      <c r="AD58" s="28" t="n">
        <v>0.6362091419735088</v>
      </c>
      <c r="AE58" s="28" t="n">
        <v>0.8033482949950893</v>
      </c>
      <c r="AF58" s="28" t="n">
        <v>1.083617047461495</v>
      </c>
      <c r="AG58" s="28" t="n">
        <v>3.755423966370734</v>
      </c>
      <c r="AH58" s="28" t="n">
        <v>0.6867015389335043</v>
      </c>
      <c r="AI58" s="28" t="n">
        <v>0.2853033864397885</v>
      </c>
      <c r="AJ58" s="28" t="n">
        <v>0.1637028379228056</v>
      </c>
      <c r="AK58" s="28" t="n">
        <v>3.45442290176508</v>
      </c>
      <c r="AL58" s="28" t="n">
        <v>3.844749346505813</v>
      </c>
      <c r="AM58" s="28" t="n">
        <v>18.71219071449734</v>
      </c>
      <c r="AN58" s="28" t="n">
        <v>19.49856564428406</v>
      </c>
      <c r="AO58" s="28" t="n">
        <v>8.503468235766698</v>
      </c>
      <c r="AP58" s="28" t="n">
        <v>33.56933416040412</v>
      </c>
      <c r="AQ58" s="28" t="n">
        <v>0.639435352071407</v>
      </c>
      <c r="AR58" s="28" t="n">
        <v>5.104025837057579</v>
      </c>
      <c r="AS58" s="28" t="n">
        <v>0.8612951635789208</v>
      </c>
      <c r="AT58" s="28" t="n">
        <v>66.8813941092648</v>
      </c>
      <c r="AU58" s="28" t="n">
        <v>1.715669764728641</v>
      </c>
      <c r="AV58" s="28" t="n">
        <v>0.4637696436394677</v>
      </c>
      <c r="AW58" s="28" t="n">
        <v>5.220132807613626</v>
      </c>
      <c r="AX58" s="28" t="n">
        <v>0</v>
      </c>
      <c r="AY58" s="28" t="n">
        <v>21.25056220744507</v>
      </c>
      <c r="AZ58" s="28" t="n">
        <v>8.989939090432671</v>
      </c>
      <c r="BA58" s="28" t="n">
        <v>14.62160351949827</v>
      </c>
      <c r="BB58" s="28">
        <f>SUM(C58:BA58)</f>
        <v/>
      </c>
      <c r="BC58" s="28" t="n">
        <v>0</v>
      </c>
      <c r="BD58" s="28" t="n">
        <v>0</v>
      </c>
      <c r="BE58" s="28" t="n">
        <v>0</v>
      </c>
      <c r="BF58" s="28" t="n">
        <v>0</v>
      </c>
      <c r="BG58" s="28">
        <f>SUM(BC58:BF58)</f>
        <v/>
      </c>
      <c r="BH58" s="28">
        <f>BB58+BG58</f>
        <v/>
      </c>
    </row>
    <row r="59">
      <c r="A59" s="30" t="n">
        <v>46</v>
      </c>
      <c r="B59" s="31" t="inlineStr">
        <is>
          <t>Saúde mercantil</t>
        </is>
      </c>
      <c r="C59" s="30" t="n">
        <v>-3.053388093730612</v>
      </c>
      <c r="D59" s="30" t="n">
        <v>-0.7881110844016485</v>
      </c>
      <c r="E59" s="30" t="n">
        <v>-1.418560099520212</v>
      </c>
      <c r="F59" s="30" t="n">
        <v>-10.30906490153853</v>
      </c>
      <c r="G59" s="30" t="n">
        <v>-3.51850973826973</v>
      </c>
      <c r="H59" s="30" t="n">
        <v>-139.5223535039823</v>
      </c>
      <c r="I59" s="30" t="n">
        <v>-4.578136230925472</v>
      </c>
      <c r="J59" s="30" t="n">
        <v>-12.88170613839538</v>
      </c>
      <c r="K59" s="30" t="n">
        <v>-11.02446077732167</v>
      </c>
      <c r="L59" s="30" t="n">
        <v>-14.19154092571684</v>
      </c>
      <c r="M59" s="30" t="n">
        <v>-3.1715704854832</v>
      </c>
      <c r="N59" s="30" t="n">
        <v>-26.53866124509107</v>
      </c>
      <c r="O59" s="30" t="n">
        <v>-1.336049458896686</v>
      </c>
      <c r="P59" s="30" t="n">
        <v>-6.539399009761909</v>
      </c>
      <c r="Q59" s="30" t="n">
        <v>-5.605214926189993</v>
      </c>
      <c r="R59" s="30" t="n">
        <v>-5.84061727806704</v>
      </c>
      <c r="S59" s="30" t="n">
        <v>-7.145104715999465</v>
      </c>
      <c r="T59" s="30" t="n">
        <v>-19.41503333334079</v>
      </c>
      <c r="U59" s="30" t="n">
        <v>-5.520247492761306</v>
      </c>
      <c r="V59" s="30" t="n">
        <v>-1.213194258337666</v>
      </c>
      <c r="W59" s="30" t="n">
        <v>-3.4593748870578</v>
      </c>
      <c r="X59" s="30" t="n">
        <v>-8.591097536308865</v>
      </c>
      <c r="Y59" s="30" t="n">
        <v>-24.87769171151426</v>
      </c>
      <c r="Z59" s="30" t="n">
        <v>-20.66984732748226</v>
      </c>
      <c r="AA59" s="30" t="n">
        <v>-23.45997266752973</v>
      </c>
      <c r="AB59" s="30" t="n">
        <v>-8.106653917490476</v>
      </c>
      <c r="AC59" s="30" t="n">
        <v>-17.17514604199356</v>
      </c>
      <c r="AD59" s="30" t="n">
        <v>-62.75612056772918</v>
      </c>
      <c r="AE59" s="30" t="n">
        <v>-16.50937537661624</v>
      </c>
      <c r="AF59" s="30" t="n">
        <v>-18.98125026361675</v>
      </c>
      <c r="AG59" s="30" t="n">
        <v>-7.03035180346861</v>
      </c>
      <c r="AH59" s="30" t="n">
        <v>-0.5229206463624825</v>
      </c>
      <c r="AI59" s="30" t="n">
        <v>-2.67232589019922</v>
      </c>
      <c r="AJ59" s="30" t="n">
        <v>-5.87366685460254</v>
      </c>
      <c r="AK59" s="30" t="n">
        <v>-13.34258584970443</v>
      </c>
      <c r="AL59" s="30" t="n">
        <v>-8.485258826608671</v>
      </c>
      <c r="AM59" s="30" t="n">
        <v>-121.7141054745035</v>
      </c>
      <c r="AN59" s="30" t="n">
        <v>-97.3291702893721</v>
      </c>
      <c r="AO59" s="30" t="n">
        <v>-90.40860357079065</v>
      </c>
      <c r="AP59" s="30" t="n">
        <v>-1.111179376076418</v>
      </c>
      <c r="AQ59" s="30" t="n">
        <v>0.05502765415850589</v>
      </c>
      <c r="AR59" s="30" t="n">
        <v>-0.0457129008455816</v>
      </c>
      <c r="AS59" s="30" t="n">
        <v>-0.5367849789463203</v>
      </c>
      <c r="AT59" s="30" t="n">
        <v>-27.63938635086475</v>
      </c>
      <c r="AU59" s="30" t="n">
        <v>0.3931068344913388</v>
      </c>
      <c r="AV59" s="30" t="n">
        <v>322.7651778792435</v>
      </c>
      <c r="AW59" s="30" t="n">
        <v>-0.6803226186718213</v>
      </c>
      <c r="AX59" s="30" t="n">
        <v>0</v>
      </c>
      <c r="AY59" s="30" t="n">
        <v>-3.635208624547362</v>
      </c>
      <c r="AZ59" s="30" t="n">
        <v>-11.71912543793654</v>
      </c>
      <c r="BA59" s="30" t="n">
        <v>-22.65998376540563</v>
      </c>
      <c r="BB59" s="30">
        <f>SUM(C59:BA59)</f>
        <v/>
      </c>
      <c r="BC59" s="30" t="n">
        <v>0</v>
      </c>
      <c r="BD59" s="30" t="n">
        <v>0</v>
      </c>
      <c r="BE59" s="30" t="n">
        <v>0</v>
      </c>
      <c r="BF59" s="30" t="n">
        <v>0</v>
      </c>
      <c r="BG59" s="30">
        <f>SUM(BC59:BF59)</f>
        <v/>
      </c>
      <c r="BH59" s="30">
        <f>BB59+BG59</f>
        <v/>
      </c>
    </row>
    <row r="60">
      <c r="A60" s="28" t="n">
        <v>47</v>
      </c>
      <c r="B60" s="29" t="inlineStr">
        <is>
          <t>Serviços prestados às famílias e associativas</t>
        </is>
      </c>
      <c r="C60" s="28" t="n">
        <v>1.626439945593176</v>
      </c>
      <c r="D60" s="28" t="n">
        <v>0.794747695512412</v>
      </c>
      <c r="E60" s="28" t="n">
        <v>23.85379732901749</v>
      </c>
      <c r="F60" s="28" t="n">
        <v>5.916634340331226</v>
      </c>
      <c r="G60" s="28" t="n">
        <v>2.585938721335148</v>
      </c>
      <c r="H60" s="28" t="n">
        <v>51.14390270214403</v>
      </c>
      <c r="I60" s="28" t="n">
        <v>3.273320799999806</v>
      </c>
      <c r="J60" s="28" t="n">
        <v>3.348281656195384</v>
      </c>
      <c r="K60" s="28" t="n">
        <v>1.097656195400632</v>
      </c>
      <c r="L60" s="28" t="n">
        <v>1.730830119539697</v>
      </c>
      <c r="M60" s="28" t="n">
        <v>0.8990344839316607</v>
      </c>
      <c r="N60" s="28" t="n">
        <v>20.32723186090048</v>
      </c>
      <c r="O60" s="28" t="n">
        <v>1.643327356875534</v>
      </c>
      <c r="P60" s="28" t="n">
        <v>8.672253689250091</v>
      </c>
      <c r="Q60" s="28" t="n">
        <v>12.58137782643266</v>
      </c>
      <c r="R60" s="28" t="n">
        <v>10.07167910178821</v>
      </c>
      <c r="S60" s="28" t="n">
        <v>0.1178044055190254</v>
      </c>
      <c r="T60" s="28" t="n">
        <v>19.03563689059557</v>
      </c>
      <c r="U60" s="28" t="n">
        <v>9.194948653859122</v>
      </c>
      <c r="V60" s="28" t="n">
        <v>7.511444498172577</v>
      </c>
      <c r="W60" s="28" t="n">
        <v>3.043727042641996</v>
      </c>
      <c r="X60" s="28" t="n">
        <v>11.09043642579232</v>
      </c>
      <c r="Y60" s="28" t="n">
        <v>20.22463972076034</v>
      </c>
      <c r="Z60" s="28" t="n">
        <v>7.70067597206971</v>
      </c>
      <c r="AA60" s="28" t="n">
        <v>8.421618439829514</v>
      </c>
      <c r="AB60" s="28" t="n">
        <v>3.08816161211934</v>
      </c>
      <c r="AC60" s="28" t="n">
        <v>6.252998149064633</v>
      </c>
      <c r="AD60" s="28" t="n">
        <v>14.02477426651379</v>
      </c>
      <c r="AE60" s="28" t="n">
        <v>10.67794220909379</v>
      </c>
      <c r="AF60" s="28" t="n">
        <v>12.68614464425899</v>
      </c>
      <c r="AG60" s="28" t="n">
        <v>44.98056040730996</v>
      </c>
      <c r="AH60" s="28" t="n">
        <v>9.355497959415869</v>
      </c>
      <c r="AI60" s="28" t="n">
        <v>6.260790186926892</v>
      </c>
      <c r="AJ60" s="28" t="n">
        <v>5.095396215894553</v>
      </c>
      <c r="AK60" s="28" t="n">
        <v>44.21092493730126</v>
      </c>
      <c r="AL60" s="28" t="n">
        <v>62.91789067260405</v>
      </c>
      <c r="AM60" s="28" t="n">
        <v>280.2665682869678</v>
      </c>
      <c r="AN60" s="28" t="n">
        <v>111.7007646835296</v>
      </c>
      <c r="AO60" s="28" t="n">
        <v>271.0159188831141</v>
      </c>
      <c r="AP60" s="28" t="n">
        <v>180.4039790982776</v>
      </c>
      <c r="AQ60" s="28" t="n">
        <v>30.56646404379707</v>
      </c>
      <c r="AR60" s="28" t="n">
        <v>2.551184882002974</v>
      </c>
      <c r="AS60" s="28" t="n">
        <v>48.2110988328036</v>
      </c>
      <c r="AT60" s="28" t="n">
        <v>146.8775979155023</v>
      </c>
      <c r="AU60" s="28" t="n">
        <v>53.64360869691252</v>
      </c>
      <c r="AV60" s="28" t="n">
        <v>120.1331961040279</v>
      </c>
      <c r="AW60" s="28" t="n">
        <v>254.3319424726048</v>
      </c>
      <c r="AX60" s="28" t="n">
        <v>0</v>
      </c>
      <c r="AY60" s="28" t="n">
        <v>72.33929440977491</v>
      </c>
      <c r="AZ60" s="28" t="n">
        <v>93.89875528774814</v>
      </c>
      <c r="BA60" s="28" t="n">
        <v>164.3060841247665</v>
      </c>
      <c r="BB60" s="28">
        <f>SUM(C60:BA60)</f>
        <v/>
      </c>
      <c r="BC60" s="28" t="n">
        <v>0</v>
      </c>
      <c r="BD60" s="28" t="n">
        <v>0</v>
      </c>
      <c r="BE60" s="28" t="n">
        <v>0</v>
      </c>
      <c r="BF60" s="28" t="n">
        <v>0</v>
      </c>
      <c r="BG60" s="28">
        <f>SUM(BC60:BF60)</f>
        <v/>
      </c>
      <c r="BH60" s="28">
        <f>BB60+BG60</f>
        <v/>
      </c>
    </row>
    <row r="61">
      <c r="A61" s="30" t="n">
        <v>48</v>
      </c>
      <c r="B61" s="31" t="inlineStr">
        <is>
          <t>Serviços domésticos</t>
        </is>
      </c>
      <c r="C61" s="30" t="n">
        <v>0</v>
      </c>
      <c r="D61" s="30" t="n">
        <v>0</v>
      </c>
      <c r="E61" s="30" t="n">
        <v>0</v>
      </c>
      <c r="F61" s="30" t="n">
        <v>0</v>
      </c>
      <c r="G61" s="30" t="n">
        <v>0</v>
      </c>
      <c r="H61" s="30" t="n">
        <v>0</v>
      </c>
      <c r="I61" s="30" t="n">
        <v>0</v>
      </c>
      <c r="J61" s="30" t="n">
        <v>0</v>
      </c>
      <c r="K61" s="30" t="n">
        <v>0</v>
      </c>
      <c r="L61" s="30" t="n">
        <v>0</v>
      </c>
      <c r="M61" s="30" t="n">
        <v>0</v>
      </c>
      <c r="N61" s="30" t="n">
        <v>0</v>
      </c>
      <c r="O61" s="30" t="n">
        <v>0</v>
      </c>
      <c r="P61" s="30" t="n">
        <v>0</v>
      </c>
      <c r="Q61" s="30" t="n">
        <v>0</v>
      </c>
      <c r="R61" s="30" t="n">
        <v>0</v>
      </c>
      <c r="S61" s="30" t="n">
        <v>0</v>
      </c>
      <c r="T61" s="30" t="n">
        <v>0</v>
      </c>
      <c r="U61" s="30" t="n">
        <v>0</v>
      </c>
      <c r="V61" s="30" t="n">
        <v>0</v>
      </c>
      <c r="W61" s="30" t="n">
        <v>0</v>
      </c>
      <c r="X61" s="30" t="n">
        <v>0</v>
      </c>
      <c r="Y61" s="30" t="n">
        <v>0</v>
      </c>
      <c r="Z61" s="30" t="n">
        <v>0</v>
      </c>
      <c r="AA61" s="30" t="n">
        <v>0</v>
      </c>
      <c r="AB61" s="30" t="n">
        <v>0</v>
      </c>
      <c r="AC61" s="30" t="n">
        <v>0</v>
      </c>
      <c r="AD61" s="30" t="n">
        <v>0</v>
      </c>
      <c r="AE61" s="30" t="n">
        <v>0</v>
      </c>
      <c r="AF61" s="30" t="n">
        <v>0</v>
      </c>
      <c r="AG61" s="30" t="n">
        <v>0</v>
      </c>
      <c r="AH61" s="30" t="n">
        <v>0</v>
      </c>
      <c r="AI61" s="30" t="n">
        <v>0</v>
      </c>
      <c r="AJ61" s="30" t="n">
        <v>0</v>
      </c>
      <c r="AK61" s="30" t="n">
        <v>0</v>
      </c>
      <c r="AL61" s="30" t="n">
        <v>0</v>
      </c>
      <c r="AM61" s="30" t="n">
        <v>0</v>
      </c>
      <c r="AN61" s="30" t="n">
        <v>0</v>
      </c>
      <c r="AO61" s="30" t="n">
        <v>0</v>
      </c>
      <c r="AP61" s="30" t="n">
        <v>0</v>
      </c>
      <c r="AQ61" s="30" t="n">
        <v>0</v>
      </c>
      <c r="AR61" s="30" t="n">
        <v>0</v>
      </c>
      <c r="AS61" s="30" t="n">
        <v>0</v>
      </c>
      <c r="AT61" s="30" t="n">
        <v>0</v>
      </c>
      <c r="AU61" s="30" t="n">
        <v>0</v>
      </c>
      <c r="AV61" s="30" t="n">
        <v>0</v>
      </c>
      <c r="AW61" s="30" t="n">
        <v>0</v>
      </c>
      <c r="AX61" s="30" t="n">
        <v>0</v>
      </c>
      <c r="AY61" s="30" t="n">
        <v>0</v>
      </c>
      <c r="AZ61" s="30" t="n">
        <v>0</v>
      </c>
      <c r="BA61" s="30" t="n">
        <v>0</v>
      </c>
      <c r="BB61" s="30">
        <f>SUM(C61:BA61)</f>
        <v/>
      </c>
      <c r="BC61" s="30" t="n">
        <v>0</v>
      </c>
      <c r="BD61" s="30" t="n">
        <v>0</v>
      </c>
      <c r="BE61" s="30" t="n">
        <v>0</v>
      </c>
      <c r="BF61" s="30" t="n">
        <v>0</v>
      </c>
      <c r="BG61" s="30">
        <f>SUM(BC61:BF61)</f>
        <v/>
      </c>
      <c r="BH61" s="30">
        <f>BB61+BG61</f>
        <v/>
      </c>
    </row>
    <row r="62">
      <c r="A62" s="28" t="n">
        <v>49</v>
      </c>
      <c r="B62" s="29" t="inlineStr">
        <is>
          <t>Educação pública</t>
        </is>
      </c>
      <c r="C62" s="28" t="n">
        <v>3.312336603608485</v>
      </c>
      <c r="D62" s="28" t="n">
        <v>1.936946957815117</v>
      </c>
      <c r="E62" s="28" t="n">
        <v>52.00931931203336</v>
      </c>
      <c r="F62" s="28" t="n">
        <v>6.533617238159729</v>
      </c>
      <c r="G62" s="28" t="n">
        <v>6.215034942999673</v>
      </c>
      <c r="H62" s="28" t="n">
        <v>82.26515969079767</v>
      </c>
      <c r="I62" s="28" t="n">
        <v>5.728586054059816</v>
      </c>
      <c r="J62" s="28" t="n">
        <v>3.090789135226228</v>
      </c>
      <c r="K62" s="28" t="n">
        <v>3.17774133071207</v>
      </c>
      <c r="L62" s="28" t="n">
        <v>4.10075014453994</v>
      </c>
      <c r="M62" s="28" t="n">
        <v>1.081773289281775</v>
      </c>
      <c r="N62" s="28" t="n">
        <v>10.51303337735583</v>
      </c>
      <c r="O62" s="28" t="n">
        <v>1.728758137754475</v>
      </c>
      <c r="P62" s="28" t="n">
        <v>14.2762805355563</v>
      </c>
      <c r="Q62" s="28" t="n">
        <v>2.55211581130278</v>
      </c>
      <c r="R62" s="28" t="n">
        <v>11.72247545522709</v>
      </c>
      <c r="S62" s="28" t="n">
        <v>2.666405952323494</v>
      </c>
      <c r="T62" s="28" t="n">
        <v>22.82820004492923</v>
      </c>
      <c r="U62" s="28" t="n">
        <v>7.160906961826447</v>
      </c>
      <c r="V62" s="28" t="n">
        <v>9.76470216138677</v>
      </c>
      <c r="W62" s="28" t="n">
        <v>5.524189797257245</v>
      </c>
      <c r="X62" s="28" t="n">
        <v>3.511692827636384</v>
      </c>
      <c r="Y62" s="28" t="n">
        <v>9.881851199766206</v>
      </c>
      <c r="Z62" s="28" t="n">
        <v>11.35682839430178</v>
      </c>
      <c r="AA62" s="28" t="n">
        <v>8.568192403834368</v>
      </c>
      <c r="AB62" s="28" t="n">
        <v>4.204018534842367</v>
      </c>
      <c r="AC62" s="28" t="n">
        <v>7.508811984691044</v>
      </c>
      <c r="AD62" s="28" t="n">
        <v>16.39583691066141</v>
      </c>
      <c r="AE62" s="28" t="n">
        <v>14.31848381353683</v>
      </c>
      <c r="AF62" s="28" t="n">
        <v>18.36466571946523</v>
      </c>
      <c r="AG62" s="28" t="n">
        <v>35.80444903416892</v>
      </c>
      <c r="AH62" s="28" t="n">
        <v>8.612265395614532</v>
      </c>
      <c r="AI62" s="28" t="n">
        <v>4.405350264684577</v>
      </c>
      <c r="AJ62" s="28" t="n">
        <v>3.457322688894803</v>
      </c>
      <c r="AK62" s="28" t="n">
        <v>34.01633686627758</v>
      </c>
      <c r="AL62" s="28" t="n">
        <v>52.94435252052755</v>
      </c>
      <c r="AM62" s="28" t="n">
        <v>177.5409270317436</v>
      </c>
      <c r="AN62" s="28" t="n">
        <v>73.37587972157087</v>
      </c>
      <c r="AO62" s="28" t="n">
        <v>123.0170432349634</v>
      </c>
      <c r="AP62" s="28" t="n">
        <v>136.7589932782018</v>
      </c>
      <c r="AQ62" s="28" t="n">
        <v>8.632329572862822</v>
      </c>
      <c r="AR62" s="28" t="n">
        <v>0.7188129974813706</v>
      </c>
      <c r="AS62" s="28" t="n">
        <v>11.42985231847171</v>
      </c>
      <c r="AT62" s="28" t="n">
        <v>127.5547134546508</v>
      </c>
      <c r="AU62" s="28" t="n">
        <v>22.98455888758198</v>
      </c>
      <c r="AV62" s="28" t="n">
        <v>8.396173037093746</v>
      </c>
      <c r="AW62" s="28" t="n">
        <v>42.95307577919108</v>
      </c>
      <c r="AX62" s="28" t="n">
        <v>0</v>
      </c>
      <c r="AY62" s="28" t="n">
        <v>26.84731021860926</v>
      </c>
      <c r="AZ62" s="28" t="n">
        <v>27.72825714446912</v>
      </c>
      <c r="BA62" s="28" t="n">
        <v>94.97538057668734</v>
      </c>
      <c r="BB62" s="28">
        <f>SUM(C62:BA62)</f>
        <v/>
      </c>
      <c r="BC62" s="28" t="n">
        <v>0</v>
      </c>
      <c r="BD62" s="28" t="n">
        <v>0</v>
      </c>
      <c r="BE62" s="28" t="n">
        <v>0</v>
      </c>
      <c r="BF62" s="28" t="n">
        <v>0</v>
      </c>
      <c r="BG62" s="28">
        <f>SUM(BC62:BF62)</f>
        <v/>
      </c>
      <c r="BH62" s="28">
        <f>BB62+BG62</f>
        <v/>
      </c>
    </row>
    <row r="63">
      <c r="A63" s="30" t="n">
        <v>50</v>
      </c>
      <c r="B63" s="31" t="inlineStr">
        <is>
          <t>Saúde pública</t>
        </is>
      </c>
      <c r="C63" s="30" t="n">
        <v>0.3224110981510065</v>
      </c>
      <c r="D63" s="30" t="n">
        <v>0.2883566960066266</v>
      </c>
      <c r="E63" s="30" t="n">
        <v>4.854247233279755</v>
      </c>
      <c r="F63" s="30" t="n">
        <v>0.6109352430615175</v>
      </c>
      <c r="G63" s="30" t="n">
        <v>0.5797466935455992</v>
      </c>
      <c r="H63" s="30" t="n">
        <v>7.657784565728859</v>
      </c>
      <c r="I63" s="30" t="n">
        <v>0.5352756547191544</v>
      </c>
      <c r="J63" s="30" t="n">
        <v>0.2917278034261021</v>
      </c>
      <c r="K63" s="30" t="n">
        <v>0.2993785933954115</v>
      </c>
      <c r="L63" s="30" t="n">
        <v>0.3868709079808602</v>
      </c>
      <c r="M63" s="30" t="n">
        <v>0.1016433537077164</v>
      </c>
      <c r="N63" s="30" t="n">
        <v>0.9843494312152681</v>
      </c>
      <c r="O63" s="30" t="n">
        <v>0.133190647221461</v>
      </c>
      <c r="P63" s="30" t="n">
        <v>1.332128641244304</v>
      </c>
      <c r="Q63" s="30" t="n">
        <v>0.2392535421382218</v>
      </c>
      <c r="R63" s="30" t="n">
        <v>1.093692587496319</v>
      </c>
      <c r="S63" s="30" t="n">
        <v>0.2507861557119989</v>
      </c>
      <c r="T63" s="30" t="n">
        <v>2.295294044669487</v>
      </c>
      <c r="U63" s="30" t="n">
        <v>0.6775787102700173</v>
      </c>
      <c r="V63" s="30" t="n">
        <v>0.910013301777851</v>
      </c>
      <c r="W63" s="30" t="n">
        <v>0.5157450944825859</v>
      </c>
      <c r="X63" s="30" t="n">
        <v>0.3294214615696581</v>
      </c>
      <c r="Y63" s="30" t="n">
        <v>0.9285416565280125</v>
      </c>
      <c r="Z63" s="30" t="n">
        <v>1.064713197917188</v>
      </c>
      <c r="AA63" s="30" t="n">
        <v>0.8028473738549026</v>
      </c>
      <c r="AB63" s="30" t="n">
        <v>0.393421028310656</v>
      </c>
      <c r="AC63" s="30" t="n">
        <v>0.7043377852331782</v>
      </c>
      <c r="AD63" s="30" t="n">
        <v>1.548501605138648</v>
      </c>
      <c r="AE63" s="30" t="n">
        <v>1.339390343308974</v>
      </c>
      <c r="AF63" s="30" t="n">
        <v>1.71485279551288</v>
      </c>
      <c r="AG63" s="30" t="n">
        <v>3.336179373755698</v>
      </c>
      <c r="AH63" s="30" t="n">
        <v>0.8017802175667882</v>
      </c>
      <c r="AI63" s="30" t="n">
        <v>0.4111351455606198</v>
      </c>
      <c r="AJ63" s="30" t="n">
        <v>0.3235537932860128</v>
      </c>
      <c r="AK63" s="30" t="n">
        <v>3.166719707081885</v>
      </c>
      <c r="AL63" s="30" t="n">
        <v>4.93228180713961</v>
      </c>
      <c r="AM63" s="30" t="n">
        <v>16.46442065734505</v>
      </c>
      <c r="AN63" s="30" t="n">
        <v>6.849694952150496</v>
      </c>
      <c r="AO63" s="30" t="n">
        <v>11.39754062490907</v>
      </c>
      <c r="AP63" s="30" t="n">
        <v>12.67732160135899</v>
      </c>
      <c r="AQ63" s="30" t="n">
        <v>0.7979480292286091</v>
      </c>
      <c r="AR63" s="30" t="n">
        <v>0.06198091843002666</v>
      </c>
      <c r="AS63" s="30" t="n">
        <v>1.05794233259525</v>
      </c>
      <c r="AT63" s="30" t="n">
        <v>11.74131181780584</v>
      </c>
      <c r="AU63" s="30" t="n">
        <v>2.143019107328318</v>
      </c>
      <c r="AV63" s="30" t="n">
        <v>7.778833329263583</v>
      </c>
      <c r="AW63" s="30" t="n">
        <v>3.973795872387068</v>
      </c>
      <c r="AX63" s="30" t="n">
        <v>0</v>
      </c>
      <c r="AY63" s="30" t="n">
        <v>2.497337708347334</v>
      </c>
      <c r="AZ63" s="30" t="n">
        <v>2.722169730888107</v>
      </c>
      <c r="BA63" s="30" t="n">
        <v>8.857111705057013</v>
      </c>
      <c r="BB63" s="30">
        <f>SUM(C63:BA63)</f>
        <v/>
      </c>
      <c r="BC63" s="30" t="n">
        <v>0</v>
      </c>
      <c r="BD63" s="30" t="n">
        <v>0</v>
      </c>
      <c r="BE63" s="30" t="n">
        <v>0</v>
      </c>
      <c r="BF63" s="30" t="n">
        <v>0</v>
      </c>
      <c r="BG63" s="30">
        <f>SUM(BC63:BF63)</f>
        <v/>
      </c>
      <c r="BH63" s="30">
        <f>BB63+BG63</f>
        <v/>
      </c>
    </row>
    <row r="64">
      <c r="A64" s="28" t="n">
        <v>51</v>
      </c>
      <c r="B64" s="29" t="inlineStr">
        <is>
          <t>Administração pública e seguridade social</t>
        </is>
      </c>
      <c r="C64" s="28" t="n">
        <v>117.7143582640055</v>
      </c>
      <c r="D64" s="28" t="n">
        <v>33.99489017862177</v>
      </c>
      <c r="E64" s="28" t="n">
        <v>78.52946507388113</v>
      </c>
      <c r="F64" s="28" t="n">
        <v>8.352918352425373</v>
      </c>
      <c r="G64" s="28" t="n">
        <v>11.34546846225899</v>
      </c>
      <c r="H64" s="28" t="n">
        <v>331.0657173254889</v>
      </c>
      <c r="I64" s="28" t="n">
        <v>8.273416977548706</v>
      </c>
      <c r="J64" s="28" t="n">
        <v>6.726710512328181</v>
      </c>
      <c r="K64" s="28" t="n">
        <v>11.91612015369406</v>
      </c>
      <c r="L64" s="28" t="n">
        <v>5.79767904608133</v>
      </c>
      <c r="M64" s="28" t="n">
        <v>4.29205182773649</v>
      </c>
      <c r="N64" s="28" t="n">
        <v>25.71417733225466</v>
      </c>
      <c r="O64" s="28" t="n">
        <v>40.25290965603347</v>
      </c>
      <c r="P64" s="28" t="n">
        <v>19.93553588408318</v>
      </c>
      <c r="Q64" s="28" t="n">
        <v>3.055851948956203</v>
      </c>
      <c r="R64" s="28" t="n">
        <v>94.13464021010947</v>
      </c>
      <c r="S64" s="28" t="n">
        <v>8.888614934582758</v>
      </c>
      <c r="T64" s="28" t="n">
        <v>39.41136373178551</v>
      </c>
      <c r="U64" s="28" t="n">
        <v>12.0329106610051</v>
      </c>
      <c r="V64" s="28" t="n">
        <v>18.33961885712395</v>
      </c>
      <c r="W64" s="28" t="n">
        <v>16.7323918326981</v>
      </c>
      <c r="X64" s="28" t="n">
        <v>10.8701371469092</v>
      </c>
      <c r="Y64" s="28" t="n">
        <v>18.11034217679229</v>
      </c>
      <c r="Z64" s="28" t="n">
        <v>27.41689714739821</v>
      </c>
      <c r="AA64" s="28" t="n">
        <v>20.93528786781109</v>
      </c>
      <c r="AB64" s="28" t="n">
        <v>13.91676453561326</v>
      </c>
      <c r="AC64" s="28" t="n">
        <v>14.16455737101961</v>
      </c>
      <c r="AD64" s="28" t="n">
        <v>32.14962832291294</v>
      </c>
      <c r="AE64" s="28" t="n">
        <v>21.83290441515481</v>
      </c>
      <c r="AF64" s="28" t="n">
        <v>28.23760270698892</v>
      </c>
      <c r="AG64" s="28" t="n">
        <v>48.9248366712478</v>
      </c>
      <c r="AH64" s="28" t="n">
        <v>15.39623647907874</v>
      </c>
      <c r="AI64" s="28" t="n">
        <v>7.712739253891732</v>
      </c>
      <c r="AJ64" s="28" t="n">
        <v>6.156568388103135</v>
      </c>
      <c r="AK64" s="28" t="n">
        <v>130.1550681641695</v>
      </c>
      <c r="AL64" s="28" t="n">
        <v>94.28005023523168</v>
      </c>
      <c r="AM64" s="28" t="n">
        <v>394.9612902119701</v>
      </c>
      <c r="AN64" s="28" t="n">
        <v>63.60876340136467</v>
      </c>
      <c r="AO64" s="28" t="n">
        <v>315.2498232804419</v>
      </c>
      <c r="AP64" s="28" t="n">
        <v>272.6475770595068</v>
      </c>
      <c r="AQ64" s="28" t="n">
        <v>22.16193580125899</v>
      </c>
      <c r="AR64" s="28" t="n">
        <v>1.609350733167393</v>
      </c>
      <c r="AS64" s="28" t="n">
        <v>28.96945883099397</v>
      </c>
      <c r="AT64" s="28" t="n">
        <v>334.7054921949677</v>
      </c>
      <c r="AU64" s="28" t="n">
        <v>47.6894420206005</v>
      </c>
      <c r="AV64" s="28" t="n">
        <v>35.39518742503543</v>
      </c>
      <c r="AW64" s="28" t="n">
        <v>163.5537007647827</v>
      </c>
      <c r="AX64" s="28" t="n">
        <v>0</v>
      </c>
      <c r="AY64" s="28" t="n">
        <v>58.88574806157688</v>
      </c>
      <c r="AZ64" s="28" t="n">
        <v>57.19521862488099</v>
      </c>
      <c r="BA64" s="28" t="n">
        <v>207.4790608581381</v>
      </c>
      <c r="BB64" s="28">
        <f>SUM(C64:BA64)</f>
        <v/>
      </c>
      <c r="BC64" s="28" t="n">
        <v>0</v>
      </c>
      <c r="BD64" s="28" t="n">
        <v>0</v>
      </c>
      <c r="BE64" s="28" t="n">
        <v>0</v>
      </c>
      <c r="BF64" s="28" t="n">
        <v>0</v>
      </c>
      <c r="BG64" s="28">
        <f>SUM(BC64:BF64)</f>
        <v/>
      </c>
      <c r="BH64" s="28">
        <f>BB64+BG64</f>
        <v/>
      </c>
    </row>
    <row r="65">
      <c r="B65" s="32" t="inlineStr">
        <is>
          <t>Total consumo intermedio</t>
        </is>
      </c>
      <c r="C65" s="33">
        <f>SUM(C14:C64)</f>
        <v/>
      </c>
      <c r="D65" s="33">
        <f>SUM(D14:D64)</f>
        <v/>
      </c>
      <c r="E65" s="33">
        <f>SUM(E14:E64)</f>
        <v/>
      </c>
      <c r="F65" s="33">
        <f>SUM(F14:F64)</f>
        <v/>
      </c>
      <c r="G65" s="33">
        <f>SUM(G14:G64)</f>
        <v/>
      </c>
      <c r="H65" s="33">
        <f>SUM(H14:H64)</f>
        <v/>
      </c>
      <c r="I65" s="33">
        <f>SUM(I14:I64)</f>
        <v/>
      </c>
      <c r="J65" s="33">
        <f>SUM(J14:J64)</f>
        <v/>
      </c>
      <c r="K65" s="33">
        <f>SUM(K14:K64)</f>
        <v/>
      </c>
      <c r="L65" s="33">
        <f>SUM(L14:L64)</f>
        <v/>
      </c>
      <c r="M65" s="33">
        <f>SUM(M14:M64)</f>
        <v/>
      </c>
      <c r="N65" s="33">
        <f>SUM(N14:N64)</f>
        <v/>
      </c>
      <c r="O65" s="33">
        <f>SUM(O14:O64)</f>
        <v/>
      </c>
      <c r="P65" s="33">
        <f>SUM(P14:P64)</f>
        <v/>
      </c>
      <c r="Q65" s="33">
        <f>SUM(Q14:Q64)</f>
        <v/>
      </c>
      <c r="R65" s="33">
        <f>SUM(R14:R64)</f>
        <v/>
      </c>
      <c r="S65" s="33">
        <f>SUM(S14:S64)</f>
        <v/>
      </c>
      <c r="T65" s="33">
        <f>SUM(T14:T64)</f>
        <v/>
      </c>
      <c r="U65" s="33">
        <f>SUM(U14:U64)</f>
        <v/>
      </c>
      <c r="V65" s="33">
        <f>SUM(V14:V64)</f>
        <v/>
      </c>
      <c r="W65" s="33">
        <f>SUM(W14:W64)</f>
        <v/>
      </c>
      <c r="X65" s="33">
        <f>SUM(X14:X64)</f>
        <v/>
      </c>
      <c r="Y65" s="33">
        <f>SUM(Y14:Y64)</f>
        <v/>
      </c>
      <c r="Z65" s="33">
        <f>SUM(Z14:Z64)</f>
        <v/>
      </c>
      <c r="AA65" s="33">
        <f>SUM(AA14:AA64)</f>
        <v/>
      </c>
      <c r="AB65" s="33">
        <f>SUM(AB14:AB64)</f>
        <v/>
      </c>
      <c r="AC65" s="33">
        <f>SUM(AC14:AC64)</f>
        <v/>
      </c>
      <c r="AD65" s="33">
        <f>SUM(AD14:AD64)</f>
        <v/>
      </c>
      <c r="AE65" s="33">
        <f>SUM(AE14:AE64)</f>
        <v/>
      </c>
      <c r="AF65" s="33">
        <f>SUM(AF14:AF64)</f>
        <v/>
      </c>
      <c r="AG65" s="33">
        <f>SUM(AG14:AG64)</f>
        <v/>
      </c>
      <c r="AH65" s="33">
        <f>SUM(AH14:AH64)</f>
        <v/>
      </c>
      <c r="AI65" s="33">
        <f>SUM(AI14:AI64)</f>
        <v/>
      </c>
      <c r="AJ65" s="33">
        <f>SUM(AJ14:AJ64)</f>
        <v/>
      </c>
      <c r="AK65" s="33">
        <f>SUM(AK14:AK64)</f>
        <v/>
      </c>
      <c r="AL65" s="33">
        <f>SUM(AL14:AL64)</f>
        <v/>
      </c>
      <c r="AM65" s="33">
        <f>SUM(AM14:AM64)</f>
        <v/>
      </c>
      <c r="AN65" s="33">
        <f>SUM(AN14:AN64)</f>
        <v/>
      </c>
      <c r="AO65" s="33">
        <f>SUM(AO14:AO64)</f>
        <v/>
      </c>
      <c r="AP65" s="33">
        <f>SUM(AP14:AP64)</f>
        <v/>
      </c>
      <c r="AQ65" s="33">
        <f>SUM(AQ14:AQ64)</f>
        <v/>
      </c>
      <c r="AR65" s="33">
        <f>SUM(AR14:AR64)</f>
        <v/>
      </c>
      <c r="AS65" s="33">
        <f>SUM(AS14:AS64)</f>
        <v/>
      </c>
      <c r="AT65" s="33">
        <f>SUM(AT14:AT64)</f>
        <v/>
      </c>
      <c r="AU65" s="33">
        <f>SUM(AU14:AU64)</f>
        <v/>
      </c>
      <c r="AV65" s="33">
        <f>SUM(AV14:AV64)</f>
        <v/>
      </c>
      <c r="AW65" s="33">
        <f>SUM(AW14:AW64)</f>
        <v/>
      </c>
      <c r="AX65" s="33">
        <f>SUM(AX14:AX64)</f>
        <v/>
      </c>
      <c r="AY65" s="33">
        <f>SUM(AY14:AY64)</f>
        <v/>
      </c>
      <c r="AZ65" s="33">
        <f>SUM(AZ14:AZ64)</f>
        <v/>
      </c>
      <c r="BA65" s="33">
        <f>SUM(BA14:BA64)</f>
        <v/>
      </c>
      <c r="BB65" s="33">
        <f>SUM(BB14:BB64)</f>
        <v/>
      </c>
      <c r="BC65" s="33">
        <f>SUM(BC14:BC64)</f>
        <v/>
      </c>
      <c r="BD65" s="33">
        <f>SUM(BD14:BD64)</f>
        <v/>
      </c>
      <c r="BE65" s="33">
        <f>SUM(BE14:BE64)</f>
        <v/>
      </c>
      <c r="BF65" s="33">
        <f>SUM(BF14:BF64)</f>
        <v/>
      </c>
      <c r="BG65" s="33">
        <f>SUM(BG14:BG64)</f>
        <v/>
      </c>
      <c r="BH65" s="33">
        <f>SUM(BH14:BH64)</f>
        <v/>
      </c>
    </row>
    <row r="66"/>
    <row r="67">
      <c r="B67" s="32" t="inlineStr">
        <is>
          <t>Ajuste intermedio no asignado a matriz</t>
        </is>
      </c>
      <c r="C67" s="33" t="n">
        <v>-1.091393642127514e-11</v>
      </c>
      <c r="D67" s="33" t="n">
        <v>-7.275957614183426e-12</v>
      </c>
      <c r="E67" s="33" t="n">
        <v>0</v>
      </c>
      <c r="F67" s="33" t="n">
        <v>1.477928890381008e-12</v>
      </c>
      <c r="G67" s="33" t="n">
        <v>-4.547473508864641e-13</v>
      </c>
      <c r="H67" s="33" t="n">
        <v>9.094947017729282e-12</v>
      </c>
      <c r="I67" s="33" t="n">
        <v>1.70530256582424e-13</v>
      </c>
      <c r="J67" s="33" t="n">
        <v>-1.818989403545856e-12</v>
      </c>
      <c r="K67" s="33" t="n">
        <v>2.728484105318785e-12</v>
      </c>
      <c r="L67" s="33" t="n">
        <v>2.501110429875553e-12</v>
      </c>
      <c r="M67" s="33" t="n">
        <v>2.273736754432321e-13</v>
      </c>
      <c r="N67" s="33" t="n">
        <v>4.092726157978177e-12</v>
      </c>
      <c r="O67" s="33" t="n">
        <v>-4.547473508864641e-13</v>
      </c>
      <c r="P67" s="33" t="n">
        <v>7.275957614183426e-12</v>
      </c>
      <c r="Q67" s="33" t="n">
        <v>1.13686837721616e-13</v>
      </c>
      <c r="R67" s="33" t="n">
        <v>5.456968210637569e-12</v>
      </c>
      <c r="S67" s="33" t="n">
        <v>2.728484105318785e-12</v>
      </c>
      <c r="T67" s="33" t="n">
        <v>-4.547473508864641e-13</v>
      </c>
      <c r="U67" s="33" t="n">
        <v>1.364242052659392e-12</v>
      </c>
      <c r="V67" s="33" t="n">
        <v>-9.094947017729282e-13</v>
      </c>
      <c r="W67" s="33" t="n">
        <v>2.273736754432321e-12</v>
      </c>
      <c r="X67" s="33" t="n">
        <v>6.821210263296962e-13</v>
      </c>
      <c r="Y67" s="33" t="n">
        <v>4.547473508864641e-12</v>
      </c>
      <c r="Z67" s="33" t="n">
        <v>5.002220859751105e-12</v>
      </c>
      <c r="AA67" s="33" t="n">
        <v>5.456968210637569e-12</v>
      </c>
      <c r="AB67" s="33" t="n">
        <v>1.818989403545856e-12</v>
      </c>
      <c r="AC67" s="33" t="n">
        <v>-1.818989403545856e-12</v>
      </c>
      <c r="AD67" s="33" t="n">
        <v>1.182343112304807e-11</v>
      </c>
      <c r="AE67" s="33" t="n">
        <v>2.728484105318785e-12</v>
      </c>
      <c r="AF67" s="33" t="n">
        <v>-1.818989403545856e-12</v>
      </c>
      <c r="AG67" s="33" t="n">
        <v>-3.637978807091713e-12</v>
      </c>
      <c r="AH67" s="33" t="n">
        <v>0</v>
      </c>
      <c r="AI67" s="33" t="n">
        <v>0</v>
      </c>
      <c r="AJ67" s="33" t="n">
        <v>1.818989403545856e-12</v>
      </c>
      <c r="AK67" s="33" t="n">
        <v>0</v>
      </c>
      <c r="AL67" s="33" t="n">
        <v>7.275957614183426e-12</v>
      </c>
      <c r="AM67" s="33" t="n">
        <v>7.275957614183426e-12</v>
      </c>
      <c r="AN67" s="33" t="n">
        <v>1.091393642127514e-11</v>
      </c>
      <c r="AO67" s="33" t="n">
        <v>7.275957614183426e-12</v>
      </c>
      <c r="AP67" s="33" t="n">
        <v>0</v>
      </c>
      <c r="AQ67" s="33" t="n">
        <v>-4.547473508864641e-13</v>
      </c>
      <c r="AR67" s="33" t="n">
        <v>-2.273736754432321e-13</v>
      </c>
      <c r="AS67" s="33" t="n">
        <v>3.637978807091713e-12</v>
      </c>
      <c r="AT67" s="33" t="n">
        <v>3.637978807091713e-12</v>
      </c>
      <c r="AU67" s="33" t="n">
        <v>0</v>
      </c>
      <c r="AV67" s="33" t="n">
        <v>3.637978807091713e-12</v>
      </c>
      <c r="AW67" s="33" t="n">
        <v>-3.637978807091713e-12</v>
      </c>
      <c r="AX67" s="33" t="n">
        <v>0</v>
      </c>
      <c r="AY67" s="33" t="n">
        <v>-9.094947017729282e-13</v>
      </c>
      <c r="AZ67" s="33" t="n">
        <v>9.094947017729282e-13</v>
      </c>
      <c r="BA67" s="33" t="n">
        <v>1.818989403545856e-12</v>
      </c>
      <c r="BH67" s="33">
        <f>SUM(C67:BA67)</f>
        <v/>
      </c>
    </row>
    <row r="68"/>
    <row r="69">
      <c r="B69" s="32" t="inlineStr">
        <is>
          <t>Sin valor agregado</t>
        </is>
      </c>
      <c r="C69" s="33" t="n">
        <v>0</v>
      </c>
      <c r="D69" s="33" t="n">
        <v>0</v>
      </c>
      <c r="E69" s="33" t="n">
        <v>0</v>
      </c>
      <c r="F69" s="33" t="n">
        <v>0</v>
      </c>
      <c r="G69" s="33" t="n">
        <v>0</v>
      </c>
      <c r="H69" s="33" t="n">
        <v>0</v>
      </c>
      <c r="I69" s="33" t="n">
        <v>0</v>
      </c>
      <c r="J69" s="33" t="n">
        <v>0</v>
      </c>
      <c r="K69" s="33" t="n">
        <v>0</v>
      </c>
      <c r="L69" s="33" t="n">
        <v>0</v>
      </c>
      <c r="M69" s="33" t="n">
        <v>0</v>
      </c>
      <c r="N69" s="33" t="n">
        <v>0</v>
      </c>
      <c r="O69" s="33" t="n">
        <v>0</v>
      </c>
      <c r="P69" s="33" t="n">
        <v>0</v>
      </c>
      <c r="Q69" s="33" t="n">
        <v>0</v>
      </c>
      <c r="R69" s="33" t="n">
        <v>0</v>
      </c>
      <c r="S69" s="33" t="n">
        <v>0</v>
      </c>
      <c r="T69" s="33" t="n">
        <v>0</v>
      </c>
      <c r="U69" s="33" t="n">
        <v>0</v>
      </c>
      <c r="V69" s="33" t="n">
        <v>0</v>
      </c>
      <c r="W69" s="33" t="n">
        <v>0</v>
      </c>
      <c r="X69" s="33" t="n">
        <v>0</v>
      </c>
      <c r="Y69" s="33" t="n">
        <v>0</v>
      </c>
      <c r="Z69" s="33" t="n">
        <v>0</v>
      </c>
      <c r="AA69" s="33" t="n">
        <v>0</v>
      </c>
      <c r="AB69" s="33" t="n">
        <v>0</v>
      </c>
      <c r="AC69" s="33" t="n">
        <v>0</v>
      </c>
      <c r="AD69" s="33" t="n">
        <v>0</v>
      </c>
      <c r="AE69" s="33" t="n">
        <v>0</v>
      </c>
      <c r="AF69" s="33" t="n">
        <v>0</v>
      </c>
      <c r="AG69" s="33" t="n">
        <v>0</v>
      </c>
      <c r="AH69" s="33" t="n">
        <v>0</v>
      </c>
      <c r="AI69" s="33" t="n">
        <v>0</v>
      </c>
      <c r="AJ69" s="33" t="n">
        <v>0</v>
      </c>
      <c r="AK69" s="33" t="n">
        <v>0</v>
      </c>
      <c r="AL69" s="33" t="n">
        <v>0</v>
      </c>
      <c r="AM69" s="33" t="n">
        <v>0</v>
      </c>
      <c r="AN69" s="33" t="n">
        <v>0</v>
      </c>
      <c r="AO69" s="33" t="n">
        <v>0</v>
      </c>
      <c r="AP69" s="33" t="n">
        <v>0</v>
      </c>
      <c r="AQ69" s="33" t="n">
        <v>0</v>
      </c>
      <c r="AR69" s="33" t="n">
        <v>0</v>
      </c>
      <c r="AS69" s="33" t="n">
        <v>0</v>
      </c>
      <c r="AT69" s="33" t="n">
        <v>0</v>
      </c>
      <c r="AU69" s="33" t="n">
        <v>0</v>
      </c>
      <c r="AV69" s="33" t="n">
        <v>0</v>
      </c>
      <c r="AW69" s="33" t="n">
        <v>0</v>
      </c>
      <c r="AX69" s="33" t="n">
        <v>0</v>
      </c>
      <c r="AY69" s="33" t="n">
        <v>0</v>
      </c>
      <c r="AZ69" s="33" t="n">
        <v>0</v>
      </c>
      <c r="BA69" s="33" t="n">
        <v>0</v>
      </c>
      <c r="BH69" s="33">
        <f>SUM(C69:BA69)</f>
        <v/>
      </c>
    </row>
    <row r="70"/>
    <row r="71">
      <c r="B71" s="32" t="inlineStr">
        <is>
          <t>Produccion total</t>
        </is>
      </c>
      <c r="C71" s="33">
        <f>C65+C67+C69</f>
        <v/>
      </c>
      <c r="D71" s="33">
        <f>D65+D67+D69</f>
        <v/>
      </c>
      <c r="E71" s="33">
        <f>E65+E67+E69</f>
        <v/>
      </c>
      <c r="F71" s="33">
        <f>F65+F67+F69</f>
        <v/>
      </c>
      <c r="G71" s="33">
        <f>G65+G67+G69</f>
        <v/>
      </c>
      <c r="H71" s="33">
        <f>H65+H67+H69</f>
        <v/>
      </c>
      <c r="I71" s="33">
        <f>I65+I67+I69</f>
        <v/>
      </c>
      <c r="J71" s="33">
        <f>J65+J67+J69</f>
        <v/>
      </c>
      <c r="K71" s="33">
        <f>K65+K67+K69</f>
        <v/>
      </c>
      <c r="L71" s="33">
        <f>L65+L67+L69</f>
        <v/>
      </c>
      <c r="M71" s="33">
        <f>M65+M67+M69</f>
        <v/>
      </c>
      <c r="N71" s="33">
        <f>N65+N67+N69</f>
        <v/>
      </c>
      <c r="O71" s="33">
        <f>O65+O67+O69</f>
        <v/>
      </c>
      <c r="P71" s="33">
        <f>P65+P67+P69</f>
        <v/>
      </c>
      <c r="Q71" s="33">
        <f>Q65+Q67+Q69</f>
        <v/>
      </c>
      <c r="R71" s="33">
        <f>R65+R67+R69</f>
        <v/>
      </c>
      <c r="S71" s="33">
        <f>S65+S67+S69</f>
        <v/>
      </c>
      <c r="T71" s="33">
        <f>T65+T67+T69</f>
        <v/>
      </c>
      <c r="U71" s="33">
        <f>U65+U67+U69</f>
        <v/>
      </c>
      <c r="V71" s="33">
        <f>V65+V67+V69</f>
        <v/>
      </c>
      <c r="W71" s="33">
        <f>W65+W67+W69</f>
        <v/>
      </c>
      <c r="X71" s="33">
        <f>X65+X67+X69</f>
        <v/>
      </c>
      <c r="Y71" s="33">
        <f>Y65+Y67+Y69</f>
        <v/>
      </c>
      <c r="Z71" s="33">
        <f>Z65+Z67+Z69</f>
        <v/>
      </c>
      <c r="AA71" s="33">
        <f>AA65+AA67+AA69</f>
        <v/>
      </c>
      <c r="AB71" s="33">
        <f>AB65+AB67+AB69</f>
        <v/>
      </c>
      <c r="AC71" s="33">
        <f>AC65+AC67+AC69</f>
        <v/>
      </c>
      <c r="AD71" s="33">
        <f>AD65+AD67+AD69</f>
        <v/>
      </c>
      <c r="AE71" s="33">
        <f>AE65+AE67+AE69</f>
        <v/>
      </c>
      <c r="AF71" s="33">
        <f>AF65+AF67+AF69</f>
        <v/>
      </c>
      <c r="AG71" s="33">
        <f>AG65+AG67+AG69</f>
        <v/>
      </c>
      <c r="AH71" s="33">
        <f>AH65+AH67+AH69</f>
        <v/>
      </c>
      <c r="AI71" s="33">
        <f>AI65+AI67+AI69</f>
        <v/>
      </c>
      <c r="AJ71" s="33">
        <f>AJ65+AJ67+AJ69</f>
        <v/>
      </c>
      <c r="AK71" s="33">
        <f>AK65+AK67+AK69</f>
        <v/>
      </c>
      <c r="AL71" s="33">
        <f>AL65+AL67+AL69</f>
        <v/>
      </c>
      <c r="AM71" s="33">
        <f>AM65+AM67+AM69</f>
        <v/>
      </c>
      <c r="AN71" s="33">
        <f>AN65+AN67+AN69</f>
        <v/>
      </c>
      <c r="AO71" s="33">
        <f>AO65+AO67+AO69</f>
        <v/>
      </c>
      <c r="AP71" s="33">
        <f>AP65+AP67+AP69</f>
        <v/>
      </c>
      <c r="AQ71" s="33">
        <f>AQ65+AQ67+AQ69</f>
        <v/>
      </c>
      <c r="AR71" s="33">
        <f>AR65+AR67+AR69</f>
        <v/>
      </c>
      <c r="AS71" s="33">
        <f>AS65+AS67+AS69</f>
        <v/>
      </c>
      <c r="AT71" s="33">
        <f>AT65+AT67+AT69</f>
        <v/>
      </c>
      <c r="AU71" s="33">
        <f>AU65+AU67+AU69</f>
        <v/>
      </c>
      <c r="AV71" s="33">
        <f>AV65+AV67+AV69</f>
        <v/>
      </c>
      <c r="AW71" s="33">
        <f>AW65+AW67+AW69</f>
        <v/>
      </c>
      <c r="AX71" s="33">
        <f>AX65+AX67+AX69</f>
        <v/>
      </c>
      <c r="AY71" s="33">
        <f>AY65+AY67+AY69</f>
        <v/>
      </c>
      <c r="AZ71" s="33">
        <f>AZ65+AZ67+AZ69</f>
        <v/>
      </c>
      <c r="BA71" s="33">
        <f>BA65+BA67+BA69</f>
        <v/>
      </c>
      <c r="BH71" s="33">
        <f>SUM(C71:BA71)</f>
        <v/>
      </c>
    </row>
    <row r="72">
      <c r="B72" s="32" t="inlineStr">
        <is>
          <t>Produccion fuente</t>
        </is>
      </c>
      <c r="C72" s="33" t="n">
        <v>20019.23707795415</v>
      </c>
      <c r="D72" s="33" t="n">
        <v>7439.388239482102</v>
      </c>
      <c r="E72" s="33" t="n">
        <v>19515.76294064109</v>
      </c>
      <c r="F72" s="33" t="n">
        <v>1046.934685486354</v>
      </c>
      <c r="G72" s="33" t="n">
        <v>14479.54498790276</v>
      </c>
      <c r="H72" s="33" t="n">
        <v>42645.28539279014</v>
      </c>
      <c r="I72" s="33" t="n">
        <v>321.0479471621515</v>
      </c>
      <c r="J72" s="33" t="n">
        <v>11200.94964465156</v>
      </c>
      <c r="K72" s="33" t="n">
        <v>3646.140866776332</v>
      </c>
      <c r="L72" s="33" t="n">
        <v>2074.828838385517</v>
      </c>
      <c r="M72" s="33" t="n">
        <v>5313.437947613501</v>
      </c>
      <c r="N72" s="33" t="n">
        <v>13398.12119111006</v>
      </c>
      <c r="O72" s="33" t="n">
        <v>6416.387143528713</v>
      </c>
      <c r="P72" s="33" t="n">
        <v>59126.76164035837</v>
      </c>
      <c r="Q72" s="33" t="n">
        <v>2598.124190031815</v>
      </c>
      <c r="R72" s="33" t="n">
        <v>34556.67950507386</v>
      </c>
      <c r="S72" s="33" t="n">
        <v>10814.03755147555</v>
      </c>
      <c r="T72" s="33" t="n">
        <v>10686.55945867538</v>
      </c>
      <c r="U72" s="33" t="n">
        <v>7719.997882028068</v>
      </c>
      <c r="V72" s="33" t="n">
        <v>6457.80973701654</v>
      </c>
      <c r="W72" s="33" t="n">
        <v>4704.845688670516</v>
      </c>
      <c r="X72" s="33" t="n">
        <v>6233.131769157402</v>
      </c>
      <c r="Y72" s="33" t="n">
        <v>19104.95219640127</v>
      </c>
      <c r="Z72" s="33" t="n">
        <v>17795.33762818994</v>
      </c>
      <c r="AA72" s="33" t="n">
        <v>19029.26747446254</v>
      </c>
      <c r="AB72" s="33" t="n">
        <v>10791.3951364156</v>
      </c>
      <c r="AC72" s="33" t="n">
        <v>20028.99284396683</v>
      </c>
      <c r="AD72" s="33" t="n">
        <v>30112.07396708356</v>
      </c>
      <c r="AE72" s="33" t="n">
        <v>16509.32667093984</v>
      </c>
      <c r="AF72" s="33" t="n">
        <v>35595.75520894791</v>
      </c>
      <c r="AG72" s="33" t="n">
        <v>1990.000415383599</v>
      </c>
      <c r="AH72" s="33" t="n">
        <v>25722.20405897559</v>
      </c>
      <c r="AI72" s="33" t="n">
        <v>6289.590101785889</v>
      </c>
      <c r="AJ72" s="33" t="n">
        <v>6330.258410191491</v>
      </c>
      <c r="AK72" s="33" t="n">
        <v>25064.44119920563</v>
      </c>
      <c r="AL72" s="33" t="n">
        <v>3779.488850529267</v>
      </c>
      <c r="AM72" s="33" t="n">
        <v>-227009.8695919097</v>
      </c>
      <c r="AN72" s="33" t="n">
        <v>-20469.85172086796</v>
      </c>
      <c r="AO72" s="33" t="n">
        <v>26642.24169945043</v>
      </c>
      <c r="AP72" s="33" t="n">
        <v>22243.36871612308</v>
      </c>
      <c r="AQ72" s="33" t="n">
        <v>1072.72364677405</v>
      </c>
      <c r="AR72" s="33" t="n">
        <v>187.514531440363</v>
      </c>
      <c r="AS72" s="33" t="n">
        <v>5723.789620802827</v>
      </c>
      <c r="AT72" s="33" t="n">
        <v>42005.13513696169</v>
      </c>
      <c r="AU72" s="33" t="n">
        <v>244.7450026865416</v>
      </c>
      <c r="AV72" s="33" t="n">
        <v>-580.3908348860837</v>
      </c>
      <c r="AW72" s="33" t="n">
        <v>2285.704924855821</v>
      </c>
      <c r="AX72" s="33" t="n">
        <v>0</v>
      </c>
      <c r="AY72" s="33" t="n">
        <v>1374.452888746636</v>
      </c>
      <c r="AZ72" s="33" t="n">
        <v>135.1785156780896</v>
      </c>
      <c r="BA72" s="33" t="n">
        <v>3390.878481373712</v>
      </c>
      <c r="BH72" s="33">
        <f>SUM(C72:BA72)</f>
        <v/>
      </c>
    </row>
    <row r="73">
      <c r="B73" s="35" t="inlineStr">
        <is>
          <t>Check produccion total - fuente</t>
        </is>
      </c>
      <c r="C73" s="36">
        <f>C71-C72</f>
        <v/>
      </c>
      <c r="D73" s="36">
        <f>D71-D72</f>
        <v/>
      </c>
      <c r="E73" s="36">
        <f>E71-E72</f>
        <v/>
      </c>
      <c r="F73" s="36">
        <f>F71-F72</f>
        <v/>
      </c>
      <c r="G73" s="36">
        <f>G71-G72</f>
        <v/>
      </c>
      <c r="H73" s="36">
        <f>H71-H72</f>
        <v/>
      </c>
      <c r="I73" s="36">
        <f>I71-I72</f>
        <v/>
      </c>
      <c r="J73" s="36">
        <f>J71-J72</f>
        <v/>
      </c>
      <c r="K73" s="36">
        <f>K71-K72</f>
        <v/>
      </c>
      <c r="L73" s="36">
        <f>L71-L72</f>
        <v/>
      </c>
      <c r="M73" s="36">
        <f>M71-M72</f>
        <v/>
      </c>
      <c r="N73" s="36">
        <f>N71-N72</f>
        <v/>
      </c>
      <c r="O73" s="36">
        <f>O71-O72</f>
        <v/>
      </c>
      <c r="P73" s="36">
        <f>P71-P72</f>
        <v/>
      </c>
      <c r="Q73" s="36">
        <f>Q71-Q72</f>
        <v/>
      </c>
      <c r="R73" s="36">
        <f>R71-R72</f>
        <v/>
      </c>
      <c r="S73" s="36">
        <f>S71-S72</f>
        <v/>
      </c>
      <c r="T73" s="36">
        <f>T71-T72</f>
        <v/>
      </c>
      <c r="U73" s="36">
        <f>U71-U72</f>
        <v/>
      </c>
      <c r="V73" s="36">
        <f>V71-V72</f>
        <v/>
      </c>
      <c r="W73" s="36">
        <f>W71-W72</f>
        <v/>
      </c>
      <c r="X73" s="36">
        <f>X71-X72</f>
        <v/>
      </c>
      <c r="Y73" s="36">
        <f>Y71-Y72</f>
        <v/>
      </c>
      <c r="Z73" s="36">
        <f>Z71-Z72</f>
        <v/>
      </c>
      <c r="AA73" s="36">
        <f>AA71-AA72</f>
        <v/>
      </c>
      <c r="AB73" s="36">
        <f>AB71-AB72</f>
        <v/>
      </c>
      <c r="AC73" s="36">
        <f>AC71-AC72</f>
        <v/>
      </c>
      <c r="AD73" s="36">
        <f>AD71-AD72</f>
        <v/>
      </c>
      <c r="AE73" s="36">
        <f>AE71-AE72</f>
        <v/>
      </c>
      <c r="AF73" s="36">
        <f>AF71-AF72</f>
        <v/>
      </c>
      <c r="AG73" s="36">
        <f>AG71-AG72</f>
        <v/>
      </c>
      <c r="AH73" s="36">
        <f>AH71-AH72</f>
        <v/>
      </c>
      <c r="AI73" s="36">
        <f>AI71-AI72</f>
        <v/>
      </c>
      <c r="AJ73" s="36">
        <f>AJ71-AJ72</f>
        <v/>
      </c>
      <c r="AK73" s="36">
        <f>AK71-AK72</f>
        <v/>
      </c>
      <c r="AL73" s="36">
        <f>AL71-AL72</f>
        <v/>
      </c>
      <c r="AM73" s="36">
        <f>AM71-AM72</f>
        <v/>
      </c>
      <c r="AN73" s="36">
        <f>AN71-AN72</f>
        <v/>
      </c>
      <c r="AO73" s="36">
        <f>AO71-AO72</f>
        <v/>
      </c>
      <c r="AP73" s="36">
        <f>AP71-AP72</f>
        <v/>
      </c>
      <c r="AQ73" s="36">
        <f>AQ71-AQ72</f>
        <v/>
      </c>
      <c r="AR73" s="36">
        <f>AR71-AR72</f>
        <v/>
      </c>
      <c r="AS73" s="36">
        <f>AS71-AS72</f>
        <v/>
      </c>
      <c r="AT73" s="36">
        <f>AT71-AT72</f>
        <v/>
      </c>
      <c r="AU73" s="36">
        <f>AU71-AU72</f>
        <v/>
      </c>
      <c r="AV73" s="36">
        <f>AV71-AV72</f>
        <v/>
      </c>
      <c r="AW73" s="36">
        <f>AW71-AW72</f>
        <v/>
      </c>
      <c r="AX73" s="36">
        <f>AX71-AX72</f>
        <v/>
      </c>
      <c r="AY73" s="36">
        <f>AY71-AY72</f>
        <v/>
      </c>
      <c r="AZ73" s="36">
        <f>AZ71-AZ72</f>
        <v/>
      </c>
      <c r="BA73" s="36">
        <f>BA71-BA72</f>
        <v/>
      </c>
      <c r="BH73" s="36">
        <f>SUM(C73:BA73)</f>
        <v/>
      </c>
    </row>
    <row r="74"/>
    <row r="75">
      <c r="B75" s="31" t="inlineStr">
        <is>
          <t>Nota</t>
        </is>
      </c>
      <c r="C75" s="31" t="inlineStr">
        <is>
          <t>U_importada/ajuste transformado a industrias con D = V * diag(q)^-1.</t>
        </is>
      </c>
    </row>
  </sheetData>
  <mergeCells count="9">
    <mergeCell ref="BG10:BG12"/>
    <mergeCell ref="C10:BA10"/>
    <mergeCell ref="BH10:BH12"/>
    <mergeCell ref="A3:H4"/>
    <mergeCell ref="B10:B12"/>
    <mergeCell ref="A10:A12"/>
    <mergeCell ref="A1:H1"/>
    <mergeCell ref="BB10:BB12"/>
    <mergeCell ref="BC10:BF10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H75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7" customWidth="1" min="1" max="1"/>
    <col width="77.7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</cols>
  <sheetData>
    <row r="1" ht="44" customHeight="1"/>
    <row r="2"/>
    <row r="3" ht="16" customHeight="1">
      <c r="A3" s="20" t="inlineStr">
        <is>
          <t>Matriz insumo producto, actividad por actividad - Total auditable</t>
        </is>
      </c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  <c r="AE3" s="20" t="n"/>
      <c r="AF3" s="20" t="n"/>
      <c r="AG3" s="20" t="n"/>
      <c r="AH3" s="20" t="n"/>
      <c r="AI3" s="20" t="n"/>
      <c r="AJ3" s="20" t="n"/>
      <c r="AK3" s="20" t="n"/>
      <c r="AL3" s="20" t="n"/>
      <c r="AM3" s="20" t="n"/>
      <c r="AN3" s="20" t="n"/>
      <c r="AO3" s="20" t="n"/>
      <c r="AP3" s="20" t="n"/>
      <c r="AQ3" s="20" t="n"/>
      <c r="AR3" s="20" t="n"/>
      <c r="AS3" s="20" t="n"/>
      <c r="AT3" s="20" t="n"/>
      <c r="AU3" s="20" t="n"/>
      <c r="AV3" s="20" t="n"/>
      <c r="AW3" s="20" t="n"/>
      <c r="AX3" s="20" t="n"/>
      <c r="AY3" s="20" t="n"/>
      <c r="AZ3" s="20" t="n"/>
      <c r="BA3" s="20" t="n"/>
      <c r="BB3" s="20" t="n"/>
      <c r="BC3" s="20" t="n"/>
      <c r="BD3" s="20" t="n"/>
      <c r="BE3" s="20" t="n"/>
      <c r="BF3" s="20" t="n"/>
      <c r="BG3" s="20" t="n"/>
      <c r="BH3" s="20" t="n"/>
    </row>
    <row r="4" ht="16" customHeight="1"/>
    <row r="5">
      <c r="A5" s="21" t="inlineStr">
        <is>
          <t>Valores a precios corrientes</t>
        </is>
      </c>
    </row>
    <row r="6" ht="16.5" customHeight="1">
      <c r="A6" s="21" t="inlineStr">
        <is>
          <t>Ano 2009</t>
        </is>
      </c>
      <c r="J6" s="22" t="inlineStr">
        <is>
          <t>Indice</t>
        </is>
      </c>
    </row>
    <row r="7">
      <c r="A7" s="21" t="inlineStr">
        <is>
          <t>Base / fuente original</t>
        </is>
      </c>
    </row>
    <row r="8">
      <c r="A8" s="21" t="inlineStr">
        <is>
          <t>Unidades monetarias de la fuente</t>
        </is>
      </c>
    </row>
    <row r="9"/>
    <row r="10" ht="16" customHeight="1">
      <c r="A10" s="23" t="inlineStr">
        <is>
          <t>Codigo</t>
        </is>
      </c>
      <c r="B10" s="23" t="inlineStr">
        <is>
          <t>Actividad economica</t>
        </is>
      </c>
      <c r="C10" s="23" t="inlineStr">
        <is>
          <t>Consumo intermedio por actividades economicas</t>
        </is>
      </c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n"/>
      <c r="W10" s="24" t="n"/>
      <c r="X10" s="24" t="n"/>
      <c r="Y10" s="24" t="n"/>
      <c r="Z10" s="24" t="n"/>
      <c r="AA10" s="24" t="n"/>
      <c r="AB10" s="24" t="n"/>
      <c r="AC10" s="24" t="n"/>
      <c r="AD10" s="24" t="n"/>
      <c r="AE10" s="24" t="n"/>
      <c r="AF10" s="24" t="n"/>
      <c r="AG10" s="24" t="n"/>
      <c r="AH10" s="24" t="n"/>
      <c r="AI10" s="24" t="n"/>
      <c r="AJ10" s="24" t="n"/>
      <c r="AK10" s="24" t="n"/>
      <c r="AL10" s="24" t="n"/>
      <c r="AM10" s="24" t="n"/>
      <c r="AN10" s="24" t="n"/>
      <c r="AO10" s="24" t="n"/>
      <c r="AP10" s="24" t="n"/>
      <c r="AQ10" s="24" t="n"/>
      <c r="AR10" s="24" t="n"/>
      <c r="AS10" s="24" t="n"/>
      <c r="AT10" s="24" t="n"/>
      <c r="AU10" s="24" t="n"/>
      <c r="AV10" s="24" t="n"/>
      <c r="AW10" s="24" t="n"/>
      <c r="AX10" s="24" t="n"/>
      <c r="AY10" s="24" t="n"/>
      <c r="AZ10" s="24" t="n"/>
      <c r="BA10" s="24" t="n"/>
      <c r="BB10" s="23" t="inlineStr">
        <is>
          <t>Total consumo intermedio</t>
        </is>
      </c>
      <c r="BC10" s="23" t="inlineStr">
        <is>
          <t>Demanda final</t>
        </is>
      </c>
      <c r="BD10" s="24" t="n"/>
      <c r="BE10" s="24" t="n"/>
      <c r="BF10" s="24" t="n"/>
      <c r="BG10" s="23" t="inlineStr">
        <is>
          <t>Total demanda final</t>
        </is>
      </c>
      <c r="BH10" s="23" t="inlineStr">
        <is>
          <t>Total</t>
        </is>
      </c>
    </row>
    <row r="11" ht="15" customHeight="1">
      <c r="C11" s="25" t="n">
        <v>1</v>
      </c>
      <c r="D11" s="25" t="n">
        <v>2</v>
      </c>
      <c r="E11" s="25" t="n">
        <v>3</v>
      </c>
      <c r="F11" s="25" t="n">
        <v>4</v>
      </c>
      <c r="G11" s="25" t="n">
        <v>5</v>
      </c>
      <c r="H11" s="25" t="n">
        <v>6</v>
      </c>
      <c r="I11" s="25" t="n">
        <v>7</v>
      </c>
      <c r="J11" s="25" t="n">
        <v>8</v>
      </c>
      <c r="K11" s="25" t="n">
        <v>9</v>
      </c>
      <c r="L11" s="25" t="n">
        <v>10</v>
      </c>
      <c r="M11" s="25" t="inlineStr">
        <is>
          <t>Produtos de madeira</t>
        </is>
      </c>
      <c r="N11" s="25" t="n">
        <v>12</v>
      </c>
      <c r="O11" s="25" t="n">
        <v>13</v>
      </c>
      <c r="P11" s="25" t="n">
        <v>14</v>
      </c>
      <c r="Q11" s="25" t="n">
        <v>15</v>
      </c>
      <c r="R11" s="25" t="n">
        <v>16</v>
      </c>
      <c r="S11" s="25" t="n">
        <v>17</v>
      </c>
      <c r="T11" s="25" t="n">
        <v>18</v>
      </c>
      <c r="U11" s="25" t="n">
        <v>19</v>
      </c>
      <c r="V11" s="25" t="n">
        <v>20</v>
      </c>
      <c r="W11" s="25" t="n">
        <v>21</v>
      </c>
      <c r="X11" s="25" t="n">
        <v>22</v>
      </c>
      <c r="Y11" s="25" t="n">
        <v>23</v>
      </c>
      <c r="Z11" s="25" t="n">
        <v>24</v>
      </c>
      <c r="AA11" s="25" t="n">
        <v>25</v>
      </c>
      <c r="AB11" s="25" t="n">
        <v>26</v>
      </c>
      <c r="AC11" s="25" t="inlineStr">
        <is>
          <t>Produtos de metal</t>
        </is>
      </c>
      <c r="AD11" s="25" t="n">
        <v>28</v>
      </c>
      <c r="AE11" s="25" t="n">
        <v>29</v>
      </c>
      <c r="AF11" s="25" t="n">
        <v>30</v>
      </c>
      <c r="AG11" s="25" t="n">
        <v>31</v>
      </c>
      <c r="AH11" s="25" t="n">
        <v>32</v>
      </c>
      <c r="AI11" s="25" t="n">
        <v>33</v>
      </c>
      <c r="AJ11" s="25" t="n">
        <v>34</v>
      </c>
      <c r="AK11" s="25" t="n">
        <v>35</v>
      </c>
      <c r="AL11" s="25" t="n">
        <v>36</v>
      </c>
      <c r="AM11" s="25" t="n">
        <v>37</v>
      </c>
      <c r="AN11" s="25" t="n">
        <v>38</v>
      </c>
      <c r="AO11" s="25" t="n">
        <v>39</v>
      </c>
      <c r="AP11" s="25" t="n">
        <v>40</v>
      </c>
      <c r="AQ11" s="25" t="n">
        <v>41</v>
      </c>
      <c r="AR11" s="25" t="n">
        <v>42</v>
      </c>
      <c r="AS11" s="25" t="n">
        <v>43</v>
      </c>
      <c r="AT11" s="25" t="n">
        <v>44</v>
      </c>
      <c r="AU11" s="25" t="n">
        <v>45</v>
      </c>
      <c r="AV11" s="25" t="n">
        <v>46</v>
      </c>
      <c r="AW11" s="25" t="n">
        <v>47</v>
      </c>
      <c r="AX11" s="25" t="n">
        <v>48</v>
      </c>
      <c r="AY11" s="25" t="n">
        <v>49</v>
      </c>
      <c r="AZ11" s="25" t="n">
        <v>50</v>
      </c>
      <c r="BA11" s="25" t="n">
        <v>51</v>
      </c>
      <c r="BC11" s="25" t="inlineStr"/>
      <c r="BD11" s="25" t="inlineStr"/>
      <c r="BE11" s="25" t="inlineStr"/>
      <c r="BF11" s="25" t="inlineStr"/>
    </row>
    <row r="12" ht="90" customHeight="1">
      <c r="A12" s="26" t="n"/>
      <c r="B12" s="26" t="n"/>
      <c r="C12" s="27" t="inlineStr">
        <is>
          <t>Agricultura silvicultura exploração florestal</t>
        </is>
      </c>
      <c r="D12" s="27" t="inlineStr">
        <is>
          <t>Pecuária e pesca</t>
        </is>
      </c>
      <c r="E12" s="27" t="inlineStr">
        <is>
          <t>Petróleo e gás natural</t>
        </is>
      </c>
      <c r="F12" s="27" t="inlineStr">
        <is>
          <t>Minério de ferro</t>
        </is>
      </c>
      <c r="G12" s="27" t="inlineStr">
        <is>
          <t>Outros da indústria extrativa</t>
        </is>
      </c>
      <c r="H12" s="27" t="inlineStr">
        <is>
          <t>Alimentos e Bebidas</t>
        </is>
      </c>
      <c r="I12" s="27" t="inlineStr">
        <is>
          <t>Produtos do fumo</t>
        </is>
      </c>
      <c r="J12" s="27" t="inlineStr">
        <is>
          <t>Têxteis</t>
        </is>
      </c>
      <c r="K12" s="27" t="inlineStr">
        <is>
          <t>Artigos do vestuário e acessórios</t>
        </is>
      </c>
      <c r="L12" s="27" t="inlineStr">
        <is>
          <t>Artefatos de couro e calçados</t>
        </is>
      </c>
      <c r="M12" s="27" t="inlineStr">
        <is>
          <t>exclusive móveis</t>
        </is>
      </c>
      <c r="N12" s="27" t="inlineStr">
        <is>
          <t>Celulose e produtos de papel</t>
        </is>
      </c>
      <c r="O12" s="27" t="inlineStr">
        <is>
          <t>Jornais revistas discos</t>
        </is>
      </c>
      <c r="P12" s="27" t="inlineStr">
        <is>
          <t>Refino de petróleo e coque</t>
        </is>
      </c>
      <c r="Q12" s="27" t="inlineStr">
        <is>
          <t>Álcool</t>
        </is>
      </c>
      <c r="R12" s="27" t="inlineStr">
        <is>
          <t>Produtos  químicos</t>
        </is>
      </c>
      <c r="S12" s="27" t="inlineStr">
        <is>
          <t>Fabricação de resina e elastômeros</t>
        </is>
      </c>
      <c r="T12" s="27" t="inlineStr">
        <is>
          <t>Produtos farmacêuticos</t>
        </is>
      </c>
      <c r="U12" s="27" t="inlineStr">
        <is>
          <t>Defensivos agrícolas</t>
        </is>
      </c>
      <c r="V12" s="27" t="inlineStr">
        <is>
          <t>Perfumaria higiene e limpeza</t>
        </is>
      </c>
      <c r="W12" s="27" t="inlineStr">
        <is>
          <t>Tintas vernizes esmaltes e lacas</t>
        </is>
      </c>
      <c r="X12" s="27" t="inlineStr">
        <is>
          <t>Produtos e preparados químicos diversos</t>
        </is>
      </c>
      <c r="Y12" s="27" t="inlineStr">
        <is>
          <t>Artigos de borracha e plástico</t>
        </is>
      </c>
      <c r="Z12" s="27" t="inlineStr">
        <is>
          <t>Cimento e outros produtos de minerais não-metálicos</t>
        </is>
      </c>
      <c r="AA12" s="27" t="inlineStr">
        <is>
          <t>Fabricação de aço e derivados</t>
        </is>
      </c>
      <c r="AB12" s="27" t="inlineStr">
        <is>
          <t>Metalurgia de metais não-ferrosos</t>
        </is>
      </c>
      <c r="AC12" s="27" t="inlineStr">
        <is>
          <t>exclusive máquinas e equipamentos</t>
        </is>
      </c>
      <c r="AD12" s="27" t="inlineStr">
        <is>
          <t>Máquinas e equipamentos inclusive manutenção e reparos</t>
        </is>
      </c>
      <c r="AE12" s="27" t="inlineStr">
        <is>
          <t>Eletrodomésticos e material eletronico</t>
        </is>
      </c>
      <c r="AF12" s="27" t="inlineStr">
        <is>
          <t>Máquinas para escritório aparelhos e e material eletronico</t>
        </is>
      </c>
      <c r="AG12" s="27" t="inlineStr">
        <is>
          <t>Automóveis camionetas caminhões e ônibus</t>
        </is>
      </c>
      <c r="AH12" s="27" t="inlineStr">
        <is>
          <t>Peças e acessórios para veículos automotores</t>
        </is>
      </c>
      <c r="AI12" s="27" t="inlineStr">
        <is>
          <t>Outros equipamentos de transporte</t>
        </is>
      </c>
      <c r="AJ12" s="27" t="inlineStr">
        <is>
          <t>Móveis e produtos das indústrias diversas</t>
        </is>
      </c>
      <c r="AK12" s="27" t="inlineStr">
        <is>
          <t>Produção e distribuição de eletricidade gás água esgoto e limpeza urbana</t>
        </is>
      </c>
      <c r="AL12" s="27" t="inlineStr">
        <is>
          <t>Construção civil</t>
        </is>
      </c>
      <c r="AM12" s="27" t="inlineStr">
        <is>
          <t>Comércio</t>
        </is>
      </c>
      <c r="AN12" s="27" t="inlineStr">
        <is>
          <t>Transporte armazenagem e correio</t>
        </is>
      </c>
      <c r="AO12" s="27" t="inlineStr">
        <is>
          <t>Serviços de informação</t>
        </is>
      </c>
      <c r="AP12" s="27" t="inlineStr">
        <is>
          <t>Intermediação financeira seguros e previdência complementar e serviços relacionados</t>
        </is>
      </c>
      <c r="AQ12" s="27" t="inlineStr">
        <is>
          <t>Atividades imobiliárias e aluguéis</t>
        </is>
      </c>
      <c r="AR12" s="27" t="inlineStr">
        <is>
          <t>Serviços de manutenção e reparação</t>
        </is>
      </c>
      <c r="AS12" s="27" t="inlineStr">
        <is>
          <t>Serviços de alojamento e alimentação</t>
        </is>
      </c>
      <c r="AT12" s="27" t="inlineStr">
        <is>
          <t>Serviços prestados às empresas</t>
        </is>
      </c>
      <c r="AU12" s="27" t="inlineStr">
        <is>
          <t>Educação mercantil</t>
        </is>
      </c>
      <c r="AV12" s="27" t="inlineStr">
        <is>
          <t>Saúde mercantil</t>
        </is>
      </c>
      <c r="AW12" s="27" t="inlineStr">
        <is>
          <t>Serviços prestados às famílias e associativas</t>
        </is>
      </c>
      <c r="AX12" s="27" t="inlineStr">
        <is>
          <t>Serviços domésticos</t>
        </is>
      </c>
      <c r="AY12" s="27" t="inlineStr">
        <is>
          <t>Educação pública</t>
        </is>
      </c>
      <c r="AZ12" s="27" t="inlineStr">
        <is>
          <t>Saúde pública</t>
        </is>
      </c>
      <c r="BA12" s="27" t="inlineStr">
        <is>
          <t>Administração pública e seguridade social</t>
        </is>
      </c>
      <c r="BB12" s="26" t="n"/>
      <c r="BC12" s="27" t="inlineStr">
        <is>
          <t>Gasto de consumo final</t>
        </is>
      </c>
      <c r="BD12" s="27" t="inlineStr">
        <is>
          <t>Formacion bruta de capital</t>
        </is>
      </c>
      <c r="BE12" s="27" t="inlineStr">
        <is>
          <t>Exportaciones netas</t>
        </is>
      </c>
      <c r="BF12" s="27" t="inlineStr">
        <is>
          <t>Sin desglose fuente</t>
        </is>
      </c>
      <c r="BG12" s="26" t="n"/>
      <c r="BH12" s="26" t="n"/>
    </row>
    <row r="13"/>
    <row r="14">
      <c r="A14" s="28" t="n">
        <v>1</v>
      </c>
      <c r="B14" s="29" t="inlineStr">
        <is>
          <t>Agricultura silvicultura exploração florestal</t>
        </is>
      </c>
      <c r="C14" s="28" t="n">
        <v>7509.96599612387</v>
      </c>
      <c r="D14" s="28" t="n">
        <v>5038.040058765895</v>
      </c>
      <c r="E14" s="28" t="n">
        <v>48.49978182743013</v>
      </c>
      <c r="F14" s="28" t="n">
        <v>8.49317094849259</v>
      </c>
      <c r="G14" s="28" t="n">
        <v>6.54610496380488</v>
      </c>
      <c r="H14" s="28" t="n">
        <v>74409.14724211112</v>
      </c>
      <c r="I14" s="28" t="n">
        <v>5362.521549860637</v>
      </c>
      <c r="J14" s="28" t="n">
        <v>5130.669678778834</v>
      </c>
      <c r="K14" s="28" t="n">
        <v>257.2987231495471</v>
      </c>
      <c r="L14" s="28" t="n">
        <v>39.63535921923179</v>
      </c>
      <c r="M14" s="28" t="n">
        <v>2329.407219716196</v>
      </c>
      <c r="N14" s="28" t="n">
        <v>2397.599349258217</v>
      </c>
      <c r="O14" s="28" t="n">
        <v>0.7826174571379432</v>
      </c>
      <c r="P14" s="28" t="n">
        <v>4.635280194904967</v>
      </c>
      <c r="Q14" s="28" t="n">
        <v>9760.335876749268</v>
      </c>
      <c r="R14" s="28" t="n">
        <v>291.3669716642792</v>
      </c>
      <c r="S14" s="28" t="n">
        <v>388.5630765402129</v>
      </c>
      <c r="T14" s="28" t="n">
        <v>56.51365053739072</v>
      </c>
      <c r="U14" s="28" t="n">
        <v>139.7483538019465</v>
      </c>
      <c r="V14" s="28" t="n">
        <v>104.2052396971099</v>
      </c>
      <c r="W14" s="28" t="n">
        <v>84.55791311870557</v>
      </c>
      <c r="X14" s="28" t="n">
        <v>109.3508634820431</v>
      </c>
      <c r="Y14" s="28" t="n">
        <v>1121.308630128761</v>
      </c>
      <c r="Z14" s="28" t="n">
        <v>71.06868033819066</v>
      </c>
      <c r="AA14" s="28" t="n">
        <v>453.804543892909</v>
      </c>
      <c r="AB14" s="28" t="n">
        <v>11.12849730326878</v>
      </c>
      <c r="AC14" s="28" t="n">
        <v>17.44646918388054</v>
      </c>
      <c r="AD14" s="28" t="n">
        <v>0.7377163736764012</v>
      </c>
      <c r="AE14" s="28" t="n">
        <v>2.941590391429799</v>
      </c>
      <c r="AF14" s="28" t="n">
        <v>2.950965633608571</v>
      </c>
      <c r="AG14" s="28" t="n">
        <v>1.781097707712933</v>
      </c>
      <c r="AH14" s="28" t="n">
        <v>0.2813085169927751</v>
      </c>
      <c r="AI14" s="28" t="n">
        <v>1.020068583007385</v>
      </c>
      <c r="AJ14" s="28" t="n">
        <v>15.62587418350203</v>
      </c>
      <c r="AK14" s="28" t="n">
        <v>33.16398680816971</v>
      </c>
      <c r="AL14" s="28" t="n">
        <v>513.6922609770444</v>
      </c>
      <c r="AM14" s="28" t="n">
        <v>5863.524902737592</v>
      </c>
      <c r="AN14" s="28" t="n">
        <v>4.121771959902793</v>
      </c>
      <c r="AO14" s="28" t="n">
        <v>15.47908726591858</v>
      </c>
      <c r="AP14" s="28" t="n">
        <v>5.749318438991255</v>
      </c>
      <c r="AQ14" s="28" t="n">
        <v>4.829128266822042</v>
      </c>
      <c r="AR14" s="28" t="n">
        <v>0.02275233781047169</v>
      </c>
      <c r="AS14" s="28" t="n">
        <v>2627.710732674508</v>
      </c>
      <c r="AT14" s="28" t="n">
        <v>28.63260775568973</v>
      </c>
      <c r="AU14" s="28" t="n">
        <v>34.63296872833106</v>
      </c>
      <c r="AV14" s="28" t="n">
        <v>132.0141245587261</v>
      </c>
      <c r="AW14" s="28" t="n">
        <v>188.0906920537777</v>
      </c>
      <c r="AX14" s="28" t="n">
        <v>0</v>
      </c>
      <c r="AY14" s="28" t="n">
        <v>362.6735830316423</v>
      </c>
      <c r="AZ14" s="28" t="n">
        <v>157.0212144117873</v>
      </c>
      <c r="BA14" s="28" t="n">
        <v>1125.361966685241</v>
      </c>
      <c r="BB14" s="28">
        <f>SUM(C14:BA14)</f>
        <v/>
      </c>
      <c r="BC14" s="28" t="n">
        <v>0</v>
      </c>
      <c r="BD14" s="28" t="n">
        <v>0</v>
      </c>
      <c r="BE14" s="28" t="n">
        <v>69613.09035165694</v>
      </c>
      <c r="BF14" s="28" t="n">
        <v>0</v>
      </c>
      <c r="BG14" s="28">
        <f>SUM(BC14:BF14)</f>
        <v/>
      </c>
      <c r="BH14" s="28">
        <f>BB14+BG14</f>
        <v/>
      </c>
    </row>
    <row r="15">
      <c r="A15" s="30" t="n">
        <v>2</v>
      </c>
      <c r="B15" s="31" t="inlineStr">
        <is>
          <t>Pecuária e pesca</t>
        </is>
      </c>
      <c r="C15" s="30" t="n">
        <v>688.8620471627543</v>
      </c>
      <c r="D15" s="30" t="n">
        <v>3890.407763661832</v>
      </c>
      <c r="E15" s="30" t="n">
        <v>17.56393818977112</v>
      </c>
      <c r="F15" s="30" t="n">
        <v>4.097647821248811</v>
      </c>
      <c r="G15" s="30" t="n">
        <v>7.052593128920348</v>
      </c>
      <c r="H15" s="30" t="n">
        <v>54477.00031479697</v>
      </c>
      <c r="I15" s="30" t="n">
        <v>196.3870230013403</v>
      </c>
      <c r="J15" s="30" t="n">
        <v>116.6253963837432</v>
      </c>
      <c r="K15" s="30" t="n">
        <v>66.91433232039337</v>
      </c>
      <c r="L15" s="30" t="n">
        <v>9.52107448881341</v>
      </c>
      <c r="M15" s="30" t="n">
        <v>119.9593566884007</v>
      </c>
      <c r="N15" s="30" t="n">
        <v>122.0555741908328</v>
      </c>
      <c r="O15" s="30" t="n">
        <v>0.08583547418963074</v>
      </c>
      <c r="P15" s="30" t="n">
        <v>0.07375004557963336</v>
      </c>
      <c r="Q15" s="30" t="n">
        <v>76.38303993780299</v>
      </c>
      <c r="R15" s="30" t="n">
        <v>58.42543601538873</v>
      </c>
      <c r="S15" s="30" t="n">
        <v>10.03350036461173</v>
      </c>
      <c r="T15" s="30" t="n">
        <v>3.032088273073412</v>
      </c>
      <c r="U15" s="30" t="n">
        <v>3.891240513843774</v>
      </c>
      <c r="V15" s="30" t="n">
        <v>5.71583180642135</v>
      </c>
      <c r="W15" s="30" t="n">
        <v>3.771136097087722</v>
      </c>
      <c r="X15" s="30" t="n">
        <v>4.036700043777341</v>
      </c>
      <c r="Y15" s="30" t="n">
        <v>56.19462394210327</v>
      </c>
      <c r="Z15" s="30" t="n">
        <v>78.70926153552652</v>
      </c>
      <c r="AA15" s="30" t="n">
        <v>29.89510847636498</v>
      </c>
      <c r="AB15" s="30" t="n">
        <v>8.580234361880754</v>
      </c>
      <c r="AC15" s="30" t="n">
        <v>1.192960128384123</v>
      </c>
      <c r="AD15" s="30" t="n">
        <v>0.5947073776268247</v>
      </c>
      <c r="AE15" s="30" t="n">
        <v>0.8606592047413957</v>
      </c>
      <c r="AF15" s="30" t="n">
        <v>0.375347447647123</v>
      </c>
      <c r="AG15" s="30" t="n">
        <v>1.379524339188434</v>
      </c>
      <c r="AH15" s="30" t="n">
        <v>0.6076585117268604</v>
      </c>
      <c r="AI15" s="30" t="n">
        <v>1.278112570605394</v>
      </c>
      <c r="AJ15" s="30" t="n">
        <v>4.888744933108009</v>
      </c>
      <c r="AK15" s="30" t="n">
        <v>24.72275277075204</v>
      </c>
      <c r="AL15" s="30" t="n">
        <v>337.8195853429607</v>
      </c>
      <c r="AM15" s="30" t="n">
        <v>214.0274720181905</v>
      </c>
      <c r="AN15" s="30" t="n">
        <v>6.381190453743175</v>
      </c>
      <c r="AO15" s="30" t="n">
        <v>22.40285464232266</v>
      </c>
      <c r="AP15" s="30" t="n">
        <v>7.199326691688722</v>
      </c>
      <c r="AQ15" s="30" t="n">
        <v>9.182450099697281</v>
      </c>
      <c r="AR15" s="30" t="n">
        <v>0.02736472697915484</v>
      </c>
      <c r="AS15" s="30" t="n">
        <v>1439.954456916996</v>
      </c>
      <c r="AT15" s="30" t="n">
        <v>10.65798033787521</v>
      </c>
      <c r="AU15" s="30" t="n">
        <v>18.94834808500807</v>
      </c>
      <c r="AV15" s="30" t="n">
        <v>104.1355493103138</v>
      </c>
      <c r="AW15" s="30" t="n">
        <v>37.0410794885096</v>
      </c>
      <c r="AX15" s="30" t="n">
        <v>0</v>
      </c>
      <c r="AY15" s="30" t="n">
        <v>141.3336334047858</v>
      </c>
      <c r="AZ15" s="30" t="n">
        <v>60.97671740212763</v>
      </c>
      <c r="BA15" s="30" t="n">
        <v>274.5913825872869</v>
      </c>
      <c r="BB15" s="30">
        <f>SUM(C15:BA15)</f>
        <v/>
      </c>
      <c r="BC15" s="30" t="n">
        <v>0</v>
      </c>
      <c r="BD15" s="30" t="n">
        <v>0</v>
      </c>
      <c r="BE15" s="30" t="n">
        <v>29731.4270998038</v>
      </c>
      <c r="BF15" s="30" t="n">
        <v>0</v>
      </c>
      <c r="BG15" s="30">
        <f>SUM(BC15:BF15)</f>
        <v/>
      </c>
      <c r="BH15" s="30">
        <f>BB15+BG15</f>
        <v/>
      </c>
    </row>
    <row r="16">
      <c r="A16" s="28" t="n">
        <v>3</v>
      </c>
      <c r="B16" s="29" t="inlineStr">
        <is>
          <t>Petróleo e gás natural</t>
        </is>
      </c>
      <c r="C16" s="28" t="n">
        <v>132.7923652077828</v>
      </c>
      <c r="D16" s="28" t="n">
        <v>125.7218382054403</v>
      </c>
      <c r="E16" s="28" t="n">
        <v>7445.154196498478</v>
      </c>
      <c r="F16" s="28" t="n">
        <v>158.9676910375238</v>
      </c>
      <c r="G16" s="28" t="n">
        <v>18.49038383211777</v>
      </c>
      <c r="H16" s="28" t="n">
        <v>674.2281924973256</v>
      </c>
      <c r="I16" s="28" t="n">
        <v>1.268050079382005</v>
      </c>
      <c r="J16" s="28" t="n">
        <v>185.3812015926434</v>
      </c>
      <c r="K16" s="28" t="n">
        <v>1.165348969485155</v>
      </c>
      <c r="L16" s="28" t="n">
        <v>0.642452750947109</v>
      </c>
      <c r="M16" s="28" t="n">
        <v>27.61497688135152</v>
      </c>
      <c r="N16" s="28" t="n">
        <v>495.6148601954873</v>
      </c>
      <c r="O16" s="28" t="n">
        <v>1.290324997137022</v>
      </c>
      <c r="P16" s="28" t="n">
        <v>66067.20738377367</v>
      </c>
      <c r="Q16" s="28" t="n">
        <v>0.9105256607614928</v>
      </c>
      <c r="R16" s="28" t="n">
        <v>783.4768746685573</v>
      </c>
      <c r="S16" s="28" t="n">
        <v>421.5152175790163</v>
      </c>
      <c r="T16" s="28" t="n">
        <v>32.46011973337647</v>
      </c>
      <c r="U16" s="28" t="n">
        <v>34.987033786382</v>
      </c>
      <c r="V16" s="28" t="n">
        <v>24.56156109166819</v>
      </c>
      <c r="W16" s="28" t="n">
        <v>26.2713124515083</v>
      </c>
      <c r="X16" s="28" t="n">
        <v>32.71126143745466</v>
      </c>
      <c r="Y16" s="28" t="n">
        <v>81.06672822300879</v>
      </c>
      <c r="Z16" s="28" t="n">
        <v>278.4180258651763</v>
      </c>
      <c r="AA16" s="28" t="n">
        <v>330.9126016459047</v>
      </c>
      <c r="AB16" s="28" t="n">
        <v>245.0753637547557</v>
      </c>
      <c r="AC16" s="28" t="n">
        <v>227.6374918633225</v>
      </c>
      <c r="AD16" s="28" t="n">
        <v>46.75955015944066</v>
      </c>
      <c r="AE16" s="28" t="n">
        <v>24.69056302025827</v>
      </c>
      <c r="AF16" s="28" t="n">
        <v>4.071408102936719</v>
      </c>
      <c r="AG16" s="28" t="n">
        <v>87.66474335310963</v>
      </c>
      <c r="AH16" s="28" t="n">
        <v>157.8145161131984</v>
      </c>
      <c r="AI16" s="28" t="n">
        <v>7.303638552146835</v>
      </c>
      <c r="AJ16" s="28" t="n">
        <v>2.825836473541239</v>
      </c>
      <c r="AK16" s="28" t="n">
        <v>4913.421797225846</v>
      </c>
      <c r="AL16" s="28" t="n">
        <v>536.4089404555302</v>
      </c>
      <c r="AM16" s="28" t="n">
        <v>148.6239707504496</v>
      </c>
      <c r="AN16" s="28" t="n">
        <v>24.00256325710502</v>
      </c>
      <c r="AO16" s="28" t="n">
        <v>66.31545976616769</v>
      </c>
      <c r="AP16" s="28" t="n">
        <v>23.81328412899082</v>
      </c>
      <c r="AQ16" s="28" t="n">
        <v>17.51662893423093</v>
      </c>
      <c r="AR16" s="28" t="n">
        <v>3.659366351381013</v>
      </c>
      <c r="AS16" s="28" t="n">
        <v>278.9849981288821</v>
      </c>
      <c r="AT16" s="28" t="n">
        <v>173.5145369504436</v>
      </c>
      <c r="AU16" s="28" t="n">
        <v>11.77066700837223</v>
      </c>
      <c r="AV16" s="28" t="n">
        <v>10.85904560533477</v>
      </c>
      <c r="AW16" s="28" t="n">
        <v>66.04581465484014</v>
      </c>
      <c r="AX16" s="28" t="n">
        <v>0</v>
      </c>
      <c r="AY16" s="28" t="n">
        <v>18.08249064928381</v>
      </c>
      <c r="AZ16" s="28" t="n">
        <v>27.23251824657503</v>
      </c>
      <c r="BA16" s="28" t="n">
        <v>124.1945820334732</v>
      </c>
      <c r="BB16" s="28">
        <f>SUM(C16:BA16)</f>
        <v/>
      </c>
      <c r="BC16" s="28" t="n">
        <v>0</v>
      </c>
      <c r="BD16" s="28" t="n">
        <v>0</v>
      </c>
      <c r="BE16" s="28" t="n">
        <v>26267.74521631353</v>
      </c>
      <c r="BF16" s="28" t="n">
        <v>0</v>
      </c>
      <c r="BG16" s="28">
        <f>SUM(BC16:BF16)</f>
        <v/>
      </c>
      <c r="BH16" s="28">
        <f>BB16+BG16</f>
        <v/>
      </c>
    </row>
    <row r="17">
      <c r="A17" s="30" t="n">
        <v>4</v>
      </c>
      <c r="B17" s="31" t="inlineStr">
        <is>
          <t>Minério de ferro</t>
        </is>
      </c>
      <c r="C17" s="30" t="n">
        <v>0.3797830538707928</v>
      </c>
      <c r="D17" s="30" t="n">
        <v>0.2009707117763019</v>
      </c>
      <c r="E17" s="30" t="n">
        <v>6.689462107514464</v>
      </c>
      <c r="F17" s="30" t="n">
        <v>456.1693645423148</v>
      </c>
      <c r="G17" s="30" t="n">
        <v>25.82387360553535</v>
      </c>
      <c r="H17" s="30" t="n">
        <v>9.537311524099911</v>
      </c>
      <c r="I17" s="30" t="n">
        <v>0.6635690020907568</v>
      </c>
      <c r="J17" s="30" t="n">
        <v>0.3951091299982182</v>
      </c>
      <c r="K17" s="30" t="n">
        <v>0.4069802360772391</v>
      </c>
      <c r="L17" s="30" t="n">
        <v>0.4864068305804395</v>
      </c>
      <c r="M17" s="30" t="n">
        <v>0.1278317535677326</v>
      </c>
      <c r="N17" s="30" t="n">
        <v>1.227859457250981</v>
      </c>
      <c r="O17" s="30" t="n">
        <v>0.1706853665833252</v>
      </c>
      <c r="P17" s="30" t="n">
        <v>1.656204115089219</v>
      </c>
      <c r="Q17" s="30" t="n">
        <v>0.3094457976311348</v>
      </c>
      <c r="R17" s="30" t="n">
        <v>1.361588274593206</v>
      </c>
      <c r="S17" s="30" t="n">
        <v>0.3123733147297142</v>
      </c>
      <c r="T17" s="30" t="n">
        <v>2.650833486558081</v>
      </c>
      <c r="U17" s="30" t="n">
        <v>0.8275558915743004</v>
      </c>
      <c r="V17" s="30" t="n">
        <v>1.136308944514836</v>
      </c>
      <c r="W17" s="30" t="n">
        <v>0.6381575993569084</v>
      </c>
      <c r="X17" s="30" t="n">
        <v>0.409379448236191</v>
      </c>
      <c r="Y17" s="30" t="n">
        <v>1.177193934145903</v>
      </c>
      <c r="Z17" s="30" t="n">
        <v>83.57088722083517</v>
      </c>
      <c r="AA17" s="30" t="n">
        <v>7453.546628843681</v>
      </c>
      <c r="AB17" s="30" t="n">
        <v>88.81470122454988</v>
      </c>
      <c r="AC17" s="30" t="n">
        <v>0.8870275214283736</v>
      </c>
      <c r="AD17" s="30" t="n">
        <v>1.932795420549151</v>
      </c>
      <c r="AE17" s="30" t="n">
        <v>1.662500939826839</v>
      </c>
      <c r="AF17" s="30" t="n">
        <v>2.136440626962864</v>
      </c>
      <c r="AG17" s="30" t="n">
        <v>4.135464190586182</v>
      </c>
      <c r="AH17" s="30" t="n">
        <v>1.131450026031385</v>
      </c>
      <c r="AI17" s="30" t="n">
        <v>0.5234701537327126</v>
      </c>
      <c r="AJ17" s="30" t="n">
        <v>0.4166871237697163</v>
      </c>
      <c r="AK17" s="30" t="n">
        <v>4.178749025474163</v>
      </c>
      <c r="AL17" s="30" t="n">
        <v>8.258509779150144</v>
      </c>
      <c r="AM17" s="30" t="n">
        <v>23.11870280347336</v>
      </c>
      <c r="AN17" s="30" t="n">
        <v>8.797823986525744</v>
      </c>
      <c r="AO17" s="30" t="n">
        <v>14.70869278345243</v>
      </c>
      <c r="AP17" s="30" t="n">
        <v>16.23845727196089</v>
      </c>
      <c r="AQ17" s="30" t="n">
        <v>1.206220352177368</v>
      </c>
      <c r="AR17" s="30" t="n">
        <v>0.1081918864540212</v>
      </c>
      <c r="AS17" s="30" t="n">
        <v>1.766612689526945</v>
      </c>
      <c r="AT17" s="30" t="n">
        <v>23.27680427069083</v>
      </c>
      <c r="AU17" s="30" t="n">
        <v>2.957036919512905</v>
      </c>
      <c r="AV17" s="30" t="n">
        <v>1.092113349589414</v>
      </c>
      <c r="AW17" s="30" t="n">
        <v>5.596736423208156</v>
      </c>
      <c r="AX17" s="30" t="n">
        <v>0</v>
      </c>
      <c r="AY17" s="30" t="n">
        <v>3.136630811660962</v>
      </c>
      <c r="AZ17" s="30" t="n">
        <v>3.299510056507322</v>
      </c>
      <c r="BA17" s="30" t="n">
        <v>11.50092336068296</v>
      </c>
      <c r="BB17" s="30">
        <f>SUM(C17:BA17)</f>
        <v/>
      </c>
      <c r="BC17" s="30" t="n">
        <v>0</v>
      </c>
      <c r="BD17" s="30" t="n">
        <v>0</v>
      </c>
      <c r="BE17" s="30" t="n">
        <v>22041.6007410044</v>
      </c>
      <c r="BF17" s="30" t="n">
        <v>0</v>
      </c>
      <c r="BG17" s="30">
        <f>SUM(BC17:BF17)</f>
        <v/>
      </c>
      <c r="BH17" s="30">
        <f>BB17+BG17</f>
        <v/>
      </c>
    </row>
    <row r="18">
      <c r="A18" s="28" t="n">
        <v>5</v>
      </c>
      <c r="B18" s="29" t="inlineStr">
        <is>
          <t>Outros da indústria extrativa</t>
        </is>
      </c>
      <c r="C18" s="28" t="n">
        <v>433.9026551417666</v>
      </c>
      <c r="D18" s="28" t="n">
        <v>326.0939500573379</v>
      </c>
      <c r="E18" s="28" t="n">
        <v>420.4680892474977</v>
      </c>
      <c r="F18" s="28" t="n">
        <v>10.62965028663453</v>
      </c>
      <c r="G18" s="28" t="n">
        <v>1340.025995787498</v>
      </c>
      <c r="H18" s="28" t="n">
        <v>340.2311927770445</v>
      </c>
      <c r="I18" s="28" t="n">
        <v>0.05449870379742631</v>
      </c>
      <c r="J18" s="28" t="n">
        <v>6.888045389956877</v>
      </c>
      <c r="K18" s="28" t="n">
        <v>0.3892325402132115</v>
      </c>
      <c r="L18" s="28" t="n">
        <v>3.864800336210148</v>
      </c>
      <c r="M18" s="28" t="n">
        <v>0.5076826607613432</v>
      </c>
      <c r="N18" s="28" t="n">
        <v>39.15282550360839</v>
      </c>
      <c r="O18" s="28" t="n">
        <v>2.334380209431461</v>
      </c>
      <c r="P18" s="28" t="n">
        <v>36.38999833196229</v>
      </c>
      <c r="Q18" s="28" t="n">
        <v>161.8957655516545</v>
      </c>
      <c r="R18" s="28" t="n">
        <v>2970.426885122652</v>
      </c>
      <c r="S18" s="28" t="n">
        <v>15.63448610054721</v>
      </c>
      <c r="T18" s="28" t="n">
        <v>3.420838889852882</v>
      </c>
      <c r="U18" s="28" t="n">
        <v>2.459841749353475</v>
      </c>
      <c r="V18" s="28" t="n">
        <v>19.40389912603986</v>
      </c>
      <c r="W18" s="28" t="n">
        <v>117.8501048373441</v>
      </c>
      <c r="X18" s="28" t="n">
        <v>22.54446165842966</v>
      </c>
      <c r="Y18" s="28" t="n">
        <v>21.49760420351942</v>
      </c>
      <c r="Z18" s="28" t="n">
        <v>4315.436413933518</v>
      </c>
      <c r="AA18" s="28" t="n">
        <v>6998.348834182501</v>
      </c>
      <c r="AB18" s="28" t="n">
        <v>8626.052949804201</v>
      </c>
      <c r="AC18" s="28" t="n">
        <v>15.65444652148484</v>
      </c>
      <c r="AD18" s="28" t="n">
        <v>25.22403791846068</v>
      </c>
      <c r="AE18" s="28" t="n">
        <v>80.35530441949047</v>
      </c>
      <c r="AF18" s="28" t="n">
        <v>2.254957640735464</v>
      </c>
      <c r="AG18" s="28" t="n">
        <v>22.73840166882258</v>
      </c>
      <c r="AH18" s="28" t="n">
        <v>99.20872305861266</v>
      </c>
      <c r="AI18" s="28" t="n">
        <v>9.191299838073624</v>
      </c>
      <c r="AJ18" s="28" t="n">
        <v>39.64255608233685</v>
      </c>
      <c r="AK18" s="28" t="n">
        <v>1010.714488662232</v>
      </c>
      <c r="AL18" s="28" t="n">
        <v>5801.320404944283</v>
      </c>
      <c r="AM18" s="28" t="n">
        <v>65.05828496402353</v>
      </c>
      <c r="AN18" s="28" t="n">
        <v>8.227970373497204</v>
      </c>
      <c r="AO18" s="28" t="n">
        <v>3.114512031392901</v>
      </c>
      <c r="AP18" s="28" t="n">
        <v>2.571344275155747</v>
      </c>
      <c r="AQ18" s="28" t="n">
        <v>195.575420624702</v>
      </c>
      <c r="AR18" s="28" t="n">
        <v>0.1461171474203902</v>
      </c>
      <c r="AS18" s="28" t="n">
        <v>31.81005539280691</v>
      </c>
      <c r="AT18" s="28" t="n">
        <v>32.91717766292963</v>
      </c>
      <c r="AU18" s="28" t="n">
        <v>1.977298909753276</v>
      </c>
      <c r="AV18" s="28" t="n">
        <v>19.18021896099734</v>
      </c>
      <c r="AW18" s="28" t="n">
        <v>10.13709643520419</v>
      </c>
      <c r="AX18" s="28" t="n">
        <v>0</v>
      </c>
      <c r="AY18" s="28" t="n">
        <v>28.17126781704162</v>
      </c>
      <c r="AZ18" s="28" t="n">
        <v>14.83051209315718</v>
      </c>
      <c r="BA18" s="28" t="n">
        <v>57.18543130310911</v>
      </c>
      <c r="BB18" s="28">
        <f>SUM(C18:BA18)</f>
        <v/>
      </c>
      <c r="BC18" s="28" t="n">
        <v>0</v>
      </c>
      <c r="BD18" s="28" t="n">
        <v>0</v>
      </c>
      <c r="BE18" s="28" t="n">
        <v>1915.62412422914</v>
      </c>
      <c r="BF18" s="28" t="n">
        <v>0</v>
      </c>
      <c r="BG18" s="28">
        <f>SUM(BC18:BF18)</f>
        <v/>
      </c>
      <c r="BH18" s="28">
        <f>BB18+BG18</f>
        <v/>
      </c>
    </row>
    <row r="19">
      <c r="A19" s="30" t="n">
        <v>6</v>
      </c>
      <c r="B19" s="31" t="inlineStr">
        <is>
          <t>Alimentos e Bebidas</t>
        </is>
      </c>
      <c r="C19" s="30" t="n">
        <v>1437.159910984374</v>
      </c>
      <c r="D19" s="30" t="n">
        <v>9990.429732695335</v>
      </c>
      <c r="E19" s="30" t="n">
        <v>208.988446768235</v>
      </c>
      <c r="F19" s="30" t="n">
        <v>38.66767962375388</v>
      </c>
      <c r="G19" s="30" t="n">
        <v>157.3856964534792</v>
      </c>
      <c r="H19" s="30" t="n">
        <v>63126.28302781151</v>
      </c>
      <c r="I19" s="30" t="n">
        <v>4.331309426527831</v>
      </c>
      <c r="J19" s="30" t="n">
        <v>49.32809065418643</v>
      </c>
      <c r="K19" s="30" t="n">
        <v>13.69651010069121</v>
      </c>
      <c r="L19" s="30" t="n">
        <v>2093.544748663121</v>
      </c>
      <c r="M19" s="30" t="n">
        <v>19.80829050238531</v>
      </c>
      <c r="N19" s="30" t="n">
        <v>599.8062153378083</v>
      </c>
      <c r="O19" s="30" t="n">
        <v>21.77198945229328</v>
      </c>
      <c r="P19" s="30" t="n">
        <v>4075.402127641103</v>
      </c>
      <c r="Q19" s="30" t="n">
        <v>2620.208053296659</v>
      </c>
      <c r="R19" s="30" t="n">
        <v>486.0149280788229</v>
      </c>
      <c r="S19" s="30" t="n">
        <v>223.1171997869436</v>
      </c>
      <c r="T19" s="30" t="n">
        <v>283.3878085518637</v>
      </c>
      <c r="U19" s="30" t="n">
        <v>137.7076362825367</v>
      </c>
      <c r="V19" s="30" t="n">
        <v>1836.763625668289</v>
      </c>
      <c r="W19" s="30" t="n">
        <v>254.1725608868615</v>
      </c>
      <c r="X19" s="30" t="n">
        <v>928.7214218269314</v>
      </c>
      <c r="Y19" s="30" t="n">
        <v>116.5500599474434</v>
      </c>
      <c r="Z19" s="30" t="n">
        <v>77.03923120704381</v>
      </c>
      <c r="AA19" s="30" t="n">
        <v>109.7991028935511</v>
      </c>
      <c r="AB19" s="30" t="n">
        <v>39.86781919788295</v>
      </c>
      <c r="AC19" s="30" t="n">
        <v>94.51273881822785</v>
      </c>
      <c r="AD19" s="30" t="n">
        <v>202.0481131001156</v>
      </c>
      <c r="AE19" s="30" t="n">
        <v>39.0163071775499</v>
      </c>
      <c r="AF19" s="30" t="n">
        <v>21.77076489622839</v>
      </c>
      <c r="AG19" s="30" t="n">
        <v>50.84145421061577</v>
      </c>
      <c r="AH19" s="30" t="n">
        <v>28.14589341115356</v>
      </c>
      <c r="AI19" s="30" t="n">
        <v>22.93194528623013</v>
      </c>
      <c r="AJ19" s="30" t="n">
        <v>38.06368049332258</v>
      </c>
      <c r="AK19" s="30" t="n">
        <v>232.0650514788823</v>
      </c>
      <c r="AL19" s="30" t="n">
        <v>319.3442147630462</v>
      </c>
      <c r="AM19" s="30" t="n">
        <v>2716.709928578218</v>
      </c>
      <c r="AN19" s="30" t="n">
        <v>311.4185139981423</v>
      </c>
      <c r="AO19" s="30" t="n">
        <v>106.8030115873696</v>
      </c>
      <c r="AP19" s="30" t="n">
        <v>337.7506250208221</v>
      </c>
      <c r="AQ19" s="30" t="n">
        <v>24.42573498836688</v>
      </c>
      <c r="AR19" s="30" t="n">
        <v>11.02688423118407</v>
      </c>
      <c r="AS19" s="30" t="n">
        <v>42237.8084070113</v>
      </c>
      <c r="AT19" s="30" t="n">
        <v>201.0570038557283</v>
      </c>
      <c r="AU19" s="30" t="n">
        <v>311.4821999283117</v>
      </c>
      <c r="AV19" s="30" t="n">
        <v>1211.079014336144</v>
      </c>
      <c r="AW19" s="30" t="n">
        <v>1008.674134745246</v>
      </c>
      <c r="AX19" s="30" t="n">
        <v>0</v>
      </c>
      <c r="AY19" s="30" t="n">
        <v>2603.333662155671</v>
      </c>
      <c r="AZ19" s="30" t="n">
        <v>1618.095809779543</v>
      </c>
      <c r="BA19" s="30" t="n">
        <v>3366.58786227195</v>
      </c>
      <c r="BB19" s="30">
        <f>SUM(C19:BA19)</f>
        <v/>
      </c>
      <c r="BC19" s="30" t="n">
        <v>0</v>
      </c>
      <c r="BD19" s="30" t="n">
        <v>0</v>
      </c>
      <c r="BE19" s="30" t="n">
        <v>257597.0135246307</v>
      </c>
      <c r="BF19" s="30" t="n">
        <v>0</v>
      </c>
      <c r="BG19" s="30">
        <f>SUM(BC19:BF19)</f>
        <v/>
      </c>
      <c r="BH19" s="30">
        <f>BB19+BG19</f>
        <v/>
      </c>
    </row>
    <row r="20">
      <c r="A20" s="28" t="n">
        <v>7</v>
      </c>
      <c r="B20" s="29" t="inlineStr">
        <is>
          <t>Produtos do fumo</t>
        </is>
      </c>
      <c r="C20" s="28" t="n">
        <v>0.2007016953301907</v>
      </c>
      <c r="D20" s="28" t="n">
        <v>0.08316144789684023</v>
      </c>
      <c r="E20" s="28" t="n">
        <v>1.280281598014137</v>
      </c>
      <c r="F20" s="28" t="n">
        <v>0.2323038224134997</v>
      </c>
      <c r="G20" s="28" t="n">
        <v>0.1765255090962556</v>
      </c>
      <c r="H20" s="28" t="n">
        <v>4.238997816199027</v>
      </c>
      <c r="I20" s="28" t="n">
        <v>683.8555620743673</v>
      </c>
      <c r="J20" s="28" t="n">
        <v>0.3723201281327517</v>
      </c>
      <c r="K20" s="28" t="n">
        <v>0.3110473389753859</v>
      </c>
      <c r="L20" s="28" t="n">
        <v>0.3571477679860047</v>
      </c>
      <c r="M20" s="28" t="n">
        <v>0.1798913397130827</v>
      </c>
      <c r="N20" s="28" t="n">
        <v>2.630356809069109</v>
      </c>
      <c r="O20" s="28" t="n">
        <v>0.469209524025286</v>
      </c>
      <c r="P20" s="28" t="n">
        <v>0.4176856508696842</v>
      </c>
      <c r="Q20" s="28" t="n">
        <v>0.1044777937712621</v>
      </c>
      <c r="R20" s="28" t="n">
        <v>0.3332035228772197</v>
      </c>
      <c r="S20" s="28" t="n">
        <v>0.1053715837204873</v>
      </c>
      <c r="T20" s="28" t="n">
        <v>0.8912702847002741</v>
      </c>
      <c r="U20" s="28" t="n">
        <v>0.2335216856294683</v>
      </c>
      <c r="V20" s="28" t="n">
        <v>0.6529868472739275</v>
      </c>
      <c r="W20" s="28" t="n">
        <v>0.1567360762363761</v>
      </c>
      <c r="X20" s="28" t="n">
        <v>0.1459900981255835</v>
      </c>
      <c r="Y20" s="28" t="n">
        <v>0.8383288734404302</v>
      </c>
      <c r="Z20" s="28" t="n">
        <v>0.8501626053573137</v>
      </c>
      <c r="AA20" s="28" t="n">
        <v>0.3457060091362186</v>
      </c>
      <c r="AB20" s="28" t="n">
        <v>0.1493955838745237</v>
      </c>
      <c r="AC20" s="28" t="n">
        <v>0.5404559571526759</v>
      </c>
      <c r="AD20" s="28" t="n">
        <v>0.7832023206644916</v>
      </c>
      <c r="AE20" s="28" t="n">
        <v>0.5608513011078706</v>
      </c>
      <c r="AF20" s="28" t="n">
        <v>0.9898243053845321</v>
      </c>
      <c r="AG20" s="28" t="n">
        <v>0.9865152462532181</v>
      </c>
      <c r="AH20" s="28" t="n">
        <v>0.408276446973063</v>
      </c>
      <c r="AI20" s="28" t="n">
        <v>0.1407936978135321</v>
      </c>
      <c r="AJ20" s="28" t="n">
        <v>0.2758982390333018</v>
      </c>
      <c r="AK20" s="28" t="n">
        <v>0.9400352997717534</v>
      </c>
      <c r="AL20" s="28" t="n">
        <v>1.446501952100666</v>
      </c>
      <c r="AM20" s="28" t="n">
        <v>6.408255533743874</v>
      </c>
      <c r="AN20" s="28" t="n">
        <v>2.457732027472126</v>
      </c>
      <c r="AO20" s="28" t="n">
        <v>4.15307685777355</v>
      </c>
      <c r="AP20" s="28" t="n">
        <v>3.792515662397891</v>
      </c>
      <c r="AQ20" s="28" t="n">
        <v>0.2827627737204169</v>
      </c>
      <c r="AR20" s="28" t="n">
        <v>0.02915148330820419</v>
      </c>
      <c r="AS20" s="28" t="n">
        <v>0.6203334131354369</v>
      </c>
      <c r="AT20" s="28" t="n">
        <v>4.393836876558399</v>
      </c>
      <c r="AU20" s="28" t="n">
        <v>0.6825024247488267</v>
      </c>
      <c r="AV20" s="28" t="n">
        <v>0.4708201471741374</v>
      </c>
      <c r="AW20" s="28" t="n">
        <v>1.260821665490583</v>
      </c>
      <c r="AX20" s="28" t="n">
        <v>0</v>
      </c>
      <c r="AY20" s="28" t="n">
        <v>0.854617906480672</v>
      </c>
      <c r="AZ20" s="28" t="n">
        <v>0.7702845847973836</v>
      </c>
      <c r="BA20" s="28" t="n">
        <v>2.694920260762924</v>
      </c>
      <c r="BB20" s="28">
        <f>SUM(C20:BA20)</f>
        <v/>
      </c>
      <c r="BC20" s="28" t="n">
        <v>0</v>
      </c>
      <c r="BD20" s="28" t="n">
        <v>0</v>
      </c>
      <c r="BE20" s="28" t="n">
        <v>10812.65996365366</v>
      </c>
      <c r="BF20" s="28" t="n">
        <v>0</v>
      </c>
      <c r="BG20" s="28">
        <f>SUM(BC20:BF20)</f>
        <v/>
      </c>
      <c r="BH20" s="28">
        <f>BB20+BG20</f>
        <v/>
      </c>
    </row>
    <row r="21">
      <c r="A21" s="30" t="n">
        <v>8</v>
      </c>
      <c r="B21" s="31" t="inlineStr">
        <is>
          <t>Têxteis</t>
        </is>
      </c>
      <c r="C21" s="30" t="n">
        <v>494.7699757444864</v>
      </c>
      <c r="D21" s="30" t="n">
        <v>13.50438736091412</v>
      </c>
      <c r="E21" s="30" t="n">
        <v>87.42699599740693</v>
      </c>
      <c r="F21" s="30" t="n">
        <v>2.389274718922472</v>
      </c>
      <c r="G21" s="30" t="n">
        <v>178.254065839716</v>
      </c>
      <c r="H21" s="30" t="n">
        <v>278.8481083536692</v>
      </c>
      <c r="I21" s="30" t="n">
        <v>0.9174176240270894</v>
      </c>
      <c r="J21" s="30" t="n">
        <v>10066.01017114117</v>
      </c>
      <c r="K21" s="30" t="n">
        <v>13371.38442626438</v>
      </c>
      <c r="L21" s="30" t="n">
        <v>2391.114316094632</v>
      </c>
      <c r="M21" s="30" t="n">
        <v>7.506581110283967</v>
      </c>
      <c r="N21" s="30" t="n">
        <v>112.5839767971859</v>
      </c>
      <c r="O21" s="30" t="n">
        <v>6.112727576218433</v>
      </c>
      <c r="P21" s="30" t="n">
        <v>1.389974153914098</v>
      </c>
      <c r="Q21" s="30" t="n">
        <v>0.8091364476417806</v>
      </c>
      <c r="R21" s="30" t="n">
        <v>7.526846327305227</v>
      </c>
      <c r="S21" s="30" t="n">
        <v>25.71972870413771</v>
      </c>
      <c r="T21" s="30" t="n">
        <v>92.18508273235652</v>
      </c>
      <c r="U21" s="30" t="n">
        <v>4.754791390723325</v>
      </c>
      <c r="V21" s="30" t="n">
        <v>18.49341449437816</v>
      </c>
      <c r="W21" s="30" t="n">
        <v>13.64673309581935</v>
      </c>
      <c r="X21" s="30" t="n">
        <v>33.36570853456513</v>
      </c>
      <c r="Y21" s="30" t="n">
        <v>613.500605449971</v>
      </c>
      <c r="Z21" s="30" t="n">
        <v>37.93628471502019</v>
      </c>
      <c r="AA21" s="30" t="n">
        <v>4.372350839992627</v>
      </c>
      <c r="AB21" s="30" t="n">
        <v>3.206500719537843</v>
      </c>
      <c r="AC21" s="30" t="n">
        <v>43.29101270081381</v>
      </c>
      <c r="AD21" s="30" t="n">
        <v>24.7015756735533</v>
      </c>
      <c r="AE21" s="30" t="n">
        <v>53.49150580315477</v>
      </c>
      <c r="AF21" s="30" t="n">
        <v>23.58266072474193</v>
      </c>
      <c r="AG21" s="30" t="n">
        <v>147.163042765217</v>
      </c>
      <c r="AH21" s="30" t="n">
        <v>1274.754380312018</v>
      </c>
      <c r="AI21" s="30" t="n">
        <v>86.20798023414974</v>
      </c>
      <c r="AJ21" s="30" t="n">
        <v>1098.760425662342</v>
      </c>
      <c r="AK21" s="30" t="n">
        <v>28.06011268752386</v>
      </c>
      <c r="AL21" s="30" t="n">
        <v>558.2511362066658</v>
      </c>
      <c r="AM21" s="30" t="n">
        <v>198.638655139725</v>
      </c>
      <c r="AN21" s="30" t="n">
        <v>96.90768245860596</v>
      </c>
      <c r="AO21" s="30" t="n">
        <v>27.44261431551055</v>
      </c>
      <c r="AP21" s="30" t="n">
        <v>24.25514753813313</v>
      </c>
      <c r="AQ21" s="30" t="n">
        <v>5.743191226028157</v>
      </c>
      <c r="AR21" s="30" t="n">
        <v>23.17552887219482</v>
      </c>
      <c r="AS21" s="30" t="n">
        <v>371.8883130604024</v>
      </c>
      <c r="AT21" s="30" t="n">
        <v>52.48944738159638</v>
      </c>
      <c r="AU21" s="30" t="n">
        <v>7.706378049618864</v>
      </c>
      <c r="AV21" s="30" t="n">
        <v>29.03054591397552</v>
      </c>
      <c r="AW21" s="30" t="n">
        <v>522.1867056175963</v>
      </c>
      <c r="AX21" s="30" t="n">
        <v>0</v>
      </c>
      <c r="AY21" s="30" t="n">
        <v>39.73530598817489</v>
      </c>
      <c r="AZ21" s="30" t="n">
        <v>28.30818481676721</v>
      </c>
      <c r="BA21" s="30" t="n">
        <v>54.91236359096838</v>
      </c>
      <c r="BB21" s="30">
        <f>SUM(C21:BA21)</f>
        <v/>
      </c>
      <c r="BC21" s="30" t="n">
        <v>0</v>
      </c>
      <c r="BD21" s="30" t="n">
        <v>0</v>
      </c>
      <c r="BE21" s="30" t="n">
        <v>15232.13686618025</v>
      </c>
      <c r="BF21" s="30" t="n">
        <v>0</v>
      </c>
      <c r="BG21" s="30">
        <f>SUM(BC21:BF21)</f>
        <v/>
      </c>
      <c r="BH21" s="30">
        <f>BB21+BG21</f>
        <v/>
      </c>
    </row>
    <row r="22">
      <c r="A22" s="28" t="n">
        <v>9</v>
      </c>
      <c r="B22" s="29" t="inlineStr">
        <is>
          <t>Artigos do vestuário e acessórios</t>
        </is>
      </c>
      <c r="C22" s="28" t="n">
        <v>21.79008344293533</v>
      </c>
      <c r="D22" s="28" t="n">
        <v>1.306649602515553</v>
      </c>
      <c r="E22" s="28" t="n">
        <v>83.406905408331</v>
      </c>
      <c r="F22" s="28" t="n">
        <v>2.462147744846308</v>
      </c>
      <c r="G22" s="28" t="n">
        <v>8.297541454417303</v>
      </c>
      <c r="H22" s="28" t="n">
        <v>21.78263607582732</v>
      </c>
      <c r="I22" s="28" t="n">
        <v>0.2093038305738025</v>
      </c>
      <c r="J22" s="28" t="n">
        <v>131.5939534122491</v>
      </c>
      <c r="K22" s="28" t="n">
        <v>2446.06977094307</v>
      </c>
      <c r="L22" s="28" t="n">
        <v>73.97490812467879</v>
      </c>
      <c r="M22" s="28" t="n">
        <v>0.4061795931765194</v>
      </c>
      <c r="N22" s="28" t="n">
        <v>4.127611238052909</v>
      </c>
      <c r="O22" s="28" t="n">
        <v>0.9036914756930995</v>
      </c>
      <c r="P22" s="28" t="n">
        <v>0.6659062507901323</v>
      </c>
      <c r="Q22" s="28" t="n">
        <v>0.4263046425617137</v>
      </c>
      <c r="R22" s="28" t="n">
        <v>0.8753407866734607</v>
      </c>
      <c r="S22" s="28" t="n">
        <v>0.433601635422296</v>
      </c>
      <c r="T22" s="28" t="n">
        <v>1.733380380497699</v>
      </c>
      <c r="U22" s="28" t="n">
        <v>4.513044740117668</v>
      </c>
      <c r="V22" s="28" t="n">
        <v>0.5389772094292835</v>
      </c>
      <c r="W22" s="28" t="n">
        <v>1.217626318469947</v>
      </c>
      <c r="X22" s="28" t="n">
        <v>0.7402100098167734</v>
      </c>
      <c r="Y22" s="28" t="n">
        <v>8.468232375853985</v>
      </c>
      <c r="Z22" s="28" t="n">
        <v>16.956404546038</v>
      </c>
      <c r="AA22" s="28" t="n">
        <v>9.31347939885848</v>
      </c>
      <c r="AB22" s="28" t="n">
        <v>1.069174856957777</v>
      </c>
      <c r="AC22" s="28" t="n">
        <v>49.16543313295433</v>
      </c>
      <c r="AD22" s="28" t="n">
        <v>23.18495531450897</v>
      </c>
      <c r="AE22" s="28" t="n">
        <v>3.428443201771747</v>
      </c>
      <c r="AF22" s="28" t="n">
        <v>2.055908559331462</v>
      </c>
      <c r="AG22" s="28" t="n">
        <v>4.601613481075316</v>
      </c>
      <c r="AH22" s="28" t="n">
        <v>24.96962112940604</v>
      </c>
      <c r="AI22" s="28" t="n">
        <v>3.235051035375255</v>
      </c>
      <c r="AJ22" s="28" t="n">
        <v>24.63468782283046</v>
      </c>
      <c r="AK22" s="28" t="n">
        <v>201.3180125293213</v>
      </c>
      <c r="AL22" s="28" t="n">
        <v>63.26765545489167</v>
      </c>
      <c r="AM22" s="28" t="n">
        <v>301.1289632813661</v>
      </c>
      <c r="AN22" s="28" t="n">
        <v>491.5866914288989</v>
      </c>
      <c r="AO22" s="28" t="n">
        <v>180.5714835057138</v>
      </c>
      <c r="AP22" s="28" t="n">
        <v>742.9213238847547</v>
      </c>
      <c r="AQ22" s="28" t="n">
        <v>33.99884565908</v>
      </c>
      <c r="AR22" s="28" t="n">
        <v>0.621273761724526</v>
      </c>
      <c r="AS22" s="28" t="n">
        <v>251.3126751894399</v>
      </c>
      <c r="AT22" s="28" t="n">
        <v>412.1112600777781</v>
      </c>
      <c r="AU22" s="28" t="n">
        <v>1.80760412033506</v>
      </c>
      <c r="AV22" s="28" t="n">
        <v>35.79699847224757</v>
      </c>
      <c r="AW22" s="28" t="n">
        <v>1329.484706740722</v>
      </c>
      <c r="AX22" s="28" t="n">
        <v>0</v>
      </c>
      <c r="AY22" s="28" t="n">
        <v>419.6796981157411</v>
      </c>
      <c r="AZ22" s="28" t="n">
        <v>37.21188950786814</v>
      </c>
      <c r="BA22" s="28" t="n">
        <v>656.9496671743836</v>
      </c>
      <c r="BB22" s="28">
        <f>SUM(C22:BA22)</f>
        <v/>
      </c>
      <c r="BC22" s="28" t="n">
        <v>0</v>
      </c>
      <c r="BD22" s="28" t="n">
        <v>0</v>
      </c>
      <c r="BE22" s="28" t="n">
        <v>40113.39340270935</v>
      </c>
      <c r="BF22" s="28" t="n">
        <v>0</v>
      </c>
      <c r="BG22" s="28">
        <f>SUM(BC22:BF22)</f>
        <v/>
      </c>
      <c r="BH22" s="28">
        <f>BB22+BG22</f>
        <v/>
      </c>
    </row>
    <row r="23">
      <c r="A23" s="30" t="n">
        <v>10</v>
      </c>
      <c r="B23" s="31" t="inlineStr">
        <is>
          <t>Artefatos de couro e calçados</t>
        </is>
      </c>
      <c r="C23" s="30" t="n">
        <v>4.298229428686525</v>
      </c>
      <c r="D23" s="30" t="n">
        <v>6.807890852883624</v>
      </c>
      <c r="E23" s="30" t="n">
        <v>9.684175802951433</v>
      </c>
      <c r="F23" s="30" t="n">
        <v>2.430977200491164</v>
      </c>
      <c r="G23" s="30" t="n">
        <v>9.694989433742011</v>
      </c>
      <c r="H23" s="30" t="n">
        <v>49.32282419001049</v>
      </c>
      <c r="I23" s="30" t="n">
        <v>0.5462869690195947</v>
      </c>
      <c r="J23" s="30" t="n">
        <v>9.352628979673844</v>
      </c>
      <c r="K23" s="30" t="n">
        <v>17.13340105748389</v>
      </c>
      <c r="L23" s="30" t="n">
        <v>4877.734489582625</v>
      </c>
      <c r="M23" s="30" t="n">
        <v>2.159684896764294</v>
      </c>
      <c r="N23" s="30" t="n">
        <v>79.69836072059667</v>
      </c>
      <c r="O23" s="30" t="n">
        <v>2.487724200272311</v>
      </c>
      <c r="P23" s="30" t="n">
        <v>2.165449561692836</v>
      </c>
      <c r="Q23" s="30" t="n">
        <v>2.381386577071864</v>
      </c>
      <c r="R23" s="30" t="n">
        <v>5.715041074035831</v>
      </c>
      <c r="S23" s="30" t="n">
        <v>4.609099738372091</v>
      </c>
      <c r="T23" s="30" t="n">
        <v>5.070142174484248</v>
      </c>
      <c r="U23" s="30" t="n">
        <v>3.185829627480466</v>
      </c>
      <c r="V23" s="30" t="n">
        <v>8.098662788445381</v>
      </c>
      <c r="W23" s="30" t="n">
        <v>5.528530873548044</v>
      </c>
      <c r="X23" s="30" t="n">
        <v>8.568393218691496</v>
      </c>
      <c r="Y23" s="30" t="n">
        <v>28.60364986756095</v>
      </c>
      <c r="Z23" s="30" t="n">
        <v>9.213368949306663</v>
      </c>
      <c r="AA23" s="30" t="n">
        <v>4.758112029518501</v>
      </c>
      <c r="AB23" s="30" t="n">
        <v>1.210845261756764</v>
      </c>
      <c r="AC23" s="30" t="n">
        <v>28.91262672039216</v>
      </c>
      <c r="AD23" s="30" t="n">
        <v>13.43747360284593</v>
      </c>
      <c r="AE23" s="30" t="n">
        <v>7.406328667057033</v>
      </c>
      <c r="AF23" s="30" t="n">
        <v>26.05011180967029</v>
      </c>
      <c r="AG23" s="30" t="n">
        <v>17.14726789238909</v>
      </c>
      <c r="AH23" s="30" t="n">
        <v>12.20271731171309</v>
      </c>
      <c r="AI23" s="30" t="n">
        <v>3.163351632956792</v>
      </c>
      <c r="AJ23" s="30" t="n">
        <v>9.509914469686176</v>
      </c>
      <c r="AK23" s="30" t="n">
        <v>86.15172420709212</v>
      </c>
      <c r="AL23" s="30" t="n">
        <v>58.43640238974984</v>
      </c>
      <c r="AM23" s="30" t="n">
        <v>27.65310053451022</v>
      </c>
      <c r="AN23" s="30" t="n">
        <v>17.40319438699868</v>
      </c>
      <c r="AO23" s="30" t="n">
        <v>38.88086990877865</v>
      </c>
      <c r="AP23" s="30" t="n">
        <v>12.26012869095408</v>
      </c>
      <c r="AQ23" s="30" t="n">
        <v>2.059178170559283</v>
      </c>
      <c r="AR23" s="30" t="n">
        <v>0.1268230939931984</v>
      </c>
      <c r="AS23" s="30" t="n">
        <v>11.32559425965862</v>
      </c>
      <c r="AT23" s="30" t="n">
        <v>57.62701473779764</v>
      </c>
      <c r="AU23" s="30" t="n">
        <v>1.902826941956441</v>
      </c>
      <c r="AV23" s="30" t="n">
        <v>1.75829782727299</v>
      </c>
      <c r="AW23" s="30" t="n">
        <v>14.91234143248306</v>
      </c>
      <c r="AX23" s="30" t="n">
        <v>0</v>
      </c>
      <c r="AY23" s="30" t="n">
        <v>7.114789019127144</v>
      </c>
      <c r="AZ23" s="30" t="n">
        <v>5.873388034465208</v>
      </c>
      <c r="BA23" s="30" t="n">
        <v>30.23222438601607</v>
      </c>
      <c r="BB23" s="30">
        <f>SUM(C23:BA23)</f>
        <v/>
      </c>
      <c r="BC23" s="30" t="n">
        <v>0</v>
      </c>
      <c r="BD23" s="30" t="n">
        <v>0</v>
      </c>
      <c r="BE23" s="30" t="n">
        <v>20642.70857159375</v>
      </c>
      <c r="BF23" s="30" t="n">
        <v>0</v>
      </c>
      <c r="BG23" s="30">
        <f>SUM(BC23:BF23)</f>
        <v/>
      </c>
      <c r="BH23" s="30">
        <f>BB23+BG23</f>
        <v/>
      </c>
    </row>
    <row r="24">
      <c r="A24" s="29" t="inlineStr">
        <is>
          <t>Produtos de madeira</t>
        </is>
      </c>
      <c r="B24" s="29" t="inlineStr">
        <is>
          <t>exclusive móveis</t>
        </is>
      </c>
      <c r="C24" s="28" t="n">
        <v>379.4671421769371</v>
      </c>
      <c r="D24" s="28" t="n">
        <v>253.9368509007191</v>
      </c>
      <c r="E24" s="28" t="n">
        <v>4.080403373657308</v>
      </c>
      <c r="F24" s="28" t="n">
        <v>1.408417164741495</v>
      </c>
      <c r="G24" s="28" t="n">
        <v>6.710210639274851</v>
      </c>
      <c r="H24" s="28" t="n">
        <v>394.2098079284006</v>
      </c>
      <c r="I24" s="28" t="n">
        <v>0.4131873475117679</v>
      </c>
      <c r="J24" s="28" t="n">
        <v>31.51945329284768</v>
      </c>
      <c r="K24" s="28" t="n">
        <v>4.752392535334804</v>
      </c>
      <c r="L24" s="28" t="n">
        <v>1.731888948727909</v>
      </c>
      <c r="M24" s="28" t="n">
        <v>2928.49746908558</v>
      </c>
      <c r="N24" s="28" t="n">
        <v>421.3261431520783</v>
      </c>
      <c r="O24" s="28" t="n">
        <v>2.150271728023815</v>
      </c>
      <c r="P24" s="28" t="n">
        <v>0.9282908491854729</v>
      </c>
      <c r="Q24" s="28" t="n">
        <v>0.5888012333079299</v>
      </c>
      <c r="R24" s="28" t="n">
        <v>17.79889752411755</v>
      </c>
      <c r="S24" s="28" t="n">
        <v>1.0009413523013</v>
      </c>
      <c r="T24" s="28" t="n">
        <v>1.762820392935414</v>
      </c>
      <c r="U24" s="28" t="n">
        <v>10.10418142457628</v>
      </c>
      <c r="V24" s="28" t="n">
        <v>3.386538022588302</v>
      </c>
      <c r="W24" s="28" t="n">
        <v>3.434527702012305</v>
      </c>
      <c r="X24" s="28" t="n">
        <v>25.35731341602853</v>
      </c>
      <c r="Y24" s="28" t="n">
        <v>13.88024346278567</v>
      </c>
      <c r="Z24" s="28" t="n">
        <v>40.83809804263906</v>
      </c>
      <c r="AA24" s="28" t="n">
        <v>25.63006469440553</v>
      </c>
      <c r="AB24" s="28" t="n">
        <v>4.887972265277809</v>
      </c>
      <c r="AC24" s="28" t="n">
        <v>190.6739845756413</v>
      </c>
      <c r="AD24" s="28" t="n">
        <v>304.047612817783</v>
      </c>
      <c r="AE24" s="28" t="n">
        <v>12.7382717780316</v>
      </c>
      <c r="AF24" s="28" t="n">
        <v>4.658527880360092</v>
      </c>
      <c r="AG24" s="28" t="n">
        <v>192.9495028007785</v>
      </c>
      <c r="AH24" s="28" t="n">
        <v>74.29081181113312</v>
      </c>
      <c r="AI24" s="28" t="n">
        <v>184.3609213257848</v>
      </c>
      <c r="AJ24" s="28" t="n">
        <v>5461.537697078192</v>
      </c>
      <c r="AK24" s="28" t="n">
        <v>342.5314016298499</v>
      </c>
      <c r="AL24" s="28" t="n">
        <v>5224.190289588294</v>
      </c>
      <c r="AM24" s="28" t="n">
        <v>1608.340963421592</v>
      </c>
      <c r="AN24" s="28" t="n">
        <v>70.58235074278448</v>
      </c>
      <c r="AO24" s="28" t="n">
        <v>195.3414002268536</v>
      </c>
      <c r="AP24" s="28" t="n">
        <v>16.93182387685269</v>
      </c>
      <c r="AQ24" s="28" t="n">
        <v>344.7931106901131</v>
      </c>
      <c r="AR24" s="28" t="n">
        <v>1.888547725216251</v>
      </c>
      <c r="AS24" s="28" t="n">
        <v>14.10837753954803</v>
      </c>
      <c r="AT24" s="28" t="n">
        <v>26.9506805735918</v>
      </c>
      <c r="AU24" s="28" t="n">
        <v>8.383876918207392</v>
      </c>
      <c r="AV24" s="28" t="n">
        <v>7.747300764927656</v>
      </c>
      <c r="AW24" s="28" t="n">
        <v>302.572242441527</v>
      </c>
      <c r="AX24" s="28" t="n">
        <v>0</v>
      </c>
      <c r="AY24" s="28" t="n">
        <v>27.77724319990605</v>
      </c>
      <c r="AZ24" s="28" t="n">
        <v>5.561268675133293</v>
      </c>
      <c r="BA24" s="28" t="n">
        <v>73.23422483097143</v>
      </c>
      <c r="BB24" s="28">
        <f>SUM(C24:BA24)</f>
        <v/>
      </c>
      <c r="BC24" s="28" t="n">
        <v>0</v>
      </c>
      <c r="BD24" s="28" t="n">
        <v>0</v>
      </c>
      <c r="BE24" s="28" t="n">
        <v>3347.797095517955</v>
      </c>
      <c r="BF24" s="28" t="n">
        <v>0</v>
      </c>
      <c r="BG24" s="28">
        <f>SUM(BC24:BF24)</f>
        <v/>
      </c>
      <c r="BH24" s="28">
        <f>BB24+BG24</f>
        <v/>
      </c>
    </row>
    <row r="25">
      <c r="A25" s="30" t="n">
        <v>12</v>
      </c>
      <c r="B25" s="31" t="inlineStr">
        <is>
          <t>Celulose e produtos de papel</t>
        </is>
      </c>
      <c r="C25" s="30" t="n">
        <v>304.5088045352412</v>
      </c>
      <c r="D25" s="30" t="n">
        <v>110.5601883511545</v>
      </c>
      <c r="E25" s="30" t="n">
        <v>51.50008322111107</v>
      </c>
      <c r="F25" s="30" t="n">
        <v>61.66743721600179</v>
      </c>
      <c r="G25" s="30" t="n">
        <v>29.6952756303264</v>
      </c>
      <c r="H25" s="30" t="n">
        <v>4284.259772008515</v>
      </c>
      <c r="I25" s="30" t="n">
        <v>848.1652444401905</v>
      </c>
      <c r="J25" s="30" t="n">
        <v>638.746713639041</v>
      </c>
      <c r="K25" s="30" t="n">
        <v>491.7022597733518</v>
      </c>
      <c r="L25" s="30" t="n">
        <v>522.7055668322593</v>
      </c>
      <c r="M25" s="30" t="n">
        <v>400.6522833538722</v>
      </c>
      <c r="N25" s="30" t="n">
        <v>9696.981819398146</v>
      </c>
      <c r="O25" s="30" t="n">
        <v>1250.012306360425</v>
      </c>
      <c r="P25" s="30" t="n">
        <v>102.7610297271554</v>
      </c>
      <c r="Q25" s="30" t="n">
        <v>33.8749893500831</v>
      </c>
      <c r="R25" s="30" t="n">
        <v>71.11511636245376</v>
      </c>
      <c r="S25" s="30" t="n">
        <v>17.89394022008668</v>
      </c>
      <c r="T25" s="30" t="n">
        <v>652.7390555482299</v>
      </c>
      <c r="U25" s="30" t="n">
        <v>89.14366119311909</v>
      </c>
      <c r="V25" s="30" t="n">
        <v>1201.165282584588</v>
      </c>
      <c r="W25" s="30" t="n">
        <v>15.72862144636823</v>
      </c>
      <c r="X25" s="30" t="n">
        <v>46.62426983976554</v>
      </c>
      <c r="Y25" s="30" t="n">
        <v>1375.01443431731</v>
      </c>
      <c r="Z25" s="30" t="n">
        <v>1312.828696300675</v>
      </c>
      <c r="AA25" s="30" t="n">
        <v>48.45323716086371</v>
      </c>
      <c r="AB25" s="30" t="n">
        <v>18.47627311241882</v>
      </c>
      <c r="AC25" s="30" t="n">
        <v>760.5639138201414</v>
      </c>
      <c r="AD25" s="30" t="n">
        <v>209.9745629089935</v>
      </c>
      <c r="AE25" s="30" t="n">
        <v>366.9650013124566</v>
      </c>
      <c r="AF25" s="30" t="n">
        <v>1261.307647116893</v>
      </c>
      <c r="AG25" s="30" t="n">
        <v>254.5845822451266</v>
      </c>
      <c r="AH25" s="30" t="n">
        <v>568.9298871756366</v>
      </c>
      <c r="AI25" s="30" t="n">
        <v>60.31169320023574</v>
      </c>
      <c r="AJ25" s="30" t="n">
        <v>493.0605956879206</v>
      </c>
      <c r="AK25" s="30" t="n">
        <v>124.3447637509101</v>
      </c>
      <c r="AL25" s="30" t="n">
        <v>450.6973670195525</v>
      </c>
      <c r="AM25" s="30" t="n">
        <v>3928.516782617966</v>
      </c>
      <c r="AN25" s="30" t="n">
        <v>418.8546957521991</v>
      </c>
      <c r="AO25" s="30" t="n">
        <v>2055.295197180837</v>
      </c>
      <c r="AP25" s="30" t="n">
        <v>1332.852820796949</v>
      </c>
      <c r="AQ25" s="30" t="n">
        <v>193.8458188525045</v>
      </c>
      <c r="AR25" s="30" t="n">
        <v>31.24732093822516</v>
      </c>
      <c r="AS25" s="30" t="n">
        <v>895.6577490262091</v>
      </c>
      <c r="AT25" s="30" t="n">
        <v>3393.997527530529</v>
      </c>
      <c r="AU25" s="30" t="n">
        <v>313.6611225855577</v>
      </c>
      <c r="AV25" s="30" t="n">
        <v>644.0487207159437</v>
      </c>
      <c r="AW25" s="30" t="n">
        <v>668.9708170152871</v>
      </c>
      <c r="AX25" s="30" t="n">
        <v>0</v>
      </c>
      <c r="AY25" s="30" t="n">
        <v>545.9989088847558</v>
      </c>
      <c r="AZ25" s="30" t="n">
        <v>117.819486447672</v>
      </c>
      <c r="BA25" s="30" t="n">
        <v>770.3201827862164</v>
      </c>
      <c r="BB25" s="30">
        <f>SUM(C25:BA25)</f>
        <v/>
      </c>
      <c r="BC25" s="30" t="n">
        <v>0</v>
      </c>
      <c r="BD25" s="30" t="n">
        <v>0</v>
      </c>
      <c r="BE25" s="30" t="n">
        <v>15104.33194081288</v>
      </c>
      <c r="BF25" s="30" t="n">
        <v>0</v>
      </c>
      <c r="BG25" s="30">
        <f>SUM(BC25:BF25)</f>
        <v/>
      </c>
      <c r="BH25" s="30">
        <f>BB25+BG25</f>
        <v/>
      </c>
    </row>
    <row r="26">
      <c r="A26" s="28" t="n">
        <v>13</v>
      </c>
      <c r="B26" s="29" t="inlineStr">
        <is>
          <t>Jornais revistas discos</t>
        </is>
      </c>
      <c r="C26" s="28" t="n">
        <v>8.112640398540583</v>
      </c>
      <c r="D26" s="28" t="n">
        <v>2.341902003122649</v>
      </c>
      <c r="E26" s="28" t="n">
        <v>7.546216125695949</v>
      </c>
      <c r="F26" s="28" t="n">
        <v>9.585832941915642</v>
      </c>
      <c r="G26" s="28" t="n">
        <v>7.641326493415024</v>
      </c>
      <c r="H26" s="28" t="n">
        <v>393.8719213917919</v>
      </c>
      <c r="I26" s="28" t="n">
        <v>7.729611615237792</v>
      </c>
      <c r="J26" s="28" t="n">
        <v>26.53397413787563</v>
      </c>
      <c r="K26" s="28" t="n">
        <v>35.68541542444335</v>
      </c>
      <c r="L26" s="28" t="n">
        <v>15.8860031671765</v>
      </c>
      <c r="M26" s="28" t="n">
        <v>14.75277790948376</v>
      </c>
      <c r="N26" s="28" t="n">
        <v>183.6056221394837</v>
      </c>
      <c r="O26" s="28" t="n">
        <v>1574.877329787646</v>
      </c>
      <c r="P26" s="28" t="n">
        <v>5.562050107083103</v>
      </c>
      <c r="Q26" s="28" t="n">
        <v>6.309928655316003</v>
      </c>
      <c r="R26" s="28" t="n">
        <v>4.221979358831254</v>
      </c>
      <c r="S26" s="28" t="n">
        <v>3.040348073707715</v>
      </c>
      <c r="T26" s="28" t="n">
        <v>15.65446221278306</v>
      </c>
      <c r="U26" s="28" t="n">
        <v>13.39040997312535</v>
      </c>
      <c r="V26" s="28" t="n">
        <v>15.10937002704989</v>
      </c>
      <c r="W26" s="28" t="n">
        <v>4.62895298453353</v>
      </c>
      <c r="X26" s="28" t="n">
        <v>4.996420333367249</v>
      </c>
      <c r="Y26" s="28" t="n">
        <v>61.77656399927425</v>
      </c>
      <c r="Z26" s="28" t="n">
        <v>27.48908690304628</v>
      </c>
      <c r="AA26" s="28" t="n">
        <v>17.18656739486206</v>
      </c>
      <c r="AB26" s="28" t="n">
        <v>2.081830528517204</v>
      </c>
      <c r="AC26" s="28" t="n">
        <v>24.92036415412622</v>
      </c>
      <c r="AD26" s="28" t="n">
        <v>28.49148097277321</v>
      </c>
      <c r="AE26" s="28" t="n">
        <v>21.48143613576336</v>
      </c>
      <c r="AF26" s="28" t="n">
        <v>153.7624179286195</v>
      </c>
      <c r="AG26" s="28" t="n">
        <v>30.57671216375996</v>
      </c>
      <c r="AH26" s="28" t="n">
        <v>30.55923487088848</v>
      </c>
      <c r="AI26" s="28" t="n">
        <v>6.776663350043467</v>
      </c>
      <c r="AJ26" s="28" t="n">
        <v>50.21157878451884</v>
      </c>
      <c r="AK26" s="28" t="n">
        <v>30.77363707261922</v>
      </c>
      <c r="AL26" s="28" t="n">
        <v>67.10782491361346</v>
      </c>
      <c r="AM26" s="28" t="n">
        <v>5014.340084146574</v>
      </c>
      <c r="AN26" s="28" t="n">
        <v>149.0069520574369</v>
      </c>
      <c r="AO26" s="28" t="n">
        <v>4862.09075782316</v>
      </c>
      <c r="AP26" s="28" t="n">
        <v>1877.083082797812</v>
      </c>
      <c r="AQ26" s="28" t="n">
        <v>255.9308346034532</v>
      </c>
      <c r="AR26" s="28" t="n">
        <v>1.601849145303467</v>
      </c>
      <c r="AS26" s="28" t="n">
        <v>68.60883801550676</v>
      </c>
      <c r="AT26" s="28" t="n">
        <v>5071.890872160869</v>
      </c>
      <c r="AU26" s="28" t="n">
        <v>27.47897866445705</v>
      </c>
      <c r="AV26" s="28" t="n">
        <v>31.20245705790081</v>
      </c>
      <c r="AW26" s="28" t="n">
        <v>965.7269049177742</v>
      </c>
      <c r="AX26" s="28" t="n">
        <v>0</v>
      </c>
      <c r="AY26" s="28" t="n">
        <v>227.9951777853891</v>
      </c>
      <c r="AZ26" s="28" t="n">
        <v>69.38350148613843</v>
      </c>
      <c r="BA26" s="28" t="n">
        <v>923.8748884437159</v>
      </c>
      <c r="BB26" s="28">
        <f>SUM(C26:BA26)</f>
        <v/>
      </c>
      <c r="BC26" s="28" t="n">
        <v>0</v>
      </c>
      <c r="BD26" s="28" t="n">
        <v>0</v>
      </c>
      <c r="BE26" s="28" t="n">
        <v>177.3059107023601</v>
      </c>
      <c r="BF26" s="28" t="n">
        <v>0</v>
      </c>
      <c r="BG26" s="28">
        <f>SUM(BC26:BF26)</f>
        <v/>
      </c>
      <c r="BH26" s="28">
        <f>BB26+BG26</f>
        <v/>
      </c>
    </row>
    <row r="27">
      <c r="A27" s="30" t="n">
        <v>14</v>
      </c>
      <c r="B27" s="31" t="inlineStr">
        <is>
          <t>Refino de petróleo e coque</t>
        </is>
      </c>
      <c r="C27" s="30" t="n">
        <v>8001.543111081559</v>
      </c>
      <c r="D27" s="30" t="n">
        <v>3630.673968839148</v>
      </c>
      <c r="E27" s="30" t="n">
        <v>1379.251363696493</v>
      </c>
      <c r="F27" s="30" t="n">
        <v>1543.990932409478</v>
      </c>
      <c r="G27" s="30" t="n">
        <v>1923.832272873197</v>
      </c>
      <c r="H27" s="30" t="n">
        <v>6108.852059683613</v>
      </c>
      <c r="I27" s="30" t="n">
        <v>28.71398711195891</v>
      </c>
      <c r="J27" s="30" t="n">
        <v>302.7805840507745</v>
      </c>
      <c r="K27" s="30" t="n">
        <v>95.66462685069349</v>
      </c>
      <c r="L27" s="30" t="n">
        <v>171.6306156966513</v>
      </c>
      <c r="M27" s="30" t="n">
        <v>142.6608103771482</v>
      </c>
      <c r="N27" s="30" t="n">
        <v>1230.640878292664</v>
      </c>
      <c r="O27" s="30" t="n">
        <v>31.49786823435413</v>
      </c>
      <c r="P27" s="30" t="n">
        <v>91937.86096427268</v>
      </c>
      <c r="Q27" s="30" t="n">
        <v>582.6259679118656</v>
      </c>
      <c r="R27" s="30" t="n">
        <v>9102.905629642048</v>
      </c>
      <c r="S27" s="30" t="n">
        <v>260.7153447713019</v>
      </c>
      <c r="T27" s="30" t="n">
        <v>152.7735908448979</v>
      </c>
      <c r="U27" s="30" t="n">
        <v>195.4125833963712</v>
      </c>
      <c r="V27" s="30" t="n">
        <v>420.486867774146</v>
      </c>
      <c r="W27" s="30" t="n">
        <v>420.4567152175968</v>
      </c>
      <c r="X27" s="30" t="n">
        <v>388.4667552979697</v>
      </c>
      <c r="Y27" s="30" t="n">
        <v>1367.072755930818</v>
      </c>
      <c r="Z27" s="30" t="n">
        <v>2878.712751126383</v>
      </c>
      <c r="AA27" s="30" t="n">
        <v>2423.362022632219</v>
      </c>
      <c r="AB27" s="30" t="n">
        <v>1528.082720386374</v>
      </c>
      <c r="AC27" s="30" t="n">
        <v>294.9393271158879</v>
      </c>
      <c r="AD27" s="30" t="n">
        <v>602.5638451632959</v>
      </c>
      <c r="AE27" s="30" t="n">
        <v>608.9790516145074</v>
      </c>
      <c r="AF27" s="30" t="n">
        <v>162.4477439827488</v>
      </c>
      <c r="AG27" s="30" t="n">
        <v>895.9038743659307</v>
      </c>
      <c r="AH27" s="30" t="n">
        <v>350.0759917588201</v>
      </c>
      <c r="AI27" s="30" t="n">
        <v>120.857930760661</v>
      </c>
      <c r="AJ27" s="30" t="n">
        <v>202.4963979525539</v>
      </c>
      <c r="AK27" s="30" t="n">
        <v>4486.49300283814</v>
      </c>
      <c r="AL27" s="30" t="n">
        <v>7568.377246580143</v>
      </c>
      <c r="AM27" s="30" t="n">
        <v>9673.223492806201</v>
      </c>
      <c r="AN27" s="30" t="n">
        <v>57848.20238464902</v>
      </c>
      <c r="AO27" s="30" t="n">
        <v>314.1605064912441</v>
      </c>
      <c r="AP27" s="30" t="n">
        <v>580.4533628738438</v>
      </c>
      <c r="AQ27" s="30" t="n">
        <v>75.28423163767461</v>
      </c>
      <c r="AR27" s="30" t="n">
        <v>80.86983287468746</v>
      </c>
      <c r="AS27" s="30" t="n">
        <v>1364.603354683096</v>
      </c>
      <c r="AT27" s="30" t="n">
        <v>1878.676483825289</v>
      </c>
      <c r="AU27" s="30" t="n">
        <v>93.9419627700881</v>
      </c>
      <c r="AV27" s="30" t="n">
        <v>256.282932514709</v>
      </c>
      <c r="AW27" s="30" t="n">
        <v>874.2151951919565</v>
      </c>
      <c r="AX27" s="30" t="n">
        <v>0</v>
      </c>
      <c r="AY27" s="30" t="n">
        <v>292.3890473789293</v>
      </c>
      <c r="AZ27" s="30" t="n">
        <v>95.95794589103446</v>
      </c>
      <c r="BA27" s="30" t="n">
        <v>2241.947227091321</v>
      </c>
      <c r="BB27" s="30">
        <f>SUM(C27:BA27)</f>
        <v/>
      </c>
      <c r="BC27" s="30" t="n">
        <v>0</v>
      </c>
      <c r="BD27" s="30" t="n">
        <v>0</v>
      </c>
      <c r="BE27" s="30" t="n">
        <v>50971.64160450493</v>
      </c>
      <c r="BF27" s="30" t="n">
        <v>0</v>
      </c>
      <c r="BG27" s="30">
        <f>SUM(BC27:BF27)</f>
        <v/>
      </c>
      <c r="BH27" s="30">
        <f>BB27+BG27</f>
        <v/>
      </c>
    </row>
    <row r="28">
      <c r="A28" s="28" t="n">
        <v>15</v>
      </c>
      <c r="B28" s="29" t="inlineStr">
        <is>
          <t>Álcool</t>
        </is>
      </c>
      <c r="C28" s="28" t="n">
        <v>60.7250367558968</v>
      </c>
      <c r="D28" s="28" t="n">
        <v>78.97106645075796</v>
      </c>
      <c r="E28" s="28" t="n">
        <v>161.0993514808744</v>
      </c>
      <c r="F28" s="28" t="n">
        <v>2.393529402311313</v>
      </c>
      <c r="G28" s="28" t="n">
        <v>5.904603407795269</v>
      </c>
      <c r="H28" s="28" t="n">
        <v>1338.82173022547</v>
      </c>
      <c r="I28" s="28" t="n">
        <v>0.101514406672494</v>
      </c>
      <c r="J28" s="28" t="n">
        <v>2.282169842324675</v>
      </c>
      <c r="K28" s="28" t="n">
        <v>0.5450346074265877</v>
      </c>
      <c r="L28" s="28" t="n">
        <v>0.894984590450258</v>
      </c>
      <c r="M28" s="28" t="n">
        <v>1.034627215972914</v>
      </c>
      <c r="N28" s="28" t="n">
        <v>4.362164232330644</v>
      </c>
      <c r="O28" s="28" t="n">
        <v>0.9624234258674518</v>
      </c>
      <c r="P28" s="28" t="n">
        <v>5445.694950019216</v>
      </c>
      <c r="Q28" s="28" t="n">
        <v>225.0582747714098</v>
      </c>
      <c r="R28" s="28" t="n">
        <v>110.0543829586179</v>
      </c>
      <c r="S28" s="28" t="n">
        <v>3.756299441443936</v>
      </c>
      <c r="T28" s="28" t="n">
        <v>255.283387457882</v>
      </c>
      <c r="U28" s="28" t="n">
        <v>53.47295236528563</v>
      </c>
      <c r="V28" s="28" t="n">
        <v>432.7342199051303</v>
      </c>
      <c r="W28" s="28" t="n">
        <v>71.04681600186548</v>
      </c>
      <c r="X28" s="28" t="n">
        <v>70.00010677699791</v>
      </c>
      <c r="Y28" s="28" t="n">
        <v>3.680454199599088</v>
      </c>
      <c r="Z28" s="28" t="n">
        <v>4.755970328597641</v>
      </c>
      <c r="AA28" s="28" t="n">
        <v>9.286581439684117</v>
      </c>
      <c r="AB28" s="28" t="n">
        <v>5.483345572172833</v>
      </c>
      <c r="AC28" s="28" t="n">
        <v>12.20962942819664</v>
      </c>
      <c r="AD28" s="28" t="n">
        <v>12.07191885006591</v>
      </c>
      <c r="AE28" s="28" t="n">
        <v>3.640317570690065</v>
      </c>
      <c r="AF28" s="28" t="n">
        <v>0.5209374299667247</v>
      </c>
      <c r="AG28" s="28" t="n">
        <v>6.175064930066627</v>
      </c>
      <c r="AH28" s="28" t="n">
        <v>2.617777746898948</v>
      </c>
      <c r="AI28" s="28" t="n">
        <v>0.9549001835262027</v>
      </c>
      <c r="AJ28" s="28" t="n">
        <v>2.213933605504993</v>
      </c>
      <c r="AK28" s="28" t="n">
        <v>50.08705528827923</v>
      </c>
      <c r="AL28" s="28" t="n">
        <v>145.8590802141387</v>
      </c>
      <c r="AM28" s="28" t="n">
        <v>117.3906560455667</v>
      </c>
      <c r="AN28" s="28" t="n">
        <v>218.1335202825572</v>
      </c>
      <c r="AO28" s="28" t="n">
        <v>6.605346323595903</v>
      </c>
      <c r="AP28" s="28" t="n">
        <v>4.553297335399806</v>
      </c>
      <c r="AQ28" s="28" t="n">
        <v>1.376065737549787</v>
      </c>
      <c r="AR28" s="28" t="n">
        <v>11.69532891979154</v>
      </c>
      <c r="AS28" s="28" t="n">
        <v>110.2973895072067</v>
      </c>
      <c r="AT28" s="28" t="n">
        <v>59.25691391566706</v>
      </c>
      <c r="AU28" s="28" t="n">
        <v>3.795273519753936</v>
      </c>
      <c r="AV28" s="28" t="n">
        <v>21.91617544900195</v>
      </c>
      <c r="AW28" s="28" t="n">
        <v>38.23951153550895</v>
      </c>
      <c r="AX28" s="28" t="n">
        <v>0</v>
      </c>
      <c r="AY28" s="28" t="n">
        <v>66.20655979392933</v>
      </c>
      <c r="AZ28" s="28" t="n">
        <v>26.91282252611878</v>
      </c>
      <c r="BA28" s="28" t="n">
        <v>394.9833931924966</v>
      </c>
      <c r="BB28" s="28">
        <f>SUM(C28:BA28)</f>
        <v/>
      </c>
      <c r="BC28" s="28" t="n">
        <v>0</v>
      </c>
      <c r="BD28" s="28" t="n">
        <v>0</v>
      </c>
      <c r="BE28" s="28" t="n">
        <v>13415.90482559578</v>
      </c>
      <c r="BF28" s="28" t="n">
        <v>0</v>
      </c>
      <c r="BG28" s="28">
        <f>SUM(BC28:BF28)</f>
        <v/>
      </c>
      <c r="BH28" s="28">
        <f>BB28+BG28</f>
        <v/>
      </c>
    </row>
    <row r="29">
      <c r="A29" s="30" t="n">
        <v>16</v>
      </c>
      <c r="B29" s="31" t="inlineStr">
        <is>
          <t>Produtos  químicos</t>
        </is>
      </c>
      <c r="C29" s="30" t="n">
        <v>21990.55553116966</v>
      </c>
      <c r="D29" s="30" t="n">
        <v>2777.363973636531</v>
      </c>
      <c r="E29" s="30" t="n">
        <v>2038.572210095131</v>
      </c>
      <c r="F29" s="30" t="n">
        <v>177.8927594867853</v>
      </c>
      <c r="G29" s="30" t="n">
        <v>349.4368153016043</v>
      </c>
      <c r="H29" s="30" t="n">
        <v>1560.448152226949</v>
      </c>
      <c r="I29" s="30" t="n">
        <v>2.953499624235498</v>
      </c>
      <c r="J29" s="30" t="n">
        <v>1482.400215708306</v>
      </c>
      <c r="K29" s="30" t="n">
        <v>144.6103316181254</v>
      </c>
      <c r="L29" s="30" t="n">
        <v>683.4535888673698</v>
      </c>
      <c r="M29" s="30" t="n">
        <v>30.53190734763358</v>
      </c>
      <c r="N29" s="30" t="n">
        <v>2897.272158517683</v>
      </c>
      <c r="O29" s="30" t="n">
        <v>33.87241923029691</v>
      </c>
      <c r="P29" s="30" t="n">
        <v>1053.524466113329</v>
      </c>
      <c r="Q29" s="30" t="n">
        <v>423.0632876510209</v>
      </c>
      <c r="R29" s="30" t="n">
        <v>19803.89861424455</v>
      </c>
      <c r="S29" s="30" t="n">
        <v>10712.13760546006</v>
      </c>
      <c r="T29" s="30" t="n">
        <v>1496.556616313614</v>
      </c>
      <c r="U29" s="30" t="n">
        <v>3693.455683882415</v>
      </c>
      <c r="V29" s="30" t="n">
        <v>3626.56274218403</v>
      </c>
      <c r="W29" s="30" t="n">
        <v>3894.355120839636</v>
      </c>
      <c r="X29" s="30" t="n">
        <v>3920.918711659987</v>
      </c>
      <c r="Y29" s="30" t="n">
        <v>2365.184528810704</v>
      </c>
      <c r="Z29" s="30" t="n">
        <v>1396.394672270881</v>
      </c>
      <c r="AA29" s="30" t="n">
        <v>1147.046565094274</v>
      </c>
      <c r="AB29" s="30" t="n">
        <v>895.6265291732346</v>
      </c>
      <c r="AC29" s="30" t="n">
        <v>561.6596431870137</v>
      </c>
      <c r="AD29" s="30" t="n">
        <v>258.7814578291093</v>
      </c>
      <c r="AE29" s="30" t="n">
        <v>328.6569096589237</v>
      </c>
      <c r="AF29" s="30" t="n">
        <v>102.8985616442978</v>
      </c>
      <c r="AG29" s="30" t="n">
        <v>52.46880189117655</v>
      </c>
      <c r="AH29" s="30" t="n">
        <v>59.90224648418894</v>
      </c>
      <c r="AI29" s="30" t="n">
        <v>171.7327052292396</v>
      </c>
      <c r="AJ29" s="30" t="n">
        <v>287.1448607126504</v>
      </c>
      <c r="AK29" s="30" t="n">
        <v>1125.827070480897</v>
      </c>
      <c r="AL29" s="30" t="n">
        <v>161.0923425762087</v>
      </c>
      <c r="AM29" s="30" t="n">
        <v>704.3372335092949</v>
      </c>
      <c r="AN29" s="30" t="n">
        <v>77.1706500923612</v>
      </c>
      <c r="AO29" s="30" t="n">
        <v>66.71937155356619</v>
      </c>
      <c r="AP29" s="30" t="n">
        <v>66.39541394696732</v>
      </c>
      <c r="AQ29" s="30" t="n">
        <v>19.26334413782798</v>
      </c>
      <c r="AR29" s="30" t="n">
        <v>2.690182453854307</v>
      </c>
      <c r="AS29" s="30" t="n">
        <v>65.29970240030329</v>
      </c>
      <c r="AT29" s="30" t="n">
        <v>223.3527449407876</v>
      </c>
      <c r="AU29" s="30" t="n">
        <v>30.25594967300206</v>
      </c>
      <c r="AV29" s="30" t="n">
        <v>916.6480998564746</v>
      </c>
      <c r="AW29" s="30" t="n">
        <v>379.5710307353868</v>
      </c>
      <c r="AX29" s="30" t="n">
        <v>0</v>
      </c>
      <c r="AY29" s="30" t="n">
        <v>88.43596047389984</v>
      </c>
      <c r="AZ29" s="30" t="n">
        <v>341.056273758914</v>
      </c>
      <c r="BA29" s="30" t="n">
        <v>63.07580273394044</v>
      </c>
      <c r="BB29" s="30">
        <f>SUM(C29:BA29)</f>
        <v/>
      </c>
      <c r="BC29" s="30" t="n">
        <v>0</v>
      </c>
      <c r="BD29" s="30" t="n">
        <v>0</v>
      </c>
      <c r="BE29" s="30" t="n">
        <v>3997.339606216039</v>
      </c>
      <c r="BF29" s="30" t="n">
        <v>0</v>
      </c>
      <c r="BG29" s="30">
        <f>SUM(BC29:BF29)</f>
        <v/>
      </c>
      <c r="BH29" s="30">
        <f>BB29+BG29</f>
        <v/>
      </c>
    </row>
    <row r="30">
      <c r="A30" s="28" t="n">
        <v>17</v>
      </c>
      <c r="B30" s="29" t="inlineStr">
        <is>
          <t>Fabricação de resina e elastômeros</t>
        </is>
      </c>
      <c r="C30" s="28" t="n">
        <v>182.4974321532369</v>
      </c>
      <c r="D30" s="28" t="n">
        <v>19.65907807444558</v>
      </c>
      <c r="E30" s="28" t="n">
        <v>684.5605745096574</v>
      </c>
      <c r="F30" s="28" t="n">
        <v>5.623753513347629</v>
      </c>
      <c r="G30" s="28" t="n">
        <v>13.63268774513506</v>
      </c>
      <c r="H30" s="28" t="n">
        <v>81.84051918790853</v>
      </c>
      <c r="I30" s="28" t="n">
        <v>26.7036302671421</v>
      </c>
      <c r="J30" s="28" t="n">
        <v>3464.298029262219</v>
      </c>
      <c r="K30" s="28" t="n">
        <v>67.72047158335133</v>
      </c>
      <c r="L30" s="28" t="n">
        <v>834.3146837805251</v>
      </c>
      <c r="M30" s="28" t="n">
        <v>328.5171880154087</v>
      </c>
      <c r="N30" s="28" t="n">
        <v>1099.430509096674</v>
      </c>
      <c r="O30" s="28" t="n">
        <v>49.31103192893147</v>
      </c>
      <c r="P30" s="28" t="n">
        <v>23.83611567567463</v>
      </c>
      <c r="Q30" s="28" t="n">
        <v>4.568624440582203</v>
      </c>
      <c r="R30" s="28" t="n">
        <v>275.36489624956</v>
      </c>
      <c r="S30" s="28" t="n">
        <v>1510.789039246353</v>
      </c>
      <c r="T30" s="28" t="n">
        <v>66.23778897872658</v>
      </c>
      <c r="U30" s="28" t="n">
        <v>68.11550324131203</v>
      </c>
      <c r="V30" s="28" t="n">
        <v>747.2729427729855</v>
      </c>
      <c r="W30" s="28" t="n">
        <v>751.037083727861</v>
      </c>
      <c r="X30" s="28" t="n">
        <v>648.6562059462947</v>
      </c>
      <c r="Y30" s="28" t="n">
        <v>10852.17596387297</v>
      </c>
      <c r="Z30" s="28" t="n">
        <v>1135.649533300803</v>
      </c>
      <c r="AA30" s="28" t="n">
        <v>16.94812950191866</v>
      </c>
      <c r="AB30" s="28" t="n">
        <v>148.4730472807498</v>
      </c>
      <c r="AC30" s="28" t="n">
        <v>579.6064989416917</v>
      </c>
      <c r="AD30" s="28" t="n">
        <v>142.8441091351234</v>
      </c>
      <c r="AE30" s="28" t="n">
        <v>2381.893453304374</v>
      </c>
      <c r="AF30" s="28" t="n">
        <v>431.9160907358271</v>
      </c>
      <c r="AG30" s="28" t="n">
        <v>121.4729611995448</v>
      </c>
      <c r="AH30" s="28" t="n">
        <v>1099.007000693008</v>
      </c>
      <c r="AI30" s="28" t="n">
        <v>254.3962708804366</v>
      </c>
      <c r="AJ30" s="28" t="n">
        <v>798.1854733597868</v>
      </c>
      <c r="AK30" s="28" t="n">
        <v>16.21448268381993</v>
      </c>
      <c r="AL30" s="28" t="n">
        <v>112.7385153195974</v>
      </c>
      <c r="AM30" s="28" t="n">
        <v>128.2827169205427</v>
      </c>
      <c r="AN30" s="28" t="n">
        <v>35.14271918312747</v>
      </c>
      <c r="AO30" s="28" t="n">
        <v>25.27455019986451</v>
      </c>
      <c r="AP30" s="28" t="n">
        <v>22.01135341034939</v>
      </c>
      <c r="AQ30" s="28" t="n">
        <v>11.03908755519302</v>
      </c>
      <c r="AR30" s="28" t="n">
        <v>1.181784271584431</v>
      </c>
      <c r="AS30" s="28" t="n">
        <v>16.37199128016639</v>
      </c>
      <c r="AT30" s="28" t="n">
        <v>62.47042927944954</v>
      </c>
      <c r="AU30" s="28" t="n">
        <v>8.793851042183082</v>
      </c>
      <c r="AV30" s="28" t="n">
        <v>13.0456922414662</v>
      </c>
      <c r="AW30" s="28" t="n">
        <v>31.09846452904969</v>
      </c>
      <c r="AX30" s="28" t="n">
        <v>0</v>
      </c>
      <c r="AY30" s="28" t="n">
        <v>7.315175208940765</v>
      </c>
      <c r="AZ30" s="28" t="n">
        <v>9.749904143228212</v>
      </c>
      <c r="BA30" s="28" t="n">
        <v>16.51870204540274</v>
      </c>
      <c r="BB30" s="28">
        <f>SUM(C30:BA30)</f>
        <v/>
      </c>
      <c r="BC30" s="28" t="n">
        <v>0</v>
      </c>
      <c r="BD30" s="28" t="n">
        <v>0</v>
      </c>
      <c r="BE30" s="28" t="n">
        <v>3063.729714191873</v>
      </c>
      <c r="BF30" s="28" t="n">
        <v>0</v>
      </c>
      <c r="BG30" s="28">
        <f>SUM(BC30:BF30)</f>
        <v/>
      </c>
      <c r="BH30" s="28">
        <f>BB30+BG30</f>
        <v/>
      </c>
    </row>
    <row r="31">
      <c r="A31" s="30" t="n">
        <v>18</v>
      </c>
      <c r="B31" s="31" t="inlineStr">
        <is>
          <t>Produtos farmacêuticos</t>
        </is>
      </c>
      <c r="C31" s="30" t="n">
        <v>566.9309079952592</v>
      </c>
      <c r="D31" s="30" t="n">
        <v>3033.978755309887</v>
      </c>
      <c r="E31" s="30" t="n">
        <v>251.9013395807027</v>
      </c>
      <c r="F31" s="30" t="n">
        <v>7.174757819128663</v>
      </c>
      <c r="G31" s="30" t="n">
        <v>9.474052854959769</v>
      </c>
      <c r="H31" s="30" t="n">
        <v>222.1579604852034</v>
      </c>
      <c r="I31" s="30" t="n">
        <v>3.320600589282193</v>
      </c>
      <c r="J31" s="30" t="n">
        <v>55.53381849191454</v>
      </c>
      <c r="K31" s="30" t="n">
        <v>27.2089503834646</v>
      </c>
      <c r="L31" s="30" t="n">
        <v>17.91619925144242</v>
      </c>
      <c r="M31" s="30" t="n">
        <v>4.94010423611717</v>
      </c>
      <c r="N31" s="30" t="n">
        <v>28.53319838757999</v>
      </c>
      <c r="O31" s="30" t="n">
        <v>5.668808181934146</v>
      </c>
      <c r="P31" s="30" t="n">
        <v>8.11643375006331</v>
      </c>
      <c r="Q31" s="30" t="n">
        <v>3.901663425179091</v>
      </c>
      <c r="R31" s="30" t="n">
        <v>49.91613586465878</v>
      </c>
      <c r="S31" s="30" t="n">
        <v>58.64291499418635</v>
      </c>
      <c r="T31" s="30" t="n">
        <v>3757.569298963612</v>
      </c>
      <c r="U31" s="30" t="n">
        <v>255.9711470544041</v>
      </c>
      <c r="V31" s="30" t="n">
        <v>44.43197260010119</v>
      </c>
      <c r="W31" s="30" t="n">
        <v>23.23156057439617</v>
      </c>
      <c r="X31" s="30" t="n">
        <v>28.85674670767353</v>
      </c>
      <c r="Y31" s="30" t="n">
        <v>136.2846117065869</v>
      </c>
      <c r="Z31" s="30" t="n">
        <v>34.38120875054632</v>
      </c>
      <c r="AA31" s="30" t="n">
        <v>14.09900983513799</v>
      </c>
      <c r="AB31" s="30" t="n">
        <v>6.722490529129115</v>
      </c>
      <c r="AC31" s="30" t="n">
        <v>16.42873482937608</v>
      </c>
      <c r="AD31" s="30" t="n">
        <v>39.68997311063075</v>
      </c>
      <c r="AE31" s="30" t="n">
        <v>36.04802531754851</v>
      </c>
      <c r="AF31" s="30" t="n">
        <v>34.86423351475913</v>
      </c>
      <c r="AG31" s="30" t="n">
        <v>31.33524749027385</v>
      </c>
      <c r="AH31" s="30" t="n">
        <v>21.10678178000224</v>
      </c>
      <c r="AI31" s="30" t="n">
        <v>6.747781888883403</v>
      </c>
      <c r="AJ31" s="30" t="n">
        <v>18.50242379174469</v>
      </c>
      <c r="AK31" s="30" t="n">
        <v>26.50928235399671</v>
      </c>
      <c r="AL31" s="30" t="n">
        <v>194.3049222200739</v>
      </c>
      <c r="AM31" s="30" t="n">
        <v>331.1369325555861</v>
      </c>
      <c r="AN31" s="30" t="n">
        <v>48.44130554899165</v>
      </c>
      <c r="AO31" s="30" t="n">
        <v>69.46867432697347</v>
      </c>
      <c r="AP31" s="30" t="n">
        <v>71.81183470084636</v>
      </c>
      <c r="AQ31" s="30" t="n">
        <v>10.48987453244407</v>
      </c>
      <c r="AR31" s="30" t="n">
        <v>1.042116647254461</v>
      </c>
      <c r="AS31" s="30" t="n">
        <v>21.12859831610147</v>
      </c>
      <c r="AT31" s="30" t="n">
        <v>138.1569256971493</v>
      </c>
      <c r="AU31" s="30" t="n">
        <v>149.325182322647</v>
      </c>
      <c r="AV31" s="30" t="n">
        <v>6862.45838593695</v>
      </c>
      <c r="AW31" s="30" t="n">
        <v>605.1306567980578</v>
      </c>
      <c r="AX31" s="30" t="n">
        <v>0</v>
      </c>
      <c r="AY31" s="30" t="n">
        <v>449.6708862677616</v>
      </c>
      <c r="AZ31" s="30" t="n">
        <v>3336.974679661061</v>
      </c>
      <c r="BA31" s="30" t="n">
        <v>408.211859515768</v>
      </c>
      <c r="BB31" s="30">
        <f>SUM(C31:BA31)</f>
        <v/>
      </c>
      <c r="BC31" s="30" t="n">
        <v>0</v>
      </c>
      <c r="BD31" s="30" t="n">
        <v>0</v>
      </c>
      <c r="BE31" s="30" t="n">
        <v>27875.78383685353</v>
      </c>
      <c r="BF31" s="30" t="n">
        <v>0</v>
      </c>
      <c r="BG31" s="30">
        <f>SUM(BC31:BF31)</f>
        <v/>
      </c>
      <c r="BH31" s="30">
        <f>BB31+BG31</f>
        <v/>
      </c>
    </row>
    <row r="32">
      <c r="A32" s="28" t="n">
        <v>19</v>
      </c>
      <c r="B32" s="29" t="inlineStr">
        <is>
          <t>Defensivos agrícolas</t>
        </is>
      </c>
      <c r="C32" s="28" t="n">
        <v>12371.84329887463</v>
      </c>
      <c r="D32" s="28" t="n">
        <v>1103.588107478898</v>
      </c>
      <c r="E32" s="28" t="n">
        <v>98.61351606767084</v>
      </c>
      <c r="F32" s="28" t="n">
        <v>13.56350600606093</v>
      </c>
      <c r="G32" s="28" t="n">
        <v>72.31313353945092</v>
      </c>
      <c r="H32" s="28" t="n">
        <v>167.1309281153806</v>
      </c>
      <c r="I32" s="28" t="n">
        <v>3.696177733754198</v>
      </c>
      <c r="J32" s="28" t="n">
        <v>252.4507376517831</v>
      </c>
      <c r="K32" s="28" t="n">
        <v>5.679119664180686</v>
      </c>
      <c r="L32" s="28" t="n">
        <v>69.66293528738251</v>
      </c>
      <c r="M32" s="28" t="n">
        <v>28.36262290864106</v>
      </c>
      <c r="N32" s="28" t="n">
        <v>119.4718165103465</v>
      </c>
      <c r="O32" s="28" t="n">
        <v>13.02544070096481</v>
      </c>
      <c r="P32" s="28" t="n">
        <v>12.49683821359222</v>
      </c>
      <c r="Q32" s="28" t="n">
        <v>16.73455154615213</v>
      </c>
      <c r="R32" s="28" t="n">
        <v>175.1327497821516</v>
      </c>
      <c r="S32" s="28" t="n">
        <v>403.0500976945405</v>
      </c>
      <c r="T32" s="28" t="n">
        <v>75.61151084675085</v>
      </c>
      <c r="U32" s="28" t="n">
        <v>2786.698623763183</v>
      </c>
      <c r="V32" s="28" t="n">
        <v>560.3514285822826</v>
      </c>
      <c r="W32" s="28" t="n">
        <v>192.1293972456406</v>
      </c>
      <c r="X32" s="28" t="n">
        <v>179.6860006382937</v>
      </c>
      <c r="Y32" s="28" t="n">
        <v>747.5210852319796</v>
      </c>
      <c r="Z32" s="28" t="n">
        <v>87.97021486156044</v>
      </c>
      <c r="AA32" s="28" t="n">
        <v>29.47428019870536</v>
      </c>
      <c r="AB32" s="28" t="n">
        <v>18.99515249402609</v>
      </c>
      <c r="AC32" s="28" t="n">
        <v>75.31651434437818</v>
      </c>
      <c r="AD32" s="28" t="n">
        <v>32.77805274324766</v>
      </c>
      <c r="AE32" s="28" t="n">
        <v>156.8887625077327</v>
      </c>
      <c r="AF32" s="28" t="n">
        <v>35.39201706287895</v>
      </c>
      <c r="AG32" s="28" t="n">
        <v>19.19659322713747</v>
      </c>
      <c r="AH32" s="28" t="n">
        <v>69.79453929878973</v>
      </c>
      <c r="AI32" s="28" t="n">
        <v>18.25974217963356</v>
      </c>
      <c r="AJ32" s="28" t="n">
        <v>60.66428357010278</v>
      </c>
      <c r="AK32" s="28" t="n">
        <v>23.7255720999936</v>
      </c>
      <c r="AL32" s="28" t="n">
        <v>47.99278636312898</v>
      </c>
      <c r="AM32" s="28" t="n">
        <v>118.8071637149646</v>
      </c>
      <c r="AN32" s="28" t="n">
        <v>29.8512620484234</v>
      </c>
      <c r="AO32" s="28" t="n">
        <v>43.13197517474808</v>
      </c>
      <c r="AP32" s="28" t="n">
        <v>44.45570304569164</v>
      </c>
      <c r="AQ32" s="28" t="n">
        <v>5.144193879044314</v>
      </c>
      <c r="AR32" s="28" t="n">
        <v>0.3276148176826689</v>
      </c>
      <c r="AS32" s="28" t="n">
        <v>10.47094726425662</v>
      </c>
      <c r="AT32" s="28" t="n">
        <v>143.9753740532035</v>
      </c>
      <c r="AU32" s="28" t="n">
        <v>8.491546450598747</v>
      </c>
      <c r="AV32" s="28" t="n">
        <v>11.28828151744558</v>
      </c>
      <c r="AW32" s="28" t="n">
        <v>669.3947365549358</v>
      </c>
      <c r="AX32" s="28" t="n">
        <v>0</v>
      </c>
      <c r="AY32" s="28" t="n">
        <v>20.83805214182929</v>
      </c>
      <c r="AZ32" s="28" t="n">
        <v>39.98419838236141</v>
      </c>
      <c r="BA32" s="28" t="n">
        <v>34.71522754863541</v>
      </c>
      <c r="BB32" s="28">
        <f>SUM(C32:BA32)</f>
        <v/>
      </c>
      <c r="BC32" s="28" t="n">
        <v>0</v>
      </c>
      <c r="BD32" s="28" t="n">
        <v>0</v>
      </c>
      <c r="BE32" s="28" t="n">
        <v>1471.244636291563</v>
      </c>
      <c r="BF32" s="28" t="n">
        <v>0</v>
      </c>
      <c r="BG32" s="28">
        <f>SUM(BC32:BF32)</f>
        <v/>
      </c>
      <c r="BH32" s="28">
        <f>BB32+BG32</f>
        <v/>
      </c>
    </row>
    <row r="33">
      <c r="A33" s="30" t="n">
        <v>20</v>
      </c>
      <c r="B33" s="31" t="inlineStr">
        <is>
          <t>Perfumaria higiene e limpeza</t>
        </is>
      </c>
      <c r="C33" s="30" t="n">
        <v>433.9940221179784</v>
      </c>
      <c r="D33" s="30" t="n">
        <v>106.822696194715</v>
      </c>
      <c r="E33" s="30" t="n">
        <v>120.1237181138166</v>
      </c>
      <c r="F33" s="30" t="n">
        <v>55.79474845378535</v>
      </c>
      <c r="G33" s="30" t="n">
        <v>65.02968731186927</v>
      </c>
      <c r="H33" s="30" t="n">
        <v>393.6673635161955</v>
      </c>
      <c r="I33" s="30" t="n">
        <v>4.658634722433144</v>
      </c>
      <c r="J33" s="30" t="n">
        <v>69.70100790897109</v>
      </c>
      <c r="K33" s="30" t="n">
        <v>50.96192111584374</v>
      </c>
      <c r="L33" s="30" t="n">
        <v>11.66111946049458</v>
      </c>
      <c r="M33" s="30" t="n">
        <v>22.20822102452456</v>
      </c>
      <c r="N33" s="30" t="n">
        <v>76.05842524768204</v>
      </c>
      <c r="O33" s="30" t="n">
        <v>11.47844564212709</v>
      </c>
      <c r="P33" s="30" t="n">
        <v>69.52346361309935</v>
      </c>
      <c r="Q33" s="30" t="n">
        <v>14.90992417451915</v>
      </c>
      <c r="R33" s="30" t="n">
        <v>232.8234860000666</v>
      </c>
      <c r="S33" s="30" t="n">
        <v>49.60014560651909</v>
      </c>
      <c r="T33" s="30" t="n">
        <v>85.96685086677266</v>
      </c>
      <c r="U33" s="30" t="n">
        <v>167.1838498213217</v>
      </c>
      <c r="V33" s="30" t="n">
        <v>1435.196744759021</v>
      </c>
      <c r="W33" s="30" t="n">
        <v>54.71965107966783</v>
      </c>
      <c r="X33" s="30" t="n">
        <v>83.19820103894207</v>
      </c>
      <c r="Y33" s="30" t="n">
        <v>70.59497739864953</v>
      </c>
      <c r="Z33" s="30" t="n">
        <v>256.5881808444776</v>
      </c>
      <c r="AA33" s="30" t="n">
        <v>54.08246999265636</v>
      </c>
      <c r="AB33" s="30" t="n">
        <v>58.59164168648665</v>
      </c>
      <c r="AC33" s="30" t="n">
        <v>397.2564932083804</v>
      </c>
      <c r="AD33" s="30" t="n">
        <v>69.33907015277951</v>
      </c>
      <c r="AE33" s="30" t="n">
        <v>29.95505452489198</v>
      </c>
      <c r="AF33" s="30" t="n">
        <v>97.68893451580531</v>
      </c>
      <c r="AG33" s="30" t="n">
        <v>48.31218556522743</v>
      </c>
      <c r="AH33" s="30" t="n">
        <v>41.46800173145754</v>
      </c>
      <c r="AI33" s="30" t="n">
        <v>8.372046939666122</v>
      </c>
      <c r="AJ33" s="30" t="n">
        <v>22.87449018351492</v>
      </c>
      <c r="AK33" s="30" t="n">
        <v>98.84326135640751</v>
      </c>
      <c r="AL33" s="30" t="n">
        <v>411.720625526561</v>
      </c>
      <c r="AM33" s="30" t="n">
        <v>2023.861525883197</v>
      </c>
      <c r="AN33" s="30" t="n">
        <v>449.3278024955723</v>
      </c>
      <c r="AO33" s="30" t="n">
        <v>283.9153238190922</v>
      </c>
      <c r="AP33" s="30" t="n">
        <v>89.72771973072395</v>
      </c>
      <c r="AQ33" s="30" t="n">
        <v>14.10402361066945</v>
      </c>
      <c r="AR33" s="30" t="n">
        <v>0.5346965786724026</v>
      </c>
      <c r="AS33" s="30" t="n">
        <v>163.3711987662188</v>
      </c>
      <c r="AT33" s="30" t="n">
        <v>883.100868853624</v>
      </c>
      <c r="AU33" s="30" t="n">
        <v>144.9024165036379</v>
      </c>
      <c r="AV33" s="30" t="n">
        <v>664.0323858902802</v>
      </c>
      <c r="AW33" s="30" t="n">
        <v>2805.026851274939</v>
      </c>
      <c r="AX33" s="30" t="n">
        <v>0</v>
      </c>
      <c r="AY33" s="30" t="n">
        <v>319.7807353248041</v>
      </c>
      <c r="AZ33" s="30" t="n">
        <v>180.543987358817</v>
      </c>
      <c r="BA33" s="30" t="n">
        <v>268.7537905496495</v>
      </c>
      <c r="BB33" s="30">
        <f>SUM(C33:BA33)</f>
        <v/>
      </c>
      <c r="BC33" s="30" t="n">
        <v>0</v>
      </c>
      <c r="BD33" s="30" t="n">
        <v>0</v>
      </c>
      <c r="BE33" s="30" t="n">
        <v>19837.8512029831</v>
      </c>
      <c r="BF33" s="30" t="n">
        <v>0</v>
      </c>
      <c r="BG33" s="30">
        <f>SUM(BC33:BF33)</f>
        <v/>
      </c>
      <c r="BH33" s="30">
        <f>BB33+BG33</f>
        <v/>
      </c>
    </row>
    <row r="34">
      <c r="A34" s="28" t="n">
        <v>21</v>
      </c>
      <c r="B34" s="29" t="inlineStr">
        <is>
          <t>Tintas vernizes esmaltes e lacas</t>
        </is>
      </c>
      <c r="C34" s="28" t="n">
        <v>80.49152588940653</v>
      </c>
      <c r="D34" s="28" t="n">
        <v>39.56150288593535</v>
      </c>
      <c r="E34" s="28" t="n">
        <v>22.14604743017265</v>
      </c>
      <c r="F34" s="28" t="n">
        <v>4.724156944378347</v>
      </c>
      <c r="G34" s="28" t="n">
        <v>34.6845139028053</v>
      </c>
      <c r="H34" s="28" t="n">
        <v>102.8268446549372</v>
      </c>
      <c r="I34" s="28" t="n">
        <v>0.956417289478686</v>
      </c>
      <c r="J34" s="28" t="n">
        <v>119.2261948443822</v>
      </c>
      <c r="K34" s="28" t="n">
        <v>48.61456189426118</v>
      </c>
      <c r="L34" s="28" t="n">
        <v>101.6168458257393</v>
      </c>
      <c r="M34" s="28" t="n">
        <v>221.0952709792082</v>
      </c>
      <c r="N34" s="28" t="n">
        <v>1104.287288246308</v>
      </c>
      <c r="O34" s="28" t="n">
        <v>934.1606320934272</v>
      </c>
      <c r="P34" s="28" t="n">
        <v>8.675563376881124</v>
      </c>
      <c r="Q34" s="28" t="n">
        <v>3.59201205102041</v>
      </c>
      <c r="R34" s="28" t="n">
        <v>61.74993706589177</v>
      </c>
      <c r="S34" s="28" t="n">
        <v>58.36843536204296</v>
      </c>
      <c r="T34" s="28" t="n">
        <v>20.33768327142469</v>
      </c>
      <c r="U34" s="28" t="n">
        <v>23.13291733187208</v>
      </c>
      <c r="V34" s="28" t="n">
        <v>48.97319603723393</v>
      </c>
      <c r="W34" s="28" t="n">
        <v>148.921038438903</v>
      </c>
      <c r="X34" s="28" t="n">
        <v>56.20442936869886</v>
      </c>
      <c r="Y34" s="28" t="n">
        <v>1382.068609618711</v>
      </c>
      <c r="Z34" s="28" t="n">
        <v>706.0668976040229</v>
      </c>
      <c r="AA34" s="28" t="n">
        <v>14.17427522603395</v>
      </c>
      <c r="AB34" s="28" t="n">
        <v>12.47699394593553</v>
      </c>
      <c r="AC34" s="28" t="n">
        <v>426.6893998940619</v>
      </c>
      <c r="AD34" s="28" t="n">
        <v>518.570839307519</v>
      </c>
      <c r="AE34" s="28" t="n">
        <v>56.74418983175065</v>
      </c>
      <c r="AF34" s="28" t="n">
        <v>434.646425894575</v>
      </c>
      <c r="AG34" s="28" t="n">
        <v>525.9593615215385</v>
      </c>
      <c r="AH34" s="28" t="n">
        <v>234.919573339922</v>
      </c>
      <c r="AI34" s="28" t="n">
        <v>139.5066706692247</v>
      </c>
      <c r="AJ34" s="28" t="n">
        <v>216.8311779739693</v>
      </c>
      <c r="AK34" s="28" t="n">
        <v>153.4291041692482</v>
      </c>
      <c r="AL34" s="28" t="n">
        <v>5523.29562698552</v>
      </c>
      <c r="AM34" s="28" t="n">
        <v>1071.074575175641</v>
      </c>
      <c r="AN34" s="28" t="n">
        <v>259.7794781584453</v>
      </c>
      <c r="AO34" s="28" t="n">
        <v>383.8823690898138</v>
      </c>
      <c r="AP34" s="28" t="n">
        <v>21.53453268399302</v>
      </c>
      <c r="AQ34" s="28" t="n">
        <v>658.9316263336254</v>
      </c>
      <c r="AR34" s="28" t="n">
        <v>0.5824519704109974</v>
      </c>
      <c r="AS34" s="28" t="n">
        <v>14.38650847872523</v>
      </c>
      <c r="AT34" s="28" t="n">
        <v>50.16203422417613</v>
      </c>
      <c r="AU34" s="28" t="n">
        <v>6.951322640235286</v>
      </c>
      <c r="AV34" s="28" t="n">
        <v>5.251562664711831</v>
      </c>
      <c r="AW34" s="28" t="n">
        <v>351.7852431683125</v>
      </c>
      <c r="AX34" s="28" t="n">
        <v>0</v>
      </c>
      <c r="AY34" s="28" t="n">
        <v>75.04562219276181</v>
      </c>
      <c r="AZ34" s="28" t="n">
        <v>18.54235935322626</v>
      </c>
      <c r="BA34" s="28" t="n">
        <v>170.2936797436002</v>
      </c>
      <c r="BB34" s="28">
        <f>SUM(C34:BA34)</f>
        <v/>
      </c>
      <c r="BC34" s="28" t="n">
        <v>0</v>
      </c>
      <c r="BD34" s="28" t="n">
        <v>0</v>
      </c>
      <c r="BE34" s="28" t="n">
        <v>869.166830964335</v>
      </c>
      <c r="BF34" s="28" t="n">
        <v>0</v>
      </c>
      <c r="BG34" s="28">
        <f>SUM(BC34:BF34)</f>
        <v/>
      </c>
      <c r="BH34" s="28">
        <f>BB34+BG34</f>
        <v/>
      </c>
    </row>
    <row r="35">
      <c r="A35" s="30" t="n">
        <v>22</v>
      </c>
      <c r="B35" s="31" t="inlineStr">
        <is>
          <t>Produtos e preparados químicos diversos</t>
        </is>
      </c>
      <c r="C35" s="30" t="n">
        <v>276.6343126925566</v>
      </c>
      <c r="D35" s="30" t="n">
        <v>58.7887093646371</v>
      </c>
      <c r="E35" s="30" t="n">
        <v>250.0949373924037</v>
      </c>
      <c r="F35" s="30" t="n">
        <v>156.5502540530625</v>
      </c>
      <c r="G35" s="30" t="n">
        <v>1871.133212303724</v>
      </c>
      <c r="H35" s="30" t="n">
        <v>2623.774848812066</v>
      </c>
      <c r="I35" s="30" t="n">
        <v>10.0869759600746</v>
      </c>
      <c r="J35" s="30" t="n">
        <v>307.219661317361</v>
      </c>
      <c r="K35" s="30" t="n">
        <v>9.953478607094375</v>
      </c>
      <c r="L35" s="30" t="n">
        <v>137.1974240748532</v>
      </c>
      <c r="M35" s="30" t="n">
        <v>222.7589152575673</v>
      </c>
      <c r="N35" s="30" t="n">
        <v>491.0461986352557</v>
      </c>
      <c r="O35" s="30" t="n">
        <v>261.6904586590245</v>
      </c>
      <c r="P35" s="30" t="n">
        <v>223.4731805974603</v>
      </c>
      <c r="Q35" s="30" t="n">
        <v>100.9075374884603</v>
      </c>
      <c r="R35" s="30" t="n">
        <v>515.3677758775187</v>
      </c>
      <c r="S35" s="30" t="n">
        <v>584.8062167902489</v>
      </c>
      <c r="T35" s="30" t="n">
        <v>696.5596039543907</v>
      </c>
      <c r="U35" s="30" t="n">
        <v>247.2536772540555</v>
      </c>
      <c r="V35" s="30" t="n">
        <v>842.2840298544522</v>
      </c>
      <c r="W35" s="30" t="n">
        <v>623.5293078244176</v>
      </c>
      <c r="X35" s="30" t="n">
        <v>1609.742611171951</v>
      </c>
      <c r="Y35" s="30" t="n">
        <v>1304.029797055623</v>
      </c>
      <c r="Z35" s="30" t="n">
        <v>388.8050896951573</v>
      </c>
      <c r="AA35" s="30" t="n">
        <v>365.9337276507426</v>
      </c>
      <c r="AB35" s="30" t="n">
        <v>56.22897014773612</v>
      </c>
      <c r="AC35" s="30" t="n">
        <v>152.2670059531279</v>
      </c>
      <c r="AD35" s="30" t="n">
        <v>315.6368275592862</v>
      </c>
      <c r="AE35" s="30" t="n">
        <v>183.082593181672</v>
      </c>
      <c r="AF35" s="30" t="n">
        <v>42.7332255664938</v>
      </c>
      <c r="AG35" s="30" t="n">
        <v>108.1282685995918</v>
      </c>
      <c r="AH35" s="30" t="n">
        <v>70.0119300298372</v>
      </c>
      <c r="AI35" s="30" t="n">
        <v>34.20068913979095</v>
      </c>
      <c r="AJ35" s="30" t="n">
        <v>263.4397819570509</v>
      </c>
      <c r="AK35" s="30" t="n">
        <v>189.7518810134389</v>
      </c>
      <c r="AL35" s="30" t="n">
        <v>710.0861694718924</v>
      </c>
      <c r="AM35" s="30" t="n">
        <v>1301.837485923321</v>
      </c>
      <c r="AN35" s="30" t="n">
        <v>95.28135218870614</v>
      </c>
      <c r="AO35" s="30" t="n">
        <v>36.88590544909106</v>
      </c>
      <c r="AP35" s="30" t="n">
        <v>49.65149188778679</v>
      </c>
      <c r="AQ35" s="30" t="n">
        <v>41.66456872861413</v>
      </c>
      <c r="AR35" s="30" t="n">
        <v>0.9265699793546274</v>
      </c>
      <c r="AS35" s="30" t="n">
        <v>28.59648306275955</v>
      </c>
      <c r="AT35" s="30" t="n">
        <v>136.2706317209365</v>
      </c>
      <c r="AU35" s="30" t="n">
        <v>9.815854023794452</v>
      </c>
      <c r="AV35" s="30" t="n">
        <v>29.31655380800485</v>
      </c>
      <c r="AW35" s="30" t="n">
        <v>71.43220942301936</v>
      </c>
      <c r="AX35" s="30" t="n">
        <v>0</v>
      </c>
      <c r="AY35" s="30" t="n">
        <v>264.6060340059659</v>
      </c>
      <c r="AZ35" s="30" t="n">
        <v>621.7871028989615</v>
      </c>
      <c r="BA35" s="30" t="n">
        <v>78.21937171395896</v>
      </c>
      <c r="BB35" s="30">
        <f>SUM(C35:BA35)</f>
        <v/>
      </c>
      <c r="BC35" s="30" t="n">
        <v>0</v>
      </c>
      <c r="BD35" s="30" t="n">
        <v>0</v>
      </c>
      <c r="BE35" s="30" t="n">
        <v>2187.032755100314</v>
      </c>
      <c r="BF35" s="30" t="n">
        <v>0</v>
      </c>
      <c r="BG35" s="30">
        <f>SUM(BC35:BF35)</f>
        <v/>
      </c>
      <c r="BH35" s="30">
        <f>BB35+BG35</f>
        <v/>
      </c>
    </row>
    <row r="36">
      <c r="A36" s="28" t="n">
        <v>23</v>
      </c>
      <c r="B36" s="29" t="inlineStr">
        <is>
          <t>Artigos de borracha e plástico</t>
        </is>
      </c>
      <c r="C36" s="28" t="n">
        <v>429.1692731773848</v>
      </c>
      <c r="D36" s="28" t="n">
        <v>171.9962369839269</v>
      </c>
      <c r="E36" s="28" t="n">
        <v>184.9183054838241</v>
      </c>
      <c r="F36" s="28" t="n">
        <v>375.3612390497398</v>
      </c>
      <c r="G36" s="28" t="n">
        <v>232.6872110814885</v>
      </c>
      <c r="H36" s="28" t="n">
        <v>8400.386181505457</v>
      </c>
      <c r="I36" s="28" t="n">
        <v>7.537164159688341</v>
      </c>
      <c r="J36" s="28" t="n">
        <v>316.8084574683275</v>
      </c>
      <c r="K36" s="28" t="n">
        <v>335.2025394460376</v>
      </c>
      <c r="L36" s="28" t="n">
        <v>727.9897793569661</v>
      </c>
      <c r="M36" s="28" t="n">
        <v>133.3631432492894</v>
      </c>
      <c r="N36" s="28" t="n">
        <v>605.0874813227633</v>
      </c>
      <c r="O36" s="28" t="n">
        <v>885.0879519221367</v>
      </c>
      <c r="P36" s="28" t="n">
        <v>70.55702968949441</v>
      </c>
      <c r="Q36" s="28" t="n">
        <v>29.42926229991117</v>
      </c>
      <c r="R36" s="28" t="n">
        <v>673.2931053249599</v>
      </c>
      <c r="S36" s="28" t="n">
        <v>268.7943538410533</v>
      </c>
      <c r="T36" s="28" t="n">
        <v>336.6942015825556</v>
      </c>
      <c r="U36" s="28" t="n">
        <v>261.8670382703664</v>
      </c>
      <c r="V36" s="28" t="n">
        <v>1263.230695128358</v>
      </c>
      <c r="W36" s="28" t="n">
        <v>143.4438922563079</v>
      </c>
      <c r="X36" s="28" t="n">
        <v>153.6914016053899</v>
      </c>
      <c r="Y36" s="28" t="n">
        <v>10526.41175715414</v>
      </c>
      <c r="Z36" s="28" t="n">
        <v>1546.55933051508</v>
      </c>
      <c r="AA36" s="28" t="n">
        <v>452.5777637946854</v>
      </c>
      <c r="AB36" s="28" t="n">
        <v>38.35038122019317</v>
      </c>
      <c r="AC36" s="28" t="n">
        <v>510.9086300708312</v>
      </c>
      <c r="AD36" s="28" t="n">
        <v>2418.581675556923</v>
      </c>
      <c r="AE36" s="28" t="n">
        <v>1823.897823857761</v>
      </c>
      <c r="AF36" s="28" t="n">
        <v>1481.051552875392</v>
      </c>
      <c r="AG36" s="28" t="n">
        <v>7243.958245477686</v>
      </c>
      <c r="AH36" s="28" t="n">
        <v>3253.744575532188</v>
      </c>
      <c r="AI36" s="28" t="n">
        <v>826.6443789927259</v>
      </c>
      <c r="AJ36" s="28" t="n">
        <v>1424.215145861528</v>
      </c>
      <c r="AK36" s="28" t="n">
        <v>393.3412844526728</v>
      </c>
      <c r="AL36" s="28" t="n">
        <v>8676.94865193996</v>
      </c>
      <c r="AM36" s="28" t="n">
        <v>4479.774837360921</v>
      </c>
      <c r="AN36" s="28" t="n">
        <v>5219.117890481817</v>
      </c>
      <c r="AO36" s="28" t="n">
        <v>87.21328638067679</v>
      </c>
      <c r="AP36" s="28" t="n">
        <v>102.1727776935658</v>
      </c>
      <c r="AQ36" s="28" t="n">
        <v>79.94653692312107</v>
      </c>
      <c r="AR36" s="28" t="n">
        <v>66.60549016376621</v>
      </c>
      <c r="AS36" s="28" t="n">
        <v>327.9983211207427</v>
      </c>
      <c r="AT36" s="28" t="n">
        <v>894.0625106614305</v>
      </c>
      <c r="AU36" s="28" t="n">
        <v>26.54805534060459</v>
      </c>
      <c r="AV36" s="28" t="n">
        <v>353.5704654211403</v>
      </c>
      <c r="AW36" s="28" t="n">
        <v>284.5348460252502</v>
      </c>
      <c r="AX36" s="28" t="n">
        <v>0</v>
      </c>
      <c r="AY36" s="28" t="n">
        <v>188.5984575288756</v>
      </c>
      <c r="AZ36" s="28" t="n">
        <v>440.2613813340144</v>
      </c>
      <c r="BA36" s="28" t="n">
        <v>174.502455698792</v>
      </c>
      <c r="BB36" s="28">
        <f>SUM(C36:BA36)</f>
        <v/>
      </c>
      <c r="BC36" s="28" t="n">
        <v>0</v>
      </c>
      <c r="BD36" s="28" t="n">
        <v>0</v>
      </c>
      <c r="BE36" s="28" t="n">
        <v>11792.05585802706</v>
      </c>
      <c r="BF36" s="28" t="n">
        <v>0</v>
      </c>
      <c r="BG36" s="28">
        <f>SUM(BC36:BF36)</f>
        <v/>
      </c>
      <c r="BH36" s="28">
        <f>BB36+BG36</f>
        <v/>
      </c>
    </row>
    <row r="37">
      <c r="A37" s="30" t="n">
        <v>24</v>
      </c>
      <c r="B37" s="31" t="inlineStr">
        <is>
          <t>Cimento e outros produtos de minerais não-metálicos</t>
        </is>
      </c>
      <c r="C37" s="30" t="n">
        <v>2361.738884515315</v>
      </c>
      <c r="D37" s="30" t="n">
        <v>1794.243093547153</v>
      </c>
      <c r="E37" s="30" t="n">
        <v>160.3504736021739</v>
      </c>
      <c r="F37" s="30" t="n">
        <v>8.448208451085506</v>
      </c>
      <c r="G37" s="30" t="n">
        <v>91.63940770852369</v>
      </c>
      <c r="H37" s="30" t="n">
        <v>2508.043461119038</v>
      </c>
      <c r="I37" s="30" t="n">
        <v>2.352632092865352</v>
      </c>
      <c r="J37" s="30" t="n">
        <v>25.08615331405639</v>
      </c>
      <c r="K37" s="30" t="n">
        <v>29.6946344056326</v>
      </c>
      <c r="L37" s="30" t="n">
        <v>14.44457387852881</v>
      </c>
      <c r="M37" s="30" t="n">
        <v>14.21468267225649</v>
      </c>
      <c r="N37" s="30" t="n">
        <v>207.7697195161577</v>
      </c>
      <c r="O37" s="30" t="n">
        <v>39.89007297783429</v>
      </c>
      <c r="P37" s="30" t="n">
        <v>15.27671835148517</v>
      </c>
      <c r="Q37" s="30" t="n">
        <v>8.142838297482047</v>
      </c>
      <c r="R37" s="30" t="n">
        <v>476.4794867694695</v>
      </c>
      <c r="S37" s="30" t="n">
        <v>27.48509639908729</v>
      </c>
      <c r="T37" s="30" t="n">
        <v>69.90465946756323</v>
      </c>
      <c r="U37" s="30" t="n">
        <v>12.80602625617093</v>
      </c>
      <c r="V37" s="30" t="n">
        <v>284.8217056924005</v>
      </c>
      <c r="W37" s="30" t="n">
        <v>67.2680553997817</v>
      </c>
      <c r="X37" s="30" t="n">
        <v>140.7771182108015</v>
      </c>
      <c r="Y37" s="30" t="n">
        <v>445.6271660154245</v>
      </c>
      <c r="Z37" s="30" t="n">
        <v>7449.469065061528</v>
      </c>
      <c r="AA37" s="30" t="n">
        <v>316.2420480050537</v>
      </c>
      <c r="AB37" s="30" t="n">
        <v>23.23156594852159</v>
      </c>
      <c r="AC37" s="30" t="n">
        <v>135.8892290870239</v>
      </c>
      <c r="AD37" s="30" t="n">
        <v>437.5250996462027</v>
      </c>
      <c r="AE37" s="30" t="n">
        <v>303.5246370586154</v>
      </c>
      <c r="AF37" s="30" t="n">
        <v>51.76492154127687</v>
      </c>
      <c r="AG37" s="30" t="n">
        <v>1797.900804413809</v>
      </c>
      <c r="AH37" s="30" t="n">
        <v>122.0044890796935</v>
      </c>
      <c r="AI37" s="30" t="n">
        <v>138.6282087490737</v>
      </c>
      <c r="AJ37" s="30" t="n">
        <v>375.0537926538804</v>
      </c>
      <c r="AK37" s="30" t="n">
        <v>1526.335256582137</v>
      </c>
      <c r="AL37" s="30" t="n">
        <v>42480.06407282066</v>
      </c>
      <c r="AM37" s="30" t="n">
        <v>393.571284269521</v>
      </c>
      <c r="AN37" s="30" t="n">
        <v>85.38289774029532</v>
      </c>
      <c r="AO37" s="30" t="n">
        <v>49.30560466660619</v>
      </c>
      <c r="AP37" s="30" t="n">
        <v>37.05479310144649</v>
      </c>
      <c r="AQ37" s="30" t="n">
        <v>1474.835951909589</v>
      </c>
      <c r="AR37" s="30" t="n">
        <v>2.881441096466127</v>
      </c>
      <c r="AS37" s="30" t="n">
        <v>548.8168835799438</v>
      </c>
      <c r="AT37" s="30" t="n">
        <v>71.63627868235048</v>
      </c>
      <c r="AU37" s="30" t="n">
        <v>17.48206529984574</v>
      </c>
      <c r="AV37" s="30" t="n">
        <v>129.5257512088226</v>
      </c>
      <c r="AW37" s="30" t="n">
        <v>241.1852120957239</v>
      </c>
      <c r="AX37" s="30" t="n">
        <v>0</v>
      </c>
      <c r="AY37" s="30" t="n">
        <v>153.0960882674868</v>
      </c>
      <c r="AZ37" s="30" t="n">
        <v>144.2941467808417</v>
      </c>
      <c r="BA37" s="30" t="n">
        <v>387.091056141678</v>
      </c>
      <c r="BB37" s="30">
        <f>SUM(C37:BA37)</f>
        <v/>
      </c>
      <c r="BC37" s="30" t="n">
        <v>0</v>
      </c>
      <c r="BD37" s="30" t="n">
        <v>0</v>
      </c>
      <c r="BE37" s="30" t="n">
        <v>5486.494096106346</v>
      </c>
      <c r="BF37" s="30" t="n">
        <v>0</v>
      </c>
      <c r="BG37" s="30">
        <f>SUM(BC37:BF37)</f>
        <v/>
      </c>
      <c r="BH37" s="30">
        <f>BB37+BG37</f>
        <v/>
      </c>
    </row>
    <row r="38">
      <c r="A38" s="28" t="n">
        <v>25</v>
      </c>
      <c r="B38" s="29" t="inlineStr">
        <is>
          <t>Fabricação de aço e derivados</t>
        </is>
      </c>
      <c r="C38" s="28" t="n">
        <v>154.4515684164203</v>
      </c>
      <c r="D38" s="28" t="n">
        <v>271.1945258890806</v>
      </c>
      <c r="E38" s="28" t="n">
        <v>2007.386676286151</v>
      </c>
      <c r="F38" s="28" t="n">
        <v>24.99223422964555</v>
      </c>
      <c r="G38" s="28" t="n">
        <v>220.1278926254698</v>
      </c>
      <c r="H38" s="28" t="n">
        <v>396.0097016423662</v>
      </c>
      <c r="I38" s="28" t="n">
        <v>2.574481147931664</v>
      </c>
      <c r="J38" s="28" t="n">
        <v>9.840421660117922</v>
      </c>
      <c r="K38" s="28" t="n">
        <v>6.958465762400373</v>
      </c>
      <c r="L38" s="28" t="n">
        <v>6.032547852006486</v>
      </c>
      <c r="M38" s="28" t="n">
        <v>9.532631926213812</v>
      </c>
      <c r="N38" s="28" t="n">
        <v>159.5973012101283</v>
      </c>
      <c r="O38" s="28" t="n">
        <v>9.102519843680202</v>
      </c>
      <c r="P38" s="28" t="n">
        <v>20.62058389307121</v>
      </c>
      <c r="Q38" s="28" t="n">
        <v>5.796293258420155</v>
      </c>
      <c r="R38" s="28" t="n">
        <v>55.54938347594737</v>
      </c>
      <c r="S38" s="28" t="n">
        <v>23.3840296252961</v>
      </c>
      <c r="T38" s="28" t="n">
        <v>23.18790085904004</v>
      </c>
      <c r="U38" s="28" t="n">
        <v>11.06661456182939</v>
      </c>
      <c r="V38" s="28" t="n">
        <v>33.3550027954144</v>
      </c>
      <c r="W38" s="28" t="n">
        <v>28.34850618595946</v>
      </c>
      <c r="X38" s="28" t="n">
        <v>28.12206635524886</v>
      </c>
      <c r="Y38" s="28" t="n">
        <v>785.056696762329</v>
      </c>
      <c r="Z38" s="28" t="n">
        <v>618.919268541925</v>
      </c>
      <c r="AA38" s="28" t="n">
        <v>10759.42729501494</v>
      </c>
      <c r="AB38" s="28" t="n">
        <v>843.0779120304496</v>
      </c>
      <c r="AC38" s="28" t="n">
        <v>16983.51131795177</v>
      </c>
      <c r="AD38" s="28" t="n">
        <v>8426.985833271045</v>
      </c>
      <c r="AE38" s="28" t="n">
        <v>3433.119246858401</v>
      </c>
      <c r="AF38" s="28" t="n">
        <v>164.8636375763347</v>
      </c>
      <c r="AG38" s="28" t="n">
        <v>7086.767093447521</v>
      </c>
      <c r="AH38" s="28" t="n">
        <v>8204.2036653496</v>
      </c>
      <c r="AI38" s="28" t="n">
        <v>1071.304133077282</v>
      </c>
      <c r="AJ38" s="28" t="n">
        <v>1198.645061675666</v>
      </c>
      <c r="AK38" s="28" t="n">
        <v>299.8902360890888</v>
      </c>
      <c r="AL38" s="28" t="n">
        <v>16121.79596775257</v>
      </c>
      <c r="AM38" s="28" t="n">
        <v>1107.67155452505</v>
      </c>
      <c r="AN38" s="28" t="n">
        <v>117.858490776895</v>
      </c>
      <c r="AO38" s="28" t="n">
        <v>86.52958086147544</v>
      </c>
      <c r="AP38" s="28" t="n">
        <v>80.45497664522074</v>
      </c>
      <c r="AQ38" s="28" t="n">
        <v>22.18965811425744</v>
      </c>
      <c r="AR38" s="28" t="n">
        <v>2.701604400131958</v>
      </c>
      <c r="AS38" s="28" t="n">
        <v>65.29414563517133</v>
      </c>
      <c r="AT38" s="28" t="n">
        <v>326.5702806199666</v>
      </c>
      <c r="AU38" s="28" t="n">
        <v>29.2981444935365</v>
      </c>
      <c r="AV38" s="28" t="n">
        <v>15.30451025607843</v>
      </c>
      <c r="AW38" s="28" t="n">
        <v>69.03859040984956</v>
      </c>
      <c r="AX38" s="28" t="n">
        <v>0</v>
      </c>
      <c r="AY38" s="28" t="n">
        <v>49.44037486459514</v>
      </c>
      <c r="AZ38" s="28" t="n">
        <v>26.3083211409193</v>
      </c>
      <c r="BA38" s="28" t="n">
        <v>191.9010785961607</v>
      </c>
      <c r="BB38" s="28">
        <f>SUM(C38:BA38)</f>
        <v/>
      </c>
      <c r="BC38" s="28" t="n">
        <v>0</v>
      </c>
      <c r="BD38" s="28" t="n">
        <v>0</v>
      </c>
      <c r="BE38" s="28" t="n">
        <v>9953.923208609292</v>
      </c>
      <c r="BF38" s="28" t="n">
        <v>0</v>
      </c>
      <c r="BG38" s="28">
        <f>SUM(BC38:BF38)</f>
        <v/>
      </c>
      <c r="BH38" s="28">
        <f>BB38+BG38</f>
        <v/>
      </c>
    </row>
    <row r="39">
      <c r="A39" s="30" t="n">
        <v>26</v>
      </c>
      <c r="B39" s="31" t="inlineStr">
        <is>
          <t>Metalurgia de metais não-ferrosos</t>
        </is>
      </c>
      <c r="C39" s="30" t="n">
        <v>559.3868240308911</v>
      </c>
      <c r="D39" s="30" t="n">
        <v>73.98751494714543</v>
      </c>
      <c r="E39" s="30" t="n">
        <v>58.94608115783664</v>
      </c>
      <c r="F39" s="30" t="n">
        <v>15.55734418602421</v>
      </c>
      <c r="G39" s="30" t="n">
        <v>93.85781967204474</v>
      </c>
      <c r="H39" s="30" t="n">
        <v>690.7680629810852</v>
      </c>
      <c r="I39" s="30" t="n">
        <v>1.226202015537543</v>
      </c>
      <c r="J39" s="30" t="n">
        <v>12.27672023290093</v>
      </c>
      <c r="K39" s="30" t="n">
        <v>11.63447018216554</v>
      </c>
      <c r="L39" s="30" t="n">
        <v>8.279152765588471</v>
      </c>
      <c r="M39" s="30" t="n">
        <v>4.612883154983615</v>
      </c>
      <c r="N39" s="30" t="n">
        <v>275.7773627591375</v>
      </c>
      <c r="O39" s="30" t="n">
        <v>296.2107297899018</v>
      </c>
      <c r="P39" s="30" t="n">
        <v>7.792237291532011</v>
      </c>
      <c r="Q39" s="30" t="n">
        <v>3.883569825560898</v>
      </c>
      <c r="R39" s="30" t="n">
        <v>428.9812803978461</v>
      </c>
      <c r="S39" s="30" t="n">
        <v>29.18239700259072</v>
      </c>
      <c r="T39" s="30" t="n">
        <v>19.94714123398088</v>
      </c>
      <c r="U39" s="30" t="n">
        <v>19.06814396533158</v>
      </c>
      <c r="V39" s="30" t="n">
        <v>36.44666934201949</v>
      </c>
      <c r="W39" s="30" t="n">
        <v>53.22362009207269</v>
      </c>
      <c r="X39" s="30" t="n">
        <v>204.6153650774592</v>
      </c>
      <c r="Y39" s="30" t="n">
        <v>89.39409985414014</v>
      </c>
      <c r="Z39" s="30" t="n">
        <v>123.3927970159964</v>
      </c>
      <c r="AA39" s="30" t="n">
        <v>1292.198196439401</v>
      </c>
      <c r="AB39" s="30" t="n">
        <v>6553.571141367102</v>
      </c>
      <c r="AC39" s="30" t="n">
        <v>1514.451547821812</v>
      </c>
      <c r="AD39" s="30" t="n">
        <v>2872.475344218412</v>
      </c>
      <c r="AE39" s="30" t="n">
        <v>7288.871304794944</v>
      </c>
      <c r="AF39" s="30" t="n">
        <v>249.105721880696</v>
      </c>
      <c r="AG39" s="30" t="n">
        <v>555.9339051075742</v>
      </c>
      <c r="AH39" s="30" t="n">
        <v>4856.727827792332</v>
      </c>
      <c r="AI39" s="30" t="n">
        <v>867.1035959960104</v>
      </c>
      <c r="AJ39" s="30" t="n">
        <v>1719.990639559595</v>
      </c>
      <c r="AK39" s="30" t="n">
        <v>202.5125994384204</v>
      </c>
      <c r="AL39" s="30" t="n">
        <v>3607.906303704407</v>
      </c>
      <c r="AM39" s="30" t="n">
        <v>697.0964061531813</v>
      </c>
      <c r="AN39" s="30" t="n">
        <v>66.32853148105011</v>
      </c>
      <c r="AO39" s="30" t="n">
        <v>59.72514619205545</v>
      </c>
      <c r="AP39" s="30" t="n">
        <v>64.24046619987649</v>
      </c>
      <c r="AQ39" s="30" t="n">
        <v>67.90243115786392</v>
      </c>
      <c r="AR39" s="30" t="n">
        <v>3.629224905175514</v>
      </c>
      <c r="AS39" s="30" t="n">
        <v>53.40829864324463</v>
      </c>
      <c r="AT39" s="30" t="n">
        <v>97.36871512960282</v>
      </c>
      <c r="AU39" s="30" t="n">
        <v>30.25759804250961</v>
      </c>
      <c r="AV39" s="30" t="n">
        <v>36.57332711407206</v>
      </c>
      <c r="AW39" s="30" t="n">
        <v>77.41850359651525</v>
      </c>
      <c r="AX39" s="30" t="n">
        <v>0</v>
      </c>
      <c r="AY39" s="30" t="n">
        <v>12.56121655609557</v>
      </c>
      <c r="AZ39" s="30" t="n">
        <v>16.2899791048027</v>
      </c>
      <c r="BA39" s="30" t="n">
        <v>52.97395272781728</v>
      </c>
      <c r="BB39" s="30">
        <f>SUM(C39:BA39)</f>
        <v/>
      </c>
      <c r="BC39" s="30" t="n">
        <v>0</v>
      </c>
      <c r="BD39" s="30" t="n">
        <v>0</v>
      </c>
      <c r="BE39" s="30" t="n">
        <v>7222.916686194018</v>
      </c>
      <c r="BF39" s="30" t="n">
        <v>0</v>
      </c>
      <c r="BG39" s="30">
        <f>SUM(BC39:BF39)</f>
        <v/>
      </c>
      <c r="BH39" s="30">
        <f>BB39+BG39</f>
        <v/>
      </c>
    </row>
    <row r="40">
      <c r="A40" s="29" t="inlineStr">
        <is>
          <t>Produtos de metal</t>
        </is>
      </c>
      <c r="B40" s="29" t="inlineStr">
        <is>
          <t>exclusive máquinas e equipamentos</t>
        </is>
      </c>
      <c r="C40" s="28" t="n">
        <v>387.5098657501061</v>
      </c>
      <c r="D40" s="28" t="n">
        <v>546.9920835842647</v>
      </c>
      <c r="E40" s="28" t="n">
        <v>1368.244373005977</v>
      </c>
      <c r="F40" s="28" t="n">
        <v>530.5325173762828</v>
      </c>
      <c r="G40" s="28" t="n">
        <v>290.130644856047</v>
      </c>
      <c r="H40" s="28" t="n">
        <v>6837.631960880353</v>
      </c>
      <c r="I40" s="28" t="n">
        <v>30.70371630106201</v>
      </c>
      <c r="J40" s="28" t="n">
        <v>110.5282851011871</v>
      </c>
      <c r="K40" s="28" t="n">
        <v>123.3107636620899</v>
      </c>
      <c r="L40" s="28" t="n">
        <v>70.55293665659647</v>
      </c>
      <c r="M40" s="28" t="n">
        <v>302.8882792893982</v>
      </c>
      <c r="N40" s="28" t="n">
        <v>145.2435062009409</v>
      </c>
      <c r="O40" s="28" t="n">
        <v>49.91218926413843</v>
      </c>
      <c r="P40" s="28" t="n">
        <v>278.4565631867259</v>
      </c>
      <c r="Q40" s="28" t="n">
        <v>56.96340142731854</v>
      </c>
      <c r="R40" s="28" t="n">
        <v>290.214499286598</v>
      </c>
      <c r="S40" s="28" t="n">
        <v>121.2092022185635</v>
      </c>
      <c r="T40" s="28" t="n">
        <v>140.998771563425</v>
      </c>
      <c r="U40" s="28" t="n">
        <v>56.94398956638914</v>
      </c>
      <c r="V40" s="28" t="n">
        <v>872.5876967889714</v>
      </c>
      <c r="W40" s="28" t="n">
        <v>787.9531391740007</v>
      </c>
      <c r="X40" s="28" t="n">
        <v>52.50486243538819</v>
      </c>
      <c r="Y40" s="28" t="n">
        <v>226.9943698538132</v>
      </c>
      <c r="Z40" s="28" t="n">
        <v>229.314681852961</v>
      </c>
      <c r="AA40" s="28" t="n">
        <v>2185.245619215617</v>
      </c>
      <c r="AB40" s="28" t="n">
        <v>264.1784084267978</v>
      </c>
      <c r="AC40" s="28" t="n">
        <v>6339.709237296903</v>
      </c>
      <c r="AD40" s="28" t="n">
        <v>7083.989257182325</v>
      </c>
      <c r="AE40" s="28" t="n">
        <v>2333.181527751938</v>
      </c>
      <c r="AF40" s="28" t="n">
        <v>1151.414705929924</v>
      </c>
      <c r="AG40" s="28" t="n">
        <v>4011.381170534559</v>
      </c>
      <c r="AH40" s="28" t="n">
        <v>2760.670781491973</v>
      </c>
      <c r="AI40" s="28" t="n">
        <v>2200.594321459153</v>
      </c>
      <c r="AJ40" s="28" t="n">
        <v>1039.521527173161</v>
      </c>
      <c r="AK40" s="28" t="n">
        <v>2393.92904802765</v>
      </c>
      <c r="AL40" s="28" t="n">
        <v>22052.22760359695</v>
      </c>
      <c r="AM40" s="28" t="n">
        <v>1540.104170093807</v>
      </c>
      <c r="AN40" s="28" t="n">
        <v>258.1128635049789</v>
      </c>
      <c r="AO40" s="28" t="n">
        <v>129.3206291594254</v>
      </c>
      <c r="AP40" s="28" t="n">
        <v>68.59510821063363</v>
      </c>
      <c r="AQ40" s="28" t="n">
        <v>378.0700516034079</v>
      </c>
      <c r="AR40" s="28" t="n">
        <v>9.318923350196242</v>
      </c>
      <c r="AS40" s="28" t="n">
        <v>1653.298392823795</v>
      </c>
      <c r="AT40" s="28" t="n">
        <v>291.5142341105151</v>
      </c>
      <c r="AU40" s="28" t="n">
        <v>32.65509291069807</v>
      </c>
      <c r="AV40" s="28" t="n">
        <v>74.33183025342338</v>
      </c>
      <c r="AW40" s="28" t="n">
        <v>415.8308252327778</v>
      </c>
      <c r="AX40" s="28" t="n">
        <v>0</v>
      </c>
      <c r="AY40" s="28" t="n">
        <v>92.12065606606049</v>
      </c>
      <c r="AZ40" s="28" t="n">
        <v>87.901392708004</v>
      </c>
      <c r="BA40" s="28" t="n">
        <v>1096.084824934621</v>
      </c>
      <c r="BB40" s="28">
        <f>SUM(C40:BA40)</f>
        <v/>
      </c>
      <c r="BC40" s="28" t="n">
        <v>0</v>
      </c>
      <c r="BD40" s="28" t="n">
        <v>0</v>
      </c>
      <c r="BE40" s="28" t="n">
        <v>13793.45965733862</v>
      </c>
      <c r="BF40" s="28" t="n">
        <v>0</v>
      </c>
      <c r="BG40" s="28">
        <f>SUM(BC40:BF40)</f>
        <v/>
      </c>
      <c r="BH40" s="28">
        <f>BB40+BG40</f>
        <v/>
      </c>
    </row>
    <row r="41">
      <c r="A41" s="30" t="n">
        <v>28</v>
      </c>
      <c r="B41" s="31" t="inlineStr">
        <is>
          <t>Máquinas e equipamentos inclusive manutenção e reparos</t>
        </is>
      </c>
      <c r="C41" s="30" t="n">
        <v>171.0209732569221</v>
      </c>
      <c r="D41" s="30" t="n">
        <v>84.04964972428571</v>
      </c>
      <c r="E41" s="30" t="n">
        <v>5091.836577709539</v>
      </c>
      <c r="F41" s="30" t="n">
        <v>3027.354501922698</v>
      </c>
      <c r="G41" s="30" t="n">
        <v>1816.898040688872</v>
      </c>
      <c r="H41" s="30" t="n">
        <v>1997.919967514686</v>
      </c>
      <c r="I41" s="30" t="n">
        <v>13.7425068357245</v>
      </c>
      <c r="J41" s="30" t="n">
        <v>235.3048950597113</v>
      </c>
      <c r="K41" s="30" t="n">
        <v>399.2924262056421</v>
      </c>
      <c r="L41" s="30" t="n">
        <v>123.0414799064083</v>
      </c>
      <c r="M41" s="30" t="n">
        <v>371.563544219661</v>
      </c>
      <c r="N41" s="30" t="n">
        <v>1563.523930825433</v>
      </c>
      <c r="O41" s="30" t="n">
        <v>975.1483284313465</v>
      </c>
      <c r="P41" s="30" t="n">
        <v>422.0962176286495</v>
      </c>
      <c r="Q41" s="30" t="n">
        <v>362.3936755914103</v>
      </c>
      <c r="R41" s="30" t="n">
        <v>572.8654559527961</v>
      </c>
      <c r="S41" s="30" t="n">
        <v>237.5740561169755</v>
      </c>
      <c r="T41" s="30" t="n">
        <v>414.3987720268389</v>
      </c>
      <c r="U41" s="30" t="n">
        <v>116.0864486604838</v>
      </c>
      <c r="V41" s="30" t="n">
        <v>176.9955882174714</v>
      </c>
      <c r="W41" s="30" t="n">
        <v>224.2488688395385</v>
      </c>
      <c r="X41" s="30" t="n">
        <v>212.7141279453226</v>
      </c>
      <c r="Y41" s="30" t="n">
        <v>530.0411943665466</v>
      </c>
      <c r="Z41" s="30" t="n">
        <v>1758.3674915921</v>
      </c>
      <c r="AA41" s="30" t="n">
        <v>5678.80043162626</v>
      </c>
      <c r="AB41" s="30" t="n">
        <v>1257.582987418933</v>
      </c>
      <c r="AC41" s="30" t="n">
        <v>720.6616988211596</v>
      </c>
      <c r="AD41" s="30" t="n">
        <v>25248.24634191457</v>
      </c>
      <c r="AE41" s="30" t="n">
        <v>1318.931614332203</v>
      </c>
      <c r="AF41" s="30" t="n">
        <v>496.8955260655171</v>
      </c>
      <c r="AG41" s="30" t="n">
        <v>2569.867760030197</v>
      </c>
      <c r="AH41" s="30" t="n">
        <v>910.6864212417497</v>
      </c>
      <c r="AI41" s="30" t="n">
        <v>972.4087463224839</v>
      </c>
      <c r="AJ41" s="30" t="n">
        <v>415.3559316783274</v>
      </c>
      <c r="AK41" s="30" t="n">
        <v>1792.70907993817</v>
      </c>
      <c r="AL41" s="30" t="n">
        <v>6321.451346439912</v>
      </c>
      <c r="AM41" s="30" t="n">
        <v>4054.986742390591</v>
      </c>
      <c r="AN41" s="30" t="n">
        <v>3770.611677814817</v>
      </c>
      <c r="AO41" s="30" t="n">
        <v>1848.549090740771</v>
      </c>
      <c r="AP41" s="30" t="n">
        <v>316.9973854451678</v>
      </c>
      <c r="AQ41" s="30" t="n">
        <v>88.57476542519609</v>
      </c>
      <c r="AR41" s="30" t="n">
        <v>60.51881126039849</v>
      </c>
      <c r="AS41" s="30" t="n">
        <v>230.6516519982564</v>
      </c>
      <c r="AT41" s="30" t="n">
        <v>2167.082203297859</v>
      </c>
      <c r="AU41" s="30" t="n">
        <v>16.30414874854445</v>
      </c>
      <c r="AV41" s="30" t="n">
        <v>590.6594071051866</v>
      </c>
      <c r="AW41" s="30" t="n">
        <v>1624.512860138665</v>
      </c>
      <c r="AX41" s="30" t="n">
        <v>0</v>
      </c>
      <c r="AY41" s="30" t="n">
        <v>126.0905380063924</v>
      </c>
      <c r="AZ41" s="30" t="n">
        <v>720.9638523947776</v>
      </c>
      <c r="BA41" s="30" t="n">
        <v>802.5423942288132</v>
      </c>
      <c r="BB41" s="30">
        <f>SUM(C41:BA41)</f>
        <v/>
      </c>
      <c r="BC41" s="30" t="n">
        <v>0</v>
      </c>
      <c r="BD41" s="30" t="n">
        <v>0</v>
      </c>
      <c r="BE41" s="30" t="n">
        <v>52514.15607345305</v>
      </c>
      <c r="BF41" s="30" t="n">
        <v>0</v>
      </c>
      <c r="BG41" s="30">
        <f>SUM(BC41:BF41)</f>
        <v/>
      </c>
      <c r="BH41" s="30">
        <f>BB41+BG41</f>
        <v/>
      </c>
    </row>
    <row r="42">
      <c r="A42" s="28" t="n">
        <v>29</v>
      </c>
      <c r="B42" s="29" t="inlineStr">
        <is>
          <t>Eletrodomésticos e material eletronico</t>
        </is>
      </c>
      <c r="C42" s="28" t="n">
        <v>46.98568021876392</v>
      </c>
      <c r="D42" s="28" t="n">
        <v>102.6830671827094</v>
      </c>
      <c r="E42" s="28" t="n">
        <v>259.2499444102842</v>
      </c>
      <c r="F42" s="28" t="n">
        <v>56.17942487204881</v>
      </c>
      <c r="G42" s="28" t="n">
        <v>60.68515670352674</v>
      </c>
      <c r="H42" s="28" t="n">
        <v>284.6884754715092</v>
      </c>
      <c r="I42" s="28" t="n">
        <v>6.578547175149606</v>
      </c>
      <c r="J42" s="28" t="n">
        <v>70.33241387006609</v>
      </c>
      <c r="K42" s="28" t="n">
        <v>33.83026654559217</v>
      </c>
      <c r="L42" s="28" t="n">
        <v>16.76975744148701</v>
      </c>
      <c r="M42" s="28" t="n">
        <v>24.78211726922542</v>
      </c>
      <c r="N42" s="28" t="n">
        <v>84.32724395661504</v>
      </c>
      <c r="O42" s="28" t="n">
        <v>35.52294949395515</v>
      </c>
      <c r="P42" s="28" t="n">
        <v>14.33537999173597</v>
      </c>
      <c r="Q42" s="28" t="n">
        <v>10.86016041806462</v>
      </c>
      <c r="R42" s="28" t="n">
        <v>79.83694364559278</v>
      </c>
      <c r="S42" s="28" t="n">
        <v>34.6939293288487</v>
      </c>
      <c r="T42" s="28" t="n">
        <v>22.99903379140719</v>
      </c>
      <c r="U42" s="28" t="n">
        <v>6.70501818251872</v>
      </c>
      <c r="V42" s="28" t="n">
        <v>27.45173420722915</v>
      </c>
      <c r="W42" s="28" t="n">
        <v>13.08210449902515</v>
      </c>
      <c r="X42" s="28" t="n">
        <v>19.41309586046057</v>
      </c>
      <c r="Y42" s="28" t="n">
        <v>120.4163796285245</v>
      </c>
      <c r="Z42" s="28" t="n">
        <v>155.2609614252176</v>
      </c>
      <c r="AA42" s="28" t="n">
        <v>122.5611136581726</v>
      </c>
      <c r="AB42" s="28" t="n">
        <v>167.8940873043433</v>
      </c>
      <c r="AC42" s="28" t="n">
        <v>121.0220219538544</v>
      </c>
      <c r="AD42" s="28" t="n">
        <v>4441.333039420713</v>
      </c>
      <c r="AE42" s="28" t="n">
        <v>8586.180042689255</v>
      </c>
      <c r="AF42" s="28" t="n">
        <v>2092.506759681143</v>
      </c>
      <c r="AG42" s="28" t="n">
        <v>1292.859196393279</v>
      </c>
      <c r="AH42" s="28" t="n">
        <v>1137.970161815146</v>
      </c>
      <c r="AI42" s="28" t="n">
        <v>377.2048479671886</v>
      </c>
      <c r="AJ42" s="28" t="n">
        <v>262.1199215775737</v>
      </c>
      <c r="AK42" s="28" t="n">
        <v>4636.8484705292</v>
      </c>
      <c r="AL42" s="28" t="n">
        <v>10205.03108547443</v>
      </c>
      <c r="AM42" s="28" t="n">
        <v>1252.847001463915</v>
      </c>
      <c r="AN42" s="28" t="n">
        <v>1213.597995191635</v>
      </c>
      <c r="AO42" s="28" t="n">
        <v>1089.157403487982</v>
      </c>
      <c r="AP42" s="28" t="n">
        <v>102.7070670873938</v>
      </c>
      <c r="AQ42" s="28" t="n">
        <v>403.1816501335926</v>
      </c>
      <c r="AR42" s="28" t="n">
        <v>341.0680690589379</v>
      </c>
      <c r="AS42" s="28" t="n">
        <v>82.10016303300915</v>
      </c>
      <c r="AT42" s="28" t="n">
        <v>856.7189922151885</v>
      </c>
      <c r="AU42" s="28" t="n">
        <v>18.37497318706191</v>
      </c>
      <c r="AV42" s="28" t="n">
        <v>328.4888270690268</v>
      </c>
      <c r="AW42" s="28" t="n">
        <v>1260.998603835747</v>
      </c>
      <c r="AX42" s="28" t="n">
        <v>0</v>
      </c>
      <c r="AY42" s="28" t="n">
        <v>99.12546852356249</v>
      </c>
      <c r="AZ42" s="28" t="n">
        <v>106.9139800020276</v>
      </c>
      <c r="BA42" s="28" t="n">
        <v>171.8062289728975</v>
      </c>
      <c r="BB42" s="28">
        <f>SUM(C42:BA42)</f>
        <v/>
      </c>
      <c r="BC42" s="28" t="n">
        <v>0</v>
      </c>
      <c r="BD42" s="28" t="n">
        <v>0</v>
      </c>
      <c r="BE42" s="28" t="n">
        <v>26063.15116302371</v>
      </c>
      <c r="BF42" s="28" t="n">
        <v>0</v>
      </c>
      <c r="BG42" s="28">
        <f>SUM(BC42:BF42)</f>
        <v/>
      </c>
      <c r="BH42" s="28">
        <f>BB42+BG42</f>
        <v/>
      </c>
    </row>
    <row r="43">
      <c r="A43" s="30" t="n">
        <v>30</v>
      </c>
      <c r="B43" s="31" t="inlineStr">
        <is>
          <t>Máquinas para escritório aparelhos e e material eletronico</t>
        </is>
      </c>
      <c r="C43" s="30" t="n">
        <v>8.079313202363407</v>
      </c>
      <c r="D43" s="30" t="n">
        <v>8.427022984301342</v>
      </c>
      <c r="E43" s="30" t="n">
        <v>394.4278988679546</v>
      </c>
      <c r="F43" s="30" t="n">
        <v>38.0322296145253</v>
      </c>
      <c r="G43" s="30" t="n">
        <v>99.11463815485328</v>
      </c>
      <c r="H43" s="30" t="n">
        <v>227.4990333318604</v>
      </c>
      <c r="I43" s="30" t="n">
        <v>4.480741564183187</v>
      </c>
      <c r="J43" s="30" t="n">
        <v>17.73751684329093</v>
      </c>
      <c r="K43" s="30" t="n">
        <v>14.91962132549762</v>
      </c>
      <c r="L43" s="30" t="n">
        <v>10.10005896971077</v>
      </c>
      <c r="M43" s="30" t="n">
        <v>14.32875830424538</v>
      </c>
      <c r="N43" s="30" t="n">
        <v>44.34015540651367</v>
      </c>
      <c r="O43" s="30" t="n">
        <v>502.0164514139791</v>
      </c>
      <c r="P43" s="30" t="n">
        <v>21.33192471838469</v>
      </c>
      <c r="Q43" s="30" t="n">
        <v>9.275980607097802</v>
      </c>
      <c r="R43" s="30" t="n">
        <v>25.97556795134432</v>
      </c>
      <c r="S43" s="30" t="n">
        <v>20.44904816313068</v>
      </c>
      <c r="T43" s="30" t="n">
        <v>74.92971252381676</v>
      </c>
      <c r="U43" s="30" t="n">
        <v>13.24403140438208</v>
      </c>
      <c r="V43" s="30" t="n">
        <v>43.31457103327593</v>
      </c>
      <c r="W43" s="30" t="n">
        <v>29.26759887781797</v>
      </c>
      <c r="X43" s="30" t="n">
        <v>69.09179600936639</v>
      </c>
      <c r="Y43" s="30" t="n">
        <v>68.67328726336282</v>
      </c>
      <c r="Z43" s="30" t="n">
        <v>43.25243669470132</v>
      </c>
      <c r="AA43" s="30" t="n">
        <v>74.75606696246224</v>
      </c>
      <c r="AB43" s="30" t="n">
        <v>23.21467855651188</v>
      </c>
      <c r="AC43" s="30" t="n">
        <v>29.28007015683558</v>
      </c>
      <c r="AD43" s="30" t="n">
        <v>1552.656997958141</v>
      </c>
      <c r="AE43" s="30" t="n">
        <v>775.1958088878068</v>
      </c>
      <c r="AF43" s="30" t="n">
        <v>28424.4270714972</v>
      </c>
      <c r="AG43" s="30" t="n">
        <v>533.22983355409</v>
      </c>
      <c r="AH43" s="30" t="n">
        <v>263.7553295487761</v>
      </c>
      <c r="AI43" s="30" t="n">
        <v>105.0412007242951</v>
      </c>
      <c r="AJ43" s="30" t="n">
        <v>85.87598656267372</v>
      </c>
      <c r="AK43" s="30" t="n">
        <v>306.9725206336544</v>
      </c>
      <c r="AL43" s="30" t="n">
        <v>954.9273956101563</v>
      </c>
      <c r="AM43" s="30" t="n">
        <v>573.4287388977874</v>
      </c>
      <c r="AN43" s="30" t="n">
        <v>363.3695932150783</v>
      </c>
      <c r="AO43" s="30" t="n">
        <v>3692.816077065546</v>
      </c>
      <c r="AP43" s="30" t="n">
        <v>701.5028676126083</v>
      </c>
      <c r="AQ43" s="30" t="n">
        <v>23.73328408710622</v>
      </c>
      <c r="AR43" s="30" t="n">
        <v>1088.831172359495</v>
      </c>
      <c r="AS43" s="30" t="n">
        <v>26.48038182767632</v>
      </c>
      <c r="AT43" s="30" t="n">
        <v>3854.337475885482</v>
      </c>
      <c r="AU43" s="30" t="n">
        <v>190.388000270022</v>
      </c>
      <c r="AV43" s="30" t="n">
        <v>9572.907636342014</v>
      </c>
      <c r="AW43" s="30" t="n">
        <v>430.7196504952544</v>
      </c>
      <c r="AX43" s="30" t="n">
        <v>0</v>
      </c>
      <c r="AY43" s="30" t="n">
        <v>1798.403552702076</v>
      </c>
      <c r="AZ43" s="30" t="n">
        <v>2625.342203878403</v>
      </c>
      <c r="BA43" s="30" t="n">
        <v>964.8613541778941</v>
      </c>
      <c r="BB43" s="30">
        <f>SUM(C43:BA43)</f>
        <v/>
      </c>
      <c r="BC43" s="30" t="n">
        <v>0</v>
      </c>
      <c r="BD43" s="30" t="n">
        <v>0</v>
      </c>
      <c r="BE43" s="30" t="n">
        <v>37024.93024581926</v>
      </c>
      <c r="BF43" s="30" t="n">
        <v>0</v>
      </c>
      <c r="BG43" s="30">
        <f>SUM(BC43:BF43)</f>
        <v/>
      </c>
      <c r="BH43" s="30">
        <f>BB43+BG43</f>
        <v/>
      </c>
    </row>
    <row r="44">
      <c r="A44" s="28" t="n">
        <v>31</v>
      </c>
      <c r="B44" s="29" t="inlineStr">
        <is>
          <t>Automóveis camionetas caminhões e ônibus</t>
        </is>
      </c>
      <c r="C44" s="28" t="n">
        <v>5.975814797917652</v>
      </c>
      <c r="D44" s="28" t="n">
        <v>4.129363023631051</v>
      </c>
      <c r="E44" s="28" t="n">
        <v>84.36437483651774</v>
      </c>
      <c r="F44" s="28" t="n">
        <v>20.53737302271318</v>
      </c>
      <c r="G44" s="28" t="n">
        <v>15.34326143874456</v>
      </c>
      <c r="H44" s="28" t="n">
        <v>181.8266310246844</v>
      </c>
      <c r="I44" s="28" t="n">
        <v>7.390647990085286</v>
      </c>
      <c r="J44" s="28" t="n">
        <v>11.68145714445447</v>
      </c>
      <c r="K44" s="28" t="n">
        <v>16.66476534349329</v>
      </c>
      <c r="L44" s="28" t="n">
        <v>9.148397388856534</v>
      </c>
      <c r="M44" s="28" t="n">
        <v>3.534402358627461</v>
      </c>
      <c r="N44" s="28" t="n">
        <v>21.75834274196043</v>
      </c>
      <c r="O44" s="28" t="n">
        <v>5.661557723448764</v>
      </c>
      <c r="P44" s="28" t="n">
        <v>19.40665454023259</v>
      </c>
      <c r="Q44" s="28" t="n">
        <v>5.062141640995244</v>
      </c>
      <c r="R44" s="28" t="n">
        <v>17.7428425987674</v>
      </c>
      <c r="S44" s="28" t="n">
        <v>5.222076267888301</v>
      </c>
      <c r="T44" s="28" t="n">
        <v>30.7983497198846</v>
      </c>
      <c r="U44" s="28" t="n">
        <v>9.517697057574008</v>
      </c>
      <c r="V44" s="28" t="n">
        <v>12.9421780227705</v>
      </c>
      <c r="W44" s="28" t="n">
        <v>8.228110528164493</v>
      </c>
      <c r="X44" s="28" t="n">
        <v>24.4852016735941</v>
      </c>
      <c r="Y44" s="28" t="n">
        <v>17.21607100407638</v>
      </c>
      <c r="Z44" s="28" t="n">
        <v>23.8699048445368</v>
      </c>
      <c r="AA44" s="28" t="n">
        <v>34.9784918639883</v>
      </c>
      <c r="AB44" s="28" t="n">
        <v>11.50574535235489</v>
      </c>
      <c r="AC44" s="28" t="n">
        <v>17.23377549661224</v>
      </c>
      <c r="AD44" s="28" t="n">
        <v>191.4353995039062</v>
      </c>
      <c r="AE44" s="28" t="n">
        <v>137.2587569677691</v>
      </c>
      <c r="AF44" s="28" t="n">
        <v>67.78113652308043</v>
      </c>
      <c r="AG44" s="28" t="n">
        <v>5539.086815752255</v>
      </c>
      <c r="AH44" s="28" t="n">
        <v>153.2311855317516</v>
      </c>
      <c r="AI44" s="28" t="n">
        <v>87.78084530272113</v>
      </c>
      <c r="AJ44" s="28" t="n">
        <v>11.1595219743667</v>
      </c>
      <c r="AK44" s="28" t="n">
        <v>118.9739075199542</v>
      </c>
      <c r="AL44" s="28" t="n">
        <v>247.706690198437</v>
      </c>
      <c r="AM44" s="28" t="n">
        <v>649.8346736087005</v>
      </c>
      <c r="AN44" s="28" t="n">
        <v>726.7740427644889</v>
      </c>
      <c r="AO44" s="28" t="n">
        <v>177.6445860119881</v>
      </c>
      <c r="AP44" s="28" t="n">
        <v>165.8577044337498</v>
      </c>
      <c r="AQ44" s="28" t="n">
        <v>17.15874459389003</v>
      </c>
      <c r="AR44" s="28" t="n">
        <v>2.237033371173801</v>
      </c>
      <c r="AS44" s="28" t="n">
        <v>17.9079715787188</v>
      </c>
      <c r="AT44" s="28" t="n">
        <v>212.2244550912945</v>
      </c>
      <c r="AU44" s="28" t="n">
        <v>28.40552956681918</v>
      </c>
      <c r="AV44" s="28" t="n">
        <v>12.7083758003138</v>
      </c>
      <c r="AW44" s="28" t="n">
        <v>77.53611665063397</v>
      </c>
      <c r="AX44" s="28" t="n">
        <v>0</v>
      </c>
      <c r="AY44" s="28" t="n">
        <v>35.51691110563425</v>
      </c>
      <c r="AZ44" s="28" t="n">
        <v>37.78939420938931</v>
      </c>
      <c r="BA44" s="28" t="n">
        <v>149.7189357185593</v>
      </c>
      <c r="BB44" s="28">
        <f>SUM(C44:BA44)</f>
        <v/>
      </c>
      <c r="BC44" s="28" t="n">
        <v>0</v>
      </c>
      <c r="BD44" s="28" t="n">
        <v>0</v>
      </c>
      <c r="BE44" s="28" t="n">
        <v>114046.8221400001</v>
      </c>
      <c r="BF44" s="28" t="n">
        <v>0</v>
      </c>
      <c r="BG44" s="28">
        <f>SUM(BC44:BF44)</f>
        <v/>
      </c>
      <c r="BH44" s="28">
        <f>BB44+BG44</f>
        <v/>
      </c>
    </row>
    <row r="45">
      <c r="A45" s="30" t="n">
        <v>32</v>
      </c>
      <c r="B45" s="31" t="inlineStr">
        <is>
          <t>Peças e acessórios para veículos automotores</t>
        </is>
      </c>
      <c r="C45" s="30" t="n">
        <v>18.74002996873866</v>
      </c>
      <c r="D45" s="30" t="n">
        <v>19.27502809373792</v>
      </c>
      <c r="E45" s="30" t="n">
        <v>142.4893591625276</v>
      </c>
      <c r="F45" s="30" t="n">
        <v>66.61548577190217</v>
      </c>
      <c r="G45" s="30" t="n">
        <v>56.08369883149693</v>
      </c>
      <c r="H45" s="30" t="n">
        <v>239.483503040397</v>
      </c>
      <c r="I45" s="30" t="n">
        <v>2.707803612233465</v>
      </c>
      <c r="J45" s="30" t="n">
        <v>16.60309670190184</v>
      </c>
      <c r="K45" s="30" t="n">
        <v>25.59633584419976</v>
      </c>
      <c r="L45" s="30" t="n">
        <v>19.78633234293137</v>
      </c>
      <c r="M45" s="30" t="n">
        <v>11.70685798993853</v>
      </c>
      <c r="N45" s="30" t="n">
        <v>39.89931840182065</v>
      </c>
      <c r="O45" s="30" t="n">
        <v>35.90598160842799</v>
      </c>
      <c r="P45" s="30" t="n">
        <v>16.5056310329737</v>
      </c>
      <c r="Q45" s="30" t="n">
        <v>10.99770052226344</v>
      </c>
      <c r="R45" s="30" t="n">
        <v>66.25211041816407</v>
      </c>
      <c r="S45" s="30" t="n">
        <v>9.296040631950415</v>
      </c>
      <c r="T45" s="30" t="n">
        <v>22.56444751588455</v>
      </c>
      <c r="U45" s="30" t="n">
        <v>7.771284457915923</v>
      </c>
      <c r="V45" s="30" t="n">
        <v>29.90111752124451</v>
      </c>
      <c r="W45" s="30" t="n">
        <v>18.38451026451695</v>
      </c>
      <c r="X45" s="30" t="n">
        <v>11.65685227835874</v>
      </c>
      <c r="Y45" s="30" t="n">
        <v>132.023573351543</v>
      </c>
      <c r="Z45" s="30" t="n">
        <v>126.402290165919</v>
      </c>
      <c r="AA45" s="30" t="n">
        <v>184.9543119510548</v>
      </c>
      <c r="AB45" s="30" t="n">
        <v>88.2529405901743</v>
      </c>
      <c r="AC45" s="30" t="n">
        <v>156.9920213834751</v>
      </c>
      <c r="AD45" s="30" t="n">
        <v>785.5431521029715</v>
      </c>
      <c r="AE45" s="30" t="n">
        <v>284.094955079175</v>
      </c>
      <c r="AF45" s="30" t="n">
        <v>218.0949430562225</v>
      </c>
      <c r="AG45" s="30" t="n">
        <v>40800.76483842122</v>
      </c>
      <c r="AH45" s="30" t="n">
        <v>10224.39894319405</v>
      </c>
      <c r="AI45" s="30" t="n">
        <v>150.7878802818745</v>
      </c>
      <c r="AJ45" s="30" t="n">
        <v>49.00582068681739</v>
      </c>
      <c r="AK45" s="30" t="n">
        <v>126.6508918555224</v>
      </c>
      <c r="AL45" s="30" t="n">
        <v>826.0905745715172</v>
      </c>
      <c r="AM45" s="30" t="n">
        <v>12982.30145309151</v>
      </c>
      <c r="AN45" s="30" t="n">
        <v>9626.436582986809</v>
      </c>
      <c r="AO45" s="30" t="n">
        <v>100.7146667001047</v>
      </c>
      <c r="AP45" s="30" t="n">
        <v>69.73152747456081</v>
      </c>
      <c r="AQ45" s="30" t="n">
        <v>22.95826003376651</v>
      </c>
      <c r="AR45" s="30" t="n">
        <v>7.38938374366124</v>
      </c>
      <c r="AS45" s="30" t="n">
        <v>43.48316571590453</v>
      </c>
      <c r="AT45" s="30" t="n">
        <v>331.3999581169548</v>
      </c>
      <c r="AU45" s="30" t="n">
        <v>17.20529889685155</v>
      </c>
      <c r="AV45" s="30" t="n">
        <v>307.0033174720458</v>
      </c>
      <c r="AW45" s="30" t="n">
        <v>78.29576132167726</v>
      </c>
      <c r="AX45" s="30" t="n">
        <v>0</v>
      </c>
      <c r="AY45" s="30" t="n">
        <v>261.9500519978205</v>
      </c>
      <c r="AZ45" s="30" t="n">
        <v>215.9145715886343</v>
      </c>
      <c r="BA45" s="30" t="n">
        <v>1090.957919268343</v>
      </c>
      <c r="BB45" s="30">
        <f>SUM(C45:BA45)</f>
        <v/>
      </c>
      <c r="BC45" s="30" t="n">
        <v>0</v>
      </c>
      <c r="BD45" s="30" t="n">
        <v>0</v>
      </c>
      <c r="BE45" s="30" t="n">
        <v>8360.519666257142</v>
      </c>
      <c r="BF45" s="30" t="n">
        <v>0</v>
      </c>
      <c r="BG45" s="30">
        <f>SUM(BC45:BF45)</f>
        <v/>
      </c>
      <c r="BH45" s="30">
        <f>BB45+BG45</f>
        <v/>
      </c>
    </row>
    <row r="46">
      <c r="A46" s="28" t="n">
        <v>33</v>
      </c>
      <c r="B46" s="29" t="inlineStr">
        <is>
          <t>Outros equipamentos de transporte</t>
        </is>
      </c>
      <c r="C46" s="28" t="n">
        <v>2.199583032362052</v>
      </c>
      <c r="D46" s="28" t="n">
        <v>1.455692244588045</v>
      </c>
      <c r="E46" s="28" t="n">
        <v>36.86027222922765</v>
      </c>
      <c r="F46" s="28" t="n">
        <v>13.39029763316003</v>
      </c>
      <c r="G46" s="28" t="n">
        <v>8.386734187158186</v>
      </c>
      <c r="H46" s="28" t="n">
        <v>45.53347467828743</v>
      </c>
      <c r="I46" s="28" t="n">
        <v>2.237755350341876</v>
      </c>
      <c r="J46" s="28" t="n">
        <v>2.407878700320803</v>
      </c>
      <c r="K46" s="28" t="n">
        <v>14.13344261832612</v>
      </c>
      <c r="L46" s="28" t="n">
        <v>5.723942281776008</v>
      </c>
      <c r="M46" s="28" t="n">
        <v>1.873235733733678</v>
      </c>
      <c r="N46" s="28" t="n">
        <v>9.132097600155328</v>
      </c>
      <c r="O46" s="28" t="n">
        <v>3.722213085128796</v>
      </c>
      <c r="P46" s="28" t="n">
        <v>6.926759405164336</v>
      </c>
      <c r="Q46" s="28" t="n">
        <v>2.215972296508576</v>
      </c>
      <c r="R46" s="28" t="n">
        <v>6.972254317630835</v>
      </c>
      <c r="S46" s="28" t="n">
        <v>2.072248889430104</v>
      </c>
      <c r="T46" s="28" t="n">
        <v>10.23040091379118</v>
      </c>
      <c r="U46" s="28" t="n">
        <v>3.408196426508491</v>
      </c>
      <c r="V46" s="28" t="n">
        <v>5.165534323764311</v>
      </c>
      <c r="W46" s="28" t="n">
        <v>3.44249981616819</v>
      </c>
      <c r="X46" s="28" t="n">
        <v>2.098196428559438</v>
      </c>
      <c r="Y46" s="28" t="n">
        <v>11.59607652015132</v>
      </c>
      <c r="Z46" s="28" t="n">
        <v>11.41352043504358</v>
      </c>
      <c r="AA46" s="28" t="n">
        <v>24.71989570970811</v>
      </c>
      <c r="AB46" s="28" t="n">
        <v>6.051466548273631</v>
      </c>
      <c r="AC46" s="28" t="n">
        <v>13.62144680265997</v>
      </c>
      <c r="AD46" s="28" t="n">
        <v>1394.296902293625</v>
      </c>
      <c r="AE46" s="28" t="n">
        <v>13.8512153338997</v>
      </c>
      <c r="AF46" s="28" t="n">
        <v>9.225380231946291</v>
      </c>
      <c r="AG46" s="28" t="n">
        <v>74.14196505911552</v>
      </c>
      <c r="AH46" s="28" t="n">
        <v>24.45388521308522</v>
      </c>
      <c r="AI46" s="28" t="n">
        <v>12822.2391271868</v>
      </c>
      <c r="AJ46" s="28" t="n">
        <v>18.18386218332363</v>
      </c>
      <c r="AK46" s="28" t="n">
        <v>21.73854708189875</v>
      </c>
      <c r="AL46" s="28" t="n">
        <v>70.75502865047477</v>
      </c>
      <c r="AM46" s="28" t="n">
        <v>247.1302532066068</v>
      </c>
      <c r="AN46" s="28" t="n">
        <v>1111.695243889364</v>
      </c>
      <c r="AO46" s="28" t="n">
        <v>55.02992073174457</v>
      </c>
      <c r="AP46" s="28" t="n">
        <v>56.11948491822869</v>
      </c>
      <c r="AQ46" s="28" t="n">
        <v>5.535340999890931</v>
      </c>
      <c r="AR46" s="28" t="n">
        <v>71.05836545088627</v>
      </c>
      <c r="AS46" s="28" t="n">
        <v>10.14611992969845</v>
      </c>
      <c r="AT46" s="28" t="n">
        <v>69.02831757831885</v>
      </c>
      <c r="AU46" s="28" t="n">
        <v>10.44220979885882</v>
      </c>
      <c r="AV46" s="28" t="n">
        <v>5.622297294659901</v>
      </c>
      <c r="AW46" s="28" t="n">
        <v>27.33706022713097</v>
      </c>
      <c r="AX46" s="28" t="n">
        <v>0</v>
      </c>
      <c r="AY46" s="28" t="n">
        <v>13.20561041849956</v>
      </c>
      <c r="AZ46" s="28" t="n">
        <v>14.2334646604846</v>
      </c>
      <c r="BA46" s="28" t="n">
        <v>268.8177371893584</v>
      </c>
      <c r="BB46" s="28">
        <f>SUM(C46:BA46)</f>
        <v/>
      </c>
      <c r="BC46" s="28" t="n">
        <v>0</v>
      </c>
      <c r="BD46" s="28" t="n">
        <v>0</v>
      </c>
      <c r="BE46" s="28" t="n">
        <v>23228.4479877527</v>
      </c>
      <c r="BF46" s="28" t="n">
        <v>0</v>
      </c>
      <c r="BG46" s="28">
        <f>SUM(BC46:BF46)</f>
        <v/>
      </c>
      <c r="BH46" s="28">
        <f>BB46+BG46</f>
        <v/>
      </c>
    </row>
    <row r="47">
      <c r="A47" s="30" t="n">
        <v>34</v>
      </c>
      <c r="B47" s="31" t="inlineStr">
        <is>
          <t>Móveis e produtos das indústrias diversas</t>
        </is>
      </c>
      <c r="C47" s="30" t="n">
        <v>29.9038164969699</v>
      </c>
      <c r="D47" s="30" t="n">
        <v>19.63931009664987</v>
      </c>
      <c r="E47" s="30" t="n">
        <v>75.29996388137553</v>
      </c>
      <c r="F47" s="30" t="n">
        <v>36.85490513347231</v>
      </c>
      <c r="G47" s="30" t="n">
        <v>14.43588062623908</v>
      </c>
      <c r="H47" s="30" t="n">
        <v>205.1024028109758</v>
      </c>
      <c r="I47" s="30" t="n">
        <v>0.8491955337263408</v>
      </c>
      <c r="J47" s="30" t="n">
        <v>60.60479899213169</v>
      </c>
      <c r="K47" s="30" t="n">
        <v>1991.25015737471</v>
      </c>
      <c r="L47" s="30" t="n">
        <v>388.0273170323649</v>
      </c>
      <c r="M47" s="30" t="n">
        <v>26.00403761971428</v>
      </c>
      <c r="N47" s="30" t="n">
        <v>22.95063332204212</v>
      </c>
      <c r="O47" s="30" t="n">
        <v>17.08340208800059</v>
      </c>
      <c r="P47" s="30" t="n">
        <v>8.524648257981074</v>
      </c>
      <c r="Q47" s="30" t="n">
        <v>3.637322782368087</v>
      </c>
      <c r="R47" s="30" t="n">
        <v>94.2751793963134</v>
      </c>
      <c r="S47" s="30" t="n">
        <v>37.04795417366591</v>
      </c>
      <c r="T47" s="30" t="n">
        <v>30.43528702663536</v>
      </c>
      <c r="U47" s="30" t="n">
        <v>49.79683604862475</v>
      </c>
      <c r="V47" s="30" t="n">
        <v>26.15290474857307</v>
      </c>
      <c r="W47" s="30" t="n">
        <v>11.50533953963174</v>
      </c>
      <c r="X47" s="30" t="n">
        <v>6.264195105504285</v>
      </c>
      <c r="Y47" s="30" t="n">
        <v>148.5721318565584</v>
      </c>
      <c r="Z47" s="30" t="n">
        <v>189.6435796550634</v>
      </c>
      <c r="AA47" s="30" t="n">
        <v>36.22074226529405</v>
      </c>
      <c r="AB47" s="30" t="n">
        <v>7.982299619829065</v>
      </c>
      <c r="AC47" s="30" t="n">
        <v>52.15543738975268</v>
      </c>
      <c r="AD47" s="30" t="n">
        <v>781.53313191813</v>
      </c>
      <c r="AE47" s="30" t="n">
        <v>49.59105085028826</v>
      </c>
      <c r="AF47" s="30" t="n">
        <v>47.50136739437043</v>
      </c>
      <c r="AG47" s="30" t="n">
        <v>500.8596095448426</v>
      </c>
      <c r="AH47" s="30" t="n">
        <v>589.8974156094905</v>
      </c>
      <c r="AI47" s="30" t="n">
        <v>103.9456425753078</v>
      </c>
      <c r="AJ47" s="30" t="n">
        <v>2418.580183256466</v>
      </c>
      <c r="AK47" s="30" t="n">
        <v>130.5471044467429</v>
      </c>
      <c r="AL47" s="30" t="n">
        <v>1287.310410941956</v>
      </c>
      <c r="AM47" s="30" t="n">
        <v>550.149314723712</v>
      </c>
      <c r="AN47" s="30" t="n">
        <v>451.0098217965123</v>
      </c>
      <c r="AO47" s="30" t="n">
        <v>181.7969287974955</v>
      </c>
      <c r="AP47" s="30" t="n">
        <v>297.7909423254049</v>
      </c>
      <c r="AQ47" s="30" t="n">
        <v>140.5051466695641</v>
      </c>
      <c r="AR47" s="30" t="n">
        <v>7.577565531363126</v>
      </c>
      <c r="AS47" s="30" t="n">
        <v>29.96209476041246</v>
      </c>
      <c r="AT47" s="30" t="n">
        <v>1782.839598672466</v>
      </c>
      <c r="AU47" s="30" t="n">
        <v>36.27026915543517</v>
      </c>
      <c r="AV47" s="30" t="n">
        <v>130.7081471604131</v>
      </c>
      <c r="AW47" s="30" t="n">
        <v>500.664060696078</v>
      </c>
      <c r="AX47" s="30" t="n">
        <v>0</v>
      </c>
      <c r="AY47" s="30" t="n">
        <v>231.5300015559103</v>
      </c>
      <c r="AZ47" s="30" t="n">
        <v>251.1476727554875</v>
      </c>
      <c r="BA47" s="30" t="n">
        <v>505.2525179541686</v>
      </c>
      <c r="BB47" s="30">
        <f>SUM(C47:BA47)</f>
        <v/>
      </c>
      <c r="BC47" s="30" t="n">
        <v>0</v>
      </c>
      <c r="BD47" s="30" t="n">
        <v>0</v>
      </c>
      <c r="BE47" s="30" t="n">
        <v>30985.75541869025</v>
      </c>
      <c r="BF47" s="30" t="n">
        <v>0</v>
      </c>
      <c r="BG47" s="30">
        <f>SUM(BC47:BF47)</f>
        <v/>
      </c>
      <c r="BH47" s="30">
        <f>BB47+BG47</f>
        <v/>
      </c>
    </row>
    <row r="48">
      <c r="A48" s="28" t="n">
        <v>35</v>
      </c>
      <c r="B48" s="29" t="inlineStr">
        <is>
          <t>Produção e distribuição de eletricidade gás água esgoto e limpeza urbana</t>
        </is>
      </c>
      <c r="C48" s="28" t="n">
        <v>4481.765642035441</v>
      </c>
      <c r="D48" s="28" t="n">
        <v>3120.823800556387</v>
      </c>
      <c r="E48" s="28" t="n">
        <v>216.6279166338923</v>
      </c>
      <c r="F48" s="28" t="n">
        <v>648.2684023048461</v>
      </c>
      <c r="G48" s="28" t="n">
        <v>809.3365224511058</v>
      </c>
      <c r="H48" s="28" t="n">
        <v>3656.274667170193</v>
      </c>
      <c r="I48" s="28" t="n">
        <v>59.06482370210525</v>
      </c>
      <c r="J48" s="28" t="n">
        <v>1448.501574313128</v>
      </c>
      <c r="K48" s="28" t="n">
        <v>174.2828333699197</v>
      </c>
      <c r="L48" s="28" t="n">
        <v>215.1426617104477</v>
      </c>
      <c r="M48" s="28" t="n">
        <v>530.6889460188075</v>
      </c>
      <c r="N48" s="28" t="n">
        <v>1842.749327218949</v>
      </c>
      <c r="O48" s="28" t="n">
        <v>129.5420138489985</v>
      </c>
      <c r="P48" s="28" t="n">
        <v>238.7701678344152</v>
      </c>
      <c r="Q48" s="28" t="n">
        <v>111.5888763907062</v>
      </c>
      <c r="R48" s="28" t="n">
        <v>2168.22732317736</v>
      </c>
      <c r="S48" s="28" t="n">
        <v>1248.213832335738</v>
      </c>
      <c r="T48" s="28" t="n">
        <v>233.0744083148387</v>
      </c>
      <c r="U48" s="28" t="n">
        <v>180.6512952295327</v>
      </c>
      <c r="V48" s="28" t="n">
        <v>228.084716073049</v>
      </c>
      <c r="W48" s="28" t="n">
        <v>113.5662999486325</v>
      </c>
      <c r="X48" s="28" t="n">
        <v>317.3655090020026</v>
      </c>
      <c r="Y48" s="28" t="n">
        <v>1686.192830398244</v>
      </c>
      <c r="Z48" s="28" t="n">
        <v>2986.321121354958</v>
      </c>
      <c r="AA48" s="28" t="n">
        <v>5515.735915835323</v>
      </c>
      <c r="AB48" s="28" t="n">
        <v>2808.863245068337</v>
      </c>
      <c r="AC48" s="28" t="n">
        <v>785.8120101459838</v>
      </c>
      <c r="AD48" s="28" t="n">
        <v>560.0926717142072</v>
      </c>
      <c r="AE48" s="28" t="n">
        <v>487.0501853433696</v>
      </c>
      <c r="AF48" s="28" t="n">
        <v>170.1938455367398</v>
      </c>
      <c r="AG48" s="28" t="n">
        <v>474.4403315892324</v>
      </c>
      <c r="AH48" s="28" t="n">
        <v>1096.895673455202</v>
      </c>
      <c r="AI48" s="28" t="n">
        <v>285.917254619844</v>
      </c>
      <c r="AJ48" s="28" t="n">
        <v>247.7510983681694</v>
      </c>
      <c r="AK48" s="28" t="n">
        <v>41420.60801831938</v>
      </c>
      <c r="AL48" s="28" t="n">
        <v>604.6627992383394</v>
      </c>
      <c r="AM48" s="28" t="n">
        <v>12558.83465455315</v>
      </c>
      <c r="AN48" s="28" t="n">
        <v>2191.753807139213</v>
      </c>
      <c r="AO48" s="28" t="n">
        <v>2309.148337330339</v>
      </c>
      <c r="AP48" s="28" t="n">
        <v>1775.809084421611</v>
      </c>
      <c r="AQ48" s="28" t="n">
        <v>427.9265637328754</v>
      </c>
      <c r="AR48" s="28" t="n">
        <v>153.512603941642</v>
      </c>
      <c r="AS48" s="28" t="n">
        <v>2349.793095321481</v>
      </c>
      <c r="AT48" s="28" t="n">
        <v>1940.293648355309</v>
      </c>
      <c r="AU48" s="28" t="n">
        <v>1506.779075107907</v>
      </c>
      <c r="AV48" s="28" t="n">
        <v>2016.499526340137</v>
      </c>
      <c r="AW48" s="28" t="n">
        <v>9735.768313175377</v>
      </c>
      <c r="AX48" s="28" t="n">
        <v>0</v>
      </c>
      <c r="AY48" s="28" t="n">
        <v>2069.940593060053</v>
      </c>
      <c r="AZ48" s="28" t="n">
        <v>1620.505487242554</v>
      </c>
      <c r="BA48" s="28" t="n">
        <v>9310.764937672042</v>
      </c>
      <c r="BB48" s="28">
        <f>SUM(C48:BA48)</f>
        <v/>
      </c>
      <c r="BC48" s="28" t="n">
        <v>0</v>
      </c>
      <c r="BD48" s="28" t="n">
        <v>0</v>
      </c>
      <c r="BE48" s="28" t="n">
        <v>58914.82355006042</v>
      </c>
      <c r="BF48" s="28" t="n">
        <v>0</v>
      </c>
      <c r="BG48" s="28">
        <f>SUM(BC48:BF48)</f>
        <v/>
      </c>
      <c r="BH48" s="28">
        <f>BB48+BG48</f>
        <v/>
      </c>
    </row>
    <row r="49">
      <c r="A49" s="30" t="n">
        <v>36</v>
      </c>
      <c r="B49" s="31" t="inlineStr">
        <is>
          <t>Construção civil</t>
        </is>
      </c>
      <c r="C49" s="30" t="n">
        <v>45.46227948105629</v>
      </c>
      <c r="D49" s="30" t="n">
        <v>111.5737126191586</v>
      </c>
      <c r="E49" s="30" t="n">
        <v>1821.884296718812</v>
      </c>
      <c r="F49" s="30" t="n">
        <v>698.9177689831791</v>
      </c>
      <c r="G49" s="30" t="n">
        <v>196.5743970089301</v>
      </c>
      <c r="H49" s="30" t="n">
        <v>37.31827170516033</v>
      </c>
      <c r="I49" s="30" t="n">
        <v>1.550811033097309</v>
      </c>
      <c r="J49" s="30" t="n">
        <v>27.18931537961712</v>
      </c>
      <c r="K49" s="30" t="n">
        <v>5.696320103403373</v>
      </c>
      <c r="L49" s="30" t="n">
        <v>2.047702534382729</v>
      </c>
      <c r="M49" s="30" t="n">
        <v>0.6352448326021539</v>
      </c>
      <c r="N49" s="30" t="n">
        <v>17.6019716873109</v>
      </c>
      <c r="O49" s="30" t="n">
        <v>14.92012192435111</v>
      </c>
      <c r="P49" s="30" t="n">
        <v>15.61669607438977</v>
      </c>
      <c r="Q49" s="30" t="n">
        <v>20.36671466475677</v>
      </c>
      <c r="R49" s="30" t="n">
        <v>50.64459268702792</v>
      </c>
      <c r="S49" s="30" t="n">
        <v>0.9833024725034816</v>
      </c>
      <c r="T49" s="30" t="n">
        <v>7.145731996580023</v>
      </c>
      <c r="U49" s="30" t="n">
        <v>2.631678270553449</v>
      </c>
      <c r="V49" s="30" t="n">
        <v>3.748628488805752</v>
      </c>
      <c r="W49" s="30" t="n">
        <v>2.201767734649767</v>
      </c>
      <c r="X49" s="30" t="n">
        <v>1.168592584849539</v>
      </c>
      <c r="Y49" s="30" t="n">
        <v>6.244337771013027</v>
      </c>
      <c r="Z49" s="30" t="n">
        <v>21.44811717743872</v>
      </c>
      <c r="AA49" s="30" t="n">
        <v>98.08169445591112</v>
      </c>
      <c r="AB49" s="30" t="n">
        <v>779.9303835232022</v>
      </c>
      <c r="AC49" s="30" t="n">
        <v>32.24128430732699</v>
      </c>
      <c r="AD49" s="30" t="n">
        <v>61.45177091082894</v>
      </c>
      <c r="AE49" s="30" t="n">
        <v>14.96212873549446</v>
      </c>
      <c r="AF49" s="30" t="n">
        <v>49.19242364711188</v>
      </c>
      <c r="AG49" s="30" t="n">
        <v>203.4429398403599</v>
      </c>
      <c r="AH49" s="30" t="n">
        <v>23.73898227394762</v>
      </c>
      <c r="AI49" s="30" t="n">
        <v>203.1562620435975</v>
      </c>
      <c r="AJ49" s="30" t="n">
        <v>12.34363261244151</v>
      </c>
      <c r="AK49" s="30" t="n">
        <v>3361.966039348617</v>
      </c>
      <c r="AL49" s="30" t="n">
        <v>39012.70002484796</v>
      </c>
      <c r="AM49" s="30" t="n">
        <v>1137.489721942011</v>
      </c>
      <c r="AN49" s="30" t="n">
        <v>1051.203782557295</v>
      </c>
      <c r="AO49" s="30" t="n">
        <v>3971.881480932634</v>
      </c>
      <c r="AP49" s="30" t="n">
        <v>1003.820713967556</v>
      </c>
      <c r="AQ49" s="30" t="n">
        <v>1021.746992569821</v>
      </c>
      <c r="AR49" s="30" t="n">
        <v>4.324879808746023</v>
      </c>
      <c r="AS49" s="30" t="n">
        <v>405.3938910089813</v>
      </c>
      <c r="AT49" s="30" t="n">
        <v>871.9355506772494</v>
      </c>
      <c r="AU49" s="30" t="n">
        <v>292.2967515912772</v>
      </c>
      <c r="AV49" s="30" t="n">
        <v>20.86636844830206</v>
      </c>
      <c r="AW49" s="30" t="n">
        <v>1952.342530604789</v>
      </c>
      <c r="AX49" s="30" t="n">
        <v>0</v>
      </c>
      <c r="AY49" s="30" t="n">
        <v>678.4824719316161</v>
      </c>
      <c r="AZ49" s="30" t="n">
        <v>1776.431161073327</v>
      </c>
      <c r="BA49" s="30" t="n">
        <v>7808.805226634266</v>
      </c>
      <c r="BB49" s="30">
        <f>SUM(C49:BA49)</f>
        <v/>
      </c>
      <c r="BC49" s="30" t="n">
        <v>0</v>
      </c>
      <c r="BD49" s="30" t="n">
        <v>0</v>
      </c>
      <c r="BE49" s="30" t="n">
        <v>298788.2797738015</v>
      </c>
      <c r="BF49" s="30" t="n">
        <v>0</v>
      </c>
      <c r="BG49" s="30">
        <f>SUM(BC49:BF49)</f>
        <v/>
      </c>
      <c r="BH49" s="30">
        <f>BB49+BG49</f>
        <v/>
      </c>
    </row>
    <row r="50">
      <c r="A50" s="28" t="n">
        <v>37</v>
      </c>
      <c r="B50" s="29" t="inlineStr">
        <is>
          <t>Comércio</t>
        </is>
      </c>
      <c r="C50" s="28" t="n">
        <v>503.5648661997236</v>
      </c>
      <c r="D50" s="28" t="n">
        <v>683.082978625204</v>
      </c>
      <c r="E50" s="28" t="n">
        <v>748.8990539819467</v>
      </c>
      <c r="F50" s="28" t="n">
        <v>602.7080469981615</v>
      </c>
      <c r="G50" s="28" t="n">
        <v>255.0947697887707</v>
      </c>
      <c r="H50" s="28" t="n">
        <v>9672.990467559146</v>
      </c>
      <c r="I50" s="28" t="n">
        <v>195.8196383371949</v>
      </c>
      <c r="J50" s="28" t="n">
        <v>651.9603422405289</v>
      </c>
      <c r="K50" s="28" t="n">
        <v>592.1645087548363</v>
      </c>
      <c r="L50" s="28" t="n">
        <v>626.5980761465757</v>
      </c>
      <c r="M50" s="28" t="n">
        <v>157.6686888280042</v>
      </c>
      <c r="N50" s="28" t="n">
        <v>1237.947837767038</v>
      </c>
      <c r="O50" s="28" t="n">
        <v>118.4787629464004</v>
      </c>
      <c r="P50" s="28" t="n">
        <v>1054.667393682272</v>
      </c>
      <c r="Q50" s="28" t="n">
        <v>481.4559148276219</v>
      </c>
      <c r="R50" s="28" t="n">
        <v>2062.27895292845</v>
      </c>
      <c r="S50" s="28" t="n">
        <v>363.3163521834158</v>
      </c>
      <c r="T50" s="28" t="n">
        <v>1149.534028790983</v>
      </c>
      <c r="U50" s="28" t="n">
        <v>287.4718334797008</v>
      </c>
      <c r="V50" s="28" t="n">
        <v>186.5054127222569</v>
      </c>
      <c r="W50" s="28" t="n">
        <v>262.7145841730204</v>
      </c>
      <c r="X50" s="28" t="n">
        <v>420.1908832794679</v>
      </c>
      <c r="Y50" s="28" t="n">
        <v>1240.7117459351</v>
      </c>
      <c r="Z50" s="28" t="n">
        <v>1353.488548053347</v>
      </c>
      <c r="AA50" s="28" t="n">
        <v>1517.035362930216</v>
      </c>
      <c r="AB50" s="28" t="n">
        <v>422.620498433489</v>
      </c>
      <c r="AC50" s="28" t="n">
        <v>871.3175796517344</v>
      </c>
      <c r="AD50" s="28" t="n">
        <v>3645.996060225316</v>
      </c>
      <c r="AE50" s="28" t="n">
        <v>931.2302941799799</v>
      </c>
      <c r="AF50" s="28" t="n">
        <v>1106.246291693799</v>
      </c>
      <c r="AG50" s="28" t="n">
        <v>737.5680333894525</v>
      </c>
      <c r="AH50" s="28" t="n">
        <v>217.9027196689297</v>
      </c>
      <c r="AI50" s="28" t="n">
        <v>201.6030180964623</v>
      </c>
      <c r="AJ50" s="28" t="n">
        <v>363.1925050824509</v>
      </c>
      <c r="AK50" s="28" t="n">
        <v>936.5212961337261</v>
      </c>
      <c r="AL50" s="28" t="n">
        <v>2355.03557606331</v>
      </c>
      <c r="AM50" s="28" t="n">
        <v>7158.669046869752</v>
      </c>
      <c r="AN50" s="28" t="n">
        <v>5988.987441971251</v>
      </c>
      <c r="AO50" s="28" t="n">
        <v>5430.851272514457</v>
      </c>
      <c r="AP50" s="28" t="n">
        <v>897.4200431348612</v>
      </c>
      <c r="AQ50" s="28" t="n">
        <v>110.5965741811409</v>
      </c>
      <c r="AR50" s="28" t="n">
        <v>57.11039172132407</v>
      </c>
      <c r="AS50" s="28" t="n">
        <v>1195.352658562382</v>
      </c>
      <c r="AT50" s="28" t="n">
        <v>2212.819085372454</v>
      </c>
      <c r="AU50" s="28" t="n">
        <v>236.0682606769994</v>
      </c>
      <c r="AV50" s="28" t="n">
        <v>1359.441571250645</v>
      </c>
      <c r="AW50" s="28" t="n">
        <v>640.1611341094869</v>
      </c>
      <c r="AX50" s="28" t="n">
        <v>0</v>
      </c>
      <c r="AY50" s="28" t="n">
        <v>513.2176341135824</v>
      </c>
      <c r="AZ50" s="28" t="n">
        <v>1123.132667687954</v>
      </c>
      <c r="BA50" s="28" t="n">
        <v>1910.379802377209</v>
      </c>
      <c r="BB50" s="28">
        <f>SUM(C50:BA50)</f>
        <v/>
      </c>
      <c r="BC50" s="28" t="n">
        <v>0</v>
      </c>
      <c r="BD50" s="28" t="n">
        <v>0</v>
      </c>
      <c r="BE50" s="28" t="n">
        <v>270796.4747118225</v>
      </c>
      <c r="BF50" s="28" t="n">
        <v>0</v>
      </c>
      <c r="BG50" s="28">
        <f>SUM(BC50:BF50)</f>
        <v/>
      </c>
      <c r="BH50" s="28">
        <f>BB50+BG50</f>
        <v/>
      </c>
    </row>
    <row r="51">
      <c r="A51" s="30" t="n">
        <v>38</v>
      </c>
      <c r="B51" s="31" t="inlineStr">
        <is>
          <t>Transporte armazenagem e correio</t>
        </is>
      </c>
      <c r="C51" s="30" t="n">
        <v>3056.379543186117</v>
      </c>
      <c r="D51" s="30" t="n">
        <v>586.1131780213911</v>
      </c>
      <c r="E51" s="30" t="n">
        <v>8325.137204128074</v>
      </c>
      <c r="F51" s="30" t="n">
        <v>2511.838152059615</v>
      </c>
      <c r="G51" s="30" t="n">
        <v>1282.525954878326</v>
      </c>
      <c r="H51" s="30" t="n">
        <v>20926.49399297317</v>
      </c>
      <c r="I51" s="30" t="n">
        <v>212.7193938151716</v>
      </c>
      <c r="J51" s="30" t="n">
        <v>933.1551218941299</v>
      </c>
      <c r="K51" s="30" t="n">
        <v>524.5801201898885</v>
      </c>
      <c r="L51" s="30" t="n">
        <v>668.8253298180045</v>
      </c>
      <c r="M51" s="30" t="n">
        <v>709.9525144966242</v>
      </c>
      <c r="N51" s="30" t="n">
        <v>2959.60735788802</v>
      </c>
      <c r="O51" s="30" t="n">
        <v>393.0523088201978</v>
      </c>
      <c r="P51" s="30" t="n">
        <v>1832.717533002337</v>
      </c>
      <c r="Q51" s="30" t="n">
        <v>880.097336517604</v>
      </c>
      <c r="R51" s="30" t="n">
        <v>2987.713508791322</v>
      </c>
      <c r="S51" s="30" t="n">
        <v>831.4308404024104</v>
      </c>
      <c r="T51" s="30" t="n">
        <v>2009.093145140488</v>
      </c>
      <c r="U51" s="30" t="n">
        <v>742.1198645032121</v>
      </c>
      <c r="V51" s="30" t="n">
        <v>1088.112683881015</v>
      </c>
      <c r="W51" s="30" t="n">
        <v>585.2063782364156</v>
      </c>
      <c r="X51" s="30" t="n">
        <v>498.7475255668286</v>
      </c>
      <c r="Y51" s="30" t="n">
        <v>1631.214775838297</v>
      </c>
      <c r="Z51" s="30" t="n">
        <v>1898.953946614108</v>
      </c>
      <c r="AA51" s="30" t="n">
        <v>4439.516355510278</v>
      </c>
      <c r="AB51" s="30" t="n">
        <v>414.0302153389429</v>
      </c>
      <c r="AC51" s="30" t="n">
        <v>1663.869230111247</v>
      </c>
      <c r="AD51" s="30" t="n">
        <v>1713.440232106747</v>
      </c>
      <c r="AE51" s="30" t="n">
        <v>1611.424811199808</v>
      </c>
      <c r="AF51" s="30" t="n">
        <v>1882.72220419681</v>
      </c>
      <c r="AG51" s="30" t="n">
        <v>5419.293272161437</v>
      </c>
      <c r="AH51" s="30" t="n">
        <v>1569.977237653341</v>
      </c>
      <c r="AI51" s="30" t="n">
        <v>830.012396808703</v>
      </c>
      <c r="AJ51" s="30" t="n">
        <v>760.8285052201439</v>
      </c>
      <c r="AK51" s="30" t="n">
        <v>2041.030275703039</v>
      </c>
      <c r="AL51" s="30" t="n">
        <v>2787.107194141136</v>
      </c>
      <c r="AM51" s="30" t="n">
        <v>25902.85317703948</v>
      </c>
      <c r="AN51" s="30" t="n">
        <v>33579.52201057954</v>
      </c>
      <c r="AO51" s="30" t="n">
        <v>2760.128793549916</v>
      </c>
      <c r="AP51" s="30" t="n">
        <v>5887.477234553829</v>
      </c>
      <c r="AQ51" s="30" t="n">
        <v>266.5361811169888</v>
      </c>
      <c r="AR51" s="30" t="n">
        <v>82.60159198359209</v>
      </c>
      <c r="AS51" s="30" t="n">
        <v>770.7974691363013</v>
      </c>
      <c r="AT51" s="30" t="n">
        <v>4518.85747062391</v>
      </c>
      <c r="AU51" s="30" t="n">
        <v>2018.580072195675</v>
      </c>
      <c r="AV51" s="30" t="n">
        <v>239.9657412384766</v>
      </c>
      <c r="AW51" s="30" t="n">
        <v>10448.71633897053</v>
      </c>
      <c r="AX51" s="30" t="n">
        <v>0</v>
      </c>
      <c r="AY51" s="30" t="n">
        <v>1190.534154831992</v>
      </c>
      <c r="AZ51" s="30" t="n">
        <v>917.4167083013128</v>
      </c>
      <c r="BA51" s="30" t="n">
        <v>4930.478314533722</v>
      </c>
      <c r="BB51" s="30">
        <f>SUM(C51:BA51)</f>
        <v/>
      </c>
      <c r="BC51" s="30" t="n">
        <v>0</v>
      </c>
      <c r="BD51" s="30" t="n">
        <v>0</v>
      </c>
      <c r="BE51" s="30" t="n">
        <v>73370.28783538553</v>
      </c>
      <c r="BF51" s="30" t="n">
        <v>0</v>
      </c>
      <c r="BG51" s="30">
        <f>SUM(BC51:BF51)</f>
        <v/>
      </c>
      <c r="BH51" s="30">
        <f>BB51+BG51</f>
        <v/>
      </c>
    </row>
    <row r="52">
      <c r="A52" s="28" t="n">
        <v>39</v>
      </c>
      <c r="B52" s="29" t="inlineStr">
        <is>
          <t>Serviços de informação</t>
        </is>
      </c>
      <c r="C52" s="28" t="n">
        <v>28.01553601191256</v>
      </c>
      <c r="D52" s="28" t="n">
        <v>12.64402899391323</v>
      </c>
      <c r="E52" s="28" t="n">
        <v>587.7987070157777</v>
      </c>
      <c r="F52" s="28" t="n">
        <v>171.8472292429656</v>
      </c>
      <c r="G52" s="28" t="n">
        <v>84.30501052153788</v>
      </c>
      <c r="H52" s="28" t="n">
        <v>3267.366483882255</v>
      </c>
      <c r="I52" s="28" t="n">
        <v>62.14146615789765</v>
      </c>
      <c r="J52" s="28" t="n">
        <v>345.7213813912094</v>
      </c>
      <c r="K52" s="28" t="n">
        <v>631.5707102274673</v>
      </c>
      <c r="L52" s="28" t="n">
        <v>186.581916547934</v>
      </c>
      <c r="M52" s="28" t="n">
        <v>81.01748532111594</v>
      </c>
      <c r="N52" s="28" t="n">
        <v>471.0076422711625</v>
      </c>
      <c r="O52" s="28" t="n">
        <v>564.9135491337961</v>
      </c>
      <c r="P52" s="28" t="n">
        <v>241.0147665574564</v>
      </c>
      <c r="Q52" s="28" t="n">
        <v>117.9534749095736</v>
      </c>
      <c r="R52" s="28" t="n">
        <v>487.5717253814554</v>
      </c>
      <c r="S52" s="28" t="n">
        <v>119.720984425964</v>
      </c>
      <c r="T52" s="28" t="n">
        <v>509.2953410090178</v>
      </c>
      <c r="U52" s="28" t="n">
        <v>212.2287146975328</v>
      </c>
      <c r="V52" s="28" t="n">
        <v>52.55388962962056</v>
      </c>
      <c r="W52" s="28" t="n">
        <v>144.7569692402411</v>
      </c>
      <c r="X52" s="28" t="n">
        <v>93.39200239486246</v>
      </c>
      <c r="Y52" s="28" t="n">
        <v>425.9443610905226</v>
      </c>
      <c r="Z52" s="28" t="n">
        <v>520.3073136306439</v>
      </c>
      <c r="AA52" s="28" t="n">
        <v>345.9530869441833</v>
      </c>
      <c r="AB52" s="28" t="n">
        <v>83.16728284815306</v>
      </c>
      <c r="AC52" s="28" t="n">
        <v>405.063163332951</v>
      </c>
      <c r="AD52" s="28" t="n">
        <v>693.6985619611539</v>
      </c>
      <c r="AE52" s="28" t="n">
        <v>748.0775438983535</v>
      </c>
      <c r="AF52" s="28" t="n">
        <v>966.3340106481603</v>
      </c>
      <c r="AG52" s="28" t="n">
        <v>2273.892008547813</v>
      </c>
      <c r="AH52" s="28" t="n">
        <v>1408.446237822409</v>
      </c>
      <c r="AI52" s="28" t="n">
        <v>280.4471472683541</v>
      </c>
      <c r="AJ52" s="28" t="n">
        <v>380.2730811166405</v>
      </c>
      <c r="AK52" s="28" t="n">
        <v>1323.429977152921</v>
      </c>
      <c r="AL52" s="28" t="n">
        <v>1645.426105865253</v>
      </c>
      <c r="AM52" s="28" t="n">
        <v>11433.92917111827</v>
      </c>
      <c r="AN52" s="28" t="n">
        <v>3446.705649190072</v>
      </c>
      <c r="AO52" s="28" t="n">
        <v>41523.15229176453</v>
      </c>
      <c r="AP52" s="28" t="n">
        <v>19352.58334571815</v>
      </c>
      <c r="AQ52" s="28" t="n">
        <v>775.2257684495515</v>
      </c>
      <c r="AR52" s="28" t="n">
        <v>236.9603539400086</v>
      </c>
      <c r="AS52" s="28" t="n">
        <v>891.4931549472708</v>
      </c>
      <c r="AT52" s="28" t="n">
        <v>34843.74618224475</v>
      </c>
      <c r="AU52" s="28" t="n">
        <v>2850.868557431785</v>
      </c>
      <c r="AV52" s="28" t="n">
        <v>1153.5216568041</v>
      </c>
      <c r="AW52" s="28" t="n">
        <v>4151.28443808152</v>
      </c>
      <c r="AX52" s="28" t="n">
        <v>0</v>
      </c>
      <c r="AY52" s="28" t="n">
        <v>3368.486581533137</v>
      </c>
      <c r="AZ52" s="28" t="n">
        <v>1667.86022227071</v>
      </c>
      <c r="BA52" s="28" t="n">
        <v>10970.97614191219</v>
      </c>
      <c r="BB52" s="28">
        <f>SUM(C52:BA52)</f>
        <v/>
      </c>
      <c r="BC52" s="28" t="n">
        <v>0</v>
      </c>
      <c r="BD52" s="28" t="n">
        <v>0</v>
      </c>
      <c r="BE52" s="28" t="n">
        <v>112508.6842633022</v>
      </c>
      <c r="BF52" s="28" t="n">
        <v>0</v>
      </c>
      <c r="BG52" s="28">
        <f>SUM(BC52:BF52)</f>
        <v/>
      </c>
      <c r="BH52" s="28">
        <f>BB52+BG52</f>
        <v/>
      </c>
    </row>
    <row r="53">
      <c r="A53" s="30" t="n">
        <v>40</v>
      </c>
      <c r="B53" s="31" t="inlineStr">
        <is>
          <t>Intermediação financeira seguros e previdência complementar e serviços relacionados</t>
        </is>
      </c>
      <c r="C53" s="30" t="n">
        <v>2729.348133565516</v>
      </c>
      <c r="D53" s="30" t="n">
        <v>1295.379604887624</v>
      </c>
      <c r="E53" s="30" t="n">
        <v>2422.92563142896</v>
      </c>
      <c r="F53" s="30" t="n">
        <v>1126.491915123233</v>
      </c>
      <c r="G53" s="30" t="n">
        <v>712.9218544590441</v>
      </c>
      <c r="H53" s="30" t="n">
        <v>8414.040624304551</v>
      </c>
      <c r="I53" s="30" t="n">
        <v>350.7186118849768</v>
      </c>
      <c r="J53" s="30" t="n">
        <v>774.4116991045155</v>
      </c>
      <c r="K53" s="30" t="n">
        <v>740.9106692260095</v>
      </c>
      <c r="L53" s="30" t="n">
        <v>528.9480547583665</v>
      </c>
      <c r="M53" s="30" t="n">
        <v>330.0906821768851</v>
      </c>
      <c r="N53" s="30" t="n">
        <v>1467.16146846159</v>
      </c>
      <c r="O53" s="30" t="n">
        <v>310.4100662515127</v>
      </c>
      <c r="P53" s="30" t="n">
        <v>1695.549421170363</v>
      </c>
      <c r="Q53" s="30" t="n">
        <v>631.679690796635</v>
      </c>
      <c r="R53" s="30" t="n">
        <v>1493.204115028334</v>
      </c>
      <c r="S53" s="30" t="n">
        <v>635.5562413497451</v>
      </c>
      <c r="T53" s="30" t="n">
        <v>654.8609636705758</v>
      </c>
      <c r="U53" s="30" t="n">
        <v>331.7130730010165</v>
      </c>
      <c r="V53" s="30" t="n">
        <v>536.8368019221776</v>
      </c>
      <c r="W53" s="30" t="n">
        <v>250.3430874864227</v>
      </c>
      <c r="X53" s="30" t="n">
        <v>307.663082676015</v>
      </c>
      <c r="Y53" s="30" t="n">
        <v>1252.69135219749</v>
      </c>
      <c r="Z53" s="30" t="n">
        <v>1378.500147900465</v>
      </c>
      <c r="AA53" s="30" t="n">
        <v>2119.574377831152</v>
      </c>
      <c r="AB53" s="30" t="n">
        <v>758.4543268823611</v>
      </c>
      <c r="AC53" s="30" t="n">
        <v>1122.446433220689</v>
      </c>
      <c r="AD53" s="30" t="n">
        <v>1781.202092825777</v>
      </c>
      <c r="AE53" s="30" t="n">
        <v>1133.040190532417</v>
      </c>
      <c r="AF53" s="30" t="n">
        <v>1164.308372191661</v>
      </c>
      <c r="AG53" s="30" t="n">
        <v>2490.49381163407</v>
      </c>
      <c r="AH53" s="30" t="n">
        <v>990.8022427434209</v>
      </c>
      <c r="AI53" s="30" t="n">
        <v>673.6291736601335</v>
      </c>
      <c r="AJ53" s="30" t="n">
        <v>578.3018050362315</v>
      </c>
      <c r="AK53" s="30" t="n">
        <v>4144.517539881019</v>
      </c>
      <c r="AL53" s="30" t="n">
        <v>6105.40089591199</v>
      </c>
      <c r="AM53" s="30" t="n">
        <v>15633.78548994374</v>
      </c>
      <c r="AN53" s="30" t="n">
        <v>7739.269746125925</v>
      </c>
      <c r="AO53" s="30" t="n">
        <v>6426.51856708732</v>
      </c>
      <c r="AP53" s="30" t="n">
        <v>39570.29309939744</v>
      </c>
      <c r="AQ53" s="30" t="n">
        <v>16210.71389293124</v>
      </c>
      <c r="AR53" s="30" t="n">
        <v>264.5159798496171</v>
      </c>
      <c r="AS53" s="30" t="n">
        <v>2014.694235230766</v>
      </c>
      <c r="AT53" s="30" t="n">
        <v>6497.172583141288</v>
      </c>
      <c r="AU53" s="30" t="n">
        <v>866.8111188393596</v>
      </c>
      <c r="AV53" s="30" t="n">
        <v>2828.398216713359</v>
      </c>
      <c r="AW53" s="30" t="n">
        <v>3602.567819481671</v>
      </c>
      <c r="AX53" s="30" t="n">
        <v>0</v>
      </c>
      <c r="AY53" s="30" t="n">
        <v>193.87023282834</v>
      </c>
      <c r="AZ53" s="30" t="n">
        <v>221.921947638816</v>
      </c>
      <c r="BA53" s="30" t="n">
        <v>33410.78832230366</v>
      </c>
      <c r="BB53" s="30">
        <f>SUM(C53:BA53)</f>
        <v/>
      </c>
      <c r="BC53" s="30" t="n">
        <v>0</v>
      </c>
      <c r="BD53" s="30" t="n">
        <v>0</v>
      </c>
      <c r="BE53" s="30" t="n">
        <v>138628.8424468179</v>
      </c>
      <c r="BF53" s="30" t="n">
        <v>0</v>
      </c>
      <c r="BG53" s="30">
        <f>SUM(BC53:BF53)</f>
        <v/>
      </c>
      <c r="BH53" s="30">
        <f>BB53+BG53</f>
        <v/>
      </c>
    </row>
    <row r="54">
      <c r="A54" s="28" t="n">
        <v>41</v>
      </c>
      <c r="B54" s="29" t="inlineStr">
        <is>
          <t>Atividades imobiliárias e aluguéis</t>
        </is>
      </c>
      <c r="C54" s="28" t="n">
        <v>7.370799827791206</v>
      </c>
      <c r="D54" s="28" t="n">
        <v>2.1799514523556</v>
      </c>
      <c r="E54" s="28" t="n">
        <v>128.5353490186593</v>
      </c>
      <c r="F54" s="28" t="n">
        <v>12.39254941670165</v>
      </c>
      <c r="G54" s="28" t="n">
        <v>23.04115054614442</v>
      </c>
      <c r="H54" s="28" t="n">
        <v>566.2829225212926</v>
      </c>
      <c r="I54" s="28" t="n">
        <v>20.10458675887547</v>
      </c>
      <c r="J54" s="28" t="n">
        <v>189.5608841840669</v>
      </c>
      <c r="K54" s="28" t="n">
        <v>209.4268436265685</v>
      </c>
      <c r="L54" s="28" t="n">
        <v>52.22045463712317</v>
      </c>
      <c r="M54" s="28" t="n">
        <v>13.94660878500634</v>
      </c>
      <c r="N54" s="28" t="n">
        <v>75.16257225694149</v>
      </c>
      <c r="O54" s="28" t="n">
        <v>31.91737772276206</v>
      </c>
      <c r="P54" s="28" t="n">
        <v>73.32981402009877</v>
      </c>
      <c r="Q54" s="28" t="n">
        <v>74.81895234564875</v>
      </c>
      <c r="R54" s="28" t="n">
        <v>60.05449955716426</v>
      </c>
      <c r="S54" s="28" t="n">
        <v>17.62713521395208</v>
      </c>
      <c r="T54" s="28" t="n">
        <v>116.4562620606172</v>
      </c>
      <c r="U54" s="28" t="n">
        <v>18.35536048065231</v>
      </c>
      <c r="V54" s="28" t="n">
        <v>79.41328518464931</v>
      </c>
      <c r="W54" s="28" t="n">
        <v>12.51219990895886</v>
      </c>
      <c r="X54" s="28" t="n">
        <v>19.06262907369332</v>
      </c>
      <c r="Y54" s="28" t="n">
        <v>179.2231042685478</v>
      </c>
      <c r="Z54" s="28" t="n">
        <v>95.39057286653805</v>
      </c>
      <c r="AA54" s="28" t="n">
        <v>145.8166194238514</v>
      </c>
      <c r="AB54" s="28" t="n">
        <v>6.048062825894468</v>
      </c>
      <c r="AC54" s="28" t="n">
        <v>94.9728649186733</v>
      </c>
      <c r="AD54" s="28" t="n">
        <v>118.658401142736</v>
      </c>
      <c r="AE54" s="28" t="n">
        <v>58.86324837448754</v>
      </c>
      <c r="AF54" s="28" t="n">
        <v>110.4070904414872</v>
      </c>
      <c r="AG54" s="28" t="n">
        <v>67.16376351570315</v>
      </c>
      <c r="AH54" s="28" t="n">
        <v>106.0534795902959</v>
      </c>
      <c r="AI54" s="28" t="n">
        <v>33.39088611857396</v>
      </c>
      <c r="AJ54" s="28" t="n">
        <v>95.6219017863139</v>
      </c>
      <c r="AK54" s="28" t="n">
        <v>548.939100478996</v>
      </c>
      <c r="AL54" s="28" t="n">
        <v>737.4126783839723</v>
      </c>
      <c r="AM54" s="28" t="n">
        <v>15427.50058542644</v>
      </c>
      <c r="AN54" s="28" t="n">
        <v>1662.283468909856</v>
      </c>
      <c r="AO54" s="28" t="n">
        <v>2503.556122478532</v>
      </c>
      <c r="AP54" s="28" t="n">
        <v>3102.597958334558</v>
      </c>
      <c r="AQ54" s="28" t="n">
        <v>940.2914660189774</v>
      </c>
      <c r="AR54" s="28" t="n">
        <v>175.6331336248527</v>
      </c>
      <c r="AS54" s="28" t="n">
        <v>2455.72194187889</v>
      </c>
      <c r="AT54" s="28" t="n">
        <v>4284.689432581401</v>
      </c>
      <c r="AU54" s="28" t="n">
        <v>1708.522637256795</v>
      </c>
      <c r="AV54" s="28" t="n">
        <v>805.8300479893689</v>
      </c>
      <c r="AW54" s="28" t="n">
        <v>3476.479369407753</v>
      </c>
      <c r="AX54" s="28" t="n">
        <v>0</v>
      </c>
      <c r="AY54" s="28" t="n">
        <v>258.7231602355926</v>
      </c>
      <c r="AZ54" s="28" t="n">
        <v>179.8394041580782</v>
      </c>
      <c r="BA54" s="28" t="n">
        <v>1234.257465150636</v>
      </c>
      <c r="BB54" s="28">
        <f>SUM(C54:BA54)</f>
        <v/>
      </c>
      <c r="BC54" s="28" t="n">
        <v>0</v>
      </c>
      <c r="BD54" s="28" t="n">
        <v>0</v>
      </c>
      <c r="BE54" s="28" t="n">
        <v>232988.108685223</v>
      </c>
      <c r="BF54" s="28" t="n">
        <v>0</v>
      </c>
      <c r="BG54" s="28">
        <f>SUM(BC54:BF54)</f>
        <v/>
      </c>
      <c r="BH54" s="28">
        <f>BB54+BG54</f>
        <v/>
      </c>
    </row>
    <row r="55">
      <c r="A55" s="30" t="n">
        <v>42</v>
      </c>
      <c r="B55" s="31" t="inlineStr">
        <is>
          <t>Serviços de manutenção e reparação</t>
        </is>
      </c>
      <c r="C55" s="30" t="n">
        <v>3.34813950768905</v>
      </c>
      <c r="D55" s="30" t="n">
        <v>0.02484662573220719</v>
      </c>
      <c r="E55" s="30" t="n">
        <v>27.88307060431707</v>
      </c>
      <c r="F55" s="30" t="n">
        <v>0.4138193117513085</v>
      </c>
      <c r="G55" s="30" t="n">
        <v>1.482688357321351</v>
      </c>
      <c r="H55" s="30" t="n">
        <v>5.750763852213684</v>
      </c>
      <c r="I55" s="30" t="n">
        <v>0.1453958174936543</v>
      </c>
      <c r="J55" s="30" t="n">
        <v>7.942927629304585</v>
      </c>
      <c r="K55" s="30" t="n">
        <v>0.3780023147317655</v>
      </c>
      <c r="L55" s="30" t="n">
        <v>0.5465545952584168</v>
      </c>
      <c r="M55" s="30" t="n">
        <v>0.1005083191251706</v>
      </c>
      <c r="N55" s="30" t="n">
        <v>0.833747291823272</v>
      </c>
      <c r="O55" s="30" t="n">
        <v>10.173909533798</v>
      </c>
      <c r="P55" s="30" t="n">
        <v>0.2160779177919065</v>
      </c>
      <c r="Q55" s="30" t="n">
        <v>0.1866170744669444</v>
      </c>
      <c r="R55" s="30" t="n">
        <v>0.1919380334610477</v>
      </c>
      <c r="S55" s="30" t="n">
        <v>0.2239994437053328</v>
      </c>
      <c r="T55" s="30" t="n">
        <v>0.6222753587789103</v>
      </c>
      <c r="U55" s="30" t="n">
        <v>0.174284951930457</v>
      </c>
      <c r="V55" s="30" t="n">
        <v>0.05233825469594144</v>
      </c>
      <c r="W55" s="30" t="n">
        <v>0.1094749465764443</v>
      </c>
      <c r="X55" s="30" t="n">
        <v>0.2698759224651666</v>
      </c>
      <c r="Y55" s="30" t="n">
        <v>1.137229961636648</v>
      </c>
      <c r="Z55" s="30" t="n">
        <v>1.971941598817585</v>
      </c>
      <c r="AA55" s="30" t="n">
        <v>12.4227872911214</v>
      </c>
      <c r="AB55" s="30" t="n">
        <v>2.100282576808986</v>
      </c>
      <c r="AC55" s="30" t="n">
        <v>13.68686088726846</v>
      </c>
      <c r="AD55" s="30" t="n">
        <v>11.50098169858933</v>
      </c>
      <c r="AE55" s="30" t="n">
        <v>39.31371273877377</v>
      </c>
      <c r="AF55" s="30" t="n">
        <v>218.9778768892552</v>
      </c>
      <c r="AG55" s="30" t="n">
        <v>2.779118556020917</v>
      </c>
      <c r="AH55" s="30" t="n">
        <v>0.3903407110413299</v>
      </c>
      <c r="AI55" s="30" t="n">
        <v>0.2405628615377216</v>
      </c>
      <c r="AJ55" s="30" t="n">
        <v>2.725631956477087</v>
      </c>
      <c r="AK55" s="30" t="n">
        <v>258.3984620349021</v>
      </c>
      <c r="AL55" s="30" t="n">
        <v>64.13061490755638</v>
      </c>
      <c r="AM55" s="30" t="n">
        <v>1117.695896311943</v>
      </c>
      <c r="AN55" s="30" t="n">
        <v>270.4234372381549</v>
      </c>
      <c r="AO55" s="30" t="n">
        <v>3232.589018204475</v>
      </c>
      <c r="AP55" s="30" t="n">
        <v>763.6848395032043</v>
      </c>
      <c r="AQ55" s="30" t="n">
        <v>43.29943030930419</v>
      </c>
      <c r="AR55" s="30" t="n">
        <v>65.48940211501254</v>
      </c>
      <c r="AS55" s="30" t="n">
        <v>69.52043214669078</v>
      </c>
      <c r="AT55" s="30" t="n">
        <v>845.2161783894709</v>
      </c>
      <c r="AU55" s="30" t="n">
        <v>232.7045582924625</v>
      </c>
      <c r="AV55" s="30" t="n">
        <v>318.6211974869466</v>
      </c>
      <c r="AW55" s="30" t="n">
        <v>13.87012260639967</v>
      </c>
      <c r="AX55" s="30" t="n">
        <v>0</v>
      </c>
      <c r="AY55" s="30" t="n">
        <v>31.43492350097446</v>
      </c>
      <c r="AZ55" s="30" t="n">
        <v>113.5772008031645</v>
      </c>
      <c r="BA55" s="30" t="n">
        <v>386.1402765342409</v>
      </c>
      <c r="BB55" s="30">
        <f>SUM(C55:BA55)</f>
        <v/>
      </c>
      <c r="BC55" s="30" t="n">
        <v>0</v>
      </c>
      <c r="BD55" s="30" t="n">
        <v>0</v>
      </c>
      <c r="BE55" s="30" t="n">
        <v>4822.017213540908</v>
      </c>
      <c r="BF55" s="30" t="n">
        <v>0</v>
      </c>
      <c r="BG55" s="30">
        <f>SUM(BC55:BF55)</f>
        <v/>
      </c>
      <c r="BH55" s="30">
        <f>BB55+BG55</f>
        <v/>
      </c>
    </row>
    <row r="56">
      <c r="A56" s="28" t="n">
        <v>43</v>
      </c>
      <c r="B56" s="29" t="inlineStr">
        <is>
          <t>Serviços de alojamento e alimentação</t>
        </is>
      </c>
      <c r="C56" s="28" t="n">
        <v>8.907065130563517</v>
      </c>
      <c r="D56" s="28" t="n">
        <v>1.479899546109006</v>
      </c>
      <c r="E56" s="28" t="n">
        <v>217.2413984330162</v>
      </c>
      <c r="F56" s="28" t="n">
        <v>39.64351284087218</v>
      </c>
      <c r="G56" s="28" t="n">
        <v>23.53970895285767</v>
      </c>
      <c r="H56" s="28" t="n">
        <v>482.7841106260327</v>
      </c>
      <c r="I56" s="28" t="n">
        <v>31.9440608858329</v>
      </c>
      <c r="J56" s="28" t="n">
        <v>37.68791803940812</v>
      </c>
      <c r="K56" s="28" t="n">
        <v>21.0017456216725</v>
      </c>
      <c r="L56" s="28" t="n">
        <v>23.58242756327588</v>
      </c>
      <c r="M56" s="28" t="n">
        <v>5.326699843453314</v>
      </c>
      <c r="N56" s="28" t="n">
        <v>63.45174219657872</v>
      </c>
      <c r="O56" s="28" t="n">
        <v>17.71787918655231</v>
      </c>
      <c r="P56" s="28" t="n">
        <v>24.91413264373232</v>
      </c>
      <c r="Q56" s="28" t="n">
        <v>11.4730258125065</v>
      </c>
      <c r="R56" s="28" t="n">
        <v>112.7468594543613</v>
      </c>
      <c r="S56" s="28" t="n">
        <v>12.74327168227569</v>
      </c>
      <c r="T56" s="28" t="n">
        <v>259.9093415775702</v>
      </c>
      <c r="U56" s="28" t="n">
        <v>65.26207271913324</v>
      </c>
      <c r="V56" s="28" t="n">
        <v>30.32234241601916</v>
      </c>
      <c r="W56" s="28" t="n">
        <v>28.41704127453576</v>
      </c>
      <c r="X56" s="28" t="n">
        <v>60.97527765409949</v>
      </c>
      <c r="Y56" s="28" t="n">
        <v>78.0843883562552</v>
      </c>
      <c r="Z56" s="28" t="n">
        <v>59.37598555348035</v>
      </c>
      <c r="AA56" s="28" t="n">
        <v>147.416167635996</v>
      </c>
      <c r="AB56" s="28" t="n">
        <v>48.13828847110214</v>
      </c>
      <c r="AC56" s="28" t="n">
        <v>107.603802271744</v>
      </c>
      <c r="AD56" s="28" t="n">
        <v>289.7821411643478</v>
      </c>
      <c r="AE56" s="28" t="n">
        <v>93.46527371311804</v>
      </c>
      <c r="AF56" s="28" t="n">
        <v>125.5234548997667</v>
      </c>
      <c r="AG56" s="28" t="n">
        <v>308.1033896340932</v>
      </c>
      <c r="AH56" s="28" t="n">
        <v>70.87280980744819</v>
      </c>
      <c r="AI56" s="28" t="n">
        <v>41.06138606303482</v>
      </c>
      <c r="AJ56" s="28" t="n">
        <v>42.9980370303275</v>
      </c>
      <c r="AK56" s="28" t="n">
        <v>224.2307922844253</v>
      </c>
      <c r="AL56" s="28" t="n">
        <v>926.6134945146399</v>
      </c>
      <c r="AM56" s="28" t="n">
        <v>2075.660010118119</v>
      </c>
      <c r="AN56" s="28" t="n">
        <v>962.0343040180446</v>
      </c>
      <c r="AO56" s="28" t="n">
        <v>833.1555162510142</v>
      </c>
      <c r="AP56" s="28" t="n">
        <v>2244.551186583321</v>
      </c>
      <c r="AQ56" s="28" t="n">
        <v>70.97732364581063</v>
      </c>
      <c r="AR56" s="28" t="n">
        <v>48.65122116236199</v>
      </c>
      <c r="AS56" s="28" t="n">
        <v>141.1403577038161</v>
      </c>
      <c r="AT56" s="28" t="n">
        <v>1517.935585831925</v>
      </c>
      <c r="AU56" s="28" t="n">
        <v>328.9891211687377</v>
      </c>
      <c r="AV56" s="28" t="n">
        <v>1641.582309405303</v>
      </c>
      <c r="AW56" s="28" t="n">
        <v>13671.64293304592</v>
      </c>
      <c r="AX56" s="28" t="n">
        <v>0</v>
      </c>
      <c r="AY56" s="28" t="n">
        <v>1184.012649957575</v>
      </c>
      <c r="AZ56" s="28" t="n">
        <v>2622.094902796709</v>
      </c>
      <c r="BA56" s="28" t="n">
        <v>6964.563160950913</v>
      </c>
      <c r="BB56" s="28">
        <f>SUM(C56:BA56)</f>
        <v/>
      </c>
      <c r="BC56" s="28" t="n">
        <v>0</v>
      </c>
      <c r="BD56" s="28" t="n">
        <v>0</v>
      </c>
      <c r="BE56" s="28" t="n">
        <v>91467.59098949669</v>
      </c>
      <c r="BF56" s="28" t="n">
        <v>0</v>
      </c>
      <c r="BG56" s="28">
        <f>SUM(BC56:BF56)</f>
        <v/>
      </c>
      <c r="BH56" s="28">
        <f>BB56+BG56</f>
        <v/>
      </c>
    </row>
    <row r="57">
      <c r="A57" s="30" t="n">
        <v>44</v>
      </c>
      <c r="B57" s="31" t="inlineStr">
        <is>
          <t>Serviços prestados às empresas</t>
        </is>
      </c>
      <c r="C57" s="30" t="n">
        <v>693.76174681374</v>
      </c>
      <c r="D57" s="30" t="n">
        <v>359.1509846756996</v>
      </c>
      <c r="E57" s="30" t="n">
        <v>11039.71484406224</v>
      </c>
      <c r="F57" s="30" t="n">
        <v>1425.560741090958</v>
      </c>
      <c r="G57" s="30" t="n">
        <v>1338.185901504921</v>
      </c>
      <c r="H57" s="30" t="n">
        <v>17372.75974749606</v>
      </c>
      <c r="I57" s="30" t="n">
        <v>1212.110533903527</v>
      </c>
      <c r="J57" s="30" t="n">
        <v>671.9587283058382</v>
      </c>
      <c r="K57" s="30" t="n">
        <v>695.5904009534415</v>
      </c>
      <c r="L57" s="30" t="n">
        <v>880.5958924765005</v>
      </c>
      <c r="M57" s="30" t="n">
        <v>235.8736220586895</v>
      </c>
      <c r="N57" s="30" t="n">
        <v>2252.202726294632</v>
      </c>
      <c r="O57" s="30" t="n">
        <v>316.2187742074171</v>
      </c>
      <c r="P57" s="30" t="n">
        <v>3025.659533100045</v>
      </c>
      <c r="Q57" s="30" t="n">
        <v>548.4385225093976</v>
      </c>
      <c r="R57" s="30" t="n">
        <v>2484.895803680556</v>
      </c>
      <c r="S57" s="30" t="n">
        <v>571.6013814238972</v>
      </c>
      <c r="T57" s="30" t="n">
        <v>4836.276475916105</v>
      </c>
      <c r="U57" s="30" t="n">
        <v>1515.172845540061</v>
      </c>
      <c r="V57" s="30" t="n">
        <v>2065.037259907421</v>
      </c>
      <c r="W57" s="30" t="n">
        <v>1171.29858828889</v>
      </c>
      <c r="X57" s="30" t="n">
        <v>748.8146702027293</v>
      </c>
      <c r="Y57" s="30" t="n">
        <v>2118.91607326528</v>
      </c>
      <c r="Z57" s="30" t="n">
        <v>2437.497097485849</v>
      </c>
      <c r="AA57" s="30" t="n">
        <v>1901.144156727208</v>
      </c>
      <c r="AB57" s="30" t="n">
        <v>907.9225320330172</v>
      </c>
      <c r="AC57" s="30" t="n">
        <v>1611.138488233803</v>
      </c>
      <c r="AD57" s="30" t="n">
        <v>3863.241777151507</v>
      </c>
      <c r="AE57" s="30" t="n">
        <v>3051.395713062032</v>
      </c>
      <c r="AF57" s="30" t="n">
        <v>3890.573137843645</v>
      </c>
      <c r="AG57" s="30" t="n">
        <v>7585.877484916146</v>
      </c>
      <c r="AH57" s="30" t="n">
        <v>1830.557905314662</v>
      </c>
      <c r="AI57" s="30" t="n">
        <v>944.7807541740841</v>
      </c>
      <c r="AJ57" s="30" t="n">
        <v>742.2498275692566</v>
      </c>
      <c r="AK57" s="30" t="n">
        <v>7205.802294444998</v>
      </c>
      <c r="AL57" s="30" t="n">
        <v>11285.42594744446</v>
      </c>
      <c r="AM57" s="30" t="n">
        <v>37664.6794666662</v>
      </c>
      <c r="AN57" s="30" t="n">
        <v>15593.7522900729</v>
      </c>
      <c r="AO57" s="30" t="n">
        <v>25882.38955973469</v>
      </c>
      <c r="AP57" s="30" t="n">
        <v>28767.43601360337</v>
      </c>
      <c r="AQ57" s="30" t="n">
        <v>1829.348017151627</v>
      </c>
      <c r="AR57" s="30" t="n">
        <v>145.0723812357635</v>
      </c>
      <c r="AS57" s="30" t="n">
        <v>2456.875150557987</v>
      </c>
      <c r="AT57" s="30" t="n">
        <v>26700.02221222641</v>
      </c>
      <c r="AU57" s="30" t="n">
        <v>4877.111922796886</v>
      </c>
      <c r="AV57" s="30" t="n">
        <v>1762.101148863614</v>
      </c>
      <c r="AW57" s="30" t="n">
        <v>9044.339943594487</v>
      </c>
      <c r="AX57" s="30" t="n">
        <v>0</v>
      </c>
      <c r="AY57" s="30" t="n">
        <v>5615.05331162668</v>
      </c>
      <c r="AZ57" s="30" t="n">
        <v>5840.723016539056</v>
      </c>
      <c r="BA57" s="30" t="n">
        <v>19995.27442901873</v>
      </c>
      <c r="BB57" s="30">
        <f>SUM(C57:BA57)</f>
        <v/>
      </c>
      <c r="BC57" s="30" t="n">
        <v>0</v>
      </c>
      <c r="BD57" s="30" t="n">
        <v>0</v>
      </c>
      <c r="BE57" s="30" t="n">
        <v>45990.97227363862</v>
      </c>
      <c r="BF57" s="30" t="n">
        <v>0</v>
      </c>
      <c r="BG57" s="30">
        <f>SUM(BC57:BF57)</f>
        <v/>
      </c>
      <c r="BH57" s="30">
        <f>BB57+BG57</f>
        <v/>
      </c>
    </row>
    <row r="58">
      <c r="A58" s="28" t="n">
        <v>45</v>
      </c>
      <c r="B58" s="29" t="inlineStr">
        <is>
          <t>Educação mercantil</t>
        </is>
      </c>
      <c r="C58" s="28" t="n">
        <v>3.381386784051561</v>
      </c>
      <c r="D58" s="28" t="n">
        <v>1.775427133195137</v>
      </c>
      <c r="E58" s="28" t="n">
        <v>43.97926668429536</v>
      </c>
      <c r="F58" s="28" t="n">
        <v>54.00718721323421</v>
      </c>
      <c r="G58" s="28" t="n">
        <v>15.45439024513202</v>
      </c>
      <c r="H58" s="28" t="n">
        <v>54.91466272418916</v>
      </c>
      <c r="I58" s="28" t="n">
        <v>2.978184952763203</v>
      </c>
      <c r="J58" s="28" t="n">
        <v>2.57335252237348</v>
      </c>
      <c r="K58" s="28" t="n">
        <v>1.732947017094698</v>
      </c>
      <c r="L58" s="28" t="n">
        <v>2.188256553600789</v>
      </c>
      <c r="M58" s="28" t="n">
        <v>0.5735920624964649</v>
      </c>
      <c r="N58" s="28" t="n">
        <v>26.18020788193382</v>
      </c>
      <c r="O58" s="28" t="n">
        <v>0.7478076827409916</v>
      </c>
      <c r="P58" s="28" t="n">
        <v>10.96321984086435</v>
      </c>
      <c r="Q58" s="28" t="n">
        <v>1.355354607326146</v>
      </c>
      <c r="R58" s="28" t="n">
        <v>11.18535300714425</v>
      </c>
      <c r="S58" s="28" t="n">
        <v>1.40963770470777</v>
      </c>
      <c r="T58" s="28" t="n">
        <v>11.87918722148625</v>
      </c>
      <c r="U58" s="28" t="n">
        <v>14.88916892567934</v>
      </c>
      <c r="V58" s="28" t="n">
        <v>5.057442767158106</v>
      </c>
      <c r="W58" s="28" t="n">
        <v>5.230308651779552</v>
      </c>
      <c r="X58" s="28" t="n">
        <v>1.847809911808862</v>
      </c>
      <c r="Y58" s="28" t="n">
        <v>6.862915535768712</v>
      </c>
      <c r="Z58" s="28" t="n">
        <v>5.965454682934959</v>
      </c>
      <c r="AA58" s="28" t="n">
        <v>110.5528879206409</v>
      </c>
      <c r="AB58" s="28" t="n">
        <v>34.03933581046503</v>
      </c>
      <c r="AC58" s="28" t="n">
        <v>32.05855386144452</v>
      </c>
      <c r="AD58" s="28" t="n">
        <v>25.09071276510306</v>
      </c>
      <c r="AE58" s="28" t="n">
        <v>7.466652051316613</v>
      </c>
      <c r="AF58" s="28" t="n">
        <v>10.36225616649664</v>
      </c>
      <c r="AG58" s="28" t="n">
        <v>66.146680068336</v>
      </c>
      <c r="AH58" s="28" t="n">
        <v>6.621482148166978</v>
      </c>
      <c r="AI58" s="28" t="n">
        <v>2.289559493310378</v>
      </c>
      <c r="AJ58" s="28" t="n">
        <v>1.827385617383614</v>
      </c>
      <c r="AK58" s="28" t="n">
        <v>62.79403529012523</v>
      </c>
      <c r="AL58" s="28" t="n">
        <v>29.10214544107205</v>
      </c>
      <c r="AM58" s="28" t="n">
        <v>392.3938674920369</v>
      </c>
      <c r="AN58" s="28" t="n">
        <v>655.908728189539</v>
      </c>
      <c r="AO58" s="28" t="n">
        <v>97.76749662268476</v>
      </c>
      <c r="AP58" s="28" t="n">
        <v>999.3593008457157</v>
      </c>
      <c r="AQ58" s="28" t="n">
        <v>4.635119226774129</v>
      </c>
      <c r="AR58" s="28" t="n">
        <v>200.4777654308012</v>
      </c>
      <c r="AS58" s="28" t="n">
        <v>7.297161506152467</v>
      </c>
      <c r="AT58" s="28" t="n">
        <v>2359.668748737972</v>
      </c>
      <c r="AU58" s="28" t="n">
        <v>12.22511452635204</v>
      </c>
      <c r="AV58" s="28" t="n">
        <v>4.458895388502311</v>
      </c>
      <c r="AW58" s="28" t="n">
        <v>104.6660773761648</v>
      </c>
      <c r="AX58" s="28" t="n">
        <v>0</v>
      </c>
      <c r="AY58" s="28" t="n">
        <v>778.9410767645359</v>
      </c>
      <c r="AZ58" s="28" t="n">
        <v>296.3731810479685</v>
      </c>
      <c r="BA58" s="28" t="n">
        <v>364.3107286095408</v>
      </c>
      <c r="BB58" s="28">
        <f>SUM(C58:BA58)</f>
        <v/>
      </c>
      <c r="BC58" s="28" t="n">
        <v>0</v>
      </c>
      <c r="BD58" s="28" t="n">
        <v>0</v>
      </c>
      <c r="BE58" s="28" t="n">
        <v>44422.88960814216</v>
      </c>
      <c r="BF58" s="28" t="n">
        <v>0</v>
      </c>
      <c r="BG58" s="28">
        <f>SUM(BC58:BF58)</f>
        <v/>
      </c>
      <c r="BH58" s="28">
        <f>BB58+BG58</f>
        <v/>
      </c>
    </row>
    <row r="59">
      <c r="A59" s="30" t="n">
        <v>46</v>
      </c>
      <c r="B59" s="31" t="inlineStr">
        <is>
          <t>Saúde mercantil</t>
        </is>
      </c>
      <c r="C59" s="30" t="n">
        <v>0.6096864437399052</v>
      </c>
      <c r="D59" s="30" t="n">
        <v>0.1747256661760096</v>
      </c>
      <c r="E59" s="30" t="n">
        <v>2.586610682351895</v>
      </c>
      <c r="F59" s="30" t="n">
        <v>1.832484089599758</v>
      </c>
      <c r="G59" s="30" t="n">
        <v>0.911254540758534</v>
      </c>
      <c r="H59" s="30" t="n">
        <v>29.37643345269024</v>
      </c>
      <c r="I59" s="30" t="n">
        <v>1.03383766703514</v>
      </c>
      <c r="J59" s="30" t="n">
        <v>4.227630831631348</v>
      </c>
      <c r="K59" s="30" t="n">
        <v>4.174365341406745</v>
      </c>
      <c r="L59" s="30" t="n">
        <v>2.853892499190671</v>
      </c>
      <c r="M59" s="30" t="n">
        <v>0.666705100369072</v>
      </c>
      <c r="N59" s="30" t="n">
        <v>5.122876395698682</v>
      </c>
      <c r="O59" s="30" t="n">
        <v>0.5986840978688077</v>
      </c>
      <c r="P59" s="30" t="n">
        <v>2.097850173356531</v>
      </c>
      <c r="Q59" s="30" t="n">
        <v>1.771082379586609</v>
      </c>
      <c r="R59" s="30" t="n">
        <v>1.792652361130814</v>
      </c>
      <c r="S59" s="30" t="n">
        <v>1.34655484960368</v>
      </c>
      <c r="T59" s="30" t="n">
        <v>4.720571787227893</v>
      </c>
      <c r="U59" s="30" t="n">
        <v>1.182494978722697</v>
      </c>
      <c r="V59" s="30" t="n">
        <v>1.273899132338524</v>
      </c>
      <c r="W59" s="30" t="n">
        <v>0.7704120992092673</v>
      </c>
      <c r="X59" s="30" t="n">
        <v>1.599491275766045</v>
      </c>
      <c r="Y59" s="30" t="n">
        <v>6.065247816083431</v>
      </c>
      <c r="Z59" s="30" t="n">
        <v>4.471528082993821</v>
      </c>
      <c r="AA59" s="30" t="n">
        <v>5.432764810810909</v>
      </c>
      <c r="AB59" s="30" t="n">
        <v>1.38217776159061</v>
      </c>
      <c r="AC59" s="30" t="n">
        <v>3.865257500757689</v>
      </c>
      <c r="AD59" s="30" t="n">
        <v>11.26874081675381</v>
      </c>
      <c r="AE59" s="30" t="n">
        <v>3.460716648215108</v>
      </c>
      <c r="AF59" s="30" t="n">
        <v>4.507068745548132</v>
      </c>
      <c r="AG59" s="30" t="n">
        <v>2.467868226684178</v>
      </c>
      <c r="AH59" s="30" t="n">
        <v>1.456544110146589</v>
      </c>
      <c r="AI59" s="30" t="n">
        <v>0.8712640720211127</v>
      </c>
      <c r="AJ59" s="30" t="n">
        <v>2.068999016341651</v>
      </c>
      <c r="AK59" s="30" t="n">
        <v>8.978965448944169</v>
      </c>
      <c r="AL59" s="30" t="n">
        <v>10.60091567744506</v>
      </c>
      <c r="AM59" s="30" t="n">
        <v>200.5616362401435</v>
      </c>
      <c r="AN59" s="30" t="n">
        <v>35.45763083596391</v>
      </c>
      <c r="AO59" s="30" t="n">
        <v>44.97526418503945</v>
      </c>
      <c r="AP59" s="30" t="n">
        <v>38.46650563772267</v>
      </c>
      <c r="AQ59" s="30" t="n">
        <v>11.03609155120743</v>
      </c>
      <c r="AR59" s="30" t="n">
        <v>2.05470169671232</v>
      </c>
      <c r="AS59" s="30" t="n">
        <v>28.74168387029143</v>
      </c>
      <c r="AT59" s="30" t="n">
        <v>56.06997440892094</v>
      </c>
      <c r="AU59" s="30" t="n">
        <v>20.14024894734338</v>
      </c>
      <c r="AV59" s="30" t="n">
        <v>10917.21443707563</v>
      </c>
      <c r="AW59" s="30" t="n">
        <v>41.12843429862631</v>
      </c>
      <c r="AX59" s="30" t="n">
        <v>0</v>
      </c>
      <c r="AY59" s="30" t="n">
        <v>5.85657660735883</v>
      </c>
      <c r="AZ59" s="30" t="n">
        <v>11.26894786663164</v>
      </c>
      <c r="BA59" s="30" t="n">
        <v>59.48677805383776</v>
      </c>
      <c r="BB59" s="30">
        <f>SUM(C59:BA59)</f>
        <v/>
      </c>
      <c r="BC59" s="30" t="n">
        <v>0</v>
      </c>
      <c r="BD59" s="30" t="n">
        <v>0</v>
      </c>
      <c r="BE59" s="30" t="n">
        <v>94390.67903527383</v>
      </c>
      <c r="BF59" s="30" t="n">
        <v>0</v>
      </c>
      <c r="BG59" s="30">
        <f>SUM(BC59:BF59)</f>
        <v/>
      </c>
      <c r="BH59" s="30">
        <f>BB59+BG59</f>
        <v/>
      </c>
    </row>
    <row r="60">
      <c r="A60" s="28" t="n">
        <v>47</v>
      </c>
      <c r="B60" s="29" t="inlineStr">
        <is>
          <t>Serviços prestados às famílias e associativas</t>
        </is>
      </c>
      <c r="C60" s="28" t="n">
        <v>100.5039712013837</v>
      </c>
      <c r="D60" s="28" t="n">
        <v>37.39700542601804</v>
      </c>
      <c r="E60" s="28" t="n">
        <v>580.4222521790122</v>
      </c>
      <c r="F60" s="28" t="n">
        <v>213.965549922146</v>
      </c>
      <c r="G60" s="28" t="n">
        <v>98.54244098084342</v>
      </c>
      <c r="H60" s="28" t="n">
        <v>1381.502493415041</v>
      </c>
      <c r="I60" s="28" t="n">
        <v>73.58841542031921</v>
      </c>
      <c r="J60" s="28" t="n">
        <v>122.0311411151565</v>
      </c>
      <c r="K60" s="28" t="n">
        <v>99.67231212152561</v>
      </c>
      <c r="L60" s="28" t="n">
        <v>87.08538425859436</v>
      </c>
      <c r="M60" s="28" t="n">
        <v>47.33173283007959</v>
      </c>
      <c r="N60" s="28" t="n">
        <v>469.4333174573643</v>
      </c>
      <c r="O60" s="28" t="n">
        <v>57.88918125894955</v>
      </c>
      <c r="P60" s="28" t="n">
        <v>219.7116178582713</v>
      </c>
      <c r="Q60" s="28" t="n">
        <v>253.985553408346</v>
      </c>
      <c r="R60" s="28" t="n">
        <v>218.6818079480653</v>
      </c>
      <c r="S60" s="28" t="n">
        <v>31.83558602836058</v>
      </c>
      <c r="T60" s="28" t="n">
        <v>400.0633628322501</v>
      </c>
      <c r="U60" s="28" t="n">
        <v>169.6053243776108</v>
      </c>
      <c r="V60" s="28" t="n">
        <v>150.2226118564233</v>
      </c>
      <c r="W60" s="28" t="n">
        <v>63.22950105806963</v>
      </c>
      <c r="X60" s="28" t="n">
        <v>228.7303506863068</v>
      </c>
      <c r="Y60" s="28" t="n">
        <v>485.7757872741765</v>
      </c>
      <c r="Z60" s="28" t="n">
        <v>251.0233393382911</v>
      </c>
      <c r="AA60" s="28" t="n">
        <v>251.3502370648823</v>
      </c>
      <c r="AB60" s="28" t="n">
        <v>93.84792043387561</v>
      </c>
      <c r="AC60" s="28" t="n">
        <v>233.9771130291155</v>
      </c>
      <c r="AD60" s="28" t="n">
        <v>449.1585960698509</v>
      </c>
      <c r="AE60" s="28" t="n">
        <v>265.6660123517707</v>
      </c>
      <c r="AF60" s="28" t="n">
        <v>305.4941185435827</v>
      </c>
      <c r="AG60" s="28" t="n">
        <v>918.692606476373</v>
      </c>
      <c r="AH60" s="28" t="n">
        <v>245.283417469315</v>
      </c>
      <c r="AI60" s="28" t="n">
        <v>143.1689221173043</v>
      </c>
      <c r="AJ60" s="28" t="n">
        <v>145.7038700152017</v>
      </c>
      <c r="AK60" s="28" t="n">
        <v>765.2745576574297</v>
      </c>
      <c r="AL60" s="28" t="n">
        <v>1063.816363146242</v>
      </c>
      <c r="AM60" s="28" t="n">
        <v>5087.270223582635</v>
      </c>
      <c r="AN60" s="28" t="n">
        <v>2581.292383051371</v>
      </c>
      <c r="AO60" s="28" t="n">
        <v>4896.631867543742</v>
      </c>
      <c r="AP60" s="28" t="n">
        <v>3063.387733513168</v>
      </c>
      <c r="AQ60" s="28" t="n">
        <v>542.297352769336</v>
      </c>
      <c r="AR60" s="28" t="n">
        <v>48.97145576222892</v>
      </c>
      <c r="AS60" s="28" t="n">
        <v>874.0219326557475</v>
      </c>
      <c r="AT60" s="28" t="n">
        <v>2613.044214820517</v>
      </c>
      <c r="AU60" s="28" t="n">
        <v>926.2575594011515</v>
      </c>
      <c r="AV60" s="28" t="n">
        <v>2135.613575766681</v>
      </c>
      <c r="AW60" s="28" t="n">
        <v>4476.849330441799</v>
      </c>
      <c r="AX60" s="28" t="n">
        <v>0</v>
      </c>
      <c r="AY60" s="28" t="n">
        <v>1253.71669453182</v>
      </c>
      <c r="AZ60" s="28" t="n">
        <v>1648.503035243026</v>
      </c>
      <c r="BA60" s="28" t="n">
        <v>2834.275086524167</v>
      </c>
      <c r="BB60" s="28">
        <f>SUM(C60:BA60)</f>
        <v/>
      </c>
      <c r="BC60" s="28" t="n">
        <v>0</v>
      </c>
      <c r="BD60" s="28" t="n">
        <v>0</v>
      </c>
      <c r="BE60" s="28" t="n">
        <v>119463.2607979188</v>
      </c>
      <c r="BF60" s="28" t="n">
        <v>0</v>
      </c>
      <c r="BG60" s="28">
        <f>SUM(BC60:BF60)</f>
        <v/>
      </c>
      <c r="BH60" s="28">
        <f>BB60+BG60</f>
        <v/>
      </c>
    </row>
    <row r="61">
      <c r="A61" s="30" t="n">
        <v>48</v>
      </c>
      <c r="B61" s="31" t="inlineStr">
        <is>
          <t>Serviços domésticos</t>
        </is>
      </c>
      <c r="C61" s="30" t="n">
        <v>0</v>
      </c>
      <c r="D61" s="30" t="n">
        <v>0</v>
      </c>
      <c r="E61" s="30" t="n">
        <v>0</v>
      </c>
      <c r="F61" s="30" t="n">
        <v>0</v>
      </c>
      <c r="G61" s="30" t="n">
        <v>0</v>
      </c>
      <c r="H61" s="30" t="n">
        <v>0</v>
      </c>
      <c r="I61" s="30" t="n">
        <v>0</v>
      </c>
      <c r="J61" s="30" t="n">
        <v>0</v>
      </c>
      <c r="K61" s="30" t="n">
        <v>0</v>
      </c>
      <c r="L61" s="30" t="n">
        <v>0</v>
      </c>
      <c r="M61" s="30" t="n">
        <v>0</v>
      </c>
      <c r="N61" s="30" t="n">
        <v>0</v>
      </c>
      <c r="O61" s="30" t="n">
        <v>0</v>
      </c>
      <c r="P61" s="30" t="n">
        <v>0</v>
      </c>
      <c r="Q61" s="30" t="n">
        <v>0</v>
      </c>
      <c r="R61" s="30" t="n">
        <v>0</v>
      </c>
      <c r="S61" s="30" t="n">
        <v>0</v>
      </c>
      <c r="T61" s="30" t="n">
        <v>0</v>
      </c>
      <c r="U61" s="30" t="n">
        <v>0</v>
      </c>
      <c r="V61" s="30" t="n">
        <v>0</v>
      </c>
      <c r="W61" s="30" t="n">
        <v>0</v>
      </c>
      <c r="X61" s="30" t="n">
        <v>0</v>
      </c>
      <c r="Y61" s="30" t="n">
        <v>0</v>
      </c>
      <c r="Z61" s="30" t="n">
        <v>0</v>
      </c>
      <c r="AA61" s="30" t="n">
        <v>0</v>
      </c>
      <c r="AB61" s="30" t="n">
        <v>0</v>
      </c>
      <c r="AC61" s="30" t="n">
        <v>0</v>
      </c>
      <c r="AD61" s="30" t="n">
        <v>0</v>
      </c>
      <c r="AE61" s="30" t="n">
        <v>0</v>
      </c>
      <c r="AF61" s="30" t="n">
        <v>0</v>
      </c>
      <c r="AG61" s="30" t="n">
        <v>0</v>
      </c>
      <c r="AH61" s="30" t="n">
        <v>0</v>
      </c>
      <c r="AI61" s="30" t="n">
        <v>0</v>
      </c>
      <c r="AJ61" s="30" t="n">
        <v>0</v>
      </c>
      <c r="AK61" s="30" t="n">
        <v>0</v>
      </c>
      <c r="AL61" s="30" t="n">
        <v>0</v>
      </c>
      <c r="AM61" s="30" t="n">
        <v>0</v>
      </c>
      <c r="AN61" s="30" t="n">
        <v>0</v>
      </c>
      <c r="AO61" s="30" t="n">
        <v>0</v>
      </c>
      <c r="AP61" s="30" t="n">
        <v>0</v>
      </c>
      <c r="AQ61" s="30" t="n">
        <v>0</v>
      </c>
      <c r="AR61" s="30" t="n">
        <v>0</v>
      </c>
      <c r="AS61" s="30" t="n">
        <v>0</v>
      </c>
      <c r="AT61" s="30" t="n">
        <v>0</v>
      </c>
      <c r="AU61" s="30" t="n">
        <v>0</v>
      </c>
      <c r="AV61" s="30" t="n">
        <v>0</v>
      </c>
      <c r="AW61" s="30" t="n">
        <v>0</v>
      </c>
      <c r="AX61" s="30" t="n">
        <v>0</v>
      </c>
      <c r="AY61" s="30" t="n">
        <v>0</v>
      </c>
      <c r="AZ61" s="30" t="n">
        <v>0</v>
      </c>
      <c r="BA61" s="30" t="n">
        <v>0</v>
      </c>
      <c r="BB61" s="30">
        <f>SUM(C61:BA61)</f>
        <v/>
      </c>
      <c r="BC61" s="30" t="n">
        <v>0</v>
      </c>
      <c r="BD61" s="30" t="n">
        <v>0</v>
      </c>
      <c r="BE61" s="30" t="n">
        <v>36931.8534512071</v>
      </c>
      <c r="BF61" s="30" t="n">
        <v>0</v>
      </c>
      <c r="BG61" s="30">
        <f>SUM(BC61:BF61)</f>
        <v/>
      </c>
      <c r="BH61" s="30">
        <f>BB61+BG61</f>
        <v/>
      </c>
    </row>
    <row r="62">
      <c r="A62" s="28" t="n">
        <v>49</v>
      </c>
      <c r="B62" s="29" t="inlineStr">
        <is>
          <t>Educação pública</t>
        </is>
      </c>
      <c r="C62" s="28" t="n">
        <v>22.89788018167139</v>
      </c>
      <c r="D62" s="28" t="n">
        <v>12.63420025118285</v>
      </c>
      <c r="E62" s="28" t="n">
        <v>360.3536912349819</v>
      </c>
      <c r="F62" s="28" t="n">
        <v>45.92315082979045</v>
      </c>
      <c r="G62" s="28" t="n">
        <v>43.23316715421943</v>
      </c>
      <c r="H62" s="28" t="n">
        <v>573.579098467325</v>
      </c>
      <c r="I62" s="28" t="n">
        <v>39.79985845406641</v>
      </c>
      <c r="J62" s="28" t="n">
        <v>21.86560573677108</v>
      </c>
      <c r="K62" s="28" t="n">
        <v>22.42808363014149</v>
      </c>
      <c r="L62" s="28" t="n">
        <v>28.80599743019392</v>
      </c>
      <c r="M62" s="28" t="n">
        <v>7.576881449288674</v>
      </c>
      <c r="N62" s="28" t="n">
        <v>73.58083396003657</v>
      </c>
      <c r="O62" s="28" t="n">
        <v>10.97637663196963</v>
      </c>
      <c r="P62" s="28" t="n">
        <v>99.09577907818013</v>
      </c>
      <c r="Q62" s="28" t="n">
        <v>17.86906374255718</v>
      </c>
      <c r="R62" s="28" t="n">
        <v>81.39557346426517</v>
      </c>
      <c r="S62" s="28" t="n">
        <v>18.6634495105336</v>
      </c>
      <c r="T62" s="28" t="n">
        <v>158.6499804855159</v>
      </c>
      <c r="U62" s="28" t="n">
        <v>49.82279277833892</v>
      </c>
      <c r="V62" s="28" t="n">
        <v>67.69237749787207</v>
      </c>
      <c r="W62" s="28" t="n">
        <v>38.36675736028026</v>
      </c>
      <c r="X62" s="28" t="n">
        <v>24.52740398703703</v>
      </c>
      <c r="Y62" s="28" t="n">
        <v>69.20663282672709</v>
      </c>
      <c r="Z62" s="28" t="n">
        <v>79.24003574498379</v>
      </c>
      <c r="AA62" s="28" t="n">
        <v>60.88237492667292</v>
      </c>
      <c r="AB62" s="28" t="n">
        <v>29.5793152844379</v>
      </c>
      <c r="AC62" s="28" t="n">
        <v>52.72759452591394</v>
      </c>
      <c r="AD62" s="28" t="n">
        <v>115.4100948666271</v>
      </c>
      <c r="AE62" s="28" t="n">
        <v>99.61259454349133</v>
      </c>
      <c r="AF62" s="28" t="n">
        <v>127.6498755557227</v>
      </c>
      <c r="AG62" s="28" t="n">
        <v>248.5020811312163</v>
      </c>
      <c r="AH62" s="28" t="n">
        <v>59.71590614049076</v>
      </c>
      <c r="AI62" s="28" t="n">
        <v>30.59120439174173</v>
      </c>
      <c r="AJ62" s="28" t="n">
        <v>24.14366177659507</v>
      </c>
      <c r="AK62" s="28" t="n">
        <v>236.4997746063591</v>
      </c>
      <c r="AL62" s="28" t="n">
        <v>367.2535644392777</v>
      </c>
      <c r="AM62" s="28" t="n">
        <v>1241.61665557439</v>
      </c>
      <c r="AN62" s="28" t="n">
        <v>516.6084959224426</v>
      </c>
      <c r="AO62" s="28" t="n">
        <v>852.821501985706</v>
      </c>
      <c r="AP62" s="28" t="n">
        <v>955.1154018833936</v>
      </c>
      <c r="AQ62" s="28" t="n">
        <v>60.2093357808209</v>
      </c>
      <c r="AR62" s="28" t="n">
        <v>6.698588378826798</v>
      </c>
      <c r="AS62" s="28" t="n">
        <v>80.65419185743418</v>
      </c>
      <c r="AT62" s="28" t="n">
        <v>901.7148098744825</v>
      </c>
      <c r="AU62" s="28" t="n">
        <v>160.2194989606924</v>
      </c>
      <c r="AV62" s="28" t="n">
        <v>62.45564990875122</v>
      </c>
      <c r="AW62" s="28" t="n">
        <v>299.4408776940025</v>
      </c>
      <c r="AX62" s="28" t="n">
        <v>0</v>
      </c>
      <c r="AY62" s="28" t="n">
        <v>192.1217148123223</v>
      </c>
      <c r="AZ62" s="28" t="n">
        <v>194.6118035529535</v>
      </c>
      <c r="BA62" s="28" t="n">
        <v>660.8391153626742</v>
      </c>
      <c r="BB62" s="28">
        <f>SUM(C62:BA62)</f>
        <v/>
      </c>
      <c r="BC62" s="28" t="n">
        <v>0</v>
      </c>
      <c r="BD62" s="28" t="n">
        <v>0</v>
      </c>
      <c r="BE62" s="28" t="n">
        <v>133305.6059589025</v>
      </c>
      <c r="BF62" s="28" t="n">
        <v>0</v>
      </c>
      <c r="BG62" s="28">
        <f>SUM(BC62:BF62)</f>
        <v/>
      </c>
      <c r="BH62" s="28">
        <f>BB62+BG62</f>
        <v/>
      </c>
    </row>
    <row r="63">
      <c r="A63" s="30" t="n">
        <v>50</v>
      </c>
      <c r="B63" s="31" t="inlineStr">
        <is>
          <t>Saúde pública</t>
        </is>
      </c>
      <c r="C63" s="30" t="n">
        <v>2.145229482233579</v>
      </c>
      <c r="D63" s="30" t="n">
        <v>1.342091348622825</v>
      </c>
      <c r="E63" s="30" t="n">
        <v>33.56399817648752</v>
      </c>
      <c r="F63" s="30" t="n">
        <v>4.229925677818104</v>
      </c>
      <c r="G63" s="30" t="n">
        <v>4.013985857764213</v>
      </c>
      <c r="H63" s="30" t="n">
        <v>52.99309763513463</v>
      </c>
      <c r="I63" s="30" t="n">
        <v>3.706082211366974</v>
      </c>
      <c r="J63" s="30" t="n">
        <v>2.01983261018269</v>
      </c>
      <c r="K63" s="30" t="n">
        <v>2.072804301232302</v>
      </c>
      <c r="L63" s="30" t="n">
        <v>2.678573885291911</v>
      </c>
      <c r="M63" s="30" t="n">
        <v>0.7037469792596737</v>
      </c>
      <c r="N63" s="30" t="n">
        <v>6.815329418839638</v>
      </c>
      <c r="O63" s="30" t="n">
        <v>0.9221706312178507</v>
      </c>
      <c r="P63" s="30" t="n">
        <v>9.223244541465794</v>
      </c>
      <c r="Q63" s="30" t="n">
        <v>1.656517139734719</v>
      </c>
      <c r="R63" s="30" t="n">
        <v>7.571881896729954</v>
      </c>
      <c r="S63" s="30" t="n">
        <v>1.73636537052857</v>
      </c>
      <c r="T63" s="30" t="n">
        <v>15.07755268376761</v>
      </c>
      <c r="U63" s="30" t="n">
        <v>4.64582770371772</v>
      </c>
      <c r="V63" s="30" t="n">
        <v>6.300649170371345</v>
      </c>
      <c r="W63" s="30" t="n">
        <v>3.57085868451191</v>
      </c>
      <c r="X63" s="30" t="n">
        <v>2.279991759541585</v>
      </c>
      <c r="Y63" s="30" t="n">
        <v>6.428933738033032</v>
      </c>
      <c r="Z63" s="30" t="n">
        <v>7.371743153681919</v>
      </c>
      <c r="AA63" s="30" t="n">
        <v>5.558665604262297</v>
      </c>
      <c r="AB63" s="30" t="n">
        <v>2.723924881965401</v>
      </c>
      <c r="AC63" s="30" t="n">
        <v>4.876615840142907</v>
      </c>
      <c r="AD63" s="30" t="n">
        <v>10.7213436712129</v>
      </c>
      <c r="AE63" s="30" t="n">
        <v>9.273522308834545</v>
      </c>
      <c r="AF63" s="30" t="n">
        <v>11.87310759331605</v>
      </c>
      <c r="AG63" s="30" t="n">
        <v>23.09866873637763</v>
      </c>
      <c r="AH63" s="30" t="n">
        <v>5.55127694591167</v>
      </c>
      <c r="AI63" s="30" t="n">
        <v>2.846571922329313</v>
      </c>
      <c r="AJ63" s="30" t="n">
        <v>2.240185868992575</v>
      </c>
      <c r="AK63" s="30" t="n">
        <v>21.92538269082882</v>
      </c>
      <c r="AL63" s="30" t="n">
        <v>34.14958574284462</v>
      </c>
      <c r="AM63" s="30" t="n">
        <v>113.9547199249853</v>
      </c>
      <c r="AN63" s="30" t="n">
        <v>47.42515821829081</v>
      </c>
      <c r="AO63" s="30" t="n">
        <v>78.91302769125619</v>
      </c>
      <c r="AP63" s="30" t="n">
        <v>87.77383327703505</v>
      </c>
      <c r="AQ63" s="30" t="n">
        <v>5.524744065319171</v>
      </c>
      <c r="AR63" s="30" t="n">
        <v>0.4291366087968829</v>
      </c>
      <c r="AS63" s="30" t="n">
        <v>7.324863787314398</v>
      </c>
      <c r="AT63" s="30" t="n">
        <v>81.2828344252182</v>
      </c>
      <c r="AU63" s="30" t="n">
        <v>14.8085002419297</v>
      </c>
      <c r="AV63" s="30" t="n">
        <v>226.4843801962201</v>
      </c>
      <c r="AW63" s="30" t="n">
        <v>27.39501454361832</v>
      </c>
      <c r="AX63" s="30" t="n">
        <v>0</v>
      </c>
      <c r="AY63" s="30" t="n">
        <v>17.22772172322576</v>
      </c>
      <c r="AZ63" s="30" t="n">
        <v>18.23874050133307</v>
      </c>
      <c r="BA63" s="30" t="n">
        <v>61.88447208139309</v>
      </c>
      <c r="BB63" s="30">
        <f>SUM(C63:BA63)</f>
        <v/>
      </c>
      <c r="BC63" s="30" t="n">
        <v>0</v>
      </c>
      <c r="BD63" s="30" t="n">
        <v>0</v>
      </c>
      <c r="BE63" s="30" t="n">
        <v>89582.22537886575</v>
      </c>
      <c r="BF63" s="30" t="n">
        <v>0</v>
      </c>
      <c r="BG63" s="30">
        <f>SUM(BC63:BF63)</f>
        <v/>
      </c>
      <c r="BH63" s="30">
        <f>BB63+BG63</f>
        <v/>
      </c>
    </row>
    <row r="64">
      <c r="A64" s="28" t="n">
        <v>51</v>
      </c>
      <c r="B64" s="29" t="inlineStr">
        <is>
          <t>Administração pública e seguridade social</t>
        </is>
      </c>
      <c r="C64" s="28" t="n">
        <v>412.4276575152763</v>
      </c>
      <c r="D64" s="28" t="n">
        <v>134.641839445634</v>
      </c>
      <c r="E64" s="28" t="n">
        <v>657.0954257283285</v>
      </c>
      <c r="F64" s="28" t="n">
        <v>105.8454316755892</v>
      </c>
      <c r="G64" s="28" t="n">
        <v>93.01795539886818</v>
      </c>
      <c r="H64" s="28" t="n">
        <v>1674.763797823502</v>
      </c>
      <c r="I64" s="28" t="n">
        <v>62.98456632655372</v>
      </c>
      <c r="J64" s="28" t="n">
        <v>62.41620572175128</v>
      </c>
      <c r="K64" s="28" t="n">
        <v>61.53435293838957</v>
      </c>
      <c r="L64" s="28" t="n">
        <v>55.12010180809108</v>
      </c>
      <c r="M64" s="28" t="n">
        <v>33.02959433222081</v>
      </c>
      <c r="N64" s="28" t="n">
        <v>195.9303058291574</v>
      </c>
      <c r="O64" s="28" t="n">
        <v>153.2009842586802</v>
      </c>
      <c r="P64" s="28" t="n">
        <v>172.3735031003771</v>
      </c>
      <c r="Q64" s="28" t="n">
        <v>40.71460429809586</v>
      </c>
      <c r="R64" s="28" t="n">
        <v>385.3980252399928</v>
      </c>
      <c r="S64" s="28" t="n">
        <v>60.24469081234871</v>
      </c>
      <c r="T64" s="28" t="n">
        <v>279.5414968757861</v>
      </c>
      <c r="U64" s="28" t="n">
        <v>88.8153189590989</v>
      </c>
      <c r="V64" s="28" t="n">
        <v>128.73707562921</v>
      </c>
      <c r="W64" s="28" t="n">
        <v>89.01624167112735</v>
      </c>
      <c r="X64" s="28" t="n">
        <v>63.39367401356615</v>
      </c>
      <c r="Y64" s="28" t="n">
        <v>151.278819097961</v>
      </c>
      <c r="Z64" s="28" t="n">
        <v>191.5733884829084</v>
      </c>
      <c r="AA64" s="28" t="n">
        <v>208.1282757812889</v>
      </c>
      <c r="AB64" s="28" t="n">
        <v>85.61776103589193</v>
      </c>
      <c r="AC64" s="28" t="n">
        <v>120.3363142456188</v>
      </c>
      <c r="AD64" s="28" t="n">
        <v>237.3105708632382</v>
      </c>
      <c r="AE64" s="28" t="n">
        <v>179.0451207638925</v>
      </c>
      <c r="AF64" s="28" t="n">
        <v>226.434029106613</v>
      </c>
      <c r="AG64" s="28" t="n">
        <v>440.9993270289444</v>
      </c>
      <c r="AH64" s="28" t="n">
        <v>125.2925197611025</v>
      </c>
      <c r="AI64" s="28" t="n">
        <v>62.5056687707455</v>
      </c>
      <c r="AJ64" s="28" t="n">
        <v>52.93820878837691</v>
      </c>
      <c r="AK64" s="28" t="n">
        <v>790.1334104998066</v>
      </c>
      <c r="AL64" s="28" t="n">
        <v>651.4781128185729</v>
      </c>
      <c r="AM64" s="28" t="n">
        <v>2895.136137183357</v>
      </c>
      <c r="AN64" s="28" t="n">
        <v>1157.270974071183</v>
      </c>
      <c r="AO64" s="28" t="n">
        <v>1855.940938792436</v>
      </c>
      <c r="AP64" s="28" t="n">
        <v>1781.035316417817</v>
      </c>
      <c r="AQ64" s="28" t="n">
        <v>144.5151570592238</v>
      </c>
      <c r="AR64" s="28" t="n">
        <v>18.06877478154725</v>
      </c>
      <c r="AS64" s="28" t="n">
        <v>206.7894009538589</v>
      </c>
      <c r="AT64" s="28" t="n">
        <v>2007.837801172547</v>
      </c>
      <c r="AU64" s="28" t="n">
        <v>332.6802490529681</v>
      </c>
      <c r="AV64" s="28" t="n">
        <v>194.9185257858945</v>
      </c>
      <c r="AW64" s="28" t="n">
        <v>1005.611253374294</v>
      </c>
      <c r="AX64" s="28" t="n">
        <v>0</v>
      </c>
      <c r="AY64" s="28" t="n">
        <v>386.6172979260575</v>
      </c>
      <c r="AZ64" s="28" t="n">
        <v>366.2478546746106</v>
      </c>
      <c r="BA64" s="28" t="n">
        <v>1335.914107029082</v>
      </c>
      <c r="BB64" s="28">
        <f>SUM(C64:BA64)</f>
        <v/>
      </c>
      <c r="BC64" s="28" t="n">
        <v>0</v>
      </c>
      <c r="BD64" s="28" t="n">
        <v>0</v>
      </c>
      <c r="BE64" s="28" t="n">
        <v>412434.8036548282</v>
      </c>
      <c r="BF64" s="28" t="n">
        <v>0</v>
      </c>
      <c r="BG64" s="28">
        <f>SUM(BC64:BF64)</f>
        <v/>
      </c>
      <c r="BH64" s="28">
        <f>BB64+BG64</f>
        <v/>
      </c>
    </row>
    <row r="65">
      <c r="B65" s="32" t="inlineStr">
        <is>
          <t>Total consumo intermedio</t>
        </is>
      </c>
      <c r="C65" s="33">
        <f>SUM(C14:C64)</f>
        <v/>
      </c>
      <c r="D65" s="33">
        <f>SUM(D14:D64)</f>
        <v/>
      </c>
      <c r="E65" s="33">
        <f>SUM(E14:E64)</f>
        <v/>
      </c>
      <c r="F65" s="33">
        <f>SUM(F14:F64)</f>
        <v/>
      </c>
      <c r="G65" s="33">
        <f>SUM(G14:G64)</f>
        <v/>
      </c>
      <c r="H65" s="33">
        <f>SUM(H14:H64)</f>
        <v/>
      </c>
      <c r="I65" s="33">
        <f>SUM(I14:I64)</f>
        <v/>
      </c>
      <c r="J65" s="33">
        <f>SUM(J14:J64)</f>
        <v/>
      </c>
      <c r="K65" s="33">
        <f>SUM(K14:K64)</f>
        <v/>
      </c>
      <c r="L65" s="33">
        <f>SUM(L14:L64)</f>
        <v/>
      </c>
      <c r="M65" s="33">
        <f>SUM(M14:M64)</f>
        <v/>
      </c>
      <c r="N65" s="33">
        <f>SUM(N14:N64)</f>
        <v/>
      </c>
      <c r="O65" s="33">
        <f>SUM(O14:O64)</f>
        <v/>
      </c>
      <c r="P65" s="33">
        <f>SUM(P14:P64)</f>
        <v/>
      </c>
      <c r="Q65" s="33">
        <f>SUM(Q14:Q64)</f>
        <v/>
      </c>
      <c r="R65" s="33">
        <f>SUM(R14:R64)</f>
        <v/>
      </c>
      <c r="S65" s="33">
        <f>SUM(S14:S64)</f>
        <v/>
      </c>
      <c r="T65" s="33">
        <f>SUM(T14:T64)</f>
        <v/>
      </c>
      <c r="U65" s="33">
        <f>SUM(U14:U64)</f>
        <v/>
      </c>
      <c r="V65" s="33">
        <f>SUM(V14:V64)</f>
        <v/>
      </c>
      <c r="W65" s="33">
        <f>SUM(W14:W64)</f>
        <v/>
      </c>
      <c r="X65" s="33">
        <f>SUM(X14:X64)</f>
        <v/>
      </c>
      <c r="Y65" s="33">
        <f>SUM(Y14:Y64)</f>
        <v/>
      </c>
      <c r="Z65" s="33">
        <f>SUM(Z14:Z64)</f>
        <v/>
      </c>
      <c r="AA65" s="33">
        <f>SUM(AA14:AA64)</f>
        <v/>
      </c>
      <c r="AB65" s="33">
        <f>SUM(AB14:AB64)</f>
        <v/>
      </c>
      <c r="AC65" s="33">
        <f>SUM(AC14:AC64)</f>
        <v/>
      </c>
      <c r="AD65" s="33">
        <f>SUM(AD14:AD64)</f>
        <v/>
      </c>
      <c r="AE65" s="33">
        <f>SUM(AE14:AE64)</f>
        <v/>
      </c>
      <c r="AF65" s="33">
        <f>SUM(AF14:AF64)</f>
        <v/>
      </c>
      <c r="AG65" s="33">
        <f>SUM(AG14:AG64)</f>
        <v/>
      </c>
      <c r="AH65" s="33">
        <f>SUM(AH14:AH64)</f>
        <v/>
      </c>
      <c r="AI65" s="33">
        <f>SUM(AI14:AI64)</f>
        <v/>
      </c>
      <c r="AJ65" s="33">
        <f>SUM(AJ14:AJ64)</f>
        <v/>
      </c>
      <c r="AK65" s="33">
        <f>SUM(AK14:AK64)</f>
        <v/>
      </c>
      <c r="AL65" s="33">
        <f>SUM(AL14:AL64)</f>
        <v/>
      </c>
      <c r="AM65" s="33">
        <f>SUM(AM14:AM64)</f>
        <v/>
      </c>
      <c r="AN65" s="33">
        <f>SUM(AN14:AN64)</f>
        <v/>
      </c>
      <c r="AO65" s="33">
        <f>SUM(AO14:AO64)</f>
        <v/>
      </c>
      <c r="AP65" s="33">
        <f>SUM(AP14:AP64)</f>
        <v/>
      </c>
      <c r="AQ65" s="33">
        <f>SUM(AQ14:AQ64)</f>
        <v/>
      </c>
      <c r="AR65" s="33">
        <f>SUM(AR14:AR64)</f>
        <v/>
      </c>
      <c r="AS65" s="33">
        <f>SUM(AS14:AS64)</f>
        <v/>
      </c>
      <c r="AT65" s="33">
        <f>SUM(AT14:AT64)</f>
        <v/>
      </c>
      <c r="AU65" s="33">
        <f>SUM(AU14:AU64)</f>
        <v/>
      </c>
      <c r="AV65" s="33">
        <f>SUM(AV14:AV64)</f>
        <v/>
      </c>
      <c r="AW65" s="33">
        <f>SUM(AW14:AW64)</f>
        <v/>
      </c>
      <c r="AX65" s="33">
        <f>SUM(AX14:AX64)</f>
        <v/>
      </c>
      <c r="AY65" s="33">
        <f>SUM(AY14:AY64)</f>
        <v/>
      </c>
      <c r="AZ65" s="33">
        <f>SUM(AZ14:AZ64)</f>
        <v/>
      </c>
      <c r="BA65" s="33">
        <f>SUM(BA14:BA64)</f>
        <v/>
      </c>
      <c r="BB65" s="33">
        <f>SUM(BB14:BB64)</f>
        <v/>
      </c>
      <c r="BC65" s="33">
        <f>SUM(BC14:BC64)</f>
        <v/>
      </c>
      <c r="BD65" s="33">
        <f>SUM(BD14:BD64)</f>
        <v/>
      </c>
      <c r="BE65" s="33">
        <f>SUM(BE14:BE64)</f>
        <v/>
      </c>
      <c r="BF65" s="33">
        <f>SUM(BF14:BF64)</f>
        <v/>
      </c>
      <c r="BG65" s="33">
        <f>SUM(BG14:BG64)</f>
        <v/>
      </c>
      <c r="BH65" s="33">
        <f>SUM(BH14:BH64)</f>
        <v/>
      </c>
    </row>
    <row r="66"/>
    <row r="67">
      <c r="B67" s="32" t="inlineStr">
        <is>
          <t>Ajuste intermedio no asignado a matriz</t>
        </is>
      </c>
      <c r="C67" s="33" t="n">
        <v>-1.091393642127514e-11</v>
      </c>
      <c r="D67" s="33" t="n">
        <v>-7.275957614183426e-12</v>
      </c>
      <c r="E67" s="33" t="n">
        <v>0</v>
      </c>
      <c r="F67" s="33" t="n">
        <v>1.477928890381008e-12</v>
      </c>
      <c r="G67" s="33" t="n">
        <v>-4.547473508864641e-13</v>
      </c>
      <c r="H67" s="33" t="n">
        <v>9.094947017729282e-12</v>
      </c>
      <c r="I67" s="33" t="n">
        <v>1.70530256582424e-13</v>
      </c>
      <c r="J67" s="33" t="n">
        <v>-1.818989403545856e-12</v>
      </c>
      <c r="K67" s="33" t="n">
        <v>2.728484105318785e-12</v>
      </c>
      <c r="L67" s="33" t="n">
        <v>2.501110429875553e-12</v>
      </c>
      <c r="M67" s="33" t="n">
        <v>2.273736754432321e-13</v>
      </c>
      <c r="N67" s="33" t="n">
        <v>4.092726157978177e-12</v>
      </c>
      <c r="O67" s="33" t="n">
        <v>-4.547473508864641e-13</v>
      </c>
      <c r="P67" s="33" t="n">
        <v>7.275957614183426e-12</v>
      </c>
      <c r="Q67" s="33" t="n">
        <v>1.13686837721616e-13</v>
      </c>
      <c r="R67" s="33" t="n">
        <v>5.456968210637569e-12</v>
      </c>
      <c r="S67" s="33" t="n">
        <v>2.728484105318785e-12</v>
      </c>
      <c r="T67" s="33" t="n">
        <v>-4.547473508864641e-13</v>
      </c>
      <c r="U67" s="33" t="n">
        <v>1.364242052659392e-12</v>
      </c>
      <c r="V67" s="33" t="n">
        <v>-9.094947017729282e-13</v>
      </c>
      <c r="W67" s="33" t="n">
        <v>2.273736754432321e-12</v>
      </c>
      <c r="X67" s="33" t="n">
        <v>6.821210263296962e-13</v>
      </c>
      <c r="Y67" s="33" t="n">
        <v>4.547473508864641e-12</v>
      </c>
      <c r="Z67" s="33" t="n">
        <v>5.002220859751105e-12</v>
      </c>
      <c r="AA67" s="33" t="n">
        <v>5.456968210637569e-12</v>
      </c>
      <c r="AB67" s="33" t="n">
        <v>1.818989403545856e-12</v>
      </c>
      <c r="AC67" s="33" t="n">
        <v>-1.818989403545856e-12</v>
      </c>
      <c r="AD67" s="33" t="n">
        <v>1.182343112304807e-11</v>
      </c>
      <c r="AE67" s="33" t="n">
        <v>2.728484105318785e-12</v>
      </c>
      <c r="AF67" s="33" t="n">
        <v>-1.818989403545856e-12</v>
      </c>
      <c r="AG67" s="33" t="n">
        <v>-3.637978807091713e-12</v>
      </c>
      <c r="AH67" s="33" t="n">
        <v>0</v>
      </c>
      <c r="AI67" s="33" t="n">
        <v>0</v>
      </c>
      <c r="AJ67" s="33" t="n">
        <v>1.818989403545856e-12</v>
      </c>
      <c r="AK67" s="33" t="n">
        <v>0</v>
      </c>
      <c r="AL67" s="33" t="n">
        <v>7.275957614183426e-12</v>
      </c>
      <c r="AM67" s="33" t="n">
        <v>7.275957614183426e-12</v>
      </c>
      <c r="AN67" s="33" t="n">
        <v>1.091393642127514e-11</v>
      </c>
      <c r="AO67" s="33" t="n">
        <v>7.275957614183426e-12</v>
      </c>
      <c r="AP67" s="33" t="n">
        <v>0</v>
      </c>
      <c r="AQ67" s="33" t="n">
        <v>-4.547473508864641e-13</v>
      </c>
      <c r="AR67" s="33" t="n">
        <v>-2.273736754432321e-13</v>
      </c>
      <c r="AS67" s="33" t="n">
        <v>3.637978807091713e-12</v>
      </c>
      <c r="AT67" s="33" t="n">
        <v>3.637978807091713e-12</v>
      </c>
      <c r="AU67" s="33" t="n">
        <v>0</v>
      </c>
      <c r="AV67" s="33" t="n">
        <v>3.637978807091713e-12</v>
      </c>
      <c r="AW67" s="33" t="n">
        <v>-3.637978807091713e-12</v>
      </c>
      <c r="AX67" s="33" t="n">
        <v>0</v>
      </c>
      <c r="AY67" s="33" t="n">
        <v>-9.094947017729282e-13</v>
      </c>
      <c r="AZ67" s="33" t="n">
        <v>9.094947017729282e-13</v>
      </c>
      <c r="BA67" s="33" t="n">
        <v>1.818989403545856e-12</v>
      </c>
      <c r="BH67" s="33">
        <f>SUM(C67:BA67)</f>
        <v/>
      </c>
    </row>
    <row r="68"/>
    <row r="69">
      <c r="B69" s="32" t="inlineStr">
        <is>
          <t>Valor agregado</t>
        </is>
      </c>
      <c r="C69" s="33" t="n">
        <v>104212.079534268</v>
      </c>
      <c r="D69" s="33" t="n">
        <v>45000.559501409</v>
      </c>
      <c r="E69" s="33" t="n">
        <v>40905.4275279958</v>
      </c>
      <c r="F69" s="33" t="n">
        <v>14672.7724515063</v>
      </c>
      <c r="G69" s="33" t="n">
        <v>7126.4211362825</v>
      </c>
      <c r="H69" s="33" t="n">
        <v>59780.5479099458</v>
      </c>
      <c r="I69" s="33" t="n">
        <v>1626.28977832027</v>
      </c>
      <c r="J69" s="33" t="n">
        <v>8078.24103690438</v>
      </c>
      <c r="K69" s="33" t="n">
        <v>20658.379836732</v>
      </c>
      <c r="L69" s="33" t="n">
        <v>7397.03830916817</v>
      </c>
      <c r="M69" s="33" t="n">
        <v>7383.1679151733</v>
      </c>
      <c r="N69" s="33" t="n">
        <v>9693.47592953556</v>
      </c>
      <c r="O69" s="33" t="n">
        <v>7029.51375320717</v>
      </c>
      <c r="P69" s="33" t="n">
        <v>40358.8694089936</v>
      </c>
      <c r="Q69" s="33" t="n">
        <v>2740.00570560223</v>
      </c>
      <c r="R69" s="33" t="n">
        <v>13766.314444062</v>
      </c>
      <c r="S69" s="33" t="n">
        <v>2196.78658140871</v>
      </c>
      <c r="T69" s="33" t="n">
        <v>19174.229495761</v>
      </c>
      <c r="U69" s="33" t="n">
        <v>2889.54542059119</v>
      </c>
      <c r="V69" s="33" t="n">
        <v>8114.64887831819</v>
      </c>
      <c r="W69" s="33" t="n">
        <v>1971.74468227615</v>
      </c>
      <c r="X69" s="33" t="n">
        <v>3106.88777541414</v>
      </c>
      <c r="Y69" s="33" t="n">
        <v>17860.0633217699</v>
      </c>
      <c r="Z69" s="33" t="n">
        <v>18583.4903023288</v>
      </c>
      <c r="AA69" s="33" t="n">
        <v>15012.3765160157</v>
      </c>
      <c r="AB69" s="33" t="n">
        <v>4921.97888400076</v>
      </c>
      <c r="AC69" s="33" t="n">
        <v>29893.71507536</v>
      </c>
      <c r="AD69" s="33" t="n">
        <v>35328.0099402112</v>
      </c>
      <c r="AE69" s="33" t="n">
        <v>12430.0474442545</v>
      </c>
      <c r="AF69" s="33" t="n">
        <v>14595.0813661936</v>
      </c>
      <c r="AG69" s="33" t="n">
        <v>25656.388376015</v>
      </c>
      <c r="AH69" s="33" t="n">
        <v>18352.9986696181</v>
      </c>
      <c r="AI69" s="33" t="n">
        <v>9008.657191856069</v>
      </c>
      <c r="AJ69" s="33" t="n">
        <v>17668.5191902923</v>
      </c>
      <c r="AK69" s="33" t="n">
        <v>76616.1156564331</v>
      </c>
      <c r="AL69" s="33" t="n">
        <v>154624.352828171</v>
      </c>
      <c r="AM69" s="33" t="n">
        <v>361913.880317644</v>
      </c>
      <c r="AN69" s="33" t="n">
        <v>109402.566148702</v>
      </c>
      <c r="AO69" s="33" t="n">
        <v>122172.985663074</v>
      </c>
      <c r="AP69" s="33" t="n">
        <v>187593.272616759</v>
      </c>
      <c r="AQ69" s="33" t="n">
        <v>247216.983195915</v>
      </c>
      <c r="AR69" s="33" t="n">
        <v>9482.66232663341</v>
      </c>
      <c r="AS69" s="33" t="n">
        <v>57126.2175331103</v>
      </c>
      <c r="AT69" s="33" t="n">
        <v>178726.216623332</v>
      </c>
      <c r="AU69" s="33" t="n">
        <v>33093.8298377736</v>
      </c>
      <c r="AV69" s="33" t="n">
        <v>58331.9203249387</v>
      </c>
      <c r="AW69" s="33" t="n">
        <v>82156.91201609009</v>
      </c>
      <c r="AX69" s="33" t="n">
        <v>36931.8534512071</v>
      </c>
      <c r="AY69" s="33" t="n">
        <v>114727.0009658</v>
      </c>
      <c r="AZ69" s="33" t="n">
        <v>60429.6230948659</v>
      </c>
      <c r="BA69" s="33" t="n">
        <v>312022.17625409</v>
      </c>
      <c r="BH69" s="33">
        <f>SUM(C69:BA69)</f>
        <v/>
      </c>
    </row>
    <row r="70"/>
    <row r="71">
      <c r="B71" s="32" t="inlineStr">
        <is>
          <t>Produccion total</t>
        </is>
      </c>
      <c r="C71" s="33">
        <f>C65+C67+C69</f>
        <v/>
      </c>
      <c r="D71" s="33">
        <f>D65+D67+D69</f>
        <v/>
      </c>
      <c r="E71" s="33">
        <f>E65+E67+E69</f>
        <v/>
      </c>
      <c r="F71" s="33">
        <f>F65+F67+F69</f>
        <v/>
      </c>
      <c r="G71" s="33">
        <f>G65+G67+G69</f>
        <v/>
      </c>
      <c r="H71" s="33">
        <f>H65+H67+H69</f>
        <v/>
      </c>
      <c r="I71" s="33">
        <f>I65+I67+I69</f>
        <v/>
      </c>
      <c r="J71" s="33">
        <f>J65+J67+J69</f>
        <v/>
      </c>
      <c r="K71" s="33">
        <f>K65+K67+K69</f>
        <v/>
      </c>
      <c r="L71" s="33">
        <f>L65+L67+L69</f>
        <v/>
      </c>
      <c r="M71" s="33">
        <f>M65+M67+M69</f>
        <v/>
      </c>
      <c r="N71" s="33">
        <f>N65+N67+N69</f>
        <v/>
      </c>
      <c r="O71" s="33">
        <f>O65+O67+O69</f>
        <v/>
      </c>
      <c r="P71" s="33">
        <f>P65+P67+P69</f>
        <v/>
      </c>
      <c r="Q71" s="33">
        <f>Q65+Q67+Q69</f>
        <v/>
      </c>
      <c r="R71" s="33">
        <f>R65+R67+R69</f>
        <v/>
      </c>
      <c r="S71" s="33">
        <f>S65+S67+S69</f>
        <v/>
      </c>
      <c r="T71" s="33">
        <f>T65+T67+T69</f>
        <v/>
      </c>
      <c r="U71" s="33">
        <f>U65+U67+U69</f>
        <v/>
      </c>
      <c r="V71" s="33">
        <f>V65+V67+V69</f>
        <v/>
      </c>
      <c r="W71" s="33">
        <f>W65+W67+W69</f>
        <v/>
      </c>
      <c r="X71" s="33">
        <f>X65+X67+X69</f>
        <v/>
      </c>
      <c r="Y71" s="33">
        <f>Y65+Y67+Y69</f>
        <v/>
      </c>
      <c r="Z71" s="33">
        <f>Z65+Z67+Z69</f>
        <v/>
      </c>
      <c r="AA71" s="33">
        <f>AA65+AA67+AA69</f>
        <v/>
      </c>
      <c r="AB71" s="33">
        <f>AB65+AB67+AB69</f>
        <v/>
      </c>
      <c r="AC71" s="33">
        <f>AC65+AC67+AC69</f>
        <v/>
      </c>
      <c r="AD71" s="33">
        <f>AD65+AD67+AD69</f>
        <v/>
      </c>
      <c r="AE71" s="33">
        <f>AE65+AE67+AE69</f>
        <v/>
      </c>
      <c r="AF71" s="33">
        <f>AF65+AF67+AF69</f>
        <v/>
      </c>
      <c r="AG71" s="33">
        <f>AG65+AG67+AG69</f>
        <v/>
      </c>
      <c r="AH71" s="33">
        <f>AH65+AH67+AH69</f>
        <v/>
      </c>
      <c r="AI71" s="33">
        <f>AI65+AI67+AI69</f>
        <v/>
      </c>
      <c r="AJ71" s="33">
        <f>AJ65+AJ67+AJ69</f>
        <v/>
      </c>
      <c r="AK71" s="33">
        <f>AK65+AK67+AK69</f>
        <v/>
      </c>
      <c r="AL71" s="33">
        <f>AL65+AL67+AL69</f>
        <v/>
      </c>
      <c r="AM71" s="33">
        <f>AM65+AM67+AM69</f>
        <v/>
      </c>
      <c r="AN71" s="33">
        <f>AN65+AN67+AN69</f>
        <v/>
      </c>
      <c r="AO71" s="33">
        <f>AO65+AO67+AO69</f>
        <v/>
      </c>
      <c r="AP71" s="33">
        <f>AP65+AP67+AP69</f>
        <v/>
      </c>
      <c r="AQ71" s="33">
        <f>AQ65+AQ67+AQ69</f>
        <v/>
      </c>
      <c r="AR71" s="33">
        <f>AR65+AR67+AR69</f>
        <v/>
      </c>
      <c r="AS71" s="33">
        <f>AS65+AS67+AS69</f>
        <v/>
      </c>
      <c r="AT71" s="33">
        <f>AT65+AT67+AT69</f>
        <v/>
      </c>
      <c r="AU71" s="33">
        <f>AU65+AU67+AU69</f>
        <v/>
      </c>
      <c r="AV71" s="33">
        <f>AV65+AV67+AV69</f>
        <v/>
      </c>
      <c r="AW71" s="33">
        <f>AW65+AW67+AW69</f>
        <v/>
      </c>
      <c r="AX71" s="33">
        <f>AX65+AX67+AX69</f>
        <v/>
      </c>
      <c r="AY71" s="33">
        <f>AY65+AY67+AY69</f>
        <v/>
      </c>
      <c r="AZ71" s="33">
        <f>AZ65+AZ67+AZ69</f>
        <v/>
      </c>
      <c r="BA71" s="33">
        <f>BA65+BA67+BA69</f>
        <v/>
      </c>
      <c r="BH71" s="33">
        <f>SUM(C71:BA71)</f>
        <v/>
      </c>
    </row>
    <row r="72">
      <c r="B72" s="32" t="inlineStr">
        <is>
          <t>Produccion fuente</t>
        </is>
      </c>
      <c r="C72" s="33" t="n">
        <v>175868.5562383268</v>
      </c>
      <c r="D72" s="33" t="n">
        <v>85067.89356783663</v>
      </c>
      <c r="E72" s="33" t="n">
        <v>91383.10257987339</v>
      </c>
      <c r="F72" s="33" t="n">
        <v>29275.42407270773</v>
      </c>
      <c r="G72" s="33" t="n">
        <v>21249.22823751539</v>
      </c>
      <c r="H72" s="33" t="n">
        <v>361027.1141577447</v>
      </c>
      <c r="I72" s="33" t="n">
        <v>11227.33549110681</v>
      </c>
      <c r="J72" s="33" t="n">
        <v>36719.98594875087</v>
      </c>
      <c r="K72" s="33" t="n">
        <v>44605.95308216341</v>
      </c>
      <c r="L72" s="33" t="n">
        <v>24220.30342190613</v>
      </c>
      <c r="M72" s="33" t="n">
        <v>17310.44563524837</v>
      </c>
      <c r="N72" s="33" t="n">
        <v>45245.18549844064</v>
      </c>
      <c r="O72" s="33" t="n">
        <v>16221.57469069237</v>
      </c>
      <c r="P72" s="33" t="n">
        <v>219059.0776136115</v>
      </c>
      <c r="Q72" s="33" t="n">
        <v>20483.97490114793</v>
      </c>
      <c r="R72" s="33" t="n">
        <v>64194.17988269989</v>
      </c>
      <c r="S72" s="33" t="n">
        <v>21683.69562363739</v>
      </c>
      <c r="T72" s="33" t="n">
        <v>38775.91618440356</v>
      </c>
      <c r="U72" s="33" t="n">
        <v>15078.2127362164</v>
      </c>
      <c r="V72" s="33" t="n">
        <v>26954.49153344995</v>
      </c>
      <c r="W72" s="33" t="n">
        <v>12842.4810029503</v>
      </c>
      <c r="X72" s="33" t="n">
        <v>15025.65298634467</v>
      </c>
      <c r="Y72" s="33" t="n">
        <v>62036.55434332245</v>
      </c>
      <c r="Z72" s="33" t="n">
        <v>55391.93503279505</v>
      </c>
      <c r="AA72" s="33" t="n">
        <v>72620.43362225003</v>
      </c>
      <c r="AB72" s="33" t="n">
        <v>32466.62050078451</v>
      </c>
      <c r="AC72" s="33" t="n">
        <v>67616.9168476772</v>
      </c>
      <c r="AD72" s="33" t="n">
        <v>107424.8307429642</v>
      </c>
      <c r="AE72" s="33" t="n">
        <v>51912.58027002666</v>
      </c>
      <c r="AF72" s="33" t="n">
        <v>62269.58840716687</v>
      </c>
      <c r="AG72" s="33" t="n">
        <v>121551.6032800584</v>
      </c>
      <c r="AH72" s="33" t="n">
        <v>62836.51044819216</v>
      </c>
      <c r="AI72" s="33" t="n">
        <v>33610.325880304</v>
      </c>
      <c r="AJ72" s="33" t="n">
        <v>39253.24192213803</v>
      </c>
      <c r="AK72" s="33" t="n">
        <v>165120.8817504364</v>
      </c>
      <c r="AL72" s="33" t="n">
        <v>363972.5923875003</v>
      </c>
      <c r="AM72" s="33" t="n">
        <v>566070.8490564777</v>
      </c>
      <c r="AN72" s="33" t="n">
        <v>270563.8406959669</v>
      </c>
      <c r="AO72" s="33" t="n">
        <v>242507.1149763499</v>
      </c>
      <c r="AP72" s="33" t="n">
        <v>305301.3232373904</v>
      </c>
      <c r="AQ72" s="33" t="n">
        <v>274333.1413695201</v>
      </c>
      <c r="AR72" s="33" t="n">
        <v>12830.58352358138</v>
      </c>
      <c r="AS72" s="33" t="n">
        <v>124197.4600619591</v>
      </c>
      <c r="AT72" s="33" t="n">
        <v>294998.24511296</v>
      </c>
      <c r="AU72" s="33" t="n">
        <v>51132.18963820278</v>
      </c>
      <c r="AV72" s="33" t="n">
        <v>106585.9527429974</v>
      </c>
      <c r="AW72" s="33" t="n">
        <v>160883.8420304647</v>
      </c>
      <c r="AX72" s="33" t="n">
        <v>36931.8534512071</v>
      </c>
      <c r="AY72" s="33" t="n">
        <v>141537.0517709362</v>
      </c>
      <c r="AZ72" s="33" t="n">
        <v>90553.62329633815</v>
      </c>
      <c r="BA72" s="33" t="n">
        <v>431266.184748297</v>
      </c>
      <c r="BH72" s="33">
        <f>SUM(C72:BA72)</f>
        <v/>
      </c>
    </row>
    <row r="73">
      <c r="B73" s="35" t="inlineStr">
        <is>
          <t>Check produccion total - fuente</t>
        </is>
      </c>
      <c r="C73" s="36">
        <f>C71-C72</f>
        <v/>
      </c>
      <c r="D73" s="36">
        <f>D71-D72</f>
        <v/>
      </c>
      <c r="E73" s="36">
        <f>E71-E72</f>
        <v/>
      </c>
      <c r="F73" s="36">
        <f>F71-F72</f>
        <v/>
      </c>
      <c r="G73" s="36">
        <f>G71-G72</f>
        <v/>
      </c>
      <c r="H73" s="36">
        <f>H71-H72</f>
        <v/>
      </c>
      <c r="I73" s="36">
        <f>I71-I72</f>
        <v/>
      </c>
      <c r="J73" s="36">
        <f>J71-J72</f>
        <v/>
      </c>
      <c r="K73" s="36">
        <f>K71-K72</f>
        <v/>
      </c>
      <c r="L73" s="36">
        <f>L71-L72</f>
        <v/>
      </c>
      <c r="M73" s="36">
        <f>M71-M72</f>
        <v/>
      </c>
      <c r="N73" s="36">
        <f>N71-N72</f>
        <v/>
      </c>
      <c r="O73" s="36">
        <f>O71-O72</f>
        <v/>
      </c>
      <c r="P73" s="36">
        <f>P71-P72</f>
        <v/>
      </c>
      <c r="Q73" s="36">
        <f>Q71-Q72</f>
        <v/>
      </c>
      <c r="R73" s="36">
        <f>R71-R72</f>
        <v/>
      </c>
      <c r="S73" s="36">
        <f>S71-S72</f>
        <v/>
      </c>
      <c r="T73" s="36">
        <f>T71-T72</f>
        <v/>
      </c>
      <c r="U73" s="36">
        <f>U71-U72</f>
        <v/>
      </c>
      <c r="V73" s="36">
        <f>V71-V72</f>
        <v/>
      </c>
      <c r="W73" s="36">
        <f>W71-W72</f>
        <v/>
      </c>
      <c r="X73" s="36">
        <f>X71-X72</f>
        <v/>
      </c>
      <c r="Y73" s="36">
        <f>Y71-Y72</f>
        <v/>
      </c>
      <c r="Z73" s="36">
        <f>Z71-Z72</f>
        <v/>
      </c>
      <c r="AA73" s="36">
        <f>AA71-AA72</f>
        <v/>
      </c>
      <c r="AB73" s="36">
        <f>AB71-AB72</f>
        <v/>
      </c>
      <c r="AC73" s="36">
        <f>AC71-AC72</f>
        <v/>
      </c>
      <c r="AD73" s="36">
        <f>AD71-AD72</f>
        <v/>
      </c>
      <c r="AE73" s="36">
        <f>AE71-AE72</f>
        <v/>
      </c>
      <c r="AF73" s="36">
        <f>AF71-AF72</f>
        <v/>
      </c>
      <c r="AG73" s="36">
        <f>AG71-AG72</f>
        <v/>
      </c>
      <c r="AH73" s="36">
        <f>AH71-AH72</f>
        <v/>
      </c>
      <c r="AI73" s="36">
        <f>AI71-AI72</f>
        <v/>
      </c>
      <c r="AJ73" s="36">
        <f>AJ71-AJ72</f>
        <v/>
      </c>
      <c r="AK73" s="36">
        <f>AK71-AK72</f>
        <v/>
      </c>
      <c r="AL73" s="36">
        <f>AL71-AL72</f>
        <v/>
      </c>
      <c r="AM73" s="36">
        <f>AM71-AM72</f>
        <v/>
      </c>
      <c r="AN73" s="36">
        <f>AN71-AN72</f>
        <v/>
      </c>
      <c r="AO73" s="36">
        <f>AO71-AO72</f>
        <v/>
      </c>
      <c r="AP73" s="36">
        <f>AP71-AP72</f>
        <v/>
      </c>
      <c r="AQ73" s="36">
        <f>AQ71-AQ72</f>
        <v/>
      </c>
      <c r="AR73" s="36">
        <f>AR71-AR72</f>
        <v/>
      </c>
      <c r="AS73" s="36">
        <f>AS71-AS72</f>
        <v/>
      </c>
      <c r="AT73" s="36">
        <f>AT71-AT72</f>
        <v/>
      </c>
      <c r="AU73" s="36">
        <f>AU71-AU72</f>
        <v/>
      </c>
      <c r="AV73" s="36">
        <f>AV71-AV72</f>
        <v/>
      </c>
      <c r="AW73" s="36">
        <f>AW71-AW72</f>
        <v/>
      </c>
      <c r="AX73" s="36">
        <f>AX71-AX72</f>
        <v/>
      </c>
      <c r="AY73" s="36">
        <f>AY71-AY72</f>
        <v/>
      </c>
      <c r="AZ73" s="36">
        <f>AZ71-AZ72</f>
        <v/>
      </c>
      <c r="BA73" s="36">
        <f>BA71-BA72</f>
        <v/>
      </c>
      <c r="BH73" s="36">
        <f>SUM(C73:BA73)</f>
        <v/>
      </c>
    </row>
    <row r="74"/>
    <row r="75">
      <c r="B75" s="31" t="inlineStr">
        <is>
          <t>Nota</t>
        </is>
      </c>
      <c r="C75" s="31" t="inlineStr">
        <is>
          <t>Z total = Z nacional + matriz importada/ajuste asignada. El residuo de ajuste no asignado queda como fila firmada.</t>
        </is>
      </c>
    </row>
  </sheetData>
  <mergeCells count="9">
    <mergeCell ref="BG10:BG12"/>
    <mergeCell ref="C10:BA10"/>
    <mergeCell ref="BH10:BH12"/>
    <mergeCell ref="A3:H4"/>
    <mergeCell ref="B10:B12"/>
    <mergeCell ref="A10:A12"/>
    <mergeCell ref="A1:H1"/>
    <mergeCell ref="BB10:BB12"/>
    <mergeCell ref="BC10:BF10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1"/>
  <sheetViews>
    <sheetView showGridLines="0" zoomScale="8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</cols>
  <sheetData>
    <row r="1">
      <c r="A1" s="16" t="inlineStr">
        <is>
          <t>Matriz de multiplicadores y validacion</t>
        </is>
      </c>
      <c r="B1" s="16" t="inlineStr"/>
      <c r="C1" s="16" t="inlineStr"/>
      <c r="D1" s="16" t="inlineStr"/>
      <c r="E1" s="16" t="inlineStr"/>
      <c r="F1" s="16" t="inlineStr"/>
      <c r="G1" s="16" t="inlineStr"/>
      <c r="H1" s="16" t="inlineStr"/>
    </row>
    <row r="2"/>
    <row r="3">
      <c r="A3" s="37" t="inlineStr">
        <is>
          <t>Codigo</t>
        </is>
      </c>
      <c r="B3" s="37" t="inlineStr">
        <is>
          <t>Actividad economica</t>
        </is>
      </c>
      <c r="C3" s="37" t="inlineStr">
        <is>
          <t>Produccion</t>
        </is>
      </c>
      <c r="D3" s="37" t="inlineStr">
        <is>
          <t>Valor agregado</t>
        </is>
      </c>
      <c r="E3" s="37" t="inlineStr">
        <is>
          <t>Multiplicador Leontief</t>
        </is>
      </c>
      <c r="F3" s="37" t="inlineStr">
        <is>
          <t>Indice atras Leontief</t>
        </is>
      </c>
      <c r="G3" s="37" t="inlineStr">
        <is>
          <t>Encadenamiento adelante Ghosh</t>
        </is>
      </c>
      <c r="H3" s="37" t="inlineStr">
        <is>
          <t>Indice adelante Ghosh</t>
        </is>
      </c>
    </row>
    <row r="4">
      <c r="A4" s="10" t="inlineStr"/>
      <c r="B4" s="10" t="inlineStr">
        <is>
          <t>Agricultura silvicultura exploração florestal</t>
        </is>
      </c>
      <c r="C4" s="11" t="n">
        <v>175868.5562383268</v>
      </c>
      <c r="D4" s="11" t="n">
        <v>104212.079534268</v>
      </c>
      <c r="E4" s="11" t="n">
        <v>1.629442859996585</v>
      </c>
      <c r="F4" s="11" t="n">
        <v>0.8131084049640104</v>
      </c>
      <c r="G4" s="11" t="n">
        <v>1.970647770662096</v>
      </c>
      <c r="H4" s="11" t="n">
        <v>0.989012469703644</v>
      </c>
    </row>
    <row r="5">
      <c r="A5" s="10" t="inlineStr"/>
      <c r="B5" s="10" t="inlineStr">
        <is>
          <t>Pecuária e pesca</t>
        </is>
      </c>
      <c r="C5" s="11" t="n">
        <v>85067.89356783663</v>
      </c>
      <c r="D5" s="11" t="n">
        <v>45000.559501409</v>
      </c>
      <c r="E5" s="11" t="n">
        <v>1.728319731288889</v>
      </c>
      <c r="F5" s="11" t="n">
        <v>0.8624489599954924</v>
      </c>
      <c r="G5" s="11" t="n">
        <v>1.970093772612111</v>
      </c>
      <c r="H5" s="11" t="n">
        <v>0.9887344337259394</v>
      </c>
    </row>
    <row r="6">
      <c r="A6" s="10" t="inlineStr"/>
      <c r="B6" s="10" t="inlineStr">
        <is>
          <t>Petróleo e gás natural</t>
        </is>
      </c>
      <c r="C6" s="11" t="n">
        <v>91383.10257987339</v>
      </c>
      <c r="D6" s="11" t="n">
        <v>40905.4275279958</v>
      </c>
      <c r="E6" s="11" t="n">
        <v>1.917810347701644</v>
      </c>
      <c r="F6" s="11" t="n">
        <v>0.9570066868416763</v>
      </c>
      <c r="G6" s="11" t="n">
        <v>3.058125050997812</v>
      </c>
      <c r="H6" s="11" t="n">
        <v>1.534786608940141</v>
      </c>
    </row>
    <row r="7">
      <c r="A7" s="10" t="inlineStr"/>
      <c r="B7" s="10" t="inlineStr">
        <is>
          <t>Minério de ferro</t>
        </is>
      </c>
      <c r="C7" s="11" t="n">
        <v>29275.42407270773</v>
      </c>
      <c r="D7" s="11" t="n">
        <v>14672.7724515063</v>
      </c>
      <c r="E7" s="11" t="n">
        <v>2.017490429176424</v>
      </c>
      <c r="F7" s="11" t="n">
        <v>1.006748051847143</v>
      </c>
      <c r="G7" s="11" t="n">
        <v>1.66122884955707</v>
      </c>
      <c r="H7" s="11" t="n">
        <v>0.8337238504531812</v>
      </c>
    </row>
    <row r="8">
      <c r="A8" s="10" t="inlineStr"/>
      <c r="B8" s="10" t="inlineStr">
        <is>
          <t>Outros da indústria extrativa</t>
        </is>
      </c>
      <c r="C8" s="11" t="n">
        <v>21249.22823751539</v>
      </c>
      <c r="D8" s="11" t="n">
        <v>7126.4211362825</v>
      </c>
      <c r="E8" s="11" t="n">
        <v>2.181378428804207</v>
      </c>
      <c r="F8" s="11" t="n">
        <v>1.088529814952581</v>
      </c>
      <c r="G8" s="11" t="n">
        <v>3.177430164712089</v>
      </c>
      <c r="H8" s="11" t="n">
        <v>1.594662476621553</v>
      </c>
    </row>
    <row r="9">
      <c r="A9" s="10" t="inlineStr"/>
      <c r="B9" s="10" t="inlineStr">
        <is>
          <t>Alimentos e Bebidas</t>
        </is>
      </c>
      <c r="C9" s="11" t="n">
        <v>361027.1141577447</v>
      </c>
      <c r="D9" s="11" t="n">
        <v>59780.5479099458</v>
      </c>
      <c r="E9" s="11" t="n">
        <v>2.540319253217354</v>
      </c>
      <c r="F9" s="11" t="n">
        <v>1.267644902925444</v>
      </c>
      <c r="G9" s="11" t="n">
        <v>1.44932607618432</v>
      </c>
      <c r="H9" s="11" t="n">
        <v>0.7273758321261811</v>
      </c>
    </row>
    <row r="10">
      <c r="A10" s="10" t="inlineStr"/>
      <c r="B10" s="10" t="inlineStr">
        <is>
          <t>Produtos do fumo</t>
        </is>
      </c>
      <c r="C10" s="11" t="n">
        <v>11227.33549110681</v>
      </c>
      <c r="D10" s="11" t="n">
        <v>1626.28977832027</v>
      </c>
      <c r="E10" s="11" t="n">
        <v>2.507536646215608</v>
      </c>
      <c r="F10" s="11" t="n">
        <v>1.251286051722888</v>
      </c>
      <c r="G10" s="11" t="n">
        <v>1.044849913997992</v>
      </c>
      <c r="H10" s="11" t="n">
        <v>0.5243806677667229</v>
      </c>
    </row>
    <row r="11">
      <c r="A11" s="10" t="inlineStr"/>
      <c r="B11" s="10" t="inlineStr">
        <is>
          <t>Têxteis</t>
        </is>
      </c>
      <c r="C11" s="11" t="n">
        <v>36719.98594875087</v>
      </c>
      <c r="D11" s="11" t="n">
        <v>8078.24103690438</v>
      </c>
      <c r="E11" s="11" t="n">
        <v>2.35050622143006</v>
      </c>
      <c r="F11" s="11" t="n">
        <v>1.172926287558794</v>
      </c>
      <c r="G11" s="11" t="n">
        <v>1.907759505509687</v>
      </c>
      <c r="H11" s="11" t="n">
        <v>0.9574506252382247</v>
      </c>
    </row>
    <row r="12">
      <c r="A12" s="10" t="inlineStr"/>
      <c r="B12" s="10" t="inlineStr">
        <is>
          <t>Artigos do vestuário e acessórios</t>
        </is>
      </c>
      <c r="C12" s="11" t="n">
        <v>44605.95308216341</v>
      </c>
      <c r="D12" s="11" t="n">
        <v>20658.379836732</v>
      </c>
      <c r="E12" s="11" t="n">
        <v>1.88363007077292</v>
      </c>
      <c r="F12" s="11" t="n">
        <v>0.9399503842630142</v>
      </c>
      <c r="G12" s="11" t="n">
        <v>1.160466602117686</v>
      </c>
      <c r="H12" s="11" t="n">
        <v>0.582405418794552</v>
      </c>
    </row>
    <row r="13">
      <c r="A13" s="10" t="inlineStr"/>
      <c r="B13" s="10" t="inlineStr">
        <is>
          <t>Artefatos de couro e calçados</t>
        </is>
      </c>
      <c r="C13" s="11" t="n">
        <v>24220.30342190613</v>
      </c>
      <c r="D13" s="11" t="n">
        <v>7397.03830916817</v>
      </c>
      <c r="E13" s="11" t="n">
        <v>2.346830696671716</v>
      </c>
      <c r="F13" s="11" t="n">
        <v>1.171092163670787</v>
      </c>
      <c r="G13" s="11" t="n">
        <v>1.196586667107515</v>
      </c>
      <c r="H13" s="11" t="n">
        <v>0.6005330594684836</v>
      </c>
    </row>
    <row r="14">
      <c r="A14" s="10" t="inlineStr">
        <is>
          <t>Produtos de madeira</t>
        </is>
      </c>
      <c r="B14" s="10" t="inlineStr">
        <is>
          <t>exclusive móveis</t>
        </is>
      </c>
      <c r="C14" s="11" t="n">
        <v>17310.44563524837</v>
      </c>
      <c r="D14" s="11" t="n">
        <v>7383.1679151733</v>
      </c>
      <c r="E14" s="11" t="n">
        <v>1.933790302876196</v>
      </c>
      <c r="F14" s="11" t="n">
        <v>0.9649808454834858</v>
      </c>
      <c r="G14" s="11" t="n">
        <v>2.331589857468491</v>
      </c>
      <c r="H14" s="11" t="n">
        <v>1.170159110928343</v>
      </c>
    </row>
    <row r="15">
      <c r="A15" s="10" t="inlineStr"/>
      <c r="B15" s="10" t="inlineStr">
        <is>
          <t>Celulose e produtos de papel</t>
        </is>
      </c>
      <c r="C15" s="11" t="n">
        <v>45245.18549844064</v>
      </c>
      <c r="D15" s="11" t="n">
        <v>9693.47592953556</v>
      </c>
      <c r="E15" s="11" t="n">
        <v>2.592350182633653</v>
      </c>
      <c r="F15" s="11" t="n">
        <v>1.293608860953754</v>
      </c>
      <c r="G15" s="11" t="n">
        <v>2.34252326754306</v>
      </c>
      <c r="H15" s="11" t="n">
        <v>1.175646280711352</v>
      </c>
    </row>
    <row r="16">
      <c r="A16" s="10" t="inlineStr"/>
      <c r="B16" s="10" t="inlineStr">
        <is>
          <t>Jornais revistas discos</t>
        </is>
      </c>
      <c r="C16" s="11" t="n">
        <v>16221.57469069237</v>
      </c>
      <c r="D16" s="11" t="n">
        <v>7029.51375320717</v>
      </c>
      <c r="E16" s="11" t="n">
        <v>1.916708132453614</v>
      </c>
      <c r="F16" s="11" t="n">
        <v>0.9564566703272869</v>
      </c>
      <c r="G16" s="11" t="n">
        <v>3.134852649949633</v>
      </c>
      <c r="H16" s="11" t="n">
        <v>1.573294024249715</v>
      </c>
    </row>
    <row r="17">
      <c r="A17" s="10" t="inlineStr"/>
      <c r="B17" s="10" t="inlineStr">
        <is>
          <t>Refino de petróleo e coque</t>
        </is>
      </c>
      <c r="C17" s="11" t="n">
        <v>219059.0776136115</v>
      </c>
      <c r="D17" s="11" t="n">
        <v>40358.8694089936</v>
      </c>
      <c r="E17" s="11" t="n">
        <v>2.373575709744857</v>
      </c>
      <c r="F17" s="11" t="n">
        <v>1.184438194669805</v>
      </c>
      <c r="G17" s="11" t="n">
        <v>2.97473950543608</v>
      </c>
      <c r="H17" s="11" t="n">
        <v>1.492937758231582</v>
      </c>
    </row>
    <row r="18">
      <c r="A18" s="10" t="inlineStr"/>
      <c r="B18" s="10" t="inlineStr">
        <is>
          <t>Álcool</t>
        </is>
      </c>
      <c r="C18" s="11" t="n">
        <v>20483.97490114793</v>
      </c>
      <c r="D18" s="11" t="n">
        <v>2740.00570560223</v>
      </c>
      <c r="E18" s="11" t="n">
        <v>2.554601633730705</v>
      </c>
      <c r="F18" s="11" t="n">
        <v>1.27477195470701</v>
      </c>
      <c r="G18" s="11" t="n">
        <v>1.8299177879191</v>
      </c>
      <c r="H18" s="11" t="n">
        <v>0.9183840652439066</v>
      </c>
    </row>
    <row r="19">
      <c r="A19" s="10" t="inlineStr"/>
      <c r="B19" s="10" t="inlineStr">
        <is>
          <t>Produtos  químicos</t>
        </is>
      </c>
      <c r="C19" s="11" t="n">
        <v>64194.17988269989</v>
      </c>
      <c r="D19" s="11" t="n">
        <v>13766.314444062</v>
      </c>
      <c r="E19" s="11" t="n">
        <v>2.204467007258418</v>
      </c>
      <c r="F19" s="11" t="n">
        <v>1.100051248235507</v>
      </c>
      <c r="G19" s="11" t="n">
        <v>3.347123060015744</v>
      </c>
      <c r="H19" s="11" t="n">
        <v>1.67982654905193</v>
      </c>
    </row>
    <row r="20">
      <c r="A20" s="10" t="inlineStr"/>
      <c r="B20" s="10" t="inlineStr">
        <is>
          <t>Fabricação de resina e elastômeros</t>
        </is>
      </c>
      <c r="C20" s="11" t="n">
        <v>21683.69562363739</v>
      </c>
      <c r="D20" s="11" t="n">
        <v>2196.78658140871</v>
      </c>
      <c r="E20" s="11" t="n">
        <v>2.462458552498405</v>
      </c>
      <c r="F20" s="11" t="n">
        <v>1.228791628763318</v>
      </c>
      <c r="G20" s="11" t="n">
        <v>2.965305783383116</v>
      </c>
      <c r="H20" s="11" t="n">
        <v>1.488203239519004</v>
      </c>
    </row>
    <row r="21">
      <c r="A21" s="10" t="inlineStr"/>
      <c r="B21" s="10" t="inlineStr">
        <is>
          <t>Produtos farmacêuticos</t>
        </is>
      </c>
      <c r="C21" s="11" t="n">
        <v>38775.91618440356</v>
      </c>
      <c r="D21" s="11" t="n">
        <v>19174.229495761</v>
      </c>
      <c r="E21" s="11" t="n">
        <v>1.970704185050556</v>
      </c>
      <c r="F21" s="11" t="n">
        <v>0.9834012446227881</v>
      </c>
      <c r="G21" s="11" t="n">
        <v>1.413637572267435</v>
      </c>
      <c r="H21" s="11" t="n">
        <v>0.7094647797685049</v>
      </c>
    </row>
    <row r="22">
      <c r="A22" s="10" t="inlineStr"/>
      <c r="B22" s="10" t="inlineStr">
        <is>
          <t>Defensivos agrícolas</t>
        </is>
      </c>
      <c r="C22" s="11" t="n">
        <v>15078.2127362164</v>
      </c>
      <c r="D22" s="11" t="n">
        <v>2889.54542059119</v>
      </c>
      <c r="E22" s="11" t="n">
        <v>2.358704849051392</v>
      </c>
      <c r="F22" s="11" t="n">
        <v>1.177017485348994</v>
      </c>
      <c r="G22" s="11" t="n">
        <v>2.925028832117844</v>
      </c>
      <c r="H22" s="11" t="n">
        <v>1.467989375003978</v>
      </c>
    </row>
    <row r="23">
      <c r="A23" s="10" t="inlineStr"/>
      <c r="B23" s="10" t="inlineStr">
        <is>
          <t>Perfumaria higiene e limpeza</t>
        </is>
      </c>
      <c r="C23" s="11" t="n">
        <v>26954.49153344995</v>
      </c>
      <c r="D23" s="11" t="n">
        <v>8114.64887831819</v>
      </c>
      <c r="E23" s="11" t="n">
        <v>2.105772504268512</v>
      </c>
      <c r="F23" s="11" t="n">
        <v>1.050801696824415</v>
      </c>
      <c r="G23" s="11" t="n">
        <v>1.493903373273019</v>
      </c>
      <c r="H23" s="11" t="n">
        <v>0.7497479187784774</v>
      </c>
    </row>
    <row r="24">
      <c r="A24" s="10" t="inlineStr"/>
      <c r="B24" s="10" t="inlineStr">
        <is>
          <t>Tintas vernizes esmaltes e lacas</t>
        </is>
      </c>
      <c r="C24" s="11" t="n">
        <v>12842.4810029503</v>
      </c>
      <c r="D24" s="11" t="n">
        <v>1971.74468227615</v>
      </c>
      <c r="E24" s="11" t="n">
        <v>2.396031025778888</v>
      </c>
      <c r="F24" s="11" t="n">
        <v>1.19564362362448</v>
      </c>
      <c r="G24" s="11" t="n">
        <v>2.723310458911615</v>
      </c>
      <c r="H24" s="11" t="n">
        <v>1.366752619537392</v>
      </c>
    </row>
    <row r="25">
      <c r="A25" s="10" t="inlineStr"/>
      <c r="B25" s="10" t="inlineStr">
        <is>
          <t>Produtos e preparados químicos diversos</t>
        </is>
      </c>
      <c r="C25" s="11" t="n">
        <v>15025.65298634467</v>
      </c>
      <c r="D25" s="11" t="n">
        <v>3106.88777541414</v>
      </c>
      <c r="E25" s="11" t="n">
        <v>2.494061760149609</v>
      </c>
      <c r="F25" s="11" t="n">
        <v>1.244561947806645</v>
      </c>
      <c r="G25" s="11" t="n">
        <v>2.871196574633411</v>
      </c>
      <c r="H25" s="11" t="n">
        <v>1.440972485067065</v>
      </c>
    </row>
    <row r="26">
      <c r="A26" s="10" t="inlineStr"/>
      <c r="B26" s="10" t="inlineStr">
        <is>
          <t>Artigos de borracha e plástico</t>
        </is>
      </c>
      <c r="C26" s="11" t="n">
        <v>62036.55434332245</v>
      </c>
      <c r="D26" s="11" t="n">
        <v>17860.0633217699</v>
      </c>
      <c r="E26" s="11" t="n">
        <v>2.321701917318335</v>
      </c>
      <c r="F26" s="11" t="n">
        <v>1.158552649582663</v>
      </c>
      <c r="G26" s="11" t="n">
        <v>2.53161697878709</v>
      </c>
      <c r="H26" s="11" t="n">
        <v>1.270547074829447</v>
      </c>
    </row>
    <row r="27">
      <c r="A27" s="10" t="inlineStr"/>
      <c r="B27" s="10" t="inlineStr">
        <is>
          <t>Cimento e outros produtos de minerais não-metálicos</t>
        </is>
      </c>
      <c r="C27" s="11" t="n">
        <v>55391.93503279505</v>
      </c>
      <c r="D27" s="11" t="n">
        <v>18583.4903023288</v>
      </c>
      <c r="E27" s="11" t="n">
        <v>2.224245458359645</v>
      </c>
      <c r="F27" s="11" t="n">
        <v>1.109920894617345</v>
      </c>
      <c r="G27" s="11" t="n">
        <v>2.382425878555999</v>
      </c>
      <c r="H27" s="11" t="n">
        <v>1.195672274424207</v>
      </c>
    </row>
    <row r="28">
      <c r="A28" s="10" t="inlineStr"/>
      <c r="B28" s="10" t="inlineStr">
        <is>
          <t>Fabricação de aço e derivados</t>
        </is>
      </c>
      <c r="C28" s="11" t="n">
        <v>72620.43362225003</v>
      </c>
      <c r="D28" s="11" t="n">
        <v>15012.3765160157</v>
      </c>
      <c r="E28" s="11" t="n">
        <v>2.409743037914512</v>
      </c>
      <c r="F28" s="11" t="n">
        <v>1.202486055838683</v>
      </c>
      <c r="G28" s="11" t="n">
        <v>2.756683407582036</v>
      </c>
      <c r="H28" s="11" t="n">
        <v>1.383501560102623</v>
      </c>
    </row>
    <row r="29">
      <c r="A29" s="10" t="inlineStr"/>
      <c r="B29" s="10" t="inlineStr">
        <is>
          <t>Metalurgia de metais não-ferrosos</t>
        </is>
      </c>
      <c r="C29" s="11" t="n">
        <v>32466.62050078451</v>
      </c>
      <c r="D29" s="11" t="n">
        <v>4921.97888400076</v>
      </c>
      <c r="E29" s="11" t="n">
        <v>2.476092808357326</v>
      </c>
      <c r="F29" s="11" t="n">
        <v>1.235595259811996</v>
      </c>
      <c r="G29" s="11" t="n">
        <v>2.630774332398463</v>
      </c>
      <c r="H29" s="11" t="n">
        <v>1.320311350639889</v>
      </c>
    </row>
    <row r="30">
      <c r="A30" s="10" t="inlineStr">
        <is>
          <t>Produtos de metal</t>
        </is>
      </c>
      <c r="B30" s="10" t="inlineStr">
        <is>
          <t>exclusive máquinas e equipamentos</t>
        </is>
      </c>
      <c r="C30" s="11" t="n">
        <v>67616.9168476772</v>
      </c>
      <c r="D30" s="11" t="n">
        <v>29893.71507536</v>
      </c>
      <c r="E30" s="11" t="n">
        <v>2.065615678562533</v>
      </c>
      <c r="F30" s="11" t="n">
        <v>1.030763036187813</v>
      </c>
      <c r="G30" s="11" t="n">
        <v>2.391203456899304</v>
      </c>
      <c r="H30" s="11" t="n">
        <v>1.20007749313684</v>
      </c>
    </row>
    <row r="31">
      <c r="A31" s="10" t="inlineStr"/>
      <c r="B31" s="10" t="inlineStr">
        <is>
          <t>Máquinas e equipamentos inclusive manutenção e reparos</t>
        </is>
      </c>
      <c r="C31" s="11" t="n">
        <v>107424.8307429642</v>
      </c>
      <c r="D31" s="11" t="n">
        <v>35328.0099402112</v>
      </c>
      <c r="E31" s="11" t="n">
        <v>2.280637718113353</v>
      </c>
      <c r="F31" s="11" t="n">
        <v>1.138061200427608</v>
      </c>
      <c r="G31" s="11" t="n">
        <v>2.082180033453586</v>
      </c>
      <c r="H31" s="11" t="n">
        <v>1.044987362993674</v>
      </c>
    </row>
    <row r="32">
      <c r="A32" s="10" t="inlineStr"/>
      <c r="B32" s="10" t="inlineStr">
        <is>
          <t>Eletrodomésticos e material eletronico</t>
        </is>
      </c>
      <c r="C32" s="11" t="n">
        <v>51912.58027002666</v>
      </c>
      <c r="D32" s="11" t="n">
        <v>12430.0474442545</v>
      </c>
      <c r="E32" s="11" t="n">
        <v>2.345945086314419</v>
      </c>
      <c r="F32" s="11" t="n">
        <v>1.170650235179325</v>
      </c>
      <c r="G32" s="11" t="n">
        <v>1.908229012545978</v>
      </c>
      <c r="H32" s="11" t="n">
        <v>0.9576862575619809</v>
      </c>
    </row>
    <row r="33">
      <c r="A33" s="10" t="inlineStr"/>
      <c r="B33" s="10" t="inlineStr">
        <is>
          <t>Máquinas para escritório aparelhos e e material eletronico</t>
        </is>
      </c>
      <c r="C33" s="11" t="n">
        <v>62269.58840716687</v>
      </c>
      <c r="D33" s="11" t="n">
        <v>14595.0813661936</v>
      </c>
      <c r="E33" s="11" t="n">
        <v>1.983945699550959</v>
      </c>
      <c r="F33" s="11" t="n">
        <v>0.9900088937764094</v>
      </c>
      <c r="G33" s="11" t="n">
        <v>1.705659970212368</v>
      </c>
      <c r="H33" s="11" t="n">
        <v>0.8560225752812278</v>
      </c>
    </row>
    <row r="34">
      <c r="A34" s="10" t="inlineStr"/>
      <c r="B34" s="10" t="inlineStr">
        <is>
          <t>Automóveis camionetas caminhões e ônibus</t>
        </is>
      </c>
      <c r="C34" s="11" t="n">
        <v>121551.6032800584</v>
      </c>
      <c r="D34" s="11" t="n">
        <v>25656.388376015</v>
      </c>
      <c r="E34" s="11" t="n">
        <v>2.26949882171313</v>
      </c>
      <c r="F34" s="11" t="n">
        <v>1.132502778891388</v>
      </c>
      <c r="G34" s="11" t="n">
        <v>1.095288485162416</v>
      </c>
      <c r="H34" s="11" t="n">
        <v>0.549694362369229</v>
      </c>
    </row>
    <row r="35">
      <c r="A35" s="10" t="inlineStr"/>
      <c r="B35" s="10" t="inlineStr">
        <is>
          <t>Peças e acessórios para veículos automotores</t>
        </is>
      </c>
      <c r="C35" s="11" t="n">
        <v>62836.51044819216</v>
      </c>
      <c r="D35" s="11" t="n">
        <v>18352.9986696181</v>
      </c>
      <c r="E35" s="11" t="n">
        <v>2.144503190745121</v>
      </c>
      <c r="F35" s="11" t="n">
        <v>1.070128699616169</v>
      </c>
      <c r="G35" s="11" t="n">
        <v>2.423446707637564</v>
      </c>
      <c r="H35" s="11" t="n">
        <v>1.216259470209895</v>
      </c>
    </row>
    <row r="36">
      <c r="A36" s="10" t="inlineStr"/>
      <c r="B36" s="10" t="inlineStr">
        <is>
          <t>Outros equipamentos de transporte</t>
        </is>
      </c>
      <c r="C36" s="11" t="n">
        <v>33610.325880304</v>
      </c>
      <c r="D36" s="11" t="n">
        <v>9008.657191856069</v>
      </c>
      <c r="E36" s="11" t="n">
        <v>2.085275221089464</v>
      </c>
      <c r="F36" s="11" t="n">
        <v>1.040573345992987</v>
      </c>
      <c r="G36" s="11" t="n">
        <v>1.510702544869205</v>
      </c>
      <c r="H36" s="11" t="n">
        <v>0.7581789486340751</v>
      </c>
    </row>
    <row r="37">
      <c r="A37" s="10" t="inlineStr"/>
      <c r="B37" s="10" t="inlineStr">
        <is>
          <t>Móveis e produtos das indústrias diversas</t>
        </is>
      </c>
      <c r="C37" s="11" t="n">
        <v>39253.24192213803</v>
      </c>
      <c r="D37" s="11" t="n">
        <v>17668.5191902923</v>
      </c>
      <c r="E37" s="11" t="n">
        <v>1.898678940427619</v>
      </c>
      <c r="F37" s="11" t="n">
        <v>0.9474599218490507</v>
      </c>
      <c r="G37" s="11" t="n">
        <v>1.36172914494233</v>
      </c>
      <c r="H37" s="11" t="n">
        <v>0.6834134058641844</v>
      </c>
    </row>
    <row r="38">
      <c r="A38" s="10" t="inlineStr"/>
      <c r="B38" s="10" t="inlineStr">
        <is>
          <t>Produção e distribuição de eletricidade gás água esgoto e limpeza urbana</t>
        </is>
      </c>
      <c r="C38" s="11" t="n">
        <v>165120.8817504364</v>
      </c>
      <c r="D38" s="11" t="n">
        <v>76616.1156564331</v>
      </c>
      <c r="E38" s="11" t="n">
        <v>1.851479098899327</v>
      </c>
      <c r="F38" s="11" t="n">
        <v>0.9239067253535908</v>
      </c>
      <c r="G38" s="11" t="n">
        <v>2.314832179079184</v>
      </c>
      <c r="H38" s="11" t="n">
        <v>1.161748905341609</v>
      </c>
    </row>
    <row r="39">
      <c r="A39" s="10" t="inlineStr"/>
      <c r="B39" s="10" t="inlineStr">
        <is>
          <t>Construção civil</t>
        </is>
      </c>
      <c r="C39" s="11" t="n">
        <v>363972.5923875003</v>
      </c>
      <c r="D39" s="11" t="n">
        <v>154624.352828171</v>
      </c>
      <c r="E39" s="11" t="n">
        <v>1.946873301199991</v>
      </c>
      <c r="F39" s="11" t="n">
        <v>0.9715093934678134</v>
      </c>
      <c r="G39" s="11" t="n">
        <v>1.265901235458063</v>
      </c>
      <c r="H39" s="11" t="n">
        <v>0.6353200840455774</v>
      </c>
    </row>
    <row r="40">
      <c r="A40" s="10" t="inlineStr"/>
      <c r="B40" s="10" t="inlineStr">
        <is>
          <t>Comércio</t>
        </is>
      </c>
      <c r="C40" s="11" t="n">
        <v>566070.8490564777</v>
      </c>
      <c r="D40" s="11" t="n">
        <v>361913.880317644</v>
      </c>
      <c r="E40" s="11" t="n">
        <v>1.67621015163961</v>
      </c>
      <c r="F40" s="11" t="n">
        <v>0.8364457547084662</v>
      </c>
      <c r="G40" s="11" t="n">
        <v>2.038921484275587</v>
      </c>
      <c r="H40" s="11" t="n">
        <v>1.023277118679464</v>
      </c>
    </row>
    <row r="41">
      <c r="A41" s="10" t="inlineStr"/>
      <c r="B41" s="10" t="inlineStr">
        <is>
          <t>Transporte armazenagem e correio</t>
        </is>
      </c>
      <c r="C41" s="11" t="n">
        <v>270563.8406959669</v>
      </c>
      <c r="D41" s="11" t="n">
        <v>109402.566148702</v>
      </c>
      <c r="E41" s="11" t="n">
        <v>2.25586290130769</v>
      </c>
      <c r="F41" s="11" t="n">
        <v>1.125698317217226</v>
      </c>
      <c r="G41" s="11" t="n">
        <v>2.513232813652933</v>
      </c>
      <c r="H41" s="11" t="n">
        <v>1.261320581473578</v>
      </c>
    </row>
    <row r="42">
      <c r="A42" s="10" t="inlineStr"/>
      <c r="B42" s="10" t="inlineStr">
        <is>
          <t>Serviços de informação</t>
        </is>
      </c>
      <c r="C42" s="11" t="n">
        <v>242507.1149763499</v>
      </c>
      <c r="D42" s="11" t="n">
        <v>122172.985663074</v>
      </c>
      <c r="E42" s="11" t="n">
        <v>1.90257496957261</v>
      </c>
      <c r="F42" s="11" t="n">
        <v>0.9494040796477378</v>
      </c>
      <c r="G42" s="11" t="n">
        <v>2.088627711425719</v>
      </c>
      <c r="H42" s="11" t="n">
        <v>1.048223270500845</v>
      </c>
    </row>
    <row r="43">
      <c r="A43" s="10" t="inlineStr"/>
      <c r="B43" s="10" t="inlineStr">
        <is>
          <t>Intermediação financeira seguros e previdência complementar e serviços relacionados</t>
        </is>
      </c>
      <c r="C43" s="11" t="n">
        <v>305301.3232373904</v>
      </c>
      <c r="D43" s="11" t="n">
        <v>187593.272616759</v>
      </c>
      <c r="E43" s="11" t="n">
        <v>1.566690328577315</v>
      </c>
      <c r="F43" s="11" t="n">
        <v>0.7817942595082542</v>
      </c>
      <c r="G43" s="11" t="n">
        <v>1.975158324369238</v>
      </c>
      <c r="H43" s="11" t="n">
        <v>0.9912761892419827</v>
      </c>
    </row>
    <row r="44">
      <c r="A44" s="10" t="inlineStr"/>
      <c r="B44" s="10" t="inlineStr">
        <is>
          <t>Atividades imobiliárias e aluguéis</t>
        </is>
      </c>
      <c r="C44" s="11" t="n">
        <v>274333.1413695201</v>
      </c>
      <c r="D44" s="11" t="n">
        <v>247216.983195915</v>
      </c>
      <c r="E44" s="11" t="n">
        <v>1.142930865469211</v>
      </c>
      <c r="F44" s="11" t="n">
        <v>0.570334017731529</v>
      </c>
      <c r="G44" s="11" t="n">
        <v>1.289018687193809</v>
      </c>
      <c r="H44" s="11" t="n">
        <v>0.6469220802900629</v>
      </c>
    </row>
    <row r="45">
      <c r="A45" s="10" t="inlineStr"/>
      <c r="B45" s="10" t="inlineStr">
        <is>
          <t>Serviços de manutenção e reparação</t>
        </is>
      </c>
      <c r="C45" s="11" t="n">
        <v>12830.58352358138</v>
      </c>
      <c r="D45" s="11" t="n">
        <v>9482.66232663341</v>
      </c>
      <c r="E45" s="11" t="n">
        <v>1.331109830518798</v>
      </c>
      <c r="F45" s="11" t="n">
        <v>0.6642372173316479</v>
      </c>
      <c r="G45" s="11" t="n">
        <v>2.249485855279871</v>
      </c>
      <c r="H45" s="11" t="n">
        <v>1.12895343065102</v>
      </c>
    </row>
    <row r="46">
      <c r="A46" s="10" t="inlineStr"/>
      <c r="B46" s="10" t="inlineStr">
        <is>
          <t>Serviços de alojamento e alimentação</t>
        </is>
      </c>
      <c r="C46" s="11" t="n">
        <v>124197.4600619591</v>
      </c>
      <c r="D46" s="11" t="n">
        <v>57126.2175331103</v>
      </c>
      <c r="E46" s="11" t="n">
        <v>1.819307063649555</v>
      </c>
      <c r="F46" s="11" t="n">
        <v>0.907852555607226</v>
      </c>
      <c r="G46" s="11" t="n">
        <v>1.405478916276302</v>
      </c>
      <c r="H46" s="11" t="n">
        <v>0.7053701807075361</v>
      </c>
    </row>
    <row r="47">
      <c r="A47" s="10" t="inlineStr"/>
      <c r="B47" s="10" t="inlineStr">
        <is>
          <t>Serviços prestados às empresas</t>
        </is>
      </c>
      <c r="C47" s="11" t="n">
        <v>294998.24511296</v>
      </c>
      <c r="D47" s="11" t="n">
        <v>178726.216623332</v>
      </c>
      <c r="E47" s="11" t="n">
        <v>1.623100134297549</v>
      </c>
      <c r="F47" s="11" t="n">
        <v>0.8099433209326018</v>
      </c>
      <c r="G47" s="11" t="n">
        <v>2.644252617366002</v>
      </c>
      <c r="H47" s="11" t="n">
        <v>1.327075721270485</v>
      </c>
    </row>
    <row r="48">
      <c r="A48" s="10" t="inlineStr"/>
      <c r="B48" s="10" t="inlineStr">
        <is>
          <t>Educação mercantil</t>
        </is>
      </c>
      <c r="C48" s="11" t="n">
        <v>51132.18963820278</v>
      </c>
      <c r="D48" s="11" t="n">
        <v>33093.8298377736</v>
      </c>
      <c r="E48" s="11" t="n">
        <v>1.529679000578841</v>
      </c>
      <c r="F48" s="11" t="n">
        <v>0.7633252339208809</v>
      </c>
      <c r="G48" s="11" t="n">
        <v>1.274581400824004</v>
      </c>
      <c r="H48" s="11" t="n">
        <v>0.6396764139355817</v>
      </c>
    </row>
    <row r="49">
      <c r="A49" s="10" t="inlineStr"/>
      <c r="B49" s="10" t="inlineStr">
        <is>
          <t>Saúde mercantil</t>
        </is>
      </c>
      <c r="C49" s="11" t="n">
        <v>106585.9527429974</v>
      </c>
      <c r="D49" s="11" t="n">
        <v>58331.9203249387</v>
      </c>
      <c r="E49" s="11" t="n">
        <v>1.591281309158295</v>
      </c>
      <c r="F49" s="11" t="n">
        <v>0.7940654065902346</v>
      </c>
      <c r="G49" s="11" t="n">
        <v>1.142974253901902</v>
      </c>
      <c r="H49" s="11" t="n">
        <v>0.573626503167232</v>
      </c>
    </row>
    <row r="50">
      <c r="A50" s="10" t="inlineStr"/>
      <c r="B50" s="10" t="inlineStr">
        <is>
          <t>Serviços prestados às famílias e associativas</t>
        </is>
      </c>
      <c r="C50" s="11" t="n">
        <v>160883.8420304647</v>
      </c>
      <c r="D50" s="11" t="n">
        <v>82156.91201609009</v>
      </c>
      <c r="E50" s="11" t="n">
        <v>1.745575219504524</v>
      </c>
      <c r="F50" s="11" t="n">
        <v>0.8710596224767281</v>
      </c>
      <c r="G50" s="11" t="n">
        <v>1.469074595698457</v>
      </c>
      <c r="H50" s="11" t="n">
        <v>0.7372870564192496</v>
      </c>
    </row>
    <row r="51">
      <c r="A51" s="10" t="inlineStr"/>
      <c r="B51" s="10" t="inlineStr">
        <is>
          <t>Serviços domésticos</t>
        </is>
      </c>
      <c r="C51" s="11" t="n">
        <v>36931.8534512071</v>
      </c>
      <c r="D51" s="11" t="n">
        <v>36931.8534512071</v>
      </c>
      <c r="E51" s="11" t="n">
        <v>1</v>
      </c>
      <c r="F51" s="11" t="n">
        <v>0.4990100757296358</v>
      </c>
      <c r="G51" s="11" t="n">
        <v>1</v>
      </c>
      <c r="H51" s="11" t="n">
        <v>0.5018717623857035</v>
      </c>
    </row>
    <row r="52">
      <c r="A52" s="10" t="inlineStr"/>
      <c r="B52" s="10" t="inlineStr">
        <is>
          <t>Educação pública</t>
        </is>
      </c>
      <c r="C52" s="11" t="n">
        <v>141537.0517709362</v>
      </c>
      <c r="D52" s="11" t="n">
        <v>114727.0009658</v>
      </c>
      <c r="E52" s="11" t="n">
        <v>1.289415931939671</v>
      </c>
      <c r="F52" s="11" t="n">
        <v>0.6434315418442141</v>
      </c>
      <c r="G52" s="11" t="n">
        <v>1.113293339762172</v>
      </c>
      <c r="H52" s="11" t="n">
        <v>0.5587304904787069</v>
      </c>
    </row>
    <row r="53">
      <c r="A53" s="10" t="inlineStr"/>
      <c r="B53" s="10" t="inlineStr">
        <is>
          <t>Saúde pública</t>
        </is>
      </c>
      <c r="C53" s="11" t="n">
        <v>90553.62329633815</v>
      </c>
      <c r="D53" s="11" t="n">
        <v>60429.6230948659</v>
      </c>
      <c r="E53" s="11" t="n">
        <v>1.518491969393846</v>
      </c>
      <c r="F53" s="11" t="n">
        <v>0.7577427926420669</v>
      </c>
      <c r="G53" s="11" t="n">
        <v>1.018977448254003</v>
      </c>
      <c r="H53" s="11" t="n">
        <v>0.5113960077865233</v>
      </c>
    </row>
    <row r="54">
      <c r="A54" s="10" t="inlineStr"/>
      <c r="B54" s="10" t="inlineStr">
        <is>
          <t>Administração pública e seguridade social</t>
        </is>
      </c>
      <c r="C54" s="11" t="n">
        <v>431266.184748297</v>
      </c>
      <c r="D54" s="11" t="n">
        <v>312022.17625409</v>
      </c>
      <c r="E54" s="11" t="n">
        <v>1.439388978988361</v>
      </c>
      <c r="F54" s="11" t="n">
        <v>0.7182696034093851</v>
      </c>
      <c r="G54" s="11" t="n">
        <v>1.086190655669432</v>
      </c>
      <c r="H54" s="11" t="n">
        <v>0.5451284186477007</v>
      </c>
    </row>
    <row r="55"/>
    <row r="56"/>
    <row r="57">
      <c r="A57" s="10" t="inlineStr">
        <is>
          <t>Validacion contable y matematica</t>
        </is>
      </c>
    </row>
    <row r="58">
      <c r="A58" s="10" t="inlineStr">
        <is>
          <t>prueba</t>
        </is>
      </c>
      <c r="B58" s="10" t="inlineStr">
        <is>
          <t>resultado</t>
        </is>
      </c>
      <c r="C58" s="10" t="inlineStr">
        <is>
          <t>lectura</t>
        </is>
      </c>
    </row>
    <row r="59">
      <c r="A59" s="10" t="inlineStr">
        <is>
          <t>sectores</t>
        </is>
      </c>
      <c r="B59" s="11" t="n">
        <v>51</v>
      </c>
      <c r="C59" s="10" t="inlineStr">
        <is>
          <t>Cantidad de sectores de la MIP.</t>
        </is>
      </c>
    </row>
    <row r="60">
      <c r="A60" s="10" t="inlineStr">
        <is>
          <t>cuadrada_Z_A_L</t>
        </is>
      </c>
      <c r="B60" s="38" t="b">
        <v>1</v>
      </c>
      <c r="C60" s="10" t="inlineStr">
        <is>
          <t>Z, A y L son matrices cuadradas.</t>
        </is>
      </c>
    </row>
    <row r="61">
      <c r="A61" s="10" t="inlineStr">
        <is>
          <t>max_abs_A_menos_Z_sobre_x</t>
        </is>
      </c>
      <c r="B61" s="11" t="n">
        <v>1.110223024625157e-16</v>
      </c>
      <c r="C61" s="10" t="inlineStr">
        <is>
          <t>Consistencia de coeficientes tecnicos.</t>
        </is>
      </c>
    </row>
    <row r="62">
      <c r="A62" s="10" t="inlineStr">
        <is>
          <t>max_abs_Leontief</t>
        </is>
      </c>
      <c r="B62" s="11" t="n">
        <v>1.110223024625157e-15</v>
      </c>
      <c r="C62" s="10" t="inlineStr">
        <is>
          <t>Residual (I-A)L - I.</t>
        </is>
      </c>
    </row>
    <row r="63">
      <c r="A63" s="10" t="inlineStr">
        <is>
          <t>max_abs_fila_x_menos_Z_menos_y</t>
        </is>
      </c>
      <c r="B63" s="11" t="n">
        <v>1214.7142444239</v>
      </c>
      <c r="C63" s="10" t="inlineStr">
        <is>
          <t>Cierre por filas: x = ventas intermedias + demanda final.</t>
        </is>
      </c>
    </row>
    <row r="64">
      <c r="A64" s="10" t="inlineStr">
        <is>
          <t>max_abs_columna_x_menos_Z_menos_ajuste_menos_v</t>
        </is>
      </c>
      <c r="B64" s="11" t="n">
        <v>1253.262295488006</v>
      </c>
      <c r="C64" s="10" t="inlineStr">
        <is>
          <t>Cierre por columnas con ajuste procesado.</t>
        </is>
      </c>
    </row>
    <row r="65">
      <c r="A65" s="10" t="inlineStr">
        <is>
          <t>max_abs_total_x_menos_Ztotal_menos_ajuste_no_asignado_menos_v</t>
        </is>
      </c>
      <c r="B65" s="11" t="n">
        <v>1253.262295487992</v>
      </c>
      <c r="C65" s="10" t="inlineStr">
        <is>
          <t>Cierre Cuadro 3.</t>
        </is>
      </c>
    </row>
    <row r="66">
      <c r="A66" s="10" t="inlineStr">
        <is>
          <t>sectores_y_negativa</t>
        </is>
      </c>
      <c r="B66" s="11" t="n">
        <v>0</v>
      </c>
      <c r="C66" s="10" t="inlineStr">
        <is>
          <t>Demanda final total negativa.</t>
        </is>
      </c>
    </row>
    <row r="67">
      <c r="A67" s="10" t="inlineStr">
        <is>
          <t>min_y</t>
        </is>
      </c>
      <c r="B67" s="11" t="n">
        <v>177.3059107023601</v>
      </c>
      <c r="C67" s="10" t="inlineStr">
        <is>
          <t>Minimo de demanda final total.</t>
        </is>
      </c>
    </row>
    <row r="68">
      <c r="A68" s="10" t="inlineStr">
        <is>
          <t>sectores_va_negativo</t>
        </is>
      </c>
      <c r="B68" s="11" t="n">
        <v>0</v>
      </c>
      <c r="C68" s="10" t="inlineStr">
        <is>
          <t>Valor agregado negativo.</t>
        </is>
      </c>
    </row>
    <row r="69">
      <c r="A69" s="10" t="inlineStr">
        <is>
          <t>min_va</t>
        </is>
      </c>
      <c r="B69" s="11" t="n">
        <v>1626.28977832027</v>
      </c>
      <c r="C69" s="10" t="inlineStr">
        <is>
          <t>Minimo de valor agregado.</t>
        </is>
      </c>
    </row>
    <row r="70">
      <c r="A70" s="10" t="inlineStr">
        <is>
          <t>sectores_ajuste_negativo</t>
        </is>
      </c>
      <c r="B70" s="11" t="n">
        <v>6</v>
      </c>
      <c r="C70" s="10" t="inlineStr">
        <is>
          <t>Ajuste intermedio/importado con signo negativo.</t>
        </is>
      </c>
    </row>
    <row r="71">
      <c r="A71" s="10" t="inlineStr">
        <is>
          <t>min_ajuste</t>
        </is>
      </c>
      <c r="B71" s="11" t="n">
        <v>-4629.727207051419</v>
      </c>
      <c r="C71" s="10" t="inlineStr">
        <is>
          <t>Minimo de ajuste intermedio/importado.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4" customWidth="1" min="2" max="2"/>
  </cols>
  <sheetData>
    <row r="1">
      <c r="A1" s="16" t="inlineStr">
        <is>
          <t>Principio</t>
        </is>
      </c>
      <c r="B1" s="16" t="inlineStr">
        <is>
          <t>La matriz no fuerza balances: muestra el cierre y sus diferencias.</t>
        </is>
      </c>
    </row>
    <row r="2">
      <c r="A2" s="10" t="inlineStr">
        <is>
          <t>Diseno</t>
        </is>
      </c>
      <c r="B2" s="10" t="inlineStr">
        <is>
          <t>Estructura inspirada en el anexo MIP de Colombia: cuadros con Z, demanda final, valor agregado y produccion en una misma hoja.</t>
        </is>
      </c>
    </row>
    <row r="3">
      <c r="A3" s="37" t="inlineStr">
        <is>
          <t>Colores</t>
        </is>
      </c>
      <c r="B3" s="37" t="inlineStr">
        <is>
          <t>Paleta CEPAL: azul institucional, celeste y grises tecnicos.</t>
        </is>
      </c>
    </row>
    <row r="4">
      <c r="A4" s="10" t="inlineStr">
        <is>
          <t>Fuente</t>
        </is>
      </c>
      <c r="B4" s="10" t="inlineStr">
        <is>
          <t>COU CEPAL Brasil base 2000</t>
        </is>
      </c>
    </row>
    <row r="5">
      <c r="A5" s="10" t="inlineStr">
        <is>
          <t>Ano</t>
        </is>
      </c>
      <c r="B5" s="10" t="inlineStr">
        <is>
          <t>2009</t>
        </is>
      </c>
    </row>
    <row r="6">
      <c r="A6" s="10" t="inlineStr">
        <is>
          <t>Archivo fuente COU/referencia</t>
        </is>
      </c>
      <c r="B6" s="10" t="inlineStr">
        <is>
          <t>data\processed\brasil_early\cou_brasil_early_2009.xlsx</t>
        </is>
      </c>
    </row>
    <row r="7">
      <c r="A7" s="10" t="inlineStr">
        <is>
          <t>Ajuste intermedio</t>
        </is>
      </c>
      <c r="B7" s="10" t="inlineStr">
        <is>
          <t>U_importada/ajuste transformado a industrias con D = V * diag(q)^-1.</t>
        </is>
      </c>
    </row>
    <row r="8">
      <c r="A8" s="10" t="inlineStr">
        <is>
          <t>Convencion</t>
        </is>
      </c>
      <c r="B8" s="10" t="inlineStr">
        <is>
          <t>Demanda final se presenta como Gasto de consumo final, Formacion bruta de capital, Exportaciones netas, Sin desglose fuente y Total.</t>
        </is>
      </c>
    </row>
    <row r="9">
      <c r="A9" s="10" t="inlineStr">
        <is>
          <t>Convencion</t>
        </is>
      </c>
      <c r="B9" s="10" t="inlineStr">
        <is>
          <t>Exportaciones netas se calcula como residuo frente al total MIP para evitar ambiguedad de signo en importaciones.</t>
        </is>
      </c>
    </row>
    <row r="10">
      <c r="A10" s="10" t="inlineStr">
        <is>
          <t>Alerta</t>
        </is>
      </c>
      <c r="B10" s="10" t="inlineStr">
        <is>
          <t>Un valor agregado negativo o ajuste negativo se conserva y se marca; no se maquilla.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2026-07-07T00:55:28Z</dcterms:created>
  <dcterms:modified xmlns:dcterms="http://purl.org/dc/terms/" xmlns:xsi="http://www.w3.org/2001/XMLSchema-instance" xsi:type="dcterms:W3CDTF">2026-07-07T00:55:30Z</dcterms:modified>
</cp:coreProperties>
</file>