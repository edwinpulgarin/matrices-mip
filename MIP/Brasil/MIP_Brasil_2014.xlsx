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No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;[Red]-#,##0.0000;&quot;-&quot;"/>
    <numFmt numFmtId="165" formatCode="#,##0.0;[Red]-#,##0.0;&quot;-&quot;"/>
  </numFmts>
  <fonts count="16">
    <font>
      <name val="Calibri"/>
      <family val="2"/>
      <color theme="1"/>
      <sz val="11"/>
      <scheme val="minor"/>
    </font>
    <font>
      <name val="Segoe UI"/>
      <color rgb="0017324D"/>
      <sz val="10"/>
    </font>
    <font>
      <name val="Segoe UI"/>
      <b val="1"/>
      <color rgb="00FFFFFF"/>
      <sz val="14"/>
    </font>
    <font>
      <name val="Segoe UI"/>
      <b val="1"/>
      <color rgb="0017324D"/>
      <sz val="12"/>
    </font>
    <font>
      <name val="Segoe UI"/>
      <b val="1"/>
      <color rgb="0017324D"/>
      <sz val="10"/>
    </font>
    <font>
      <name val="Segoe UI"/>
      <b val="1"/>
      <color rgb="00FFFFFF"/>
      <sz val="10"/>
    </font>
    <font>
      <name val="Segoe UI"/>
      <b val="1"/>
      <color rgb="000072BC"/>
      <sz val="10"/>
    </font>
    <font>
      <name val="Segoe UI"/>
      <b val="1"/>
      <color rgb="000072BC"/>
      <sz val="10"/>
      <u val="single"/>
    </font>
    <font>
      <name val="Segoe UI"/>
      <b val="1"/>
      <color rgb="0000558C"/>
      <sz val="9"/>
    </font>
    <font>
      <name val="Segoe UI"/>
      <color rgb="0017324D"/>
      <sz val="9"/>
    </font>
    <font>
      <name val="Segoe UI"/>
      <b val="1"/>
      <color rgb="0017324D"/>
      <sz val="9"/>
    </font>
    <font>
      <name val="Segoe UI"/>
      <color rgb="0017324D"/>
      <sz val="8"/>
    </font>
    <font>
      <name val="Segoe UI"/>
      <color rgb="000072BC"/>
      <sz val="8"/>
      <u val="single"/>
    </font>
    <font>
      <name val="Segoe UI"/>
      <b val="1"/>
      <color rgb="0017324D"/>
      <sz val="7.5"/>
    </font>
    <font>
      <name val="Segoe UI"/>
      <b val="1"/>
      <color rgb="0017324D"/>
      <sz val="8"/>
    </font>
    <font>
      <name val="Segoe UI"/>
      <b val="1"/>
      <color rgb="00842029"/>
      <sz val="8"/>
    </font>
  </fonts>
  <fills count="10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F2F2F2"/>
      </patternFill>
    </fill>
    <fill>
      <patternFill patternType="solid">
        <fgColor rgb="0000558C"/>
      </patternFill>
    </fill>
    <fill>
      <patternFill patternType="solid">
        <fgColor rgb="00F8D7DA"/>
      </patternFill>
    </fill>
    <fill>
      <patternFill patternType="solid">
        <fgColor rgb="00FAFBFC"/>
      </patternFill>
    </fill>
    <fill>
      <patternFill patternType="solid">
        <fgColor rgb="00EEF3F8"/>
      </patternFill>
    </fill>
    <fill>
      <patternFill patternType="solid">
        <fgColor rgb="00FFF3CD"/>
      </patternFill>
    </fill>
    <fill>
      <patternFill patternType="solid">
        <fgColor rgb="00D4EFDF"/>
      </patternFill>
    </fill>
  </fills>
  <borders count="7">
    <border>
      <left/>
      <right/>
      <top/>
      <bottom/>
      <diagonal/>
    </border>
    <border/>
    <border>
      <bottom style="thin">
        <color rgb="00D7DEE8"/>
      </bottom>
    </border>
    <border>
      <top style="thin">
        <color rgb="00D7DEE8"/>
      </top>
      <bottom style="thin">
        <color rgb="00D7DEE8"/>
      </bottom>
    </border>
    <border>
      <bottom style="hair">
        <color rgb="00E8EDF3"/>
      </bottom>
    </border>
    <border>
      <top style="thin">
        <color rgb="00D7DEE8"/>
      </top>
      <bottom style="hair">
        <color rgb="00E8EDF3"/>
      </bottom>
    </border>
    <border>
      <top style="medium">
        <color rgb="008B96A6"/>
      </top>
      <bottom style="thin">
        <color rgb="00D7DEE8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4" fillId="3" borderId="3" applyAlignment="1" pivotButton="0" quotePrefix="0" xfId="0">
      <alignment vertical="center" wrapText="1"/>
    </xf>
    <xf numFmtId="0" fontId="7" fillId="0" borderId="4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8" fillId="0" borderId="4" applyAlignment="1" pivotButton="0" quotePrefix="0" xfId="0">
      <alignment vertical="center" wrapText="1"/>
    </xf>
    <xf numFmtId="0" fontId="9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6" fillId="3" borderId="4" applyAlignment="1" pivotButton="0" quotePrefix="0" xfId="0">
      <alignment vertical="center" wrapText="1"/>
    </xf>
    <xf numFmtId="0" fontId="8" fillId="3" borderId="4" applyAlignment="1" pivotButton="0" quotePrefix="0" xfId="0">
      <alignment vertical="center" wrapText="1"/>
    </xf>
    <xf numFmtId="0" fontId="9" fillId="3" borderId="4" applyAlignment="1" pivotButton="0" quotePrefix="0" xfId="0">
      <alignment vertical="center" wrapText="1"/>
    </xf>
    <xf numFmtId="0" fontId="5" fillId="4" borderId="3" applyAlignment="1" pivotButton="0" quotePrefix="0" xfId="0">
      <alignment vertical="center" wrapText="1"/>
    </xf>
    <xf numFmtId="0" fontId="10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horizontal="right" vertical="center"/>
    </xf>
    <xf numFmtId="164" fontId="9" fillId="5" borderId="4" applyAlignment="1" pivotButton="0" quotePrefix="0" xfId="0">
      <alignment horizontal="right" vertical="center"/>
    </xf>
    <xf numFmtId="0" fontId="5" fillId="2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0" fontId="13" fillId="3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13" fillId="3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13" fillId="3" borderId="2" applyAlignment="1" pivotButton="0" quotePrefix="0" xfId="0">
      <alignment horizontal="center" vertical="center" wrapText="1"/>
    </xf>
    <xf numFmtId="0" fontId="11" fillId="6" borderId="4" applyAlignment="1" pivotButton="0" quotePrefix="0" xfId="0">
      <alignment vertical="center"/>
    </xf>
    <xf numFmtId="165" fontId="11" fillId="6" borderId="4" applyAlignment="1" pivotButton="0" quotePrefix="0" xfId="0">
      <alignment horizontal="right" vertical="center"/>
    </xf>
    <xf numFmtId="0" fontId="11" fillId="0" borderId="4" applyAlignment="1" pivotButton="0" quotePrefix="0" xfId="0">
      <alignment vertical="center"/>
    </xf>
    <xf numFmtId="165" fontId="11" fillId="0" borderId="4" applyAlignment="1" pivotButton="0" quotePrefix="0" xfId="0">
      <alignment horizontal="right" vertical="center"/>
    </xf>
    <xf numFmtId="0" fontId="14" fillId="7" borderId="6" applyAlignment="1" pivotButton="0" quotePrefix="0" xfId="0">
      <alignment vertical="center"/>
    </xf>
    <xf numFmtId="165" fontId="14" fillId="7" borderId="6" applyAlignment="1" pivotButton="0" quotePrefix="0" xfId="0">
      <alignment horizontal="right" vertical="center"/>
    </xf>
    <xf numFmtId="165" fontId="15" fillId="5" borderId="6" applyAlignment="1" pivotButton="0" quotePrefix="0" xfId="0">
      <alignment horizontal="right" vertical="center"/>
    </xf>
    <xf numFmtId="0" fontId="14" fillId="8" borderId="6" applyAlignment="1" pivotButton="0" quotePrefix="0" xfId="0">
      <alignment vertical="center"/>
    </xf>
    <xf numFmtId="165" fontId="14" fillId="8" borderId="6" applyAlignment="1" pivotButton="0" quotePrefix="0" xfId="0">
      <alignment horizontal="right" vertical="center"/>
    </xf>
    <xf numFmtId="0" fontId="10" fillId="3" borderId="3" applyAlignment="1" pivotButton="0" quotePrefix="0" xfId="0">
      <alignment vertical="center" wrapText="1"/>
    </xf>
    <xf numFmtId="164" fontId="9" fillId="9" borderId="4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uadro 1'!A1" TargetMode="External" Id="rId1"/><Relationship Type="http://schemas.openxmlformats.org/officeDocument/2006/relationships/hyperlink" Target="#'Cuadro 2'!A1" TargetMode="External" Id="rId2"/><Relationship Type="http://schemas.openxmlformats.org/officeDocument/2006/relationships/hyperlink" Target="#'Cuadro 3'!A1" TargetMode="External" Id="rId3"/><Relationship Type="http://schemas.openxmlformats.org/officeDocument/2006/relationships/hyperlink" Target="#'Cuadro 4'!A1" TargetMode="External" Id="rId4"/><Relationship Type="http://schemas.openxmlformats.org/officeDocument/2006/relationships/hyperlink" Target="#'Notas'!A1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"/>
  <sheetViews>
    <sheetView showGridLines="0" zoomScale="85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" customWidth="1" min="1" max="1"/>
    <col width="28" customWidth="1" min="2" max="2"/>
    <col width="24" customWidth="1" min="3" max="3"/>
    <col width="86" customWidth="1" min="4" max="4"/>
    <col width="4" customWidth="1" min="5" max="5"/>
    <col width="24" customWidth="1" min="6" max="6"/>
    <col width="28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5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17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 ht="18" customHeight="1">
      <c r="A3" s="2" t="inlineStr">
        <is>
          <t>CEPAL | MATRICES INSUMO-PRODUCTO AUDITABLES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 ht="1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 ht="18" customHeight="1">
      <c r="A5" s="3" t="inlineStr">
        <is>
          <t>Matriz insumo producto
Brasil 2014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 ht="1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 ht="18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 ht="17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</row>
    <row r="9" ht="17" customHeight="1">
      <c r="A9" s="1" t="n"/>
      <c r="B9" s="6" t="inlineStr">
        <is>
          <t>Matrices insumo-producto, actividad por actividad</t>
        </is>
      </c>
      <c r="C9" s="1" t="n"/>
      <c r="D9" s="1" t="n"/>
      <c r="E9" s="1" t="n"/>
      <c r="F9" s="6" t="inlineStr">
        <is>
          <t>Ficha tecnica</t>
        </is>
      </c>
      <c r="G9" s="1" t="n"/>
      <c r="H9" s="1" t="n"/>
      <c r="I9" s="1" t="n"/>
      <c r="J9" s="1" t="n"/>
      <c r="K9" s="1" t="n"/>
      <c r="L9" s="1" t="n"/>
      <c r="M9" s="1" t="n"/>
    </row>
    <row r="10" ht="22" customHeight="1">
      <c r="A10" s="1" t="n"/>
      <c r="B10" s="7" t="inlineStr">
        <is>
          <t>Cuadro 1</t>
        </is>
      </c>
      <c r="C10" s="8" t="inlineStr">
        <is>
          <t>Nacional / domestica</t>
        </is>
      </c>
      <c r="D10" s="1" t="n"/>
      <c r="E10" s="1" t="n"/>
      <c r="F10" s="9" t="inlineStr">
        <is>
          <t>Pais</t>
        </is>
      </c>
      <c r="G10" s="10" t="inlineStr">
        <is>
          <t>Brasil</t>
        </is>
      </c>
      <c r="H10" s="1" t="n"/>
      <c r="I10" s="1" t="n"/>
      <c r="J10" s="1" t="n"/>
      <c r="K10" s="1" t="n"/>
      <c r="L10" s="1" t="n"/>
      <c r="M10" s="1" t="n"/>
    </row>
    <row r="11" ht="22" customHeight="1">
      <c r="A11" s="1" t="n"/>
      <c r="B11" s="7" t="inlineStr">
        <is>
          <t>Cuadro 2</t>
        </is>
      </c>
      <c r="C11" s="8" t="inlineStr">
        <is>
          <t>Importada / ajuste intermedio</t>
        </is>
      </c>
      <c r="D11" s="1" t="n"/>
      <c r="E11" s="1" t="n"/>
      <c r="F11" s="9" t="inlineStr">
        <is>
          <t>Ano</t>
        </is>
      </c>
      <c r="G11" s="11" t="n">
        <v>2014</v>
      </c>
      <c r="H11" s="1" t="n"/>
      <c r="I11" s="1" t="n"/>
      <c r="J11" s="1" t="n"/>
      <c r="K11" s="1" t="n"/>
      <c r="L11" s="1" t="n"/>
      <c r="M11" s="1" t="n"/>
    </row>
    <row r="12" ht="22" customHeight="1">
      <c r="A12" s="1" t="n"/>
      <c r="B12" s="7" t="inlineStr">
        <is>
          <t>Cuadro 3</t>
        </is>
      </c>
      <c r="C12" s="8" t="inlineStr">
        <is>
          <t>Nacional e importada - total auditable</t>
        </is>
      </c>
      <c r="D12" s="1" t="n"/>
      <c r="E12" s="1" t="n"/>
      <c r="F12" s="9" t="inlineStr">
        <is>
          <t>Fuente metodologica</t>
        </is>
      </c>
      <c r="G12" s="10" t="inlineStr">
        <is>
          <t>COU IBGE nivel 68</t>
        </is>
      </c>
      <c r="H12" s="1" t="n"/>
      <c r="I12" s="1" t="n"/>
      <c r="J12" s="1" t="n"/>
      <c r="K12" s="1" t="n"/>
      <c r="L12" s="1" t="n"/>
      <c r="M12" s="1" t="n"/>
    </row>
    <row r="13" ht="17" customHeight="1">
      <c r="A13" s="1" t="n"/>
      <c r="B13" s="12" t="inlineStr"/>
      <c r="C13" s="8" t="inlineStr"/>
      <c r="D13" s="1" t="n"/>
      <c r="E13" s="1" t="n"/>
      <c r="F13" s="9" t="inlineStr">
        <is>
          <t>Tipo</t>
        </is>
      </c>
      <c r="G13" s="10" t="inlineStr">
        <is>
          <t>Reconstruida desde COU</t>
        </is>
      </c>
      <c r="H13" s="1" t="n"/>
      <c r="I13" s="1" t="n"/>
      <c r="J13" s="1" t="n"/>
      <c r="K13" s="1" t="n"/>
      <c r="L13" s="1" t="n"/>
      <c r="M13" s="1" t="n"/>
    </row>
    <row r="14" ht="17" customHeight="1">
      <c r="A14" s="1" t="n"/>
      <c r="B14" s="13" t="inlineStr">
        <is>
          <t>Auditoria, multiplicadores y notas</t>
        </is>
      </c>
      <c r="C14" s="1" t="n"/>
      <c r="D14" s="1" t="n"/>
      <c r="E14" s="1" t="n"/>
      <c r="F14" s="14" t="inlineStr">
        <is>
          <t>Ajuste intermedio</t>
        </is>
      </c>
      <c r="G14" s="15" t="inlineStr">
        <is>
          <t>U_importada/ajuste transformado a industrias con D = V * diag(q)^-1.</t>
        </is>
      </c>
      <c r="H14" s="1" t="n"/>
      <c r="I14" s="1" t="n"/>
      <c r="J14" s="1" t="n"/>
      <c r="K14" s="1" t="n"/>
      <c r="L14" s="1" t="n"/>
      <c r="M14" s="1" t="n"/>
    </row>
    <row r="15" ht="22" customHeight="1">
      <c r="A15" s="1" t="n"/>
      <c r="B15" s="7" t="inlineStr">
        <is>
          <t>Cuadro 4</t>
        </is>
      </c>
      <c r="C15" s="8" t="inlineStr">
        <is>
          <t>Multiplicadores y validaciones</t>
        </is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</row>
    <row r="16" ht="22" customHeight="1">
      <c r="A16" s="1" t="n"/>
      <c r="B16" s="7" t="inlineStr">
        <is>
          <t>Notas</t>
        </is>
      </c>
      <c r="C16" s="8" t="inlineStr">
        <is>
          <t>Fuente, convenciones y lectura contable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</row>
    <row r="17" ht="17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</row>
    <row r="18" ht="17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</row>
    <row r="19" ht="17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</row>
    <row r="20" ht="17" customHeight="1">
      <c r="A20" s="16" t="inlineStr">
        <is>
          <t>Validacion contable y matematica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</row>
    <row r="21" ht="17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</row>
    <row r="22" ht="17" customHeight="1">
      <c r="A22" s="1" t="n"/>
      <c r="B22" s="6" t="inlineStr">
        <is>
          <t>prueba</t>
        </is>
      </c>
      <c r="C22" s="6" t="inlineStr">
        <is>
          <t>resultado</t>
        </is>
      </c>
      <c r="D22" s="6" t="inlineStr">
        <is>
          <t>lectura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</row>
    <row r="23" ht="17" customHeight="1">
      <c r="A23" s="1" t="n"/>
      <c r="B23" s="17" t="inlineStr">
        <is>
          <t>sectores</t>
        </is>
      </c>
      <c r="C23" s="18" t="n">
        <v>68</v>
      </c>
      <c r="D23" s="10" t="inlineStr">
        <is>
          <t>Cantidad de sectores de la MIP.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</row>
    <row r="24" ht="17" customHeight="1">
      <c r="A24" s="1" t="n"/>
      <c r="B24" s="17" t="inlineStr">
        <is>
          <t>cuadrada_Z_A_L</t>
        </is>
      </c>
      <c r="C24" s="18" t="b">
        <v>1</v>
      </c>
      <c r="D24" s="10" t="inlineStr">
        <is>
          <t>Z, A y L son matrices cuadradas.</t>
        </is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</row>
    <row r="25" ht="17" customHeight="1">
      <c r="A25" s="1" t="n"/>
      <c r="B25" s="17" t="inlineStr">
        <is>
          <t>max_abs_A_menos_Z_sobre_x</t>
        </is>
      </c>
      <c r="C25" s="18" t="n">
        <v>1.665334536937735e-16</v>
      </c>
      <c r="D25" s="10" t="inlineStr">
        <is>
          <t>Consistencia de coeficientes tecnicos.</t>
        </is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</row>
    <row r="26" ht="17" customHeight="1">
      <c r="A26" s="1" t="n"/>
      <c r="B26" s="17" t="inlineStr">
        <is>
          <t>max_abs_Leontief</t>
        </is>
      </c>
      <c r="C26" s="18" t="n">
        <v>1.554312234475219e-15</v>
      </c>
      <c r="D26" s="10" t="inlineStr">
        <is>
          <t>Residual (I-A)L - I.</t>
        </is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</row>
    <row r="27" ht="17" customHeight="1">
      <c r="A27" s="1" t="n"/>
      <c r="B27" s="17" t="inlineStr">
        <is>
          <t>max_abs_fila_x_menos_Z_menos_y</t>
        </is>
      </c>
      <c r="C27" s="18" t="n">
        <v>694.8371658105752</v>
      </c>
      <c r="D27" s="10" t="inlineStr">
        <is>
          <t>Cierre por filas: x = ventas intermedias + demanda final.</t>
        </is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</row>
    <row r="28" ht="17" customHeight="1">
      <c r="A28" s="1" t="n"/>
      <c r="B28" s="17" t="inlineStr">
        <is>
          <t>max_abs_columna_x_menos_Z_menos_ajuste_menos_v</t>
        </is>
      </c>
      <c r="C28" s="18" t="n">
        <v>706.9999999999563</v>
      </c>
      <c r="D28" s="10" t="inlineStr">
        <is>
          <t>Cierre por columnas con ajuste procesado.</t>
        </is>
      </c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</row>
    <row r="29" ht="17" customHeight="1">
      <c r="A29" s="1" t="n"/>
      <c r="B29" s="17" t="inlineStr">
        <is>
          <t>max_abs_total_x_menos_Ztotal_menos_ajuste_no_asignado_menos_v</t>
        </is>
      </c>
      <c r="C29" s="18" t="n">
        <v>706.9999999999563</v>
      </c>
      <c r="D29" s="10" t="inlineStr">
        <is>
          <t>Cierre Cuadro 3.</t>
        </is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</row>
    <row r="30" ht="17" customHeight="1">
      <c r="A30" s="1" t="n"/>
      <c r="B30" s="17" t="inlineStr">
        <is>
          <t>sectores_y_negativa</t>
        </is>
      </c>
      <c r="C30" s="18" t="n">
        <v>0</v>
      </c>
      <c r="D30" s="10" t="inlineStr">
        <is>
          <t>Demanda final total negativa.</t>
        </is>
      </c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</row>
    <row r="31" ht="17" customHeight="1">
      <c r="A31" s="1" t="n"/>
      <c r="B31" s="17" t="inlineStr">
        <is>
          <t>min_y</t>
        </is>
      </c>
      <c r="C31" s="18" t="n">
        <v>425.980176712754</v>
      </c>
      <c r="D31" s="10" t="inlineStr">
        <is>
          <t>Minimo de demanda final total.</t>
        </is>
      </c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</row>
    <row r="32" ht="17" customHeight="1">
      <c r="A32" s="1" t="n"/>
      <c r="B32" s="17" t="inlineStr">
        <is>
          <t>sectores_va_negativo</t>
        </is>
      </c>
      <c r="C32" s="18" t="n">
        <v>1</v>
      </c>
      <c r="D32" s="10" t="inlineStr">
        <is>
          <t>Valor agregado negativo.</t>
        </is>
      </c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</row>
    <row r="33" ht="17" customHeight="1">
      <c r="A33" s="1" t="n"/>
      <c r="B33" s="17" t="inlineStr">
        <is>
          <t>min_va</t>
        </is>
      </c>
      <c r="C33" s="19" t="n">
        <v>-16729</v>
      </c>
      <c r="D33" s="10" t="inlineStr">
        <is>
          <t>Minimo de valor agregado.</t>
        </is>
      </c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</row>
    <row r="34" ht="17" customHeight="1">
      <c r="A34" s="1" t="n"/>
      <c r="B34" s="17" t="inlineStr">
        <is>
          <t>sectores_ajuste_negativo</t>
        </is>
      </c>
      <c r="C34" s="18" t="n">
        <v>20</v>
      </c>
      <c r="D34" s="10" t="inlineStr">
        <is>
          <t>Ajuste intermedio/importado con signo negativo.</t>
        </is>
      </c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</row>
    <row r="35" ht="17" customHeight="1">
      <c r="A35" s="1" t="n"/>
      <c r="B35" s="17" t="inlineStr">
        <is>
          <t>min_ajuste</t>
        </is>
      </c>
      <c r="C35" s="19" t="n">
        <v>-69598.87814064437</v>
      </c>
      <c r="D35" s="10" t="inlineStr">
        <is>
          <t>Minimo de ajuste intermedio/importado.</t>
        </is>
      </c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</row>
  </sheetData>
  <mergeCells count="17">
    <mergeCell ref="C12:D12"/>
    <mergeCell ref="G14:M14"/>
    <mergeCell ref="B14:D14"/>
    <mergeCell ref="A1:M1"/>
    <mergeCell ref="C10:D10"/>
    <mergeCell ref="C16:D16"/>
    <mergeCell ref="C15:D15"/>
    <mergeCell ref="G13:M13"/>
    <mergeCell ref="C11:D11"/>
    <mergeCell ref="F9:M9"/>
    <mergeCell ref="B9:D9"/>
    <mergeCell ref="G12:M12"/>
    <mergeCell ref="A3:M4"/>
    <mergeCell ref="A20:M20"/>
    <mergeCell ref="G10:M10"/>
    <mergeCell ref="G11:M11"/>
    <mergeCell ref="A5:M7"/>
  </mergeCells>
  <hyperlinks>
    <hyperlink xmlns:r="http://schemas.openxmlformats.org/officeDocument/2006/relationships" ref="B10" r:id="rId1"/>
    <hyperlink xmlns:r="http://schemas.openxmlformats.org/officeDocument/2006/relationships" ref="B11" r:id="rId2"/>
    <hyperlink xmlns:r="http://schemas.openxmlformats.org/officeDocument/2006/relationships" ref="B12" r:id="rId3"/>
    <hyperlink xmlns:r="http://schemas.openxmlformats.org/officeDocument/2006/relationships" ref="B15" r:id="rId4"/>
    <hyperlink xmlns:r="http://schemas.openxmlformats.org/officeDocument/2006/relationships" ref="B16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Y9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</cols>
  <sheetData>
    <row r="1" ht="44" customHeight="1"/>
    <row r="2"/>
    <row r="3" ht="16" customHeight="1">
      <c r="A3" s="20" t="inlineStr">
        <is>
          <t>Matriz insumo producto, actividad por actividad - Nacional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2014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3" t="inlineStr">
        <is>
          <t>Total consumo intermedio</t>
        </is>
      </c>
      <c r="BT10" s="23" t="inlineStr">
        <is>
          <t>Demanda final</t>
        </is>
      </c>
      <c r="BU10" s="24" t="n"/>
      <c r="BV10" s="24" t="n"/>
      <c r="BW10" s="24" t="n"/>
      <c r="BX10" s="23" t="inlineStr">
        <is>
          <t>Total demanda final</t>
        </is>
      </c>
      <c r="BY10" s="23" t="inlineStr">
        <is>
          <t>Total</t>
        </is>
      </c>
    </row>
    <row r="11" ht="15" customHeight="1">
      <c r="C11" s="25" t="inlineStr">
        <is>
          <t>0191</t>
        </is>
      </c>
      <c r="D11" s="25" t="inlineStr">
        <is>
          <t>0192</t>
        </is>
      </c>
      <c r="E11" s="25" t="inlineStr">
        <is>
          <t>0280</t>
        </is>
      </c>
      <c r="F11" s="25" t="inlineStr">
        <is>
          <t>0580</t>
        </is>
      </c>
      <c r="G11" s="25" t="inlineStr">
        <is>
          <t>0680</t>
        </is>
      </c>
      <c r="H11" s="25" t="inlineStr">
        <is>
          <t>0791</t>
        </is>
      </c>
      <c r="I11" s="25" t="inlineStr">
        <is>
          <t>0792</t>
        </is>
      </c>
      <c r="J11" s="25" t="inlineStr">
        <is>
          <t>1091</t>
        </is>
      </c>
      <c r="K11" s="25" t="inlineStr">
        <is>
          <t>1092</t>
        </is>
      </c>
      <c r="L11" s="25" t="inlineStr">
        <is>
          <t>1093</t>
        </is>
      </c>
      <c r="M11" s="25" t="inlineStr">
        <is>
          <t>1100</t>
        </is>
      </c>
      <c r="N11" s="25" t="inlineStr">
        <is>
          <t>1200</t>
        </is>
      </c>
      <c r="O11" s="25" t="inlineStr">
        <is>
          <t>1300</t>
        </is>
      </c>
      <c r="P11" s="25" t="inlineStr">
        <is>
          <t>1400</t>
        </is>
      </c>
      <c r="Q11" s="25" t="inlineStr">
        <is>
          <t>1500</t>
        </is>
      </c>
      <c r="R11" s="25" t="inlineStr">
        <is>
          <t>1600</t>
        </is>
      </c>
      <c r="S11" s="25" t="inlineStr">
        <is>
          <t>1700</t>
        </is>
      </c>
      <c r="T11" s="25" t="inlineStr">
        <is>
          <t>1800</t>
        </is>
      </c>
      <c r="U11" s="25" t="inlineStr">
        <is>
          <t>1991</t>
        </is>
      </c>
      <c r="V11" s="25" t="inlineStr">
        <is>
          <t>1992</t>
        </is>
      </c>
      <c r="W11" s="25" t="inlineStr">
        <is>
          <t>2091</t>
        </is>
      </c>
      <c r="X11" s="25" t="inlineStr">
        <is>
          <t>2092</t>
        </is>
      </c>
      <c r="Y11" s="25" t="inlineStr">
        <is>
          <t>2093</t>
        </is>
      </c>
      <c r="Z11" s="25" t="inlineStr">
        <is>
          <t>2100</t>
        </is>
      </c>
      <c r="AA11" s="25" t="inlineStr">
        <is>
          <t>2200</t>
        </is>
      </c>
      <c r="AB11" s="25" t="inlineStr">
        <is>
          <t>2300</t>
        </is>
      </c>
      <c r="AC11" s="25" t="inlineStr">
        <is>
          <t>2491</t>
        </is>
      </c>
      <c r="AD11" s="25" t="inlineStr">
        <is>
          <t>2492</t>
        </is>
      </c>
      <c r="AE11" s="25" t="inlineStr">
        <is>
          <t>2500</t>
        </is>
      </c>
      <c r="AF11" s="25" t="inlineStr">
        <is>
          <t>2600</t>
        </is>
      </c>
      <c r="AG11" s="25" t="inlineStr">
        <is>
          <t>2700</t>
        </is>
      </c>
      <c r="AH11" s="25" t="inlineStr">
        <is>
          <t>2800</t>
        </is>
      </c>
      <c r="AI11" s="25" t="inlineStr">
        <is>
          <t>2991</t>
        </is>
      </c>
      <c r="AJ11" s="25" t="inlineStr">
        <is>
          <t>2992</t>
        </is>
      </c>
      <c r="AK11" s="25" t="inlineStr">
        <is>
          <t>3000</t>
        </is>
      </c>
      <c r="AL11" s="25" t="inlineStr">
        <is>
          <t>3180</t>
        </is>
      </c>
      <c r="AM11" s="25" t="inlineStr">
        <is>
          <t>3300</t>
        </is>
      </c>
      <c r="AN11" s="25" t="inlineStr">
        <is>
          <t>3500</t>
        </is>
      </c>
      <c r="AO11" s="25" t="inlineStr">
        <is>
          <t>3680</t>
        </is>
      </c>
      <c r="AP11" s="25" t="inlineStr">
        <is>
          <t>4180</t>
        </is>
      </c>
      <c r="AQ11" s="25" t="inlineStr">
        <is>
          <t>4500</t>
        </is>
      </c>
      <c r="AR11" s="25" t="inlineStr">
        <is>
          <t>4680</t>
        </is>
      </c>
      <c r="AS11" s="25" t="inlineStr">
        <is>
          <t>4900</t>
        </is>
      </c>
      <c r="AT11" s="25" t="inlineStr">
        <is>
          <t>5000</t>
        </is>
      </c>
      <c r="AU11" s="25" t="inlineStr">
        <is>
          <t>5100</t>
        </is>
      </c>
      <c r="AV11" s="25" t="inlineStr">
        <is>
          <t>5280</t>
        </is>
      </c>
      <c r="AW11" s="25" t="inlineStr">
        <is>
          <t>5500</t>
        </is>
      </c>
      <c r="AX11" s="25" t="inlineStr">
        <is>
          <t>5600</t>
        </is>
      </c>
      <c r="AY11" s="25" t="inlineStr">
        <is>
          <t>5800</t>
        </is>
      </c>
      <c r="AZ11" s="25" t="inlineStr">
        <is>
          <t>5980</t>
        </is>
      </c>
      <c r="BA11" s="25" t="inlineStr">
        <is>
          <t>6100</t>
        </is>
      </c>
      <c r="BB11" s="25" t="inlineStr">
        <is>
          <t>6280</t>
        </is>
      </c>
      <c r="BC11" s="25" t="inlineStr">
        <is>
          <t>6480</t>
        </is>
      </c>
      <c r="BD11" s="25" t="inlineStr">
        <is>
          <t>6800</t>
        </is>
      </c>
      <c r="BE11" s="25" t="inlineStr">
        <is>
          <t>6980</t>
        </is>
      </c>
      <c r="BF11" s="25" t="inlineStr">
        <is>
          <t>7180</t>
        </is>
      </c>
      <c r="BG11" s="25" t="inlineStr">
        <is>
          <t>7380</t>
        </is>
      </c>
      <c r="BH11" s="25" t="inlineStr">
        <is>
          <t>7700</t>
        </is>
      </c>
      <c r="BI11" s="25" t="inlineStr">
        <is>
          <t>7880</t>
        </is>
      </c>
      <c r="BJ11" s="25" t="inlineStr">
        <is>
          <t>8000</t>
        </is>
      </c>
      <c r="BK11" s="25" t="inlineStr">
        <is>
          <t>8400</t>
        </is>
      </c>
      <c r="BL11" s="25" t="inlineStr">
        <is>
          <t>8591</t>
        </is>
      </c>
      <c r="BM11" s="25" t="inlineStr">
        <is>
          <t>8592</t>
        </is>
      </c>
      <c r="BN11" s="25" t="inlineStr">
        <is>
          <t>8691</t>
        </is>
      </c>
      <c r="BO11" s="25" t="inlineStr">
        <is>
          <t>8692</t>
        </is>
      </c>
      <c r="BP11" s="25" t="inlineStr">
        <is>
          <t>9080</t>
        </is>
      </c>
      <c r="BQ11" s="25" t="inlineStr">
        <is>
          <t>9480</t>
        </is>
      </c>
      <c r="BR11" s="25" t="inlineStr">
        <is>
          <t>9700</t>
        </is>
      </c>
      <c r="BT11" s="25" t="inlineStr"/>
      <c r="BU11" s="25" t="inlineStr"/>
      <c r="BV11" s="25" t="inlineStr"/>
      <c r="BW11" s="25" t="inlineStr"/>
    </row>
    <row r="12" ht="90" customHeight="1">
      <c r="A12" s="26" t="n"/>
      <c r="B12" s="26" t="n"/>
      <c r="C12" s="27" t="inlineStr">
        <is>
          <t>Agricultura, inclusive o apoio à agricultura e a pós-colheita</t>
        </is>
      </c>
      <c r="D12" s="27" t="inlineStr">
        <is>
          <t>Pecuária, inclusive o apoio à pecuária</t>
        </is>
      </c>
      <c r="E12" s="27" t="inlineStr">
        <is>
          <t>Produção florestal; pesca e aquicultura</t>
        </is>
      </c>
      <c r="F12" s="27" t="inlineStr">
        <is>
          <t>Extração de carvão mineral e de minerais não-metálicos</t>
        </is>
      </c>
      <c r="G12" s="27" t="inlineStr">
        <is>
          <t>Extração de petróleo e gás, inclusive as atividades de apoio</t>
        </is>
      </c>
      <c r="H12" s="27" t="inlineStr">
        <is>
          <t>Extração de minério de ferro, inclusive beneficiamentos e a aglomeração</t>
        </is>
      </c>
      <c r="I12" s="27" t="inlineStr">
        <is>
          <t>Extração de minerais metálicos não-ferrosos, inclusive beneficiamentos</t>
        </is>
      </c>
      <c r="J12" s="27" t="inlineStr">
        <is>
          <t>Abate e produtos de carne, inclusive os produtos do laticínio e da pesca</t>
        </is>
      </c>
      <c r="K12" s="27" t="inlineStr">
        <is>
          <t>Fabricação e refino de açúcar</t>
        </is>
      </c>
      <c r="L12" s="27" t="inlineStr">
        <is>
          <t>Outros produtos alimentares</t>
        </is>
      </c>
      <c r="M12" s="27" t="inlineStr">
        <is>
          <t>Fabricação de bebidas</t>
        </is>
      </c>
      <c r="N12" s="27" t="inlineStr">
        <is>
          <t>Fabricação de produtos do fumo</t>
        </is>
      </c>
      <c r="O12" s="27" t="inlineStr">
        <is>
          <t>Fabricação de produtos têxteis</t>
        </is>
      </c>
      <c r="P12" s="27" t="inlineStr">
        <is>
          <t>Confecção de artefatos do vestuário e acessórios</t>
        </is>
      </c>
      <c r="Q12" s="27" t="inlineStr">
        <is>
          <t>Fabricação de calçados e de artefatos de couro</t>
        </is>
      </c>
      <c r="R12" s="27" t="inlineStr">
        <is>
          <t>Fabricação de produtos da madeira</t>
        </is>
      </c>
      <c r="S12" s="27" t="inlineStr">
        <is>
          <t>Fabricação de celulose, papel e produtos de papel</t>
        </is>
      </c>
      <c r="T12" s="27" t="inlineStr">
        <is>
          <t>Impressão e reprodução de gravações</t>
        </is>
      </c>
      <c r="U12" s="27" t="inlineStr">
        <is>
          <t>Refino de petróleo e coquerias</t>
        </is>
      </c>
      <c r="V12" s="27" t="inlineStr">
        <is>
          <t>Fabricação de biocombustíveis</t>
        </is>
      </c>
      <c r="W12" s="27" t="inlineStr">
        <is>
          <t>Fabricação de químicos orgânicos e inorgânicos, resinas e elastômeros</t>
        </is>
      </c>
      <c r="X12" s="27" t="inlineStr">
        <is>
          <t>Fabricação de defensivos, desinfestantes, tintas e químicos diversos</t>
        </is>
      </c>
      <c r="Y12" s="27" t="inlineStr">
        <is>
          <t>Fabricação de produtos de limpeza, cosméticos/perfumaria e higiene pessoal</t>
        </is>
      </c>
      <c r="Z12" s="27" t="inlineStr">
        <is>
          <t>Fabricação de produtos farmoquímicos e farmacêuticos</t>
        </is>
      </c>
      <c r="AA12" s="27" t="inlineStr">
        <is>
          <t>Fabricação de produtos de borracha e de material plástico</t>
        </is>
      </c>
      <c r="AB12" s="27" t="inlineStr">
        <is>
          <t>Fabricação de produtos de minerais não-metálicos</t>
        </is>
      </c>
      <c r="AC12" s="27" t="inlineStr">
        <is>
          <t>Produção de ferro-gusa/ferroligas, siderurgia e tubos de aço sem costura</t>
        </is>
      </c>
      <c r="AD12" s="27" t="inlineStr">
        <is>
          <t>Metalurgia de metais não-ferrosos e a fundição de metais</t>
        </is>
      </c>
      <c r="AE12" s="27" t="inlineStr">
        <is>
          <t>Fabricação de produtos de metal, exceto máquinas e equipamentos</t>
        </is>
      </c>
      <c r="AF12" s="27" t="inlineStr">
        <is>
          <t>Fabricação de equipamentos de informática, produtos eletrônicos e ópticos</t>
        </is>
      </c>
      <c r="AG12" s="27" t="inlineStr">
        <is>
          <t>Fabricação de máquinas e equipamentos elétricos</t>
        </is>
      </c>
      <c r="AH12" s="27" t="inlineStr">
        <is>
          <t>Fabricação de máquinas e equipamentos mecânicos</t>
        </is>
      </c>
      <c r="AI12" s="27" t="inlineStr">
        <is>
          <t>Fabricação de automóveis, caminhões e ônibus, exceto peças</t>
        </is>
      </c>
      <c r="AJ12" s="27" t="inlineStr">
        <is>
          <t>Fabricação de peças e acessórios para veículos automotores</t>
        </is>
      </c>
      <c r="AK12" s="27" t="inlineStr">
        <is>
          <t>Fabricação de outros equipamentos de transporte, exceto veículos automotores</t>
        </is>
      </c>
      <c r="AL12" s="27" t="inlineStr">
        <is>
          <t>Fabricação de móveis e de produtos de indústrias diversas</t>
        </is>
      </c>
      <c r="AM12" s="27" t="inlineStr">
        <is>
          <t>Manutenção, reparação e instalação de máquinas e equipamentos</t>
        </is>
      </c>
      <c r="AN12" s="27" t="inlineStr">
        <is>
          <t>Energia elétrica, gás natural e outras utilidades</t>
        </is>
      </c>
      <c r="AO12" s="27" t="inlineStr">
        <is>
          <t>Água, esgoto e gestão de resíduos</t>
        </is>
      </c>
      <c r="AP12" s="27" t="inlineStr">
        <is>
          <t>Construção</t>
        </is>
      </c>
      <c r="AQ12" s="27" t="inlineStr">
        <is>
          <t>Comércio e reparação de veículos automotores e motocicletas</t>
        </is>
      </c>
      <c r="AR12" s="27" t="inlineStr">
        <is>
          <t>Comércio por atacado e a varejo, exceto veículos automotores</t>
        </is>
      </c>
      <c r="AS12" s="27" t="inlineStr">
        <is>
          <t>Transporte terrestre</t>
        </is>
      </c>
      <c r="AT12" s="27" t="inlineStr">
        <is>
          <t>Transporte aquaviário</t>
        </is>
      </c>
      <c r="AU12" s="27" t="inlineStr">
        <is>
          <t>Transporte aéreo</t>
        </is>
      </c>
      <c r="AV12" s="27" t="inlineStr">
        <is>
          <t>Armazenamento, atividades auxiliares dos transportes e correio</t>
        </is>
      </c>
      <c r="AW12" s="27" t="inlineStr">
        <is>
          <t>Alojamento</t>
        </is>
      </c>
      <c r="AX12" s="27" t="inlineStr">
        <is>
          <t>Alimentação</t>
        </is>
      </c>
      <c r="AY12" s="27" t="inlineStr">
        <is>
          <t>Edição e edição integrada à impressão</t>
        </is>
      </c>
      <c r="AZ12" s="27" t="inlineStr">
        <is>
          <t>Atividades de televisão, rádio, cinema e  gravação/edição de som e imagem</t>
        </is>
      </c>
      <c r="BA12" s="27" t="inlineStr">
        <is>
          <t>Telecomunicações</t>
        </is>
      </c>
      <c r="BB12" s="27" t="inlineStr">
        <is>
          <t>Desenvolvimento de sistemas e outros serviços de informação</t>
        </is>
      </c>
      <c r="BC12" s="27" t="inlineStr">
        <is>
          <t>Intermediação financeira, seguros e previdência complementar</t>
        </is>
      </c>
      <c r="BD12" s="27" t="inlineStr">
        <is>
          <t>Atividades imobiliárias</t>
        </is>
      </c>
      <c r="BE12" s="27" t="inlineStr">
        <is>
          <t>Atividades jurídicas, contábeis, consultoria e sedes de empresas</t>
        </is>
      </c>
      <c r="BF12" s="27" t="inlineStr">
        <is>
          <t>Serviços de arquitetura, engenharia, testes/análises técnicas e P &amp; D</t>
        </is>
      </c>
      <c r="BG12" s="27" t="inlineStr">
        <is>
          <t>Outras atividades profissionais, científicas e técnicas</t>
        </is>
      </c>
      <c r="BH12" s="27" t="inlineStr">
        <is>
          <t>Aluguéis não-imobiliários e gestão de ativos de propriedade intelectual</t>
        </is>
      </c>
      <c r="BI12" s="27" t="inlineStr">
        <is>
          <t>Outras atividades administrativas e serviços complementares</t>
        </is>
      </c>
      <c r="BJ12" s="27" t="inlineStr">
        <is>
          <t>Atividades de vigilância, segurança e investigação</t>
        </is>
      </c>
      <c r="BK12" s="27" t="inlineStr">
        <is>
          <t>Administração pública, defesa e seguridade social</t>
        </is>
      </c>
      <c r="BL12" s="27" t="inlineStr">
        <is>
          <t>Educação pública</t>
        </is>
      </c>
      <c r="BM12" s="27" t="inlineStr">
        <is>
          <t>Educação privada</t>
        </is>
      </c>
      <c r="BN12" s="27" t="inlineStr">
        <is>
          <t>Saúde pública</t>
        </is>
      </c>
      <c r="BO12" s="27" t="inlineStr">
        <is>
          <t>Saúde privada</t>
        </is>
      </c>
      <c r="BP12" s="27" t="inlineStr">
        <is>
          <t>Atividades artísticas, criativas e de espetáculos</t>
        </is>
      </c>
      <c r="BQ12" s="27" t="inlineStr">
        <is>
          <t>Organizações associativas e outros serviços pessoais</t>
        </is>
      </c>
      <c r="BR12" s="27" t="inlineStr">
        <is>
          <t>Serviços domésticos</t>
        </is>
      </c>
      <c r="BS12" s="26" t="n"/>
      <c r="BT12" s="27" t="inlineStr">
        <is>
          <t>Gasto de consumo final</t>
        </is>
      </c>
      <c r="BU12" s="27" t="inlineStr">
        <is>
          <t>Formacion bruta de capital</t>
        </is>
      </c>
      <c r="BV12" s="27" t="inlineStr">
        <is>
          <t>Exportaciones netas</t>
        </is>
      </c>
      <c r="BW12" s="27" t="inlineStr">
        <is>
          <t>Sin desglose fuente</t>
        </is>
      </c>
      <c r="BX12" s="26" t="n"/>
      <c r="BY12" s="26" t="n"/>
    </row>
    <row r="13"/>
    <row r="14">
      <c r="A14" s="28" t="inlineStr">
        <is>
          <t>0191</t>
        </is>
      </c>
      <c r="B14" s="28" t="inlineStr">
        <is>
          <t>Agricultura, inclusive o apoio à agricultura e a pós-colheita</t>
        </is>
      </c>
      <c r="C14" s="29" t="n">
        <v>6260.057054552419</v>
      </c>
      <c r="D14" s="29" t="n">
        <v>3966.003830185397</v>
      </c>
      <c r="E14" s="29" t="n">
        <v>155.2461208045644</v>
      </c>
      <c r="F14" s="29" t="n">
        <v>2.194977980693666</v>
      </c>
      <c r="G14" s="29" t="n">
        <v>4.689200960201699</v>
      </c>
      <c r="H14" s="29" t="n">
        <v>0.515923330116521</v>
      </c>
      <c r="I14" s="29" t="n">
        <v>1.236254770829089</v>
      </c>
      <c r="J14" s="29" t="n">
        <v>6213.355490700036</v>
      </c>
      <c r="K14" s="29" t="n">
        <v>24911.17285763444</v>
      </c>
      <c r="L14" s="29" t="n">
        <v>54613.89704662468</v>
      </c>
      <c r="M14" s="29" t="n">
        <v>1962.778161156529</v>
      </c>
      <c r="N14" s="29" t="n">
        <v>4204.015033924318</v>
      </c>
      <c r="O14" s="29" t="n">
        <v>4143.474483690273</v>
      </c>
      <c r="P14" s="29" t="n">
        <v>621.0044177174187</v>
      </c>
      <c r="Q14" s="29" t="n">
        <v>8.903584785670333</v>
      </c>
      <c r="R14" s="29" t="n">
        <v>124.5636824039551</v>
      </c>
      <c r="S14" s="29" t="n">
        <v>172.6009475210738</v>
      </c>
      <c r="T14" s="29" t="n">
        <v>0.1912890612744719</v>
      </c>
      <c r="U14" s="29" t="n">
        <v>7.601310906393205</v>
      </c>
      <c r="V14" s="29" t="n">
        <v>15349.60865925044</v>
      </c>
      <c r="W14" s="29" t="n">
        <v>17.35349938173774</v>
      </c>
      <c r="X14" s="29" t="n">
        <v>18.70389734621996</v>
      </c>
      <c r="Y14" s="29" t="n">
        <v>1.679158385774704</v>
      </c>
      <c r="Z14" s="29" t="n">
        <v>13.44628997154161</v>
      </c>
      <c r="AA14" s="29" t="n">
        <v>58.41122182800267</v>
      </c>
      <c r="AB14" s="29" t="n">
        <v>21.23553490595456</v>
      </c>
      <c r="AC14" s="29" t="n">
        <v>36.59304481477619</v>
      </c>
      <c r="AD14" s="29" t="n">
        <v>14.25756489877021</v>
      </c>
      <c r="AE14" s="29" t="n">
        <v>2.856957841360912</v>
      </c>
      <c r="AF14" s="29" t="n">
        <v>0.2485125500468973</v>
      </c>
      <c r="AG14" s="29" t="n">
        <v>0.3161373597620201</v>
      </c>
      <c r="AH14" s="29" t="n">
        <v>0.8977256198429137</v>
      </c>
      <c r="AI14" s="29" t="n">
        <v>0.5717016672665424</v>
      </c>
      <c r="AJ14" s="29" t="n">
        <v>0.3162513339490458</v>
      </c>
      <c r="AK14" s="29" t="n">
        <v>0.7511169441000917</v>
      </c>
      <c r="AL14" s="29" t="n">
        <v>13.68844383268949</v>
      </c>
      <c r="AM14" s="29" t="n">
        <v>0.05340928792237162</v>
      </c>
      <c r="AN14" s="29" t="n">
        <v>0.6205500537450142</v>
      </c>
      <c r="AO14" s="29" t="n">
        <v>25.87582573274</v>
      </c>
      <c r="AP14" s="29" t="n">
        <v>340.9544788531584</v>
      </c>
      <c r="AQ14" s="29" t="n">
        <v>1.946079678008185</v>
      </c>
      <c r="AR14" s="29" t="n">
        <v>10270.78981086128</v>
      </c>
      <c r="AS14" s="29" t="n">
        <v>0.6522210850607507</v>
      </c>
      <c r="AT14" s="29" t="n">
        <v>0.01678115594040075</v>
      </c>
      <c r="AU14" s="29" t="n">
        <v>0.2374448991151772</v>
      </c>
      <c r="AV14" s="29" t="n">
        <v>7.402323268946624</v>
      </c>
      <c r="AW14" s="29" t="n">
        <v>231.4410980915131</v>
      </c>
      <c r="AX14" s="29" t="n">
        <v>3266.455770320876</v>
      </c>
      <c r="AY14" s="29" t="n">
        <v>0.1275511781856001</v>
      </c>
      <c r="AZ14" s="29" t="n">
        <v>0.5453073648355519</v>
      </c>
      <c r="BA14" s="29" t="n">
        <v>38.92368970376511</v>
      </c>
      <c r="BB14" s="29" t="n">
        <v>1.396152463750415</v>
      </c>
      <c r="BC14" s="29" t="n">
        <v>14.50332457654046</v>
      </c>
      <c r="BD14" s="29" t="n">
        <v>12.32765246479877</v>
      </c>
      <c r="BE14" s="29" t="n">
        <v>5.444556001296571</v>
      </c>
      <c r="BF14" s="29" t="n">
        <v>10.9260939147653</v>
      </c>
      <c r="BG14" s="29" t="n">
        <v>0.629219010564542</v>
      </c>
      <c r="BH14" s="29" t="n">
        <v>0.4794726101078481</v>
      </c>
      <c r="BI14" s="29" t="n">
        <v>105.4940490448037</v>
      </c>
      <c r="BJ14" s="29" t="n">
        <v>0.1654311469957921</v>
      </c>
      <c r="BK14" s="29" t="n">
        <v>930.6896701343752</v>
      </c>
      <c r="BL14" s="29" t="n">
        <v>379.8031933671614</v>
      </c>
      <c r="BM14" s="29" t="n">
        <v>39.99228455360888</v>
      </c>
      <c r="BN14" s="29" t="n">
        <v>197.609605529465</v>
      </c>
      <c r="BO14" s="29" t="n">
        <v>153.4587085582986</v>
      </c>
      <c r="BP14" s="29" t="n">
        <v>2.349887093659695</v>
      </c>
      <c r="BQ14" s="29" t="n">
        <v>220.2830191691266</v>
      </c>
      <c r="BR14" s="29" t="n">
        <v>0</v>
      </c>
      <c r="BS14" s="29">
        <f>SUM(C14:BR14)</f>
        <v/>
      </c>
      <c r="BT14" s="29" t="n">
        <v>0</v>
      </c>
      <c r="BU14" s="29" t="n">
        <v>0</v>
      </c>
      <c r="BV14" s="29" t="n">
        <v>139524.967952183</v>
      </c>
      <c r="BW14" s="29" t="n">
        <v>0</v>
      </c>
      <c r="BX14" s="29">
        <f>SUM(BT14:BW14)</f>
        <v/>
      </c>
      <c r="BY14" s="29">
        <f>BS14+BX14</f>
        <v/>
      </c>
    </row>
    <row r="15">
      <c r="A15" s="30" t="inlineStr">
        <is>
          <t>0192</t>
        </is>
      </c>
      <c r="B15" s="30" t="inlineStr">
        <is>
          <t>Pecuária, inclusive o apoio à pecuária</t>
        </is>
      </c>
      <c r="C15" s="31" t="n">
        <v>766.2209949368752</v>
      </c>
      <c r="D15" s="31" t="n">
        <v>4659.958479195981</v>
      </c>
      <c r="E15" s="31" t="n">
        <v>164.4245004199615</v>
      </c>
      <c r="F15" s="31" t="n">
        <v>5.126703975312902</v>
      </c>
      <c r="G15" s="31" t="n">
        <v>12.93229559362502</v>
      </c>
      <c r="H15" s="31" t="n">
        <v>0.8800001078223576</v>
      </c>
      <c r="I15" s="31" t="n">
        <v>2.437564289889782</v>
      </c>
      <c r="J15" s="31" t="n">
        <v>73713.17096646376</v>
      </c>
      <c r="K15" s="31" t="n">
        <v>137.2709201663634</v>
      </c>
      <c r="L15" s="31" t="n">
        <v>3276.265557019306</v>
      </c>
      <c r="M15" s="31" t="n">
        <v>68.997349890202</v>
      </c>
      <c r="N15" s="31" t="n">
        <v>178.2735596468939</v>
      </c>
      <c r="O15" s="31" t="n">
        <v>176.2812821510465</v>
      </c>
      <c r="P15" s="31" t="n">
        <v>134.7933731064721</v>
      </c>
      <c r="Q15" s="31" t="n">
        <v>9.937111619798854</v>
      </c>
      <c r="R15" s="31" t="n">
        <v>175.804326827812</v>
      </c>
      <c r="S15" s="31" t="n">
        <v>213.7395171654165</v>
      </c>
      <c r="T15" s="31" t="n">
        <v>0.3848281211261452</v>
      </c>
      <c r="U15" s="31" t="n">
        <v>0.4817759915432649</v>
      </c>
      <c r="V15" s="31" t="n">
        <v>118.8586700264986</v>
      </c>
      <c r="W15" s="31" t="n">
        <v>55.71850445944175</v>
      </c>
      <c r="X15" s="31" t="n">
        <v>8.686057744318234</v>
      </c>
      <c r="Y15" s="31" t="n">
        <v>3.957509750713049</v>
      </c>
      <c r="Z15" s="31" t="n">
        <v>3.488078862353341</v>
      </c>
      <c r="AA15" s="31" t="n">
        <v>75.66475199319204</v>
      </c>
      <c r="AB15" s="31" t="n">
        <v>87.25403381772058</v>
      </c>
      <c r="AC15" s="31" t="n">
        <v>56.2069998226526</v>
      </c>
      <c r="AD15" s="31" t="n">
        <v>30.00036949181633</v>
      </c>
      <c r="AE15" s="31" t="n">
        <v>2.371040633786036</v>
      </c>
      <c r="AF15" s="31" t="n">
        <v>0.7423693646851927</v>
      </c>
      <c r="AG15" s="31" t="n">
        <v>1.133929348985439</v>
      </c>
      <c r="AH15" s="31" t="n">
        <v>2.017830591745593</v>
      </c>
      <c r="AI15" s="31" t="n">
        <v>1.141084031927919</v>
      </c>
      <c r="AJ15" s="31" t="n">
        <v>0.8812427574867917</v>
      </c>
      <c r="AK15" s="31" t="n">
        <v>1.013838343534176</v>
      </c>
      <c r="AL15" s="31" t="n">
        <v>6.602321690215614</v>
      </c>
      <c r="AM15" s="31" t="n">
        <v>0.2006780919494489</v>
      </c>
      <c r="AN15" s="31" t="n">
        <v>1.014209861656759</v>
      </c>
      <c r="AO15" s="31" t="n">
        <v>6.01511073076525</v>
      </c>
      <c r="AP15" s="31" t="n">
        <v>699.6240756412546</v>
      </c>
      <c r="AQ15" s="31" t="n">
        <v>3.023224976407762</v>
      </c>
      <c r="AR15" s="31" t="n">
        <v>380.4812149864468</v>
      </c>
      <c r="AS15" s="31" t="n">
        <v>0.8951061439772401</v>
      </c>
      <c r="AT15" s="31" t="n">
        <v>0.02997865826976474</v>
      </c>
      <c r="AU15" s="31" t="n">
        <v>0.3276425004894183</v>
      </c>
      <c r="AV15" s="31" t="n">
        <v>14.30245403702536</v>
      </c>
      <c r="AW15" s="31" t="n">
        <v>243.7066598454207</v>
      </c>
      <c r="AX15" s="31" t="n">
        <v>1298.28407318267</v>
      </c>
      <c r="AY15" s="31" t="n">
        <v>0.3715895822866297</v>
      </c>
      <c r="AZ15" s="31" t="n">
        <v>1.106968321459539</v>
      </c>
      <c r="BA15" s="31" t="n">
        <v>75.83060637764446</v>
      </c>
      <c r="BB15" s="31" t="n">
        <v>3.181359381765893</v>
      </c>
      <c r="BC15" s="31" t="n">
        <v>27.52639619871178</v>
      </c>
      <c r="BD15" s="31" t="n">
        <v>25.89391988384918</v>
      </c>
      <c r="BE15" s="31" t="n">
        <v>4.998012614629569</v>
      </c>
      <c r="BF15" s="31" t="n">
        <v>13.45557408319046</v>
      </c>
      <c r="BG15" s="31" t="n">
        <v>5.586823615326698</v>
      </c>
      <c r="BH15" s="31" t="n">
        <v>0.9777206657706063</v>
      </c>
      <c r="BI15" s="31" t="n">
        <v>22.8849692329636</v>
      </c>
      <c r="BJ15" s="31" t="n">
        <v>0.309819640879668</v>
      </c>
      <c r="BK15" s="31" t="n">
        <v>243.1166558345438</v>
      </c>
      <c r="BL15" s="31" t="n">
        <v>118.160897022374</v>
      </c>
      <c r="BM15" s="31" t="n">
        <v>13.02493973854921</v>
      </c>
      <c r="BN15" s="31" t="n">
        <v>72.26960040373132</v>
      </c>
      <c r="BO15" s="31" t="n">
        <v>103.1693670960393</v>
      </c>
      <c r="BP15" s="31" t="n">
        <v>2.831059789374222</v>
      </c>
      <c r="BQ15" s="31" t="n">
        <v>41.287810319574</v>
      </c>
      <c r="BR15" s="31" t="n">
        <v>0</v>
      </c>
      <c r="BS15" s="31">
        <f>SUM(C15:BR15)</f>
        <v/>
      </c>
      <c r="BT15" s="31" t="n">
        <v>0</v>
      </c>
      <c r="BU15" s="31" t="n">
        <v>0</v>
      </c>
      <c r="BV15" s="31" t="n">
        <v>37640.99174212071</v>
      </c>
      <c r="BW15" s="31" t="n">
        <v>0</v>
      </c>
      <c r="BX15" s="31">
        <f>SUM(BT15:BW15)</f>
        <v/>
      </c>
      <c r="BY15" s="31">
        <f>BS15+BX15</f>
        <v/>
      </c>
    </row>
    <row r="16">
      <c r="A16" s="28" t="inlineStr">
        <is>
          <t>0280</t>
        </is>
      </c>
      <c r="B16" s="28" t="inlineStr">
        <is>
          <t>Produção florestal; pesca e aquicultura</t>
        </is>
      </c>
      <c r="C16" s="29" t="n">
        <v>1029.977494966483</v>
      </c>
      <c r="D16" s="29" t="n">
        <v>1213.99181828234</v>
      </c>
      <c r="E16" s="29" t="n">
        <v>1919.285470337162</v>
      </c>
      <c r="F16" s="29" t="n">
        <v>1.901591072203658</v>
      </c>
      <c r="G16" s="29" t="n">
        <v>1.005727029710302</v>
      </c>
      <c r="H16" s="29" t="n">
        <v>0.08029091972453703</v>
      </c>
      <c r="I16" s="29" t="n">
        <v>0.1527214406186377</v>
      </c>
      <c r="J16" s="29" t="n">
        <v>1626.184590716732</v>
      </c>
      <c r="K16" s="29" t="n">
        <v>0.7639207680438361</v>
      </c>
      <c r="L16" s="29" t="n">
        <v>325.3093875392287</v>
      </c>
      <c r="M16" s="29" t="n">
        <v>13.72205201925969</v>
      </c>
      <c r="N16" s="29" t="n">
        <v>15.41602844012417</v>
      </c>
      <c r="O16" s="29" t="n">
        <v>54.98763380035533</v>
      </c>
      <c r="P16" s="29" t="n">
        <v>17.22860301372429</v>
      </c>
      <c r="Q16" s="29" t="n">
        <v>16.28495790236112</v>
      </c>
      <c r="R16" s="29" t="n">
        <v>2542.40170047356</v>
      </c>
      <c r="S16" s="29" t="n">
        <v>2951.970758810632</v>
      </c>
      <c r="T16" s="29" t="n">
        <v>0.03350693768880052</v>
      </c>
      <c r="U16" s="29" t="n">
        <v>0.05746389090782213</v>
      </c>
      <c r="V16" s="29" t="n">
        <v>2.351392025328236</v>
      </c>
      <c r="W16" s="29" t="n">
        <v>165.1157668773284</v>
      </c>
      <c r="X16" s="29" t="n">
        <v>2.651950692112941</v>
      </c>
      <c r="Y16" s="29" t="n">
        <v>0.1008667634900789</v>
      </c>
      <c r="Z16" s="29" t="n">
        <v>0.2260789939400887</v>
      </c>
      <c r="AA16" s="29" t="n">
        <v>1082.524722387954</v>
      </c>
      <c r="AB16" s="29" t="n">
        <v>86.20503115376266</v>
      </c>
      <c r="AC16" s="29" t="n">
        <v>734.0090443137457</v>
      </c>
      <c r="AD16" s="29" t="n">
        <v>1.906446889177861</v>
      </c>
      <c r="AE16" s="29" t="n">
        <v>10.26412194999207</v>
      </c>
      <c r="AF16" s="29" t="n">
        <v>0.1051676751389118</v>
      </c>
      <c r="AG16" s="29" t="n">
        <v>0.1190923429265094</v>
      </c>
      <c r="AH16" s="29" t="n">
        <v>0.255241565493097</v>
      </c>
      <c r="AI16" s="29" t="n">
        <v>0.1330070577839388</v>
      </c>
      <c r="AJ16" s="29" t="n">
        <v>0.1108845016573386</v>
      </c>
      <c r="AK16" s="29" t="n">
        <v>0.1301510443076018</v>
      </c>
      <c r="AL16" s="29" t="n">
        <v>3.086032536274596</v>
      </c>
      <c r="AM16" s="29" t="n">
        <v>0.02976983967491476</v>
      </c>
      <c r="AN16" s="29" t="n">
        <v>0.3040578093753213</v>
      </c>
      <c r="AO16" s="29" t="n">
        <v>0.5088751075537603</v>
      </c>
      <c r="AP16" s="29" t="n">
        <v>502.482685769104</v>
      </c>
      <c r="AQ16" s="29" t="n">
        <v>0.7973018088299462</v>
      </c>
      <c r="AR16" s="29" t="n">
        <v>311.8982919987671</v>
      </c>
      <c r="AS16" s="29" t="n">
        <v>0.2535348916927993</v>
      </c>
      <c r="AT16" s="29" t="n">
        <v>0.0120371661649008</v>
      </c>
      <c r="AU16" s="29" t="n">
        <v>0.04408457989588908</v>
      </c>
      <c r="AV16" s="29" t="n">
        <v>1.269424966645035</v>
      </c>
      <c r="AW16" s="29" t="n">
        <v>38.98503172539576</v>
      </c>
      <c r="AX16" s="29" t="n">
        <v>408.8522498503146</v>
      </c>
      <c r="AY16" s="29" t="n">
        <v>0.08377038378406219</v>
      </c>
      <c r="AZ16" s="29" t="n">
        <v>0.1771629429839973</v>
      </c>
      <c r="BA16" s="29" t="n">
        <v>5.012895592741097</v>
      </c>
      <c r="BB16" s="29" t="n">
        <v>0.4907919637789111</v>
      </c>
      <c r="BC16" s="29" t="n">
        <v>2.601578922857384</v>
      </c>
      <c r="BD16" s="29" t="n">
        <v>2.064813133307175</v>
      </c>
      <c r="BE16" s="29" t="n">
        <v>1.048269908456285</v>
      </c>
      <c r="BF16" s="29" t="n">
        <v>3.706318824740155</v>
      </c>
      <c r="BG16" s="29" t="n">
        <v>0.2248734617448611</v>
      </c>
      <c r="BH16" s="29" t="n">
        <v>0.2602052118921318</v>
      </c>
      <c r="BI16" s="29" t="n">
        <v>1.836163988419594</v>
      </c>
      <c r="BJ16" s="29" t="n">
        <v>0.06435540451049129</v>
      </c>
      <c r="BK16" s="29" t="n">
        <v>84.15286580706481</v>
      </c>
      <c r="BL16" s="29" t="n">
        <v>73.13503929322482</v>
      </c>
      <c r="BM16" s="29" t="n">
        <v>7.507034470924109</v>
      </c>
      <c r="BN16" s="29" t="n">
        <v>34.82128176741337</v>
      </c>
      <c r="BO16" s="29" t="n">
        <v>15.63862894666855</v>
      </c>
      <c r="BP16" s="29" t="n">
        <v>0.7829648230118865</v>
      </c>
      <c r="BQ16" s="29" t="n">
        <v>3.684950108580321</v>
      </c>
      <c r="BR16" s="29" t="n">
        <v>0</v>
      </c>
      <c r="BS16" s="29">
        <f>SUM(C16:BR16)</f>
        <v/>
      </c>
      <c r="BT16" s="29" t="n">
        <v>0</v>
      </c>
      <c r="BU16" s="29" t="n">
        <v>0</v>
      </c>
      <c r="BV16" s="29" t="n">
        <v>15812.21797239921</v>
      </c>
      <c r="BW16" s="29" t="n">
        <v>0</v>
      </c>
      <c r="BX16" s="29">
        <f>SUM(BT16:BW16)</f>
        <v/>
      </c>
      <c r="BY16" s="29">
        <f>BS16+BX16</f>
        <v/>
      </c>
    </row>
    <row r="17">
      <c r="A17" s="30" t="inlineStr">
        <is>
          <t>0580</t>
        </is>
      </c>
      <c r="B17" s="30" t="inlineStr">
        <is>
          <t>Extração de carvão mineral e de minerais não-metálicos</t>
        </is>
      </c>
      <c r="C17" s="31" t="n">
        <v>80.69019861919185</v>
      </c>
      <c r="D17" s="31" t="n">
        <v>294.8162672447317</v>
      </c>
      <c r="E17" s="31" t="n">
        <v>10.15631083065714</v>
      </c>
      <c r="F17" s="31" t="n">
        <v>260.6517143462023</v>
      </c>
      <c r="G17" s="31" t="n">
        <v>375.7343818414191</v>
      </c>
      <c r="H17" s="31" t="n">
        <v>0.5901990350293737</v>
      </c>
      <c r="I17" s="31" t="n">
        <v>2.517109627855365</v>
      </c>
      <c r="J17" s="31" t="n">
        <v>47.28429070838928</v>
      </c>
      <c r="K17" s="31" t="n">
        <v>11.58852957545137</v>
      </c>
      <c r="L17" s="31" t="n">
        <v>212.6507270865451</v>
      </c>
      <c r="M17" s="31" t="n">
        <v>11.5316076504494</v>
      </c>
      <c r="N17" s="31" t="n">
        <v>0.05581133689389028</v>
      </c>
      <c r="O17" s="31" t="n">
        <v>0.9392142589940204</v>
      </c>
      <c r="P17" s="31" t="n">
        <v>0.3318884662284704</v>
      </c>
      <c r="Q17" s="31" t="n">
        <v>0.9101730325952418</v>
      </c>
      <c r="R17" s="31" t="n">
        <v>0.9414409890022055</v>
      </c>
      <c r="S17" s="31" t="n">
        <v>9.381096426533377</v>
      </c>
      <c r="T17" s="31" t="n">
        <v>0.5219892631820731</v>
      </c>
      <c r="U17" s="31" t="n">
        <v>70.38244436393737</v>
      </c>
      <c r="V17" s="31" t="n">
        <v>142.0730887614828</v>
      </c>
      <c r="W17" s="31" t="n">
        <v>2570.249842309698</v>
      </c>
      <c r="X17" s="31" t="n">
        <v>77.87999285016311</v>
      </c>
      <c r="Y17" s="31" t="n">
        <v>6.31496488599393</v>
      </c>
      <c r="Z17" s="31" t="n">
        <v>2.528092074600569</v>
      </c>
      <c r="AA17" s="31" t="n">
        <v>6.490833866642641</v>
      </c>
      <c r="AB17" s="31" t="n">
        <v>4677.287239552605</v>
      </c>
      <c r="AC17" s="31" t="n">
        <v>1285.241642143755</v>
      </c>
      <c r="AD17" s="31" t="n">
        <v>278.1226090690135</v>
      </c>
      <c r="AE17" s="31" t="n">
        <v>3.277096848695674</v>
      </c>
      <c r="AF17" s="31" t="n">
        <v>0.2791574730591342</v>
      </c>
      <c r="AG17" s="31" t="n">
        <v>33.94049021116005</v>
      </c>
      <c r="AH17" s="31" t="n">
        <v>3.695315395232469</v>
      </c>
      <c r="AI17" s="31" t="n">
        <v>13.72413621780583</v>
      </c>
      <c r="AJ17" s="31" t="n">
        <v>29.18408957760555</v>
      </c>
      <c r="AK17" s="31" t="n">
        <v>2.036150826791579</v>
      </c>
      <c r="AL17" s="31" t="n">
        <v>27.46199050577749</v>
      </c>
      <c r="AM17" s="31" t="n">
        <v>2.29918053525583</v>
      </c>
      <c r="AN17" s="31" t="n">
        <v>317.0462255713098</v>
      </c>
      <c r="AO17" s="31" t="n">
        <v>276.0614711848095</v>
      </c>
      <c r="AP17" s="31" t="n">
        <v>6377.357763112928</v>
      </c>
      <c r="AQ17" s="31" t="n">
        <v>2.819479811725704</v>
      </c>
      <c r="AR17" s="31" t="n">
        <v>70.13859046761542</v>
      </c>
      <c r="AS17" s="31" t="n">
        <v>2.083456005096214</v>
      </c>
      <c r="AT17" s="31" t="n">
        <v>0.05235415355466618</v>
      </c>
      <c r="AU17" s="31" t="n">
        <v>0.04059525546603458</v>
      </c>
      <c r="AV17" s="31" t="n">
        <v>4.709837226797704</v>
      </c>
      <c r="AW17" s="31" t="n">
        <v>1.773545166706586</v>
      </c>
      <c r="AX17" s="31" t="n">
        <v>9.89243547427108</v>
      </c>
      <c r="AY17" s="31" t="n">
        <v>0.2180639775807903</v>
      </c>
      <c r="AZ17" s="31" t="n">
        <v>0.2964720681532174</v>
      </c>
      <c r="BA17" s="31" t="n">
        <v>1.749913706034467</v>
      </c>
      <c r="BB17" s="31" t="n">
        <v>0.6465521201611436</v>
      </c>
      <c r="BC17" s="31" t="n">
        <v>2.106907272625015</v>
      </c>
      <c r="BD17" s="31" t="n">
        <v>266.7248307911876</v>
      </c>
      <c r="BE17" s="31" t="n">
        <v>1.87346472972264</v>
      </c>
      <c r="BF17" s="31" t="n">
        <v>2.139976430012877</v>
      </c>
      <c r="BG17" s="31" t="n">
        <v>0.478749011728917</v>
      </c>
      <c r="BH17" s="31" t="n">
        <v>0.5574292486944001</v>
      </c>
      <c r="BI17" s="31" t="n">
        <v>1.719661199823854</v>
      </c>
      <c r="BJ17" s="31" t="n">
        <v>0.1082674248694622</v>
      </c>
      <c r="BK17" s="31" t="n">
        <v>55.65935407289278</v>
      </c>
      <c r="BL17" s="31" t="n">
        <v>15.84382319536062</v>
      </c>
      <c r="BM17" s="31" t="n">
        <v>1.617849791587012</v>
      </c>
      <c r="BN17" s="31" t="n">
        <v>5.41929410386713</v>
      </c>
      <c r="BO17" s="31" t="n">
        <v>3.936080778060498</v>
      </c>
      <c r="BP17" s="31" t="n">
        <v>1.558827053688136</v>
      </c>
      <c r="BQ17" s="31" t="n">
        <v>3.211449723136807</v>
      </c>
      <c r="BR17" s="31" t="n">
        <v>0</v>
      </c>
      <c r="BS17" s="31">
        <f>SUM(C17:BR17)</f>
        <v/>
      </c>
      <c r="BT17" s="31" t="n">
        <v>0</v>
      </c>
      <c r="BU17" s="31" t="n">
        <v>0</v>
      </c>
      <c r="BV17" s="31" t="n">
        <v>1497.388489515888</v>
      </c>
      <c r="BW17" s="31" t="n">
        <v>0</v>
      </c>
      <c r="BX17" s="31">
        <f>SUM(BT17:BW17)</f>
        <v/>
      </c>
      <c r="BY17" s="31">
        <f>BS17+BX17</f>
        <v/>
      </c>
    </row>
    <row r="18">
      <c r="A18" s="28" t="inlineStr">
        <is>
          <t>0680</t>
        </is>
      </c>
      <c r="B18" s="28" t="inlineStr">
        <is>
          <t>Extração de petróleo e gás, inclusive as atividades de apoio</t>
        </is>
      </c>
      <c r="C18" s="29" t="n">
        <v>6.71260767004536</v>
      </c>
      <c r="D18" s="29" t="n">
        <v>5.551786715852488</v>
      </c>
      <c r="E18" s="29" t="n">
        <v>0.4147960853456306</v>
      </c>
      <c r="F18" s="29" t="n">
        <v>2.709775432503171</v>
      </c>
      <c r="G18" s="29" t="n">
        <v>7898.046084952544</v>
      </c>
      <c r="H18" s="29" t="n">
        <v>175.3168644742002</v>
      </c>
      <c r="I18" s="29" t="n">
        <v>32.20637884890865</v>
      </c>
      <c r="J18" s="29" t="n">
        <v>82.64145557772225</v>
      </c>
      <c r="K18" s="29" t="n">
        <v>0.5945869615825139</v>
      </c>
      <c r="L18" s="29" t="n">
        <v>757.6230077025967</v>
      </c>
      <c r="M18" s="29" t="n">
        <v>167.6310960845751</v>
      </c>
      <c r="N18" s="29" t="n">
        <v>0.1442689282984454</v>
      </c>
      <c r="O18" s="29" t="n">
        <v>163.0534995459995</v>
      </c>
      <c r="P18" s="29" t="n">
        <v>1.300314332491687</v>
      </c>
      <c r="Q18" s="29" t="n">
        <v>1.285084101965001</v>
      </c>
      <c r="R18" s="29" t="n">
        <v>47.73608296511573</v>
      </c>
      <c r="S18" s="29" t="n">
        <v>733.0885790448745</v>
      </c>
      <c r="T18" s="29" t="n">
        <v>0.2020644354687905</v>
      </c>
      <c r="U18" s="29" t="n">
        <v>136341.5448189809</v>
      </c>
      <c r="V18" s="29" t="n">
        <v>0.5654553545883971</v>
      </c>
      <c r="W18" s="29" t="n">
        <v>2017.716297090966</v>
      </c>
      <c r="X18" s="29" t="n">
        <v>88.45933161302071</v>
      </c>
      <c r="Y18" s="29" t="n">
        <v>33.70525134727237</v>
      </c>
      <c r="Z18" s="29" t="n">
        <v>39.22769725335151</v>
      </c>
      <c r="AA18" s="29" t="n">
        <v>112.5342220059705</v>
      </c>
      <c r="AB18" s="29" t="n">
        <v>713.2491533072345</v>
      </c>
      <c r="AC18" s="29" t="n">
        <v>353.0595137448517</v>
      </c>
      <c r="AD18" s="29" t="n">
        <v>331.0580428384515</v>
      </c>
      <c r="AE18" s="29" t="n">
        <v>424.2108426944697</v>
      </c>
      <c r="AF18" s="29" t="n">
        <v>1.741742312386286</v>
      </c>
      <c r="AG18" s="29" t="n">
        <v>35.60309363323812</v>
      </c>
      <c r="AH18" s="29" t="n">
        <v>281.1704387085294</v>
      </c>
      <c r="AI18" s="29" t="n">
        <v>122.8720370583439</v>
      </c>
      <c r="AJ18" s="29" t="n">
        <v>174.9566293483144</v>
      </c>
      <c r="AK18" s="29" t="n">
        <v>15.76868574076236</v>
      </c>
      <c r="AL18" s="29" t="n">
        <v>1.352800847568669</v>
      </c>
      <c r="AM18" s="29" t="n">
        <v>107.2219459575588</v>
      </c>
      <c r="AN18" s="29" t="n">
        <v>11566.13918066545</v>
      </c>
      <c r="AO18" s="29" t="n">
        <v>280.5713876644786</v>
      </c>
      <c r="AP18" s="29" t="n">
        <v>783.1560034500758</v>
      </c>
      <c r="AQ18" s="29" t="n">
        <v>16.29917987284256</v>
      </c>
      <c r="AR18" s="29" t="n">
        <v>143.8560636616824</v>
      </c>
      <c r="AS18" s="29" t="n">
        <v>43.45625398525724</v>
      </c>
      <c r="AT18" s="29" t="n">
        <v>2.383604616102155</v>
      </c>
      <c r="AU18" s="29" t="n">
        <v>0.3275139069092602</v>
      </c>
      <c r="AV18" s="29" t="n">
        <v>32.1244216828907</v>
      </c>
      <c r="AW18" s="29" t="n">
        <v>3.744172956432201</v>
      </c>
      <c r="AX18" s="29" t="n">
        <v>25.13404671973295</v>
      </c>
      <c r="AY18" s="29" t="n">
        <v>1.030872284451615</v>
      </c>
      <c r="AZ18" s="29" t="n">
        <v>1.57257708944792</v>
      </c>
      <c r="BA18" s="29" t="n">
        <v>77.59739160624477</v>
      </c>
      <c r="BB18" s="29" t="n">
        <v>4.735906263607348</v>
      </c>
      <c r="BC18" s="29" t="n">
        <v>16.35349907518058</v>
      </c>
      <c r="BD18" s="29" t="n">
        <v>6.982784494435595</v>
      </c>
      <c r="BE18" s="29" t="n">
        <v>14.27805928616061</v>
      </c>
      <c r="BF18" s="29" t="n">
        <v>55.23234330680103</v>
      </c>
      <c r="BG18" s="29" t="n">
        <v>3.192851294249627</v>
      </c>
      <c r="BH18" s="29" t="n">
        <v>4.859073574874198</v>
      </c>
      <c r="BI18" s="29" t="n">
        <v>26.41483559065291</v>
      </c>
      <c r="BJ18" s="29" t="n">
        <v>0.7881864982926911</v>
      </c>
      <c r="BK18" s="29" t="n">
        <v>538.6217993051636</v>
      </c>
      <c r="BL18" s="29" t="n">
        <v>3.200686754109932</v>
      </c>
      <c r="BM18" s="29" t="n">
        <v>12.15002835111377</v>
      </c>
      <c r="BN18" s="29" t="n">
        <v>3.186872793677389</v>
      </c>
      <c r="BO18" s="29" t="n">
        <v>5.909959317614792</v>
      </c>
      <c r="BP18" s="29" t="n">
        <v>12.05969017400023</v>
      </c>
      <c r="BQ18" s="29" t="n">
        <v>16.69698471690858</v>
      </c>
      <c r="BR18" s="29" t="n">
        <v>0</v>
      </c>
      <c r="BS18" s="29">
        <f>SUM(C18:BR18)</f>
        <v/>
      </c>
      <c r="BT18" s="29" t="n">
        <v>0</v>
      </c>
      <c r="BU18" s="29" t="n">
        <v>0</v>
      </c>
      <c r="BV18" s="29" t="n">
        <v>51731.65995279727</v>
      </c>
      <c r="BW18" s="29" t="n">
        <v>0</v>
      </c>
      <c r="BX18" s="29">
        <f>SUM(BT18:BW18)</f>
        <v/>
      </c>
      <c r="BY18" s="29">
        <f>BS18+BX18</f>
        <v/>
      </c>
    </row>
    <row r="19">
      <c r="A19" s="30" t="inlineStr">
        <is>
          <t>0791</t>
        </is>
      </c>
      <c r="B19" s="30" t="inlineStr">
        <is>
          <t>Extração de minério de ferro, inclusive beneficiamentos e a aglomeração</t>
        </is>
      </c>
      <c r="C19" s="31" t="n">
        <v>0.001556341178092211</v>
      </c>
      <c r="D19" s="31" t="n">
        <v>0.001146629139964738</v>
      </c>
      <c r="E19" s="31" t="n">
        <v>0.0001650139488353625</v>
      </c>
      <c r="F19" s="31" t="n">
        <v>0.01750802550349529</v>
      </c>
      <c r="G19" s="31" t="n">
        <v>0.02877104504998144</v>
      </c>
      <c r="H19" s="31" t="n">
        <v>1036.406998950618</v>
      </c>
      <c r="I19" s="31" t="n">
        <v>30.20995805210482</v>
      </c>
      <c r="J19" s="31" t="n">
        <v>2.423349752352767</v>
      </c>
      <c r="K19" s="31" t="n">
        <v>0.1712868901398226</v>
      </c>
      <c r="L19" s="31" t="n">
        <v>1.480047446946045</v>
      </c>
      <c r="M19" s="31" t="n">
        <v>0.4846623345744426</v>
      </c>
      <c r="N19" s="31" t="n">
        <v>0.157893154711158</v>
      </c>
      <c r="O19" s="31" t="n">
        <v>0.2069516789664007</v>
      </c>
      <c r="P19" s="31" t="n">
        <v>0.3323395997223855</v>
      </c>
      <c r="Q19" s="31" t="n">
        <v>0.4489197224253283</v>
      </c>
      <c r="R19" s="31" t="n">
        <v>0.1364293946637034</v>
      </c>
      <c r="S19" s="31" t="n">
        <v>0.7014858492227329</v>
      </c>
      <c r="T19" s="31" t="n">
        <v>0.03144757020759006</v>
      </c>
      <c r="U19" s="31" t="n">
        <v>0.1602343043062302</v>
      </c>
      <c r="V19" s="31" t="n">
        <v>0.1210502477073898</v>
      </c>
      <c r="W19" s="31" t="n">
        <v>0.7603989258985456</v>
      </c>
      <c r="X19" s="31" t="n">
        <v>0.4664322504187045</v>
      </c>
      <c r="Y19" s="31" t="n">
        <v>0.4166962120769075</v>
      </c>
      <c r="Z19" s="31" t="n">
        <v>1.482085896429145</v>
      </c>
      <c r="AA19" s="31" t="n">
        <v>0.7302782853955575</v>
      </c>
      <c r="AB19" s="31" t="n">
        <v>173.0646901686601</v>
      </c>
      <c r="AC19" s="31" t="n">
        <v>12820.24924372836</v>
      </c>
      <c r="AD19" s="31" t="n">
        <v>1.61595151657845</v>
      </c>
      <c r="AE19" s="31" t="n">
        <v>0.4908962245725761</v>
      </c>
      <c r="AF19" s="31" t="n">
        <v>0.5832306354558904</v>
      </c>
      <c r="AG19" s="31" t="n">
        <v>1.016925440747819</v>
      </c>
      <c r="AH19" s="31" t="n">
        <v>1.608620075818784</v>
      </c>
      <c r="AI19" s="31" t="n">
        <v>1.410950675850534</v>
      </c>
      <c r="AJ19" s="31" t="n">
        <v>0.6451233306731896</v>
      </c>
      <c r="AK19" s="31" t="n">
        <v>0.2127914953540256</v>
      </c>
      <c r="AL19" s="31" t="n">
        <v>0.3332377432950108</v>
      </c>
      <c r="AM19" s="31" t="n">
        <v>0.01016794973060986</v>
      </c>
      <c r="AN19" s="31" t="n">
        <v>0.5138125065731154</v>
      </c>
      <c r="AO19" s="31" t="n">
        <v>0.05351227449769794</v>
      </c>
      <c r="AP19" s="31" t="n">
        <v>0.1512672288779734</v>
      </c>
      <c r="AQ19" s="31" t="n">
        <v>0.07943358962062262</v>
      </c>
      <c r="AR19" s="31" t="n">
        <v>3.191174592024988</v>
      </c>
      <c r="AS19" s="31" t="n">
        <v>0.02380326211950104</v>
      </c>
      <c r="AT19" s="31" t="n">
        <v>0.00134073833428732</v>
      </c>
      <c r="AU19" s="31" t="n">
        <v>0.002248315052881814</v>
      </c>
      <c r="AV19" s="31" t="n">
        <v>0.051381218318611</v>
      </c>
      <c r="AW19" s="31" t="n">
        <v>0.02481397255611763</v>
      </c>
      <c r="AX19" s="31" t="n">
        <v>0.09925589022447054</v>
      </c>
      <c r="AY19" s="31" t="n">
        <v>0.2001575643629897</v>
      </c>
      <c r="AZ19" s="31" t="n">
        <v>0.1999820176725169</v>
      </c>
      <c r="BA19" s="31" t="n">
        <v>1.750958782310945</v>
      </c>
      <c r="BB19" s="31" t="n">
        <v>0.4630639022328734</v>
      </c>
      <c r="BC19" s="31" t="n">
        <v>0.1631188239995856</v>
      </c>
      <c r="BD19" s="31" t="n">
        <v>0.04810156608550816</v>
      </c>
      <c r="BE19" s="31" t="n">
        <v>0.2212004673865281</v>
      </c>
      <c r="BF19" s="31" t="n">
        <v>9.436014933982422</v>
      </c>
      <c r="BG19" s="31" t="n">
        <v>0.07740865800501549</v>
      </c>
      <c r="BH19" s="31" t="n">
        <v>0.1812660505330016</v>
      </c>
      <c r="BI19" s="31" t="n">
        <v>0.1680631149381917</v>
      </c>
      <c r="BJ19" s="31" t="n">
        <v>0.01968593766784524</v>
      </c>
      <c r="BK19" s="31" t="n">
        <v>0.0565585309633205</v>
      </c>
      <c r="BL19" s="31" t="n">
        <v>0.01450060075390748</v>
      </c>
      <c r="BM19" s="31" t="n">
        <v>0.09385064853374307</v>
      </c>
      <c r="BN19" s="31" t="n">
        <v>0.009777076468495228</v>
      </c>
      <c r="BO19" s="31" t="n">
        <v>0.09009483640001469</v>
      </c>
      <c r="BP19" s="31" t="n">
        <v>0.09102842024394051</v>
      </c>
      <c r="BQ19" s="31" t="n">
        <v>0.06842346518157888</v>
      </c>
      <c r="BR19" s="31" t="n">
        <v>0</v>
      </c>
      <c r="BS19" s="31">
        <f>SUM(C19:BR19)</f>
        <v/>
      </c>
      <c r="BT19" s="31" t="n">
        <v>0</v>
      </c>
      <c r="BU19" s="31" t="n">
        <v>0</v>
      </c>
      <c r="BV19" s="31" t="n">
        <v>56878.82147615124</v>
      </c>
      <c r="BW19" s="31" t="n">
        <v>0</v>
      </c>
      <c r="BX19" s="31">
        <f>SUM(BT19:BW19)</f>
        <v/>
      </c>
      <c r="BY19" s="31">
        <f>BS19+BX19</f>
        <v/>
      </c>
    </row>
    <row r="20">
      <c r="A20" s="28" t="inlineStr">
        <is>
          <t>0792</t>
        </is>
      </c>
      <c r="B20" s="28" t="inlineStr">
        <is>
          <t>Extração de minerais metálicos não-ferrosos, inclusive beneficiamentos</t>
        </is>
      </c>
      <c r="C20" s="29" t="n">
        <v>4.379256679852409</v>
      </c>
      <c r="D20" s="29" t="n">
        <v>2.115873277695395</v>
      </c>
      <c r="E20" s="29" t="n">
        <v>0.08468340843100565</v>
      </c>
      <c r="F20" s="29" t="n">
        <v>3.221865993650892</v>
      </c>
      <c r="G20" s="29" t="n">
        <v>38.29215320847837</v>
      </c>
      <c r="H20" s="29" t="n">
        <v>5.123922588108478</v>
      </c>
      <c r="I20" s="29" t="n">
        <v>653.5576788316738</v>
      </c>
      <c r="J20" s="29" t="n">
        <v>4.813854512438428</v>
      </c>
      <c r="K20" s="29" t="n">
        <v>0.1775038716998115</v>
      </c>
      <c r="L20" s="29" t="n">
        <v>9.84518225867027</v>
      </c>
      <c r="M20" s="29" t="n">
        <v>0.8212461028698086</v>
      </c>
      <c r="N20" s="29" t="n">
        <v>0.009633996672785415</v>
      </c>
      <c r="O20" s="29" t="n">
        <v>0.3061465918855694</v>
      </c>
      <c r="P20" s="29" t="n">
        <v>0.00939723455850547</v>
      </c>
      <c r="Q20" s="29" t="n">
        <v>0.2719803993274602</v>
      </c>
      <c r="R20" s="29" t="n">
        <v>0.4860488662718264</v>
      </c>
      <c r="S20" s="29" t="n">
        <v>5.011434941464818</v>
      </c>
      <c r="T20" s="29" t="n">
        <v>3.81714406607258</v>
      </c>
      <c r="U20" s="29" t="n">
        <v>0.348321851486333</v>
      </c>
      <c r="V20" s="29" t="n">
        <v>0.552697693593612</v>
      </c>
      <c r="W20" s="29" t="n">
        <v>23.21669336369613</v>
      </c>
      <c r="X20" s="29" t="n">
        <v>7.610588131038594</v>
      </c>
      <c r="Y20" s="29" t="n">
        <v>2.050159545047631</v>
      </c>
      <c r="Z20" s="29" t="n">
        <v>1.275636746096496</v>
      </c>
      <c r="AA20" s="29" t="n">
        <v>2.821168696722938</v>
      </c>
      <c r="AB20" s="29" t="n">
        <v>46.88163685132088</v>
      </c>
      <c r="AC20" s="29" t="n">
        <v>1113.568112641002</v>
      </c>
      <c r="AD20" s="29" t="n">
        <v>5656.773107065996</v>
      </c>
      <c r="AE20" s="29" t="n">
        <v>34.649636803642</v>
      </c>
      <c r="AF20" s="29" t="n">
        <v>2.85678498858958</v>
      </c>
      <c r="AG20" s="29" t="n">
        <v>96.30008709382852</v>
      </c>
      <c r="AH20" s="29" t="n">
        <v>17.92598809099252</v>
      </c>
      <c r="AI20" s="29" t="n">
        <v>8.704561395375391</v>
      </c>
      <c r="AJ20" s="29" t="n">
        <v>44.55446624774471</v>
      </c>
      <c r="AK20" s="29" t="n">
        <v>11.88918069488423</v>
      </c>
      <c r="AL20" s="29" t="n">
        <v>30.47724578505122</v>
      </c>
      <c r="AM20" s="29" t="n">
        <v>5.164722532089415</v>
      </c>
      <c r="AN20" s="29" t="n">
        <v>0.3707030102577121</v>
      </c>
      <c r="AO20" s="29" t="n">
        <v>2.909330110683894</v>
      </c>
      <c r="AP20" s="29" t="n">
        <v>79.18145694828327</v>
      </c>
      <c r="AQ20" s="29" t="n">
        <v>0.167370729226029</v>
      </c>
      <c r="AR20" s="29" t="n">
        <v>3.006149812584946</v>
      </c>
      <c r="AS20" s="29" t="n">
        <v>0.1685392695611956</v>
      </c>
      <c r="AT20" s="29" t="n">
        <v>0.00100555375071549</v>
      </c>
      <c r="AU20" s="29" t="n">
        <v>0.001686236289661361</v>
      </c>
      <c r="AV20" s="29" t="n">
        <v>0.08924825520003946</v>
      </c>
      <c r="AW20" s="29" t="n">
        <v>0.08822649929177939</v>
      </c>
      <c r="AX20" s="29" t="n">
        <v>0.2819249572948835</v>
      </c>
      <c r="AY20" s="29" t="n">
        <v>0.005248364843976943</v>
      </c>
      <c r="AZ20" s="29" t="n">
        <v>0.007549388159217835</v>
      </c>
      <c r="BA20" s="29" t="n">
        <v>0.06105658523368666</v>
      </c>
      <c r="BB20" s="29" t="n">
        <v>0.03825997752657915</v>
      </c>
      <c r="BC20" s="29" t="n">
        <v>0.1146739654116819</v>
      </c>
      <c r="BD20" s="29" t="n">
        <v>1.773641172258831</v>
      </c>
      <c r="BE20" s="29" t="n">
        <v>0.07433362726442971</v>
      </c>
      <c r="BF20" s="29" t="n">
        <v>0.8218920325824554</v>
      </c>
      <c r="BG20" s="29" t="n">
        <v>0.03282955139086269</v>
      </c>
      <c r="BH20" s="29" t="n">
        <v>0.02519505772363037</v>
      </c>
      <c r="BI20" s="29" t="n">
        <v>0.1388672814251993</v>
      </c>
      <c r="BJ20" s="29" t="n">
        <v>0.004842227484877259</v>
      </c>
      <c r="BK20" s="29" t="n">
        <v>0.5312733464919687</v>
      </c>
      <c r="BL20" s="29" t="n">
        <v>0.4571843358861056</v>
      </c>
      <c r="BM20" s="29" t="n">
        <v>0.06382373069630354</v>
      </c>
      <c r="BN20" s="29" t="n">
        <v>1.016442011378709</v>
      </c>
      <c r="BO20" s="29" t="n">
        <v>0.544796573054425</v>
      </c>
      <c r="BP20" s="29" t="n">
        <v>0.07389640054194008</v>
      </c>
      <c r="BQ20" s="29" t="n">
        <v>0.3411638542759709</v>
      </c>
      <c r="BR20" s="29" t="n">
        <v>0</v>
      </c>
      <c r="BS20" s="29">
        <f>SUM(C20:BR20)</f>
        <v/>
      </c>
      <c r="BT20" s="29" t="n">
        <v>0</v>
      </c>
      <c r="BU20" s="29" t="n">
        <v>0</v>
      </c>
      <c r="BV20" s="29" t="n">
        <v>3992.641586085926</v>
      </c>
      <c r="BW20" s="29" t="n">
        <v>0</v>
      </c>
      <c r="BX20" s="29">
        <f>SUM(BT20:BW20)</f>
        <v/>
      </c>
      <c r="BY20" s="29">
        <f>BS20+BX20</f>
        <v/>
      </c>
    </row>
    <row r="21">
      <c r="A21" s="30" t="inlineStr">
        <is>
          <t>1091</t>
        </is>
      </c>
      <c r="B21" s="30" t="inlineStr">
        <is>
          <t>Abate e produtos de carne, inclusive os produtos do laticínio e da pesca</t>
        </is>
      </c>
      <c r="C21" s="31" t="n">
        <v>67.52034184669503</v>
      </c>
      <c r="D21" s="31" t="n">
        <v>1899.732222128158</v>
      </c>
      <c r="E21" s="31" t="n">
        <v>58.31951852986498</v>
      </c>
      <c r="F21" s="31" t="n">
        <v>1.908300961332369</v>
      </c>
      <c r="G21" s="31" t="n">
        <v>2.335731155671097</v>
      </c>
      <c r="H21" s="31" t="n">
        <v>1.853165654887623</v>
      </c>
      <c r="I21" s="31" t="n">
        <v>0.9266539661878564</v>
      </c>
      <c r="J21" s="31" t="n">
        <v>18085.67795024139</v>
      </c>
      <c r="K21" s="31" t="n">
        <v>6.209446866111493</v>
      </c>
      <c r="L21" s="31" t="n">
        <v>1784.171729742918</v>
      </c>
      <c r="M21" s="31" t="n">
        <v>25.96055393012854</v>
      </c>
      <c r="N21" s="31" t="n">
        <v>3.49023667884893</v>
      </c>
      <c r="O21" s="31" t="n">
        <v>13.89114948609803</v>
      </c>
      <c r="P21" s="31" t="n">
        <v>14.9919544415777</v>
      </c>
      <c r="Q21" s="31" t="n">
        <v>2485.024893961583</v>
      </c>
      <c r="R21" s="31" t="n">
        <v>4.992922294287752</v>
      </c>
      <c r="S21" s="31" t="n">
        <v>31.85860107202915</v>
      </c>
      <c r="T21" s="31" t="n">
        <v>1.790135729777844</v>
      </c>
      <c r="U21" s="31" t="n">
        <v>8.736216075169695</v>
      </c>
      <c r="V21" s="31" t="n">
        <v>584.0700971742011</v>
      </c>
      <c r="W21" s="31" t="n">
        <v>28.4074316789945</v>
      </c>
      <c r="X21" s="31" t="n">
        <v>36.05707993450283</v>
      </c>
      <c r="Y21" s="31" t="n">
        <v>1266.013471982918</v>
      </c>
      <c r="Z21" s="31" t="n">
        <v>26.67248317843133</v>
      </c>
      <c r="AA21" s="31" t="n">
        <v>35.26450618643471</v>
      </c>
      <c r="AB21" s="31" t="n">
        <v>22.29961716190295</v>
      </c>
      <c r="AC21" s="31" t="n">
        <v>23.18638386318748</v>
      </c>
      <c r="AD21" s="31" t="n">
        <v>7.783800216465944</v>
      </c>
      <c r="AE21" s="31" t="n">
        <v>65.90119360717789</v>
      </c>
      <c r="AF21" s="31" t="n">
        <v>16.64172949139184</v>
      </c>
      <c r="AG21" s="31" t="n">
        <v>20.07467370927985</v>
      </c>
      <c r="AH21" s="31" t="n">
        <v>52.88404585946748</v>
      </c>
      <c r="AI21" s="31" t="n">
        <v>4.131378129198521</v>
      </c>
      <c r="AJ21" s="31" t="n">
        <v>1.786698956845653</v>
      </c>
      <c r="AK21" s="31" t="n">
        <v>3.268441236072847</v>
      </c>
      <c r="AL21" s="31" t="n">
        <v>13.39843584405372</v>
      </c>
      <c r="AM21" s="31" t="n">
        <v>0.8288656918382742</v>
      </c>
      <c r="AN21" s="31" t="n">
        <v>0.7500185146038281</v>
      </c>
      <c r="AO21" s="31" t="n">
        <v>0.5542234897796952</v>
      </c>
      <c r="AP21" s="31" t="n">
        <v>4.515621846901323</v>
      </c>
      <c r="AQ21" s="31" t="n">
        <v>1.251601104953566</v>
      </c>
      <c r="AR21" s="31" t="n">
        <v>454.449019847457</v>
      </c>
      <c r="AS21" s="31" t="n">
        <v>0.3416889938921279</v>
      </c>
      <c r="AT21" s="31" t="n">
        <v>0.01710749381578743</v>
      </c>
      <c r="AU21" s="31" t="n">
        <v>0.1098280349639559</v>
      </c>
      <c r="AV21" s="31" t="n">
        <v>0.7810526155776103</v>
      </c>
      <c r="AW21" s="31" t="n">
        <v>402.4180468381189</v>
      </c>
      <c r="AX21" s="31" t="n">
        <v>12843.60547403087</v>
      </c>
      <c r="AY21" s="31" t="n">
        <v>9.971241262836045</v>
      </c>
      <c r="AZ21" s="31" t="n">
        <v>10.39617403857778</v>
      </c>
      <c r="BA21" s="31" t="n">
        <v>69.28135872979634</v>
      </c>
      <c r="BB21" s="31" t="n">
        <v>6.104999637947315</v>
      </c>
      <c r="BC21" s="31" t="n">
        <v>2.222094860028975</v>
      </c>
      <c r="BD21" s="31" t="n">
        <v>0.4871228982065681</v>
      </c>
      <c r="BE21" s="31" t="n">
        <v>7.916789073704794</v>
      </c>
      <c r="BF21" s="31" t="n">
        <v>5.447852002640817</v>
      </c>
      <c r="BG21" s="31" t="n">
        <v>4.756161668418912</v>
      </c>
      <c r="BH21" s="31" t="n">
        <v>0.3565958430440825</v>
      </c>
      <c r="BI21" s="31" t="n">
        <v>5.725278826085987</v>
      </c>
      <c r="BJ21" s="31" t="n">
        <v>0.8358436830851994</v>
      </c>
      <c r="BK21" s="31" t="n">
        <v>1771.233450826143</v>
      </c>
      <c r="BL21" s="31" t="n">
        <v>1354.511588046829</v>
      </c>
      <c r="BM21" s="31" t="n">
        <v>175.3815318992654</v>
      </c>
      <c r="BN21" s="31" t="n">
        <v>700.4991214719394</v>
      </c>
      <c r="BO21" s="31" t="n">
        <v>557.4085242022821</v>
      </c>
      <c r="BP21" s="31" t="n">
        <v>6.752304423392109</v>
      </c>
      <c r="BQ21" s="31" t="n">
        <v>217.6957926166398</v>
      </c>
      <c r="BR21" s="31" t="n">
        <v>0</v>
      </c>
      <c r="BS21" s="31">
        <f>SUM(C21:BR21)</f>
        <v/>
      </c>
      <c r="BT21" s="31" t="n">
        <v>0</v>
      </c>
      <c r="BU21" s="31" t="n">
        <v>0</v>
      </c>
      <c r="BV21" s="31" t="n">
        <v>189817.4387825194</v>
      </c>
      <c r="BW21" s="31" t="n">
        <v>0</v>
      </c>
      <c r="BX21" s="31">
        <f>SUM(BT21:BW21)</f>
        <v/>
      </c>
      <c r="BY21" s="31">
        <f>BS21+BX21</f>
        <v/>
      </c>
    </row>
    <row r="22">
      <c r="A22" s="28" t="inlineStr">
        <is>
          <t>1092</t>
        </is>
      </c>
      <c r="B22" s="28" t="inlineStr">
        <is>
          <t>Fabricação e refino de açúcar</t>
        </is>
      </c>
      <c r="C22" s="29" t="n">
        <v>47.73630079758154</v>
      </c>
      <c r="D22" s="29" t="n">
        <v>84.74718143714394</v>
      </c>
      <c r="E22" s="29" t="n">
        <v>2.545744808575219</v>
      </c>
      <c r="F22" s="29" t="n">
        <v>1.657406246850919</v>
      </c>
      <c r="G22" s="29" t="n">
        <v>186.5860658367184</v>
      </c>
      <c r="H22" s="29" t="n">
        <v>5.974050132052731</v>
      </c>
      <c r="I22" s="29" t="n">
        <v>1.785344024698497</v>
      </c>
      <c r="J22" s="29" t="n">
        <v>317.2112373272278</v>
      </c>
      <c r="K22" s="29" t="n">
        <v>1329.127303314114</v>
      </c>
      <c r="L22" s="29" t="n">
        <v>4133.493249080718</v>
      </c>
      <c r="M22" s="29" t="n">
        <v>892.4118992038065</v>
      </c>
      <c r="N22" s="29" t="n">
        <v>0.2269247555687558</v>
      </c>
      <c r="O22" s="29" t="n">
        <v>0.8301786988816404</v>
      </c>
      <c r="P22" s="29" t="n">
        <v>0.9903314075221579</v>
      </c>
      <c r="Q22" s="29" t="n">
        <v>1.133087338697478</v>
      </c>
      <c r="R22" s="29" t="n">
        <v>0.5638435083760531</v>
      </c>
      <c r="S22" s="29" t="n">
        <v>2.789951563935018</v>
      </c>
      <c r="T22" s="29" t="n">
        <v>0.2020758516731269</v>
      </c>
      <c r="U22" s="29" t="n">
        <v>7231.791453192109</v>
      </c>
      <c r="V22" s="29" t="n">
        <v>584.9502576404242</v>
      </c>
      <c r="W22" s="29" t="n">
        <v>112.2839877985458</v>
      </c>
      <c r="X22" s="29" t="n">
        <v>451.9516027513158</v>
      </c>
      <c r="Y22" s="29" t="n">
        <v>459.1715453779627</v>
      </c>
      <c r="Z22" s="29" t="n">
        <v>267.3369916806999</v>
      </c>
      <c r="AA22" s="29" t="n">
        <v>2.262773136142535</v>
      </c>
      <c r="AB22" s="29" t="n">
        <v>1.797839389943522</v>
      </c>
      <c r="AC22" s="29" t="n">
        <v>2.066598316700794</v>
      </c>
      <c r="AD22" s="29" t="n">
        <v>0.7416563106331877</v>
      </c>
      <c r="AE22" s="29" t="n">
        <v>15.60829292968879</v>
      </c>
      <c r="AF22" s="29" t="n">
        <v>1.295305937953374</v>
      </c>
      <c r="AG22" s="29" t="n">
        <v>3.840990805619984</v>
      </c>
      <c r="AH22" s="29" t="n">
        <v>61.61354343883554</v>
      </c>
      <c r="AI22" s="29" t="n">
        <v>10.17985806696855</v>
      </c>
      <c r="AJ22" s="29" t="n">
        <v>0.5718121009057605</v>
      </c>
      <c r="AK22" s="29" t="n">
        <v>3.820388230457227</v>
      </c>
      <c r="AL22" s="29" t="n">
        <v>1.679981760260645</v>
      </c>
      <c r="AM22" s="29" t="n">
        <v>24.30448686885465</v>
      </c>
      <c r="AN22" s="29" t="n">
        <v>2.356305053080735</v>
      </c>
      <c r="AO22" s="29" t="n">
        <v>1.600533105820694</v>
      </c>
      <c r="AP22" s="29" t="n">
        <v>149.3725945521583</v>
      </c>
      <c r="AQ22" s="29" t="n">
        <v>43.3055723473089</v>
      </c>
      <c r="AR22" s="29" t="n">
        <v>90.52276649196706</v>
      </c>
      <c r="AS22" s="29" t="n">
        <v>249.5710581434449</v>
      </c>
      <c r="AT22" s="29" t="n">
        <v>0.5057077547798584</v>
      </c>
      <c r="AU22" s="29" t="n">
        <v>0.1072353091638223</v>
      </c>
      <c r="AV22" s="29" t="n">
        <v>18.67880651821831</v>
      </c>
      <c r="AW22" s="29" t="n">
        <v>2.209469270364972</v>
      </c>
      <c r="AX22" s="29" t="n">
        <v>758.9925580765037</v>
      </c>
      <c r="AY22" s="29" t="n">
        <v>0.7883041773454162</v>
      </c>
      <c r="AZ22" s="29" t="n">
        <v>1.117721278818303</v>
      </c>
      <c r="BA22" s="29" t="n">
        <v>5.633086054907377</v>
      </c>
      <c r="BB22" s="29" t="n">
        <v>1.147570110992551</v>
      </c>
      <c r="BC22" s="29" t="n">
        <v>4.11613275992058</v>
      </c>
      <c r="BD22" s="29" t="n">
        <v>1.091360555193841</v>
      </c>
      <c r="BE22" s="29" t="n">
        <v>2.674869371478605</v>
      </c>
      <c r="BF22" s="29" t="n">
        <v>26.18827356701454</v>
      </c>
      <c r="BG22" s="29" t="n">
        <v>7.560470512819226</v>
      </c>
      <c r="BH22" s="29" t="n">
        <v>0.6497435121461318</v>
      </c>
      <c r="BI22" s="29" t="n">
        <v>6.393234385836837</v>
      </c>
      <c r="BJ22" s="29" t="n">
        <v>24.83166572972678</v>
      </c>
      <c r="BK22" s="29" t="n">
        <v>326.4931065012033</v>
      </c>
      <c r="BL22" s="29" t="n">
        <v>103.4435777612657</v>
      </c>
      <c r="BM22" s="29" t="n">
        <v>7.77015043888511</v>
      </c>
      <c r="BN22" s="29" t="n">
        <v>47.03790438457803</v>
      </c>
      <c r="BO22" s="29" t="n">
        <v>33.02383471034585</v>
      </c>
      <c r="BP22" s="29" t="n">
        <v>1.952240432998983</v>
      </c>
      <c r="BQ22" s="29" t="n">
        <v>47.41667325219029</v>
      </c>
      <c r="BR22" s="29" t="n">
        <v>0</v>
      </c>
      <c r="BS22" s="29">
        <f>SUM(C22:BR22)</f>
        <v/>
      </c>
      <c r="BT22" s="29" t="n">
        <v>0</v>
      </c>
      <c r="BU22" s="29" t="n">
        <v>0</v>
      </c>
      <c r="BV22" s="29" t="n">
        <v>30478.12270032326</v>
      </c>
      <c r="BW22" s="29" t="n">
        <v>0</v>
      </c>
      <c r="BX22" s="29">
        <f>SUM(BT22:BW22)</f>
        <v/>
      </c>
      <c r="BY22" s="29">
        <f>BS22+BX22</f>
        <v/>
      </c>
    </row>
    <row r="23">
      <c r="A23" s="30" t="inlineStr">
        <is>
          <t>1093</t>
        </is>
      </c>
      <c r="B23" s="30" t="inlineStr">
        <is>
          <t>Outros produtos alimentares</t>
        </is>
      </c>
      <c r="C23" s="31" t="n">
        <v>1169.012553531044</v>
      </c>
      <c r="D23" s="31" t="n">
        <v>9380.968290920122</v>
      </c>
      <c r="E23" s="31" t="n">
        <v>673.5908864834199</v>
      </c>
      <c r="F23" s="31" t="n">
        <v>116.7296121241923</v>
      </c>
      <c r="G23" s="31" t="n">
        <v>70.67118646855657</v>
      </c>
      <c r="H23" s="31" t="n">
        <v>19.63714010804229</v>
      </c>
      <c r="I23" s="31" t="n">
        <v>10.38096636238191</v>
      </c>
      <c r="J23" s="31" t="n">
        <v>17673.21196202005</v>
      </c>
      <c r="K23" s="31" t="n">
        <v>36.1390938134717</v>
      </c>
      <c r="L23" s="31" t="n">
        <v>21296.00865944936</v>
      </c>
      <c r="M23" s="31" t="n">
        <v>1766.794786535479</v>
      </c>
      <c r="N23" s="31" t="n">
        <v>9.444794031220249</v>
      </c>
      <c r="O23" s="31" t="n">
        <v>49.61645558362338</v>
      </c>
      <c r="P23" s="31" t="n">
        <v>39.02161944372246</v>
      </c>
      <c r="Q23" s="31" t="n">
        <v>65.01186046380326</v>
      </c>
      <c r="R23" s="31" t="n">
        <v>37.61927826672284</v>
      </c>
      <c r="S23" s="31" t="n">
        <v>522.0827322442252</v>
      </c>
      <c r="T23" s="31" t="n">
        <v>16.53028186062105</v>
      </c>
      <c r="U23" s="31" t="n">
        <v>1460.167516706628</v>
      </c>
      <c r="V23" s="31" t="n">
        <v>1362.853624233144</v>
      </c>
      <c r="W23" s="31" t="n">
        <v>276.4351765509116</v>
      </c>
      <c r="X23" s="31" t="n">
        <v>589.7784563600547</v>
      </c>
      <c r="Y23" s="31" t="n">
        <v>879.4989178498336</v>
      </c>
      <c r="Z23" s="31" t="n">
        <v>178.3089378264446</v>
      </c>
      <c r="AA23" s="31" t="n">
        <v>153.046642903833</v>
      </c>
      <c r="AB23" s="31" t="n">
        <v>80.1422522000954</v>
      </c>
      <c r="AC23" s="31" t="n">
        <v>77.98994343586915</v>
      </c>
      <c r="AD23" s="31" t="n">
        <v>23.00285646914089</v>
      </c>
      <c r="AE23" s="31" t="n">
        <v>78.26523787061079</v>
      </c>
      <c r="AF23" s="31" t="n">
        <v>41.91945473318427</v>
      </c>
      <c r="AG23" s="31" t="n">
        <v>55.70917505730302</v>
      </c>
      <c r="AH23" s="31" t="n">
        <v>176.8784833629502</v>
      </c>
      <c r="AI23" s="31" t="n">
        <v>16.18744782185838</v>
      </c>
      <c r="AJ23" s="31" t="n">
        <v>5.130562734164688</v>
      </c>
      <c r="AK23" s="31" t="n">
        <v>12.38226516200588</v>
      </c>
      <c r="AL23" s="31" t="n">
        <v>62.63681571418113</v>
      </c>
      <c r="AM23" s="31" t="n">
        <v>27.31081658711522</v>
      </c>
      <c r="AN23" s="31" t="n">
        <v>6.355517265114226</v>
      </c>
      <c r="AO23" s="31" t="n">
        <v>12.2607810194895</v>
      </c>
      <c r="AP23" s="31" t="n">
        <v>90.73896498997389</v>
      </c>
      <c r="AQ23" s="31" t="n">
        <v>83.73686256666312</v>
      </c>
      <c r="AR23" s="31" t="n">
        <v>3025.348527317553</v>
      </c>
      <c r="AS23" s="31" t="n">
        <v>59.02492474381751</v>
      </c>
      <c r="AT23" s="31" t="n">
        <v>0.5303354718934671</v>
      </c>
      <c r="AU23" s="31" t="n">
        <v>20.54008683525595</v>
      </c>
      <c r="AV23" s="31" t="n">
        <v>23.94962387147947</v>
      </c>
      <c r="AW23" s="31" t="n">
        <v>199.1387023829831</v>
      </c>
      <c r="AX23" s="31" t="n">
        <v>8875.331268307262</v>
      </c>
      <c r="AY23" s="31" t="n">
        <v>26.43560452952996</v>
      </c>
      <c r="AZ23" s="31" t="n">
        <v>28.01838969069832</v>
      </c>
      <c r="BA23" s="31" t="n">
        <v>193.4195567066481</v>
      </c>
      <c r="BB23" s="31" t="n">
        <v>19.83575543899865</v>
      </c>
      <c r="BC23" s="31" t="n">
        <v>146.7362078725403</v>
      </c>
      <c r="BD23" s="31" t="n">
        <v>20.82283781055891</v>
      </c>
      <c r="BE23" s="31" t="n">
        <v>52.03264764507467</v>
      </c>
      <c r="BF23" s="31" t="n">
        <v>19.96651476568337</v>
      </c>
      <c r="BG23" s="31" t="n">
        <v>37.66704487512617</v>
      </c>
      <c r="BH23" s="31" t="n">
        <v>4.714782841836115</v>
      </c>
      <c r="BI23" s="31" t="n">
        <v>31.85698065662136</v>
      </c>
      <c r="BJ23" s="31" t="n">
        <v>7.767399219932666</v>
      </c>
      <c r="BK23" s="31" t="n">
        <v>1164.670550265397</v>
      </c>
      <c r="BL23" s="31" t="n">
        <v>1119.677835422503</v>
      </c>
      <c r="BM23" s="31" t="n">
        <v>128.8393064967891</v>
      </c>
      <c r="BN23" s="31" t="n">
        <v>984.7262799973821</v>
      </c>
      <c r="BO23" s="31" t="n">
        <v>422.4166063449361</v>
      </c>
      <c r="BP23" s="31" t="n">
        <v>43.56546821768225</v>
      </c>
      <c r="BQ23" s="31" t="n">
        <v>600.9553211089938</v>
      </c>
      <c r="BR23" s="31" t="n">
        <v>0</v>
      </c>
      <c r="BS23" s="31">
        <f>SUM(C23:BR23)</f>
        <v/>
      </c>
      <c r="BT23" s="31" t="n">
        <v>0</v>
      </c>
      <c r="BU23" s="31" t="n">
        <v>0</v>
      </c>
      <c r="BV23" s="31" t="n">
        <v>161424.9909645019</v>
      </c>
      <c r="BW23" s="31" t="n">
        <v>0</v>
      </c>
      <c r="BX23" s="31">
        <f>SUM(BT23:BW23)</f>
        <v/>
      </c>
      <c r="BY23" s="31">
        <f>BS23+BX23</f>
        <v/>
      </c>
    </row>
    <row r="24">
      <c r="A24" s="28" t="inlineStr">
        <is>
          <t>1100</t>
        </is>
      </c>
      <c r="B24" s="28" t="inlineStr">
        <is>
          <t>Fabricação de bebidas</t>
        </is>
      </c>
      <c r="C24" s="29" t="n">
        <v>0.9450652007406876</v>
      </c>
      <c r="D24" s="29" t="n">
        <v>1.579877357308516</v>
      </c>
      <c r="E24" s="29" t="n">
        <v>0.1066618476567883</v>
      </c>
      <c r="F24" s="29" t="n">
        <v>1.357805150055077</v>
      </c>
      <c r="G24" s="29" t="n">
        <v>6.936003114028817</v>
      </c>
      <c r="H24" s="29" t="n">
        <v>4.605420560377244</v>
      </c>
      <c r="I24" s="29" t="n">
        <v>2.114657412939143</v>
      </c>
      <c r="J24" s="29" t="n">
        <v>481.5117984152527</v>
      </c>
      <c r="K24" s="29" t="n">
        <v>9.819299731837281</v>
      </c>
      <c r="L24" s="29" t="n">
        <v>151.855606137993</v>
      </c>
      <c r="M24" s="29" t="n">
        <v>6710.00130321197</v>
      </c>
      <c r="N24" s="29" t="n">
        <v>5.231661386983013</v>
      </c>
      <c r="O24" s="29" t="n">
        <v>17.05636800294949</v>
      </c>
      <c r="P24" s="29" t="n">
        <v>20.3899672742634</v>
      </c>
      <c r="Q24" s="29" t="n">
        <v>26.56842512659059</v>
      </c>
      <c r="R24" s="29" t="n">
        <v>7.871672153970333</v>
      </c>
      <c r="S24" s="29" t="n">
        <v>45.89916586391614</v>
      </c>
      <c r="T24" s="29" t="n">
        <v>2.262910835081016</v>
      </c>
      <c r="U24" s="29" t="n">
        <v>44.94397422920568</v>
      </c>
      <c r="V24" s="29" t="n">
        <v>10.51350933077271</v>
      </c>
      <c r="W24" s="29" t="n">
        <v>23.43831596956907</v>
      </c>
      <c r="X24" s="29" t="n">
        <v>30.91725817371176</v>
      </c>
      <c r="Y24" s="29" t="n">
        <v>6.474878900213452</v>
      </c>
      <c r="Z24" s="29" t="n">
        <v>35.94852717927319</v>
      </c>
      <c r="AA24" s="29" t="n">
        <v>45.62601166737497</v>
      </c>
      <c r="AB24" s="29" t="n">
        <v>33.02553691242459</v>
      </c>
      <c r="AC24" s="29" t="n">
        <v>38.01222375073948</v>
      </c>
      <c r="AD24" s="29" t="n">
        <v>11.21140115666271</v>
      </c>
      <c r="AE24" s="29" t="n">
        <v>50.0692201970752</v>
      </c>
      <c r="AF24" s="29" t="n">
        <v>26.29828637482318</v>
      </c>
      <c r="AG24" s="29" t="n">
        <v>32.99893156961644</v>
      </c>
      <c r="AH24" s="29" t="n">
        <v>107.6930459528499</v>
      </c>
      <c r="AI24" s="29" t="n">
        <v>11.57006966794263</v>
      </c>
      <c r="AJ24" s="29" t="n">
        <v>4.445597311455025</v>
      </c>
      <c r="AK24" s="29" t="n">
        <v>10.96485998930338</v>
      </c>
      <c r="AL24" s="29" t="n">
        <v>19.87158227182466</v>
      </c>
      <c r="AM24" s="29" t="n">
        <v>13.14953012931742</v>
      </c>
      <c r="AN24" s="29" t="n">
        <v>5.131839515345845</v>
      </c>
      <c r="AO24" s="29" t="n">
        <v>1.474633406513813</v>
      </c>
      <c r="AP24" s="29" t="n">
        <v>51.66993482691679</v>
      </c>
      <c r="AQ24" s="29" t="n">
        <v>5.378392137944555</v>
      </c>
      <c r="AR24" s="29" t="n">
        <v>193.5453784510623</v>
      </c>
      <c r="AS24" s="29" t="n">
        <v>6.637351845293115</v>
      </c>
      <c r="AT24" s="29" t="n">
        <v>0.2103842162956814</v>
      </c>
      <c r="AU24" s="29" t="n">
        <v>5.878682882449337</v>
      </c>
      <c r="AV24" s="29" t="n">
        <v>2.75469054525685</v>
      </c>
      <c r="AW24" s="29" t="n">
        <v>433.2397595664943</v>
      </c>
      <c r="AX24" s="29" t="n">
        <v>22390.26681666349</v>
      </c>
      <c r="AY24" s="29" t="n">
        <v>15.47155966967733</v>
      </c>
      <c r="AZ24" s="29" t="n">
        <v>16.17919908255917</v>
      </c>
      <c r="BA24" s="29" t="n">
        <v>106.3370345520672</v>
      </c>
      <c r="BB24" s="29" t="n">
        <v>10.01450904281048</v>
      </c>
      <c r="BC24" s="29" t="n">
        <v>105.4775558123398</v>
      </c>
      <c r="BD24" s="29" t="n">
        <v>2.885980209104114</v>
      </c>
      <c r="BE24" s="29" t="n">
        <v>15.88508265586058</v>
      </c>
      <c r="BF24" s="29" t="n">
        <v>2.891428333062755</v>
      </c>
      <c r="BG24" s="29" t="n">
        <v>5.824717003429025</v>
      </c>
      <c r="BH24" s="29" t="n">
        <v>1.21906584145488</v>
      </c>
      <c r="BI24" s="29" t="n">
        <v>12.79869480336801</v>
      </c>
      <c r="BJ24" s="29" t="n">
        <v>1.673049259010702</v>
      </c>
      <c r="BK24" s="29" t="n">
        <v>74.94881817891657</v>
      </c>
      <c r="BL24" s="29" t="n">
        <v>64.53638873373291</v>
      </c>
      <c r="BM24" s="29" t="n">
        <v>10.58451086461699</v>
      </c>
      <c r="BN24" s="29" t="n">
        <v>34.0748387896621</v>
      </c>
      <c r="BO24" s="29" t="n">
        <v>123.3473412633978</v>
      </c>
      <c r="BP24" s="29" t="n">
        <v>25.58524619547956</v>
      </c>
      <c r="BQ24" s="29" t="n">
        <v>13.88996835888305</v>
      </c>
      <c r="BR24" s="29" t="n">
        <v>0</v>
      </c>
      <c r="BS24" s="29">
        <f>SUM(C24:BR24)</f>
        <v/>
      </c>
      <c r="BT24" s="29" t="n">
        <v>0</v>
      </c>
      <c r="BU24" s="29" t="n">
        <v>0</v>
      </c>
      <c r="BV24" s="29" t="n">
        <v>39661.80327769282</v>
      </c>
      <c r="BW24" s="29" t="n">
        <v>0</v>
      </c>
      <c r="BX24" s="29">
        <f>SUM(BT24:BW24)</f>
        <v/>
      </c>
      <c r="BY24" s="29">
        <f>BS24+BX24</f>
        <v/>
      </c>
    </row>
    <row r="25">
      <c r="A25" s="30" t="inlineStr">
        <is>
          <t>1200</t>
        </is>
      </c>
      <c r="B25" s="30" t="inlineStr">
        <is>
          <t>Fabricação de produtos do fumo</t>
        </is>
      </c>
      <c r="C25" s="31" t="n">
        <v>0.1076709539482163</v>
      </c>
      <c r="D25" s="31" t="n">
        <v>0.04159666501420339</v>
      </c>
      <c r="E25" s="31" t="n">
        <v>0.00499371587971573</v>
      </c>
      <c r="F25" s="31" t="n">
        <v>0.08097134799809461</v>
      </c>
      <c r="G25" s="31" t="n">
        <v>0.2698581317005178</v>
      </c>
      <c r="H25" s="31" t="n">
        <v>0.3848472273853574</v>
      </c>
      <c r="I25" s="31" t="n">
        <v>0.1304934893021296</v>
      </c>
      <c r="J25" s="31" t="n">
        <v>13.65713875621624</v>
      </c>
      <c r="K25" s="31" t="n">
        <v>0.7405586897775714</v>
      </c>
      <c r="L25" s="31" t="n">
        <v>8.935889017140141</v>
      </c>
      <c r="M25" s="31" t="n">
        <v>0.5438263834332684</v>
      </c>
      <c r="N25" s="31" t="n">
        <v>544.9584515815327</v>
      </c>
      <c r="O25" s="31" t="n">
        <v>1.441752268739257</v>
      </c>
      <c r="P25" s="31" t="n">
        <v>1.652146254618953</v>
      </c>
      <c r="Q25" s="31" t="n">
        <v>2.23060270604821</v>
      </c>
      <c r="R25" s="31" t="n">
        <v>0.7362543670444103</v>
      </c>
      <c r="S25" s="31" t="n">
        <v>5.397911684373442</v>
      </c>
      <c r="T25" s="31" t="n">
        <v>0.4872874759966003</v>
      </c>
      <c r="U25" s="31" t="n">
        <v>1.040073049821736</v>
      </c>
      <c r="V25" s="31" t="n">
        <v>0.7680030147474904</v>
      </c>
      <c r="W25" s="31" t="n">
        <v>1.744086868518483</v>
      </c>
      <c r="X25" s="31" t="n">
        <v>2.219917837596614</v>
      </c>
      <c r="Y25" s="31" t="n">
        <v>0.6575807199404575</v>
      </c>
      <c r="Z25" s="31" t="n">
        <v>3.112183251621324</v>
      </c>
      <c r="AA25" s="31" t="n">
        <v>3.955526081988911</v>
      </c>
      <c r="AB25" s="31" t="n">
        <v>3.022108994444732</v>
      </c>
      <c r="AC25" s="31" t="n">
        <v>2.688011757137194</v>
      </c>
      <c r="AD25" s="31" t="n">
        <v>0.9652902318518791</v>
      </c>
      <c r="AE25" s="31" t="n">
        <v>3.143167281354686</v>
      </c>
      <c r="AF25" s="31" t="n">
        <v>2.230943072109493</v>
      </c>
      <c r="AG25" s="31" t="n">
        <v>2.513519847438955</v>
      </c>
      <c r="AH25" s="31" t="n">
        <v>7.46709588028186</v>
      </c>
      <c r="AI25" s="31" t="n">
        <v>0.7847314756055496</v>
      </c>
      <c r="AJ25" s="31" t="n">
        <v>0.3883036045009607</v>
      </c>
      <c r="AK25" s="31" t="n">
        <v>0.4850719332057425</v>
      </c>
      <c r="AL25" s="31" t="n">
        <v>1.594438692129289</v>
      </c>
      <c r="AM25" s="31" t="n">
        <v>0.5519497633120275</v>
      </c>
      <c r="AN25" s="31" t="n">
        <v>0.1886646451689527</v>
      </c>
      <c r="AO25" s="31" t="n">
        <v>0.06032863445966384</v>
      </c>
      <c r="AP25" s="31" t="n">
        <v>0.5141136625954917</v>
      </c>
      <c r="AQ25" s="31" t="n">
        <v>0.3431480550327357</v>
      </c>
      <c r="AR25" s="31" t="n">
        <v>14.0375164561517</v>
      </c>
      <c r="AS25" s="31" t="n">
        <v>0.08791472343815795</v>
      </c>
      <c r="AT25" s="31" t="n">
        <v>0.02278960026468844</v>
      </c>
      <c r="AU25" s="31" t="n">
        <v>0.008468589960597952</v>
      </c>
      <c r="AV25" s="31" t="n">
        <v>0.1785075898892533</v>
      </c>
      <c r="AW25" s="31" t="n">
        <v>0.09396554189882876</v>
      </c>
      <c r="AX25" s="31" t="n">
        <v>0.4633091041045627</v>
      </c>
      <c r="AY25" s="31" t="n">
        <v>1.491481770176754</v>
      </c>
      <c r="AZ25" s="31" t="n">
        <v>1.257894420268825</v>
      </c>
      <c r="BA25" s="31" t="n">
        <v>8.233323730238423</v>
      </c>
      <c r="BB25" s="31" t="n">
        <v>0.8804766320147129</v>
      </c>
      <c r="BC25" s="31" t="n">
        <v>0.6777838525469354</v>
      </c>
      <c r="BD25" s="31" t="n">
        <v>0.1614567583575802</v>
      </c>
      <c r="BE25" s="31" t="n">
        <v>1.325694339214427</v>
      </c>
      <c r="BF25" s="31" t="n">
        <v>1.288678164349589</v>
      </c>
      <c r="BG25" s="31" t="n">
        <v>0.5139733514852075</v>
      </c>
      <c r="BH25" s="31" t="n">
        <v>0.1938770126466693</v>
      </c>
      <c r="BI25" s="31" t="n">
        <v>1.178791466774337</v>
      </c>
      <c r="BJ25" s="31" t="n">
        <v>0.1117886758824972</v>
      </c>
      <c r="BK25" s="31" t="n">
        <v>0.3025553555756584</v>
      </c>
      <c r="BL25" s="31" t="n">
        <v>0.2071007545140029</v>
      </c>
      <c r="BM25" s="31" t="n">
        <v>0.2866226561459155</v>
      </c>
      <c r="BN25" s="31" t="n">
        <v>0.05553633606009307</v>
      </c>
      <c r="BO25" s="31" t="n">
        <v>0.2554528408720624</v>
      </c>
      <c r="BP25" s="31" t="n">
        <v>0.221573143633317</v>
      </c>
      <c r="BQ25" s="31" t="n">
        <v>0.2791931970676128</v>
      </c>
      <c r="BR25" s="31" t="n">
        <v>0</v>
      </c>
      <c r="BS25" s="31">
        <f>SUM(C25:BR25)</f>
        <v/>
      </c>
      <c r="BT25" s="31" t="n">
        <v>0</v>
      </c>
      <c r="BU25" s="31" t="n">
        <v>0</v>
      </c>
      <c r="BV25" s="31" t="n">
        <v>15129.85896267726</v>
      </c>
      <c r="BW25" s="31" t="n">
        <v>0</v>
      </c>
      <c r="BX25" s="31">
        <f>SUM(BT25:BW25)</f>
        <v/>
      </c>
      <c r="BY25" s="31">
        <f>BS25+BX25</f>
        <v/>
      </c>
    </row>
    <row r="26">
      <c r="A26" s="28" t="inlineStr">
        <is>
          <t>1300</t>
        </is>
      </c>
      <c r="B26" s="28" t="inlineStr">
        <is>
          <t>Fabricação de produtos têxteis</t>
        </is>
      </c>
      <c r="C26" s="29" t="n">
        <v>432.3654159389733</v>
      </c>
      <c r="D26" s="29" t="n">
        <v>11.86105979752011</v>
      </c>
      <c r="E26" s="29" t="n">
        <v>1.272550192641911</v>
      </c>
      <c r="F26" s="29" t="n">
        <v>140.3531298857462</v>
      </c>
      <c r="G26" s="29" t="n">
        <v>73.7304819042029</v>
      </c>
      <c r="H26" s="29" t="n">
        <v>1.966794283145904</v>
      </c>
      <c r="I26" s="29" t="n">
        <v>4.661030721186672</v>
      </c>
      <c r="J26" s="29" t="n">
        <v>57.57987601178732</v>
      </c>
      <c r="K26" s="29" t="n">
        <v>83.06968882124802</v>
      </c>
      <c r="L26" s="29" t="n">
        <v>200.3310455973742</v>
      </c>
      <c r="M26" s="29" t="n">
        <v>18.80990246278648</v>
      </c>
      <c r="N26" s="29" t="n">
        <v>1.708819795549741</v>
      </c>
      <c r="O26" s="29" t="n">
        <v>7991.183273564236</v>
      </c>
      <c r="P26" s="29" t="n">
        <v>13301.53392816894</v>
      </c>
      <c r="Q26" s="29" t="n">
        <v>2686.041262174802</v>
      </c>
      <c r="R26" s="29" t="n">
        <v>10.53516291100724</v>
      </c>
      <c r="S26" s="29" t="n">
        <v>102.7253023987007</v>
      </c>
      <c r="T26" s="29" t="n">
        <v>6.042707281942779</v>
      </c>
      <c r="U26" s="29" t="n">
        <v>4.754183581380936</v>
      </c>
      <c r="V26" s="29" t="n">
        <v>3.229545410261521</v>
      </c>
      <c r="W26" s="29" t="n">
        <v>26.63655364629182</v>
      </c>
      <c r="X26" s="29" t="n">
        <v>49.26300659829975</v>
      </c>
      <c r="Y26" s="29" t="n">
        <v>19.62433219821942</v>
      </c>
      <c r="Z26" s="29" t="n">
        <v>91.35617173346573</v>
      </c>
      <c r="AA26" s="29" t="n">
        <v>533.1924851219155</v>
      </c>
      <c r="AB26" s="29" t="n">
        <v>52.46136317523523</v>
      </c>
      <c r="AC26" s="29" t="n">
        <v>12.81528822403357</v>
      </c>
      <c r="AD26" s="29" t="n">
        <v>4.973989600742248</v>
      </c>
      <c r="AE26" s="29" t="n">
        <v>60.55163245054019</v>
      </c>
      <c r="AF26" s="29" t="n">
        <v>15.11548669630592</v>
      </c>
      <c r="AG26" s="29" t="n">
        <v>50.2168259172646</v>
      </c>
      <c r="AH26" s="29" t="n">
        <v>43.63139845896502</v>
      </c>
      <c r="AI26" s="29" t="n">
        <v>43.00683487767063</v>
      </c>
      <c r="AJ26" s="29" t="n">
        <v>1139.991977443705</v>
      </c>
      <c r="AK26" s="29" t="n">
        <v>81.40436542611531</v>
      </c>
      <c r="AL26" s="29" t="n">
        <v>1177.413256483212</v>
      </c>
      <c r="AM26" s="29" t="n">
        <v>9.042212026457262</v>
      </c>
      <c r="AN26" s="29" t="n">
        <v>21.92133850033627</v>
      </c>
      <c r="AO26" s="29" t="n">
        <v>8.79734441298949</v>
      </c>
      <c r="AP26" s="29" t="n">
        <v>603.4787012227511</v>
      </c>
      <c r="AQ26" s="29" t="n">
        <v>18.46539495377432</v>
      </c>
      <c r="AR26" s="29" t="n">
        <v>200.6666605121029</v>
      </c>
      <c r="AS26" s="29" t="n">
        <v>33.99896713851571</v>
      </c>
      <c r="AT26" s="29" t="n">
        <v>7.542205537809607</v>
      </c>
      <c r="AU26" s="29" t="n">
        <v>1.237260011707621</v>
      </c>
      <c r="AV26" s="29" t="n">
        <v>5.458981021071918</v>
      </c>
      <c r="AW26" s="29" t="n">
        <v>204.6851750397909</v>
      </c>
      <c r="AX26" s="29" t="n">
        <v>134.8207043188842</v>
      </c>
      <c r="AY26" s="29" t="n">
        <v>5.064610335128914</v>
      </c>
      <c r="AZ26" s="29" t="n">
        <v>9.167433352749377</v>
      </c>
      <c r="BA26" s="29" t="n">
        <v>31.97753769387822</v>
      </c>
      <c r="BB26" s="29" t="n">
        <v>5.161218561590761</v>
      </c>
      <c r="BC26" s="29" t="n">
        <v>12.89662278619224</v>
      </c>
      <c r="BD26" s="29" t="n">
        <v>7.242429267567146</v>
      </c>
      <c r="BE26" s="29" t="n">
        <v>13.42602821791613</v>
      </c>
      <c r="BF26" s="29" t="n">
        <v>6.873105765044329</v>
      </c>
      <c r="BG26" s="29" t="n">
        <v>4.420991875413415</v>
      </c>
      <c r="BH26" s="29" t="n">
        <v>3.812054745309738</v>
      </c>
      <c r="BI26" s="29" t="n">
        <v>17.64830747659623</v>
      </c>
      <c r="BJ26" s="29" t="n">
        <v>1.614695947453084</v>
      </c>
      <c r="BK26" s="29" t="n">
        <v>37.99118189788163</v>
      </c>
      <c r="BL26" s="29" t="n">
        <v>38.09628087367601</v>
      </c>
      <c r="BM26" s="29" t="n">
        <v>6.817040193172001</v>
      </c>
      <c r="BN26" s="29" t="n">
        <v>24.16421107973464</v>
      </c>
      <c r="BO26" s="29" t="n">
        <v>41.43291598285641</v>
      </c>
      <c r="BP26" s="29" t="n">
        <v>7.773889928767285</v>
      </c>
      <c r="BQ26" s="29" t="n">
        <v>556.4078928953253</v>
      </c>
      <c r="BR26" s="29" t="n">
        <v>0</v>
      </c>
      <c r="BS26" s="29">
        <f>SUM(C26:BR26)</f>
        <v/>
      </c>
      <c r="BT26" s="29" t="n">
        <v>0</v>
      </c>
      <c r="BU26" s="29" t="n">
        <v>0</v>
      </c>
      <c r="BV26" s="29" t="n">
        <v>18137.20214072346</v>
      </c>
      <c r="BW26" s="29" t="n">
        <v>0</v>
      </c>
      <c r="BX26" s="29">
        <f>SUM(BT26:BW26)</f>
        <v/>
      </c>
      <c r="BY26" s="29">
        <f>BS26+BX26</f>
        <v/>
      </c>
    </row>
    <row r="27">
      <c r="A27" s="30" t="inlineStr">
        <is>
          <t>1400</t>
        </is>
      </c>
      <c r="B27" s="30" t="inlineStr">
        <is>
          <t>Confecção de artefatos do vestuário e acessórios</t>
        </is>
      </c>
      <c r="C27" s="31" t="n">
        <v>7.056455709336237</v>
      </c>
      <c r="D27" s="31" t="n">
        <v>1.004278908890372</v>
      </c>
      <c r="E27" s="31" t="n">
        <v>6.681233843713053</v>
      </c>
      <c r="F27" s="31" t="n">
        <v>5.143745699691726</v>
      </c>
      <c r="G27" s="31" t="n">
        <v>56.89196685670987</v>
      </c>
      <c r="H27" s="31" t="n">
        <v>1.121053862113748</v>
      </c>
      <c r="I27" s="31" t="n">
        <v>0.5484623253830647</v>
      </c>
      <c r="J27" s="31" t="n">
        <v>56.12651538664225</v>
      </c>
      <c r="K27" s="31" t="n">
        <v>4.132243124595766</v>
      </c>
      <c r="L27" s="31" t="n">
        <v>40.16163193846594</v>
      </c>
      <c r="M27" s="31" t="n">
        <v>2.67399072010937</v>
      </c>
      <c r="N27" s="31" t="n">
        <v>1.826363930909345</v>
      </c>
      <c r="O27" s="31" t="n">
        <v>92.62407549238861</v>
      </c>
      <c r="P27" s="31" t="n">
        <v>1671.734473399809</v>
      </c>
      <c r="Q27" s="31" t="n">
        <v>86.84147650006915</v>
      </c>
      <c r="R27" s="31" t="n">
        <v>2.519691617815479</v>
      </c>
      <c r="S27" s="31" t="n">
        <v>17.68216589930055</v>
      </c>
      <c r="T27" s="31" t="n">
        <v>5.333282075306244</v>
      </c>
      <c r="U27" s="31" t="n">
        <v>4.133022887502094</v>
      </c>
      <c r="V27" s="31" t="n">
        <v>3.105705574532616</v>
      </c>
      <c r="W27" s="31" t="n">
        <v>6.830018777512231</v>
      </c>
      <c r="X27" s="31" t="n">
        <v>12.47634796924288</v>
      </c>
      <c r="Y27" s="31" t="n">
        <v>1.511027766731931</v>
      </c>
      <c r="Z27" s="31" t="n">
        <v>11.74647085185895</v>
      </c>
      <c r="AA27" s="31" t="n">
        <v>19.05071624563546</v>
      </c>
      <c r="AB27" s="31" t="n">
        <v>21.22499982315878</v>
      </c>
      <c r="AC27" s="31" t="n">
        <v>13.23334394573403</v>
      </c>
      <c r="AD27" s="31" t="n">
        <v>3.479333207781095</v>
      </c>
      <c r="AE27" s="31" t="n">
        <v>55.42813829455154</v>
      </c>
      <c r="AF27" s="31" t="n">
        <v>8.800438087284856</v>
      </c>
      <c r="AG27" s="31" t="n">
        <v>10.4615008165539</v>
      </c>
      <c r="AH27" s="31" t="n">
        <v>30.20337816963554</v>
      </c>
      <c r="AI27" s="31" t="n">
        <v>2.531817935915142</v>
      </c>
      <c r="AJ27" s="31" t="n">
        <v>28.26262926968047</v>
      </c>
      <c r="AK27" s="31" t="n">
        <v>2.9777230273246</v>
      </c>
      <c r="AL27" s="31" t="n">
        <v>30.51019943724402</v>
      </c>
      <c r="AM27" s="31" t="n">
        <v>2.475587720794335</v>
      </c>
      <c r="AN27" s="31" t="n">
        <v>76.22181718665311</v>
      </c>
      <c r="AO27" s="31" t="n">
        <v>72.15117301002101</v>
      </c>
      <c r="AP27" s="31" t="n">
        <v>39.41264437736859</v>
      </c>
      <c r="AQ27" s="31" t="n">
        <v>2.899464770248371</v>
      </c>
      <c r="AR27" s="31" t="n">
        <v>328.6349175285807</v>
      </c>
      <c r="AS27" s="31" t="n">
        <v>128.0086238819183</v>
      </c>
      <c r="AT27" s="31" t="n">
        <v>5.221304525175179</v>
      </c>
      <c r="AU27" s="31" t="n">
        <v>112.1659177977539</v>
      </c>
      <c r="AV27" s="31" t="n">
        <v>63.40571071093631</v>
      </c>
      <c r="AW27" s="31" t="n">
        <v>65.84941851268289</v>
      </c>
      <c r="AX27" s="31" t="n">
        <v>130.756874747714</v>
      </c>
      <c r="AY27" s="31" t="n">
        <v>12.11998157460232</v>
      </c>
      <c r="AZ27" s="31" t="n">
        <v>101.8308385107699</v>
      </c>
      <c r="BA27" s="31" t="n">
        <v>70.63368592710286</v>
      </c>
      <c r="BB27" s="31" t="n">
        <v>5.876687216440808</v>
      </c>
      <c r="BC27" s="31" t="n">
        <v>477.7579709930336</v>
      </c>
      <c r="BD27" s="31" t="n">
        <v>30.94526070302636</v>
      </c>
      <c r="BE27" s="31" t="n">
        <v>12.21974522893976</v>
      </c>
      <c r="BF27" s="31" t="n">
        <v>128.2069992584939</v>
      </c>
      <c r="BG27" s="31" t="n">
        <v>34.46256641577688</v>
      </c>
      <c r="BH27" s="31" t="n">
        <v>1.583166236525084</v>
      </c>
      <c r="BI27" s="31" t="n">
        <v>108.7303341434615</v>
      </c>
      <c r="BJ27" s="31" t="n">
        <v>142.2457239063389</v>
      </c>
      <c r="BK27" s="31" t="n">
        <v>390.5810462774263</v>
      </c>
      <c r="BL27" s="31" t="n">
        <v>408.5413613352712</v>
      </c>
      <c r="BM27" s="31" t="n">
        <v>2.200971905366597</v>
      </c>
      <c r="BN27" s="31" t="n">
        <v>31.00967715953449</v>
      </c>
      <c r="BO27" s="31" t="n">
        <v>34.19736047644516</v>
      </c>
      <c r="BP27" s="31" t="n">
        <v>97.94452918716243</v>
      </c>
      <c r="BQ27" s="31" t="n">
        <v>655.798957236913</v>
      </c>
      <c r="BR27" s="31" t="n">
        <v>0</v>
      </c>
      <c r="BS27" s="31">
        <f>SUM(C27:BR27)</f>
        <v/>
      </c>
      <c r="BT27" s="31" t="n">
        <v>0</v>
      </c>
      <c r="BU27" s="31" t="n">
        <v>0</v>
      </c>
      <c r="BV27" s="31" t="n">
        <v>56240.50138479959</v>
      </c>
      <c r="BW27" s="31" t="n">
        <v>0</v>
      </c>
      <c r="BX27" s="31">
        <f>SUM(BT27:BW27)</f>
        <v/>
      </c>
      <c r="BY27" s="31">
        <f>BS27+BX27</f>
        <v/>
      </c>
    </row>
    <row r="28">
      <c r="A28" s="28" t="inlineStr">
        <is>
          <t>1500</t>
        </is>
      </c>
      <c r="B28" s="28" t="inlineStr">
        <is>
          <t>Fabricação de calçados e de artefatos de couro</t>
        </is>
      </c>
      <c r="C28" s="29" t="n">
        <v>2.924432364060636</v>
      </c>
      <c r="D28" s="29" t="n">
        <v>4.614899949339574</v>
      </c>
      <c r="E28" s="29" t="n">
        <v>0.1936739657263989</v>
      </c>
      <c r="F28" s="29" t="n">
        <v>6.180863813979665</v>
      </c>
      <c r="G28" s="29" t="n">
        <v>6.496500240856843</v>
      </c>
      <c r="H28" s="29" t="n">
        <v>2.930169287052004</v>
      </c>
      <c r="I28" s="29" t="n">
        <v>1.103587625204319</v>
      </c>
      <c r="J28" s="29" t="n">
        <v>63.77515362371089</v>
      </c>
      <c r="K28" s="29" t="n">
        <v>2.976901755841876</v>
      </c>
      <c r="L28" s="29" t="n">
        <v>53.26797783547303</v>
      </c>
      <c r="M28" s="29" t="n">
        <v>7.806489712488322</v>
      </c>
      <c r="N28" s="29" t="n">
        <v>1.735380301854185</v>
      </c>
      <c r="O28" s="29" t="n">
        <v>11.53934215757374</v>
      </c>
      <c r="P28" s="29" t="n">
        <v>14.96377915846458</v>
      </c>
      <c r="Q28" s="29" t="n">
        <v>4067.697022065345</v>
      </c>
      <c r="R28" s="29" t="n">
        <v>3.970142564249657</v>
      </c>
      <c r="S28" s="29" t="n">
        <v>81.72518416391245</v>
      </c>
      <c r="T28" s="29" t="n">
        <v>3.092392951174856</v>
      </c>
      <c r="U28" s="29" t="n">
        <v>5.845241921608393</v>
      </c>
      <c r="V28" s="29" t="n">
        <v>4.549531210278508</v>
      </c>
      <c r="W28" s="29" t="n">
        <v>11.83743739795859</v>
      </c>
      <c r="X28" s="29" t="n">
        <v>18.7693146027044</v>
      </c>
      <c r="Y28" s="29" t="n">
        <v>9.223785338321619</v>
      </c>
      <c r="Z28" s="29" t="n">
        <v>13.39928445801271</v>
      </c>
      <c r="AA28" s="29" t="n">
        <v>32.05741437674747</v>
      </c>
      <c r="AB28" s="29" t="n">
        <v>13.23414067916491</v>
      </c>
      <c r="AC28" s="29" t="n">
        <v>12.99025184179664</v>
      </c>
      <c r="AD28" s="29" t="n">
        <v>3.693442291436845</v>
      </c>
      <c r="AE28" s="29" t="n">
        <v>47.14386784073758</v>
      </c>
      <c r="AF28" s="29" t="n">
        <v>9.260309757708633</v>
      </c>
      <c r="AG28" s="29" t="n">
        <v>12.55666071364955</v>
      </c>
      <c r="AH28" s="29" t="n">
        <v>32.78058104155721</v>
      </c>
      <c r="AI28" s="29" t="n">
        <v>55.34550658076093</v>
      </c>
      <c r="AJ28" s="29" t="n">
        <v>19.43276384767086</v>
      </c>
      <c r="AK28" s="29" t="n">
        <v>6.128319760302678</v>
      </c>
      <c r="AL28" s="29" t="n">
        <v>40.81016831136644</v>
      </c>
      <c r="AM28" s="29" t="n">
        <v>5.258744168391861</v>
      </c>
      <c r="AN28" s="29" t="n">
        <v>108.408818578295</v>
      </c>
      <c r="AO28" s="29" t="n">
        <v>1.577353248216125</v>
      </c>
      <c r="AP28" s="29" t="n">
        <v>66.31196109694081</v>
      </c>
      <c r="AQ28" s="29" t="n">
        <v>13.67508841036497</v>
      </c>
      <c r="AR28" s="29" t="n">
        <v>56.72399705521009</v>
      </c>
      <c r="AS28" s="29" t="n">
        <v>19.83645092816159</v>
      </c>
      <c r="AT28" s="29" t="n">
        <v>0.1836241796832969</v>
      </c>
      <c r="AU28" s="29" t="n">
        <v>1.86852282468518</v>
      </c>
      <c r="AV28" s="29" t="n">
        <v>0.8403125682029094</v>
      </c>
      <c r="AW28" s="29" t="n">
        <v>1.896677895931788</v>
      </c>
      <c r="AX28" s="29" t="n">
        <v>16.64426007401035</v>
      </c>
      <c r="AY28" s="29" t="n">
        <v>5.35880230174153</v>
      </c>
      <c r="AZ28" s="29" t="n">
        <v>28.14026840114099</v>
      </c>
      <c r="BA28" s="29" t="n">
        <v>28.7752176984037</v>
      </c>
      <c r="BB28" s="29" t="n">
        <v>4.768024329075618</v>
      </c>
      <c r="BC28" s="29" t="n">
        <v>2.983202897928804</v>
      </c>
      <c r="BD28" s="29" t="n">
        <v>1.037072998659238</v>
      </c>
      <c r="BE28" s="29" t="n">
        <v>4.449881392280154</v>
      </c>
      <c r="BF28" s="29" t="n">
        <v>4.723974770032591</v>
      </c>
      <c r="BG28" s="29" t="n">
        <v>3.023112418177469</v>
      </c>
      <c r="BH28" s="29" t="n">
        <v>1.923784335818363</v>
      </c>
      <c r="BI28" s="29" t="n">
        <v>7.928540108873629</v>
      </c>
      <c r="BJ28" s="29" t="n">
        <v>48.7355534082186</v>
      </c>
      <c r="BK28" s="29" t="n">
        <v>28.88384583240529</v>
      </c>
      <c r="BL28" s="29" t="n">
        <v>5.411599693575804</v>
      </c>
      <c r="BM28" s="29" t="n">
        <v>0.7116405483061395</v>
      </c>
      <c r="BN28" s="29" t="n">
        <v>6.18063857632849</v>
      </c>
      <c r="BO28" s="29" t="n">
        <v>14.29275366276879</v>
      </c>
      <c r="BP28" s="29" t="n">
        <v>1.030386545490134</v>
      </c>
      <c r="BQ28" s="29" t="n">
        <v>4.043491208645783</v>
      </c>
      <c r="BR28" s="29" t="n">
        <v>0</v>
      </c>
      <c r="BS28" s="29">
        <f>SUM(C28:BR28)</f>
        <v/>
      </c>
      <c r="BT28" s="29" t="n">
        <v>0</v>
      </c>
      <c r="BU28" s="29" t="n">
        <v>0</v>
      </c>
      <c r="BV28" s="29" t="n">
        <v>36059.02533746525</v>
      </c>
      <c r="BW28" s="29" t="n">
        <v>0</v>
      </c>
      <c r="BX28" s="29">
        <f>SUM(BT28:BW28)</f>
        <v/>
      </c>
      <c r="BY28" s="29">
        <f>BS28+BX28</f>
        <v/>
      </c>
    </row>
    <row r="29">
      <c r="A29" s="30" t="inlineStr">
        <is>
          <t>1600</t>
        </is>
      </c>
      <c r="B29" s="30" t="inlineStr">
        <is>
          <t>Fabricação de produtos da madeira</t>
        </is>
      </c>
      <c r="C29" s="31" t="n">
        <v>394.0164807734845</v>
      </c>
      <c r="D29" s="31" t="n">
        <v>311.6118886203453</v>
      </c>
      <c r="E29" s="31" t="n">
        <v>16.33851185200924</v>
      </c>
      <c r="F29" s="31" t="n">
        <v>5.683458497958505</v>
      </c>
      <c r="G29" s="31" t="n">
        <v>2.784374284029212</v>
      </c>
      <c r="H29" s="31" t="n">
        <v>1.009293397279473</v>
      </c>
      <c r="I29" s="31" t="n">
        <v>0.4577957083851916</v>
      </c>
      <c r="J29" s="31" t="n">
        <v>59.00633609865876</v>
      </c>
      <c r="K29" s="31" t="n">
        <v>1.767193153608369</v>
      </c>
      <c r="L29" s="31" t="n">
        <v>325.9574566514665</v>
      </c>
      <c r="M29" s="31" t="n">
        <v>98.05381425103892</v>
      </c>
      <c r="N29" s="31" t="n">
        <v>0.700152061203154</v>
      </c>
      <c r="O29" s="31" t="n">
        <v>29.0836391362031</v>
      </c>
      <c r="P29" s="31" t="n">
        <v>4.139397243657621</v>
      </c>
      <c r="Q29" s="31" t="n">
        <v>3.663149441769963</v>
      </c>
      <c r="R29" s="31" t="n">
        <v>3518.400388024713</v>
      </c>
      <c r="S29" s="31" t="n">
        <v>355.9600047499794</v>
      </c>
      <c r="T29" s="31" t="n">
        <v>2.440389751099246</v>
      </c>
      <c r="U29" s="31" t="n">
        <v>2.072132688357887</v>
      </c>
      <c r="V29" s="31" t="n">
        <v>1.510528912293406</v>
      </c>
      <c r="W29" s="31" t="n">
        <v>22.87146138254237</v>
      </c>
      <c r="X29" s="31" t="n">
        <v>41.76931050488109</v>
      </c>
      <c r="Y29" s="31" t="n">
        <v>4.189659217564071</v>
      </c>
      <c r="Z29" s="31" t="n">
        <v>5.013605714041299</v>
      </c>
      <c r="AA29" s="31" t="n">
        <v>26.60603468142093</v>
      </c>
      <c r="AB29" s="31" t="n">
        <v>47.30227869015948</v>
      </c>
      <c r="AC29" s="31" t="n">
        <v>20.85617178933283</v>
      </c>
      <c r="AD29" s="31" t="n">
        <v>4.792127969349408</v>
      </c>
      <c r="AE29" s="31" t="n">
        <v>249.7850507505232</v>
      </c>
      <c r="AF29" s="31" t="n">
        <v>5.929718958940932</v>
      </c>
      <c r="AG29" s="31" t="n">
        <v>13.11315125953054</v>
      </c>
      <c r="AH29" s="31" t="n">
        <v>372.9382621966789</v>
      </c>
      <c r="AI29" s="31" t="n">
        <v>208.3626493697379</v>
      </c>
      <c r="AJ29" s="31" t="n">
        <v>76.21308264306269</v>
      </c>
      <c r="AK29" s="31" t="n">
        <v>423.7829887231153</v>
      </c>
      <c r="AL29" s="31" t="n">
        <v>6004.249666437222</v>
      </c>
      <c r="AM29" s="31" t="n">
        <v>4.334126339244952</v>
      </c>
      <c r="AN29" s="31" t="n">
        <v>429.8428824721968</v>
      </c>
      <c r="AO29" s="31" t="n">
        <v>7.012107326599759</v>
      </c>
      <c r="AP29" s="31" t="n">
        <v>5948.56024299347</v>
      </c>
      <c r="AQ29" s="31" t="n">
        <v>15.75995243500353</v>
      </c>
      <c r="AR29" s="31" t="n">
        <v>2266.980952914515</v>
      </c>
      <c r="AS29" s="31" t="n">
        <v>4.693926889513565</v>
      </c>
      <c r="AT29" s="31" t="n">
        <v>0.3554285458423286</v>
      </c>
      <c r="AU29" s="31" t="n">
        <v>0.4136769565810683</v>
      </c>
      <c r="AV29" s="31" t="n">
        <v>87.24413432835414</v>
      </c>
      <c r="AW29" s="31" t="n">
        <v>4.27535426436602</v>
      </c>
      <c r="AX29" s="31" t="n">
        <v>18.49603760132813</v>
      </c>
      <c r="AY29" s="31" t="n">
        <v>2.798026308380276</v>
      </c>
      <c r="AZ29" s="31" t="n">
        <v>141.1677845314091</v>
      </c>
      <c r="BA29" s="31" t="n">
        <v>18.66940259483496</v>
      </c>
      <c r="BB29" s="31" t="n">
        <v>6.318902234191582</v>
      </c>
      <c r="BC29" s="31" t="n">
        <v>19.39194794229517</v>
      </c>
      <c r="BD29" s="31" t="n">
        <v>436.3028264036125</v>
      </c>
      <c r="BE29" s="31" t="n">
        <v>18.41282655836664</v>
      </c>
      <c r="BF29" s="31" t="n">
        <v>4.703529790289187</v>
      </c>
      <c r="BG29" s="31" t="n">
        <v>4.285386573500968</v>
      </c>
      <c r="BH29" s="31" t="n">
        <v>4.677052280199987</v>
      </c>
      <c r="BI29" s="31" t="n">
        <v>121.2106216561117</v>
      </c>
      <c r="BJ29" s="31" t="n">
        <v>1.071409022679974</v>
      </c>
      <c r="BK29" s="31" t="n">
        <v>67.51015666044667</v>
      </c>
      <c r="BL29" s="31" t="n">
        <v>25.54913487301637</v>
      </c>
      <c r="BM29" s="31" t="n">
        <v>14.11603605838402</v>
      </c>
      <c r="BN29" s="31" t="n">
        <v>5.39515207481815</v>
      </c>
      <c r="BO29" s="31" t="n">
        <v>13.22339776173089</v>
      </c>
      <c r="BP29" s="31" t="n">
        <v>14.05097208266671</v>
      </c>
      <c r="BQ29" s="31" t="n">
        <v>218.8153121390296</v>
      </c>
      <c r="BR29" s="31" t="n">
        <v>0</v>
      </c>
      <c r="BS29" s="31">
        <f>SUM(C29:BR29)</f>
        <v/>
      </c>
      <c r="BT29" s="31" t="n">
        <v>0</v>
      </c>
      <c r="BU29" s="31" t="n">
        <v>0</v>
      </c>
      <c r="BV29" s="31" t="n">
        <v>6105.832420703148</v>
      </c>
      <c r="BW29" s="31" t="n">
        <v>0</v>
      </c>
      <c r="BX29" s="31">
        <f>SUM(BT29:BW29)</f>
        <v/>
      </c>
      <c r="BY29" s="31">
        <f>BS29+BX29</f>
        <v/>
      </c>
    </row>
    <row r="30">
      <c r="A30" s="28" t="inlineStr">
        <is>
          <t>1700</t>
        </is>
      </c>
      <c r="B30" s="28" t="inlineStr">
        <is>
          <t>Fabricação de celulose, papel e produtos de papel</t>
        </is>
      </c>
      <c r="C30" s="29" t="n">
        <v>339.5274867114317</v>
      </c>
      <c r="D30" s="29" t="n">
        <v>115.5103179732795</v>
      </c>
      <c r="E30" s="29" t="n">
        <v>14.75434012426506</v>
      </c>
      <c r="F30" s="29" t="n">
        <v>6.270039313393779</v>
      </c>
      <c r="G30" s="29" t="n">
        <v>51.02507107912099</v>
      </c>
      <c r="H30" s="29" t="n">
        <v>68.19684442666785</v>
      </c>
      <c r="I30" s="29" t="n">
        <v>20.73638453280094</v>
      </c>
      <c r="J30" s="29" t="n">
        <v>2369.473358083019</v>
      </c>
      <c r="K30" s="29" t="n">
        <v>21.74139507940837</v>
      </c>
      <c r="L30" s="29" t="n">
        <v>2675.13002198348</v>
      </c>
      <c r="M30" s="29" t="n">
        <v>207.3801131632658</v>
      </c>
      <c r="N30" s="29" t="n">
        <v>571.2060013217622</v>
      </c>
      <c r="O30" s="29" t="n">
        <v>526.7541068389745</v>
      </c>
      <c r="P30" s="29" t="n">
        <v>282.6518373382397</v>
      </c>
      <c r="Q30" s="29" t="n">
        <v>563.08258208367</v>
      </c>
      <c r="R30" s="29" t="n">
        <v>606.2432465688769</v>
      </c>
      <c r="S30" s="29" t="n">
        <v>10850.27725157369</v>
      </c>
      <c r="T30" s="29" t="n">
        <v>1146.385331572688</v>
      </c>
      <c r="U30" s="29" t="n">
        <v>116.7745048294554</v>
      </c>
      <c r="V30" s="29" t="n">
        <v>36.7784386911395</v>
      </c>
      <c r="W30" s="29" t="n">
        <v>85.31669892299736</v>
      </c>
      <c r="X30" s="29" t="n">
        <v>142.8185076518109</v>
      </c>
      <c r="Y30" s="29" t="n">
        <v>1276.829974771458</v>
      </c>
      <c r="Z30" s="29" t="n">
        <v>702.4164077361987</v>
      </c>
      <c r="AA30" s="29" t="n">
        <v>1767.398809095784</v>
      </c>
      <c r="AB30" s="29" t="n">
        <v>1650.059273442207</v>
      </c>
      <c r="AC30" s="29" t="n">
        <v>34.52201041249792</v>
      </c>
      <c r="AD30" s="29" t="n">
        <v>17.24038847587855</v>
      </c>
      <c r="AE30" s="29" t="n">
        <v>1056.465213731695</v>
      </c>
      <c r="AF30" s="29" t="n">
        <v>933.8018084687606</v>
      </c>
      <c r="AG30" s="29" t="n">
        <v>358.978748574792</v>
      </c>
      <c r="AH30" s="29" t="n">
        <v>267.9626927653559</v>
      </c>
      <c r="AI30" s="29" t="n">
        <v>309.0244060840613</v>
      </c>
      <c r="AJ30" s="29" t="n">
        <v>549.8943469838389</v>
      </c>
      <c r="AK30" s="29" t="n">
        <v>65.80264141988671</v>
      </c>
      <c r="AL30" s="29" t="n">
        <v>761.1055918585104</v>
      </c>
      <c r="AM30" s="29" t="n">
        <v>58.36998330325825</v>
      </c>
      <c r="AN30" s="29" t="n">
        <v>69.32505941550166</v>
      </c>
      <c r="AO30" s="29" t="n">
        <v>48.1533337432795</v>
      </c>
      <c r="AP30" s="29" t="n">
        <v>485.314416274661</v>
      </c>
      <c r="AQ30" s="29" t="n">
        <v>586.1812937853135</v>
      </c>
      <c r="AR30" s="29" t="n">
        <v>4729.519601527924</v>
      </c>
      <c r="AS30" s="29" t="n">
        <v>141.5481106182281</v>
      </c>
      <c r="AT30" s="29" t="n">
        <v>39.38715856739382</v>
      </c>
      <c r="AU30" s="29" t="n">
        <v>15.45756517865079</v>
      </c>
      <c r="AV30" s="29" t="n">
        <v>236.1416090130608</v>
      </c>
      <c r="AW30" s="29" t="n">
        <v>159.6458892014754</v>
      </c>
      <c r="AX30" s="29" t="n">
        <v>946.1742395832745</v>
      </c>
      <c r="AY30" s="29" t="n">
        <v>1112.060472059766</v>
      </c>
      <c r="AZ30" s="29" t="n">
        <v>104.831501715875</v>
      </c>
      <c r="BA30" s="29" t="n">
        <v>78.70549050300761</v>
      </c>
      <c r="BB30" s="29" t="n">
        <v>310.5749628539332</v>
      </c>
      <c r="BC30" s="29" t="n">
        <v>1347.702392736164</v>
      </c>
      <c r="BD30" s="29" t="n">
        <v>249.8180344232092</v>
      </c>
      <c r="BE30" s="29" t="n">
        <v>1241.636920966417</v>
      </c>
      <c r="BF30" s="29" t="n">
        <v>398.380122577597</v>
      </c>
      <c r="BG30" s="29" t="n">
        <v>453.0337391484749</v>
      </c>
      <c r="BH30" s="29" t="n">
        <v>366.2364142327745</v>
      </c>
      <c r="BI30" s="29" t="n">
        <v>1361.342919007583</v>
      </c>
      <c r="BJ30" s="29" t="n">
        <v>36.54373414817171</v>
      </c>
      <c r="BK30" s="29" t="n">
        <v>674.7125516959978</v>
      </c>
      <c r="BL30" s="29" t="n">
        <v>619.0849498719814</v>
      </c>
      <c r="BM30" s="29" t="n">
        <v>350.6347537583483</v>
      </c>
      <c r="BN30" s="29" t="n">
        <v>108.7299822055937</v>
      </c>
      <c r="BO30" s="29" t="n">
        <v>589.6546407864927</v>
      </c>
      <c r="BP30" s="29" t="n">
        <v>64.31635721249654</v>
      </c>
      <c r="BQ30" s="29" t="n">
        <v>454.0106649651889</v>
      </c>
      <c r="BR30" s="29" t="n">
        <v>0</v>
      </c>
      <c r="BS30" s="29">
        <f>SUM(C30:BR30)</f>
        <v/>
      </c>
      <c r="BT30" s="29" t="n">
        <v>0</v>
      </c>
      <c r="BU30" s="29" t="n">
        <v>0</v>
      </c>
      <c r="BV30" s="29" t="n">
        <v>24776.16427274439</v>
      </c>
      <c r="BW30" s="29" t="n">
        <v>0</v>
      </c>
      <c r="BX30" s="29">
        <f>SUM(BT30:BW30)</f>
        <v/>
      </c>
      <c r="BY30" s="29">
        <f>BS30+BX30</f>
        <v/>
      </c>
    </row>
    <row r="31">
      <c r="A31" s="30" t="inlineStr">
        <is>
          <t>1800</t>
        </is>
      </c>
      <c r="B31" s="30" t="inlineStr">
        <is>
          <t>Impressão e reprodução de gravações</t>
        </is>
      </c>
      <c r="C31" s="31" t="n">
        <v>5.627833991465411</v>
      </c>
      <c r="D31" s="31" t="n">
        <v>0.8338355048723557</v>
      </c>
      <c r="E31" s="31" t="n">
        <v>2.890126498593304</v>
      </c>
      <c r="F31" s="31" t="n">
        <v>1.262416049077358</v>
      </c>
      <c r="G31" s="31" t="n">
        <v>5.584149306920619</v>
      </c>
      <c r="H31" s="31" t="n">
        <v>8.898806153629279</v>
      </c>
      <c r="I31" s="31" t="n">
        <v>3.641693502519857</v>
      </c>
      <c r="J31" s="31" t="n">
        <v>62.05951646232531</v>
      </c>
      <c r="K31" s="31" t="n">
        <v>11.79772762950036</v>
      </c>
      <c r="L31" s="31" t="n">
        <v>86.37094542324563</v>
      </c>
      <c r="M31" s="31" t="n">
        <v>208.3219510074379</v>
      </c>
      <c r="N31" s="31" t="n">
        <v>2.872620127000931</v>
      </c>
      <c r="O31" s="31" t="n">
        <v>13.65062855371982</v>
      </c>
      <c r="P31" s="31" t="n">
        <v>18.47757806197752</v>
      </c>
      <c r="Q31" s="31" t="n">
        <v>8.853633818850753</v>
      </c>
      <c r="R31" s="31" t="n">
        <v>16.03548657074962</v>
      </c>
      <c r="S31" s="31" t="n">
        <v>146.8690081046714</v>
      </c>
      <c r="T31" s="31" t="n">
        <v>1177.661661181035</v>
      </c>
      <c r="U31" s="31" t="n">
        <v>6.408925028925581</v>
      </c>
      <c r="V31" s="31" t="n">
        <v>6.796812052991803</v>
      </c>
      <c r="W31" s="31" t="n">
        <v>4.701109948502257</v>
      </c>
      <c r="X31" s="31" t="n">
        <v>15.86512829431395</v>
      </c>
      <c r="Y31" s="31" t="n">
        <v>9.392074410825121</v>
      </c>
      <c r="Z31" s="31" t="n">
        <v>13.81436316086795</v>
      </c>
      <c r="AA31" s="31" t="n">
        <v>50.4232572705755</v>
      </c>
      <c r="AB31" s="31" t="n">
        <v>23.37315080686464</v>
      </c>
      <c r="AC31" s="31" t="n">
        <v>14.7331812672073</v>
      </c>
      <c r="AD31" s="31" t="n">
        <v>2.237701187582824</v>
      </c>
      <c r="AE31" s="31" t="n">
        <v>25.46018693326745</v>
      </c>
      <c r="AF31" s="31" t="n">
        <v>320.2269512845522</v>
      </c>
      <c r="AG31" s="31" t="n">
        <v>20.70892898535049</v>
      </c>
      <c r="AH31" s="31" t="n">
        <v>28.38384314613324</v>
      </c>
      <c r="AI31" s="31" t="n">
        <v>28.09159212373847</v>
      </c>
      <c r="AJ31" s="31" t="n">
        <v>22.31012428162596</v>
      </c>
      <c r="AK31" s="31" t="n">
        <v>5.778125921663037</v>
      </c>
      <c r="AL31" s="31" t="n">
        <v>33.54505110641805</v>
      </c>
      <c r="AM31" s="31" t="n">
        <v>6.245744323194007</v>
      </c>
      <c r="AN31" s="31" t="n">
        <v>27.66901752221417</v>
      </c>
      <c r="AO31" s="31" t="n">
        <v>9.321408918227412</v>
      </c>
      <c r="AP31" s="31" t="n">
        <v>64.24886751589253</v>
      </c>
      <c r="AQ31" s="31" t="n">
        <v>102.710709458099</v>
      </c>
      <c r="AR31" s="31" t="n">
        <v>5517.831314319956</v>
      </c>
      <c r="AS31" s="31" t="n">
        <v>49.85438243386353</v>
      </c>
      <c r="AT31" s="31" t="n">
        <v>1.404007007481035</v>
      </c>
      <c r="AU31" s="31" t="n">
        <v>31.71494830570879</v>
      </c>
      <c r="AV31" s="31" t="n">
        <v>54.40507594813323</v>
      </c>
      <c r="AW31" s="31" t="n">
        <v>7.858989644566194</v>
      </c>
      <c r="AX31" s="31" t="n">
        <v>69.71373466746019</v>
      </c>
      <c r="AY31" s="31" t="n">
        <v>1936.435083391531</v>
      </c>
      <c r="AZ31" s="31" t="n">
        <v>294.333830316936</v>
      </c>
      <c r="BA31" s="31" t="n">
        <v>703.0685255462341</v>
      </c>
      <c r="BB31" s="31" t="n">
        <v>642.2106955355667</v>
      </c>
      <c r="BC31" s="31" t="n">
        <v>1313.364147371932</v>
      </c>
      <c r="BD31" s="31" t="n">
        <v>283.6471710910151</v>
      </c>
      <c r="BE31" s="31" t="n">
        <v>457.2714505143464</v>
      </c>
      <c r="BF31" s="31" t="n">
        <v>249.2437434254396</v>
      </c>
      <c r="BG31" s="31" t="n">
        <v>2569.405938194403</v>
      </c>
      <c r="BH31" s="31" t="n">
        <v>56.68518469582732</v>
      </c>
      <c r="BI31" s="31" t="n">
        <v>1008.678099655853</v>
      </c>
      <c r="BJ31" s="31" t="n">
        <v>2.619895487488823</v>
      </c>
      <c r="BK31" s="31" t="n">
        <v>906.2688500251211</v>
      </c>
      <c r="BL31" s="31" t="n">
        <v>252.5892760529515</v>
      </c>
      <c r="BM31" s="31" t="n">
        <v>30.06548394772124</v>
      </c>
      <c r="BN31" s="31" t="n">
        <v>106.8581599940298</v>
      </c>
      <c r="BO31" s="31" t="n">
        <v>58.77603285454056</v>
      </c>
      <c r="BP31" s="31" t="n">
        <v>313.0267176248402</v>
      </c>
      <c r="BQ31" s="31" t="n">
        <v>357.1046702485237</v>
      </c>
      <c r="BR31" s="31" t="n">
        <v>0</v>
      </c>
      <c r="BS31" s="31">
        <f>SUM(C31:BR31)</f>
        <v/>
      </c>
      <c r="BT31" s="31" t="n">
        <v>0</v>
      </c>
      <c r="BU31" s="31" t="n">
        <v>0</v>
      </c>
      <c r="BV31" s="31" t="n">
        <v>953.3654863138021</v>
      </c>
      <c r="BW31" s="31" t="n">
        <v>0</v>
      </c>
      <c r="BX31" s="31">
        <f>SUM(BT31:BW31)</f>
        <v/>
      </c>
      <c r="BY31" s="31">
        <f>BS31+BX31</f>
        <v/>
      </c>
    </row>
    <row r="32">
      <c r="A32" s="28" t="inlineStr">
        <is>
          <t>1991</t>
        </is>
      </c>
      <c r="B32" s="28" t="inlineStr">
        <is>
          <t>Refino de petróleo e coquerias</t>
        </is>
      </c>
      <c r="C32" s="29" t="n">
        <v>8826.940504082855</v>
      </c>
      <c r="D32" s="29" t="n">
        <v>3499.428127096622</v>
      </c>
      <c r="E32" s="29" t="n">
        <v>524.2325536392987</v>
      </c>
      <c r="F32" s="29" t="n">
        <v>1006.787502936088</v>
      </c>
      <c r="G32" s="29" t="n">
        <v>1859.335633011332</v>
      </c>
      <c r="H32" s="29" t="n">
        <v>2527.025720212697</v>
      </c>
      <c r="I32" s="29" t="n">
        <v>1140.407391900422</v>
      </c>
      <c r="J32" s="29" t="n">
        <v>2374.193421008168</v>
      </c>
      <c r="K32" s="29" t="n">
        <v>1094.103264284498</v>
      </c>
      <c r="L32" s="29" t="n">
        <v>2925.86189711938</v>
      </c>
      <c r="M32" s="29" t="n">
        <v>621.2089825186317</v>
      </c>
      <c r="N32" s="29" t="n">
        <v>18.53228044054072</v>
      </c>
      <c r="O32" s="29" t="n">
        <v>233.6866461100678</v>
      </c>
      <c r="P32" s="29" t="n">
        <v>97.62620164265046</v>
      </c>
      <c r="Q32" s="29" t="n">
        <v>195.7422313015526</v>
      </c>
      <c r="R32" s="29" t="n">
        <v>192.9686849706718</v>
      </c>
      <c r="S32" s="29" t="n">
        <v>1295.060823152228</v>
      </c>
      <c r="T32" s="29" t="n">
        <v>28.36201496003079</v>
      </c>
      <c r="U32" s="29" t="n">
        <v>95966.24807973583</v>
      </c>
      <c r="V32" s="29" t="n">
        <v>727.5682766606404</v>
      </c>
      <c r="W32" s="29" t="n">
        <v>12536.09902877089</v>
      </c>
      <c r="X32" s="29" t="n">
        <v>923.3858225787378</v>
      </c>
      <c r="Y32" s="29" t="n">
        <v>474.634960256607</v>
      </c>
      <c r="Z32" s="29" t="n">
        <v>161.0887770272865</v>
      </c>
      <c r="AA32" s="29" t="n">
        <v>1490.969760412172</v>
      </c>
      <c r="AB32" s="29" t="n">
        <v>3665.357217704171</v>
      </c>
      <c r="AC32" s="29" t="n">
        <v>2270.320862408028</v>
      </c>
      <c r="AD32" s="29" t="n">
        <v>1636.289290571381</v>
      </c>
      <c r="AE32" s="29" t="n">
        <v>387.4411659083575</v>
      </c>
      <c r="AF32" s="29" t="n">
        <v>192.2466205567912</v>
      </c>
      <c r="AG32" s="29" t="n">
        <v>655.6593493136611</v>
      </c>
      <c r="AH32" s="29" t="n">
        <v>503.2559197594953</v>
      </c>
      <c r="AI32" s="29" t="n">
        <v>976.6193713147059</v>
      </c>
      <c r="AJ32" s="29" t="n">
        <v>338.8069209501489</v>
      </c>
      <c r="AK32" s="29" t="n">
        <v>171.2060496394264</v>
      </c>
      <c r="AL32" s="29" t="n">
        <v>253.7092434602529</v>
      </c>
      <c r="AM32" s="29" t="n">
        <v>272.320650598548</v>
      </c>
      <c r="AN32" s="29" t="n">
        <v>7752.410749457245</v>
      </c>
      <c r="AO32" s="29" t="n">
        <v>816.6534764073007</v>
      </c>
      <c r="AP32" s="29" t="n">
        <v>9061.886951837703</v>
      </c>
      <c r="AQ32" s="29" t="n">
        <v>813.4792115718259</v>
      </c>
      <c r="AR32" s="29" t="n">
        <v>12420.62147081351</v>
      </c>
      <c r="AS32" s="29" t="n">
        <v>57959.05239012445</v>
      </c>
      <c r="AT32" s="29" t="n">
        <v>1284.564498950534</v>
      </c>
      <c r="AU32" s="29" t="n">
        <v>6516.017286530725</v>
      </c>
      <c r="AV32" s="29" t="n">
        <v>1533.08587337438</v>
      </c>
      <c r="AW32" s="29" t="n">
        <v>68.11743402673797</v>
      </c>
      <c r="AX32" s="29" t="n">
        <v>1330.541681509862</v>
      </c>
      <c r="AY32" s="29" t="n">
        <v>32.39185120360692</v>
      </c>
      <c r="AZ32" s="29" t="n">
        <v>53.57314165947507</v>
      </c>
      <c r="BA32" s="29" t="n">
        <v>105.4516553266431</v>
      </c>
      <c r="BB32" s="29" t="n">
        <v>125.4770095805165</v>
      </c>
      <c r="BC32" s="29" t="n">
        <v>548.3644494244355</v>
      </c>
      <c r="BD32" s="29" t="n">
        <v>85.18577168030532</v>
      </c>
      <c r="BE32" s="29" t="n">
        <v>460.5555265629753</v>
      </c>
      <c r="BF32" s="29" t="n">
        <v>439.717416958137</v>
      </c>
      <c r="BG32" s="29" t="n">
        <v>104.3063806706968</v>
      </c>
      <c r="BH32" s="29" t="n">
        <v>605.1468844780684</v>
      </c>
      <c r="BI32" s="29" t="n">
        <v>461.6902629317872</v>
      </c>
      <c r="BJ32" s="29" t="n">
        <v>370.1466192212773</v>
      </c>
      <c r="BK32" s="29" t="n">
        <v>1900.074670560273</v>
      </c>
      <c r="BL32" s="29" t="n">
        <v>310.6604717879464</v>
      </c>
      <c r="BM32" s="29" t="n">
        <v>105.8731243673552</v>
      </c>
      <c r="BN32" s="29" t="n">
        <v>88.9293475972036</v>
      </c>
      <c r="BO32" s="29" t="n">
        <v>239.0407552513915</v>
      </c>
      <c r="BP32" s="29" t="n">
        <v>132.3742335438834</v>
      </c>
      <c r="BQ32" s="29" t="n">
        <v>543.4452214870556</v>
      </c>
      <c r="BR32" s="29" t="n">
        <v>0</v>
      </c>
      <c r="BS32" s="29">
        <f>SUM(C32:BR32)</f>
        <v/>
      </c>
      <c r="BT32" s="29" t="n">
        <v>0</v>
      </c>
      <c r="BU32" s="29" t="n">
        <v>0</v>
      </c>
      <c r="BV32" s="29" t="n">
        <v>106469.4171366018</v>
      </c>
      <c r="BW32" s="29" t="n">
        <v>0</v>
      </c>
      <c r="BX32" s="29">
        <f>SUM(BT32:BW32)</f>
        <v/>
      </c>
      <c r="BY32" s="29">
        <f>BS32+BX32</f>
        <v/>
      </c>
    </row>
    <row r="33">
      <c r="A33" s="30" t="inlineStr">
        <is>
          <t>1992</t>
        </is>
      </c>
      <c r="B33" s="30" t="inlineStr">
        <is>
          <t>Fabricação de biocombustíveis</t>
        </is>
      </c>
      <c r="C33" s="31" t="n">
        <v>59.84628859560053</v>
      </c>
      <c r="D33" s="31" t="n">
        <v>54.77243304211281</v>
      </c>
      <c r="E33" s="31" t="n">
        <v>3.041954987367217</v>
      </c>
      <c r="F33" s="31" t="n">
        <v>2.251825567463527</v>
      </c>
      <c r="G33" s="31" t="n">
        <v>280.8106367917381</v>
      </c>
      <c r="H33" s="31" t="n">
        <v>1.22559641649652</v>
      </c>
      <c r="I33" s="31" t="n">
        <v>0.4703016783383883</v>
      </c>
      <c r="J33" s="31" t="n">
        <v>99.25088943319453</v>
      </c>
      <c r="K33" s="31" t="n">
        <v>309.6580157594357</v>
      </c>
      <c r="L33" s="31" t="n">
        <v>910.7622843381382</v>
      </c>
      <c r="M33" s="31" t="n">
        <v>203.2450662357548</v>
      </c>
      <c r="N33" s="31" t="n">
        <v>0.4852221395859492</v>
      </c>
      <c r="O33" s="31" t="n">
        <v>3.032364168757685</v>
      </c>
      <c r="P33" s="31" t="n">
        <v>2.209651237613841</v>
      </c>
      <c r="Q33" s="31" t="n">
        <v>3.294515085462116</v>
      </c>
      <c r="R33" s="31" t="n">
        <v>0.724969815594899</v>
      </c>
      <c r="S33" s="31" t="n">
        <v>7.621542919199139</v>
      </c>
      <c r="T33" s="31" t="n">
        <v>0.2624775315432267</v>
      </c>
      <c r="U33" s="31" t="n">
        <v>11191.65373003632</v>
      </c>
      <c r="V33" s="31" t="n">
        <v>263.396567357152</v>
      </c>
      <c r="W33" s="31" t="n">
        <v>193.8882297150242</v>
      </c>
      <c r="X33" s="31" t="n">
        <v>231.940929692264</v>
      </c>
      <c r="Y33" s="31" t="n">
        <v>717.7776606466259</v>
      </c>
      <c r="Z33" s="31" t="n">
        <v>415.9002741425911</v>
      </c>
      <c r="AA33" s="31" t="n">
        <v>6.869849112396309</v>
      </c>
      <c r="AB33" s="31" t="n">
        <v>3.212545035221735</v>
      </c>
      <c r="AC33" s="31" t="n">
        <v>4.079262869643587</v>
      </c>
      <c r="AD33" s="31" t="n">
        <v>1.445955608978082</v>
      </c>
      <c r="AE33" s="31" t="n">
        <v>25.76435095732221</v>
      </c>
      <c r="AF33" s="31" t="n">
        <v>2.370819299373765</v>
      </c>
      <c r="AG33" s="31" t="n">
        <v>4.250390458983762</v>
      </c>
      <c r="AH33" s="31" t="n">
        <v>14.80591266102637</v>
      </c>
      <c r="AI33" s="31" t="n">
        <v>7.996221757677691</v>
      </c>
      <c r="AJ33" s="31" t="n">
        <v>0.5959752535919048</v>
      </c>
      <c r="AK33" s="31" t="n">
        <v>0.8971404747923742</v>
      </c>
      <c r="AL33" s="31" t="n">
        <v>3.27925184514955</v>
      </c>
      <c r="AM33" s="31" t="n">
        <v>3.016874888459344</v>
      </c>
      <c r="AN33" s="31" t="n">
        <v>2.894769566724291</v>
      </c>
      <c r="AO33" s="31" t="n">
        <v>2.032390014895152</v>
      </c>
      <c r="AP33" s="31" t="n">
        <v>209.6167807988566</v>
      </c>
      <c r="AQ33" s="31" t="n">
        <v>63.83226753285734</v>
      </c>
      <c r="AR33" s="31" t="n">
        <v>122.4526353333453</v>
      </c>
      <c r="AS33" s="31" t="n">
        <v>385.7916093728219</v>
      </c>
      <c r="AT33" s="31" t="n">
        <v>0.1087016295118368</v>
      </c>
      <c r="AU33" s="31" t="n">
        <v>0.0562439375899341</v>
      </c>
      <c r="AV33" s="31" t="n">
        <v>26.86883420438923</v>
      </c>
      <c r="AW33" s="31" t="n">
        <v>1.198806788010589</v>
      </c>
      <c r="AX33" s="31" t="n">
        <v>184.7072635346574</v>
      </c>
      <c r="AY33" s="31" t="n">
        <v>1.525568062949314</v>
      </c>
      <c r="AZ33" s="31" t="n">
        <v>2.051431041984777</v>
      </c>
      <c r="BA33" s="31" t="n">
        <v>10.5444585165088</v>
      </c>
      <c r="BB33" s="31" t="n">
        <v>1.293658006500634</v>
      </c>
      <c r="BC33" s="31" t="n">
        <v>2.152658888543078</v>
      </c>
      <c r="BD33" s="31" t="n">
        <v>0.7136322931303235</v>
      </c>
      <c r="BE33" s="31" t="n">
        <v>2.619304051838277</v>
      </c>
      <c r="BF33" s="31" t="n">
        <v>37.73734890961624</v>
      </c>
      <c r="BG33" s="31" t="n">
        <v>11.60791152447806</v>
      </c>
      <c r="BH33" s="31" t="n">
        <v>0.4928847985420964</v>
      </c>
      <c r="BI33" s="31" t="n">
        <v>3.509329489322353</v>
      </c>
      <c r="BJ33" s="31" t="n">
        <v>38.34785108371256</v>
      </c>
      <c r="BK33" s="31" t="n">
        <v>408.8815272898854</v>
      </c>
      <c r="BL33" s="31" t="n">
        <v>72.65889877708437</v>
      </c>
      <c r="BM33" s="31" t="n">
        <v>2.591140408982569</v>
      </c>
      <c r="BN33" s="31" t="n">
        <v>27.45658433771798</v>
      </c>
      <c r="BO33" s="31" t="n">
        <v>27.01756066471091</v>
      </c>
      <c r="BP33" s="31" t="n">
        <v>1.49365190726033</v>
      </c>
      <c r="BQ33" s="31" t="n">
        <v>65.09838192677705</v>
      </c>
      <c r="BR33" s="31" t="n">
        <v>0</v>
      </c>
      <c r="BS33" s="31">
        <f>SUM(C33:BR33)</f>
        <v/>
      </c>
      <c r="BT33" s="31" t="n">
        <v>0</v>
      </c>
      <c r="BU33" s="31" t="n">
        <v>0</v>
      </c>
      <c r="BV33" s="31" t="n">
        <v>18680.43650768257</v>
      </c>
      <c r="BW33" s="31" t="n">
        <v>0</v>
      </c>
      <c r="BX33" s="31">
        <f>SUM(BT33:BW33)</f>
        <v/>
      </c>
      <c r="BY33" s="31">
        <f>BS33+BX33</f>
        <v/>
      </c>
    </row>
    <row r="34">
      <c r="A34" s="28" t="inlineStr">
        <is>
          <t>2091</t>
        </is>
      </c>
      <c r="B34" s="28" t="inlineStr">
        <is>
          <t>Fabricação de químicos orgânicos e inorgânicos, resinas e elastômeros</t>
        </is>
      </c>
      <c r="C34" s="29" t="n">
        <v>28640.9617606017</v>
      </c>
      <c r="D34" s="29" t="n">
        <v>3073.056912226897</v>
      </c>
      <c r="E34" s="29" t="n">
        <v>226.8696567701411</v>
      </c>
      <c r="F34" s="29" t="n">
        <v>197.667638050643</v>
      </c>
      <c r="G34" s="29" t="n">
        <v>2484.810330354219</v>
      </c>
      <c r="H34" s="29" t="n">
        <v>186.0635459455989</v>
      </c>
      <c r="I34" s="29" t="n">
        <v>118.1825917879173</v>
      </c>
      <c r="J34" s="29" t="n">
        <v>462.2037212726087</v>
      </c>
      <c r="K34" s="29" t="n">
        <v>213.7176577692666</v>
      </c>
      <c r="L34" s="29" t="n">
        <v>796.1723620229111</v>
      </c>
      <c r="M34" s="29" t="n">
        <v>99.05802447806852</v>
      </c>
      <c r="N34" s="29" t="n">
        <v>17.87283287588784</v>
      </c>
      <c r="O34" s="29" t="n">
        <v>3431.782543028629</v>
      </c>
      <c r="P34" s="29" t="n">
        <v>158.8042816088453</v>
      </c>
      <c r="Q34" s="29" t="n">
        <v>1422.785511260843</v>
      </c>
      <c r="R34" s="29" t="n">
        <v>438.1359980853066</v>
      </c>
      <c r="S34" s="29" t="n">
        <v>3066.842021467725</v>
      </c>
      <c r="T34" s="29" t="n">
        <v>70.1112593264762</v>
      </c>
      <c r="U34" s="29" t="n">
        <v>1892.445236118649</v>
      </c>
      <c r="V34" s="29" t="n">
        <v>540.5780881566762</v>
      </c>
      <c r="W34" s="29" t="n">
        <v>26736.26853063538</v>
      </c>
      <c r="X34" s="29" t="n">
        <v>10579.0448596067</v>
      </c>
      <c r="Y34" s="29" t="n">
        <v>4007.980941827414</v>
      </c>
      <c r="Z34" s="29" t="n">
        <v>1545.216149567365</v>
      </c>
      <c r="AA34" s="29" t="n">
        <v>13334.59561902097</v>
      </c>
      <c r="AB34" s="29" t="n">
        <v>2236.170120992685</v>
      </c>
      <c r="AC34" s="29" t="n">
        <v>699.077704953511</v>
      </c>
      <c r="AD34" s="29" t="n">
        <v>839.3687849827697</v>
      </c>
      <c r="AE34" s="29" t="n">
        <v>1262.226603202137</v>
      </c>
      <c r="AF34" s="29" t="n">
        <v>155.2227586145184</v>
      </c>
      <c r="AG34" s="29" t="n">
        <v>2331.880416585784</v>
      </c>
      <c r="AH34" s="29" t="n">
        <v>281.0919422068691</v>
      </c>
      <c r="AI34" s="29" t="n">
        <v>130.48471494665</v>
      </c>
      <c r="AJ34" s="29" t="n">
        <v>973.4951366914688</v>
      </c>
      <c r="AK34" s="29" t="n">
        <v>444.7246310894869</v>
      </c>
      <c r="AL34" s="29" t="n">
        <v>1537.003966640585</v>
      </c>
      <c r="AM34" s="29" t="n">
        <v>153.4165905112307</v>
      </c>
      <c r="AN34" s="29" t="n">
        <v>129.0737793771143</v>
      </c>
      <c r="AO34" s="29" t="n">
        <v>538.5326934275804</v>
      </c>
      <c r="AP34" s="29" t="n">
        <v>438.5795253525957</v>
      </c>
      <c r="AQ34" s="29" t="n">
        <v>68.14515524197462</v>
      </c>
      <c r="AR34" s="29" t="n">
        <v>957.6227412718508</v>
      </c>
      <c r="AS34" s="29" t="n">
        <v>73.17682640043132</v>
      </c>
      <c r="AT34" s="29" t="n">
        <v>2.348546359877563</v>
      </c>
      <c r="AU34" s="29" t="n">
        <v>1.611390160732727</v>
      </c>
      <c r="AV34" s="29" t="n">
        <v>34.46586911018307</v>
      </c>
      <c r="AW34" s="29" t="n">
        <v>18.19570410571736</v>
      </c>
      <c r="AX34" s="29" t="n">
        <v>97.51776449723819</v>
      </c>
      <c r="AY34" s="29" t="n">
        <v>12.82495585727994</v>
      </c>
      <c r="AZ34" s="29" t="n">
        <v>15.12811434377444</v>
      </c>
      <c r="BA34" s="29" t="n">
        <v>83.68729506331636</v>
      </c>
      <c r="BB34" s="29" t="n">
        <v>22.24495326532715</v>
      </c>
      <c r="BC34" s="29" t="n">
        <v>64.40782382091905</v>
      </c>
      <c r="BD34" s="29" t="n">
        <v>44.27416225000023</v>
      </c>
      <c r="BE34" s="29" t="n">
        <v>64.66003584189278</v>
      </c>
      <c r="BF34" s="29" t="n">
        <v>55.23740197125353</v>
      </c>
      <c r="BG34" s="29" t="n">
        <v>20.00978611928556</v>
      </c>
      <c r="BH34" s="29" t="n">
        <v>18.83830341597922</v>
      </c>
      <c r="BI34" s="29" t="n">
        <v>76.62439310025817</v>
      </c>
      <c r="BJ34" s="29" t="n">
        <v>4.096266753408837</v>
      </c>
      <c r="BK34" s="29" t="n">
        <v>66.16509518492231</v>
      </c>
      <c r="BL34" s="29" t="n">
        <v>70.20450133509176</v>
      </c>
      <c r="BM34" s="29" t="n">
        <v>47.82216187495177</v>
      </c>
      <c r="BN34" s="29" t="n">
        <v>231.9170624998913</v>
      </c>
      <c r="BO34" s="29" t="n">
        <v>463.3571920992487</v>
      </c>
      <c r="BP34" s="29" t="n">
        <v>49.11762809147357</v>
      </c>
      <c r="BQ34" s="29" t="n">
        <v>258.2095758891486</v>
      </c>
      <c r="BR34" s="29" t="n">
        <v>0</v>
      </c>
      <c r="BS34" s="29">
        <f>SUM(C34:BR34)</f>
        <v/>
      </c>
      <c r="BT34" s="29" t="n">
        <v>0</v>
      </c>
      <c r="BU34" s="29" t="n">
        <v>0</v>
      </c>
      <c r="BV34" s="29" t="n">
        <v>16394.9780956835</v>
      </c>
      <c r="BW34" s="29" t="n">
        <v>0</v>
      </c>
      <c r="BX34" s="29">
        <f>SUM(BT34:BW34)</f>
        <v/>
      </c>
      <c r="BY34" s="29">
        <f>BS34+BX34</f>
        <v/>
      </c>
    </row>
    <row r="35">
      <c r="A35" s="30" t="inlineStr">
        <is>
          <t>2092</t>
        </is>
      </c>
      <c r="B35" s="30" t="inlineStr">
        <is>
          <t>Fabricação de defensivos, desinfestantes, tintas e químicos diversos</t>
        </is>
      </c>
      <c r="C35" s="31" t="n">
        <v>14887.94565284675</v>
      </c>
      <c r="D35" s="31" t="n">
        <v>1765.298481892294</v>
      </c>
      <c r="E35" s="31" t="n">
        <v>58.85907245749025</v>
      </c>
      <c r="F35" s="31" t="n">
        <v>1624.943220538285</v>
      </c>
      <c r="G35" s="31" t="n">
        <v>318.8341384047727</v>
      </c>
      <c r="H35" s="31" t="n">
        <v>156.8451557993248</v>
      </c>
      <c r="I35" s="31" t="n">
        <v>110.2623144434889</v>
      </c>
      <c r="J35" s="31" t="n">
        <v>772.5360744376139</v>
      </c>
      <c r="K35" s="31" t="n">
        <v>37.75598716944815</v>
      </c>
      <c r="L35" s="31" t="n">
        <v>1982.288131379912</v>
      </c>
      <c r="M35" s="31" t="n">
        <v>107.0834702855672</v>
      </c>
      <c r="N35" s="31" t="n">
        <v>7.121041257898777</v>
      </c>
      <c r="O35" s="31" t="n">
        <v>363.7936732245666</v>
      </c>
      <c r="P35" s="31" t="n">
        <v>49.97553446090124</v>
      </c>
      <c r="Q35" s="31" t="n">
        <v>236.0199385959281</v>
      </c>
      <c r="R35" s="31" t="n">
        <v>569.9720413070808</v>
      </c>
      <c r="S35" s="31" t="n">
        <v>1398.324233455006</v>
      </c>
      <c r="T35" s="31" t="n">
        <v>827.6817616897056</v>
      </c>
      <c r="U35" s="31" t="n">
        <v>507.8514518494562</v>
      </c>
      <c r="V35" s="31" t="n">
        <v>120.344182514832</v>
      </c>
      <c r="W35" s="31" t="n">
        <v>1470.291443712449</v>
      </c>
      <c r="X35" s="31" t="n">
        <v>5680.623402210554</v>
      </c>
      <c r="Y35" s="31" t="n">
        <v>1435.575245265403</v>
      </c>
      <c r="Z35" s="31" t="n">
        <v>746.0178245175642</v>
      </c>
      <c r="AA35" s="31" t="n">
        <v>2828.926356850746</v>
      </c>
      <c r="AB35" s="31" t="n">
        <v>1083.207885140315</v>
      </c>
      <c r="AC35" s="31" t="n">
        <v>331.3405223655207</v>
      </c>
      <c r="AD35" s="31" t="n">
        <v>78.5041879240315</v>
      </c>
      <c r="AE35" s="31" t="n">
        <v>663.4526865723598</v>
      </c>
      <c r="AF35" s="31" t="n">
        <v>312.1978661778199</v>
      </c>
      <c r="AG35" s="31" t="n">
        <v>253.8151639882829</v>
      </c>
      <c r="AH35" s="31" t="n">
        <v>230.3842472733559</v>
      </c>
      <c r="AI35" s="31" t="n">
        <v>584.8070571453571</v>
      </c>
      <c r="AJ35" s="31" t="n">
        <v>236.0176884330308</v>
      </c>
      <c r="AK35" s="31" t="n">
        <v>171.3707527466231</v>
      </c>
      <c r="AL35" s="31" t="n">
        <v>553.6475107057121</v>
      </c>
      <c r="AM35" s="31" t="n">
        <v>541.5619360184461</v>
      </c>
      <c r="AN35" s="31" t="n">
        <v>124.7930316171896</v>
      </c>
      <c r="AO35" s="31" t="n">
        <v>255.4327928926874</v>
      </c>
      <c r="AP35" s="31" t="n">
        <v>7173.961234105663</v>
      </c>
      <c r="AQ35" s="31" t="n">
        <v>972.2165531597495</v>
      </c>
      <c r="AR35" s="31" t="n">
        <v>1427.933623633301</v>
      </c>
      <c r="AS35" s="31" t="n">
        <v>223.345988901142</v>
      </c>
      <c r="AT35" s="31" t="n">
        <v>0.7277535724151692</v>
      </c>
      <c r="AU35" s="31" t="n">
        <v>3.497453461946115</v>
      </c>
      <c r="AV35" s="31" t="n">
        <v>41.68865998565411</v>
      </c>
      <c r="AW35" s="31" t="n">
        <v>20.19461452633604</v>
      </c>
      <c r="AX35" s="31" t="n">
        <v>40.89391762199953</v>
      </c>
      <c r="AY35" s="31" t="n">
        <v>154.721006354835</v>
      </c>
      <c r="AZ35" s="31" t="n">
        <v>106.3292258831994</v>
      </c>
      <c r="BA35" s="31" t="n">
        <v>43.98360084104041</v>
      </c>
      <c r="BB35" s="31" t="n">
        <v>12.68963791599407</v>
      </c>
      <c r="BC35" s="31" t="n">
        <v>51.13951485029156</v>
      </c>
      <c r="BD35" s="31" t="n">
        <v>876.5932962385526</v>
      </c>
      <c r="BE35" s="31" t="n">
        <v>31.8060190483267</v>
      </c>
      <c r="BF35" s="31" t="n">
        <v>39.73887734831105</v>
      </c>
      <c r="BG35" s="31" t="n">
        <v>30.9008149872208</v>
      </c>
      <c r="BH35" s="31" t="n">
        <v>23.71512099216502</v>
      </c>
      <c r="BI35" s="31" t="n">
        <v>1114.978904962762</v>
      </c>
      <c r="BJ35" s="31" t="n">
        <v>2.305414143984959</v>
      </c>
      <c r="BK35" s="31" t="n">
        <v>188.8330523180342</v>
      </c>
      <c r="BL35" s="31" t="n">
        <v>268.9743452862443</v>
      </c>
      <c r="BM35" s="31" t="n">
        <v>22.95517524840488</v>
      </c>
      <c r="BN35" s="31" t="n">
        <v>564.4475917074132</v>
      </c>
      <c r="BO35" s="31" t="n">
        <v>41.07231035710166</v>
      </c>
      <c r="BP35" s="31" t="n">
        <v>35.54607057265176</v>
      </c>
      <c r="BQ35" s="31" t="n">
        <v>105.4437472637486</v>
      </c>
      <c r="BR35" s="31" t="n">
        <v>0</v>
      </c>
      <c r="BS35" s="31">
        <f>SUM(C35:BR35)</f>
        <v/>
      </c>
      <c r="BT35" s="31" t="n">
        <v>0</v>
      </c>
      <c r="BU35" s="31" t="n">
        <v>0</v>
      </c>
      <c r="BV35" s="31" t="n">
        <v>7923.382303971081</v>
      </c>
      <c r="BW35" s="31" t="n">
        <v>0</v>
      </c>
      <c r="BX35" s="31">
        <f>SUM(BT35:BW35)</f>
        <v/>
      </c>
      <c r="BY35" s="31">
        <f>BS35+BX35</f>
        <v/>
      </c>
    </row>
    <row r="36">
      <c r="A36" s="28" t="inlineStr">
        <is>
          <t>2093</t>
        </is>
      </c>
      <c r="B36" s="28" t="inlineStr">
        <is>
          <t>Fabricação de produtos de limpeza, cosméticos/perfumaria e higiene pessoal</t>
        </is>
      </c>
      <c r="C36" s="29" t="n">
        <v>521.6709264594953</v>
      </c>
      <c r="D36" s="29" t="n">
        <v>81.72300362039196</v>
      </c>
      <c r="E36" s="29" t="n">
        <v>2.576675731353441</v>
      </c>
      <c r="F36" s="29" t="n">
        <v>14.7947586555554</v>
      </c>
      <c r="G36" s="29" t="n">
        <v>58.0576778860127</v>
      </c>
      <c r="H36" s="29" t="n">
        <v>30.94272633831842</v>
      </c>
      <c r="I36" s="29" t="n">
        <v>9.195332049994558</v>
      </c>
      <c r="J36" s="29" t="n">
        <v>93.03289788619108</v>
      </c>
      <c r="K36" s="29" t="n">
        <v>10.05888132868177</v>
      </c>
      <c r="L36" s="29" t="n">
        <v>179.9676908542351</v>
      </c>
      <c r="M36" s="29" t="n">
        <v>28.13960523901986</v>
      </c>
      <c r="N36" s="29" t="n">
        <v>7.818927692471076</v>
      </c>
      <c r="O36" s="29" t="n">
        <v>41.49588470049937</v>
      </c>
      <c r="P36" s="29" t="n">
        <v>44.65182782278894</v>
      </c>
      <c r="Q36" s="29" t="n">
        <v>20.42853144134233</v>
      </c>
      <c r="R36" s="29" t="n">
        <v>21.5059366087936</v>
      </c>
      <c r="S36" s="29" t="n">
        <v>124.9733600992871</v>
      </c>
      <c r="T36" s="29" t="n">
        <v>19.10951979598116</v>
      </c>
      <c r="U36" s="29" t="n">
        <v>92.74185235210645</v>
      </c>
      <c r="V36" s="29" t="n">
        <v>10.26428005369035</v>
      </c>
      <c r="W36" s="29" t="n">
        <v>239.8441438751937</v>
      </c>
      <c r="X36" s="29" t="n">
        <v>268.0445272951389</v>
      </c>
      <c r="Y36" s="29" t="n">
        <v>804.0147520618348</v>
      </c>
      <c r="Z36" s="29" t="n">
        <v>44.84743690237455</v>
      </c>
      <c r="AA36" s="29" t="n">
        <v>82.13196401797232</v>
      </c>
      <c r="AB36" s="29" t="n">
        <v>75.45183309736352</v>
      </c>
      <c r="AC36" s="29" t="n">
        <v>25.83962755565949</v>
      </c>
      <c r="AD36" s="29" t="n">
        <v>28.23075522561175</v>
      </c>
      <c r="AE36" s="29" t="n">
        <v>285.604988319977</v>
      </c>
      <c r="AF36" s="29" t="n">
        <v>42.22167094223285</v>
      </c>
      <c r="AG36" s="29" t="n">
        <v>24.07811595327516</v>
      </c>
      <c r="AH36" s="29" t="n">
        <v>57.68620417000188</v>
      </c>
      <c r="AI36" s="29" t="n">
        <v>36.6501448251395</v>
      </c>
      <c r="AJ36" s="29" t="n">
        <v>30.51526799905318</v>
      </c>
      <c r="AK36" s="29" t="n">
        <v>15.11557494256264</v>
      </c>
      <c r="AL36" s="29" t="n">
        <v>33.57621032292312</v>
      </c>
      <c r="AM36" s="29" t="n">
        <v>16.02880448864176</v>
      </c>
      <c r="AN36" s="29" t="n">
        <v>18.22749335498162</v>
      </c>
      <c r="AO36" s="29" t="n">
        <v>31.2566910513105</v>
      </c>
      <c r="AP36" s="29" t="n">
        <v>200.8960174650782</v>
      </c>
      <c r="AQ36" s="29" t="n">
        <v>113.400130815516</v>
      </c>
      <c r="AR36" s="29" t="n">
        <v>1213.565341225089</v>
      </c>
      <c r="AS36" s="29" t="n">
        <v>162.2120594870735</v>
      </c>
      <c r="AT36" s="29" t="n">
        <v>5.660542770234385</v>
      </c>
      <c r="AU36" s="29" t="n">
        <v>0.5622251301527996</v>
      </c>
      <c r="AV36" s="29" t="n">
        <v>55.35890372605876</v>
      </c>
      <c r="AW36" s="29" t="n">
        <v>45.05512729005486</v>
      </c>
      <c r="AX36" s="29" t="n">
        <v>64.14998178192583</v>
      </c>
      <c r="AY36" s="29" t="n">
        <v>20.85310727942664</v>
      </c>
      <c r="AZ36" s="29" t="n">
        <v>30.48547202125168</v>
      </c>
      <c r="BA36" s="29" t="n">
        <v>80.5893920512262</v>
      </c>
      <c r="BB36" s="29" t="n">
        <v>9.922468413526387</v>
      </c>
      <c r="BC36" s="29" t="n">
        <v>29.55091806901743</v>
      </c>
      <c r="BD36" s="29" t="n">
        <v>8.697967630873825</v>
      </c>
      <c r="BE36" s="29" t="n">
        <v>156.5931983539846</v>
      </c>
      <c r="BF36" s="29" t="n">
        <v>76.25349776759377</v>
      </c>
      <c r="BG36" s="29" t="n">
        <v>148.7947738134716</v>
      </c>
      <c r="BH36" s="29" t="n">
        <v>68.87968561977219</v>
      </c>
      <c r="BI36" s="29" t="n">
        <v>897.5982155636827</v>
      </c>
      <c r="BJ36" s="29" t="n">
        <v>1.834606940128452</v>
      </c>
      <c r="BK36" s="29" t="n">
        <v>130.1855653274289</v>
      </c>
      <c r="BL36" s="29" t="n">
        <v>118.4447233926549</v>
      </c>
      <c r="BM36" s="29" t="n">
        <v>76.39806489693424</v>
      </c>
      <c r="BN36" s="29" t="n">
        <v>64.07475260375206</v>
      </c>
      <c r="BO36" s="29" t="n">
        <v>418.5513432006087</v>
      </c>
      <c r="BP36" s="29" t="n">
        <v>112.8693328983344</v>
      </c>
      <c r="BQ36" s="29" t="n">
        <v>635.8788791506427</v>
      </c>
      <c r="BR36" s="29" t="n">
        <v>0</v>
      </c>
      <c r="BS36" s="29">
        <f>SUM(C36:BR36)</f>
        <v/>
      </c>
      <c r="BT36" s="29" t="n">
        <v>0</v>
      </c>
      <c r="BU36" s="29" t="n">
        <v>0</v>
      </c>
      <c r="BV36" s="29" t="n">
        <v>30389.09653380688</v>
      </c>
      <c r="BW36" s="29" t="n">
        <v>0</v>
      </c>
      <c r="BX36" s="29">
        <f>SUM(BT36:BW36)</f>
        <v/>
      </c>
      <c r="BY36" s="29">
        <f>BS36+BX36</f>
        <v/>
      </c>
    </row>
    <row r="37">
      <c r="A37" s="30" t="inlineStr">
        <is>
          <t>2100</t>
        </is>
      </c>
      <c r="B37" s="30" t="inlineStr">
        <is>
          <t>Fabricação de produtos farmoquímicos e farmacêuticos</t>
        </is>
      </c>
      <c r="C37" s="31" t="n">
        <v>312.491314580828</v>
      </c>
      <c r="D37" s="31" t="n">
        <v>1819.198439796166</v>
      </c>
      <c r="E37" s="31" t="n">
        <v>11.52527818450728</v>
      </c>
      <c r="F37" s="31" t="n">
        <v>1.215960145332875</v>
      </c>
      <c r="G37" s="31" t="n">
        <v>179.2184834060339</v>
      </c>
      <c r="H37" s="31" t="n">
        <v>5.072416177894178</v>
      </c>
      <c r="I37" s="31" t="n">
        <v>1.433713122548552</v>
      </c>
      <c r="J37" s="31" t="n">
        <v>82.6456118989117</v>
      </c>
      <c r="K37" s="31" t="n">
        <v>3.79314669995884</v>
      </c>
      <c r="L37" s="31" t="n">
        <v>212.4719707639622</v>
      </c>
      <c r="M37" s="31" t="n">
        <v>5.252371221368443</v>
      </c>
      <c r="N37" s="31" t="n">
        <v>2.123159045045061</v>
      </c>
      <c r="O37" s="31" t="n">
        <v>17.29208152554483</v>
      </c>
      <c r="P37" s="31" t="n">
        <v>24.2199984759626</v>
      </c>
      <c r="Q37" s="31" t="n">
        <v>17.57967243537189</v>
      </c>
      <c r="R37" s="31" t="n">
        <v>3.246405877580826</v>
      </c>
      <c r="S37" s="31" t="n">
        <v>27.98841875884985</v>
      </c>
      <c r="T37" s="31" t="n">
        <v>1.571597753216645</v>
      </c>
      <c r="U37" s="31" t="n">
        <v>5.359348721411076</v>
      </c>
      <c r="V37" s="31" t="n">
        <v>8.345157299967026</v>
      </c>
      <c r="W37" s="31" t="n">
        <v>152.4145479604377</v>
      </c>
      <c r="X37" s="31" t="n">
        <v>247.1595392136556</v>
      </c>
      <c r="Y37" s="31" t="n">
        <v>42.85112193684026</v>
      </c>
      <c r="Z37" s="31" t="n">
        <v>2746.638073605498</v>
      </c>
      <c r="AA37" s="31" t="n">
        <v>44.08148509465688</v>
      </c>
      <c r="AB37" s="31" t="n">
        <v>16.63485234013335</v>
      </c>
      <c r="AC37" s="31" t="n">
        <v>14.85972262618757</v>
      </c>
      <c r="AD37" s="31" t="n">
        <v>7.705210840262667</v>
      </c>
      <c r="AE37" s="31" t="n">
        <v>19.66469093115106</v>
      </c>
      <c r="AF37" s="31" t="n">
        <v>10.14315145577272</v>
      </c>
      <c r="AG37" s="31" t="n">
        <v>14.45657507203934</v>
      </c>
      <c r="AH37" s="31" t="n">
        <v>39.25385781122211</v>
      </c>
      <c r="AI37" s="31" t="n">
        <v>13.90003210913055</v>
      </c>
      <c r="AJ37" s="31" t="n">
        <v>5.409830258056019</v>
      </c>
      <c r="AK37" s="31" t="n">
        <v>3.37067039386942</v>
      </c>
      <c r="AL37" s="31" t="n">
        <v>18.1791658141092</v>
      </c>
      <c r="AM37" s="31" t="n">
        <v>4.413073036509026</v>
      </c>
      <c r="AN37" s="31" t="n">
        <v>5.084345271339705</v>
      </c>
      <c r="AO37" s="31" t="n">
        <v>3.20958954498183</v>
      </c>
      <c r="AP37" s="31" t="n">
        <v>21.56152440531756</v>
      </c>
      <c r="AQ37" s="31" t="n">
        <v>10.29557203516098</v>
      </c>
      <c r="AR37" s="31" t="n">
        <v>309.7488051641981</v>
      </c>
      <c r="AS37" s="31" t="n">
        <v>7.534167068406052</v>
      </c>
      <c r="AT37" s="31" t="n">
        <v>1.129386766907097</v>
      </c>
      <c r="AU37" s="31" t="n">
        <v>0.5597708961608405</v>
      </c>
      <c r="AV37" s="31" t="n">
        <v>7.340371229366749</v>
      </c>
      <c r="AW37" s="31" t="n">
        <v>3.825195581968374</v>
      </c>
      <c r="AX37" s="31" t="n">
        <v>19.57318202555039</v>
      </c>
      <c r="AY37" s="31" t="n">
        <v>5.598948565442312</v>
      </c>
      <c r="AZ37" s="31" t="n">
        <v>6.659107371566882</v>
      </c>
      <c r="BA37" s="31" t="n">
        <v>39.03236230867541</v>
      </c>
      <c r="BB37" s="31" t="n">
        <v>7.804794341748538</v>
      </c>
      <c r="BC37" s="31" t="n">
        <v>14.67790574240166</v>
      </c>
      <c r="BD37" s="31" t="n">
        <v>6.335223323783094</v>
      </c>
      <c r="BE37" s="31" t="n">
        <v>17.74236245638662</v>
      </c>
      <c r="BF37" s="31" t="n">
        <v>29.85110999811177</v>
      </c>
      <c r="BG37" s="31" t="n">
        <v>37.57288710417529</v>
      </c>
      <c r="BH37" s="31" t="n">
        <v>9.674423168448627</v>
      </c>
      <c r="BI37" s="31" t="n">
        <v>27.40291882833641</v>
      </c>
      <c r="BJ37" s="31" t="n">
        <v>1.158752870697023</v>
      </c>
      <c r="BK37" s="31" t="n">
        <v>381.2837389149334</v>
      </c>
      <c r="BL37" s="31" t="n">
        <v>376.4439633249347</v>
      </c>
      <c r="BM37" s="31" t="n">
        <v>121.0413329252044</v>
      </c>
      <c r="BN37" s="31" t="n">
        <v>2082.858757126384</v>
      </c>
      <c r="BO37" s="31" t="n">
        <v>5275.64576020248</v>
      </c>
      <c r="BP37" s="31" t="n">
        <v>16.12139934346546</v>
      </c>
      <c r="BQ37" s="31" t="n">
        <v>396.6753972859286</v>
      </c>
      <c r="BR37" s="31" t="n">
        <v>0</v>
      </c>
      <c r="BS37" s="31">
        <f>SUM(C37:BR37)</f>
        <v/>
      </c>
      <c r="BT37" s="31" t="n">
        <v>0</v>
      </c>
      <c r="BU37" s="31" t="n">
        <v>0</v>
      </c>
      <c r="BV37" s="31" t="n">
        <v>41174.05006057477</v>
      </c>
      <c r="BW37" s="31" t="n">
        <v>0</v>
      </c>
      <c r="BX37" s="31">
        <f>SUM(BT37:BW37)</f>
        <v/>
      </c>
      <c r="BY37" s="31">
        <f>BS37+BX37</f>
        <v/>
      </c>
    </row>
    <row r="38">
      <c r="A38" s="28" t="inlineStr">
        <is>
          <t>2200</t>
        </is>
      </c>
      <c r="B38" s="28" t="inlineStr">
        <is>
          <t>Fabricação de produtos de borracha e de material plástico</t>
        </is>
      </c>
      <c r="C38" s="29" t="n">
        <v>520.9243448132952</v>
      </c>
      <c r="D38" s="29" t="n">
        <v>173.536553828607</v>
      </c>
      <c r="E38" s="29" t="n">
        <v>36.61039681480784</v>
      </c>
      <c r="F38" s="29" t="n">
        <v>146.9362378815491</v>
      </c>
      <c r="G38" s="29" t="n">
        <v>155.1980518608492</v>
      </c>
      <c r="H38" s="29" t="n">
        <v>363.3363874183996</v>
      </c>
      <c r="I38" s="29" t="n">
        <v>64.2012564554372</v>
      </c>
      <c r="J38" s="29" t="n">
        <v>2313.622138194905</v>
      </c>
      <c r="K38" s="29" t="n">
        <v>149.8576790619663</v>
      </c>
      <c r="L38" s="29" t="n">
        <v>5831.190246136866</v>
      </c>
      <c r="M38" s="29" t="n">
        <v>2641.740022790853</v>
      </c>
      <c r="N38" s="29" t="n">
        <v>7.336928033611219</v>
      </c>
      <c r="O38" s="29" t="n">
        <v>228.3192200595958</v>
      </c>
      <c r="P38" s="29" t="n">
        <v>184.2815557287369</v>
      </c>
      <c r="Q38" s="29" t="n">
        <v>744.2575222497125</v>
      </c>
      <c r="R38" s="29" t="n">
        <v>194.6912644438817</v>
      </c>
      <c r="S38" s="29" t="n">
        <v>706.9757099578599</v>
      </c>
      <c r="T38" s="29" t="n">
        <v>918.8526608908921</v>
      </c>
      <c r="U38" s="29" t="n">
        <v>86.89070128632126</v>
      </c>
      <c r="V38" s="29" t="n">
        <v>32.45784103291868</v>
      </c>
      <c r="W38" s="29" t="n">
        <v>1072.293662056514</v>
      </c>
      <c r="X38" s="29" t="n">
        <v>560.0087861402503</v>
      </c>
      <c r="Y38" s="29" t="n">
        <v>1519.129038613343</v>
      </c>
      <c r="Z38" s="29" t="n">
        <v>395.1927372728589</v>
      </c>
      <c r="AA38" s="29" t="n">
        <v>13823.71491003607</v>
      </c>
      <c r="AB38" s="29" t="n">
        <v>2088.004347724278</v>
      </c>
      <c r="AC38" s="29" t="n">
        <v>394.9388738731508</v>
      </c>
      <c r="AD38" s="29" t="n">
        <v>67.06345039826168</v>
      </c>
      <c r="AE38" s="29" t="n">
        <v>747.3654600619313</v>
      </c>
      <c r="AF38" s="29" t="n">
        <v>1260.896806941093</v>
      </c>
      <c r="AG38" s="29" t="n">
        <v>1974.85451535472</v>
      </c>
      <c r="AH38" s="29" t="n">
        <v>2291.622054828065</v>
      </c>
      <c r="AI38" s="29" t="n">
        <v>7931.531931917098</v>
      </c>
      <c r="AJ38" s="29" t="n">
        <v>3206.371693477732</v>
      </c>
      <c r="AK38" s="29" t="n">
        <v>819.1443215896733</v>
      </c>
      <c r="AL38" s="29" t="n">
        <v>2220.036537538105</v>
      </c>
      <c r="AM38" s="29" t="n">
        <v>1005.171726668826</v>
      </c>
      <c r="AN38" s="29" t="n">
        <v>212.5757056900133</v>
      </c>
      <c r="AO38" s="29" t="n">
        <v>280.9794370016258</v>
      </c>
      <c r="AP38" s="29" t="n">
        <v>11450.72199347962</v>
      </c>
      <c r="AQ38" s="29" t="n">
        <v>1556.854804707047</v>
      </c>
      <c r="AR38" s="29" t="n">
        <v>4991.154147437844</v>
      </c>
      <c r="AS38" s="29" t="n">
        <v>4349.083636101875</v>
      </c>
      <c r="AT38" s="29" t="n">
        <v>2.566051579630275</v>
      </c>
      <c r="AU38" s="29" t="n">
        <v>601.6682454547107</v>
      </c>
      <c r="AV38" s="29" t="n">
        <v>117.6490398735146</v>
      </c>
      <c r="AW38" s="29" t="n">
        <v>27.15557455776592</v>
      </c>
      <c r="AX38" s="29" t="n">
        <v>436.4414819794621</v>
      </c>
      <c r="AY38" s="29" t="n">
        <v>26.13630177166581</v>
      </c>
      <c r="AZ38" s="29" t="n">
        <v>13.54250020630795</v>
      </c>
      <c r="BA38" s="29" t="n">
        <v>69.34862375631639</v>
      </c>
      <c r="BB38" s="29" t="n">
        <v>25.72629090856329</v>
      </c>
      <c r="BC38" s="29" t="n">
        <v>90.40649432588627</v>
      </c>
      <c r="BD38" s="29" t="n">
        <v>98.87379332526383</v>
      </c>
      <c r="BE38" s="29" t="n">
        <v>467.7883734491991</v>
      </c>
      <c r="BF38" s="29" t="n">
        <v>33.16839123598682</v>
      </c>
      <c r="BG38" s="29" t="n">
        <v>28.25049749961442</v>
      </c>
      <c r="BH38" s="29" t="n">
        <v>285.3212934942408</v>
      </c>
      <c r="BI38" s="29" t="n">
        <v>467.5129933519414</v>
      </c>
      <c r="BJ38" s="29" t="n">
        <v>4.361517382287662</v>
      </c>
      <c r="BK38" s="29" t="n">
        <v>179.0863409696179</v>
      </c>
      <c r="BL38" s="29" t="n">
        <v>196.1328414285759</v>
      </c>
      <c r="BM38" s="29" t="n">
        <v>38.2694845826088</v>
      </c>
      <c r="BN38" s="29" t="n">
        <v>446.1697314838034</v>
      </c>
      <c r="BO38" s="29" t="n">
        <v>447.1092874172014</v>
      </c>
      <c r="BP38" s="29" t="n">
        <v>38.59536758523853</v>
      </c>
      <c r="BQ38" s="29" t="n">
        <v>139.2784076470045</v>
      </c>
      <c r="BR38" s="29" t="n">
        <v>0</v>
      </c>
      <c r="BS38" s="29">
        <f>SUM(C38:BR38)</f>
        <v/>
      </c>
      <c r="BT38" s="29" t="n">
        <v>0</v>
      </c>
      <c r="BU38" s="29" t="n">
        <v>0</v>
      </c>
      <c r="BV38" s="29" t="n">
        <v>18768.11304497359</v>
      </c>
      <c r="BW38" s="29" t="n">
        <v>0</v>
      </c>
      <c r="BX38" s="29">
        <f>SUM(BT38:BW38)</f>
        <v/>
      </c>
      <c r="BY38" s="29">
        <f>BS38+BX38</f>
        <v/>
      </c>
    </row>
    <row r="39">
      <c r="A39" s="30" t="inlineStr">
        <is>
          <t>2300</t>
        </is>
      </c>
      <c r="B39" s="30" t="inlineStr">
        <is>
          <t>Fabricação de produtos de minerais não-metálicos</t>
        </is>
      </c>
      <c r="C39" s="31" t="n">
        <v>2502.57121698499</v>
      </c>
      <c r="D39" s="31" t="n">
        <v>1693.948909787432</v>
      </c>
      <c r="E39" s="31" t="n">
        <v>56.53720742051924</v>
      </c>
      <c r="F39" s="31" t="n">
        <v>75.66831797368907</v>
      </c>
      <c r="G39" s="31" t="n">
        <v>134.4475046982212</v>
      </c>
      <c r="H39" s="31" t="n">
        <v>8.681017451374958</v>
      </c>
      <c r="I39" s="31" t="n">
        <v>12.51891980136918</v>
      </c>
      <c r="J39" s="31" t="n">
        <v>82.10797384471707</v>
      </c>
      <c r="K39" s="31" t="n">
        <v>114.6546587876862</v>
      </c>
      <c r="L39" s="31" t="n">
        <v>1254.212029058355</v>
      </c>
      <c r="M39" s="31" t="n">
        <v>1348.722596837983</v>
      </c>
      <c r="N39" s="31" t="n">
        <v>2.567413759909466</v>
      </c>
      <c r="O39" s="31" t="n">
        <v>19.45336933307996</v>
      </c>
      <c r="P39" s="31" t="n">
        <v>20.60994382781011</v>
      </c>
      <c r="Q39" s="31" t="n">
        <v>18.78677177840542</v>
      </c>
      <c r="R39" s="31" t="n">
        <v>15.68578199045852</v>
      </c>
      <c r="S39" s="31" t="n">
        <v>183.1308849986906</v>
      </c>
      <c r="T39" s="31" t="n">
        <v>17.27047023663034</v>
      </c>
      <c r="U39" s="31" t="n">
        <v>294.3633075224819</v>
      </c>
      <c r="V39" s="31" t="n">
        <v>10.96187868660712</v>
      </c>
      <c r="W39" s="31" t="n">
        <v>524.3421309155611</v>
      </c>
      <c r="X39" s="31" t="n">
        <v>200.4931002460437</v>
      </c>
      <c r="Y39" s="31" t="n">
        <v>297.2583266817575</v>
      </c>
      <c r="Z39" s="31" t="n">
        <v>70.08615205973236</v>
      </c>
      <c r="AA39" s="31" t="n">
        <v>427.5068285520349</v>
      </c>
      <c r="AB39" s="31" t="n">
        <v>9325.626394871922</v>
      </c>
      <c r="AC39" s="31" t="n">
        <v>265.0277793901006</v>
      </c>
      <c r="AD39" s="31" t="n">
        <v>22.05394305579632</v>
      </c>
      <c r="AE39" s="31" t="n">
        <v>171.4803268425731</v>
      </c>
      <c r="AF39" s="31" t="n">
        <v>22.76502165473185</v>
      </c>
      <c r="AG39" s="31" t="n">
        <v>269.7971651987357</v>
      </c>
      <c r="AH39" s="31" t="n">
        <v>336.0846156069113</v>
      </c>
      <c r="AI39" s="31" t="n">
        <v>1801.057652424448</v>
      </c>
      <c r="AJ39" s="31" t="n">
        <v>92.82587300247559</v>
      </c>
      <c r="AK39" s="31" t="n">
        <v>151.1398840808999</v>
      </c>
      <c r="AL39" s="31" t="n">
        <v>421.1532274072897</v>
      </c>
      <c r="AM39" s="31" t="n">
        <v>182.5808251496852</v>
      </c>
      <c r="AN39" s="31" t="n">
        <v>1658.2828296046</v>
      </c>
      <c r="AO39" s="31" t="n">
        <v>754.6843660487986</v>
      </c>
      <c r="AP39" s="31" t="n">
        <v>56142.1476615687</v>
      </c>
      <c r="AQ39" s="31" t="n">
        <v>205.3260270658241</v>
      </c>
      <c r="AR39" s="31" t="n">
        <v>304.432074889551</v>
      </c>
      <c r="AS39" s="31" t="n">
        <v>27.99992526902645</v>
      </c>
      <c r="AT39" s="31" t="n">
        <v>1.06486541161215</v>
      </c>
      <c r="AU39" s="31" t="n">
        <v>0.7480250515163317</v>
      </c>
      <c r="AV39" s="31" t="n">
        <v>22.58266668052115</v>
      </c>
      <c r="AW39" s="31" t="n">
        <v>162.7087473347275</v>
      </c>
      <c r="AX39" s="31" t="n">
        <v>497.1762649676061</v>
      </c>
      <c r="AY39" s="31" t="n">
        <v>9.574600896994495</v>
      </c>
      <c r="AZ39" s="31" t="n">
        <v>9.185738774537139</v>
      </c>
      <c r="BA39" s="31" t="n">
        <v>47.41979910406143</v>
      </c>
      <c r="BB39" s="31" t="n">
        <v>11.91989897760113</v>
      </c>
      <c r="BC39" s="31" t="n">
        <v>32.50256439018149</v>
      </c>
      <c r="BD39" s="31" t="n">
        <v>2116.378291175395</v>
      </c>
      <c r="BE39" s="31" t="n">
        <v>32.90221944212475</v>
      </c>
      <c r="BF39" s="31" t="n">
        <v>13.79848356714784</v>
      </c>
      <c r="BG39" s="31" t="n">
        <v>8.666667882370101</v>
      </c>
      <c r="BH39" s="31" t="n">
        <v>9.676865237248732</v>
      </c>
      <c r="BI39" s="31" t="n">
        <v>88.94748871828004</v>
      </c>
      <c r="BJ39" s="31" t="n">
        <v>2.044120494957803</v>
      </c>
      <c r="BK39" s="31" t="n">
        <v>341.6455427555926</v>
      </c>
      <c r="BL39" s="31" t="n">
        <v>146.4744288406642</v>
      </c>
      <c r="BM39" s="31" t="n">
        <v>22.7759632928472</v>
      </c>
      <c r="BN39" s="31" t="n">
        <v>126.7506187268225</v>
      </c>
      <c r="BO39" s="31" t="n">
        <v>110.6072542527346</v>
      </c>
      <c r="BP39" s="31" t="n">
        <v>23.47529031522627</v>
      </c>
      <c r="BQ39" s="31" t="n">
        <v>223.1459846077302</v>
      </c>
      <c r="BR39" s="31" t="n">
        <v>0</v>
      </c>
      <c r="BS39" s="31">
        <f>SUM(C39:BR39)</f>
        <v/>
      </c>
      <c r="BT39" s="31" t="n">
        <v>0</v>
      </c>
      <c r="BU39" s="31" t="n">
        <v>0</v>
      </c>
      <c r="BV39" s="31" t="n">
        <v>8510.440250951104</v>
      </c>
      <c r="BW39" s="31" t="n">
        <v>0</v>
      </c>
      <c r="BX39" s="31">
        <f>SUM(BT39:BW39)</f>
        <v/>
      </c>
      <c r="BY39" s="31">
        <f>BS39+BX39</f>
        <v/>
      </c>
    </row>
    <row r="40">
      <c r="A40" s="28" t="inlineStr">
        <is>
          <t>2491</t>
        </is>
      </c>
      <c r="B40" s="28" t="inlineStr">
        <is>
          <t>Produção de ferro-gusa/ferroligas, siderurgia e tubos de aço sem costura</t>
        </is>
      </c>
      <c r="C40" s="29" t="n">
        <v>174.5193583324177</v>
      </c>
      <c r="D40" s="29" t="n">
        <v>295.4624002421385</v>
      </c>
      <c r="E40" s="29" t="n">
        <v>14.12878368695305</v>
      </c>
      <c r="F40" s="29" t="n">
        <v>92.42449460423241</v>
      </c>
      <c r="G40" s="29" t="n">
        <v>1819.129035503064</v>
      </c>
      <c r="H40" s="29" t="n">
        <v>37.66818618147325</v>
      </c>
      <c r="I40" s="29" t="n">
        <v>109.6041276132734</v>
      </c>
      <c r="J40" s="29" t="n">
        <v>254.8619545653794</v>
      </c>
      <c r="K40" s="29" t="n">
        <v>7.920266602455029</v>
      </c>
      <c r="L40" s="29" t="n">
        <v>123.5115753476395</v>
      </c>
      <c r="M40" s="29" t="n">
        <v>122.1218238497388</v>
      </c>
      <c r="N40" s="29" t="n">
        <v>1.237504351793422</v>
      </c>
      <c r="O40" s="29" t="n">
        <v>8.363350471075121</v>
      </c>
      <c r="P40" s="29" t="n">
        <v>8.800676548439416</v>
      </c>
      <c r="Q40" s="29" t="n">
        <v>6.642754855297007</v>
      </c>
      <c r="R40" s="29" t="n">
        <v>17.91663657162675</v>
      </c>
      <c r="S40" s="29" t="n">
        <v>139.0727721585046</v>
      </c>
      <c r="T40" s="29" t="n">
        <v>10.2952709887267</v>
      </c>
      <c r="U40" s="29" t="n">
        <v>50.21612543915479</v>
      </c>
      <c r="V40" s="29" t="n">
        <v>7.223824935643088</v>
      </c>
      <c r="W40" s="29" t="n">
        <v>47.62146301490748</v>
      </c>
      <c r="X40" s="29" t="n">
        <v>46.19946074617405</v>
      </c>
      <c r="Y40" s="29" t="n">
        <v>39.61501965450523</v>
      </c>
      <c r="Z40" s="29" t="n">
        <v>16.88998045187812</v>
      </c>
      <c r="AA40" s="29" t="n">
        <v>709.5606537365069</v>
      </c>
      <c r="AB40" s="29" t="n">
        <v>841.6369696365272</v>
      </c>
      <c r="AC40" s="29" t="n">
        <v>9731.869783469232</v>
      </c>
      <c r="AD40" s="29" t="n">
        <v>1079.951101467854</v>
      </c>
      <c r="AE40" s="29" t="n">
        <v>17118.78762841642</v>
      </c>
      <c r="AF40" s="29" t="n">
        <v>85.3037142159166</v>
      </c>
      <c r="AG40" s="29" t="n">
        <v>2802.689585468878</v>
      </c>
      <c r="AH40" s="29" t="n">
        <v>8929.874635187138</v>
      </c>
      <c r="AI40" s="29" t="n">
        <v>6577.0788669591</v>
      </c>
      <c r="AJ40" s="29" t="n">
        <v>6515.183761932598</v>
      </c>
      <c r="AK40" s="29" t="n">
        <v>1606.196518705613</v>
      </c>
      <c r="AL40" s="29" t="n">
        <v>1186.249317648823</v>
      </c>
      <c r="AM40" s="29" t="n">
        <v>1041.172519611645</v>
      </c>
      <c r="AN40" s="29" t="n">
        <v>303.6154987423406</v>
      </c>
      <c r="AO40" s="29" t="n">
        <v>105.9136318920362</v>
      </c>
      <c r="AP40" s="29" t="n">
        <v>19160.51955142692</v>
      </c>
      <c r="AQ40" s="29" t="n">
        <v>56.69378500976053</v>
      </c>
      <c r="AR40" s="29" t="n">
        <v>1410.418410169116</v>
      </c>
      <c r="AS40" s="29" t="n">
        <v>47.31927934208971</v>
      </c>
      <c r="AT40" s="29" t="n">
        <v>4.776744294427484</v>
      </c>
      <c r="AU40" s="29" t="n">
        <v>3.451902438731025</v>
      </c>
      <c r="AV40" s="29" t="n">
        <v>43.1276662795798</v>
      </c>
      <c r="AW40" s="29" t="n">
        <v>16.57834800012711</v>
      </c>
      <c r="AX40" s="29" t="n">
        <v>108.5426433799049</v>
      </c>
      <c r="AY40" s="29" t="n">
        <v>7.200224241681021</v>
      </c>
      <c r="AZ40" s="29" t="n">
        <v>6.635241533046533</v>
      </c>
      <c r="BA40" s="29" t="n">
        <v>36.31751702315336</v>
      </c>
      <c r="BB40" s="29" t="n">
        <v>34.72070755600089</v>
      </c>
      <c r="BC40" s="29" t="n">
        <v>54.53884674736652</v>
      </c>
      <c r="BD40" s="29" t="n">
        <v>35.24709456376015</v>
      </c>
      <c r="BE40" s="29" t="n">
        <v>51.75783616961647</v>
      </c>
      <c r="BF40" s="29" t="n">
        <v>40.17272464625672</v>
      </c>
      <c r="BG40" s="29" t="n">
        <v>10.81086057365362</v>
      </c>
      <c r="BH40" s="29" t="n">
        <v>251.0711892085901</v>
      </c>
      <c r="BI40" s="29" t="n">
        <v>45.32630079926081</v>
      </c>
      <c r="BJ40" s="29" t="n">
        <v>6.23962425692583</v>
      </c>
      <c r="BK40" s="29" t="n">
        <v>187.431707834038</v>
      </c>
      <c r="BL40" s="29" t="n">
        <v>45.17775148920973</v>
      </c>
      <c r="BM40" s="29" t="n">
        <v>39.40787402346857</v>
      </c>
      <c r="BN40" s="29" t="n">
        <v>22.43272584036681</v>
      </c>
      <c r="BO40" s="29" t="n">
        <v>21.79020499862177</v>
      </c>
      <c r="BP40" s="29" t="n">
        <v>42.0631058104743</v>
      </c>
      <c r="BQ40" s="29" t="n">
        <v>35.89430642442089</v>
      </c>
      <c r="BR40" s="29" t="n">
        <v>0</v>
      </c>
      <c r="BS40" s="29">
        <f>SUM(C40:BR40)</f>
        <v/>
      </c>
      <c r="BT40" s="29" t="n">
        <v>0</v>
      </c>
      <c r="BU40" s="29" t="n">
        <v>0</v>
      </c>
      <c r="BV40" s="29" t="n">
        <v>24233.74992010818</v>
      </c>
      <c r="BW40" s="29" t="n">
        <v>0</v>
      </c>
      <c r="BX40" s="29">
        <f>SUM(BT40:BW40)</f>
        <v/>
      </c>
      <c r="BY40" s="29">
        <f>BS40+BX40</f>
        <v/>
      </c>
    </row>
    <row r="41">
      <c r="A41" s="30" t="inlineStr">
        <is>
          <t>2492</t>
        </is>
      </c>
      <c r="B41" s="30" t="inlineStr">
        <is>
          <t>Metalurgia de metais não-ferrosos e a fundição de metais</t>
        </is>
      </c>
      <c r="C41" s="31" t="n">
        <v>78.41163630614001</v>
      </c>
      <c r="D41" s="31" t="n">
        <v>19.50646523557034</v>
      </c>
      <c r="E41" s="31" t="n">
        <v>1.384712792229346</v>
      </c>
      <c r="F41" s="31" t="n">
        <v>5.303509535509541</v>
      </c>
      <c r="G41" s="31" t="n">
        <v>42.93268349758983</v>
      </c>
      <c r="H41" s="31" t="n">
        <v>11.62966298094686</v>
      </c>
      <c r="I41" s="31" t="n">
        <v>80.79981256179579</v>
      </c>
      <c r="J41" s="31" t="n">
        <v>250.2833939357646</v>
      </c>
      <c r="K41" s="31" t="n">
        <v>5.055522828978459</v>
      </c>
      <c r="L41" s="31" t="n">
        <v>375.0637225736735</v>
      </c>
      <c r="M41" s="31" t="n">
        <v>19.35946282843705</v>
      </c>
      <c r="N41" s="31" t="n">
        <v>0.7978439576389633</v>
      </c>
      <c r="O41" s="31" t="n">
        <v>9.404764888789108</v>
      </c>
      <c r="P41" s="31" t="n">
        <v>5.946309049957403</v>
      </c>
      <c r="Q41" s="31" t="n">
        <v>6.725238776426417</v>
      </c>
      <c r="R41" s="31" t="n">
        <v>3.68268787799913</v>
      </c>
      <c r="S41" s="31" t="n">
        <v>218.7366581621816</v>
      </c>
      <c r="T41" s="31" t="n">
        <v>215.0669548319312</v>
      </c>
      <c r="U41" s="31" t="n">
        <v>4.220160804120482</v>
      </c>
      <c r="V41" s="31" t="n">
        <v>2.899010190997024</v>
      </c>
      <c r="W41" s="31" t="n">
        <v>373.9885039352772</v>
      </c>
      <c r="X41" s="31" t="n">
        <v>198.753367789207</v>
      </c>
      <c r="Y41" s="31" t="n">
        <v>26.15425629717486</v>
      </c>
      <c r="Z41" s="31" t="n">
        <v>15.85953149782758</v>
      </c>
      <c r="AA41" s="31" t="n">
        <v>85.8140482072891</v>
      </c>
      <c r="AB41" s="31" t="n">
        <v>117.5759395458666</v>
      </c>
      <c r="AC41" s="31" t="n">
        <v>1332.209832679127</v>
      </c>
      <c r="AD41" s="31" t="n">
        <v>8125.587812845155</v>
      </c>
      <c r="AE41" s="31" t="n">
        <v>2123.929725699611</v>
      </c>
      <c r="AF41" s="31" t="n">
        <v>203.9221250233739</v>
      </c>
      <c r="AG41" s="31" t="n">
        <v>6840.996259020933</v>
      </c>
      <c r="AH41" s="31" t="n">
        <v>2046.004651567037</v>
      </c>
      <c r="AI41" s="31" t="n">
        <v>602.7363607189131</v>
      </c>
      <c r="AJ41" s="31" t="n">
        <v>4148.020375597645</v>
      </c>
      <c r="AK41" s="31" t="n">
        <v>759.1074108352691</v>
      </c>
      <c r="AL41" s="31" t="n">
        <v>1819.79477453447</v>
      </c>
      <c r="AM41" s="31" t="n">
        <v>1321.76866098929</v>
      </c>
      <c r="AN41" s="31" t="n">
        <v>98.97560888338938</v>
      </c>
      <c r="AO41" s="31" t="n">
        <v>102.1952401336026</v>
      </c>
      <c r="AP41" s="31" t="n">
        <v>3703.099551186245</v>
      </c>
      <c r="AQ41" s="31" t="n">
        <v>546.1465822605317</v>
      </c>
      <c r="AR41" s="31" t="n">
        <v>461.2840687064004</v>
      </c>
      <c r="AS41" s="31" t="n">
        <v>56.61203844287736</v>
      </c>
      <c r="AT41" s="31" t="n">
        <v>1.507606266694501</v>
      </c>
      <c r="AU41" s="31" t="n">
        <v>1.305843891879686</v>
      </c>
      <c r="AV41" s="31" t="n">
        <v>29.48705886128393</v>
      </c>
      <c r="AW41" s="31" t="n">
        <v>14.31284646888605</v>
      </c>
      <c r="AX41" s="31" t="n">
        <v>61.52996517258234</v>
      </c>
      <c r="AY41" s="31" t="n">
        <v>4.581972301760022</v>
      </c>
      <c r="AZ41" s="31" t="n">
        <v>6.931036013808878</v>
      </c>
      <c r="BA41" s="31" t="n">
        <v>45.74941568188145</v>
      </c>
      <c r="BB41" s="31" t="n">
        <v>18.02726660713012</v>
      </c>
      <c r="BC41" s="31" t="n">
        <v>61.61687922160787</v>
      </c>
      <c r="BD41" s="31" t="n">
        <v>72.71897298909718</v>
      </c>
      <c r="BE41" s="31" t="n">
        <v>60.76415902390053</v>
      </c>
      <c r="BF41" s="31" t="n">
        <v>14.15684254518022</v>
      </c>
      <c r="BG41" s="31" t="n">
        <v>12.08116808279081</v>
      </c>
      <c r="BH41" s="31" t="n">
        <v>14.57558104347236</v>
      </c>
      <c r="BI41" s="31" t="n">
        <v>45.0513166859637</v>
      </c>
      <c r="BJ41" s="31" t="n">
        <v>3.351805739183565</v>
      </c>
      <c r="BK41" s="31" t="n">
        <v>49.68285766147484</v>
      </c>
      <c r="BL41" s="31" t="n">
        <v>12.96695790762177</v>
      </c>
      <c r="BM41" s="31" t="n">
        <v>45.3759398408199</v>
      </c>
      <c r="BN41" s="31" t="n">
        <v>11.65347521535435</v>
      </c>
      <c r="BO41" s="31" t="n">
        <v>34.06421845053974</v>
      </c>
      <c r="BP41" s="31" t="n">
        <v>45.54568239588858</v>
      </c>
      <c r="BQ41" s="31" t="n">
        <v>46.93027026634645</v>
      </c>
      <c r="BR41" s="31" t="n">
        <v>0</v>
      </c>
      <c r="BS41" s="31">
        <f>SUM(C41:BR41)</f>
        <v/>
      </c>
      <c r="BT41" s="31" t="n">
        <v>0</v>
      </c>
      <c r="BU41" s="31" t="n">
        <v>0</v>
      </c>
      <c r="BV41" s="31" t="n">
        <v>13920.22821825353</v>
      </c>
      <c r="BW41" s="31" t="n">
        <v>0</v>
      </c>
      <c r="BX41" s="31">
        <f>SUM(BT41:BW41)</f>
        <v/>
      </c>
      <c r="BY41" s="31">
        <f>BS41+BX41</f>
        <v/>
      </c>
    </row>
    <row r="42">
      <c r="A42" s="28" t="inlineStr">
        <is>
          <t>2500</t>
        </is>
      </c>
      <c r="B42" s="28" t="inlineStr">
        <is>
          <t>Fabricação de produtos de metal, exceto máquinas e equipamentos</t>
        </is>
      </c>
      <c r="C42" s="29" t="n">
        <v>312.4030174774554</v>
      </c>
      <c r="D42" s="29" t="n">
        <v>464.8096380172266</v>
      </c>
      <c r="E42" s="29" t="n">
        <v>39.5891478930462</v>
      </c>
      <c r="F42" s="29" t="n">
        <v>56.07336943251222</v>
      </c>
      <c r="G42" s="29" t="n">
        <v>1108.943483221645</v>
      </c>
      <c r="H42" s="29" t="n">
        <v>458.0654416898866</v>
      </c>
      <c r="I42" s="29" t="n">
        <v>188.1216718030441</v>
      </c>
      <c r="J42" s="29" t="n">
        <v>1815.996869017573</v>
      </c>
      <c r="K42" s="29" t="n">
        <v>74.29411511629705</v>
      </c>
      <c r="L42" s="29" t="n">
        <v>1678.130255868629</v>
      </c>
      <c r="M42" s="29" t="n">
        <v>2918.493308347676</v>
      </c>
      <c r="N42" s="29" t="n">
        <v>17.09064082318447</v>
      </c>
      <c r="O42" s="29" t="n">
        <v>69.26972146319829</v>
      </c>
      <c r="P42" s="29" t="n">
        <v>78.60475986935005</v>
      </c>
      <c r="Q42" s="29" t="n">
        <v>62.05518620210236</v>
      </c>
      <c r="R42" s="29" t="n">
        <v>337.2370341508869</v>
      </c>
      <c r="S42" s="29" t="n">
        <v>125.5658122416252</v>
      </c>
      <c r="T42" s="29" t="n">
        <v>42.01044056358528</v>
      </c>
      <c r="U42" s="29" t="n">
        <v>265.6668451980075</v>
      </c>
      <c r="V42" s="29" t="n">
        <v>46.60203103358881</v>
      </c>
      <c r="W42" s="29" t="n">
        <v>333.8247441561464</v>
      </c>
      <c r="X42" s="29" t="n">
        <v>624.7542271923325</v>
      </c>
      <c r="Y42" s="29" t="n">
        <v>743.9285542870953</v>
      </c>
      <c r="Z42" s="29" t="n">
        <v>125.3227119081339</v>
      </c>
      <c r="AA42" s="29" t="n">
        <v>233.0755061020495</v>
      </c>
      <c r="AB42" s="29" t="n">
        <v>235.3569550030097</v>
      </c>
      <c r="AC42" s="29" t="n">
        <v>1879.476956337007</v>
      </c>
      <c r="AD42" s="29" t="n">
        <v>236.3960522434504</v>
      </c>
      <c r="AE42" s="29" t="n">
        <v>6743.949777736952</v>
      </c>
      <c r="AF42" s="29" t="n">
        <v>867.319629320175</v>
      </c>
      <c r="AG42" s="29" t="n">
        <v>1960.052083096688</v>
      </c>
      <c r="AH42" s="29" t="n">
        <v>5244.38661349502</v>
      </c>
      <c r="AI42" s="29" t="n">
        <v>3345.18614977126</v>
      </c>
      <c r="AJ42" s="29" t="n">
        <v>1763.39318734782</v>
      </c>
      <c r="AK42" s="29" t="n">
        <v>2597.689776360574</v>
      </c>
      <c r="AL42" s="29" t="n">
        <v>1086.785007738813</v>
      </c>
      <c r="AM42" s="29" t="n">
        <v>2325.009390230299</v>
      </c>
      <c r="AN42" s="29" t="n">
        <v>2003.436822718483</v>
      </c>
      <c r="AO42" s="29" t="n">
        <v>412.2327760344581</v>
      </c>
      <c r="AP42" s="29" t="n">
        <v>22054.54672467216</v>
      </c>
      <c r="AQ42" s="29" t="n">
        <v>318.6792961380865</v>
      </c>
      <c r="AR42" s="29" t="n">
        <v>1411.276522028809</v>
      </c>
      <c r="AS42" s="29" t="n">
        <v>117.5009842829924</v>
      </c>
      <c r="AT42" s="29" t="n">
        <v>7.171327754713539</v>
      </c>
      <c r="AU42" s="29" t="n">
        <v>3.531226810543363</v>
      </c>
      <c r="AV42" s="29" t="n">
        <v>43.73461810790074</v>
      </c>
      <c r="AW42" s="29" t="n">
        <v>133.9197955349994</v>
      </c>
      <c r="AX42" s="29" t="n">
        <v>1554.916575304222</v>
      </c>
      <c r="AY42" s="29" t="n">
        <v>26.01805817502053</v>
      </c>
      <c r="AZ42" s="29" t="n">
        <v>21.84325700465476</v>
      </c>
      <c r="BA42" s="29" t="n">
        <v>89.93062184284265</v>
      </c>
      <c r="BB42" s="29" t="n">
        <v>30.09992558147031</v>
      </c>
      <c r="BC42" s="29" t="n">
        <v>55.59822573716587</v>
      </c>
      <c r="BD42" s="29" t="n">
        <v>315.6243300132898</v>
      </c>
      <c r="BE42" s="29" t="n">
        <v>57.76334646130879</v>
      </c>
      <c r="BF42" s="29" t="n">
        <v>35.09240219994128</v>
      </c>
      <c r="BG42" s="29" t="n">
        <v>30.33334643434757</v>
      </c>
      <c r="BH42" s="29" t="n">
        <v>21.20123415416122</v>
      </c>
      <c r="BI42" s="29" t="n">
        <v>241.4748242256864</v>
      </c>
      <c r="BJ42" s="29" t="n">
        <v>69.74228635566328</v>
      </c>
      <c r="BK42" s="29" t="n">
        <v>874.4267800475749</v>
      </c>
      <c r="BL42" s="29" t="n">
        <v>92.52361950525561</v>
      </c>
      <c r="BM42" s="29" t="n">
        <v>32.04806882863291</v>
      </c>
      <c r="BN42" s="29" t="n">
        <v>172.4987000403213</v>
      </c>
      <c r="BO42" s="29" t="n">
        <v>50.61937349702857</v>
      </c>
      <c r="BP42" s="29" t="n">
        <v>38.43539214997951</v>
      </c>
      <c r="BQ42" s="29" t="n">
        <v>104.7649613209269</v>
      </c>
      <c r="BR42" s="29" t="n">
        <v>0</v>
      </c>
      <c r="BS42" s="29">
        <f>SUM(C42:BR42)</f>
        <v/>
      </c>
      <c r="BT42" s="29" t="n">
        <v>0</v>
      </c>
      <c r="BU42" s="29" t="n">
        <v>0</v>
      </c>
      <c r="BV42" s="29" t="n">
        <v>24198.6953728871</v>
      </c>
      <c r="BW42" s="29" t="n">
        <v>0</v>
      </c>
      <c r="BX42" s="29">
        <f>SUM(BT42:BW42)</f>
        <v/>
      </c>
      <c r="BY42" s="29">
        <f>BS42+BX42</f>
        <v/>
      </c>
    </row>
    <row r="43">
      <c r="A43" s="30" t="inlineStr">
        <is>
          <t>2600</t>
        </is>
      </c>
      <c r="B43" s="30" t="inlineStr">
        <is>
          <t>Fabricação de equipamentos de informática, produtos eletrônicos e ópticos</t>
        </is>
      </c>
      <c r="C43" s="31" t="n">
        <v>2.50036380582607</v>
      </c>
      <c r="D43" s="31" t="n">
        <v>3.190330547962244</v>
      </c>
      <c r="E43" s="31" t="n">
        <v>0.7922591911713182</v>
      </c>
      <c r="F43" s="31" t="n">
        <v>6.906895827490722</v>
      </c>
      <c r="G43" s="31" t="n">
        <v>222.8332167044714</v>
      </c>
      <c r="H43" s="31" t="n">
        <v>49.14531049393642</v>
      </c>
      <c r="I43" s="31" t="n">
        <v>15.79437999630548</v>
      </c>
      <c r="J43" s="31" t="n">
        <v>45.31422654960933</v>
      </c>
      <c r="K43" s="31" t="n">
        <v>4.553053101114097</v>
      </c>
      <c r="L43" s="31" t="n">
        <v>28.17617046899201</v>
      </c>
      <c r="M43" s="31" t="n">
        <v>9.329336646941059</v>
      </c>
      <c r="N43" s="31" t="n">
        <v>1.271949805485103</v>
      </c>
      <c r="O43" s="31" t="n">
        <v>5.010932683989563</v>
      </c>
      <c r="P43" s="31" t="n">
        <v>11.00322627856082</v>
      </c>
      <c r="Q43" s="31" t="n">
        <v>7.882212314682027</v>
      </c>
      <c r="R43" s="31" t="n">
        <v>6.339617799574918</v>
      </c>
      <c r="S43" s="31" t="n">
        <v>18.97687959895246</v>
      </c>
      <c r="T43" s="31" t="n">
        <v>145.3376337443122</v>
      </c>
      <c r="U43" s="31" t="n">
        <v>4.709249724458753</v>
      </c>
      <c r="V43" s="31" t="n">
        <v>3.983970535575402</v>
      </c>
      <c r="W43" s="31" t="n">
        <v>12.72760239581277</v>
      </c>
      <c r="X43" s="31" t="n">
        <v>10.13750181142108</v>
      </c>
      <c r="Y43" s="31" t="n">
        <v>5.242965243380309</v>
      </c>
      <c r="Z43" s="31" t="n">
        <v>12.79007357024515</v>
      </c>
      <c r="AA43" s="31" t="n">
        <v>23.69801707941608</v>
      </c>
      <c r="AB43" s="31" t="n">
        <v>21.5321115583091</v>
      </c>
      <c r="AC43" s="31" t="n">
        <v>35.45071806417084</v>
      </c>
      <c r="AD43" s="31" t="n">
        <v>12.56207951028296</v>
      </c>
      <c r="AE43" s="31" t="n">
        <v>19.12902102138218</v>
      </c>
      <c r="AF43" s="31" t="n">
        <v>14449.3747358515</v>
      </c>
      <c r="AG43" s="31" t="n">
        <v>347.9155454743154</v>
      </c>
      <c r="AH43" s="31" t="n">
        <v>810.7416356028804</v>
      </c>
      <c r="AI43" s="31" t="n">
        <v>333.9378443308452</v>
      </c>
      <c r="AJ43" s="31" t="n">
        <v>111.9290212984952</v>
      </c>
      <c r="AK43" s="31" t="n">
        <v>94.24931100853362</v>
      </c>
      <c r="AL43" s="31" t="n">
        <v>54.46904307675201</v>
      </c>
      <c r="AM43" s="31" t="n">
        <v>521.4447574938415</v>
      </c>
      <c r="AN43" s="31" t="n">
        <v>198.1327384615493</v>
      </c>
      <c r="AO43" s="31" t="n">
        <v>19.01084661324278</v>
      </c>
      <c r="AP43" s="31" t="n">
        <v>665.1156770526583</v>
      </c>
      <c r="AQ43" s="31" t="n">
        <v>51.85154527950085</v>
      </c>
      <c r="AR43" s="31" t="n">
        <v>250.8069094596197</v>
      </c>
      <c r="AS43" s="31" t="n">
        <v>51.80114243751675</v>
      </c>
      <c r="AT43" s="31" t="n">
        <v>6.508432139331323</v>
      </c>
      <c r="AU43" s="31" t="n">
        <v>5.973496532663263</v>
      </c>
      <c r="AV43" s="31" t="n">
        <v>121.6105305614002</v>
      </c>
      <c r="AW43" s="31" t="n">
        <v>2.19897335652567</v>
      </c>
      <c r="AX43" s="31" t="n">
        <v>5.665792088404331</v>
      </c>
      <c r="AY43" s="31" t="n">
        <v>9.721156740150395</v>
      </c>
      <c r="AZ43" s="31" t="n">
        <v>284.6557994851436</v>
      </c>
      <c r="BA43" s="31" t="n">
        <v>268.2475592341797</v>
      </c>
      <c r="BB43" s="31" t="n">
        <v>1717.740153779627</v>
      </c>
      <c r="BC43" s="31" t="n">
        <v>329.4579705997041</v>
      </c>
      <c r="BD43" s="31" t="n">
        <v>13.83812339811505</v>
      </c>
      <c r="BE43" s="31" t="n">
        <v>308.1706116356627</v>
      </c>
      <c r="BF43" s="31" t="n">
        <v>852.6141543705</v>
      </c>
      <c r="BG43" s="31" t="n">
        <v>110.620622706082</v>
      </c>
      <c r="BH43" s="31" t="n">
        <v>44.42193664005139</v>
      </c>
      <c r="BI43" s="31" t="n">
        <v>929.4707029953029</v>
      </c>
      <c r="BJ43" s="31" t="n">
        <v>124.2022402564407</v>
      </c>
      <c r="BK43" s="31" t="n">
        <v>310.9777722363258</v>
      </c>
      <c r="BL43" s="31" t="n">
        <v>637.2475990328105</v>
      </c>
      <c r="BM43" s="31" t="n">
        <v>100.4073743297908</v>
      </c>
      <c r="BN43" s="31" t="n">
        <v>216.4812919805176</v>
      </c>
      <c r="BO43" s="31" t="n">
        <v>185.4247398554934</v>
      </c>
      <c r="BP43" s="31" t="n">
        <v>54.39754222866942</v>
      </c>
      <c r="BQ43" s="31" t="n">
        <v>648.0491757386834</v>
      </c>
      <c r="BR43" s="31" t="n">
        <v>0</v>
      </c>
      <c r="BS43" s="31">
        <f>SUM(C43:BR43)</f>
        <v/>
      </c>
      <c r="BT43" s="31" t="n">
        <v>0</v>
      </c>
      <c r="BU43" s="31" t="n">
        <v>0</v>
      </c>
      <c r="BV43" s="31" t="n">
        <v>64536.62707836895</v>
      </c>
      <c r="BW43" s="31" t="n">
        <v>0</v>
      </c>
      <c r="BX43" s="31">
        <f>SUM(BT43:BW43)</f>
        <v/>
      </c>
      <c r="BY43" s="31">
        <f>BS43+BX43</f>
        <v/>
      </c>
    </row>
    <row r="44">
      <c r="A44" s="28" t="inlineStr">
        <is>
          <t>2700</t>
        </is>
      </c>
      <c r="B44" s="28" t="inlineStr">
        <is>
          <t>Fabricação de máquinas e equipamentos elétricos</t>
        </is>
      </c>
      <c r="C44" s="29" t="n">
        <v>36.25871628754422</v>
      </c>
      <c r="D44" s="29" t="n">
        <v>73.68766725708824</v>
      </c>
      <c r="E44" s="29" t="n">
        <v>4.686161239828598</v>
      </c>
      <c r="F44" s="29" t="n">
        <v>19.82045218102567</v>
      </c>
      <c r="G44" s="29" t="n">
        <v>182.6068770735395</v>
      </c>
      <c r="H44" s="29" t="n">
        <v>45.81286166770776</v>
      </c>
      <c r="I44" s="29" t="n">
        <v>20.77544194788882</v>
      </c>
      <c r="J44" s="29" t="n">
        <v>153.0121674909868</v>
      </c>
      <c r="K44" s="29" t="n">
        <v>24.21502482607075</v>
      </c>
      <c r="L44" s="29" t="n">
        <v>149.5756779727889</v>
      </c>
      <c r="M44" s="29" t="n">
        <v>56.62736254429283</v>
      </c>
      <c r="N44" s="29" t="n">
        <v>4.783229157279804</v>
      </c>
      <c r="O44" s="29" t="n">
        <v>42.42652815797967</v>
      </c>
      <c r="P44" s="29" t="n">
        <v>17.94582551537295</v>
      </c>
      <c r="Q44" s="29" t="n">
        <v>23.24467093856558</v>
      </c>
      <c r="R44" s="29" t="n">
        <v>24.50011548208812</v>
      </c>
      <c r="S44" s="29" t="n">
        <v>72.67071967443525</v>
      </c>
      <c r="T44" s="29" t="n">
        <v>14.7684063024918</v>
      </c>
      <c r="U44" s="29" t="n">
        <v>13.53927184643158</v>
      </c>
      <c r="V44" s="29" t="n">
        <v>11.16243075639946</v>
      </c>
      <c r="W44" s="29" t="n">
        <v>91.55433587619244</v>
      </c>
      <c r="X44" s="29" t="n">
        <v>37.32577290823492</v>
      </c>
      <c r="Y44" s="29" t="n">
        <v>23.77219516353689</v>
      </c>
      <c r="Z44" s="29" t="n">
        <v>31.9709234538076</v>
      </c>
      <c r="AA44" s="29" t="n">
        <v>132.5377972114705</v>
      </c>
      <c r="AB44" s="29" t="n">
        <v>137.2975377586306</v>
      </c>
      <c r="AC44" s="29" t="n">
        <v>75.9513280218295</v>
      </c>
      <c r="AD44" s="29" t="n">
        <v>128.0742292395544</v>
      </c>
      <c r="AE44" s="29" t="n">
        <v>152.8084995407766</v>
      </c>
      <c r="AF44" s="29" t="n">
        <v>1710.569968637615</v>
      </c>
      <c r="AG44" s="29" t="n">
        <v>6433.271514539085</v>
      </c>
      <c r="AH44" s="29" t="n">
        <v>2611.777748537783</v>
      </c>
      <c r="AI44" s="29" t="n">
        <v>1062.058715928268</v>
      </c>
      <c r="AJ44" s="29" t="n">
        <v>796.1321523835674</v>
      </c>
      <c r="AK44" s="29" t="n">
        <v>397.6181971805411</v>
      </c>
      <c r="AL44" s="29" t="n">
        <v>233.0927715888958</v>
      </c>
      <c r="AM44" s="29" t="n">
        <v>1742.302386308533</v>
      </c>
      <c r="AN44" s="29" t="n">
        <v>4517.739331871124</v>
      </c>
      <c r="AO44" s="29" t="n">
        <v>148.9280624244209</v>
      </c>
      <c r="AP44" s="29" t="n">
        <v>8719.976373560279</v>
      </c>
      <c r="AQ44" s="29" t="n">
        <v>400.3761422492962</v>
      </c>
      <c r="AR44" s="29" t="n">
        <v>958.3886038198058</v>
      </c>
      <c r="AS44" s="29" t="n">
        <v>879.9508122216778</v>
      </c>
      <c r="AT44" s="29" t="n">
        <v>13.88335413932407</v>
      </c>
      <c r="AU44" s="29" t="n">
        <v>1.409340815777422</v>
      </c>
      <c r="AV44" s="29" t="n">
        <v>71.36563298034724</v>
      </c>
      <c r="AW44" s="29" t="n">
        <v>31.28966431748037</v>
      </c>
      <c r="AX44" s="29" t="n">
        <v>52.74850488597512</v>
      </c>
      <c r="AY44" s="29" t="n">
        <v>16.75269870127289</v>
      </c>
      <c r="AZ44" s="29" t="n">
        <v>58.38535050915353</v>
      </c>
      <c r="BA44" s="29" t="n">
        <v>748.1616605675368</v>
      </c>
      <c r="BB44" s="29" t="n">
        <v>25.51767149528965</v>
      </c>
      <c r="BC44" s="29" t="n">
        <v>60.41780314487136</v>
      </c>
      <c r="BD44" s="29" t="n">
        <v>369.0897788337438</v>
      </c>
      <c r="BE44" s="29" t="n">
        <v>499.0463157282358</v>
      </c>
      <c r="BF44" s="29" t="n">
        <v>66.48837582187329</v>
      </c>
      <c r="BG44" s="29" t="n">
        <v>39.43703460511904</v>
      </c>
      <c r="BH44" s="29" t="n">
        <v>32.0426972444981</v>
      </c>
      <c r="BI44" s="29" t="n">
        <v>475.7490182860341</v>
      </c>
      <c r="BJ44" s="29" t="n">
        <v>4.453979187721875</v>
      </c>
      <c r="BK44" s="29" t="n">
        <v>98.88780831584268</v>
      </c>
      <c r="BL44" s="29" t="n">
        <v>54.36396965111544</v>
      </c>
      <c r="BM44" s="29" t="n">
        <v>19.23396631792104</v>
      </c>
      <c r="BN44" s="29" t="n">
        <v>16.97848053073402</v>
      </c>
      <c r="BO44" s="29" t="n">
        <v>16.88576061033124</v>
      </c>
      <c r="BP44" s="29" t="n">
        <v>68.15265215454308</v>
      </c>
      <c r="BQ44" s="29" t="n">
        <v>648.7089366175625</v>
      </c>
      <c r="BR44" s="29" t="n">
        <v>0</v>
      </c>
      <c r="BS44" s="29">
        <f>SUM(C44:BR44)</f>
        <v/>
      </c>
      <c r="BT44" s="29" t="n">
        <v>0</v>
      </c>
      <c r="BU44" s="29" t="n">
        <v>0</v>
      </c>
      <c r="BV44" s="29" t="n">
        <v>35568.37921114361</v>
      </c>
      <c r="BW44" s="29" t="n">
        <v>0</v>
      </c>
      <c r="BX44" s="29">
        <f>SUM(BT44:BW44)</f>
        <v/>
      </c>
      <c r="BY44" s="29">
        <f>BS44+BX44</f>
        <v/>
      </c>
    </row>
    <row r="45">
      <c r="A45" s="30" t="inlineStr">
        <is>
          <t>2800</t>
        </is>
      </c>
      <c r="B45" s="30" t="inlineStr">
        <is>
          <t>Fabricação de máquinas e equipamentos mecânicos</t>
        </is>
      </c>
      <c r="C45" s="31" t="n">
        <v>23.51240192954927</v>
      </c>
      <c r="D45" s="31" t="n">
        <v>34.44280491519638</v>
      </c>
      <c r="E45" s="31" t="n">
        <v>7.219758078285906</v>
      </c>
      <c r="F45" s="31" t="n">
        <v>180.4060098478121</v>
      </c>
      <c r="G45" s="31" t="n">
        <v>2680.997674089467</v>
      </c>
      <c r="H45" s="31" t="n">
        <v>1902.138824573811</v>
      </c>
      <c r="I45" s="31" t="n">
        <v>662.7977230724616</v>
      </c>
      <c r="J45" s="31" t="n">
        <v>227.9218020002014</v>
      </c>
      <c r="K45" s="31" t="n">
        <v>20.01180666586635</v>
      </c>
      <c r="L45" s="31" t="n">
        <v>175.8581263285575</v>
      </c>
      <c r="M45" s="31" t="n">
        <v>96.23679724074283</v>
      </c>
      <c r="N45" s="31" t="n">
        <v>6.403486972568412</v>
      </c>
      <c r="O45" s="31" t="n">
        <v>22.78221405629083</v>
      </c>
      <c r="P45" s="31" t="n">
        <v>27.10932765554133</v>
      </c>
      <c r="Q45" s="31" t="n">
        <v>33.87283807534443</v>
      </c>
      <c r="R45" s="31" t="n">
        <v>71.36992498524465</v>
      </c>
      <c r="S45" s="31" t="n">
        <v>84.89246516293896</v>
      </c>
      <c r="T45" s="31" t="n">
        <v>27.75567763379852</v>
      </c>
      <c r="U45" s="31" t="n">
        <v>33.57116067302162</v>
      </c>
      <c r="V45" s="31" t="n">
        <v>18.37129614523729</v>
      </c>
      <c r="W45" s="31" t="n">
        <v>63.99790829334569</v>
      </c>
      <c r="X45" s="31" t="n">
        <v>57.82609246702645</v>
      </c>
      <c r="Y45" s="31" t="n">
        <v>34.4814823207593</v>
      </c>
      <c r="Z45" s="31" t="n">
        <v>54.02780137953889</v>
      </c>
      <c r="AA45" s="31" t="n">
        <v>162.4888601290501</v>
      </c>
      <c r="AB45" s="31" t="n">
        <v>95.05239962927541</v>
      </c>
      <c r="AC45" s="31" t="n">
        <v>195.4314392090689</v>
      </c>
      <c r="AD45" s="31" t="n">
        <v>86.6907670062462</v>
      </c>
      <c r="AE45" s="31" t="n">
        <v>298.8080524218661</v>
      </c>
      <c r="AF45" s="31" t="n">
        <v>168.0600958283914</v>
      </c>
      <c r="AG45" s="31" t="n">
        <v>637.827290668244</v>
      </c>
      <c r="AH45" s="31" t="n">
        <v>16400.94576953663</v>
      </c>
      <c r="AI45" s="31" t="n">
        <v>2013.72779109753</v>
      </c>
      <c r="AJ45" s="31" t="n">
        <v>325.2683410352402</v>
      </c>
      <c r="AK45" s="31" t="n">
        <v>828.5179781553064</v>
      </c>
      <c r="AL45" s="31" t="n">
        <v>88.05877819564202</v>
      </c>
      <c r="AM45" s="31" t="n">
        <v>6576.372033807625</v>
      </c>
      <c r="AN45" s="31" t="n">
        <v>195.2011033774904</v>
      </c>
      <c r="AO45" s="31" t="n">
        <v>76.15052581111671</v>
      </c>
      <c r="AP45" s="31" t="n">
        <v>3834.18737231101</v>
      </c>
      <c r="AQ45" s="31" t="n">
        <v>514.561065486777</v>
      </c>
      <c r="AR45" s="31" t="n">
        <v>562.3759237632829</v>
      </c>
      <c r="AS45" s="31" t="n">
        <v>263.7208950224523</v>
      </c>
      <c r="AT45" s="31" t="n">
        <v>94.34115192191932</v>
      </c>
      <c r="AU45" s="31" t="n">
        <v>8.666896410119593</v>
      </c>
      <c r="AV45" s="31" t="n">
        <v>167.976451262269</v>
      </c>
      <c r="AW45" s="31" t="n">
        <v>9.537528153283052</v>
      </c>
      <c r="AX45" s="31" t="n">
        <v>47.86588294320312</v>
      </c>
      <c r="AY45" s="31" t="n">
        <v>24.90653089075701</v>
      </c>
      <c r="AZ45" s="31" t="n">
        <v>20.11250266951022</v>
      </c>
      <c r="BA45" s="31" t="n">
        <v>168.519786259566</v>
      </c>
      <c r="BB45" s="31" t="n">
        <v>28.40887146102182</v>
      </c>
      <c r="BC45" s="31" t="n">
        <v>15.90762438047367</v>
      </c>
      <c r="BD45" s="31" t="n">
        <v>21.69132516799772</v>
      </c>
      <c r="BE45" s="31" t="n">
        <v>39.28038144856502</v>
      </c>
      <c r="BF45" s="31" t="n">
        <v>67.26181970056223</v>
      </c>
      <c r="BG45" s="31" t="n">
        <v>10.34752450144387</v>
      </c>
      <c r="BH45" s="31" t="n">
        <v>21.80251498651072</v>
      </c>
      <c r="BI45" s="31" t="n">
        <v>850.3217639876558</v>
      </c>
      <c r="BJ45" s="31" t="n">
        <v>5.856738715953561</v>
      </c>
      <c r="BK45" s="31" t="n">
        <v>107.3179967072409</v>
      </c>
      <c r="BL45" s="31" t="n">
        <v>22.27715967206633</v>
      </c>
      <c r="BM45" s="31" t="n">
        <v>5.018868130910951</v>
      </c>
      <c r="BN45" s="31" t="n">
        <v>103.9837906072061</v>
      </c>
      <c r="BO45" s="31" t="n">
        <v>18.89435775052672</v>
      </c>
      <c r="BP45" s="31" t="n">
        <v>15.98725502076303</v>
      </c>
      <c r="BQ45" s="31" t="n">
        <v>35.27510171827563</v>
      </c>
      <c r="BR45" s="31" t="n">
        <v>0</v>
      </c>
      <c r="BS45" s="31">
        <f>SUM(C45:BR45)</f>
        <v/>
      </c>
      <c r="BT45" s="31" t="n">
        <v>0</v>
      </c>
      <c r="BU45" s="31" t="n">
        <v>0</v>
      </c>
      <c r="BV45" s="31" t="n">
        <v>93740.95486573287</v>
      </c>
      <c r="BW45" s="31" t="n">
        <v>0</v>
      </c>
      <c r="BX45" s="31">
        <f>SUM(BT45:BW45)</f>
        <v/>
      </c>
      <c r="BY45" s="31">
        <f>BS45+BX45</f>
        <v/>
      </c>
    </row>
    <row r="46">
      <c r="A46" s="28" t="inlineStr">
        <is>
          <t>2991</t>
        </is>
      </c>
      <c r="B46" s="28" t="inlineStr">
        <is>
          <t>Fabricação de automóveis, caminhões e ônibus, exceto peças</t>
        </is>
      </c>
      <c r="C46" s="29" t="n">
        <v>12.03755202239431</v>
      </c>
      <c r="D46" s="29" t="n">
        <v>5.610605281444768</v>
      </c>
      <c r="E46" s="29" t="n">
        <v>1.184985215561122</v>
      </c>
      <c r="F46" s="29" t="n">
        <v>5.281572538797897</v>
      </c>
      <c r="G46" s="29" t="n">
        <v>19.06299241078054</v>
      </c>
      <c r="H46" s="29" t="n">
        <v>36.68699301837348</v>
      </c>
      <c r="I46" s="29" t="n">
        <v>6.757909786919757</v>
      </c>
      <c r="J46" s="29" t="n">
        <v>5.865324970593867</v>
      </c>
      <c r="K46" s="29" t="n">
        <v>46.88091567552359</v>
      </c>
      <c r="L46" s="29" t="n">
        <v>6.774912882008925</v>
      </c>
      <c r="M46" s="29" t="n">
        <v>9.21311014264082</v>
      </c>
      <c r="N46" s="29" t="n">
        <v>0.5181866523906055</v>
      </c>
      <c r="O46" s="29" t="n">
        <v>1.107461650527301</v>
      </c>
      <c r="P46" s="29" t="n">
        <v>0.8112928226296783</v>
      </c>
      <c r="Q46" s="29" t="n">
        <v>1.045153000644528</v>
      </c>
      <c r="R46" s="29" t="n">
        <v>1.408398802028793</v>
      </c>
      <c r="S46" s="29" t="n">
        <v>2.420305807848806</v>
      </c>
      <c r="T46" s="29" t="n">
        <v>0.4696608876537578</v>
      </c>
      <c r="U46" s="29" t="n">
        <v>0.5741513973298619</v>
      </c>
      <c r="V46" s="29" t="n">
        <v>0.502402412409653</v>
      </c>
      <c r="W46" s="29" t="n">
        <v>5.081666830630279</v>
      </c>
      <c r="X46" s="29" t="n">
        <v>19.70959005880428</v>
      </c>
      <c r="Y46" s="29" t="n">
        <v>3.437147315558649</v>
      </c>
      <c r="Z46" s="29" t="n">
        <v>7.249424958715307</v>
      </c>
      <c r="AA46" s="29" t="n">
        <v>11.4794136601224</v>
      </c>
      <c r="AB46" s="29" t="n">
        <v>19.89435421593252</v>
      </c>
      <c r="AC46" s="29" t="n">
        <v>5.129603285922178</v>
      </c>
      <c r="AD46" s="29" t="n">
        <v>6.060088978892939</v>
      </c>
      <c r="AE46" s="29" t="n">
        <v>10.53516516434223</v>
      </c>
      <c r="AF46" s="29" t="n">
        <v>58.03572402753825</v>
      </c>
      <c r="AG46" s="29" t="n">
        <v>140.7373059584647</v>
      </c>
      <c r="AH46" s="29" t="n">
        <v>254.849336472026</v>
      </c>
      <c r="AI46" s="29" t="n">
        <v>6042.606351456251</v>
      </c>
      <c r="AJ46" s="29" t="n">
        <v>163.2884380357274</v>
      </c>
      <c r="AK46" s="29" t="n">
        <v>76.86202293243524</v>
      </c>
      <c r="AL46" s="29" t="n">
        <v>8.404734692128409</v>
      </c>
      <c r="AM46" s="29" t="n">
        <v>84.65032411720694</v>
      </c>
      <c r="AN46" s="29" t="n">
        <v>118.9179050302924</v>
      </c>
      <c r="AO46" s="29" t="n">
        <v>30.18395523385522</v>
      </c>
      <c r="AP46" s="29" t="n">
        <v>283.1625494910171</v>
      </c>
      <c r="AQ46" s="29" t="n">
        <v>490.6582185565385</v>
      </c>
      <c r="AR46" s="29" t="n">
        <v>168.6276919456092</v>
      </c>
      <c r="AS46" s="29" t="n">
        <v>841.5734900768523</v>
      </c>
      <c r="AT46" s="29" t="n">
        <v>0.9220267774512436</v>
      </c>
      <c r="AU46" s="29" t="n">
        <v>0.1301390308800192</v>
      </c>
      <c r="AV46" s="29" t="n">
        <v>19.18225712415404</v>
      </c>
      <c r="AW46" s="29" t="n">
        <v>1.466377969250825</v>
      </c>
      <c r="AX46" s="29" t="n">
        <v>9.076538462415824</v>
      </c>
      <c r="AY46" s="29" t="n">
        <v>0.729777620725839</v>
      </c>
      <c r="AZ46" s="29" t="n">
        <v>3.4806791376646</v>
      </c>
      <c r="BA46" s="29" t="n">
        <v>19.90200971242392</v>
      </c>
      <c r="BB46" s="29" t="n">
        <v>2.764201679508778</v>
      </c>
      <c r="BC46" s="29" t="n">
        <v>7.772209698717705</v>
      </c>
      <c r="BD46" s="29" t="n">
        <v>11.44785510562255</v>
      </c>
      <c r="BE46" s="29" t="n">
        <v>12.95272212899866</v>
      </c>
      <c r="BF46" s="29" t="n">
        <v>37.6333824878249</v>
      </c>
      <c r="BG46" s="29" t="n">
        <v>1.893083603603372</v>
      </c>
      <c r="BH46" s="29" t="n">
        <v>38.1652294179807</v>
      </c>
      <c r="BI46" s="29" t="n">
        <v>19.09133457566174</v>
      </c>
      <c r="BJ46" s="29" t="n">
        <v>6.296812604064185</v>
      </c>
      <c r="BK46" s="29" t="n">
        <v>96.72050799701114</v>
      </c>
      <c r="BL46" s="29" t="n">
        <v>17.35905111181936</v>
      </c>
      <c r="BM46" s="29" t="n">
        <v>2.04043889189338</v>
      </c>
      <c r="BN46" s="29" t="n">
        <v>45.54638046858992</v>
      </c>
      <c r="BO46" s="29" t="n">
        <v>25.65878170152089</v>
      </c>
      <c r="BP46" s="29" t="n">
        <v>5.034835817013601</v>
      </c>
      <c r="BQ46" s="29" t="n">
        <v>12.23496443022454</v>
      </c>
      <c r="BR46" s="29" t="n">
        <v>0</v>
      </c>
      <c r="BS46" s="29">
        <f>SUM(C46:BR46)</f>
        <v/>
      </c>
      <c r="BT46" s="29" t="n">
        <v>0</v>
      </c>
      <c r="BU46" s="29" t="n">
        <v>0</v>
      </c>
      <c r="BV46" s="29" t="n">
        <v>163210.2794502652</v>
      </c>
      <c r="BW46" s="29" t="n">
        <v>0</v>
      </c>
      <c r="BX46" s="29">
        <f>SUM(BT46:BW46)</f>
        <v/>
      </c>
      <c r="BY46" s="29">
        <f>BS46+BX46</f>
        <v/>
      </c>
    </row>
    <row r="47">
      <c r="A47" s="30" t="inlineStr">
        <is>
          <t>2992</t>
        </is>
      </c>
      <c r="B47" s="30" t="inlineStr">
        <is>
          <t>Fabricação de peças e acessórios para veículos automotores</t>
        </is>
      </c>
      <c r="C47" s="31" t="n">
        <v>14.27404769292699</v>
      </c>
      <c r="D47" s="31" t="n">
        <v>10.84894095487649</v>
      </c>
      <c r="E47" s="31" t="n">
        <v>0.8784318473196546</v>
      </c>
      <c r="F47" s="31" t="n">
        <v>4.343657159177702</v>
      </c>
      <c r="G47" s="31" t="n">
        <v>45.62776556562746</v>
      </c>
      <c r="H47" s="31" t="n">
        <v>31.09923960880966</v>
      </c>
      <c r="I47" s="31" t="n">
        <v>9.206397835809149</v>
      </c>
      <c r="J47" s="31" t="n">
        <v>26.52927770919939</v>
      </c>
      <c r="K47" s="31" t="n">
        <v>2.974616828987088</v>
      </c>
      <c r="L47" s="31" t="n">
        <v>38.43122449438388</v>
      </c>
      <c r="M47" s="31" t="n">
        <v>38.00075996612394</v>
      </c>
      <c r="N47" s="31" t="n">
        <v>0.495146156358738</v>
      </c>
      <c r="O47" s="31" t="n">
        <v>18.44438684029967</v>
      </c>
      <c r="P47" s="31" t="n">
        <v>5.033747941048961</v>
      </c>
      <c r="Q47" s="31" t="n">
        <v>10.76677646067375</v>
      </c>
      <c r="R47" s="31" t="n">
        <v>5.144559704953833</v>
      </c>
      <c r="S47" s="31" t="n">
        <v>7.819824466145088</v>
      </c>
      <c r="T47" s="31" t="n">
        <v>4.106729525673494</v>
      </c>
      <c r="U47" s="31" t="n">
        <v>3.888696988895203</v>
      </c>
      <c r="V47" s="31" t="n">
        <v>1.194222406055467</v>
      </c>
      <c r="W47" s="31" t="n">
        <v>10.68745177698074</v>
      </c>
      <c r="X47" s="31" t="n">
        <v>10.60537037088898</v>
      </c>
      <c r="Y47" s="31" t="n">
        <v>13.94916867082568</v>
      </c>
      <c r="Z47" s="31" t="n">
        <v>5.447099143271454</v>
      </c>
      <c r="AA47" s="31" t="n">
        <v>66.64106142502308</v>
      </c>
      <c r="AB47" s="31" t="n">
        <v>24.07717993366921</v>
      </c>
      <c r="AC47" s="31" t="n">
        <v>47.82187318138514</v>
      </c>
      <c r="AD47" s="31" t="n">
        <v>10.19965658256896</v>
      </c>
      <c r="AE47" s="31" t="n">
        <v>134.573872140966</v>
      </c>
      <c r="AF47" s="31" t="n">
        <v>50.59671150754456</v>
      </c>
      <c r="AG47" s="31" t="n">
        <v>109.1707703878853</v>
      </c>
      <c r="AH47" s="31" t="n">
        <v>355.0023670409817</v>
      </c>
      <c r="AI47" s="31" t="n">
        <v>36021.98506730561</v>
      </c>
      <c r="AJ47" s="31" t="n">
        <v>8500.085637623188</v>
      </c>
      <c r="AK47" s="31" t="n">
        <v>122.9148005157542</v>
      </c>
      <c r="AL47" s="31" t="n">
        <v>28.44481304977441</v>
      </c>
      <c r="AM47" s="31" t="n">
        <v>147.3294651215968</v>
      </c>
      <c r="AN47" s="31" t="n">
        <v>70.38625796625819</v>
      </c>
      <c r="AO47" s="31" t="n">
        <v>11.32142583427804</v>
      </c>
      <c r="AP47" s="31" t="n">
        <v>508.5758172755241</v>
      </c>
      <c r="AQ47" s="31" t="n">
        <v>11935.19848891741</v>
      </c>
      <c r="AR47" s="31" t="n">
        <v>187.1981959481881</v>
      </c>
      <c r="AS47" s="31" t="n">
        <v>8729.751721745204</v>
      </c>
      <c r="AT47" s="31" t="n">
        <v>2.008221030205498</v>
      </c>
      <c r="AU47" s="31" t="n">
        <v>6.038920286164458</v>
      </c>
      <c r="AV47" s="31" t="n">
        <v>14.24324222172117</v>
      </c>
      <c r="AW47" s="31" t="n">
        <v>7.673262150586473</v>
      </c>
      <c r="AX47" s="31" t="n">
        <v>34.44919986774911</v>
      </c>
      <c r="AY47" s="31" t="n">
        <v>1.516169718304531</v>
      </c>
      <c r="AZ47" s="31" t="n">
        <v>2.765723062689728</v>
      </c>
      <c r="BA47" s="31" t="n">
        <v>18.51106795501152</v>
      </c>
      <c r="BB47" s="31" t="n">
        <v>6.473255577706931</v>
      </c>
      <c r="BC47" s="31" t="n">
        <v>20.8342018830606</v>
      </c>
      <c r="BD47" s="31" t="n">
        <v>16.66350392304942</v>
      </c>
      <c r="BE47" s="31" t="n">
        <v>23.25922947447049</v>
      </c>
      <c r="BF47" s="31" t="n">
        <v>41.77526420017956</v>
      </c>
      <c r="BG47" s="31" t="n">
        <v>4.115101770074061</v>
      </c>
      <c r="BH47" s="31" t="n">
        <v>162.9466035200014</v>
      </c>
      <c r="BI47" s="31" t="n">
        <v>33.29303149647668</v>
      </c>
      <c r="BJ47" s="31" t="n">
        <v>2.436145203845372</v>
      </c>
      <c r="BK47" s="31" t="n">
        <v>786.878804783536</v>
      </c>
      <c r="BL47" s="31" t="n">
        <v>240.046133104614</v>
      </c>
      <c r="BM47" s="31" t="n">
        <v>14.57076237303153</v>
      </c>
      <c r="BN47" s="31" t="n">
        <v>110.6644551942048</v>
      </c>
      <c r="BO47" s="31" t="n">
        <v>11.97053408478069</v>
      </c>
      <c r="BP47" s="31" t="n">
        <v>15.2499154051725</v>
      </c>
      <c r="BQ47" s="31" t="n">
        <v>21.70116465107163</v>
      </c>
      <c r="BR47" s="31" t="n">
        <v>0</v>
      </c>
      <c r="BS47" s="31">
        <f>SUM(C47:BR47)</f>
        <v/>
      </c>
      <c r="BT47" s="31" t="n">
        <v>0</v>
      </c>
      <c r="BU47" s="31" t="n">
        <v>0</v>
      </c>
      <c r="BV47" s="31" t="n">
        <v>11263.74656811417</v>
      </c>
      <c r="BW47" s="31" t="n">
        <v>0</v>
      </c>
      <c r="BX47" s="31">
        <f>SUM(BT47:BW47)</f>
        <v/>
      </c>
      <c r="BY47" s="31">
        <f>BS47+BX47</f>
        <v/>
      </c>
    </row>
    <row r="48">
      <c r="A48" s="28" t="inlineStr">
        <is>
          <t>3000</t>
        </is>
      </c>
      <c r="B48" s="28" t="inlineStr">
        <is>
          <t>Fabricação de outros equipamentos de transporte, exceto veículos automotores</t>
        </is>
      </c>
      <c r="C48" s="29" t="n">
        <v>1.406471594620254</v>
      </c>
      <c r="D48" s="29" t="n">
        <v>1.775674208535294</v>
      </c>
      <c r="E48" s="29" t="n">
        <v>0.4429903015679306</v>
      </c>
      <c r="F48" s="29" t="n">
        <v>3.156233689036163</v>
      </c>
      <c r="G48" s="29" t="n">
        <v>24.71887496256294</v>
      </c>
      <c r="H48" s="29" t="n">
        <v>13.4233574523445</v>
      </c>
      <c r="I48" s="29" t="n">
        <v>5.52827838318356</v>
      </c>
      <c r="J48" s="29" t="n">
        <v>39.80474584269253</v>
      </c>
      <c r="K48" s="29" t="n">
        <v>3.697202577364466</v>
      </c>
      <c r="L48" s="29" t="n">
        <v>28.14659430496872</v>
      </c>
      <c r="M48" s="29" t="n">
        <v>12.40177167363952</v>
      </c>
      <c r="N48" s="29" t="n">
        <v>1.144666959117665</v>
      </c>
      <c r="O48" s="29" t="n">
        <v>3.857677602883204</v>
      </c>
      <c r="P48" s="29" t="n">
        <v>7.102495305915935</v>
      </c>
      <c r="Q48" s="29" t="n">
        <v>6.117549682859232</v>
      </c>
      <c r="R48" s="29" t="n">
        <v>4.118449897526753</v>
      </c>
      <c r="S48" s="29" t="n">
        <v>15.57059669846747</v>
      </c>
      <c r="T48" s="29" t="n">
        <v>4.262731438002429</v>
      </c>
      <c r="U48" s="29" t="n">
        <v>64.45540530226887</v>
      </c>
      <c r="V48" s="29" t="n">
        <v>3.534525526716443</v>
      </c>
      <c r="W48" s="29" t="n">
        <v>9.669257436266951</v>
      </c>
      <c r="X48" s="29" t="n">
        <v>8.743227186872092</v>
      </c>
      <c r="Y48" s="29" t="n">
        <v>4.138302513094185</v>
      </c>
      <c r="Z48" s="29" t="n">
        <v>9.710823153992299</v>
      </c>
      <c r="AA48" s="29" t="n">
        <v>14.57051941341171</v>
      </c>
      <c r="AB48" s="29" t="n">
        <v>15.464465085692</v>
      </c>
      <c r="AC48" s="29" t="n">
        <v>31.4365133515456</v>
      </c>
      <c r="AD48" s="29" t="n">
        <v>8.191093338784585</v>
      </c>
      <c r="AE48" s="29" t="n">
        <v>29.51968786224075</v>
      </c>
      <c r="AF48" s="29" t="n">
        <v>11.41518840548288</v>
      </c>
      <c r="AG48" s="29" t="n">
        <v>26.88163545443707</v>
      </c>
      <c r="AH48" s="29" t="n">
        <v>104.18564290494</v>
      </c>
      <c r="AI48" s="29" t="n">
        <v>30.45511506218772</v>
      </c>
      <c r="AJ48" s="29" t="n">
        <v>12.38639402365625</v>
      </c>
      <c r="AK48" s="29" t="n">
        <v>8975.321440180645</v>
      </c>
      <c r="AL48" s="29" t="n">
        <v>12.51730625399555</v>
      </c>
      <c r="AM48" s="29" t="n">
        <v>1230.154652417047</v>
      </c>
      <c r="AN48" s="29" t="n">
        <v>24.71805602217929</v>
      </c>
      <c r="AO48" s="29" t="n">
        <v>4.95693202468072</v>
      </c>
      <c r="AP48" s="29" t="n">
        <v>109.1428434783279</v>
      </c>
      <c r="AQ48" s="29" t="n">
        <v>123.1321366488736</v>
      </c>
      <c r="AR48" s="29" t="n">
        <v>57.01536733014485</v>
      </c>
      <c r="AS48" s="29" t="n">
        <v>877.2218290148658</v>
      </c>
      <c r="AT48" s="29" t="n">
        <v>2.585946798814144</v>
      </c>
      <c r="AU48" s="29" t="n">
        <v>1.057163915926465</v>
      </c>
      <c r="AV48" s="29" t="n">
        <v>9.294341133106126</v>
      </c>
      <c r="AW48" s="29" t="n">
        <v>0.8524270802973236</v>
      </c>
      <c r="AX48" s="29" t="n">
        <v>6.986834399599021</v>
      </c>
      <c r="AY48" s="29" t="n">
        <v>4.775065828525316</v>
      </c>
      <c r="AZ48" s="29" t="n">
        <v>3.633668392562193</v>
      </c>
      <c r="BA48" s="29" t="n">
        <v>23.15890293763174</v>
      </c>
      <c r="BB48" s="29" t="n">
        <v>4.829671578975868</v>
      </c>
      <c r="BC48" s="29" t="n">
        <v>3.210455359289232</v>
      </c>
      <c r="BD48" s="29" t="n">
        <v>2.784838422280786</v>
      </c>
      <c r="BE48" s="29" t="n">
        <v>6.943014331926317</v>
      </c>
      <c r="BF48" s="29" t="n">
        <v>6.976683125654317</v>
      </c>
      <c r="BG48" s="29" t="n">
        <v>2.08156247061226</v>
      </c>
      <c r="BH48" s="29" t="n">
        <v>4.172697250598796</v>
      </c>
      <c r="BI48" s="29" t="n">
        <v>10.29482420031171</v>
      </c>
      <c r="BJ48" s="29" t="n">
        <v>1.107972229108017</v>
      </c>
      <c r="BK48" s="29" t="n">
        <v>231.9379845446682</v>
      </c>
      <c r="BL48" s="29" t="n">
        <v>3.155963164056647</v>
      </c>
      <c r="BM48" s="29" t="n">
        <v>1.396578015655419</v>
      </c>
      <c r="BN48" s="29" t="n">
        <v>7.569190114269441</v>
      </c>
      <c r="BO48" s="29" t="n">
        <v>19.21412337477146</v>
      </c>
      <c r="BP48" s="29" t="n">
        <v>3.441518644797128</v>
      </c>
      <c r="BQ48" s="29" t="n">
        <v>68.91571835546216</v>
      </c>
      <c r="BR48" s="29" t="n">
        <v>0</v>
      </c>
      <c r="BS48" s="29">
        <f>SUM(C48:BR48)</f>
        <v/>
      </c>
      <c r="BT48" s="29" t="n">
        <v>0</v>
      </c>
      <c r="BU48" s="29" t="n">
        <v>0</v>
      </c>
      <c r="BV48" s="29" t="n">
        <v>36351.80859780298</v>
      </c>
      <c r="BW48" s="29" t="n">
        <v>0</v>
      </c>
      <c r="BX48" s="29">
        <f>SUM(BT48:BW48)</f>
        <v/>
      </c>
      <c r="BY48" s="29">
        <f>BS48+BX48</f>
        <v/>
      </c>
    </row>
    <row r="49">
      <c r="A49" s="30" t="inlineStr">
        <is>
          <t>3180</t>
        </is>
      </c>
      <c r="B49" s="30" t="inlineStr">
        <is>
          <t>Fabricação de móveis e de produtos de indústrias diversas</t>
        </is>
      </c>
      <c r="C49" s="31" t="n">
        <v>31.30427284050262</v>
      </c>
      <c r="D49" s="31" t="n">
        <v>21.82608254399726</v>
      </c>
      <c r="E49" s="31" t="n">
        <v>6.500998510952119</v>
      </c>
      <c r="F49" s="31" t="n">
        <v>6.191613998669034</v>
      </c>
      <c r="G49" s="31" t="n">
        <v>49.70553563360394</v>
      </c>
      <c r="H49" s="31" t="n">
        <v>22.61500971769221</v>
      </c>
      <c r="I49" s="31" t="n">
        <v>6.54154251613202</v>
      </c>
      <c r="J49" s="31" t="n">
        <v>99.19472507849136</v>
      </c>
      <c r="K49" s="31" t="n">
        <v>9.400382866598759</v>
      </c>
      <c r="L49" s="31" t="n">
        <v>127.9276007507154</v>
      </c>
      <c r="M49" s="31" t="n">
        <v>65.29732474784448</v>
      </c>
      <c r="N49" s="31" t="n">
        <v>2.196094547244805</v>
      </c>
      <c r="O49" s="31" t="n">
        <v>58.676205499759</v>
      </c>
      <c r="P49" s="31" t="n">
        <v>731.9312094469279</v>
      </c>
      <c r="Q49" s="31" t="n">
        <v>178.4779357734687</v>
      </c>
      <c r="R49" s="31" t="n">
        <v>30.03320530804521</v>
      </c>
      <c r="S49" s="31" t="n">
        <v>38.73080437698975</v>
      </c>
      <c r="T49" s="31" t="n">
        <v>15.04469521932503</v>
      </c>
      <c r="U49" s="31" t="n">
        <v>9.664018812751532</v>
      </c>
      <c r="V49" s="31" t="n">
        <v>5.046032047826727</v>
      </c>
      <c r="W49" s="31" t="n">
        <v>81.98899040542189</v>
      </c>
      <c r="X49" s="31" t="n">
        <v>52.87410100082587</v>
      </c>
      <c r="Y49" s="31" t="n">
        <v>32.92691105341615</v>
      </c>
      <c r="Z49" s="31" t="n">
        <v>54.32098888258517</v>
      </c>
      <c r="AA49" s="31" t="n">
        <v>211.6496258092874</v>
      </c>
      <c r="AB49" s="31" t="n">
        <v>124.1671432502469</v>
      </c>
      <c r="AC49" s="31" t="n">
        <v>37.60156231455252</v>
      </c>
      <c r="AD49" s="31" t="n">
        <v>9.680100860543133</v>
      </c>
      <c r="AE49" s="31" t="n">
        <v>93.30064008022364</v>
      </c>
      <c r="AF49" s="31" t="n">
        <v>61.38685033281374</v>
      </c>
      <c r="AG49" s="31" t="n">
        <v>69.55132477251911</v>
      </c>
      <c r="AH49" s="31" t="n">
        <v>440.1714160392535</v>
      </c>
      <c r="AI49" s="31" t="n">
        <v>259.5588224463869</v>
      </c>
      <c r="AJ49" s="31" t="n">
        <v>347.077825437871</v>
      </c>
      <c r="AK49" s="31" t="n">
        <v>62.69628734717519</v>
      </c>
      <c r="AL49" s="31" t="n">
        <v>1897.424878594798</v>
      </c>
      <c r="AM49" s="31" t="n">
        <v>113.5895566936347</v>
      </c>
      <c r="AN49" s="31" t="n">
        <v>64.28145680135631</v>
      </c>
      <c r="AO49" s="31" t="n">
        <v>26.670475875896</v>
      </c>
      <c r="AP49" s="31" t="n">
        <v>994.8056292274103</v>
      </c>
      <c r="AQ49" s="31" t="n">
        <v>43.4183539477304</v>
      </c>
      <c r="AR49" s="31" t="n">
        <v>388.8794459605758</v>
      </c>
      <c r="AS49" s="31" t="n">
        <v>64.12111483638101</v>
      </c>
      <c r="AT49" s="31" t="n">
        <v>42.96647057339864</v>
      </c>
      <c r="AU49" s="31" t="n">
        <v>1.976627923447283</v>
      </c>
      <c r="AV49" s="31" t="n">
        <v>94.1474034182567</v>
      </c>
      <c r="AW49" s="31" t="n">
        <v>9.242044564025315</v>
      </c>
      <c r="AX49" s="31" t="n">
        <v>32.3415096852412</v>
      </c>
      <c r="AY49" s="31" t="n">
        <v>7.089569394147827</v>
      </c>
      <c r="AZ49" s="31" t="n">
        <v>34.21067684288228</v>
      </c>
      <c r="BA49" s="31" t="n">
        <v>37.90916015657921</v>
      </c>
      <c r="BB49" s="31" t="n">
        <v>44.21882924956986</v>
      </c>
      <c r="BC49" s="31" t="n">
        <v>119.7569278016602</v>
      </c>
      <c r="BD49" s="31" t="n">
        <v>84.38397168339807</v>
      </c>
      <c r="BE49" s="31" t="n">
        <v>136.2330699960257</v>
      </c>
      <c r="BF49" s="31" t="n">
        <v>216.1953334589858</v>
      </c>
      <c r="BG49" s="31" t="n">
        <v>149.9126554297328</v>
      </c>
      <c r="BH49" s="31" t="n">
        <v>273.1193939899378</v>
      </c>
      <c r="BI49" s="31" t="n">
        <v>114.1256070109358</v>
      </c>
      <c r="BJ49" s="31" t="n">
        <v>11.06838736787665</v>
      </c>
      <c r="BK49" s="31" t="n">
        <v>471.1965717350795</v>
      </c>
      <c r="BL49" s="31" t="n">
        <v>524.2652610017867</v>
      </c>
      <c r="BM49" s="31" t="n">
        <v>19.61999844440606</v>
      </c>
      <c r="BN49" s="31" t="n">
        <v>1161.605964436346</v>
      </c>
      <c r="BO49" s="31" t="n">
        <v>5357.492211848821</v>
      </c>
      <c r="BP49" s="31" t="n">
        <v>97.8452898623278</v>
      </c>
      <c r="BQ49" s="31" t="n">
        <v>71.980603090732</v>
      </c>
      <c r="BR49" s="31" t="n">
        <v>0</v>
      </c>
      <c r="BS49" s="31">
        <f>SUM(C49:BR49)</f>
        <v/>
      </c>
      <c r="BT49" s="31" t="n">
        <v>0</v>
      </c>
      <c r="BU49" s="31" t="n">
        <v>0</v>
      </c>
      <c r="BV49" s="31" t="n">
        <v>55097.30929146715</v>
      </c>
      <c r="BW49" s="31" t="n">
        <v>0</v>
      </c>
      <c r="BX49" s="31">
        <f>SUM(BT49:BW49)</f>
        <v/>
      </c>
      <c r="BY49" s="31">
        <f>BS49+BX49</f>
        <v/>
      </c>
    </row>
    <row r="50">
      <c r="A50" s="28" t="inlineStr">
        <is>
          <t>3300</t>
        </is>
      </c>
      <c r="B50" s="28" t="inlineStr">
        <is>
          <t>Manutenção, reparação e instalação de máquinas e equipamentos</t>
        </is>
      </c>
      <c r="C50" s="29" t="n">
        <v>61.79616573156004</v>
      </c>
      <c r="D50" s="29" t="n">
        <v>27.37615141717928</v>
      </c>
      <c r="E50" s="29" t="n">
        <v>80.06045037736583</v>
      </c>
      <c r="F50" s="29" t="n">
        <v>649.216266258486</v>
      </c>
      <c r="G50" s="29" t="n">
        <v>1949.648257711391</v>
      </c>
      <c r="H50" s="29" t="n">
        <v>892.6230248835176</v>
      </c>
      <c r="I50" s="29" t="n">
        <v>611.8182648954743</v>
      </c>
      <c r="J50" s="29" t="n">
        <v>884.705356617857</v>
      </c>
      <c r="K50" s="29" t="n">
        <v>492.8390586794734</v>
      </c>
      <c r="L50" s="29" t="n">
        <v>479.3809219570987</v>
      </c>
      <c r="M50" s="29" t="n">
        <v>330.3468518104023</v>
      </c>
      <c r="N50" s="29" t="n">
        <v>11.55130918745483</v>
      </c>
      <c r="O50" s="29" t="n">
        <v>136.4134388016837</v>
      </c>
      <c r="P50" s="29" t="n">
        <v>239.2510492118527</v>
      </c>
      <c r="Q50" s="29" t="n">
        <v>156.244884891143</v>
      </c>
      <c r="R50" s="29" t="n">
        <v>441.6353465824133</v>
      </c>
      <c r="S50" s="29" t="n">
        <v>1945.436051597867</v>
      </c>
      <c r="T50" s="29" t="n">
        <v>1072.00426781132</v>
      </c>
      <c r="U50" s="29" t="n">
        <v>470.966426044901</v>
      </c>
      <c r="V50" s="29" t="n">
        <v>484.8035472647601</v>
      </c>
      <c r="W50" s="29" t="n">
        <v>868.7868268914202</v>
      </c>
      <c r="X50" s="29" t="n">
        <v>429.6200314672099</v>
      </c>
      <c r="Y50" s="29" t="n">
        <v>129.8841280329742</v>
      </c>
      <c r="Z50" s="29" t="n">
        <v>494.5968543249323</v>
      </c>
      <c r="AA50" s="29" t="n">
        <v>448.1198227222673</v>
      </c>
      <c r="AB50" s="29" t="n">
        <v>2280.433979883605</v>
      </c>
      <c r="AC50" s="29" t="n">
        <v>5910.639204101546</v>
      </c>
      <c r="AD50" s="29" t="n">
        <v>1490.355471265242</v>
      </c>
      <c r="AE50" s="29" t="n">
        <v>634.2375973632221</v>
      </c>
      <c r="AF50" s="29" t="n">
        <v>101.982580418558</v>
      </c>
      <c r="AG50" s="29" t="n">
        <v>448.4459677321767</v>
      </c>
      <c r="AH50" s="29" t="n">
        <v>1459.98817816869</v>
      </c>
      <c r="AI50" s="29" t="n">
        <v>223.7168762512468</v>
      </c>
      <c r="AJ50" s="29" t="n">
        <v>518.7734890797888</v>
      </c>
      <c r="AK50" s="29" t="n">
        <v>464.4005051054286</v>
      </c>
      <c r="AL50" s="29" t="n">
        <v>587.6309305723169</v>
      </c>
      <c r="AM50" s="29" t="n">
        <v>667.678532416313</v>
      </c>
      <c r="AN50" s="29" t="n">
        <v>1266.930399679533</v>
      </c>
      <c r="AO50" s="29" t="n">
        <v>889.0909707670485</v>
      </c>
      <c r="AP50" s="29" t="n">
        <v>2223.742428688186</v>
      </c>
      <c r="AQ50" s="29" t="n">
        <v>670.1625052978859</v>
      </c>
      <c r="AR50" s="29" t="n">
        <v>3394.184998237676</v>
      </c>
      <c r="AS50" s="29" t="n">
        <v>526.3494198432973</v>
      </c>
      <c r="AT50" s="29" t="n">
        <v>604.3260836822348</v>
      </c>
      <c r="AU50" s="29" t="n">
        <v>311.1843098389049</v>
      </c>
      <c r="AV50" s="29" t="n">
        <v>2284.174646873392</v>
      </c>
      <c r="AW50" s="29" t="n">
        <v>5.844157603741357</v>
      </c>
      <c r="AX50" s="29" t="n">
        <v>200.0920207884965</v>
      </c>
      <c r="AY50" s="29" t="n">
        <v>587.9010064413267</v>
      </c>
      <c r="AZ50" s="29" t="n">
        <v>136.5405678821414</v>
      </c>
      <c r="BA50" s="29" t="n">
        <v>466.2644186688911</v>
      </c>
      <c r="BB50" s="29" t="n">
        <v>693.6551820582503</v>
      </c>
      <c r="BC50" s="29" t="n">
        <v>255.520838756131</v>
      </c>
      <c r="BD50" s="29" t="n">
        <v>84.2629795503547</v>
      </c>
      <c r="BE50" s="29" t="n">
        <v>674.1944395521157</v>
      </c>
      <c r="BF50" s="29" t="n">
        <v>178.4354447151367</v>
      </c>
      <c r="BG50" s="29" t="n">
        <v>118.462899594597</v>
      </c>
      <c r="BH50" s="29" t="n">
        <v>802.1428205974811</v>
      </c>
      <c r="BI50" s="29" t="n">
        <v>646.5426249875071</v>
      </c>
      <c r="BJ50" s="29" t="n">
        <v>174.8778826812469</v>
      </c>
      <c r="BK50" s="29" t="n">
        <v>916.2695961245495</v>
      </c>
      <c r="BL50" s="29" t="n">
        <v>101.9791861683344</v>
      </c>
      <c r="BM50" s="29" t="n">
        <v>1.559528445028293</v>
      </c>
      <c r="BN50" s="29" t="n">
        <v>834.5056995201777</v>
      </c>
      <c r="BO50" s="29" t="n">
        <v>343.9262592451503</v>
      </c>
      <c r="BP50" s="29" t="n">
        <v>510.5633317286035</v>
      </c>
      <c r="BQ50" s="29" t="n">
        <v>422.2619318852047</v>
      </c>
      <c r="BR50" s="29" t="n">
        <v>0</v>
      </c>
      <c r="BS50" s="29">
        <f>SUM(C50:BR50)</f>
        <v/>
      </c>
      <c r="BT50" s="29" t="n">
        <v>0</v>
      </c>
      <c r="BU50" s="29" t="n">
        <v>0</v>
      </c>
      <c r="BV50" s="29" t="n">
        <v>10546.31162636045</v>
      </c>
      <c r="BW50" s="29" t="n">
        <v>0</v>
      </c>
      <c r="BX50" s="29">
        <f>SUM(BT50:BW50)</f>
        <v/>
      </c>
      <c r="BY50" s="29">
        <f>BS50+BX50</f>
        <v/>
      </c>
    </row>
    <row r="51">
      <c r="A51" s="30" t="inlineStr">
        <is>
          <t>3500</t>
        </is>
      </c>
      <c r="B51" s="30" t="inlineStr">
        <is>
          <t>Energia elétrica, gás natural e outras utilidades</t>
        </is>
      </c>
      <c r="C51" s="31" t="n">
        <v>4347.176870591426</v>
      </c>
      <c r="D51" s="31" t="n">
        <v>2967.237502008702</v>
      </c>
      <c r="E51" s="31" t="n">
        <v>245.1447776406692</v>
      </c>
      <c r="F51" s="31" t="n">
        <v>458.0255008553935</v>
      </c>
      <c r="G51" s="31" t="n">
        <v>148.644112448967</v>
      </c>
      <c r="H51" s="31" t="n">
        <v>797.8921852862264</v>
      </c>
      <c r="I51" s="31" t="n">
        <v>261.091334500487</v>
      </c>
      <c r="J51" s="31" t="n">
        <v>1013.849475819144</v>
      </c>
      <c r="K51" s="31" t="n">
        <v>48.5945386173634</v>
      </c>
      <c r="L51" s="31" t="n">
        <v>2031.286953819942</v>
      </c>
      <c r="M51" s="31" t="n">
        <v>483.6689934714329</v>
      </c>
      <c r="N51" s="31" t="n">
        <v>42.49781628699053</v>
      </c>
      <c r="O51" s="31" t="n">
        <v>1035.597490514687</v>
      </c>
      <c r="P51" s="31" t="n">
        <v>172.3658426367969</v>
      </c>
      <c r="Q51" s="31" t="n">
        <v>201.3805458602524</v>
      </c>
      <c r="R51" s="31" t="n">
        <v>568.5052230398688</v>
      </c>
      <c r="S51" s="31" t="n">
        <v>1416.803194185872</v>
      </c>
      <c r="T51" s="31" t="n">
        <v>115.6478334297859</v>
      </c>
      <c r="U51" s="31" t="n">
        <v>65.03627538329307</v>
      </c>
      <c r="V51" s="31" t="n">
        <v>91.96505396600661</v>
      </c>
      <c r="W51" s="31" t="n">
        <v>3164.590080614411</v>
      </c>
      <c r="X51" s="31" t="n">
        <v>459.3111317251758</v>
      </c>
      <c r="Y51" s="31" t="n">
        <v>153.7630713129475</v>
      </c>
      <c r="Z51" s="31" t="n">
        <v>204.5436983361913</v>
      </c>
      <c r="AA51" s="31" t="n">
        <v>1488.024583611999</v>
      </c>
      <c r="AB51" s="31" t="n">
        <v>3397.425857157382</v>
      </c>
      <c r="AC51" s="31" t="n">
        <v>2135.145722147198</v>
      </c>
      <c r="AD51" s="31" t="n">
        <v>1734.8345453487</v>
      </c>
      <c r="AE51" s="31" t="n">
        <v>863.8249797560785</v>
      </c>
      <c r="AF51" s="31" t="n">
        <v>127.5649264182783</v>
      </c>
      <c r="AG51" s="31" t="n">
        <v>424.3468865747275</v>
      </c>
      <c r="AH51" s="31" t="n">
        <v>520.415057472689</v>
      </c>
      <c r="AI51" s="31" t="n">
        <v>410.2860586678709</v>
      </c>
      <c r="AJ51" s="31" t="n">
        <v>867.5541488012772</v>
      </c>
      <c r="AK51" s="31" t="n">
        <v>212.4723218382353</v>
      </c>
      <c r="AL51" s="31" t="n">
        <v>260.8015216079554</v>
      </c>
      <c r="AM51" s="31" t="n">
        <v>147.9695139132994</v>
      </c>
      <c r="AN51" s="31" t="n">
        <v>72128.83206940231</v>
      </c>
      <c r="AO51" s="31" t="n">
        <v>2024.548354926887</v>
      </c>
      <c r="AP51" s="31" t="n">
        <v>469.5000309947152</v>
      </c>
      <c r="AQ51" s="31" t="n">
        <v>973.5267087360427</v>
      </c>
      <c r="AR51" s="31" t="n">
        <v>12508.21951993298</v>
      </c>
      <c r="AS51" s="31" t="n">
        <v>1014.615450970073</v>
      </c>
      <c r="AT51" s="31" t="n">
        <v>36.16101804354711</v>
      </c>
      <c r="AU51" s="31" t="n">
        <v>23.82164990118109</v>
      </c>
      <c r="AV51" s="31" t="n">
        <v>749.7388074466903</v>
      </c>
      <c r="AW51" s="31" t="n">
        <v>867.6143165961291</v>
      </c>
      <c r="AX51" s="31" t="n">
        <v>1188.439412626928</v>
      </c>
      <c r="AY51" s="31" t="n">
        <v>124.5448945350659</v>
      </c>
      <c r="AZ51" s="31" t="n">
        <v>285.2166736604962</v>
      </c>
      <c r="BA51" s="31" t="n">
        <v>1401.153473858217</v>
      </c>
      <c r="BB51" s="31" t="n">
        <v>375.4747204956753</v>
      </c>
      <c r="BC51" s="31" t="n">
        <v>1538.685034913094</v>
      </c>
      <c r="BD51" s="31" t="n">
        <v>319.8961077920997</v>
      </c>
      <c r="BE51" s="31" t="n">
        <v>735.935870143005</v>
      </c>
      <c r="BF51" s="31" t="n">
        <v>229.1914620300364</v>
      </c>
      <c r="BG51" s="31" t="n">
        <v>145.9836124261411</v>
      </c>
      <c r="BH51" s="31" t="n">
        <v>126.0077239757883</v>
      </c>
      <c r="BI51" s="31" t="n">
        <v>4040.68755504007</v>
      </c>
      <c r="BJ51" s="31" t="n">
        <v>66.82203571084577</v>
      </c>
      <c r="BK51" s="31" t="n">
        <v>4551.750776493054</v>
      </c>
      <c r="BL51" s="31" t="n">
        <v>1556.065971033825</v>
      </c>
      <c r="BM51" s="31" t="n">
        <v>1576.678421339329</v>
      </c>
      <c r="BN51" s="31" t="n">
        <v>1145.098396602564</v>
      </c>
      <c r="BO51" s="31" t="n">
        <v>955.0981433135973</v>
      </c>
      <c r="BP51" s="31" t="n">
        <v>711.2390091045045</v>
      </c>
      <c r="BQ51" s="31" t="n">
        <v>2324.215606018681</v>
      </c>
      <c r="BR51" s="31" t="n">
        <v>0</v>
      </c>
      <c r="BS51" s="31">
        <f>SUM(C51:BR51)</f>
        <v/>
      </c>
      <c r="BT51" s="31" t="n">
        <v>0</v>
      </c>
      <c r="BU51" s="31" t="n">
        <v>0</v>
      </c>
      <c r="BV51" s="31" t="n">
        <v>64082.9515462687</v>
      </c>
      <c r="BW51" s="31" t="n">
        <v>0</v>
      </c>
      <c r="BX51" s="31">
        <f>SUM(BT51:BW51)</f>
        <v/>
      </c>
      <c r="BY51" s="31">
        <f>BS51+BX51</f>
        <v/>
      </c>
    </row>
    <row r="52">
      <c r="A52" s="28" t="inlineStr">
        <is>
          <t>3680</t>
        </is>
      </c>
      <c r="B52" s="28" t="inlineStr">
        <is>
          <t>Água, esgoto e gestão de resíduos</t>
        </is>
      </c>
      <c r="C52" s="29" t="n">
        <v>3.609644271741694</v>
      </c>
      <c r="D52" s="29" t="n">
        <v>1.055006377410555</v>
      </c>
      <c r="E52" s="29" t="n">
        <v>1.006628734683186</v>
      </c>
      <c r="F52" s="29" t="n">
        <v>29.53052149042376</v>
      </c>
      <c r="G52" s="29" t="n">
        <v>36.44240249022153</v>
      </c>
      <c r="H52" s="29" t="n">
        <v>152.1829090589324</v>
      </c>
      <c r="I52" s="29" t="n">
        <v>52.52683346588551</v>
      </c>
      <c r="J52" s="29" t="n">
        <v>125.165510121211</v>
      </c>
      <c r="K52" s="29" t="n">
        <v>57.68259479075066</v>
      </c>
      <c r="L52" s="29" t="n">
        <v>238.8835376805716</v>
      </c>
      <c r="M52" s="29" t="n">
        <v>452.2394542470819</v>
      </c>
      <c r="N52" s="29" t="n">
        <v>0.9898427327833179</v>
      </c>
      <c r="O52" s="29" t="n">
        <v>56.06716756381449</v>
      </c>
      <c r="P52" s="29" t="n">
        <v>26.90865227333421</v>
      </c>
      <c r="Q52" s="29" t="n">
        <v>20.87766244206698</v>
      </c>
      <c r="R52" s="29" t="n">
        <v>186.4578925706784</v>
      </c>
      <c r="S52" s="29" t="n">
        <v>300.7445098468579</v>
      </c>
      <c r="T52" s="29" t="n">
        <v>9.100536005928717</v>
      </c>
      <c r="U52" s="29" t="n">
        <v>344.5115029379135</v>
      </c>
      <c r="V52" s="29" t="n">
        <v>20.98875152195932</v>
      </c>
      <c r="W52" s="29" t="n">
        <v>543.4147753960207</v>
      </c>
      <c r="X52" s="29" t="n">
        <v>309.2742067835377</v>
      </c>
      <c r="Y52" s="29" t="n">
        <v>115.2000540059492</v>
      </c>
      <c r="Z52" s="29" t="n">
        <v>62.44675714337409</v>
      </c>
      <c r="AA52" s="29" t="n">
        <v>480.641583034761</v>
      </c>
      <c r="AB52" s="29" t="n">
        <v>701.9117603456147</v>
      </c>
      <c r="AC52" s="29" t="n">
        <v>3723.219140104005</v>
      </c>
      <c r="AD52" s="29" t="n">
        <v>2010.005073250705</v>
      </c>
      <c r="AE52" s="29" t="n">
        <v>153.7262202899049</v>
      </c>
      <c r="AF52" s="29" t="n">
        <v>24.88466375119409</v>
      </c>
      <c r="AG52" s="29" t="n">
        <v>55.62247552059972</v>
      </c>
      <c r="AH52" s="29" t="n">
        <v>97.80201635275674</v>
      </c>
      <c r="AI52" s="29" t="n">
        <v>95.39931493083802</v>
      </c>
      <c r="AJ52" s="29" t="n">
        <v>248.3037514674651</v>
      </c>
      <c r="AK52" s="29" t="n">
        <v>124.5482854670574</v>
      </c>
      <c r="AL52" s="29" t="n">
        <v>65.70535607133017</v>
      </c>
      <c r="AM52" s="29" t="n">
        <v>22.33145159862724</v>
      </c>
      <c r="AN52" s="29" t="n">
        <v>63.26795515249317</v>
      </c>
      <c r="AO52" s="29" t="n">
        <v>855.8508521212476</v>
      </c>
      <c r="AP52" s="29" t="n">
        <v>278.1482053560051</v>
      </c>
      <c r="AQ52" s="29" t="n">
        <v>325.5938396992181</v>
      </c>
      <c r="AR52" s="29" t="n">
        <v>3250.702976122842</v>
      </c>
      <c r="AS52" s="29" t="n">
        <v>242.2804389236294</v>
      </c>
      <c r="AT52" s="29" t="n">
        <v>8.185737825506738</v>
      </c>
      <c r="AU52" s="29" t="n">
        <v>4.746098720713921</v>
      </c>
      <c r="AV52" s="29" t="n">
        <v>596.7601898132398</v>
      </c>
      <c r="AW52" s="29" t="n">
        <v>284.4376635324546</v>
      </c>
      <c r="AX52" s="29" t="n">
        <v>952.530960778794</v>
      </c>
      <c r="AY52" s="29" t="n">
        <v>32.8875057984438</v>
      </c>
      <c r="AZ52" s="29" t="n">
        <v>48.3651164227043</v>
      </c>
      <c r="BA52" s="29" t="n">
        <v>47.43575044000139</v>
      </c>
      <c r="BB52" s="29" t="n">
        <v>85.00130451093477</v>
      </c>
      <c r="BC52" s="29" t="n">
        <v>420.4208678614593</v>
      </c>
      <c r="BD52" s="29" t="n">
        <v>333.6255605525666</v>
      </c>
      <c r="BE52" s="29" t="n">
        <v>413.1917051914252</v>
      </c>
      <c r="BF52" s="29" t="n">
        <v>63.3079074820827</v>
      </c>
      <c r="BG52" s="29" t="n">
        <v>28.50814503537443</v>
      </c>
      <c r="BH52" s="29" t="n">
        <v>41.54534048373377</v>
      </c>
      <c r="BI52" s="29" t="n">
        <v>3658.562947616119</v>
      </c>
      <c r="BJ52" s="29" t="n">
        <v>26.45219138823075</v>
      </c>
      <c r="BK52" s="29" t="n">
        <v>8722.103335659891</v>
      </c>
      <c r="BL52" s="29" t="n">
        <v>1288.903509318537</v>
      </c>
      <c r="BM52" s="29" t="n">
        <v>189.4499935238235</v>
      </c>
      <c r="BN52" s="29" t="n">
        <v>1475.481564007131</v>
      </c>
      <c r="BO52" s="29" t="n">
        <v>1422.60965871072</v>
      </c>
      <c r="BP52" s="29" t="n">
        <v>107.7269693972766</v>
      </c>
      <c r="BQ52" s="29" t="n">
        <v>1467.480245703608</v>
      </c>
      <c r="BR52" s="29" t="n">
        <v>0</v>
      </c>
      <c r="BS52" s="29">
        <f>SUM(C52:BR52)</f>
        <v/>
      </c>
      <c r="BT52" s="29" t="n">
        <v>0</v>
      </c>
      <c r="BU52" s="29" t="n">
        <v>0</v>
      </c>
      <c r="BV52" s="29" t="n">
        <v>22974.0270167118</v>
      </c>
      <c r="BW52" s="29" t="n">
        <v>0</v>
      </c>
      <c r="BX52" s="29">
        <f>SUM(BT52:BW52)</f>
        <v/>
      </c>
      <c r="BY52" s="29">
        <f>BS52+BX52</f>
        <v/>
      </c>
    </row>
    <row r="53">
      <c r="A53" s="30" t="inlineStr">
        <is>
          <t>4180</t>
        </is>
      </c>
      <c r="B53" s="30" t="inlineStr">
        <is>
          <t>Construção</t>
        </is>
      </c>
      <c r="C53" s="31" t="n">
        <v>73.88040247893983</v>
      </c>
      <c r="D53" s="31" t="n">
        <v>157.8769784511471</v>
      </c>
      <c r="E53" s="31" t="n">
        <v>9.790781958757677</v>
      </c>
      <c r="F53" s="31" t="n">
        <v>5.516712667554309</v>
      </c>
      <c r="G53" s="31" t="n">
        <v>2203.099178309022</v>
      </c>
      <c r="H53" s="31" t="n">
        <v>1058.462422039561</v>
      </c>
      <c r="I53" s="31" t="n">
        <v>280.6864654986557</v>
      </c>
      <c r="J53" s="31" t="n">
        <v>6.682591974183847</v>
      </c>
      <c r="K53" s="31" t="n">
        <v>8.101479667365959</v>
      </c>
      <c r="L53" s="31" t="n">
        <v>17.10375028266647</v>
      </c>
      <c r="M53" s="31" t="n">
        <v>2.866948984781942</v>
      </c>
      <c r="N53" s="31" t="n">
        <v>0.4543012197010011</v>
      </c>
      <c r="O53" s="31" t="n">
        <v>24.97903954043994</v>
      </c>
      <c r="P53" s="31" t="n">
        <v>3.675333544267732</v>
      </c>
      <c r="Q53" s="31" t="n">
        <v>1.219969550588445</v>
      </c>
      <c r="R53" s="31" t="n">
        <v>0.9115861347055926</v>
      </c>
      <c r="S53" s="31" t="n">
        <v>22.38908705050253</v>
      </c>
      <c r="T53" s="31" t="n">
        <v>18.83652206322464</v>
      </c>
      <c r="U53" s="31" t="n">
        <v>22.9971390478122</v>
      </c>
      <c r="V53" s="31" t="n">
        <v>23.14623281239417</v>
      </c>
      <c r="W53" s="31" t="n">
        <v>74.98201421709464</v>
      </c>
      <c r="X53" s="31" t="n">
        <v>4.996389783199386</v>
      </c>
      <c r="Y53" s="31" t="n">
        <v>1.947192870275478</v>
      </c>
      <c r="Z53" s="31" t="n">
        <v>3.180787020028773</v>
      </c>
      <c r="AA53" s="31" t="n">
        <v>6.488927314905731</v>
      </c>
      <c r="AB53" s="31" t="n">
        <v>29.79408832787178</v>
      </c>
      <c r="AC53" s="31" t="n">
        <v>98.38513246266209</v>
      </c>
      <c r="AD53" s="31" t="n">
        <v>1396.424749566762</v>
      </c>
      <c r="AE53" s="31" t="n">
        <v>58.3503958755682</v>
      </c>
      <c r="AF53" s="31" t="n">
        <v>82.54734616085565</v>
      </c>
      <c r="AG53" s="31" t="n">
        <v>13.42746433113571</v>
      </c>
      <c r="AH53" s="31" t="n">
        <v>91.98763138255883</v>
      </c>
      <c r="AI53" s="31" t="n">
        <v>264.5401679558424</v>
      </c>
      <c r="AJ53" s="31" t="n">
        <v>27.9016039443459</v>
      </c>
      <c r="AK53" s="31" t="n">
        <v>231.9523169605548</v>
      </c>
      <c r="AL53" s="31" t="n">
        <v>17.30026484258828</v>
      </c>
      <c r="AM53" s="31" t="n">
        <v>5.006467615596491</v>
      </c>
      <c r="AN53" s="31" t="n">
        <v>13.38229841649397</v>
      </c>
      <c r="AO53" s="31" t="n">
        <v>3806.504151028435</v>
      </c>
      <c r="AP53" s="31" t="n">
        <v>64439.69896907336</v>
      </c>
      <c r="AQ53" s="31" t="n">
        <v>534.7266476498122</v>
      </c>
      <c r="AR53" s="31" t="n">
        <v>921.7435119029409</v>
      </c>
      <c r="AS53" s="31" t="n">
        <v>283.2325802746138</v>
      </c>
      <c r="AT53" s="31" t="n">
        <v>10.15243633566084</v>
      </c>
      <c r="AU53" s="31" t="n">
        <v>17.09827611659974</v>
      </c>
      <c r="AV53" s="31" t="n">
        <v>1251.850875928127</v>
      </c>
      <c r="AW53" s="31" t="n">
        <v>274.0741630086532</v>
      </c>
      <c r="AX53" s="31" t="n">
        <v>381.1950107805608</v>
      </c>
      <c r="AY53" s="31" t="n">
        <v>18.53512502602845</v>
      </c>
      <c r="AZ53" s="31" t="n">
        <v>241.5836428678165</v>
      </c>
      <c r="BA53" s="31" t="n">
        <v>4828.449023739302</v>
      </c>
      <c r="BB53" s="31" t="n">
        <v>783.3065166709364</v>
      </c>
      <c r="BC53" s="31" t="n">
        <v>1526.478668815622</v>
      </c>
      <c r="BD53" s="31" t="n">
        <v>1497.477405086185</v>
      </c>
      <c r="BE53" s="31" t="n">
        <v>269.2950927160223</v>
      </c>
      <c r="BF53" s="31" t="n">
        <v>759.7364144095523</v>
      </c>
      <c r="BG53" s="31" t="n">
        <v>12.32403928999812</v>
      </c>
      <c r="BH53" s="31" t="n">
        <v>197.546544439438</v>
      </c>
      <c r="BI53" s="31" t="n">
        <v>2583.122496355897</v>
      </c>
      <c r="BJ53" s="31" t="n">
        <v>11.16782427022726</v>
      </c>
      <c r="BK53" s="31" t="n">
        <v>12355.30811533465</v>
      </c>
      <c r="BL53" s="31" t="n">
        <v>1341.383190243142</v>
      </c>
      <c r="BM53" s="31" t="n">
        <v>381.8440368189616</v>
      </c>
      <c r="BN53" s="31" t="n">
        <v>3319.139831747058</v>
      </c>
      <c r="BO53" s="31" t="n">
        <v>19.28602975347847</v>
      </c>
      <c r="BP53" s="31" t="n">
        <v>144.3863186939062</v>
      </c>
      <c r="BQ53" s="31" t="n">
        <v>378.6425483135775</v>
      </c>
      <c r="BR53" s="31" t="n">
        <v>0</v>
      </c>
      <c r="BS53" s="31">
        <f>SUM(C53:BR53)</f>
        <v/>
      </c>
      <c r="BT53" s="31" t="n">
        <v>0</v>
      </c>
      <c r="BU53" s="31" t="n">
        <v>0</v>
      </c>
      <c r="BV53" s="31" t="n">
        <v>553374.4383509848</v>
      </c>
      <c r="BW53" s="31" t="n">
        <v>0</v>
      </c>
      <c r="BX53" s="31">
        <f>SUM(BT53:BW53)</f>
        <v/>
      </c>
      <c r="BY53" s="31">
        <f>BS53+BX53</f>
        <v/>
      </c>
    </row>
    <row r="54">
      <c r="A54" s="28" t="inlineStr">
        <is>
          <t>4500</t>
        </is>
      </c>
      <c r="B54" s="28" t="inlineStr">
        <is>
          <t>Comércio e reparação de veículos automotores e motocicletas</t>
        </is>
      </c>
      <c r="C54" s="29" t="n">
        <v>430.9080830149374</v>
      </c>
      <c r="D54" s="29" t="n">
        <v>94.78652076906478</v>
      </c>
      <c r="E54" s="29" t="n">
        <v>49.90102162189591</v>
      </c>
      <c r="F54" s="29" t="n">
        <v>205.6872542208204</v>
      </c>
      <c r="G54" s="29" t="n">
        <v>228.7764489275417</v>
      </c>
      <c r="H54" s="29" t="n">
        <v>1252.429137669874</v>
      </c>
      <c r="I54" s="29" t="n">
        <v>168.0756425044745</v>
      </c>
      <c r="J54" s="29" t="n">
        <v>30.54697640193074</v>
      </c>
      <c r="K54" s="29" t="n">
        <v>20.27520113182878</v>
      </c>
      <c r="L54" s="29" t="n">
        <v>56.81713669746274</v>
      </c>
      <c r="M54" s="29" t="n">
        <v>74.98941474549477</v>
      </c>
      <c r="N54" s="29" t="n">
        <v>0.6752691656650851</v>
      </c>
      <c r="O54" s="29" t="n">
        <v>10.15091303998477</v>
      </c>
      <c r="P54" s="29" t="n">
        <v>2.444158722038031</v>
      </c>
      <c r="Q54" s="29" t="n">
        <v>8.384130693310203</v>
      </c>
      <c r="R54" s="29" t="n">
        <v>2.307983381943184</v>
      </c>
      <c r="S54" s="29" t="n">
        <v>11.30887581202031</v>
      </c>
      <c r="T54" s="29" t="n">
        <v>2.323416434419208</v>
      </c>
      <c r="U54" s="29" t="n">
        <v>7.680750044699618</v>
      </c>
      <c r="V54" s="29" t="n">
        <v>12.56182550910804</v>
      </c>
      <c r="W54" s="29" t="n">
        <v>8.839883033272912</v>
      </c>
      <c r="X54" s="29" t="n">
        <v>26.30094162957061</v>
      </c>
      <c r="Y54" s="29" t="n">
        <v>2.894654224148308</v>
      </c>
      <c r="Z54" s="29" t="n">
        <v>85.97197998081626</v>
      </c>
      <c r="AA54" s="29" t="n">
        <v>381.7552781590712</v>
      </c>
      <c r="AB54" s="29" t="n">
        <v>657.7985170882702</v>
      </c>
      <c r="AC54" s="29" t="n">
        <v>22.8565611705142</v>
      </c>
      <c r="AD54" s="29" t="n">
        <v>96.85512849414967</v>
      </c>
      <c r="AE54" s="29" t="n">
        <v>14.54452506874118</v>
      </c>
      <c r="AF54" s="29" t="n">
        <v>1032.149383583185</v>
      </c>
      <c r="AG54" s="29" t="n">
        <v>68.03178160283807</v>
      </c>
      <c r="AH54" s="29" t="n">
        <v>5457.528804123235</v>
      </c>
      <c r="AI54" s="29" t="n">
        <v>1198.665042641545</v>
      </c>
      <c r="AJ54" s="29" t="n">
        <v>110.5963735971888</v>
      </c>
      <c r="AK54" s="29" t="n">
        <v>9.018429046750683</v>
      </c>
      <c r="AL54" s="29" t="n">
        <v>80.72525698115389</v>
      </c>
      <c r="AM54" s="29" t="n">
        <v>120.2580799241773</v>
      </c>
      <c r="AN54" s="29" t="n">
        <v>660.2942760546675</v>
      </c>
      <c r="AO54" s="29" t="n">
        <v>1308.848201417275</v>
      </c>
      <c r="AP54" s="29" t="n">
        <v>1300.901779053397</v>
      </c>
      <c r="AQ54" s="29" t="n">
        <v>3170.760462005793</v>
      </c>
      <c r="AR54" s="29" t="n">
        <v>6615.365552381532</v>
      </c>
      <c r="AS54" s="29" t="n">
        <v>11982.53560246545</v>
      </c>
      <c r="AT54" s="29" t="n">
        <v>22.81786982140434</v>
      </c>
      <c r="AU54" s="29" t="n">
        <v>45.77882356629735</v>
      </c>
      <c r="AV54" s="29" t="n">
        <v>816.6452690018796</v>
      </c>
      <c r="AW54" s="29" t="n">
        <v>1.433951752102486</v>
      </c>
      <c r="AX54" s="29" t="n">
        <v>201.2269185681296</v>
      </c>
      <c r="AY54" s="29" t="n">
        <v>24.37115249789267</v>
      </c>
      <c r="AZ54" s="29" t="n">
        <v>121.2148091658318</v>
      </c>
      <c r="BA54" s="29" t="n">
        <v>110.2091312382217</v>
      </c>
      <c r="BB54" s="29" t="n">
        <v>26.9702868348088</v>
      </c>
      <c r="BC54" s="29" t="n">
        <v>224.9185594460868</v>
      </c>
      <c r="BD54" s="29" t="n">
        <v>66.10568700756174</v>
      </c>
      <c r="BE54" s="29" t="n">
        <v>7.707623298688982</v>
      </c>
      <c r="BF54" s="29" t="n">
        <v>212.5027769449035</v>
      </c>
      <c r="BG54" s="29" t="n">
        <v>41.05860855356816</v>
      </c>
      <c r="BH54" s="29" t="n">
        <v>1736.335174683864</v>
      </c>
      <c r="BI54" s="29" t="n">
        <v>141.8591264240331</v>
      </c>
      <c r="BJ54" s="29" t="n">
        <v>307.4232057876019</v>
      </c>
      <c r="BK54" s="29" t="n">
        <v>3465.213992819122</v>
      </c>
      <c r="BL54" s="29" t="n">
        <v>643.0424059213254</v>
      </c>
      <c r="BM54" s="29" t="n">
        <v>20.32384886105678</v>
      </c>
      <c r="BN54" s="29" t="n">
        <v>2181.111328434976</v>
      </c>
      <c r="BO54" s="29" t="n">
        <v>1239.509968788003</v>
      </c>
      <c r="BP54" s="29" t="n">
        <v>99.5557164010809</v>
      </c>
      <c r="BQ54" s="29" t="n">
        <v>75.36851413570648</v>
      </c>
      <c r="BR54" s="29" t="n">
        <v>0</v>
      </c>
      <c r="BS54" s="29">
        <f>SUM(C54:BR54)</f>
        <v/>
      </c>
      <c r="BT54" s="29" t="n">
        <v>0</v>
      </c>
      <c r="BU54" s="29" t="n">
        <v>0</v>
      </c>
      <c r="BV54" s="29" t="n">
        <v>100964.7506232543</v>
      </c>
      <c r="BW54" s="29" t="n">
        <v>0</v>
      </c>
      <c r="BX54" s="29">
        <f>SUM(BT54:BW54)</f>
        <v/>
      </c>
      <c r="BY54" s="29">
        <f>BS54+BX54</f>
        <v/>
      </c>
    </row>
    <row r="55">
      <c r="A55" s="30" t="inlineStr">
        <is>
          <t>4680</t>
        </is>
      </c>
      <c r="B55" s="30" t="inlineStr">
        <is>
          <t>Comércio por atacado e a varejo, exceto veículos automotores</t>
        </is>
      </c>
      <c r="C55" s="31" t="n">
        <v>453.1318022480629</v>
      </c>
      <c r="D55" s="31" t="n">
        <v>509.7550464768033</v>
      </c>
      <c r="E55" s="31" t="n">
        <v>29.45207284076063</v>
      </c>
      <c r="F55" s="31" t="n">
        <v>696.9709664458245</v>
      </c>
      <c r="G55" s="31" t="n">
        <v>1622.006086887224</v>
      </c>
      <c r="H55" s="31" t="n">
        <v>1258.861821810068</v>
      </c>
      <c r="I55" s="31" t="n">
        <v>830.3438288076122</v>
      </c>
      <c r="J55" s="31" t="n">
        <v>107516.2778148503</v>
      </c>
      <c r="K55" s="31" t="n">
        <v>5971.707364143977</v>
      </c>
      <c r="L55" s="31" t="n">
        <v>68451.7542910851</v>
      </c>
      <c r="M55" s="31" t="n">
        <v>3449.52660836873</v>
      </c>
      <c r="N55" s="31" t="n">
        <v>3280.929149412106</v>
      </c>
      <c r="O55" s="31" t="n">
        <v>10506.01269965388</v>
      </c>
      <c r="P55" s="31" t="n">
        <v>12644.0358493223</v>
      </c>
      <c r="Q55" s="31" t="n">
        <v>16710.4313491788</v>
      </c>
      <c r="R55" s="31" t="n">
        <v>4563.940694070218</v>
      </c>
      <c r="S55" s="31" t="n">
        <v>28655.42272173016</v>
      </c>
      <c r="T55" s="31" t="n">
        <v>1463.662093653191</v>
      </c>
      <c r="U55" s="31" t="n">
        <v>10616.06720913987</v>
      </c>
      <c r="V55" s="31" t="n">
        <v>6341.407080028749</v>
      </c>
      <c r="W55" s="31" t="n">
        <v>13293.64354524122</v>
      </c>
      <c r="X55" s="31" t="n">
        <v>17723.14666330574</v>
      </c>
      <c r="Y55" s="31" t="n">
        <v>1628.648517948463</v>
      </c>
      <c r="Z55" s="31" t="n">
        <v>21977.50819584301</v>
      </c>
      <c r="AA55" s="31" t="n">
        <v>27996.92714324725</v>
      </c>
      <c r="AB55" s="31" t="n">
        <v>20859.63966295995</v>
      </c>
      <c r="AC55" s="31" t="n">
        <v>22454.77966355825</v>
      </c>
      <c r="AD55" s="31" t="n">
        <v>7075.029384303809</v>
      </c>
      <c r="AE55" s="31" t="n">
        <v>23250.68355597272</v>
      </c>
      <c r="AF55" s="31" t="n">
        <v>15705.1218155035</v>
      </c>
      <c r="AG55" s="31" t="n">
        <v>18224.01301813499</v>
      </c>
      <c r="AH55" s="31" t="n">
        <v>49525.38453948957</v>
      </c>
      <c r="AI55" s="31" t="n">
        <v>2170.386789037042</v>
      </c>
      <c r="AJ55" s="31" t="n">
        <v>656.2106161575074</v>
      </c>
      <c r="AK55" s="31" t="n">
        <v>2992.678927113162</v>
      </c>
      <c r="AL55" s="31" t="n">
        <v>11236.91192505256</v>
      </c>
      <c r="AM55" s="31" t="n">
        <v>363.0136291919362</v>
      </c>
      <c r="AN55" s="31" t="n">
        <v>464.9918865660957</v>
      </c>
      <c r="AO55" s="31" t="n">
        <v>341.2226259658987</v>
      </c>
      <c r="AP55" s="31" t="n">
        <v>1249.685254776945</v>
      </c>
      <c r="AQ55" s="31" t="n">
        <v>237.0674982223717</v>
      </c>
      <c r="AR55" s="31" t="n">
        <v>93423.0883662319</v>
      </c>
      <c r="AS55" s="31" t="n">
        <v>714.6647333610443</v>
      </c>
      <c r="AT55" s="31" t="n">
        <v>143.9635545421982</v>
      </c>
      <c r="AU55" s="31" t="n">
        <v>197.2995261905346</v>
      </c>
      <c r="AV55" s="31" t="n">
        <v>502.6742092836167</v>
      </c>
      <c r="AW55" s="31" t="n">
        <v>96.16334264132253</v>
      </c>
      <c r="AX55" s="31" t="n">
        <v>1622.08295553651</v>
      </c>
      <c r="AY55" s="31" t="n">
        <v>9700.9263320604</v>
      </c>
      <c r="AZ55" s="31" t="n">
        <v>10072.8621343005</v>
      </c>
      <c r="BA55" s="31" t="n">
        <v>67098.24540003244</v>
      </c>
      <c r="BB55" s="31" t="n">
        <v>5971.411785305581</v>
      </c>
      <c r="BC55" s="31" t="n">
        <v>1438.095666753406</v>
      </c>
      <c r="BD55" s="31" t="n">
        <v>118.9338693045406</v>
      </c>
      <c r="BE55" s="31" t="n">
        <v>6797.024831353472</v>
      </c>
      <c r="BF55" s="31" t="n">
        <v>926.6897228866267</v>
      </c>
      <c r="BG55" s="31" t="n">
        <v>3094.171758958483</v>
      </c>
      <c r="BH55" s="31" t="n">
        <v>203.5517301606351</v>
      </c>
      <c r="BI55" s="31" t="n">
        <v>5303.719150222589</v>
      </c>
      <c r="BJ55" s="31" t="n">
        <v>796.574589099818</v>
      </c>
      <c r="BK55" s="31" t="n">
        <v>1032.599922944246</v>
      </c>
      <c r="BL55" s="31" t="n">
        <v>422.7472244467268</v>
      </c>
      <c r="BM55" s="31" t="n">
        <v>497.4489248142141</v>
      </c>
      <c r="BN55" s="31" t="n">
        <v>821.2500792144181</v>
      </c>
      <c r="BO55" s="31" t="n">
        <v>1066.013541503998</v>
      </c>
      <c r="BP55" s="31" t="n">
        <v>529.0313717350377</v>
      </c>
      <c r="BQ55" s="31" t="n">
        <v>640.5107108754983</v>
      </c>
      <c r="BR55" s="31" t="n">
        <v>0</v>
      </c>
      <c r="BS55" s="31">
        <f>SUM(C55:BR55)</f>
        <v/>
      </c>
      <c r="BT55" s="31" t="n">
        <v>0</v>
      </c>
      <c r="BU55" s="31" t="n">
        <v>0</v>
      </c>
      <c r="BV55" s="31" t="n">
        <v>154394.025992684</v>
      </c>
      <c r="BW55" s="31" t="n">
        <v>0</v>
      </c>
      <c r="BX55" s="31">
        <f>SUM(BT55:BW55)</f>
        <v/>
      </c>
      <c r="BY55" s="31">
        <f>BS55+BX55</f>
        <v/>
      </c>
    </row>
    <row r="56">
      <c r="A56" s="28" t="inlineStr">
        <is>
          <t>4900</t>
        </is>
      </c>
      <c r="B56" s="28" t="inlineStr">
        <is>
          <t>Transporte terrestre</t>
        </is>
      </c>
      <c r="C56" s="29" t="n">
        <v>5285.031043840007</v>
      </c>
      <c r="D56" s="29" t="n">
        <v>925.5378854455228</v>
      </c>
      <c r="E56" s="29" t="n">
        <v>591.5789635431796</v>
      </c>
      <c r="F56" s="29" t="n">
        <v>1158.194263700623</v>
      </c>
      <c r="G56" s="29" t="n">
        <v>6876.458220069314</v>
      </c>
      <c r="H56" s="29" t="n">
        <v>2728.688606021059</v>
      </c>
      <c r="I56" s="29" t="n">
        <v>931.7660086557398</v>
      </c>
      <c r="J56" s="29" t="n">
        <v>11769.51708792789</v>
      </c>
      <c r="K56" s="29" t="n">
        <v>2658.560648918128</v>
      </c>
      <c r="L56" s="29" t="n">
        <v>15299.23109260767</v>
      </c>
      <c r="M56" s="29" t="n">
        <v>3880.083638044758</v>
      </c>
      <c r="N56" s="29" t="n">
        <v>222.6005381249316</v>
      </c>
      <c r="O56" s="29" t="n">
        <v>1191.988970232095</v>
      </c>
      <c r="P56" s="29" t="n">
        <v>892.6985221863443</v>
      </c>
      <c r="Q56" s="29" t="n">
        <v>1247.223690731037</v>
      </c>
      <c r="R56" s="29" t="n">
        <v>1093.965249780403</v>
      </c>
      <c r="S56" s="29" t="n">
        <v>3242.558530277414</v>
      </c>
      <c r="T56" s="29" t="n">
        <v>444.3616452311201</v>
      </c>
      <c r="U56" s="29" t="n">
        <v>4690.772862287459</v>
      </c>
      <c r="V56" s="29" t="n">
        <v>1060.80227419406</v>
      </c>
      <c r="W56" s="29" t="n">
        <v>6116.332881524667</v>
      </c>
      <c r="X56" s="29" t="n">
        <v>2260.357036778563</v>
      </c>
      <c r="Y56" s="29" t="n">
        <v>1947.640679503595</v>
      </c>
      <c r="Z56" s="29" t="n">
        <v>3442.874165293044</v>
      </c>
      <c r="AA56" s="29" t="n">
        <v>3408.624743896805</v>
      </c>
      <c r="AB56" s="29" t="n">
        <v>3716.859252078373</v>
      </c>
      <c r="AC56" s="29" t="n">
        <v>5231.284590477315</v>
      </c>
      <c r="AD56" s="29" t="n">
        <v>686.4226995395969</v>
      </c>
      <c r="AE56" s="29" t="n">
        <v>3112.346297315134</v>
      </c>
      <c r="AF56" s="29" t="n">
        <v>2016.448875082534</v>
      </c>
      <c r="AG56" s="29" t="n">
        <v>1744.042639189546</v>
      </c>
      <c r="AH56" s="29" t="n">
        <v>2823.426484901351</v>
      </c>
      <c r="AI56" s="29" t="n">
        <v>6063.669399951638</v>
      </c>
      <c r="AJ56" s="29" t="n">
        <v>1903.953151271921</v>
      </c>
      <c r="AK56" s="29" t="n">
        <v>871.0227920760431</v>
      </c>
      <c r="AL56" s="29" t="n">
        <v>1723.152856575627</v>
      </c>
      <c r="AM56" s="29" t="n">
        <v>127.5451760136536</v>
      </c>
      <c r="AN56" s="29" t="n">
        <v>4723.285372790585</v>
      </c>
      <c r="AO56" s="29" t="n">
        <v>405.713304038825</v>
      </c>
      <c r="AP56" s="29" t="n">
        <v>3211.156960641936</v>
      </c>
      <c r="AQ56" s="29" t="n">
        <v>1818.786794283488</v>
      </c>
      <c r="AR56" s="29" t="n">
        <v>48434.32856208122</v>
      </c>
      <c r="AS56" s="29" t="n">
        <v>43826.36023301516</v>
      </c>
      <c r="AT56" s="29" t="n">
        <v>296.7203034782784</v>
      </c>
      <c r="AU56" s="29" t="n">
        <v>186.8852947584517</v>
      </c>
      <c r="AV56" s="29" t="n">
        <v>6216.76346465635</v>
      </c>
      <c r="AW56" s="29" t="n">
        <v>87.74252665110329</v>
      </c>
      <c r="AX56" s="29" t="n">
        <v>1145.487052920155</v>
      </c>
      <c r="AY56" s="29" t="n">
        <v>778.1230049546524</v>
      </c>
      <c r="AZ56" s="29" t="n">
        <v>488.6721380361928</v>
      </c>
      <c r="BA56" s="29" t="n">
        <v>834.0341503603371</v>
      </c>
      <c r="BB56" s="29" t="n">
        <v>528.2959020542816</v>
      </c>
      <c r="BC56" s="29" t="n">
        <v>2143.075872522963</v>
      </c>
      <c r="BD56" s="29" t="n">
        <v>162.4617342665916</v>
      </c>
      <c r="BE56" s="29" t="n">
        <v>1172.839112745152</v>
      </c>
      <c r="BF56" s="29" t="n">
        <v>1215.073591977901</v>
      </c>
      <c r="BG56" s="29" t="n">
        <v>305.3875268816832</v>
      </c>
      <c r="BH56" s="29" t="n">
        <v>635.8570207025624</v>
      </c>
      <c r="BI56" s="29" t="n">
        <v>571.5197845757186</v>
      </c>
      <c r="BJ56" s="29" t="n">
        <v>137.2684810431252</v>
      </c>
      <c r="BK56" s="29" t="n">
        <v>4506.205568713939</v>
      </c>
      <c r="BL56" s="29" t="n">
        <v>2118.867371250207</v>
      </c>
      <c r="BM56" s="29" t="n">
        <v>1216.557484191302</v>
      </c>
      <c r="BN56" s="29" t="n">
        <v>1318.836888645343</v>
      </c>
      <c r="BO56" s="29" t="n">
        <v>19.92104739132818</v>
      </c>
      <c r="BP56" s="29" t="n">
        <v>319.2442646974104</v>
      </c>
      <c r="BQ56" s="29" t="n">
        <v>2182.668313372645</v>
      </c>
      <c r="BR56" s="29" t="n">
        <v>0</v>
      </c>
      <c r="BS56" s="29">
        <f>SUM(C56:BR56)</f>
        <v/>
      </c>
      <c r="BT56" s="29" t="n">
        <v>0</v>
      </c>
      <c r="BU56" s="29" t="n">
        <v>0</v>
      </c>
      <c r="BV56" s="29" t="n">
        <v>79579.14844985472</v>
      </c>
      <c r="BW56" s="29" t="n">
        <v>0</v>
      </c>
      <c r="BX56" s="29">
        <f>SUM(BT56:BW56)</f>
        <v/>
      </c>
      <c r="BY56" s="29">
        <f>BS56+BX56</f>
        <v/>
      </c>
    </row>
    <row r="57">
      <c r="A57" s="30" t="inlineStr">
        <is>
          <t>5000</t>
        </is>
      </c>
      <c r="B57" s="30" t="inlineStr">
        <is>
          <t>Transporte aquaviário</t>
        </is>
      </c>
      <c r="C57" s="31" t="n">
        <v>0.01722702064952978</v>
      </c>
      <c r="D57" s="31" t="n">
        <v>0.01102776176144177</v>
      </c>
      <c r="E57" s="31" t="n">
        <v>0.01514002980564451</v>
      </c>
      <c r="F57" s="31" t="n">
        <v>0.0588527564275759</v>
      </c>
      <c r="G57" s="31" t="n">
        <v>4741.206048105477</v>
      </c>
      <c r="H57" s="31" t="n">
        <v>0.07515970894229866</v>
      </c>
      <c r="I57" s="31" t="n">
        <v>9.80988567060716</v>
      </c>
      <c r="J57" s="31" t="n">
        <v>1236.303800754703</v>
      </c>
      <c r="K57" s="31" t="n">
        <v>90.21975626072351</v>
      </c>
      <c r="L57" s="31" t="n">
        <v>340.8720073891222</v>
      </c>
      <c r="M57" s="31" t="n">
        <v>1.520209374500433</v>
      </c>
      <c r="N57" s="31" t="n">
        <v>0.7895385568170976</v>
      </c>
      <c r="O57" s="31" t="n">
        <v>10.00898218569984</v>
      </c>
      <c r="P57" s="31" t="n">
        <v>15.3998262089231</v>
      </c>
      <c r="Q57" s="31" t="n">
        <v>6.519006190648224</v>
      </c>
      <c r="R57" s="31" t="n">
        <v>134.7830056008899</v>
      </c>
      <c r="S57" s="31" t="n">
        <v>1053.777361029864</v>
      </c>
      <c r="T57" s="31" t="n">
        <v>20.95144094145464</v>
      </c>
      <c r="U57" s="31" t="n">
        <v>53.21030055838954</v>
      </c>
      <c r="V57" s="31" t="n">
        <v>8.266979593430445</v>
      </c>
      <c r="W57" s="31" t="n">
        <v>688.5893348771347</v>
      </c>
      <c r="X57" s="31" t="n">
        <v>11.72642881832762</v>
      </c>
      <c r="Y57" s="31" t="n">
        <v>43.92249135598938</v>
      </c>
      <c r="Z57" s="31" t="n">
        <v>3.021191066220622</v>
      </c>
      <c r="AA57" s="31" t="n">
        <v>43.19292631972343</v>
      </c>
      <c r="AB57" s="31" t="n">
        <v>122.6027974693883</v>
      </c>
      <c r="AC57" s="31" t="n">
        <v>291.0792584200009</v>
      </c>
      <c r="AD57" s="31" t="n">
        <v>11.27287488197521</v>
      </c>
      <c r="AE57" s="31" t="n">
        <v>32.35205825625653</v>
      </c>
      <c r="AF57" s="31" t="n">
        <v>61.9825915602948</v>
      </c>
      <c r="AG57" s="31" t="n">
        <v>44.95527471755</v>
      </c>
      <c r="AH57" s="31" t="n">
        <v>291.2330771093698</v>
      </c>
      <c r="AI57" s="31" t="n">
        <v>223.3302021555093</v>
      </c>
      <c r="AJ57" s="31" t="n">
        <v>73.854793033756</v>
      </c>
      <c r="AK57" s="31" t="n">
        <v>181.6463963072332</v>
      </c>
      <c r="AL57" s="31" t="n">
        <v>1.426783145331369</v>
      </c>
      <c r="AM57" s="31" t="n">
        <v>5.959247593125754</v>
      </c>
      <c r="AN57" s="31" t="n">
        <v>2.123389180241642</v>
      </c>
      <c r="AO57" s="31" t="n">
        <v>0.5345967725962997</v>
      </c>
      <c r="AP57" s="31" t="n">
        <v>7.655655013845383</v>
      </c>
      <c r="AQ57" s="31" t="n">
        <v>9.238643485968106</v>
      </c>
      <c r="AR57" s="31" t="n">
        <v>1099.601017911031</v>
      </c>
      <c r="AS57" s="31" t="n">
        <v>653.6882364836416</v>
      </c>
      <c r="AT57" s="31" t="n">
        <v>1030.045957751888</v>
      </c>
      <c r="AU57" s="31" t="n">
        <v>0.2062829061019064</v>
      </c>
      <c r="AV57" s="31" t="n">
        <v>56.7305371347587</v>
      </c>
      <c r="AW57" s="31" t="n">
        <v>2.276681982023793</v>
      </c>
      <c r="AX57" s="31" t="n">
        <v>24.71162103430302</v>
      </c>
      <c r="AY57" s="31" t="n">
        <v>0.8605937032286667</v>
      </c>
      <c r="AZ57" s="31" t="n">
        <v>3.159027706610635</v>
      </c>
      <c r="BA57" s="31" t="n">
        <v>7.068253210210552</v>
      </c>
      <c r="BB57" s="31" t="n">
        <v>16.75945935934714</v>
      </c>
      <c r="BC57" s="31" t="n">
        <v>10.44334795996679</v>
      </c>
      <c r="BD57" s="31" t="n">
        <v>4.413318688345374</v>
      </c>
      <c r="BE57" s="31" t="n">
        <v>9.926817727991493</v>
      </c>
      <c r="BF57" s="31" t="n">
        <v>3.876383790196573</v>
      </c>
      <c r="BG57" s="31" t="n">
        <v>2.016769433122734</v>
      </c>
      <c r="BH57" s="31" t="n">
        <v>2.306962041635082</v>
      </c>
      <c r="BI57" s="31" t="n">
        <v>259.8273314996597</v>
      </c>
      <c r="BJ57" s="31" t="n">
        <v>1.169324015435714</v>
      </c>
      <c r="BK57" s="31" t="n">
        <v>5.189245215884655</v>
      </c>
      <c r="BL57" s="31" t="n">
        <v>1.330430119171011</v>
      </c>
      <c r="BM57" s="31" t="n">
        <v>7.785300293485285</v>
      </c>
      <c r="BN57" s="31" t="n">
        <v>0.8970467659844371</v>
      </c>
      <c r="BO57" s="31" t="n">
        <v>3.661994709240266</v>
      </c>
      <c r="BP57" s="31" t="n">
        <v>8.342833203994607</v>
      </c>
      <c r="BQ57" s="31" t="n">
        <v>5.869759262478462</v>
      </c>
      <c r="BR57" s="31" t="n">
        <v>0</v>
      </c>
      <c r="BS57" s="31">
        <f>SUM(C57:BR57)</f>
        <v/>
      </c>
      <c r="BT57" s="31" t="n">
        <v>0</v>
      </c>
      <c r="BU57" s="31" t="n">
        <v>0</v>
      </c>
      <c r="BV57" s="31" t="n">
        <v>4355.299945395542</v>
      </c>
      <c r="BW57" s="31" t="n">
        <v>0</v>
      </c>
      <c r="BX57" s="31">
        <f>SUM(BT57:BW57)</f>
        <v/>
      </c>
      <c r="BY57" s="31">
        <f>BS57+BX57</f>
        <v/>
      </c>
    </row>
    <row r="58">
      <c r="A58" s="28" t="inlineStr">
        <is>
          <t>5100</t>
        </is>
      </c>
      <c r="B58" s="28" t="inlineStr">
        <is>
          <t>Transporte aéreo</t>
        </is>
      </c>
      <c r="C58" s="29" t="n">
        <v>0.7909528498489131</v>
      </c>
      <c r="D58" s="29" t="n">
        <v>0.0132375642149174</v>
      </c>
      <c r="E58" s="29" t="n">
        <v>3.869504698967757</v>
      </c>
      <c r="F58" s="29" t="n">
        <v>7.77470784431755</v>
      </c>
      <c r="G58" s="29" t="n">
        <v>1376.454733165443</v>
      </c>
      <c r="H58" s="29" t="n">
        <v>7.795368340091623</v>
      </c>
      <c r="I58" s="29" t="n">
        <v>23.17893356623095</v>
      </c>
      <c r="J58" s="29" t="n">
        <v>231.7328478813065</v>
      </c>
      <c r="K58" s="29" t="n">
        <v>8.303702513605678</v>
      </c>
      <c r="L58" s="29" t="n">
        <v>188.3559867809848</v>
      </c>
      <c r="M58" s="29" t="n">
        <v>40.32623704611434</v>
      </c>
      <c r="N58" s="29" t="n">
        <v>22.51418684939346</v>
      </c>
      <c r="O58" s="29" t="n">
        <v>28.83721888502625</v>
      </c>
      <c r="P58" s="29" t="n">
        <v>29.83824073908119</v>
      </c>
      <c r="Q58" s="29" t="n">
        <v>42.43847220267361</v>
      </c>
      <c r="R58" s="29" t="n">
        <v>35.67415633596509</v>
      </c>
      <c r="S58" s="29" t="n">
        <v>79.18862199557226</v>
      </c>
      <c r="T58" s="29" t="n">
        <v>17.89288202725836</v>
      </c>
      <c r="U58" s="29" t="n">
        <v>33.79298571042104</v>
      </c>
      <c r="V58" s="29" t="n">
        <v>3.650667896348163</v>
      </c>
      <c r="W58" s="29" t="n">
        <v>197.2678275785604</v>
      </c>
      <c r="X58" s="29" t="n">
        <v>189.5777378947161</v>
      </c>
      <c r="Y58" s="29" t="n">
        <v>9.673611862549414</v>
      </c>
      <c r="Z58" s="29" t="n">
        <v>106.8674433774882</v>
      </c>
      <c r="AA58" s="29" t="n">
        <v>37.39187509406369</v>
      </c>
      <c r="AB58" s="29" t="n">
        <v>116.0415895079938</v>
      </c>
      <c r="AC58" s="29" t="n">
        <v>66.0622282855192</v>
      </c>
      <c r="AD58" s="29" t="n">
        <v>11.0653537058482</v>
      </c>
      <c r="AE58" s="29" t="n">
        <v>46.10238742940246</v>
      </c>
      <c r="AF58" s="29" t="n">
        <v>254.5029747547004</v>
      </c>
      <c r="AG58" s="29" t="n">
        <v>136.5087913526116</v>
      </c>
      <c r="AH58" s="29" t="n">
        <v>198.8224794074734</v>
      </c>
      <c r="AI58" s="29" t="n">
        <v>221.4530998114746</v>
      </c>
      <c r="AJ58" s="29" t="n">
        <v>68.2414886025027</v>
      </c>
      <c r="AK58" s="29" t="n">
        <v>38.0379445903862</v>
      </c>
      <c r="AL58" s="29" t="n">
        <v>31.76663488432107</v>
      </c>
      <c r="AM58" s="29" t="n">
        <v>46.34658297746661</v>
      </c>
      <c r="AN58" s="29" t="n">
        <v>432.3508563025138</v>
      </c>
      <c r="AO58" s="29" t="n">
        <v>39.14974398021376</v>
      </c>
      <c r="AP58" s="29" t="n">
        <v>1374.834611449336</v>
      </c>
      <c r="AQ58" s="29" t="n">
        <v>190.4320080631489</v>
      </c>
      <c r="AR58" s="29" t="n">
        <v>2603.327348046591</v>
      </c>
      <c r="AS58" s="29" t="n">
        <v>175.9087791969318</v>
      </c>
      <c r="AT58" s="29" t="n">
        <v>69.47387507042816</v>
      </c>
      <c r="AU58" s="29" t="n">
        <v>8.717935012471102</v>
      </c>
      <c r="AV58" s="29" t="n">
        <v>591.795053047406</v>
      </c>
      <c r="AW58" s="29" t="n">
        <v>61.24222288236285</v>
      </c>
      <c r="AX58" s="29" t="n">
        <v>53.1612318142622</v>
      </c>
      <c r="AY58" s="29" t="n">
        <v>19.53667453401962</v>
      </c>
      <c r="AZ58" s="29" t="n">
        <v>143.9703228414299</v>
      </c>
      <c r="BA58" s="29" t="n">
        <v>188.8309749796376</v>
      </c>
      <c r="BB58" s="29" t="n">
        <v>529.8198052371637</v>
      </c>
      <c r="BC58" s="29" t="n">
        <v>2123.034589079351</v>
      </c>
      <c r="BD58" s="29" t="n">
        <v>56.07162981462024</v>
      </c>
      <c r="BE58" s="29" t="n">
        <v>722.0127944748949</v>
      </c>
      <c r="BF58" s="29" t="n">
        <v>292.692503305709</v>
      </c>
      <c r="BG58" s="29" t="n">
        <v>493.0881120420736</v>
      </c>
      <c r="BH58" s="29" t="n">
        <v>79.76559868998771</v>
      </c>
      <c r="BI58" s="29" t="n">
        <v>283.9617069644783</v>
      </c>
      <c r="BJ58" s="29" t="n">
        <v>22.18631435908816</v>
      </c>
      <c r="BK58" s="29" t="n">
        <v>979.8249646599285</v>
      </c>
      <c r="BL58" s="29" t="n">
        <v>334.3516752595446</v>
      </c>
      <c r="BM58" s="29" t="n">
        <v>1626.883324741327</v>
      </c>
      <c r="BN58" s="29" t="n">
        <v>365.4207793361677</v>
      </c>
      <c r="BO58" s="29" t="n">
        <v>4.340511440107671</v>
      </c>
      <c r="BP58" s="29" t="n">
        <v>90.00188029090494</v>
      </c>
      <c r="BQ58" s="29" t="n">
        <v>6969.036894975437</v>
      </c>
      <c r="BR58" s="29" t="n">
        <v>0</v>
      </c>
      <c r="BS58" s="29">
        <f>SUM(C58:BR58)</f>
        <v/>
      </c>
      <c r="BT58" s="29" t="n">
        <v>0</v>
      </c>
      <c r="BU58" s="29" t="n">
        <v>0</v>
      </c>
      <c r="BV58" s="29" t="n">
        <v>12852.59580888446</v>
      </c>
      <c r="BW58" s="29" t="n">
        <v>0</v>
      </c>
      <c r="BX58" s="29">
        <f>SUM(BT58:BW58)</f>
        <v/>
      </c>
      <c r="BY58" s="29">
        <f>BS58+BX58</f>
        <v/>
      </c>
    </row>
    <row r="59">
      <c r="A59" s="30" t="inlineStr">
        <is>
          <t>5280</t>
        </is>
      </c>
      <c r="B59" s="30" t="inlineStr">
        <is>
          <t>Armazenamento, atividades auxiliares dos transportes e correio</t>
        </is>
      </c>
      <c r="C59" s="31" t="n">
        <v>691.9930360186189</v>
      </c>
      <c r="D59" s="31" t="n">
        <v>43.91613122082725</v>
      </c>
      <c r="E59" s="31" t="n">
        <v>178.270785660663</v>
      </c>
      <c r="F59" s="31" t="n">
        <v>26.1468256619515</v>
      </c>
      <c r="G59" s="31" t="n">
        <v>3577.069002411575</v>
      </c>
      <c r="H59" s="31" t="n">
        <v>2261.58364106731</v>
      </c>
      <c r="I59" s="31" t="n">
        <v>708.8903279469835</v>
      </c>
      <c r="J59" s="31" t="n">
        <v>2569.195063796742</v>
      </c>
      <c r="K59" s="31" t="n">
        <v>1877.513648872675</v>
      </c>
      <c r="L59" s="31" t="n">
        <v>3029.866669535448</v>
      </c>
      <c r="M59" s="31" t="n">
        <v>1816.619721017263</v>
      </c>
      <c r="N59" s="31" t="n">
        <v>30.04972989807246</v>
      </c>
      <c r="O59" s="31" t="n">
        <v>171.5297228891677</v>
      </c>
      <c r="P59" s="31" t="n">
        <v>111.0121400807396</v>
      </c>
      <c r="Q59" s="31" t="n">
        <v>165.4900684085063</v>
      </c>
      <c r="R59" s="31" t="n">
        <v>218.1466344199944</v>
      </c>
      <c r="S59" s="31" t="n">
        <v>1001.718179282905</v>
      </c>
      <c r="T59" s="31" t="n">
        <v>193.4990191972761</v>
      </c>
      <c r="U59" s="31" t="n">
        <v>635.3706351850479</v>
      </c>
      <c r="V59" s="31" t="n">
        <v>586.1522727260958</v>
      </c>
      <c r="W59" s="31" t="n">
        <v>967.605495849466</v>
      </c>
      <c r="X59" s="31" t="n">
        <v>603.0365136848288</v>
      </c>
      <c r="Y59" s="31" t="n">
        <v>376.3595229606543</v>
      </c>
      <c r="Z59" s="31" t="n">
        <v>550.0019021528225</v>
      </c>
      <c r="AA59" s="31" t="n">
        <v>241.1366165974496</v>
      </c>
      <c r="AB59" s="31" t="n">
        <v>349.5159593169373</v>
      </c>
      <c r="AC59" s="31" t="n">
        <v>2190.981786103477</v>
      </c>
      <c r="AD59" s="31" t="n">
        <v>121.4670617383438</v>
      </c>
      <c r="AE59" s="31" t="n">
        <v>908.3559414741499</v>
      </c>
      <c r="AF59" s="31" t="n">
        <v>783.7986846193031</v>
      </c>
      <c r="AG59" s="31" t="n">
        <v>825.5431947612343</v>
      </c>
      <c r="AH59" s="31" t="n">
        <v>384.5930343643113</v>
      </c>
      <c r="AI59" s="31" t="n">
        <v>3817.327195287727</v>
      </c>
      <c r="AJ59" s="31" t="n">
        <v>604.2603964560182</v>
      </c>
      <c r="AK59" s="31" t="n">
        <v>624.4429285837335</v>
      </c>
      <c r="AL59" s="31" t="n">
        <v>303.7023853967266</v>
      </c>
      <c r="AM59" s="31" t="n">
        <v>170.0891121829532</v>
      </c>
      <c r="AN59" s="31" t="n">
        <v>569.0323905125514</v>
      </c>
      <c r="AO59" s="31" t="n">
        <v>22.13729335954782</v>
      </c>
      <c r="AP59" s="31" t="n">
        <v>626.7368779763191</v>
      </c>
      <c r="AQ59" s="31" t="n">
        <v>685.9239053257844</v>
      </c>
      <c r="AR59" s="31" t="n">
        <v>12942.64681253715</v>
      </c>
      <c r="AS59" s="31" t="n">
        <v>6989.670369457847</v>
      </c>
      <c r="AT59" s="31" t="n">
        <v>2693.527704930617</v>
      </c>
      <c r="AU59" s="31" t="n">
        <v>3701.174807230136</v>
      </c>
      <c r="AV59" s="31" t="n">
        <v>4148.906442412976</v>
      </c>
      <c r="AW59" s="31" t="n">
        <v>57.53151282825617</v>
      </c>
      <c r="AX59" s="31" t="n">
        <v>226.623057680028</v>
      </c>
      <c r="AY59" s="31" t="n">
        <v>83.89959560527664</v>
      </c>
      <c r="AZ59" s="31" t="n">
        <v>82.57930975516491</v>
      </c>
      <c r="BA59" s="31" t="n">
        <v>623.4015092061262</v>
      </c>
      <c r="BB59" s="31" t="n">
        <v>135.3476634394402</v>
      </c>
      <c r="BC59" s="31" t="n">
        <v>4197.892161352937</v>
      </c>
      <c r="BD59" s="31" t="n">
        <v>196.4721759424772</v>
      </c>
      <c r="BE59" s="31" t="n">
        <v>515.1473499985444</v>
      </c>
      <c r="BF59" s="31" t="n">
        <v>232.8626933225653</v>
      </c>
      <c r="BG59" s="31" t="n">
        <v>255.679258650616</v>
      </c>
      <c r="BH59" s="31" t="n">
        <v>205.2223742658888</v>
      </c>
      <c r="BI59" s="31" t="n">
        <v>617.2544950632279</v>
      </c>
      <c r="BJ59" s="31" t="n">
        <v>67.64665466512376</v>
      </c>
      <c r="BK59" s="31" t="n">
        <v>3333.975153944341</v>
      </c>
      <c r="BL59" s="31" t="n">
        <v>309.5462579639423</v>
      </c>
      <c r="BM59" s="31" t="n">
        <v>387.2856810536433</v>
      </c>
      <c r="BN59" s="31" t="n">
        <v>452.5495964284722</v>
      </c>
      <c r="BO59" s="31" t="n">
        <v>224.3102520596774</v>
      </c>
      <c r="BP59" s="31" t="n">
        <v>72.40449313642451</v>
      </c>
      <c r="BQ59" s="31" t="n">
        <v>1351.840062611972</v>
      </c>
      <c r="BR59" s="31" t="n">
        <v>0</v>
      </c>
      <c r="BS59" s="31">
        <f>SUM(C59:BR59)</f>
        <v/>
      </c>
      <c r="BT59" s="31" t="n">
        <v>0</v>
      </c>
      <c r="BU59" s="31" t="n">
        <v>0</v>
      </c>
      <c r="BV59" s="31" t="n">
        <v>30142.49366445287</v>
      </c>
      <c r="BW59" s="31" t="n">
        <v>0</v>
      </c>
      <c r="BX59" s="31">
        <f>SUM(BT59:BW59)</f>
        <v/>
      </c>
      <c r="BY59" s="31">
        <f>BS59+BX59</f>
        <v/>
      </c>
    </row>
    <row r="60">
      <c r="A60" s="28" t="inlineStr">
        <is>
          <t>5500</t>
        </is>
      </c>
      <c r="B60" s="28" t="inlineStr">
        <is>
          <t>Alojamento</t>
        </is>
      </c>
      <c r="C60" s="29" t="n">
        <v>2.00341821469495</v>
      </c>
      <c r="D60" s="29" t="n">
        <v>0.5126507117736679</v>
      </c>
      <c r="E60" s="29" t="n">
        <v>1.987591867462153</v>
      </c>
      <c r="F60" s="29" t="n">
        <v>7.079372931821044</v>
      </c>
      <c r="G60" s="29" t="n">
        <v>153.3003030482481</v>
      </c>
      <c r="H60" s="29" t="n">
        <v>42.27288072010621</v>
      </c>
      <c r="I60" s="29" t="n">
        <v>11.55196984988356</v>
      </c>
      <c r="J60" s="29" t="n">
        <v>223.8988466873994</v>
      </c>
      <c r="K60" s="29" t="n">
        <v>24.72788866333108</v>
      </c>
      <c r="L60" s="29" t="n">
        <v>207.3207395513692</v>
      </c>
      <c r="M60" s="29" t="n">
        <v>39.81632052023479</v>
      </c>
      <c r="N60" s="29" t="n">
        <v>21.50424054415781</v>
      </c>
      <c r="O60" s="29" t="n">
        <v>23.45417005591318</v>
      </c>
      <c r="P60" s="29" t="n">
        <v>21.03529257736525</v>
      </c>
      <c r="Q60" s="29" t="n">
        <v>26.49189461741461</v>
      </c>
      <c r="R60" s="29" t="n">
        <v>6.947744910654049</v>
      </c>
      <c r="S60" s="29" t="n">
        <v>62.71372946008202</v>
      </c>
      <c r="T60" s="29" t="n">
        <v>8.75795264780337</v>
      </c>
      <c r="U60" s="29" t="n">
        <v>22.26207787304026</v>
      </c>
      <c r="V60" s="29" t="n">
        <v>9.941279087712596</v>
      </c>
      <c r="W60" s="29" t="n">
        <v>93.99824631769879</v>
      </c>
      <c r="X60" s="29" t="n">
        <v>92.42258123710322</v>
      </c>
      <c r="Y60" s="29" t="n">
        <v>28.71622362215041</v>
      </c>
      <c r="Z60" s="29" t="n">
        <v>145.3817439925015</v>
      </c>
      <c r="AA60" s="29" t="n">
        <v>81.2288412391317</v>
      </c>
      <c r="AB60" s="29" t="n">
        <v>69.49819800480718</v>
      </c>
      <c r="AC60" s="29" t="n">
        <v>116.7419415403273</v>
      </c>
      <c r="AD60" s="29" t="n">
        <v>20.78522827580937</v>
      </c>
      <c r="AE60" s="29" t="n">
        <v>131.8888949247905</v>
      </c>
      <c r="AF60" s="29" t="n">
        <v>128.2018538765613</v>
      </c>
      <c r="AG60" s="29" t="n">
        <v>95.03453456350647</v>
      </c>
      <c r="AH60" s="29" t="n">
        <v>268.0615927193098</v>
      </c>
      <c r="AI60" s="29" t="n">
        <v>105.3837497517748</v>
      </c>
      <c r="AJ60" s="29" t="n">
        <v>62.15054791179593</v>
      </c>
      <c r="AK60" s="29" t="n">
        <v>54.61228480228019</v>
      </c>
      <c r="AL60" s="29" t="n">
        <v>81.80565962265236</v>
      </c>
      <c r="AM60" s="29" t="n">
        <v>43.60867891658571</v>
      </c>
      <c r="AN60" s="29" t="n">
        <v>150.7336479808824</v>
      </c>
      <c r="AO60" s="29" t="n">
        <v>10.28420737726713</v>
      </c>
      <c r="AP60" s="29" t="n">
        <v>1056.488414159749</v>
      </c>
      <c r="AQ60" s="29" t="n">
        <v>281.3033623423336</v>
      </c>
      <c r="AR60" s="29" t="n">
        <v>2001.059208725321</v>
      </c>
      <c r="AS60" s="29" t="n">
        <v>136.4400964762878</v>
      </c>
      <c r="AT60" s="29" t="n">
        <v>3.544296504278813</v>
      </c>
      <c r="AU60" s="29" t="n">
        <v>50.06632213442986</v>
      </c>
      <c r="AV60" s="29" t="n">
        <v>142.1250877121274</v>
      </c>
      <c r="AW60" s="29" t="n">
        <v>1.557076777896382</v>
      </c>
      <c r="AX60" s="29" t="n">
        <v>26.98929815439923</v>
      </c>
      <c r="AY60" s="29" t="n">
        <v>74.64760914357434</v>
      </c>
      <c r="AZ60" s="29" t="n">
        <v>113.0229047910612</v>
      </c>
      <c r="BA60" s="29" t="n">
        <v>100.3609037940568</v>
      </c>
      <c r="BB60" s="29" t="n">
        <v>328.4339582036537</v>
      </c>
      <c r="BC60" s="29" t="n">
        <v>696.8119339800744</v>
      </c>
      <c r="BD60" s="29" t="n">
        <v>43.55173673640668</v>
      </c>
      <c r="BE60" s="29" t="n">
        <v>218.1837750755313</v>
      </c>
      <c r="BF60" s="29" t="n">
        <v>224.4017698310645</v>
      </c>
      <c r="BG60" s="29" t="n">
        <v>104.2845033979293</v>
      </c>
      <c r="BH60" s="29" t="n">
        <v>108.842906416346</v>
      </c>
      <c r="BI60" s="29" t="n">
        <v>103.640537770998</v>
      </c>
      <c r="BJ60" s="29" t="n">
        <v>33.12704286137593</v>
      </c>
      <c r="BK60" s="29" t="n">
        <v>1467.198916336315</v>
      </c>
      <c r="BL60" s="29" t="n">
        <v>204.5653486410993</v>
      </c>
      <c r="BM60" s="29" t="n">
        <v>240.1574714466943</v>
      </c>
      <c r="BN60" s="29" t="n">
        <v>231.4559595720648</v>
      </c>
      <c r="BO60" s="29" t="n">
        <v>2.50452499187822</v>
      </c>
      <c r="BP60" s="29" t="n">
        <v>108.6474122327165</v>
      </c>
      <c r="BQ60" s="29" t="n">
        <v>4608.552491981589</v>
      </c>
      <c r="BR60" s="29" t="n">
        <v>0</v>
      </c>
      <c r="BS60" s="29">
        <f>SUM(C60:BR60)</f>
        <v/>
      </c>
      <c r="BT60" s="29" t="n">
        <v>0</v>
      </c>
      <c r="BU60" s="29" t="n">
        <v>0</v>
      </c>
      <c r="BV60" s="29" t="n">
        <v>9083.764794882987</v>
      </c>
      <c r="BW60" s="29" t="n">
        <v>0</v>
      </c>
      <c r="BX60" s="29">
        <f>SUM(BT60:BW60)</f>
        <v/>
      </c>
      <c r="BY60" s="29">
        <f>BS60+BX60</f>
        <v/>
      </c>
    </row>
    <row r="61">
      <c r="A61" s="30" t="inlineStr">
        <is>
          <t>5600</t>
        </is>
      </c>
      <c r="B61" s="30" t="inlineStr">
        <is>
          <t>Alimentação</t>
        </is>
      </c>
      <c r="C61" s="31" t="n">
        <v>2.615627247611747</v>
      </c>
      <c r="D61" s="31" t="n">
        <v>0.3222549735242503</v>
      </c>
      <c r="E61" s="31" t="n">
        <v>2.2350671901619</v>
      </c>
      <c r="F61" s="31" t="n">
        <v>2.302408335126487</v>
      </c>
      <c r="G61" s="31" t="n">
        <v>201.0639445749697</v>
      </c>
      <c r="H61" s="31" t="n">
        <v>6.942322573893466</v>
      </c>
      <c r="I61" s="31" t="n">
        <v>7.517655020918185</v>
      </c>
      <c r="J61" s="31" t="n">
        <v>12.19147007710261</v>
      </c>
      <c r="K61" s="31" t="n">
        <v>3.609137568625542</v>
      </c>
      <c r="L61" s="31" t="n">
        <v>104.8402673067302</v>
      </c>
      <c r="M61" s="31" t="n">
        <v>3.923180812020877</v>
      </c>
      <c r="N61" s="31" t="n">
        <v>0.5668358145766301</v>
      </c>
      <c r="O61" s="31" t="n">
        <v>9.958926883854669</v>
      </c>
      <c r="P61" s="31" t="n">
        <v>4.864688883548174</v>
      </c>
      <c r="Q61" s="31" t="n">
        <v>1.814059345066461</v>
      </c>
      <c r="R61" s="31" t="n">
        <v>1.140589848338105</v>
      </c>
      <c r="S61" s="31" t="n">
        <v>9.623094801275217</v>
      </c>
      <c r="T61" s="31" t="n">
        <v>12.22993732224542</v>
      </c>
      <c r="U61" s="31" t="n">
        <v>3.935539713513395</v>
      </c>
      <c r="V61" s="31" t="n">
        <v>2.235737526552342</v>
      </c>
      <c r="W61" s="31" t="n">
        <v>70.93625657978805</v>
      </c>
      <c r="X61" s="31" t="n">
        <v>85.49243590279079</v>
      </c>
      <c r="Y61" s="31" t="n">
        <v>2.322961104972371</v>
      </c>
      <c r="Z61" s="31" t="n">
        <v>205.4655787724403</v>
      </c>
      <c r="AA61" s="31" t="n">
        <v>16.37023429359418</v>
      </c>
      <c r="AB61" s="31" t="n">
        <v>4.553662042566052</v>
      </c>
      <c r="AC61" s="31" t="n">
        <v>24.20963606296635</v>
      </c>
      <c r="AD61" s="31" t="n">
        <v>41.91006672073045</v>
      </c>
      <c r="AE61" s="31" t="n">
        <v>31.41698941678575</v>
      </c>
      <c r="AF61" s="31" t="n">
        <v>6.866825912569436</v>
      </c>
      <c r="AG61" s="31" t="n">
        <v>2.900153592928877</v>
      </c>
      <c r="AH61" s="31" t="n">
        <v>94.81993230671748</v>
      </c>
      <c r="AI61" s="31" t="n">
        <v>350.2643270482238</v>
      </c>
      <c r="AJ61" s="31" t="n">
        <v>11.8210407849692</v>
      </c>
      <c r="AK61" s="31" t="n">
        <v>4.681676843515827</v>
      </c>
      <c r="AL61" s="31" t="n">
        <v>3.243246384994769</v>
      </c>
      <c r="AM61" s="31" t="n">
        <v>61.94220804369284</v>
      </c>
      <c r="AN61" s="31" t="n">
        <v>215.8359310701237</v>
      </c>
      <c r="AO61" s="31" t="n">
        <v>10.87464188422722</v>
      </c>
      <c r="AP61" s="31" t="n">
        <v>40.03484638332334</v>
      </c>
      <c r="AQ61" s="31" t="n">
        <v>144.658387632405</v>
      </c>
      <c r="AR61" s="31" t="n">
        <v>656.2591047334256</v>
      </c>
      <c r="AS61" s="31" t="n">
        <v>36.48868122294598</v>
      </c>
      <c r="AT61" s="31" t="n">
        <v>6.106555149026258</v>
      </c>
      <c r="AU61" s="31" t="n">
        <v>761.7579851357589</v>
      </c>
      <c r="AV61" s="31" t="n">
        <v>43.21087181581778</v>
      </c>
      <c r="AW61" s="31" t="n">
        <v>197.8391841735825</v>
      </c>
      <c r="AX61" s="31" t="n">
        <v>30.12684008639362</v>
      </c>
      <c r="AY61" s="31" t="n">
        <v>7.599529106326735</v>
      </c>
      <c r="AZ61" s="31" t="n">
        <v>606.9904919947472</v>
      </c>
      <c r="BA61" s="31" t="n">
        <v>98.38009771617926</v>
      </c>
      <c r="BB61" s="31" t="n">
        <v>28.95015104625177</v>
      </c>
      <c r="BC61" s="31" t="n">
        <v>2582.698971631876</v>
      </c>
      <c r="BD61" s="31" t="n">
        <v>72.40401122688623</v>
      </c>
      <c r="BE61" s="31" t="n">
        <v>1106.875060982194</v>
      </c>
      <c r="BF61" s="31" t="n">
        <v>12.30264510116347</v>
      </c>
      <c r="BG61" s="31" t="n">
        <v>198.6954472202904</v>
      </c>
      <c r="BH61" s="31" t="n">
        <v>16.47581524923498</v>
      </c>
      <c r="BI61" s="31" t="n">
        <v>1183.053711126852</v>
      </c>
      <c r="BJ61" s="31" t="n">
        <v>6.641268534904812</v>
      </c>
      <c r="BK61" s="31" t="n">
        <v>8625.203577729651</v>
      </c>
      <c r="BL61" s="31" t="n">
        <v>1541.820786863065</v>
      </c>
      <c r="BM61" s="31" t="n">
        <v>199.821495009581</v>
      </c>
      <c r="BN61" s="31" t="n">
        <v>4269.020062618347</v>
      </c>
      <c r="BO61" s="31" t="n">
        <v>2649.309410761601</v>
      </c>
      <c r="BP61" s="31" t="n">
        <v>54.88143970171084</v>
      </c>
      <c r="BQ61" s="31" t="n">
        <v>7601.042236072472</v>
      </c>
      <c r="BR61" s="31" t="n">
        <v>0</v>
      </c>
      <c r="BS61" s="31">
        <f>SUM(C61:BR61)</f>
        <v/>
      </c>
      <c r="BT61" s="31" t="n">
        <v>0</v>
      </c>
      <c r="BU61" s="31" t="n">
        <v>0</v>
      </c>
      <c r="BV61" s="31" t="n">
        <v>185491.4542020496</v>
      </c>
      <c r="BW61" s="31" t="n">
        <v>0</v>
      </c>
      <c r="BX61" s="31">
        <f>SUM(BT61:BW61)</f>
        <v/>
      </c>
      <c r="BY61" s="31">
        <f>BS61+BX61</f>
        <v/>
      </c>
    </row>
    <row r="62">
      <c r="A62" s="28" t="inlineStr">
        <is>
          <t>5800</t>
        </is>
      </c>
      <c r="B62" s="28" t="inlineStr">
        <is>
          <t>Edição e edição integrada à impressão</t>
        </is>
      </c>
      <c r="C62" s="29" t="n">
        <v>0.2078267656102142</v>
      </c>
      <c r="D62" s="29" t="n">
        <v>0.009785677055760325</v>
      </c>
      <c r="E62" s="29" t="n">
        <v>0.1695983832580054</v>
      </c>
      <c r="F62" s="29" t="n">
        <v>0.07341586306467748</v>
      </c>
      <c r="G62" s="29" t="n">
        <v>0.5683215971024749</v>
      </c>
      <c r="H62" s="29" t="n">
        <v>0.6482849928372025</v>
      </c>
      <c r="I62" s="29" t="n">
        <v>0.2734559804027375</v>
      </c>
      <c r="J62" s="29" t="n">
        <v>11.6641551032793</v>
      </c>
      <c r="K62" s="29" t="n">
        <v>1.282696913262568</v>
      </c>
      <c r="L62" s="29" t="n">
        <v>9.461936821714492</v>
      </c>
      <c r="M62" s="29" t="n">
        <v>12.56177483351402</v>
      </c>
      <c r="N62" s="29" t="n">
        <v>0.3065680597900203</v>
      </c>
      <c r="O62" s="29" t="n">
        <v>1.717945343297614</v>
      </c>
      <c r="P62" s="29" t="n">
        <v>2.005936623628338</v>
      </c>
      <c r="Q62" s="29" t="n">
        <v>1.688247458034517</v>
      </c>
      <c r="R62" s="29" t="n">
        <v>1.151067133404937</v>
      </c>
      <c r="S62" s="29" t="n">
        <v>9.3479377658406</v>
      </c>
      <c r="T62" s="29" t="n">
        <v>70.45730271926894</v>
      </c>
      <c r="U62" s="29" t="n">
        <v>1.106648054531921</v>
      </c>
      <c r="V62" s="29" t="n">
        <v>0.9914735322442413</v>
      </c>
      <c r="W62" s="29" t="n">
        <v>113.3852990600614</v>
      </c>
      <c r="X62" s="29" t="n">
        <v>2.268772928265312</v>
      </c>
      <c r="Y62" s="29" t="n">
        <v>0.3449704591738151</v>
      </c>
      <c r="Z62" s="29" t="n">
        <v>2.574902300635902</v>
      </c>
      <c r="AA62" s="29" t="n">
        <v>3.817547366219274</v>
      </c>
      <c r="AB62" s="29" t="n">
        <v>2.492752908987826</v>
      </c>
      <c r="AC62" s="29" t="n">
        <v>2.673618634770476</v>
      </c>
      <c r="AD62" s="29" t="n">
        <v>0.7005901252593335</v>
      </c>
      <c r="AE62" s="29" t="n">
        <v>3.174883873751996</v>
      </c>
      <c r="AF62" s="29" t="n">
        <v>12.65709480839911</v>
      </c>
      <c r="AG62" s="29" t="n">
        <v>2.241153019474403</v>
      </c>
      <c r="AH62" s="29" t="n">
        <v>5.496743129321006</v>
      </c>
      <c r="AI62" s="29" t="n">
        <v>1.686853963035302</v>
      </c>
      <c r="AJ62" s="29" t="n">
        <v>2.882977373678668</v>
      </c>
      <c r="AK62" s="29" t="n">
        <v>0.6010062537484469</v>
      </c>
      <c r="AL62" s="29" t="n">
        <v>2.50258122000804</v>
      </c>
      <c r="AM62" s="29" t="n">
        <v>10.80084981577709</v>
      </c>
      <c r="AN62" s="29" t="n">
        <v>84.08928643608324</v>
      </c>
      <c r="AO62" s="29" t="n">
        <v>4.309764398641348</v>
      </c>
      <c r="AP62" s="29" t="n">
        <v>3.553788017496817</v>
      </c>
      <c r="AQ62" s="29" t="n">
        <v>8.905214019462701</v>
      </c>
      <c r="AR62" s="29" t="n">
        <v>550.1153792229555</v>
      </c>
      <c r="AS62" s="29" t="n">
        <v>3.830408161383555</v>
      </c>
      <c r="AT62" s="29" t="n">
        <v>0.1009411233082638</v>
      </c>
      <c r="AU62" s="29" t="n">
        <v>1.984466599670432</v>
      </c>
      <c r="AV62" s="29" t="n">
        <v>4.985952147179632</v>
      </c>
      <c r="AW62" s="29" t="n">
        <v>48.45286906600371</v>
      </c>
      <c r="AX62" s="29" t="n">
        <v>7.665127068087203</v>
      </c>
      <c r="AY62" s="29" t="n">
        <v>135.1152209838228</v>
      </c>
      <c r="AZ62" s="29" t="n">
        <v>20.6228641396976</v>
      </c>
      <c r="BA62" s="29" t="n">
        <v>161.0947092473846</v>
      </c>
      <c r="BB62" s="29" t="n">
        <v>40.59169996290161</v>
      </c>
      <c r="BC62" s="29" t="n">
        <v>1419.837917999955</v>
      </c>
      <c r="BD62" s="29" t="n">
        <v>56.32109011401983</v>
      </c>
      <c r="BE62" s="29" t="n">
        <v>252.4745702389788</v>
      </c>
      <c r="BF62" s="29" t="n">
        <v>123.3935209796542</v>
      </c>
      <c r="BG62" s="29" t="n">
        <v>2257.615332794968</v>
      </c>
      <c r="BH62" s="29" t="n">
        <v>19.67153641174363</v>
      </c>
      <c r="BI62" s="29" t="n">
        <v>65.26075345937349</v>
      </c>
      <c r="BJ62" s="29" t="n">
        <v>0.4039802991409016</v>
      </c>
      <c r="BK62" s="29" t="n">
        <v>623.1025259975257</v>
      </c>
      <c r="BL62" s="29" t="n">
        <v>1944.64597770684</v>
      </c>
      <c r="BM62" s="29" t="n">
        <v>1373.371195725721</v>
      </c>
      <c r="BN62" s="29" t="n">
        <v>30.14240325422876</v>
      </c>
      <c r="BO62" s="29" t="n">
        <v>109.6389065632037</v>
      </c>
      <c r="BP62" s="29" t="n">
        <v>21.98345252739908</v>
      </c>
      <c r="BQ62" s="29" t="n">
        <v>157.7962967939271</v>
      </c>
      <c r="BR62" s="29" t="n">
        <v>0</v>
      </c>
      <c r="BS62" s="29">
        <f>SUM(C62:BR62)</f>
        <v/>
      </c>
      <c r="BT62" s="29" t="n">
        <v>0</v>
      </c>
      <c r="BU62" s="29" t="n">
        <v>0</v>
      </c>
      <c r="BV62" s="29" t="n">
        <v>12551.86850549139</v>
      </c>
      <c r="BW62" s="29" t="n">
        <v>0</v>
      </c>
      <c r="BX62" s="29">
        <f>SUM(BT62:BW62)</f>
        <v/>
      </c>
      <c r="BY62" s="29">
        <f>BS62+BX62</f>
        <v/>
      </c>
    </row>
    <row r="63">
      <c r="A63" s="30" t="inlineStr">
        <is>
          <t>5980</t>
        </is>
      </c>
      <c r="B63" s="30" t="inlineStr">
        <is>
          <t>Atividades de televisão, rádio, cinema e  gravação/edição de som e imagem</t>
        </is>
      </c>
      <c r="C63" s="31" t="n">
        <v>0.005782254834815684</v>
      </c>
      <c r="D63" s="31" t="n">
        <v>0.004122388411683036</v>
      </c>
      <c r="E63" s="31" t="n">
        <v>0.001699069222184917</v>
      </c>
      <c r="F63" s="31" t="n">
        <v>0.03837311462762945</v>
      </c>
      <c r="G63" s="31" t="n">
        <v>0.1095267757473633</v>
      </c>
      <c r="H63" s="31" t="n">
        <v>0.06331426716386079</v>
      </c>
      <c r="I63" s="31" t="n">
        <v>0.04491416253955936</v>
      </c>
      <c r="J63" s="31" t="n">
        <v>6.046951395601525</v>
      </c>
      <c r="K63" s="31" t="n">
        <v>0.3651589355959781</v>
      </c>
      <c r="L63" s="31" t="n">
        <v>3.827051084030404</v>
      </c>
      <c r="M63" s="31" t="n">
        <v>0.1893123672490577</v>
      </c>
      <c r="N63" s="31" t="n">
        <v>0.1889902470440771</v>
      </c>
      <c r="O63" s="31" t="n">
        <v>0.6562216801079467</v>
      </c>
      <c r="P63" s="31" t="n">
        <v>0.7890953418793668</v>
      </c>
      <c r="Q63" s="31" t="n">
        <v>0.9570708477252471</v>
      </c>
      <c r="R63" s="31" t="n">
        <v>0.2583289557846277</v>
      </c>
      <c r="S63" s="31" t="n">
        <v>1.624646471868433</v>
      </c>
      <c r="T63" s="31" t="n">
        <v>0.08464574186689888</v>
      </c>
      <c r="U63" s="31" t="n">
        <v>0.4952740581045449</v>
      </c>
      <c r="V63" s="31" t="n">
        <v>0.378515566280082</v>
      </c>
      <c r="W63" s="31" t="n">
        <v>0.7673328217338444</v>
      </c>
      <c r="X63" s="31" t="n">
        <v>1.007227032978298</v>
      </c>
      <c r="Y63" s="31" t="n">
        <v>0.1190956530749885</v>
      </c>
      <c r="Z63" s="31" t="n">
        <v>1.262236134635749</v>
      </c>
      <c r="AA63" s="31" t="n">
        <v>1.650646960717648</v>
      </c>
      <c r="AB63" s="31" t="n">
        <v>1.197257277293325</v>
      </c>
      <c r="AC63" s="31" t="n">
        <v>1.268199596399392</v>
      </c>
      <c r="AD63" s="31" t="n">
        <v>0.3879233064948154</v>
      </c>
      <c r="AE63" s="31" t="n">
        <v>1.349399556843746</v>
      </c>
      <c r="AF63" s="31" t="n">
        <v>0.9115569374688464</v>
      </c>
      <c r="AG63" s="31" t="n">
        <v>1.039551688837146</v>
      </c>
      <c r="AH63" s="31" t="n">
        <v>2.815093011425926</v>
      </c>
      <c r="AI63" s="31" t="n">
        <v>0.1373733932255179</v>
      </c>
      <c r="AJ63" s="31" t="n">
        <v>0.06965998891878478</v>
      </c>
      <c r="AK63" s="31" t="n">
        <v>0.1789856396911693</v>
      </c>
      <c r="AL63" s="31" t="n">
        <v>0.6715819135619072</v>
      </c>
      <c r="AM63" s="31" t="n">
        <v>0.02190696867999865</v>
      </c>
      <c r="AN63" s="31" t="n">
        <v>0.2381582050338861</v>
      </c>
      <c r="AO63" s="31" t="n">
        <v>0.068398395673867</v>
      </c>
      <c r="AP63" s="31" t="n">
        <v>0.347757315924291</v>
      </c>
      <c r="AQ63" s="31" t="n">
        <v>0.8147469833681984</v>
      </c>
      <c r="AR63" s="31" t="n">
        <v>12.95028745293014</v>
      </c>
      <c r="AS63" s="31" t="n">
        <v>1.122883835789856</v>
      </c>
      <c r="AT63" s="31" t="n">
        <v>0.01374256792644503</v>
      </c>
      <c r="AU63" s="31" t="n">
        <v>0.02645348279240705</v>
      </c>
      <c r="AV63" s="31" t="n">
        <v>0.526745764601921</v>
      </c>
      <c r="AW63" s="31" t="n">
        <v>3.770697087129085</v>
      </c>
      <c r="AX63" s="31" t="n">
        <v>1.017372874800823</v>
      </c>
      <c r="AY63" s="31" t="n">
        <v>13.78500875432263</v>
      </c>
      <c r="AZ63" s="31" t="n">
        <v>5132.383930179508</v>
      </c>
      <c r="BA63" s="31" t="n">
        <v>5047.217459379371</v>
      </c>
      <c r="BB63" s="31" t="n">
        <v>1.508096517957402</v>
      </c>
      <c r="BC63" s="31" t="n">
        <v>2.964995358591366</v>
      </c>
      <c r="BD63" s="31" t="n">
        <v>0.4933135591315557</v>
      </c>
      <c r="BE63" s="31" t="n">
        <v>1.379468903477663</v>
      </c>
      <c r="BF63" s="31" t="n">
        <v>0.2556102540276822</v>
      </c>
      <c r="BG63" s="31" t="n">
        <v>30175.49434391058</v>
      </c>
      <c r="BH63" s="31" t="n">
        <v>0.2577260046513307</v>
      </c>
      <c r="BI63" s="31" t="n">
        <v>16.7046801288297</v>
      </c>
      <c r="BJ63" s="31" t="n">
        <v>2.734120972093706</v>
      </c>
      <c r="BK63" s="31" t="n">
        <v>0.6190618681907877</v>
      </c>
      <c r="BL63" s="31" t="n">
        <v>0.1556357327705386</v>
      </c>
      <c r="BM63" s="31" t="n">
        <v>0.880145911195951</v>
      </c>
      <c r="BN63" s="31" t="n">
        <v>0.1197050239764804</v>
      </c>
      <c r="BO63" s="31" t="n">
        <v>0.4211727356546651</v>
      </c>
      <c r="BP63" s="31" t="n">
        <v>100.1920486651438</v>
      </c>
      <c r="BQ63" s="31" t="n">
        <v>0.7030020966483468</v>
      </c>
      <c r="BR63" s="31" t="n">
        <v>0</v>
      </c>
      <c r="BS63" s="31">
        <f>SUM(C63:BR63)</f>
        <v/>
      </c>
      <c r="BT63" s="31" t="n">
        <v>0</v>
      </c>
      <c r="BU63" s="31" t="n">
        <v>0</v>
      </c>
      <c r="BV63" s="31" t="n">
        <v>2832.81013195215</v>
      </c>
      <c r="BW63" s="31" t="n">
        <v>0</v>
      </c>
      <c r="BX63" s="31">
        <f>SUM(BT63:BW63)</f>
        <v/>
      </c>
      <c r="BY63" s="31">
        <f>BS63+BX63</f>
        <v/>
      </c>
    </row>
    <row r="64">
      <c r="A64" s="28" t="inlineStr">
        <is>
          <t>6100</t>
        </is>
      </c>
      <c r="B64" s="28" t="inlineStr">
        <is>
          <t>Telecomunicações</t>
        </is>
      </c>
      <c r="C64" s="29" t="n">
        <v>5.669807546469353</v>
      </c>
      <c r="D64" s="29" t="n">
        <v>3.241764113544261</v>
      </c>
      <c r="E64" s="29" t="n">
        <v>6.474782487800247</v>
      </c>
      <c r="F64" s="29" t="n">
        <v>26.6658079595619</v>
      </c>
      <c r="G64" s="29" t="n">
        <v>490.6841507866949</v>
      </c>
      <c r="H64" s="29" t="n">
        <v>58.50854925193767</v>
      </c>
      <c r="I64" s="29" t="n">
        <v>22.62238288050363</v>
      </c>
      <c r="J64" s="29" t="n">
        <v>575.3684246274371</v>
      </c>
      <c r="K64" s="29" t="n">
        <v>165.0169663753637</v>
      </c>
      <c r="L64" s="29" t="n">
        <v>1070.386946319149</v>
      </c>
      <c r="M64" s="29" t="n">
        <v>326.7293932682832</v>
      </c>
      <c r="N64" s="29" t="n">
        <v>15.49181273575991</v>
      </c>
      <c r="O64" s="29" t="n">
        <v>195.3982791468693</v>
      </c>
      <c r="P64" s="29" t="n">
        <v>502.472563381812</v>
      </c>
      <c r="Q64" s="29" t="n">
        <v>155.1174062597873</v>
      </c>
      <c r="R64" s="29" t="n">
        <v>75.05586011327215</v>
      </c>
      <c r="S64" s="29" t="n">
        <v>290.5989987029412</v>
      </c>
      <c r="T64" s="29" t="n">
        <v>323.0496368068756</v>
      </c>
      <c r="U64" s="29" t="n">
        <v>185.8570142580999</v>
      </c>
      <c r="V64" s="29" t="n">
        <v>98.06664408694698</v>
      </c>
      <c r="W64" s="29" t="n">
        <v>228.9931122763131</v>
      </c>
      <c r="X64" s="29" t="n">
        <v>198.53795152557</v>
      </c>
      <c r="Y64" s="29" t="n">
        <v>27.66923397401635</v>
      </c>
      <c r="Z64" s="29" t="n">
        <v>203.3263180007078</v>
      </c>
      <c r="AA64" s="29" t="n">
        <v>282.9269296455379</v>
      </c>
      <c r="AB64" s="29" t="n">
        <v>451.1213501207436</v>
      </c>
      <c r="AC64" s="29" t="n">
        <v>142.0756440948503</v>
      </c>
      <c r="AD64" s="29" t="n">
        <v>56.07374057304369</v>
      </c>
      <c r="AE64" s="29" t="n">
        <v>371.4426360095931</v>
      </c>
      <c r="AF64" s="29" t="n">
        <v>761.9534894253781</v>
      </c>
      <c r="AG64" s="29" t="n">
        <v>386.7508071320731</v>
      </c>
      <c r="AH64" s="29" t="n">
        <v>470.2568774669306</v>
      </c>
      <c r="AI64" s="29" t="n">
        <v>1251.247660161468</v>
      </c>
      <c r="AJ64" s="29" t="n">
        <v>1012.510652294832</v>
      </c>
      <c r="AK64" s="29" t="n">
        <v>237.982645250276</v>
      </c>
      <c r="AL64" s="29" t="n">
        <v>399.6392703152169</v>
      </c>
      <c r="AM64" s="29" t="n">
        <v>91.20373509464579</v>
      </c>
      <c r="AN64" s="29" t="n">
        <v>382.1126274690624</v>
      </c>
      <c r="AO64" s="29" t="n">
        <v>137.3086226930506</v>
      </c>
      <c r="AP64" s="29" t="n">
        <v>1221.992759717603</v>
      </c>
      <c r="AQ64" s="29" t="n">
        <v>1062.502369788403</v>
      </c>
      <c r="AR64" s="29" t="n">
        <v>5811.687283704758</v>
      </c>
      <c r="AS64" s="29" t="n">
        <v>765.7476111270288</v>
      </c>
      <c r="AT64" s="29" t="n">
        <v>26.04343464945751</v>
      </c>
      <c r="AU64" s="29" t="n">
        <v>56.01991374304261</v>
      </c>
      <c r="AV64" s="29" t="n">
        <v>672.5822200575402</v>
      </c>
      <c r="AW64" s="29" t="n">
        <v>204.8943476319586</v>
      </c>
      <c r="AX64" s="29" t="n">
        <v>559.5704844779557</v>
      </c>
      <c r="AY64" s="29" t="n">
        <v>158.3365666761495</v>
      </c>
      <c r="AZ64" s="29" t="n">
        <v>304.8045383267549</v>
      </c>
      <c r="BA64" s="29" t="n">
        <v>20687.3915381515</v>
      </c>
      <c r="BB64" s="29" t="n">
        <v>1252.438384928559</v>
      </c>
      <c r="BC64" s="29" t="n">
        <v>7788.920818161297</v>
      </c>
      <c r="BD64" s="29" t="n">
        <v>577.7048656484078</v>
      </c>
      <c r="BE64" s="29" t="n">
        <v>2208.933529177448</v>
      </c>
      <c r="BF64" s="29" t="n">
        <v>375.4545944968902</v>
      </c>
      <c r="BG64" s="29" t="n">
        <v>2198.02141503335</v>
      </c>
      <c r="BH64" s="29" t="n">
        <v>118.1791092597272</v>
      </c>
      <c r="BI64" s="29" t="n">
        <v>1363.379975766989</v>
      </c>
      <c r="BJ64" s="29" t="n">
        <v>249.0823466463233</v>
      </c>
      <c r="BK64" s="29" t="n">
        <v>4395.07896411094</v>
      </c>
      <c r="BL64" s="29" t="n">
        <v>886.9366129411497</v>
      </c>
      <c r="BM64" s="29" t="n">
        <v>1031.445750006114</v>
      </c>
      <c r="BN64" s="29" t="n">
        <v>431.1243839406874</v>
      </c>
      <c r="BO64" s="29" t="n">
        <v>868.2236259740424</v>
      </c>
      <c r="BP64" s="29" t="n">
        <v>257.6320104021589</v>
      </c>
      <c r="BQ64" s="29" t="n">
        <v>1483.431393027749</v>
      </c>
      <c r="BR64" s="29" t="n">
        <v>0</v>
      </c>
      <c r="BS64" s="29">
        <f>SUM(C64:BR64)</f>
        <v/>
      </c>
      <c r="BT64" s="29" t="n">
        <v>0</v>
      </c>
      <c r="BU64" s="29" t="n">
        <v>0</v>
      </c>
      <c r="BV64" s="29" t="n">
        <v>94311.82865779361</v>
      </c>
      <c r="BW64" s="29" t="n">
        <v>0</v>
      </c>
      <c r="BX64" s="29">
        <f>SUM(BT64:BW64)</f>
        <v/>
      </c>
      <c r="BY64" s="29">
        <f>BS64+BX64</f>
        <v/>
      </c>
    </row>
    <row r="65">
      <c r="A65" s="30" t="inlineStr">
        <is>
          <t>6280</t>
        </is>
      </c>
      <c r="B65" s="30" t="inlineStr">
        <is>
          <t>Desenvolvimento de sistemas e outros serviços de informação</t>
        </is>
      </c>
      <c r="C65" s="31" t="n">
        <v>15.59381765696729</v>
      </c>
      <c r="D65" s="31" t="n">
        <v>8.674039575995678</v>
      </c>
      <c r="E65" s="31" t="n">
        <v>0.8725704549275831</v>
      </c>
      <c r="F65" s="31" t="n">
        <v>1.06482704115706</v>
      </c>
      <c r="G65" s="31" t="n">
        <v>43.83727729619061</v>
      </c>
      <c r="H65" s="31" t="n">
        <v>144.4810417669361</v>
      </c>
      <c r="I65" s="31" t="n">
        <v>23.74276136278241</v>
      </c>
      <c r="J65" s="31" t="n">
        <v>369.0305747691582</v>
      </c>
      <c r="K65" s="31" t="n">
        <v>11.1867648320671</v>
      </c>
      <c r="L65" s="31" t="n">
        <v>610.7148464701952</v>
      </c>
      <c r="M65" s="31" t="n">
        <v>57.66157843047766</v>
      </c>
      <c r="N65" s="31" t="n">
        <v>27.93777469329592</v>
      </c>
      <c r="O65" s="31" t="n">
        <v>36.36607250449624</v>
      </c>
      <c r="P65" s="31" t="n">
        <v>44.98623488442433</v>
      </c>
      <c r="Q65" s="31" t="n">
        <v>15.68668485560134</v>
      </c>
      <c r="R65" s="31" t="n">
        <v>10.79564563935707</v>
      </c>
      <c r="S65" s="31" t="n">
        <v>118.8831714690571</v>
      </c>
      <c r="T65" s="31" t="n">
        <v>3.953782585787569</v>
      </c>
      <c r="U65" s="31" t="n">
        <v>34.88044172010353</v>
      </c>
      <c r="V65" s="31" t="n">
        <v>3.262899709396767</v>
      </c>
      <c r="W65" s="31" t="n">
        <v>258.3911633325888</v>
      </c>
      <c r="X65" s="31" t="n">
        <v>157.7226789857396</v>
      </c>
      <c r="Y65" s="31" t="n">
        <v>18.27555878904965</v>
      </c>
      <c r="Z65" s="31" t="n">
        <v>297.9253374086225</v>
      </c>
      <c r="AA65" s="31" t="n">
        <v>116.4562320723638</v>
      </c>
      <c r="AB65" s="31" t="n">
        <v>86.79879866315521</v>
      </c>
      <c r="AC65" s="31" t="n">
        <v>124.1734495676304</v>
      </c>
      <c r="AD65" s="31" t="n">
        <v>21.57743034921</v>
      </c>
      <c r="AE65" s="31" t="n">
        <v>96.55686073291359</v>
      </c>
      <c r="AF65" s="31" t="n">
        <v>222.8103246046367</v>
      </c>
      <c r="AG65" s="31" t="n">
        <v>279.7043268022787</v>
      </c>
      <c r="AH65" s="31" t="n">
        <v>189.3936234699923</v>
      </c>
      <c r="AI65" s="31" t="n">
        <v>718.7981801914956</v>
      </c>
      <c r="AJ65" s="31" t="n">
        <v>90.89155890539661</v>
      </c>
      <c r="AK65" s="31" t="n">
        <v>65.82901447652931</v>
      </c>
      <c r="AL65" s="31" t="n">
        <v>95.70792419307762</v>
      </c>
      <c r="AM65" s="31" t="n">
        <v>60.95139612010831</v>
      </c>
      <c r="AN65" s="31" t="n">
        <v>992.8435518389124</v>
      </c>
      <c r="AO65" s="31" t="n">
        <v>233.9134426749728</v>
      </c>
      <c r="AP65" s="31" t="n">
        <v>447.6751892603268</v>
      </c>
      <c r="AQ65" s="31" t="n">
        <v>345.5396579419044</v>
      </c>
      <c r="AR65" s="31" t="n">
        <v>6304.017076561221</v>
      </c>
      <c r="AS65" s="31" t="n">
        <v>631.0988799379155</v>
      </c>
      <c r="AT65" s="31" t="n">
        <v>0.9536520000754983</v>
      </c>
      <c r="AU65" s="31" t="n">
        <v>545.7330407532783</v>
      </c>
      <c r="AV65" s="31" t="n">
        <v>890.6855254393928</v>
      </c>
      <c r="AW65" s="31" t="n">
        <v>55.13658703713806</v>
      </c>
      <c r="AX65" s="31" t="n">
        <v>70.04714473144352</v>
      </c>
      <c r="AY65" s="31" t="n">
        <v>549.865655395983</v>
      </c>
      <c r="AZ65" s="31" t="n">
        <v>910.922701669444</v>
      </c>
      <c r="BA65" s="31" t="n">
        <v>2657.526273823475</v>
      </c>
      <c r="BB65" s="31" t="n">
        <v>6357.883538018596</v>
      </c>
      <c r="BC65" s="31" t="n">
        <v>12992.0169646738</v>
      </c>
      <c r="BD65" s="31" t="n">
        <v>292.697711254385</v>
      </c>
      <c r="BE65" s="31" t="n">
        <v>1920.94497880701</v>
      </c>
      <c r="BF65" s="31" t="n">
        <v>49.22817474013483</v>
      </c>
      <c r="BG65" s="31" t="n">
        <v>3746.30884376131</v>
      </c>
      <c r="BH65" s="31" t="n">
        <v>304.1149049340551</v>
      </c>
      <c r="BI65" s="31" t="n">
        <v>641.6898945615378</v>
      </c>
      <c r="BJ65" s="31" t="n">
        <v>139.6737281125978</v>
      </c>
      <c r="BK65" s="31" t="n">
        <v>7860.277457127903</v>
      </c>
      <c r="BL65" s="31" t="n">
        <v>1280.17373226293</v>
      </c>
      <c r="BM65" s="31" t="n">
        <v>292.5770875367489</v>
      </c>
      <c r="BN65" s="31" t="n">
        <v>2143.700341904784</v>
      </c>
      <c r="BO65" s="31" t="n">
        <v>1.650218652006431</v>
      </c>
      <c r="BP65" s="31" t="n">
        <v>138.9302565322422</v>
      </c>
      <c r="BQ65" s="31" t="n">
        <v>1194.473265206854</v>
      </c>
      <c r="BR65" s="31" t="n">
        <v>0</v>
      </c>
      <c r="BS65" s="31">
        <f>SUM(C65:BR65)</f>
        <v/>
      </c>
      <c r="BT65" s="31" t="n">
        <v>0</v>
      </c>
      <c r="BU65" s="31" t="n">
        <v>0</v>
      </c>
      <c r="BV65" s="31" t="n">
        <v>56993.96007184607</v>
      </c>
      <c r="BW65" s="31" t="n">
        <v>0</v>
      </c>
      <c r="BX65" s="31">
        <f>SUM(BT65:BW65)</f>
        <v/>
      </c>
      <c r="BY65" s="31">
        <f>BS65+BX65</f>
        <v/>
      </c>
    </row>
    <row r="66">
      <c r="A66" s="28" t="inlineStr">
        <is>
          <t>6480</t>
        </is>
      </c>
      <c r="B66" s="28" t="inlineStr">
        <is>
          <t>Intermediação financeira, seguros e previdência complementar</t>
        </is>
      </c>
      <c r="C66" s="29" t="n">
        <v>4818.355334957524</v>
      </c>
      <c r="D66" s="29" t="n">
        <v>1718.979153919053</v>
      </c>
      <c r="E66" s="29" t="n">
        <v>404.1867702491943</v>
      </c>
      <c r="F66" s="29" t="n">
        <v>574.9454526826053</v>
      </c>
      <c r="G66" s="29" t="n">
        <v>3981.280728645394</v>
      </c>
      <c r="H66" s="29" t="n">
        <v>1707.508770928843</v>
      </c>
      <c r="I66" s="29" t="n">
        <v>373.0302907716615</v>
      </c>
      <c r="J66" s="29" t="n">
        <v>4194.893844219011</v>
      </c>
      <c r="K66" s="29" t="n">
        <v>1377.676625503918</v>
      </c>
      <c r="L66" s="29" t="n">
        <v>4115.647041509338</v>
      </c>
      <c r="M66" s="29" t="n">
        <v>1251.326390818853</v>
      </c>
      <c r="N66" s="29" t="n">
        <v>291.4460744284897</v>
      </c>
      <c r="O66" s="29" t="n">
        <v>774.9967766307534</v>
      </c>
      <c r="P66" s="29" t="n">
        <v>944.5424708214953</v>
      </c>
      <c r="Q66" s="29" t="n">
        <v>689.8116005725859</v>
      </c>
      <c r="R66" s="29" t="n">
        <v>461.5349725299035</v>
      </c>
      <c r="S66" s="29" t="n">
        <v>1705.688618149034</v>
      </c>
      <c r="T66" s="29" t="n">
        <v>369.0523613949223</v>
      </c>
      <c r="U66" s="29" t="n">
        <v>2797.662181988133</v>
      </c>
      <c r="V66" s="29" t="n">
        <v>783.2118393173946</v>
      </c>
      <c r="W66" s="29" t="n">
        <v>2990.068234464097</v>
      </c>
      <c r="X66" s="29" t="n">
        <v>1169.761582469574</v>
      </c>
      <c r="Y66" s="29" t="n">
        <v>677.70156359517</v>
      </c>
      <c r="Z66" s="29" t="n">
        <v>854.2505130981885</v>
      </c>
      <c r="AA66" s="29" t="n">
        <v>1648.046940760062</v>
      </c>
      <c r="AB66" s="29" t="n">
        <v>1964.789864037449</v>
      </c>
      <c r="AC66" s="29" t="n">
        <v>2365.323705739559</v>
      </c>
      <c r="AD66" s="29" t="n">
        <v>971.1797898351633</v>
      </c>
      <c r="AE66" s="29" t="n">
        <v>1551.760351318451</v>
      </c>
      <c r="AF66" s="29" t="n">
        <v>1477.673831787608</v>
      </c>
      <c r="AG66" s="29" t="n">
        <v>1264.796665069201</v>
      </c>
      <c r="AH66" s="29" t="n">
        <v>2263.878305367869</v>
      </c>
      <c r="AI66" s="29" t="n">
        <v>2981.718987975426</v>
      </c>
      <c r="AJ66" s="29" t="n">
        <v>1142.001723422513</v>
      </c>
      <c r="AK66" s="29" t="n">
        <v>931.5897272727924</v>
      </c>
      <c r="AL66" s="29" t="n">
        <v>952.6208449376277</v>
      </c>
      <c r="AM66" s="29" t="n">
        <v>600.8154818243363</v>
      </c>
      <c r="AN66" s="29" t="n">
        <v>4866.001812698565</v>
      </c>
      <c r="AO66" s="29" t="n">
        <v>1087.86064272684</v>
      </c>
      <c r="AP66" s="29" t="n">
        <v>9146.51402783163</v>
      </c>
      <c r="AQ66" s="29" t="n">
        <v>2670.919913270532</v>
      </c>
      <c r="AR66" s="29" t="n">
        <v>24428.21250132635</v>
      </c>
      <c r="AS66" s="29" t="n">
        <v>7575.715120628983</v>
      </c>
      <c r="AT66" s="29" t="n">
        <v>439.5960569515349</v>
      </c>
      <c r="AU66" s="29" t="n">
        <v>1140.757741755114</v>
      </c>
      <c r="AV66" s="29" t="n">
        <v>2767.531369549108</v>
      </c>
      <c r="AW66" s="29" t="n">
        <v>544.0067051449713</v>
      </c>
      <c r="AX66" s="29" t="n">
        <v>2909.37542720384</v>
      </c>
      <c r="AY66" s="29" t="n">
        <v>500.1498251120892</v>
      </c>
      <c r="AZ66" s="29" t="n">
        <v>953.9995027722584</v>
      </c>
      <c r="BA66" s="29" t="n">
        <v>5649.974106616306</v>
      </c>
      <c r="BB66" s="29" t="n">
        <v>2111.211130290815</v>
      </c>
      <c r="BC66" s="29" t="n">
        <v>61008.16239070631</v>
      </c>
      <c r="BD66" s="29" t="n">
        <v>19396.00824976946</v>
      </c>
      <c r="BE66" s="29" t="n">
        <v>3721.280203334999</v>
      </c>
      <c r="BF66" s="29" t="n">
        <v>1442.091228285333</v>
      </c>
      <c r="BG66" s="29" t="n">
        <v>760.6491917298323</v>
      </c>
      <c r="BH66" s="29" t="n">
        <v>1251.054525487437</v>
      </c>
      <c r="BI66" s="29" t="n">
        <v>4118.160695294228</v>
      </c>
      <c r="BJ66" s="29" t="n">
        <v>880.3506269160689</v>
      </c>
      <c r="BK66" s="29" t="n">
        <v>46851.76047558515</v>
      </c>
      <c r="BL66" s="29" t="n">
        <v>376.561185616245</v>
      </c>
      <c r="BM66" s="29" t="n">
        <v>1647.560367796087</v>
      </c>
      <c r="BN66" s="29" t="n">
        <v>403.5568019688006</v>
      </c>
      <c r="BO66" s="29" t="n">
        <v>3906.342708438451</v>
      </c>
      <c r="BP66" s="29" t="n">
        <v>907.6625369857195</v>
      </c>
      <c r="BQ66" s="29" t="n">
        <v>2237.591666127885</v>
      </c>
      <c r="BR66" s="29" t="n">
        <v>0</v>
      </c>
      <c r="BS66" s="29">
        <f>SUM(C66:BR66)</f>
        <v/>
      </c>
      <c r="BT66" s="29" t="n">
        <v>0</v>
      </c>
      <c r="BU66" s="29" t="n">
        <v>0</v>
      </c>
      <c r="BV66" s="29" t="n">
        <v>231049.6258490658</v>
      </c>
      <c r="BW66" s="29" t="n">
        <v>0</v>
      </c>
      <c r="BX66" s="29">
        <f>SUM(BT66:BW66)</f>
        <v/>
      </c>
      <c r="BY66" s="29">
        <f>BS66+BX66</f>
        <v/>
      </c>
    </row>
    <row r="67">
      <c r="A67" s="30" t="inlineStr">
        <is>
          <t>6800</t>
        </is>
      </c>
      <c r="B67" s="30" t="inlineStr">
        <is>
          <t>Atividades imobiliárias</t>
        </is>
      </c>
      <c r="C67" s="31" t="n">
        <v>5.714020513296514</v>
      </c>
      <c r="D67" s="31" t="n">
        <v>3.571262820810322</v>
      </c>
      <c r="E67" s="31" t="n">
        <v>5.714020513296514</v>
      </c>
      <c r="F67" s="31" t="n">
        <v>15.71355641156542</v>
      </c>
      <c r="G67" s="31" t="n">
        <v>205.7047384786746</v>
      </c>
      <c r="H67" s="31" t="n">
        <v>17.14206153988954</v>
      </c>
      <c r="I67" s="31" t="n">
        <v>13.57079871907922</v>
      </c>
      <c r="J67" s="31" t="n">
        <v>432.1228013180489</v>
      </c>
      <c r="K67" s="31" t="n">
        <v>122.137188471713</v>
      </c>
      <c r="L67" s="31" t="n">
        <v>324.9849166937393</v>
      </c>
      <c r="M67" s="31" t="n">
        <v>49.28342692718244</v>
      </c>
      <c r="N67" s="31" t="n">
        <v>17.14206153988954</v>
      </c>
      <c r="O67" s="31" t="n">
        <v>228.5608205318606</v>
      </c>
      <c r="P67" s="31" t="n">
        <v>277.129994894881</v>
      </c>
      <c r="Q67" s="31" t="n">
        <v>71.42525641620644</v>
      </c>
      <c r="R67" s="31" t="n">
        <v>23.57033461734812</v>
      </c>
      <c r="S67" s="31" t="n">
        <v>107.1378846243096</v>
      </c>
      <c r="T67" s="31" t="n">
        <v>40.71239615723766</v>
      </c>
      <c r="U67" s="31" t="n">
        <v>116.4231679584165</v>
      </c>
      <c r="V67" s="31" t="n">
        <v>108.5663897526338</v>
      </c>
      <c r="W67" s="31" t="n">
        <v>112.8519051376062</v>
      </c>
      <c r="X67" s="31" t="n">
        <v>63.56847821042373</v>
      </c>
      <c r="Y67" s="31" t="n">
        <v>119.2801782150647</v>
      </c>
      <c r="Z67" s="31" t="n">
        <v>170.7063628347334</v>
      </c>
      <c r="AA67" s="31" t="n">
        <v>294.9863089989325</v>
      </c>
      <c r="AB67" s="31" t="n">
        <v>161.4210795006265</v>
      </c>
      <c r="AC67" s="31" t="n">
        <v>176.4203833480299</v>
      </c>
      <c r="AD67" s="31" t="n">
        <v>8.571030769944771</v>
      </c>
      <c r="AE67" s="31" t="n">
        <v>181.4201512971644</v>
      </c>
      <c r="AF67" s="31" t="n">
        <v>159.2783218081403</v>
      </c>
      <c r="AG67" s="31" t="n">
        <v>84.28180257112359</v>
      </c>
      <c r="AH67" s="31" t="n">
        <v>182.1344038613264</v>
      </c>
      <c r="AI67" s="31" t="n">
        <v>96.42409616187868</v>
      </c>
      <c r="AJ67" s="31" t="n">
        <v>138.5649974474405</v>
      </c>
      <c r="AK67" s="31" t="n">
        <v>59.28296282545134</v>
      </c>
      <c r="AL67" s="31" t="n">
        <v>173.5633730913816</v>
      </c>
      <c r="AM67" s="31" t="n">
        <v>38.56963846475148</v>
      </c>
      <c r="AN67" s="31" t="n">
        <v>801.3913769898361</v>
      </c>
      <c r="AO67" s="31" t="n">
        <v>199.990717965378</v>
      </c>
      <c r="AP67" s="31" t="n">
        <v>1171.374205225786</v>
      </c>
      <c r="AQ67" s="31" t="n">
        <v>2750.58662458811</v>
      </c>
      <c r="AR67" s="31" t="n">
        <v>26543.05378939063</v>
      </c>
      <c r="AS67" s="31" t="n">
        <v>824.2474590430222</v>
      </c>
      <c r="AT67" s="31" t="n">
        <v>46.42641667053418</v>
      </c>
      <c r="AU67" s="31" t="n">
        <v>77.85352949366501</v>
      </c>
      <c r="AV67" s="31" t="n">
        <v>1779.203137327702</v>
      </c>
      <c r="AW67" s="31" t="n">
        <v>859.2458346869633</v>
      </c>
      <c r="AX67" s="31" t="n">
        <v>3436.983338747853</v>
      </c>
      <c r="AY67" s="31" t="n">
        <v>221.4182948902399</v>
      </c>
      <c r="AZ67" s="31" t="n">
        <v>348.5552513110874</v>
      </c>
      <c r="BA67" s="31" t="n">
        <v>1957.766278368218</v>
      </c>
      <c r="BB67" s="31" t="n">
        <v>1114.23400009282</v>
      </c>
      <c r="BC67" s="31" t="n">
        <v>3935.531628532974</v>
      </c>
      <c r="BD67" s="31" t="n">
        <v>1665.636979625934</v>
      </c>
      <c r="BE67" s="31" t="n">
        <v>3431.983570798719</v>
      </c>
      <c r="BF67" s="31" t="n">
        <v>718.5380795470368</v>
      </c>
      <c r="BG67" s="31" t="n">
        <v>729.2518680094677</v>
      </c>
      <c r="BH67" s="31" t="n">
        <v>870.6738757135564</v>
      </c>
      <c r="BI67" s="31" t="n">
        <v>2060.618647607556</v>
      </c>
      <c r="BJ67" s="31" t="n">
        <v>187.8484243746229</v>
      </c>
      <c r="BK67" s="31" t="n">
        <v>1958.48053093238</v>
      </c>
      <c r="BL67" s="31" t="n">
        <v>502.1195526059312</v>
      </c>
      <c r="BM67" s="31" t="n">
        <v>2936.292291270247</v>
      </c>
      <c r="BN67" s="31" t="n">
        <v>338.5557154128185</v>
      </c>
      <c r="BO67" s="31" t="n">
        <v>1382.078711653594</v>
      </c>
      <c r="BP67" s="31" t="n">
        <v>2899.151157933819</v>
      </c>
      <c r="BQ67" s="31" t="n">
        <v>2212.754443774075</v>
      </c>
      <c r="BR67" s="31" t="n">
        <v>0</v>
      </c>
      <c r="BS67" s="31">
        <f>SUM(C67:BR67)</f>
        <v/>
      </c>
      <c r="BT67" s="31" t="n">
        <v>0</v>
      </c>
      <c r="BU67" s="31" t="n">
        <v>0</v>
      </c>
      <c r="BV67" s="31" t="n">
        <v>433430.5016939713</v>
      </c>
      <c r="BW67" s="31" t="n">
        <v>0</v>
      </c>
      <c r="BX67" s="31">
        <f>SUM(BT67:BW67)</f>
        <v/>
      </c>
      <c r="BY67" s="31">
        <f>BS67+BX67</f>
        <v/>
      </c>
    </row>
    <row r="68">
      <c r="A68" s="28" t="inlineStr">
        <is>
          <t>6980</t>
        </is>
      </c>
      <c r="B68" s="28" t="inlineStr">
        <is>
          <t>Atividades jurídicas, contábeis, consultoria e sedes de empresas</t>
        </is>
      </c>
      <c r="C68" s="29" t="n">
        <v>18.81783133168066</v>
      </c>
      <c r="D68" s="29" t="n">
        <v>9.858029329936537</v>
      </c>
      <c r="E68" s="29" t="n">
        <v>38.52161789857069</v>
      </c>
      <c r="F68" s="29" t="n">
        <v>430.0068431821471</v>
      </c>
      <c r="G68" s="29" t="n">
        <v>6640.524164097491</v>
      </c>
      <c r="H68" s="29" t="n">
        <v>2132.891294685563</v>
      </c>
      <c r="I68" s="29" t="n">
        <v>192.6313841219083</v>
      </c>
      <c r="J68" s="29" t="n">
        <v>3796.722213094812</v>
      </c>
      <c r="K68" s="29" t="n">
        <v>728.5946868106151</v>
      </c>
      <c r="L68" s="29" t="n">
        <v>5882.982496747492</v>
      </c>
      <c r="M68" s="29" t="n">
        <v>1600.912911716835</v>
      </c>
      <c r="N68" s="29" t="n">
        <v>666.6099780869259</v>
      </c>
      <c r="O68" s="29" t="n">
        <v>306.0571855775567</v>
      </c>
      <c r="P68" s="29" t="n">
        <v>279.3060578525791</v>
      </c>
      <c r="Q68" s="29" t="n">
        <v>196.0575738421176</v>
      </c>
      <c r="R68" s="29" t="n">
        <v>207.1353689280649</v>
      </c>
      <c r="S68" s="29" t="n">
        <v>1614.604436302458</v>
      </c>
      <c r="T68" s="29" t="n">
        <v>139.8217858817106</v>
      </c>
      <c r="U68" s="29" t="n">
        <v>4253.561465860172</v>
      </c>
      <c r="V68" s="29" t="n">
        <v>413.2882626541833</v>
      </c>
      <c r="W68" s="29" t="n">
        <v>2469.39448010564</v>
      </c>
      <c r="X68" s="29" t="n">
        <v>2769.649514193954</v>
      </c>
      <c r="Y68" s="29" t="n">
        <v>1167.328674466524</v>
      </c>
      <c r="Z68" s="29" t="n">
        <v>3215.98320111911</v>
      </c>
      <c r="AA68" s="29" t="n">
        <v>1395.227956069051</v>
      </c>
      <c r="AB68" s="29" t="n">
        <v>2218.038421138949</v>
      </c>
      <c r="AC68" s="29" t="n">
        <v>1263.205662791481</v>
      </c>
      <c r="AD68" s="29" t="n">
        <v>676.6168650412727</v>
      </c>
      <c r="AE68" s="29" t="n">
        <v>778.658218800103</v>
      </c>
      <c r="AF68" s="29" t="n">
        <v>2583.288082975124</v>
      </c>
      <c r="AG68" s="29" t="n">
        <v>1906.157605330087</v>
      </c>
      <c r="AH68" s="29" t="n">
        <v>1804.576303977976</v>
      </c>
      <c r="AI68" s="29" t="n">
        <v>2323.776469915154</v>
      </c>
      <c r="AJ68" s="29" t="n">
        <v>904.8351933606002</v>
      </c>
      <c r="AK68" s="29" t="n">
        <v>369.2206242043115</v>
      </c>
      <c r="AL68" s="29" t="n">
        <v>334.7142945625296</v>
      </c>
      <c r="AM68" s="29" t="n">
        <v>549.1396709979419</v>
      </c>
      <c r="AN68" s="29" t="n">
        <v>893.5600265966616</v>
      </c>
      <c r="AO68" s="29" t="n">
        <v>979.2054269459927</v>
      </c>
      <c r="AP68" s="29" t="n">
        <v>4627.361353543361</v>
      </c>
      <c r="AQ68" s="29" t="n">
        <v>5822.360755140756</v>
      </c>
      <c r="AR68" s="29" t="n">
        <v>18950.98668897133</v>
      </c>
      <c r="AS68" s="29" t="n">
        <v>1913.858901770087</v>
      </c>
      <c r="AT68" s="29" t="n">
        <v>93.18786773381649</v>
      </c>
      <c r="AU68" s="29" t="n">
        <v>389.7073061327587</v>
      </c>
      <c r="AV68" s="29" t="n">
        <v>1482.661707446991</v>
      </c>
      <c r="AW68" s="29" t="n">
        <v>185.037905814136</v>
      </c>
      <c r="AX68" s="29" t="n">
        <v>772.3994480019928</v>
      </c>
      <c r="AY68" s="29" t="n">
        <v>466.3552854989915</v>
      </c>
      <c r="AZ68" s="29" t="n">
        <v>2186.33143049249</v>
      </c>
      <c r="BA68" s="29" t="n">
        <v>3011.16840615078</v>
      </c>
      <c r="BB68" s="29" t="n">
        <v>2238.536049219731</v>
      </c>
      <c r="BC68" s="29" t="n">
        <v>13541.96155319604</v>
      </c>
      <c r="BD68" s="29" t="n">
        <v>1946.604841746839</v>
      </c>
      <c r="BE68" s="29" t="n">
        <v>13391.43179627047</v>
      </c>
      <c r="BF68" s="29" t="n">
        <v>4247.318532891345</v>
      </c>
      <c r="BG68" s="29" t="n">
        <v>314.9783258159545</v>
      </c>
      <c r="BH68" s="29" t="n">
        <v>721.6126442339247</v>
      </c>
      <c r="BI68" s="29" t="n">
        <v>2896.570312315628</v>
      </c>
      <c r="BJ68" s="29" t="n">
        <v>1075.071679406339</v>
      </c>
      <c r="BK68" s="29" t="n">
        <v>4222.041399900176</v>
      </c>
      <c r="BL68" s="29" t="n">
        <v>161.5363860426998</v>
      </c>
      <c r="BM68" s="29" t="n">
        <v>1635.636159843925</v>
      </c>
      <c r="BN68" s="29" t="n">
        <v>321.7829046124978</v>
      </c>
      <c r="BO68" s="29" t="n">
        <v>1736.826110148596</v>
      </c>
      <c r="BP68" s="29" t="n">
        <v>956.6271542332215</v>
      </c>
      <c r="BQ68" s="29" t="n">
        <v>2787.17418939623</v>
      </c>
      <c r="BR68" s="29" t="n">
        <v>0</v>
      </c>
      <c r="BS68" s="29">
        <f>SUM(C68:BR68)</f>
        <v/>
      </c>
      <c r="BT68" s="29" t="n">
        <v>0</v>
      </c>
      <c r="BU68" s="29" t="n">
        <v>0</v>
      </c>
      <c r="BV68" s="29" t="n">
        <v>24062.35986185554</v>
      </c>
      <c r="BW68" s="29" t="n">
        <v>0</v>
      </c>
      <c r="BX68" s="29">
        <f>SUM(BT68:BW68)</f>
        <v/>
      </c>
      <c r="BY68" s="29">
        <f>BS68+BX68</f>
        <v/>
      </c>
    </row>
    <row r="69">
      <c r="A69" s="30" t="inlineStr">
        <is>
          <t>7180</t>
        </is>
      </c>
      <c r="B69" s="30" t="inlineStr">
        <is>
          <t>Serviços de arquitetura, engenharia, testes/análises técnicas e P &amp; D</t>
        </is>
      </c>
      <c r="C69" s="31" t="n">
        <v>630.5828003179888</v>
      </c>
      <c r="D69" s="31" t="n">
        <v>24.34463356459258</v>
      </c>
      <c r="E69" s="31" t="n">
        <v>0.1078648637937711</v>
      </c>
      <c r="F69" s="31" t="n">
        <v>82.98585160786502</v>
      </c>
      <c r="G69" s="31" t="n">
        <v>2246.832843136432</v>
      </c>
      <c r="H69" s="31" t="n">
        <v>358.3259619260761</v>
      </c>
      <c r="I69" s="31" t="n">
        <v>165.0373475204427</v>
      </c>
      <c r="J69" s="31" t="n">
        <v>1310.648835559401</v>
      </c>
      <c r="K69" s="31" t="n">
        <v>407.3557888929606</v>
      </c>
      <c r="L69" s="31" t="n">
        <v>1226.36251254937</v>
      </c>
      <c r="M69" s="31" t="n">
        <v>273.4003646001001</v>
      </c>
      <c r="N69" s="31" t="n">
        <v>153.1058034738521</v>
      </c>
      <c r="O69" s="31" t="n">
        <v>88.32583396041662</v>
      </c>
      <c r="P69" s="31" t="n">
        <v>221.2307524861417</v>
      </c>
      <c r="Q69" s="31" t="n">
        <v>152.0295902842818</v>
      </c>
      <c r="R69" s="31" t="n">
        <v>51.78668164995049</v>
      </c>
      <c r="S69" s="31" t="n">
        <v>562.7683221746673</v>
      </c>
      <c r="T69" s="31" t="n">
        <v>56.17719643232289</v>
      </c>
      <c r="U69" s="31" t="n">
        <v>200.9173448103614</v>
      </c>
      <c r="V69" s="31" t="n">
        <v>254.1543829731618</v>
      </c>
      <c r="W69" s="31" t="n">
        <v>826.6507958353183</v>
      </c>
      <c r="X69" s="31" t="n">
        <v>647.3837091605258</v>
      </c>
      <c r="Y69" s="31" t="n">
        <v>527.8094651579109</v>
      </c>
      <c r="Z69" s="31" t="n">
        <v>1095.388543909708</v>
      </c>
      <c r="AA69" s="31" t="n">
        <v>1051.77309507372</v>
      </c>
      <c r="AB69" s="31" t="n">
        <v>784.1312418431897</v>
      </c>
      <c r="AC69" s="31" t="n">
        <v>435.1513340453502</v>
      </c>
      <c r="AD69" s="31" t="n">
        <v>316.029364874773</v>
      </c>
      <c r="AE69" s="31" t="n">
        <v>582.4472980768334</v>
      </c>
      <c r="AF69" s="31" t="n">
        <v>970.4186727006953</v>
      </c>
      <c r="AG69" s="31" t="n">
        <v>483.8739607597687</v>
      </c>
      <c r="AH69" s="31" t="n">
        <v>2268.262972381049</v>
      </c>
      <c r="AI69" s="31" t="n">
        <v>2459.207415666972</v>
      </c>
      <c r="AJ69" s="31" t="n">
        <v>815.6054464935009</v>
      </c>
      <c r="AK69" s="31" t="n">
        <v>341.0225118934421</v>
      </c>
      <c r="AL69" s="31" t="n">
        <v>309.7557649128128</v>
      </c>
      <c r="AM69" s="31" t="n">
        <v>223.2738527317894</v>
      </c>
      <c r="AN69" s="31" t="n">
        <v>3766.057355273954</v>
      </c>
      <c r="AO69" s="31" t="n">
        <v>536.3810815951086</v>
      </c>
      <c r="AP69" s="31" t="n">
        <v>5970.723350466995</v>
      </c>
      <c r="AQ69" s="31" t="n">
        <v>131.1114656888272</v>
      </c>
      <c r="AR69" s="31" t="n">
        <v>1975.257599118614</v>
      </c>
      <c r="AS69" s="31" t="n">
        <v>448.7204305932887</v>
      </c>
      <c r="AT69" s="31" t="n">
        <v>17.17117378026119</v>
      </c>
      <c r="AU69" s="31" t="n">
        <v>0.6295586692185152</v>
      </c>
      <c r="AV69" s="31" t="n">
        <v>5339.281910471823</v>
      </c>
      <c r="AW69" s="31" t="n">
        <v>14.09908100432053</v>
      </c>
      <c r="AX69" s="31" t="n">
        <v>29.52654339227623</v>
      </c>
      <c r="AY69" s="31" t="n">
        <v>2.249955603266298</v>
      </c>
      <c r="AZ69" s="31" t="n">
        <v>3.090073736610349</v>
      </c>
      <c r="BA69" s="31" t="n">
        <v>34.46540758903912</v>
      </c>
      <c r="BB69" s="31" t="n">
        <v>403.501740294618</v>
      </c>
      <c r="BC69" s="31" t="n">
        <v>916.3928739930238</v>
      </c>
      <c r="BD69" s="31" t="n">
        <v>36.60958237742637</v>
      </c>
      <c r="BE69" s="31" t="n">
        <v>27.9802897827666</v>
      </c>
      <c r="BF69" s="31" t="n">
        <v>4222.56280222209</v>
      </c>
      <c r="BG69" s="31" t="n">
        <v>5.957731485339296</v>
      </c>
      <c r="BH69" s="31" t="n">
        <v>99.48799905020189</v>
      </c>
      <c r="BI69" s="31" t="n">
        <v>44.73422630061184</v>
      </c>
      <c r="BJ69" s="31" t="n">
        <v>1.607617647044594</v>
      </c>
      <c r="BK69" s="31" t="n">
        <v>5287.087877206512</v>
      </c>
      <c r="BL69" s="31" t="n">
        <v>1799.329969291887</v>
      </c>
      <c r="BM69" s="31" t="n">
        <v>145.9004470090912</v>
      </c>
      <c r="BN69" s="31" t="n">
        <v>1720.944703055228</v>
      </c>
      <c r="BO69" s="31" t="n">
        <v>12.17547551338755</v>
      </c>
      <c r="BP69" s="31" t="n">
        <v>23.37151605528759</v>
      </c>
      <c r="BQ69" s="31" t="n">
        <v>17.93396933258705</v>
      </c>
      <c r="BR69" s="31" t="n">
        <v>0</v>
      </c>
      <c r="BS69" s="31">
        <f>SUM(C69:BR69)</f>
        <v/>
      </c>
      <c r="BT69" s="31" t="n">
        <v>0</v>
      </c>
      <c r="BU69" s="31" t="n">
        <v>0</v>
      </c>
      <c r="BV69" s="31" t="n">
        <v>17167.97091203571</v>
      </c>
      <c r="BW69" s="31" t="n">
        <v>0</v>
      </c>
      <c r="BX69" s="31">
        <f>SUM(BT69:BW69)</f>
        <v/>
      </c>
      <c r="BY69" s="31">
        <f>BS69+BX69</f>
        <v/>
      </c>
    </row>
    <row r="70">
      <c r="A70" s="28" t="inlineStr">
        <is>
          <t>7380</t>
        </is>
      </c>
      <c r="B70" s="28" t="inlineStr">
        <is>
          <t>Outras atividades profissionais, científicas e técnicas</t>
        </is>
      </c>
      <c r="C70" s="29" t="n">
        <v>12.85698428947679</v>
      </c>
      <c r="D70" s="29" t="n">
        <v>340.893158564996</v>
      </c>
      <c r="E70" s="29" t="n">
        <v>80.12533640253041</v>
      </c>
      <c r="F70" s="29" t="n">
        <v>32.53470584132709</v>
      </c>
      <c r="G70" s="29" t="n">
        <v>428.0275265458976</v>
      </c>
      <c r="H70" s="29" t="n">
        <v>6.094855936177856</v>
      </c>
      <c r="I70" s="29" t="n">
        <v>0.7909997120790592</v>
      </c>
      <c r="J70" s="29" t="n">
        <v>1872.889714402391</v>
      </c>
      <c r="K70" s="29" t="n">
        <v>143.1504440031965</v>
      </c>
      <c r="L70" s="29" t="n">
        <v>3005.354367208003</v>
      </c>
      <c r="M70" s="29" t="n">
        <v>4603.266167170516</v>
      </c>
      <c r="N70" s="29" t="n">
        <v>254.8388921165814</v>
      </c>
      <c r="O70" s="29" t="n">
        <v>90.48288898072096</v>
      </c>
      <c r="P70" s="29" t="n">
        <v>380.8395795154677</v>
      </c>
      <c r="Q70" s="29" t="n">
        <v>812.3662069692881</v>
      </c>
      <c r="R70" s="29" t="n">
        <v>28.88311181692174</v>
      </c>
      <c r="S70" s="29" t="n">
        <v>494.5499754475284</v>
      </c>
      <c r="T70" s="29" t="n">
        <v>67.34836729490449</v>
      </c>
      <c r="U70" s="29" t="n">
        <v>148.509024890887</v>
      </c>
      <c r="V70" s="29" t="n">
        <v>64.53915500957868</v>
      </c>
      <c r="W70" s="29" t="n">
        <v>101.0381163143035</v>
      </c>
      <c r="X70" s="29" t="n">
        <v>402.7172981218264</v>
      </c>
      <c r="Y70" s="29" t="n">
        <v>1201.201567664169</v>
      </c>
      <c r="Z70" s="29" t="n">
        <v>1714.338555002745</v>
      </c>
      <c r="AA70" s="29" t="n">
        <v>447.0886547247782</v>
      </c>
      <c r="AB70" s="29" t="n">
        <v>281.2052484790803</v>
      </c>
      <c r="AC70" s="29" t="n">
        <v>165.6108629581314</v>
      </c>
      <c r="AD70" s="29" t="n">
        <v>16.09385240483507</v>
      </c>
      <c r="AE70" s="29" t="n">
        <v>473.2903519185801</v>
      </c>
      <c r="AF70" s="29" t="n">
        <v>1501.742649020872</v>
      </c>
      <c r="AG70" s="29" t="n">
        <v>646.8905514247141</v>
      </c>
      <c r="AH70" s="29" t="n">
        <v>478.6366445503222</v>
      </c>
      <c r="AI70" s="29" t="n">
        <v>4433.206269380941</v>
      </c>
      <c r="AJ70" s="29" t="n">
        <v>135.4409527956235</v>
      </c>
      <c r="AK70" s="29" t="n">
        <v>278.2967375406516</v>
      </c>
      <c r="AL70" s="29" t="n">
        <v>396.568668431093</v>
      </c>
      <c r="AM70" s="29" t="n">
        <v>84.69644874293785</v>
      </c>
      <c r="AN70" s="29" t="n">
        <v>2708.949643837739</v>
      </c>
      <c r="AO70" s="29" t="n">
        <v>162.6975633286894</v>
      </c>
      <c r="AP70" s="29" t="n">
        <v>2021.468996078558</v>
      </c>
      <c r="AQ70" s="29" t="n">
        <v>2452.250378206911</v>
      </c>
      <c r="AR70" s="29" t="n">
        <v>14816.29848822059</v>
      </c>
      <c r="AS70" s="29" t="n">
        <v>554.7994498205684</v>
      </c>
      <c r="AT70" s="29" t="n">
        <v>31.7885861753674</v>
      </c>
      <c r="AU70" s="29" t="n">
        <v>178.4524480218391</v>
      </c>
      <c r="AV70" s="29" t="n">
        <v>934.362586249506</v>
      </c>
      <c r="AW70" s="29" t="n">
        <v>281.9700925528747</v>
      </c>
      <c r="AX70" s="29" t="n">
        <v>653.2068311504302</v>
      </c>
      <c r="AY70" s="29" t="n">
        <v>1015.607353280125</v>
      </c>
      <c r="AZ70" s="29" t="n">
        <v>1814.669723780321</v>
      </c>
      <c r="BA70" s="29" t="n">
        <v>3836.760098100935</v>
      </c>
      <c r="BB70" s="29" t="n">
        <v>1392.714383510034</v>
      </c>
      <c r="BC70" s="29" t="n">
        <v>9869.758490608943</v>
      </c>
      <c r="BD70" s="29" t="n">
        <v>852.6258822528947</v>
      </c>
      <c r="BE70" s="29" t="n">
        <v>3664.705349943677</v>
      </c>
      <c r="BF70" s="29" t="n">
        <v>371.0540520521151</v>
      </c>
      <c r="BG70" s="29" t="n">
        <v>1562.350725251096</v>
      </c>
      <c r="BH70" s="29" t="n">
        <v>916.8943044190044</v>
      </c>
      <c r="BI70" s="29" t="n">
        <v>1303.626465310376</v>
      </c>
      <c r="BJ70" s="29" t="n">
        <v>156.6576329582117</v>
      </c>
      <c r="BK70" s="29" t="n">
        <v>3668.436207362235</v>
      </c>
      <c r="BL70" s="29" t="n">
        <v>673.1701494221367</v>
      </c>
      <c r="BM70" s="29" t="n">
        <v>2196.950485422222</v>
      </c>
      <c r="BN70" s="29" t="n">
        <v>1038.094345954711</v>
      </c>
      <c r="BO70" s="29" t="n">
        <v>31.51119134367162</v>
      </c>
      <c r="BP70" s="29" t="n">
        <v>1380.604828762901</v>
      </c>
      <c r="BQ70" s="29" t="n">
        <v>1428.34036673758</v>
      </c>
      <c r="BR70" s="29" t="n">
        <v>0</v>
      </c>
      <c r="BS70" s="29">
        <f>SUM(C70:BR70)</f>
        <v/>
      </c>
      <c r="BT70" s="29" t="n">
        <v>0</v>
      </c>
      <c r="BU70" s="29" t="n">
        <v>0</v>
      </c>
      <c r="BV70" s="29" t="n">
        <v>3329.796392045604</v>
      </c>
      <c r="BW70" s="29" t="n">
        <v>0</v>
      </c>
      <c r="BX70" s="29">
        <f>SUM(BT70:BW70)</f>
        <v/>
      </c>
      <c r="BY70" s="29">
        <f>BS70+BX70</f>
        <v/>
      </c>
    </row>
    <row r="71">
      <c r="A71" s="30" t="inlineStr">
        <is>
          <t>7700</t>
        </is>
      </c>
      <c r="B71" s="30" t="inlineStr">
        <is>
          <t>Aluguéis não-imobiliários e gestão de ativos de propriedade intelectual</t>
        </is>
      </c>
      <c r="C71" s="31" t="n">
        <v>146.8266314505717</v>
      </c>
      <c r="D71" s="31" t="n">
        <v>25.78857738344078</v>
      </c>
      <c r="E71" s="31" t="n">
        <v>47.13832482087266</v>
      </c>
      <c r="F71" s="31" t="n">
        <v>143.8551298178773</v>
      </c>
      <c r="G71" s="31" t="n">
        <v>5500.889224505988</v>
      </c>
      <c r="H71" s="31" t="n">
        <v>605.666046147682</v>
      </c>
      <c r="I71" s="31" t="n">
        <v>157.6381271088239</v>
      </c>
      <c r="J71" s="31" t="n">
        <v>216.8735671515752</v>
      </c>
      <c r="K71" s="31" t="n">
        <v>230.5685696091119</v>
      </c>
      <c r="L71" s="31" t="n">
        <v>598.25470874702</v>
      </c>
      <c r="M71" s="31" t="n">
        <v>230.951768106609</v>
      </c>
      <c r="N71" s="31" t="n">
        <v>23.64151903138485</v>
      </c>
      <c r="O71" s="31" t="n">
        <v>36.37992334375205</v>
      </c>
      <c r="P71" s="31" t="n">
        <v>67.24849414022019</v>
      </c>
      <c r="Q71" s="31" t="n">
        <v>46.64396515372661</v>
      </c>
      <c r="R71" s="31" t="n">
        <v>84.88373205825519</v>
      </c>
      <c r="S71" s="31" t="n">
        <v>437.5073752461072</v>
      </c>
      <c r="T71" s="31" t="n">
        <v>138.4103874099903</v>
      </c>
      <c r="U71" s="31" t="n">
        <v>248.7096597243149</v>
      </c>
      <c r="V71" s="31" t="n">
        <v>53.93027187413986</v>
      </c>
      <c r="W71" s="31" t="n">
        <v>246.3668655476201</v>
      </c>
      <c r="X71" s="31" t="n">
        <v>255.7689687007349</v>
      </c>
      <c r="Y71" s="31" t="n">
        <v>56.66144143530141</v>
      </c>
      <c r="Z71" s="31" t="n">
        <v>122.4387286879133</v>
      </c>
      <c r="AA71" s="31" t="n">
        <v>328.5920249574865</v>
      </c>
      <c r="AB71" s="31" t="n">
        <v>318.1683718537244</v>
      </c>
      <c r="AC71" s="31" t="n">
        <v>527.839649395836</v>
      </c>
      <c r="AD71" s="31" t="n">
        <v>182.5967943406375</v>
      </c>
      <c r="AE71" s="31" t="n">
        <v>418.1726453843859</v>
      </c>
      <c r="AF71" s="31" t="n">
        <v>346.3311771359805</v>
      </c>
      <c r="AG71" s="31" t="n">
        <v>134.4107551175871</v>
      </c>
      <c r="AH71" s="31" t="n">
        <v>458.6692517825897</v>
      </c>
      <c r="AI71" s="31" t="n">
        <v>978.131799882195</v>
      </c>
      <c r="AJ71" s="31" t="n">
        <v>300.0405681117015</v>
      </c>
      <c r="AK71" s="31" t="n">
        <v>362.6596177178373</v>
      </c>
      <c r="AL71" s="31" t="n">
        <v>154.3527479037762</v>
      </c>
      <c r="AM71" s="31" t="n">
        <v>209.8465703525923</v>
      </c>
      <c r="AN71" s="31" t="n">
        <v>483.3845674571382</v>
      </c>
      <c r="AO71" s="31" t="n">
        <v>763.1326381305257</v>
      </c>
      <c r="AP71" s="31" t="n">
        <v>2760.912557233108</v>
      </c>
      <c r="AQ71" s="31" t="n">
        <v>485.0762520938656</v>
      </c>
      <c r="AR71" s="31" t="n">
        <v>4338.234080840197</v>
      </c>
      <c r="AS71" s="31" t="n">
        <v>2032.10131317145</v>
      </c>
      <c r="AT71" s="31" t="n">
        <v>509.4273643785122</v>
      </c>
      <c r="AU71" s="31" t="n">
        <v>1406.016420260683</v>
      </c>
      <c r="AV71" s="31" t="n">
        <v>1107.026314570065</v>
      </c>
      <c r="AW71" s="31" t="n">
        <v>77.65960479644454</v>
      </c>
      <c r="AX71" s="31" t="n">
        <v>587.5903518253278</v>
      </c>
      <c r="AY71" s="31" t="n">
        <v>493.1921036083619</v>
      </c>
      <c r="AZ71" s="31" t="n">
        <v>607.6131370372561</v>
      </c>
      <c r="BA71" s="31" t="n">
        <v>2963.789474345072</v>
      </c>
      <c r="BB71" s="31" t="n">
        <v>1229.135526376605</v>
      </c>
      <c r="BC71" s="31" t="n">
        <v>872.1381236475853</v>
      </c>
      <c r="BD71" s="31" t="n">
        <v>142.7454482725583</v>
      </c>
      <c r="BE71" s="31" t="n">
        <v>415.6819926976603</v>
      </c>
      <c r="BF71" s="31" t="n">
        <v>553.4310890569441</v>
      </c>
      <c r="BG71" s="31" t="n">
        <v>144.1553257968461</v>
      </c>
      <c r="BH71" s="31" t="n">
        <v>918.3421045001086</v>
      </c>
      <c r="BI71" s="31" t="n">
        <v>551.3555509112748</v>
      </c>
      <c r="BJ71" s="31" t="n">
        <v>172.9992124087449</v>
      </c>
      <c r="BK71" s="31" t="n">
        <v>1761.355818621218</v>
      </c>
      <c r="BL71" s="31" t="n">
        <v>716.6804796358184</v>
      </c>
      <c r="BM71" s="31" t="n">
        <v>1091.280983393399</v>
      </c>
      <c r="BN71" s="31" t="n">
        <v>876.7893763347399</v>
      </c>
      <c r="BO71" s="31" t="n">
        <v>393.2081091849964</v>
      </c>
      <c r="BP71" s="31" t="n">
        <v>315.4148878549261</v>
      </c>
      <c r="BQ71" s="31" t="n">
        <v>156.3826502450258</v>
      </c>
      <c r="BR71" s="31" t="n">
        <v>0</v>
      </c>
      <c r="BS71" s="31">
        <f>SUM(C71:BR71)</f>
        <v/>
      </c>
      <c r="BT71" s="31" t="n">
        <v>0</v>
      </c>
      <c r="BU71" s="31" t="n">
        <v>0</v>
      </c>
      <c r="BV71" s="31" t="n">
        <v>3776.854008606233</v>
      </c>
      <c r="BW71" s="31" t="n">
        <v>0</v>
      </c>
      <c r="BX71" s="31">
        <f>SUM(BT71:BW71)</f>
        <v/>
      </c>
      <c r="BY71" s="31">
        <f>BS71+BX71</f>
        <v/>
      </c>
    </row>
    <row r="72">
      <c r="A72" s="28" t="inlineStr">
        <is>
          <t>7880</t>
        </is>
      </c>
      <c r="B72" s="28" t="inlineStr">
        <is>
          <t>Outras atividades administrativas e serviços complementares</t>
        </is>
      </c>
      <c r="C72" s="29" t="n">
        <v>27.54677942562242</v>
      </c>
      <c r="D72" s="29" t="n">
        <v>16.22450584505619</v>
      </c>
      <c r="E72" s="29" t="n">
        <v>29.38295460380744</v>
      </c>
      <c r="F72" s="29" t="n">
        <v>413.4439754572712</v>
      </c>
      <c r="G72" s="29" t="n">
        <v>569.5279422255376</v>
      </c>
      <c r="H72" s="29" t="n">
        <v>334.9697390573849</v>
      </c>
      <c r="I72" s="29" t="n">
        <v>138.8883435569408</v>
      </c>
      <c r="J72" s="29" t="n">
        <v>623.1390182872376</v>
      </c>
      <c r="K72" s="29" t="n">
        <v>439.8853535750725</v>
      </c>
      <c r="L72" s="29" t="n">
        <v>987.7055023271374</v>
      </c>
      <c r="M72" s="29" t="n">
        <v>856.5000866675849</v>
      </c>
      <c r="N72" s="29" t="n">
        <v>119.6258986267066</v>
      </c>
      <c r="O72" s="29" t="n">
        <v>194.8719043408243</v>
      </c>
      <c r="P72" s="29" t="n">
        <v>147.1092961217766</v>
      </c>
      <c r="Q72" s="29" t="n">
        <v>215.1139045401285</v>
      </c>
      <c r="R72" s="29" t="n">
        <v>42.74114210850604</v>
      </c>
      <c r="S72" s="29" t="n">
        <v>558.261149604461</v>
      </c>
      <c r="T72" s="29" t="n">
        <v>36.04471220890566</v>
      </c>
      <c r="U72" s="29" t="n">
        <v>215.4011339790272</v>
      </c>
      <c r="V72" s="29" t="n">
        <v>331.4703042757084</v>
      </c>
      <c r="W72" s="29" t="n">
        <v>461.1187033944955</v>
      </c>
      <c r="X72" s="29" t="n">
        <v>676.9869192957605</v>
      </c>
      <c r="Y72" s="29" t="n">
        <v>357.0509466589291</v>
      </c>
      <c r="Z72" s="29" t="n">
        <v>1086.602737021307</v>
      </c>
      <c r="AA72" s="29" t="n">
        <v>636.8538963279279</v>
      </c>
      <c r="AB72" s="29" t="n">
        <v>766.623553017661</v>
      </c>
      <c r="AC72" s="29" t="n">
        <v>401.83689387278</v>
      </c>
      <c r="AD72" s="29" t="n">
        <v>398.8000373731132</v>
      </c>
      <c r="AE72" s="29" t="n">
        <v>606.6808505921296</v>
      </c>
      <c r="AF72" s="29" t="n">
        <v>899.5676768578752</v>
      </c>
      <c r="AG72" s="29" t="n">
        <v>595.1474280502155</v>
      </c>
      <c r="AH72" s="29" t="n">
        <v>1827.380949715381</v>
      </c>
      <c r="AI72" s="29" t="n">
        <v>1476.08918717847</v>
      </c>
      <c r="AJ72" s="29" t="n">
        <v>317.2861409902076</v>
      </c>
      <c r="AK72" s="29" t="n">
        <v>233.6642808833482</v>
      </c>
      <c r="AL72" s="29" t="n">
        <v>249.1566715932473</v>
      </c>
      <c r="AM72" s="29" t="n">
        <v>296.6890049349544</v>
      </c>
      <c r="AN72" s="29" t="n">
        <v>2424.302878399273</v>
      </c>
      <c r="AO72" s="29" t="n">
        <v>318.8389717720693</v>
      </c>
      <c r="AP72" s="29" t="n">
        <v>2379.394031214503</v>
      </c>
      <c r="AQ72" s="29" t="n">
        <v>1751.725392120236</v>
      </c>
      <c r="AR72" s="29" t="n">
        <v>22892.5102024417</v>
      </c>
      <c r="AS72" s="29" t="n">
        <v>1526.095957162792</v>
      </c>
      <c r="AT72" s="29" t="n">
        <v>84.43723230888767</v>
      </c>
      <c r="AU72" s="29" t="n">
        <v>749.4510964108367</v>
      </c>
      <c r="AV72" s="29" t="n">
        <v>2482.897243312978</v>
      </c>
      <c r="AW72" s="29" t="n">
        <v>745.5479406315918</v>
      </c>
      <c r="AX72" s="29" t="n">
        <v>1463.219523573866</v>
      </c>
      <c r="AY72" s="29" t="n">
        <v>297.4066918835152</v>
      </c>
      <c r="AZ72" s="29" t="n">
        <v>839.8571168258379</v>
      </c>
      <c r="BA72" s="29" t="n">
        <v>14801.1891648378</v>
      </c>
      <c r="BB72" s="29" t="n">
        <v>4365.54903845497</v>
      </c>
      <c r="BC72" s="29" t="n">
        <v>16774.80620602956</v>
      </c>
      <c r="BD72" s="29" t="n">
        <v>1178.746541112633</v>
      </c>
      <c r="BE72" s="29" t="n">
        <v>3103.180814822565</v>
      </c>
      <c r="BF72" s="29" t="n">
        <v>557.4918141083352</v>
      </c>
      <c r="BG72" s="29" t="n">
        <v>566.7681742033133</v>
      </c>
      <c r="BH72" s="29" t="n">
        <v>539.6671857862856</v>
      </c>
      <c r="BI72" s="29" t="n">
        <v>4455.04639533835</v>
      </c>
      <c r="BJ72" s="29" t="n">
        <v>324.2556036276829</v>
      </c>
      <c r="BK72" s="29" t="n">
        <v>21051.93039234951</v>
      </c>
      <c r="BL72" s="29" t="n">
        <v>10375.13627498693</v>
      </c>
      <c r="BM72" s="29" t="n">
        <v>2907.160627545566</v>
      </c>
      <c r="BN72" s="29" t="n">
        <v>9282.750509780641</v>
      </c>
      <c r="BO72" s="29" t="n">
        <v>2550.324447851905</v>
      </c>
      <c r="BP72" s="29" t="n">
        <v>928.8053137551991</v>
      </c>
      <c r="BQ72" s="29" t="n">
        <v>5188.897343434712</v>
      </c>
      <c r="BR72" s="29" t="n">
        <v>0</v>
      </c>
      <c r="BS72" s="29">
        <f>SUM(C72:BR72)</f>
        <v/>
      </c>
      <c r="BT72" s="29" t="n">
        <v>0</v>
      </c>
      <c r="BU72" s="29" t="n">
        <v>0</v>
      </c>
      <c r="BV72" s="29" t="n">
        <v>44288.17545404736</v>
      </c>
      <c r="BW72" s="29" t="n">
        <v>0</v>
      </c>
      <c r="BX72" s="29">
        <f>SUM(BT72:BW72)</f>
        <v/>
      </c>
      <c r="BY72" s="29">
        <f>BS72+BX72</f>
        <v/>
      </c>
    </row>
    <row r="73">
      <c r="A73" s="30" t="inlineStr">
        <is>
          <t>8000</t>
        </is>
      </c>
      <c r="B73" s="30" t="inlineStr">
        <is>
          <t>Atividades de vigilância, segurança e investigação</t>
        </is>
      </c>
      <c r="C73" s="31" t="n">
        <v>0.9699273965668957</v>
      </c>
      <c r="D73" s="31" t="n">
        <v>0.009382340116192513</v>
      </c>
      <c r="E73" s="31" t="n">
        <v>2.87287163154405</v>
      </c>
      <c r="F73" s="31" t="n">
        <v>6.798580018400854</v>
      </c>
      <c r="G73" s="31" t="n">
        <v>88.2428690419237</v>
      </c>
      <c r="H73" s="31" t="n">
        <v>48.98505917901064</v>
      </c>
      <c r="I73" s="31" t="n">
        <v>15.4331052843255</v>
      </c>
      <c r="J73" s="31" t="n">
        <v>316.3244086850166</v>
      </c>
      <c r="K73" s="31" t="n">
        <v>120.6018867834606</v>
      </c>
      <c r="L73" s="31" t="n">
        <v>268.037194753901</v>
      </c>
      <c r="M73" s="31" t="n">
        <v>113.4523164544767</v>
      </c>
      <c r="N73" s="31" t="n">
        <v>125.9149288902236</v>
      </c>
      <c r="O73" s="31" t="n">
        <v>34.24758657152264</v>
      </c>
      <c r="P73" s="31" t="n">
        <v>34.59098125036059</v>
      </c>
      <c r="Q73" s="31" t="n">
        <v>44.76133408718432</v>
      </c>
      <c r="R73" s="31" t="n">
        <v>46.65717420283084</v>
      </c>
      <c r="S73" s="31" t="n">
        <v>330.9059985617367</v>
      </c>
      <c r="T73" s="31" t="n">
        <v>19.35678726021042</v>
      </c>
      <c r="U73" s="31" t="n">
        <v>108.527081729758</v>
      </c>
      <c r="V73" s="31" t="n">
        <v>1.953524437124323</v>
      </c>
      <c r="W73" s="31" t="n">
        <v>218.4145877636901</v>
      </c>
      <c r="X73" s="31" t="n">
        <v>154.9852869793295</v>
      </c>
      <c r="Y73" s="31" t="n">
        <v>34.72075153714601</v>
      </c>
      <c r="Z73" s="31" t="n">
        <v>209.2379027406577</v>
      </c>
      <c r="AA73" s="31" t="n">
        <v>194.9394554456814</v>
      </c>
      <c r="AB73" s="31" t="n">
        <v>480.911736104366</v>
      </c>
      <c r="AC73" s="31" t="n">
        <v>66.62899840324573</v>
      </c>
      <c r="AD73" s="31" t="n">
        <v>57.55916948186986</v>
      </c>
      <c r="AE73" s="31" t="n">
        <v>217.1360918178457</v>
      </c>
      <c r="AF73" s="31" t="n">
        <v>176.6746546281135</v>
      </c>
      <c r="AG73" s="31" t="n">
        <v>95.71727999555814</v>
      </c>
      <c r="AH73" s="31" t="n">
        <v>289.2132760188111</v>
      </c>
      <c r="AI73" s="31" t="n">
        <v>621.5523550396962</v>
      </c>
      <c r="AJ73" s="31" t="n">
        <v>245.156464690605</v>
      </c>
      <c r="AK73" s="31" t="n">
        <v>135.4330381743337</v>
      </c>
      <c r="AL73" s="31" t="n">
        <v>56.34049348492471</v>
      </c>
      <c r="AM73" s="31" t="n">
        <v>156.0624987516728</v>
      </c>
      <c r="AN73" s="31" t="n">
        <v>298.8235128479208</v>
      </c>
      <c r="AO73" s="31" t="n">
        <v>421.2421332893375</v>
      </c>
      <c r="AP73" s="31" t="n">
        <v>804.3141060985245</v>
      </c>
      <c r="AQ73" s="31" t="n">
        <v>708.9321452310082</v>
      </c>
      <c r="AR73" s="31" t="n">
        <v>4588.817998326546</v>
      </c>
      <c r="AS73" s="31" t="n">
        <v>1257.954228260266</v>
      </c>
      <c r="AT73" s="31" t="n">
        <v>19.15428238369239</v>
      </c>
      <c r="AU73" s="31" t="n">
        <v>183.8014400862748</v>
      </c>
      <c r="AV73" s="31" t="n">
        <v>2516.893978068438</v>
      </c>
      <c r="AW73" s="31" t="n">
        <v>95.90723902509704</v>
      </c>
      <c r="AX73" s="31" t="n">
        <v>520.5101780506126</v>
      </c>
      <c r="AY73" s="31" t="n">
        <v>48.45785946746377</v>
      </c>
      <c r="AZ73" s="31" t="n">
        <v>293.5917616619639</v>
      </c>
      <c r="BA73" s="31" t="n">
        <v>707.6188442220741</v>
      </c>
      <c r="BB73" s="31" t="n">
        <v>422.2551199524771</v>
      </c>
      <c r="BC73" s="31" t="n">
        <v>5334.520087898968</v>
      </c>
      <c r="BD73" s="31" t="n">
        <v>191.8030302074936</v>
      </c>
      <c r="BE73" s="31" t="n">
        <v>761.7763760222281</v>
      </c>
      <c r="BF73" s="31" t="n">
        <v>13.67711129405939</v>
      </c>
      <c r="BG73" s="31" t="n">
        <v>180.5785588537674</v>
      </c>
      <c r="BH73" s="31" t="n">
        <v>118.8827864497518</v>
      </c>
      <c r="BI73" s="31" t="n">
        <v>582.2311736227928</v>
      </c>
      <c r="BJ73" s="31" t="n">
        <v>45.14727344911904</v>
      </c>
      <c r="BK73" s="31" t="n">
        <v>6542.963713666028</v>
      </c>
      <c r="BL73" s="31" t="n">
        <v>2825.796637002594</v>
      </c>
      <c r="BM73" s="31" t="n">
        <v>1235.467301775234</v>
      </c>
      <c r="BN73" s="31" t="n">
        <v>1248.276918444791</v>
      </c>
      <c r="BO73" s="31" t="n">
        <v>0.2993456165591498</v>
      </c>
      <c r="BP73" s="31" t="n">
        <v>161.4996970107507</v>
      </c>
      <c r="BQ73" s="31" t="n">
        <v>3.38820137591094</v>
      </c>
      <c r="BR73" s="31" t="n">
        <v>0</v>
      </c>
      <c r="BS73" s="31">
        <f>SUM(C73:BR73)</f>
        <v/>
      </c>
      <c r="BT73" s="31" t="n">
        <v>0</v>
      </c>
      <c r="BU73" s="31" t="n">
        <v>0</v>
      </c>
      <c r="BV73" s="31" t="n">
        <v>425.980176712754</v>
      </c>
      <c r="BW73" s="31" t="n">
        <v>0</v>
      </c>
      <c r="BX73" s="31">
        <f>SUM(BT73:BW73)</f>
        <v/>
      </c>
      <c r="BY73" s="31">
        <f>BS73+BX73</f>
        <v/>
      </c>
    </row>
    <row r="74">
      <c r="A74" s="28" t="inlineStr">
        <is>
          <t>8400</t>
        </is>
      </c>
      <c r="B74" s="28" t="inlineStr">
        <is>
          <t>Administração pública, defesa e seguridade social</t>
        </is>
      </c>
      <c r="C74" s="29" t="n">
        <v>117.4300199215082</v>
      </c>
      <c r="D74" s="29" t="n">
        <v>85.49738894071585</v>
      </c>
      <c r="E74" s="29" t="n">
        <v>15.92219481149239</v>
      </c>
      <c r="F74" s="29" t="n">
        <v>26.41364199080156</v>
      </c>
      <c r="G74" s="29" t="n">
        <v>451.1615973918823</v>
      </c>
      <c r="H74" s="29" t="n">
        <v>194.7293195237883</v>
      </c>
      <c r="I74" s="29" t="n">
        <v>42.22547908557986</v>
      </c>
      <c r="J74" s="29" t="n">
        <v>467.9764083477213</v>
      </c>
      <c r="K74" s="29" t="n">
        <v>115.8396849862998</v>
      </c>
      <c r="L74" s="29" t="n">
        <v>995.5893964512095</v>
      </c>
      <c r="M74" s="29" t="n">
        <v>527.8934881088669</v>
      </c>
      <c r="N74" s="29" t="n">
        <v>71.57457558430252</v>
      </c>
      <c r="O74" s="29" t="n">
        <v>35.85191940693628</v>
      </c>
      <c r="P74" s="29" t="n">
        <v>60.64387749336567</v>
      </c>
      <c r="Q74" s="29" t="n">
        <v>91.40587498529489</v>
      </c>
      <c r="R74" s="29" t="n">
        <v>41.50925408092879</v>
      </c>
      <c r="S74" s="29" t="n">
        <v>184.626291125157</v>
      </c>
      <c r="T74" s="29" t="n">
        <v>18.40847044036041</v>
      </c>
      <c r="U74" s="29" t="n">
        <v>193.7079706745416</v>
      </c>
      <c r="V74" s="29" t="n">
        <v>50.36535637326222</v>
      </c>
      <c r="W74" s="29" t="n">
        <v>389.8080341400181</v>
      </c>
      <c r="X74" s="29" t="n">
        <v>208.8076136009424</v>
      </c>
      <c r="Y74" s="29" t="n">
        <v>190.5236799448678</v>
      </c>
      <c r="Z74" s="29" t="n">
        <v>363.0624317324566</v>
      </c>
      <c r="AA74" s="29" t="n">
        <v>162.8250721310285</v>
      </c>
      <c r="AB74" s="29" t="n">
        <v>192.858548911896</v>
      </c>
      <c r="AC74" s="29" t="n">
        <v>299.5271861826891</v>
      </c>
      <c r="AD74" s="29" t="n">
        <v>137.5344559502018</v>
      </c>
      <c r="AE74" s="29" t="n">
        <v>145.7610284889018</v>
      </c>
      <c r="AF74" s="29" t="n">
        <v>272.5938717884073</v>
      </c>
      <c r="AG74" s="29" t="n">
        <v>195.6265827674896</v>
      </c>
      <c r="AH74" s="29" t="n">
        <v>266.4124471180832</v>
      </c>
      <c r="AI74" s="29" t="n">
        <v>683.5335932477508</v>
      </c>
      <c r="AJ74" s="29" t="n">
        <v>122.2473255216358</v>
      </c>
      <c r="AK74" s="29" t="n">
        <v>78.90580776205529</v>
      </c>
      <c r="AL74" s="29" t="n">
        <v>74.34583300874647</v>
      </c>
      <c r="AM74" s="29" t="n">
        <v>57.30625104190235</v>
      </c>
      <c r="AN74" s="29" t="n">
        <v>522.23220331122</v>
      </c>
      <c r="AO74" s="29" t="n">
        <v>106.5622553927881</v>
      </c>
      <c r="AP74" s="29" t="n">
        <v>553.295558860861</v>
      </c>
      <c r="AQ74" s="29" t="n">
        <v>453.2302375518784</v>
      </c>
      <c r="AR74" s="29" t="n">
        <v>2844.478132998536</v>
      </c>
      <c r="AS74" s="29" t="n">
        <v>408.3609366207044</v>
      </c>
      <c r="AT74" s="29" t="n">
        <v>96.83613030192527</v>
      </c>
      <c r="AU74" s="29" t="n">
        <v>161.6227103693517</v>
      </c>
      <c r="AV74" s="29" t="n">
        <v>408.7529455197484</v>
      </c>
      <c r="AW74" s="29" t="n">
        <v>54.97295893477911</v>
      </c>
      <c r="AX74" s="29" t="n">
        <v>166.1826977733342</v>
      </c>
      <c r="AY74" s="29" t="n">
        <v>112.5816000706541</v>
      </c>
      <c r="AZ74" s="29" t="n">
        <v>295.1764541270441</v>
      </c>
      <c r="BA74" s="29" t="n">
        <v>579.1850689199009</v>
      </c>
      <c r="BB74" s="29" t="n">
        <v>327.0594993429429</v>
      </c>
      <c r="BC74" s="29" t="n">
        <v>1675.140750017196</v>
      </c>
      <c r="BD74" s="29" t="n">
        <v>186.448191054391</v>
      </c>
      <c r="BE74" s="29" t="n">
        <v>888.7296116468738</v>
      </c>
      <c r="BF74" s="29" t="n">
        <v>466.718045344815</v>
      </c>
      <c r="BG74" s="29" t="n">
        <v>310.51820550279</v>
      </c>
      <c r="BH74" s="29" t="n">
        <v>126.6628481953426</v>
      </c>
      <c r="BI74" s="29" t="n">
        <v>422.6950535227167</v>
      </c>
      <c r="BJ74" s="29" t="n">
        <v>60.21548066433422</v>
      </c>
      <c r="BK74" s="29" t="n">
        <v>1276.472005951882</v>
      </c>
      <c r="BL74" s="29" t="n">
        <v>312.1517841638752</v>
      </c>
      <c r="BM74" s="29" t="n">
        <v>334.763038523544</v>
      </c>
      <c r="BN74" s="29" t="n">
        <v>315.2109282571482</v>
      </c>
      <c r="BO74" s="29" t="n">
        <v>228.9433212526153</v>
      </c>
      <c r="BP74" s="29" t="n">
        <v>197.1924396044762</v>
      </c>
      <c r="BQ74" s="29" t="n">
        <v>539.4849037945985</v>
      </c>
      <c r="BR74" s="29" t="n">
        <v>0</v>
      </c>
      <c r="BS74" s="29">
        <f>SUM(C74:BR74)</f>
        <v/>
      </c>
      <c r="BT74" s="29" t="n">
        <v>0</v>
      </c>
      <c r="BU74" s="29" t="n">
        <v>0</v>
      </c>
      <c r="BV74" s="29" t="n">
        <v>653556.4691692082</v>
      </c>
      <c r="BW74" s="29" t="n">
        <v>0</v>
      </c>
      <c r="BX74" s="29">
        <f>SUM(BT74:BW74)</f>
        <v/>
      </c>
      <c r="BY74" s="29">
        <f>BS74+BX74</f>
        <v/>
      </c>
    </row>
    <row r="75">
      <c r="A75" s="30" t="inlineStr">
        <is>
          <t>8591</t>
        </is>
      </c>
      <c r="B75" s="30" t="inlineStr">
        <is>
          <t>Educação pública</t>
        </is>
      </c>
      <c r="C75" s="31" t="n">
        <v>1.792286313818152</v>
      </c>
      <c r="D75" s="31" t="n">
        <v>0.3949538023084385</v>
      </c>
      <c r="E75" s="31" t="n">
        <v>0.1133112754760147</v>
      </c>
      <c r="F75" s="31" t="n">
        <v>2.167788382694074</v>
      </c>
      <c r="G75" s="31" t="n">
        <v>12.65545347983461</v>
      </c>
      <c r="H75" s="31" t="n">
        <v>33.26712191601026</v>
      </c>
      <c r="I75" s="31" t="n">
        <v>1.09663038295206</v>
      </c>
      <c r="J75" s="31" t="n">
        <v>40.05242604888812</v>
      </c>
      <c r="K75" s="31" t="n">
        <v>5.820522476898159</v>
      </c>
      <c r="L75" s="31" t="n">
        <v>24.74240856169246</v>
      </c>
      <c r="M75" s="31" t="n">
        <v>32.42456982792998</v>
      </c>
      <c r="N75" s="31" t="n">
        <v>7.463851044454332</v>
      </c>
      <c r="O75" s="31" t="n">
        <v>1.197138753850653</v>
      </c>
      <c r="P75" s="31" t="n">
        <v>6.920723744476265</v>
      </c>
      <c r="Q75" s="31" t="n">
        <v>9.660862389458485</v>
      </c>
      <c r="R75" s="31" t="n">
        <v>3.612681149359227</v>
      </c>
      <c r="S75" s="31" t="n">
        <v>13.78501123738796</v>
      </c>
      <c r="T75" s="31" t="n">
        <v>0.7154847025069286</v>
      </c>
      <c r="U75" s="31" t="n">
        <v>4.457198817244158</v>
      </c>
      <c r="V75" s="31" t="n">
        <v>1.226177148173397</v>
      </c>
      <c r="W75" s="31" t="n">
        <v>37.68976920851271</v>
      </c>
      <c r="X75" s="31" t="n">
        <v>13.35747277957643</v>
      </c>
      <c r="Y75" s="31" t="n">
        <v>27.92489166200716</v>
      </c>
      <c r="Z75" s="31" t="n">
        <v>76.47206338121674</v>
      </c>
      <c r="AA75" s="31" t="n">
        <v>16.90999443697367</v>
      </c>
      <c r="AB75" s="31" t="n">
        <v>16.02280105389186</v>
      </c>
      <c r="AC75" s="31" t="n">
        <v>12.79298048058199</v>
      </c>
      <c r="AD75" s="31" t="n">
        <v>34.13422185250661</v>
      </c>
      <c r="AE75" s="31" t="n">
        <v>7.289927302998251</v>
      </c>
      <c r="AF75" s="31" t="n">
        <v>25.74948034972412</v>
      </c>
      <c r="AG75" s="31" t="n">
        <v>47.18497597453821</v>
      </c>
      <c r="AH75" s="31" t="n">
        <v>54.99821677911289</v>
      </c>
      <c r="AI75" s="31" t="n">
        <v>99.17817107047009</v>
      </c>
      <c r="AJ75" s="31" t="n">
        <v>43.68344783582301</v>
      </c>
      <c r="AK75" s="31" t="n">
        <v>11.53887452555612</v>
      </c>
      <c r="AL75" s="31" t="n">
        <v>9.267960742819593</v>
      </c>
      <c r="AM75" s="31" t="n">
        <v>2.265353807378209</v>
      </c>
      <c r="AN75" s="31" t="n">
        <v>49.16440364916225</v>
      </c>
      <c r="AO75" s="31" t="n">
        <v>5.456478521149084</v>
      </c>
      <c r="AP75" s="31" t="n">
        <v>32.11106814391201</v>
      </c>
      <c r="AQ75" s="31" t="n">
        <v>10.98355393402233</v>
      </c>
      <c r="AR75" s="31" t="n">
        <v>142.3168869474292</v>
      </c>
      <c r="AS75" s="31" t="n">
        <v>12.53642166452887</v>
      </c>
      <c r="AT75" s="31" t="n">
        <v>0.9070612082791538</v>
      </c>
      <c r="AU75" s="31" t="n">
        <v>1.724750457955273</v>
      </c>
      <c r="AV75" s="31" t="n">
        <v>21.43980046051685</v>
      </c>
      <c r="AW75" s="31" t="n">
        <v>2.512925242419761</v>
      </c>
      <c r="AX75" s="31" t="n">
        <v>5.062602873102692</v>
      </c>
      <c r="AY75" s="31" t="n">
        <v>2.289717662676799</v>
      </c>
      <c r="AZ75" s="31" t="n">
        <v>3.487713017286904</v>
      </c>
      <c r="BA75" s="31" t="n">
        <v>74.04411891578351</v>
      </c>
      <c r="BB75" s="31" t="n">
        <v>34.71036845343259</v>
      </c>
      <c r="BC75" s="31" t="n">
        <v>76.37321647378056</v>
      </c>
      <c r="BD75" s="31" t="n">
        <v>4.111395352220346</v>
      </c>
      <c r="BE75" s="31" t="n">
        <v>38.40668913414834</v>
      </c>
      <c r="BF75" s="31" t="n">
        <v>278.4705810990116</v>
      </c>
      <c r="BG75" s="31" t="n">
        <v>6.961885938640002</v>
      </c>
      <c r="BH75" s="31" t="n">
        <v>13.31883127834477</v>
      </c>
      <c r="BI75" s="31" t="n">
        <v>20.57195443818532</v>
      </c>
      <c r="BJ75" s="31" t="n">
        <v>2.924970517707017</v>
      </c>
      <c r="BK75" s="31" t="n">
        <v>69.87210210831832</v>
      </c>
      <c r="BL75" s="31" t="n">
        <v>29.60157043356385</v>
      </c>
      <c r="BM75" s="31" t="n">
        <v>9.234145471928716</v>
      </c>
      <c r="BN75" s="31" t="n">
        <v>30.07415572696619</v>
      </c>
      <c r="BO75" s="31" t="n">
        <v>19.21604081062284</v>
      </c>
      <c r="BP75" s="31" t="n">
        <v>4.491024574175222</v>
      </c>
      <c r="BQ75" s="31" t="n">
        <v>22.8858379132687</v>
      </c>
      <c r="BR75" s="31" t="n">
        <v>0</v>
      </c>
      <c r="BS75" s="31">
        <f>SUM(C75:BR75)</f>
        <v/>
      </c>
      <c r="BT75" s="31" t="n">
        <v>0</v>
      </c>
      <c r="BU75" s="31" t="n">
        <v>0</v>
      </c>
      <c r="BV75" s="31" t="n">
        <v>282001.7030403323</v>
      </c>
      <c r="BW75" s="31" t="n">
        <v>0</v>
      </c>
      <c r="BX75" s="31">
        <f>SUM(BT75:BW75)</f>
        <v/>
      </c>
      <c r="BY75" s="31">
        <f>BS75+BX75</f>
        <v/>
      </c>
    </row>
    <row r="76">
      <c r="A76" s="28" t="inlineStr">
        <is>
          <t>8592</t>
        </is>
      </c>
      <c r="B76" s="28" t="inlineStr">
        <is>
          <t>Educação privada</t>
        </is>
      </c>
      <c r="C76" s="29" t="n">
        <v>2.834345664719663</v>
      </c>
      <c r="D76" s="29" t="n">
        <v>0.9505591834013472</v>
      </c>
      <c r="E76" s="29" t="n">
        <v>0.007136853287129427</v>
      </c>
      <c r="F76" s="29" t="n">
        <v>1.056258693312283</v>
      </c>
      <c r="G76" s="29" t="n">
        <v>31.36287592740941</v>
      </c>
      <c r="H76" s="29" t="n">
        <v>99.81911689738223</v>
      </c>
      <c r="I76" s="29" t="n">
        <v>21.71291357340822</v>
      </c>
      <c r="J76" s="29" t="n">
        <v>17.90839402163972</v>
      </c>
      <c r="K76" s="29" t="n">
        <v>1.106670616746068</v>
      </c>
      <c r="L76" s="29" t="n">
        <v>27.21560938074776</v>
      </c>
      <c r="M76" s="29" t="n">
        <v>2.265561136597548</v>
      </c>
      <c r="N76" s="29" t="n">
        <v>0.828732238712474</v>
      </c>
      <c r="O76" s="29" t="n">
        <v>2.502158894724971</v>
      </c>
      <c r="P76" s="29" t="n">
        <v>2.240760355296566</v>
      </c>
      <c r="Q76" s="29" t="n">
        <v>2.672624366020143</v>
      </c>
      <c r="R76" s="29" t="n">
        <v>0.791024523372407</v>
      </c>
      <c r="S76" s="29" t="n">
        <v>39.96205201157255</v>
      </c>
      <c r="T76" s="29" t="n">
        <v>0.2322983149833352</v>
      </c>
      <c r="U76" s="29" t="n">
        <v>8.661044244985593</v>
      </c>
      <c r="V76" s="29" t="n">
        <v>0.8873082270373859</v>
      </c>
      <c r="W76" s="29" t="n">
        <v>13.31251824122165</v>
      </c>
      <c r="X76" s="29" t="n">
        <v>23.44372007830753</v>
      </c>
      <c r="Y76" s="29" t="n">
        <v>1.987560473001383</v>
      </c>
      <c r="Z76" s="29" t="n">
        <v>7.426940334978364</v>
      </c>
      <c r="AA76" s="29" t="n">
        <v>6.456366635019122</v>
      </c>
      <c r="AB76" s="29" t="n">
        <v>3.368526527197419</v>
      </c>
      <c r="AC76" s="29" t="n">
        <v>163.1172216075384</v>
      </c>
      <c r="AD76" s="29" t="n">
        <v>62.1447526474719</v>
      </c>
      <c r="AE76" s="29" t="n">
        <v>63.35494788855478</v>
      </c>
      <c r="AF76" s="29" t="n">
        <v>4.238884086832196</v>
      </c>
      <c r="AG76" s="29" t="n">
        <v>5.188477986444998</v>
      </c>
      <c r="AH76" s="29" t="n">
        <v>36.32021443385078</v>
      </c>
      <c r="AI76" s="29" t="n">
        <v>102.0834661546339</v>
      </c>
      <c r="AJ76" s="29" t="n">
        <v>5.76672334870903</v>
      </c>
      <c r="AK76" s="29" t="n">
        <v>1.096702619525606</v>
      </c>
      <c r="AL76" s="29" t="n">
        <v>2.066988710040613</v>
      </c>
      <c r="AM76" s="29" t="n">
        <v>6.670483468405396</v>
      </c>
      <c r="AN76" s="29" t="n">
        <v>108.3318927434756</v>
      </c>
      <c r="AO76" s="29" t="n">
        <v>1.401279989991732</v>
      </c>
      <c r="AP76" s="29" t="n">
        <v>3.848393219262973</v>
      </c>
      <c r="AQ76" s="29" t="n">
        <v>26.92166192064211</v>
      </c>
      <c r="AR76" s="29" t="n">
        <v>690.7000186410764</v>
      </c>
      <c r="AS76" s="29" t="n">
        <v>866.2595948928969</v>
      </c>
      <c r="AT76" s="29" t="n">
        <v>63.00089350735239</v>
      </c>
      <c r="AU76" s="29" t="n">
        <v>12.31004239420323</v>
      </c>
      <c r="AV76" s="29" t="n">
        <v>229.5682584535256</v>
      </c>
      <c r="AW76" s="29" t="n">
        <v>2.012650679834095</v>
      </c>
      <c r="AX76" s="29" t="n">
        <v>4.292817252208351</v>
      </c>
      <c r="AY76" s="29" t="n">
        <v>1.488724372034905</v>
      </c>
      <c r="AZ76" s="29" t="n">
        <v>1.646063613823839</v>
      </c>
      <c r="BA76" s="29" t="n">
        <v>70.58162443333494</v>
      </c>
      <c r="BB76" s="29" t="n">
        <v>3.458033676166897</v>
      </c>
      <c r="BC76" s="29" t="n">
        <v>1620.9978574444</v>
      </c>
      <c r="BD76" s="29" t="n">
        <v>2.080392733198228</v>
      </c>
      <c r="BE76" s="29" t="n">
        <v>2349.923021141313</v>
      </c>
      <c r="BF76" s="29" t="n">
        <v>183.0176792828921</v>
      </c>
      <c r="BG76" s="29" t="n">
        <v>532.9967077983896</v>
      </c>
      <c r="BH76" s="29" t="n">
        <v>60.00545693886518</v>
      </c>
      <c r="BI76" s="29" t="n">
        <v>1194.449154318547</v>
      </c>
      <c r="BJ76" s="29" t="n">
        <v>130.9085835731501</v>
      </c>
      <c r="BK76" s="29" t="n">
        <v>463.714322554129</v>
      </c>
      <c r="BL76" s="29" t="n">
        <v>620.6617530587311</v>
      </c>
      <c r="BM76" s="29" t="n">
        <v>3.713635624166859</v>
      </c>
      <c r="BN76" s="29" t="n">
        <v>565.0301249932486</v>
      </c>
      <c r="BO76" s="29" t="n">
        <v>1.942324160566915</v>
      </c>
      <c r="BP76" s="29" t="n">
        <v>3.667626919761483</v>
      </c>
      <c r="BQ76" s="29" t="n">
        <v>371.9949951418008</v>
      </c>
      <c r="BR76" s="29" t="n">
        <v>0</v>
      </c>
      <c r="BS76" s="29">
        <f>SUM(C76:BR76)</f>
        <v/>
      </c>
      <c r="BT76" s="29" t="n">
        <v>0</v>
      </c>
      <c r="BU76" s="29" t="n">
        <v>0</v>
      </c>
      <c r="BV76" s="29" t="n">
        <v>88760.92767197172</v>
      </c>
      <c r="BW76" s="29" t="n">
        <v>0</v>
      </c>
      <c r="BX76" s="29">
        <f>SUM(BT76:BW76)</f>
        <v/>
      </c>
      <c r="BY76" s="29">
        <f>BS76+BX76</f>
        <v/>
      </c>
    </row>
    <row r="77">
      <c r="A77" s="30" t="inlineStr">
        <is>
          <t>8691</t>
        </is>
      </c>
      <c r="B77" s="30" t="inlineStr">
        <is>
          <t>Saúde pública</t>
        </is>
      </c>
      <c r="C77" s="31" t="n">
        <v>0.01932286512553268</v>
      </c>
      <c r="D77" s="31" t="n">
        <v>0.004592442928969656</v>
      </c>
      <c r="E77" s="31" t="n">
        <v>0.001481490784408417</v>
      </c>
      <c r="F77" s="31" t="n">
        <v>0.04700734540765165</v>
      </c>
      <c r="G77" s="31" t="n">
        <v>0.1165257783980805</v>
      </c>
      <c r="H77" s="31" t="n">
        <v>2.852334596306783</v>
      </c>
      <c r="I77" s="31" t="n">
        <v>0.008037560601658646</v>
      </c>
      <c r="J77" s="31" t="n">
        <v>2.538765656140907</v>
      </c>
      <c r="K77" s="31" t="n">
        <v>0.3665648266300773</v>
      </c>
      <c r="L77" s="31" t="n">
        <v>1.358388652950133</v>
      </c>
      <c r="M77" s="31" t="n">
        <v>2.699400569685841</v>
      </c>
      <c r="N77" s="31" t="n">
        <v>0.5987072472225802</v>
      </c>
      <c r="O77" s="31" t="n">
        <v>0.01084040451435124</v>
      </c>
      <c r="P77" s="31" t="n">
        <v>0.5351388419506035</v>
      </c>
      <c r="Q77" s="31" t="n">
        <v>0.8108641092090535</v>
      </c>
      <c r="R77" s="31" t="n">
        <v>0.3136876432108597</v>
      </c>
      <c r="S77" s="31" t="n">
        <v>0.9989168687279432</v>
      </c>
      <c r="T77" s="31" t="n">
        <v>0.0384139932811902</v>
      </c>
      <c r="U77" s="31" t="n">
        <v>0.0341621980196645</v>
      </c>
      <c r="V77" s="31" t="n">
        <v>0.01250406736523228</v>
      </c>
      <c r="W77" s="31" t="n">
        <v>3.181716082178186</v>
      </c>
      <c r="X77" s="31" t="n">
        <v>0.8366173409268195</v>
      </c>
      <c r="Y77" s="31" t="n">
        <v>2.418709608700321</v>
      </c>
      <c r="Z77" s="31" t="n">
        <v>6.666803540198075</v>
      </c>
      <c r="AA77" s="31" t="n">
        <v>1.221407225625871</v>
      </c>
      <c r="AB77" s="31" t="n">
        <v>1.016462201718412</v>
      </c>
      <c r="AC77" s="31" t="n">
        <v>0.8208776312619191</v>
      </c>
      <c r="AD77" s="31" t="n">
        <v>3.051466308334874</v>
      </c>
      <c r="AE77" s="31" t="n">
        <v>0.3120742330923427</v>
      </c>
      <c r="AF77" s="31" t="n">
        <v>1.832569696083008</v>
      </c>
      <c r="AG77" s="31" t="n">
        <v>4.17577654487678</v>
      </c>
      <c r="AH77" s="31" t="n">
        <v>4.210406505218315</v>
      </c>
      <c r="AI77" s="31" t="n">
        <v>8.62186985776029</v>
      </c>
      <c r="AJ77" s="31" t="n">
        <v>3.929610249655414</v>
      </c>
      <c r="AK77" s="31" t="n">
        <v>0.9821899265180011</v>
      </c>
      <c r="AL77" s="31" t="n">
        <v>0.7433281928018249</v>
      </c>
      <c r="AM77" s="31" t="n">
        <v>0.049871063977092</v>
      </c>
      <c r="AN77" s="31" t="n">
        <v>3.221379572458692</v>
      </c>
      <c r="AO77" s="31" t="n">
        <v>0.3031273235676278</v>
      </c>
      <c r="AP77" s="31" t="n">
        <v>0.983804875213198</v>
      </c>
      <c r="AQ77" s="31" t="n">
        <v>0.1184721076081031</v>
      </c>
      <c r="AR77" s="31" t="n">
        <v>5.246724188357284</v>
      </c>
      <c r="AS77" s="31" t="n">
        <v>0.05373075040266147</v>
      </c>
      <c r="AT77" s="31" t="n">
        <v>0.003439774836553946</v>
      </c>
      <c r="AU77" s="31" t="n">
        <v>0.01197639363266172</v>
      </c>
      <c r="AV77" s="31" t="n">
        <v>0.2208380964616194</v>
      </c>
      <c r="AW77" s="31" t="n">
        <v>0.02612898393808285</v>
      </c>
      <c r="AX77" s="31" t="n">
        <v>0.0704719877622115</v>
      </c>
      <c r="AY77" s="31" t="n">
        <v>0.08922729408048878</v>
      </c>
      <c r="AZ77" s="31" t="n">
        <v>0.04076560932958648</v>
      </c>
      <c r="BA77" s="31" t="n">
        <v>3.042646053492703</v>
      </c>
      <c r="BB77" s="31" t="n">
        <v>2.142967244953808</v>
      </c>
      <c r="BC77" s="31" t="n">
        <v>0.7495067398633116</v>
      </c>
      <c r="BD77" s="31" t="n">
        <v>0.050410570536464</v>
      </c>
      <c r="BE77" s="31" t="n">
        <v>0.1933555385111572</v>
      </c>
      <c r="BF77" s="31" t="n">
        <v>25.46494576565004</v>
      </c>
      <c r="BG77" s="31" t="n">
        <v>0.03595522096486656</v>
      </c>
      <c r="BH77" s="31" t="n">
        <v>1.000503938447619</v>
      </c>
      <c r="BI77" s="31" t="n">
        <v>0.1966847328479077</v>
      </c>
      <c r="BJ77" s="31" t="n">
        <v>0.01501971445216689</v>
      </c>
      <c r="BK77" s="31" t="n">
        <v>1.134261405377602</v>
      </c>
      <c r="BL77" s="31" t="n">
        <v>0.2201933784695104</v>
      </c>
      <c r="BM77" s="31" t="n">
        <v>0.1373773470304979</v>
      </c>
      <c r="BN77" s="31" t="n">
        <v>0.317360738189135</v>
      </c>
      <c r="BO77" s="31" t="n">
        <v>195.3229917461149</v>
      </c>
      <c r="BP77" s="31" t="n">
        <v>0.06814825441074002</v>
      </c>
      <c r="BQ77" s="31" t="n">
        <v>0.1251082131806387</v>
      </c>
      <c r="BR77" s="31" t="n">
        <v>0</v>
      </c>
      <c r="BS77" s="31">
        <f>SUM(C77:BR77)</f>
        <v/>
      </c>
      <c r="BT77" s="31" t="n">
        <v>0</v>
      </c>
      <c r="BU77" s="31" t="n">
        <v>0</v>
      </c>
      <c r="BV77" s="31" t="n">
        <v>166625.9550630725</v>
      </c>
      <c r="BW77" s="31" t="n">
        <v>0</v>
      </c>
      <c r="BX77" s="31">
        <f>SUM(BT77:BW77)</f>
        <v/>
      </c>
      <c r="BY77" s="31">
        <f>BS77+BX77</f>
        <v/>
      </c>
    </row>
    <row r="78">
      <c r="A78" s="28" t="inlineStr">
        <is>
          <t>8692</t>
        </is>
      </c>
      <c r="B78" s="28" t="inlineStr">
        <is>
          <t>Saúde privada</t>
        </is>
      </c>
      <c r="C78" s="29" t="n">
        <v>0.02153432032301481</v>
      </c>
      <c r="D78" s="29" t="n">
        <v>0.01345895020188425</v>
      </c>
      <c r="E78" s="29" t="n">
        <v>0.02153432032301481</v>
      </c>
      <c r="F78" s="29" t="n">
        <v>0.06088594468064921</v>
      </c>
      <c r="G78" s="29" t="n">
        <v>0.7752355316285331</v>
      </c>
      <c r="H78" s="29" t="n">
        <v>0.2012611919424411</v>
      </c>
      <c r="I78" s="29" t="n">
        <v>0.05114401076716017</v>
      </c>
      <c r="J78" s="29" t="n">
        <v>1.746859003685448</v>
      </c>
      <c r="K78" s="29" t="n">
        <v>0.4769617348280265</v>
      </c>
      <c r="L78" s="29" t="n">
        <v>1.284760764896373</v>
      </c>
      <c r="M78" s="29" t="n">
        <v>0.3123923610052485</v>
      </c>
      <c r="N78" s="29" t="n">
        <v>0.09293454543913887</v>
      </c>
      <c r="O78" s="29" t="n">
        <v>0.8613728129205923</v>
      </c>
      <c r="P78" s="29" t="n">
        <v>1.069412992551596</v>
      </c>
      <c r="Q78" s="29" t="n">
        <v>0.3075099712619305</v>
      </c>
      <c r="R78" s="29" t="n">
        <v>0.1038281454636625</v>
      </c>
      <c r="S78" s="29" t="n">
        <v>0.4504322922425655</v>
      </c>
      <c r="T78" s="29" t="n">
        <v>0.155098596093839</v>
      </c>
      <c r="U78" s="29" t="n">
        <v>0.4387617765814267</v>
      </c>
      <c r="V78" s="29" t="n">
        <v>0.4091520861372814</v>
      </c>
      <c r="W78" s="29" t="n">
        <v>0.5769601314841656</v>
      </c>
      <c r="X78" s="29" t="n">
        <v>0.2779002808177851</v>
      </c>
      <c r="Y78" s="29" t="n">
        <v>0.5645218384156704</v>
      </c>
      <c r="Z78" s="29" t="n">
        <v>0.9616515039905401</v>
      </c>
      <c r="AA78" s="29" t="n">
        <v>1.168372455615828</v>
      </c>
      <c r="AB78" s="29" t="n">
        <v>0.6550083353112063</v>
      </c>
      <c r="AC78" s="29" t="n">
        <v>0.7032031071973276</v>
      </c>
      <c r="AD78" s="29" t="n">
        <v>0.1789590942120699</v>
      </c>
      <c r="AE78" s="29" t="n">
        <v>0.697047180594588</v>
      </c>
      <c r="AF78" s="29" t="n">
        <v>0.685263932414321</v>
      </c>
      <c r="AG78" s="29" t="n">
        <v>0.5176188798474879</v>
      </c>
      <c r="AH78" s="29" t="n">
        <v>0.884727551586758</v>
      </c>
      <c r="AI78" s="29" t="n">
        <v>0.773366348371065</v>
      </c>
      <c r="AJ78" s="29" t="n">
        <v>0.7105289763696192</v>
      </c>
      <c r="AK78" s="29" t="n">
        <v>0.2700823595373165</v>
      </c>
      <c r="AL78" s="29" t="n">
        <v>0.6891028194511032</v>
      </c>
      <c r="AM78" s="29" t="n">
        <v>0.1470232259727084</v>
      </c>
      <c r="AN78" s="29" t="n">
        <v>3.166846039030374</v>
      </c>
      <c r="AO78" s="29" t="n">
        <v>0.7670337216443862</v>
      </c>
      <c r="AP78" s="29" t="n">
        <v>4.449533505857564</v>
      </c>
      <c r="AQ78" s="29" t="n">
        <v>10.36608344549125</v>
      </c>
      <c r="AR78" s="29" t="n">
        <v>100.238955390737</v>
      </c>
      <c r="AS78" s="29" t="n">
        <v>3.106325706594886</v>
      </c>
      <c r="AT78" s="29" t="n">
        <v>0.1749663526244953</v>
      </c>
      <c r="AU78" s="29" t="n">
        <v>0.2934051144010767</v>
      </c>
      <c r="AV78" s="29" t="n">
        <v>6.705248990578736</v>
      </c>
      <c r="AW78" s="29" t="n">
        <v>3.238223418573352</v>
      </c>
      <c r="AX78" s="29" t="n">
        <v>12.95289367429341</v>
      </c>
      <c r="AY78" s="29" t="n">
        <v>0.8377880401015407</v>
      </c>
      <c r="AZ78" s="29" t="n">
        <v>1.313593539703903</v>
      </c>
      <c r="BA78" s="29" t="n">
        <v>7.50985504026927</v>
      </c>
      <c r="BB78" s="29" t="n">
        <v>4.297519726737039</v>
      </c>
      <c r="BC78" s="29" t="n">
        <v>14.84342906902296</v>
      </c>
      <c r="BD78" s="29" t="n">
        <v>6.277254374158816</v>
      </c>
      <c r="BE78" s="29" t="n">
        <v>12.93405114401077</v>
      </c>
      <c r="BF78" s="29" t="n">
        <v>3.931198604210249</v>
      </c>
      <c r="BG78" s="29" t="n">
        <v>2.748317631224765</v>
      </c>
      <c r="BH78" s="29" t="n">
        <v>3.327955845405419</v>
      </c>
      <c r="BI78" s="29" t="n">
        <v>7.770813957864291</v>
      </c>
      <c r="BJ78" s="29" t="n">
        <v>0.7079407806191117</v>
      </c>
      <c r="BK78" s="29" t="n">
        <v>66.96455085393499</v>
      </c>
      <c r="BL78" s="29" t="n">
        <v>5.73643566052826</v>
      </c>
      <c r="BM78" s="29" t="n">
        <v>11.06761541978159</v>
      </c>
      <c r="BN78" s="29" t="n">
        <v>13.76925708110446</v>
      </c>
      <c r="BO78" s="29" t="n">
        <v>18713.53263083833</v>
      </c>
      <c r="BP78" s="29" t="n">
        <v>10.92597577388964</v>
      </c>
      <c r="BQ78" s="29" t="n">
        <v>8.339165545087484</v>
      </c>
      <c r="BR78" s="29" t="n">
        <v>0</v>
      </c>
      <c r="BS78" s="29">
        <f>SUM(C78:BR78)</f>
        <v/>
      </c>
      <c r="BT78" s="29" t="n">
        <v>0</v>
      </c>
      <c r="BU78" s="29" t="n">
        <v>0</v>
      </c>
      <c r="BV78" s="29" t="n">
        <v>182953.38926634</v>
      </c>
      <c r="BW78" s="29" t="n">
        <v>0</v>
      </c>
      <c r="BX78" s="29">
        <f>SUM(BT78:BW78)</f>
        <v/>
      </c>
      <c r="BY78" s="29">
        <f>BS78+BX78</f>
        <v/>
      </c>
    </row>
    <row r="79">
      <c r="A79" s="30" t="inlineStr">
        <is>
          <t>9080</t>
        </is>
      </c>
      <c r="B79" s="30" t="inlineStr">
        <is>
          <t>Atividades artísticas, criativas e de espetáculos</t>
        </is>
      </c>
      <c r="C79" s="31" t="n">
        <v>0.3722535807106807</v>
      </c>
      <c r="D79" s="31" t="n">
        <v>9.250906414842856</v>
      </c>
      <c r="E79" s="31" t="n">
        <v>2.184236425284424</v>
      </c>
      <c r="F79" s="31" t="n">
        <v>1.003827723581721</v>
      </c>
      <c r="G79" s="31" t="n">
        <v>12.20831113453681</v>
      </c>
      <c r="H79" s="31" t="n">
        <v>0.3527237208596225</v>
      </c>
      <c r="I79" s="31" t="n">
        <v>0.1567778958616955</v>
      </c>
      <c r="J79" s="31" t="n">
        <v>66.66784353203406</v>
      </c>
      <c r="K79" s="31" t="n">
        <v>4.998308034746129</v>
      </c>
      <c r="L79" s="31" t="n">
        <v>91.58080920198032</v>
      </c>
      <c r="M79" s="31" t="n">
        <v>125.258144654412</v>
      </c>
      <c r="N79" s="31" t="n">
        <v>7.407406028973661</v>
      </c>
      <c r="O79" s="31" t="n">
        <v>4.479507854729398</v>
      </c>
      <c r="P79" s="31" t="n">
        <v>12.75970998258741</v>
      </c>
      <c r="Q79" s="31" t="n">
        <v>24.53326397761411</v>
      </c>
      <c r="R79" s="31" t="n">
        <v>1.471482775250959</v>
      </c>
      <c r="S79" s="31" t="n">
        <v>17.66283972047167</v>
      </c>
      <c r="T79" s="31" t="n">
        <v>2.104474691872803</v>
      </c>
      <c r="U79" s="31" t="n">
        <v>5.461540388137483</v>
      </c>
      <c r="V79" s="31" t="n">
        <v>2.879999460903791</v>
      </c>
      <c r="W79" s="31" t="n">
        <v>4.853667162328718</v>
      </c>
      <c r="X79" s="31" t="n">
        <v>13.5484084780309</v>
      </c>
      <c r="Y79" s="31" t="n">
        <v>33.03639669483983</v>
      </c>
      <c r="Z79" s="31" t="n">
        <v>49.89671132383906</v>
      </c>
      <c r="AA79" s="31" t="n">
        <v>16.75218203106188</v>
      </c>
      <c r="AB79" s="31" t="n">
        <v>10.89724441457767</v>
      </c>
      <c r="AC79" s="31" t="n">
        <v>7.968905643187314</v>
      </c>
      <c r="AD79" s="31" t="n">
        <v>1.426016701472392</v>
      </c>
      <c r="AE79" s="31" t="n">
        <v>16.51636436089329</v>
      </c>
      <c r="AF79" s="31" t="n">
        <v>43.23842749725363</v>
      </c>
      <c r="AG79" s="31" t="n">
        <v>20.27939531563382</v>
      </c>
      <c r="AH79" s="31" t="n">
        <v>20.35070227715508</v>
      </c>
      <c r="AI79" s="31" t="n">
        <v>120.5944008706038</v>
      </c>
      <c r="AJ79" s="31" t="n">
        <v>4.072706299693869</v>
      </c>
      <c r="AK79" s="31" t="n">
        <v>8.087158396517907</v>
      </c>
      <c r="AL79" s="31" t="n">
        <v>12.71931722018364</v>
      </c>
      <c r="AM79" s="31" t="n">
        <v>2.412424710240549</v>
      </c>
      <c r="AN79" s="31" t="n">
        <v>75.30241659408122</v>
      </c>
      <c r="AO79" s="31" t="n">
        <v>4.909240025540226</v>
      </c>
      <c r="AP79" s="31" t="n">
        <v>57.5670223406498</v>
      </c>
      <c r="AQ79" s="31" t="n">
        <v>73.01407161574721</v>
      </c>
      <c r="AR79" s="31" t="n">
        <v>478.4325483984664</v>
      </c>
      <c r="AS79" s="31" t="n">
        <v>17.00215810516779</v>
      </c>
      <c r="AT79" s="31" t="n">
        <v>0.9722631873542744</v>
      </c>
      <c r="AU79" s="31" t="n">
        <v>5.020544458022183</v>
      </c>
      <c r="AV79" s="31" t="n">
        <v>29.57010127686024</v>
      </c>
      <c r="AW79" s="31" t="n">
        <v>20.47156498744719</v>
      </c>
      <c r="AX79" s="31" t="n">
        <v>25.92172039195731</v>
      </c>
      <c r="AY79" s="31" t="n">
        <v>29.39246397297356</v>
      </c>
      <c r="AZ79" s="31" t="n">
        <v>1853.221365677395</v>
      </c>
      <c r="BA79" s="31" t="n">
        <v>418.1971450135656</v>
      </c>
      <c r="BB79" s="31" t="n">
        <v>41.14850486828207</v>
      </c>
      <c r="BC79" s="31" t="n">
        <v>276.8644434234834</v>
      </c>
      <c r="BD79" s="31" t="n">
        <v>27.08406264041805</v>
      </c>
      <c r="BE79" s="31" t="n">
        <v>108.3925642979324</v>
      </c>
      <c r="BF79" s="31" t="n">
        <v>11.87956611468117</v>
      </c>
      <c r="BG79" s="31" t="n">
        <v>94.05722953649008</v>
      </c>
      <c r="BH79" s="31" t="n">
        <v>26.9222704773273</v>
      </c>
      <c r="BI79" s="31" t="n">
        <v>56.73128288219741</v>
      </c>
      <c r="BJ79" s="31" t="n">
        <v>4.798851650072747</v>
      </c>
      <c r="BK79" s="31" t="n">
        <v>624.2079150611918</v>
      </c>
      <c r="BL79" s="31" t="n">
        <v>83.37807126486378</v>
      </c>
      <c r="BM79" s="31" t="n">
        <v>66.5683268786904</v>
      </c>
      <c r="BN79" s="31" t="n">
        <v>75.62986593839773</v>
      </c>
      <c r="BO79" s="31" t="n">
        <v>4.161717815251183</v>
      </c>
      <c r="BP79" s="31" t="n">
        <v>646.4382527504295</v>
      </c>
      <c r="BQ79" s="31" t="n">
        <v>888.1790449914179</v>
      </c>
      <c r="BR79" s="31" t="n">
        <v>0</v>
      </c>
      <c r="BS79" s="31">
        <f>SUM(C79:BR79)</f>
        <v/>
      </c>
      <c r="BT79" s="31" t="n">
        <v>0</v>
      </c>
      <c r="BU79" s="31" t="n">
        <v>0</v>
      </c>
      <c r="BV79" s="31" t="n">
        <v>28147.01967088051</v>
      </c>
      <c r="BW79" s="31" t="n">
        <v>0</v>
      </c>
      <c r="BX79" s="31">
        <f>SUM(BT79:BW79)</f>
        <v/>
      </c>
      <c r="BY79" s="31">
        <f>BS79+BX79</f>
        <v/>
      </c>
    </row>
    <row r="80">
      <c r="A80" s="28" t="inlineStr">
        <is>
          <t>9480</t>
        </is>
      </c>
      <c r="B80" s="28" t="inlineStr">
        <is>
          <t>Organizações associativas e outros serviços pessoais</t>
        </is>
      </c>
      <c r="C80" s="29" t="n">
        <v>104.1086509648957</v>
      </c>
      <c r="D80" s="29" t="n">
        <v>30.0771379946138</v>
      </c>
      <c r="E80" s="29" t="n">
        <v>17.43050415650671</v>
      </c>
      <c r="F80" s="29" t="n">
        <v>30.71008975432501</v>
      </c>
      <c r="G80" s="29" t="n">
        <v>381.2444567274412</v>
      </c>
      <c r="H80" s="29" t="n">
        <v>145.3323380004308</v>
      </c>
      <c r="I80" s="29" t="n">
        <v>41.23569187654357</v>
      </c>
      <c r="J80" s="29" t="n">
        <v>267.6540365169358</v>
      </c>
      <c r="K80" s="29" t="n">
        <v>68.86038102442168</v>
      </c>
      <c r="L80" s="29" t="n">
        <v>233.240215056204</v>
      </c>
      <c r="M80" s="29" t="n">
        <v>104.6544997736373</v>
      </c>
      <c r="N80" s="29" t="n">
        <v>15.74090274561837</v>
      </c>
      <c r="O80" s="29" t="n">
        <v>60.5104690325675</v>
      </c>
      <c r="P80" s="29" t="n">
        <v>101.7952251612624</v>
      </c>
      <c r="Q80" s="29" t="n">
        <v>65.88765338134142</v>
      </c>
      <c r="R80" s="29" t="n">
        <v>51.08813222722315</v>
      </c>
      <c r="S80" s="29" t="n">
        <v>127.1983872258008</v>
      </c>
      <c r="T80" s="29" t="n">
        <v>43.16241116479415</v>
      </c>
      <c r="U80" s="29" t="n">
        <v>113.5051118842188</v>
      </c>
      <c r="V80" s="29" t="n">
        <v>39.17049890802521</v>
      </c>
      <c r="W80" s="29" t="n">
        <v>99.15457650373141</v>
      </c>
      <c r="X80" s="29" t="n">
        <v>60.04179159568002</v>
      </c>
      <c r="Y80" s="29" t="n">
        <v>39.9559125780907</v>
      </c>
      <c r="Z80" s="29" t="n">
        <v>103.8587804303933</v>
      </c>
      <c r="AA80" s="29" t="n">
        <v>172.0211135661363</v>
      </c>
      <c r="AB80" s="29" t="n">
        <v>164.7894373036625</v>
      </c>
      <c r="AC80" s="29" t="n">
        <v>115.8028366580261</v>
      </c>
      <c r="AD80" s="29" t="n">
        <v>46.78987604107439</v>
      </c>
      <c r="AE80" s="29" t="n">
        <v>222.2668646998939</v>
      </c>
      <c r="AF80" s="29" t="n">
        <v>348.476898977081</v>
      </c>
      <c r="AG80" s="29" t="n">
        <v>141.5159846294984</v>
      </c>
      <c r="AH80" s="29" t="n">
        <v>259.5422353543483</v>
      </c>
      <c r="AI80" s="29" t="n">
        <v>222.377152644871</v>
      </c>
      <c r="AJ80" s="29" t="n">
        <v>107.9607973103218</v>
      </c>
      <c r="AK80" s="29" t="n">
        <v>57.41897020269361</v>
      </c>
      <c r="AL80" s="29" t="n">
        <v>102.608108559211</v>
      </c>
      <c r="AM80" s="29" t="n">
        <v>1.709003625085369</v>
      </c>
      <c r="AN80" s="29" t="n">
        <v>475.599624012147</v>
      </c>
      <c r="AO80" s="29" t="n">
        <v>0.8416949019769274</v>
      </c>
      <c r="AP80" s="29" t="n">
        <v>116.4754923754236</v>
      </c>
      <c r="AQ80" s="29" t="n">
        <v>63.80058364748009</v>
      </c>
      <c r="AR80" s="29" t="n">
        <v>2402.394254568799</v>
      </c>
      <c r="AS80" s="29" t="n">
        <v>322.9194620001289</v>
      </c>
      <c r="AT80" s="29" t="n">
        <v>4.154231354899435</v>
      </c>
      <c r="AU80" s="29" t="n">
        <v>6.354465747023352</v>
      </c>
      <c r="AV80" s="29" t="n">
        <v>1035.262486247392</v>
      </c>
      <c r="AW80" s="29" t="n">
        <v>111.3579499594553</v>
      </c>
      <c r="AX80" s="29" t="n">
        <v>133.6234677598072</v>
      </c>
      <c r="AY80" s="29" t="n">
        <v>55.67422165313223</v>
      </c>
      <c r="AZ80" s="29" t="n">
        <v>147.4561710481851</v>
      </c>
      <c r="BA80" s="29" t="n">
        <v>3351.101483111301</v>
      </c>
      <c r="BB80" s="29" t="n">
        <v>917.8587266878062</v>
      </c>
      <c r="BC80" s="29" t="n">
        <v>1735.532019025185</v>
      </c>
      <c r="BD80" s="29" t="n">
        <v>108.4824607184221</v>
      </c>
      <c r="BE80" s="29" t="n">
        <v>371.6158357280678</v>
      </c>
      <c r="BF80" s="29" t="n">
        <v>63.75576198413336</v>
      </c>
      <c r="BG80" s="29" t="n">
        <v>351.3270119357854</v>
      </c>
      <c r="BH80" s="29" t="n">
        <v>80.40184787254769</v>
      </c>
      <c r="BI80" s="29" t="n">
        <v>769.8867916727274</v>
      </c>
      <c r="BJ80" s="29" t="n">
        <v>30.00043308536162</v>
      </c>
      <c r="BK80" s="29" t="n">
        <v>513.0602197568111</v>
      </c>
      <c r="BL80" s="29" t="n">
        <v>99.52004192131233</v>
      </c>
      <c r="BM80" s="29" t="n">
        <v>375.3516095790262</v>
      </c>
      <c r="BN80" s="29" t="n">
        <v>1390.99830159532</v>
      </c>
      <c r="BO80" s="29" t="n">
        <v>1826.1937493298</v>
      </c>
      <c r="BP80" s="29" t="n">
        <v>19.98519902999163</v>
      </c>
      <c r="BQ80" s="29" t="n">
        <v>367.8922892506149</v>
      </c>
      <c r="BR80" s="29" t="n">
        <v>0</v>
      </c>
      <c r="BS80" s="29">
        <f>SUM(C80:BR80)</f>
        <v/>
      </c>
      <c r="BT80" s="29" t="n">
        <v>0</v>
      </c>
      <c r="BU80" s="29" t="n">
        <v>0</v>
      </c>
      <c r="BV80" s="29" t="n">
        <v>122534.4434678215</v>
      </c>
      <c r="BW80" s="29" t="n">
        <v>0</v>
      </c>
      <c r="BX80" s="29">
        <f>SUM(BT80:BW80)</f>
        <v/>
      </c>
      <c r="BY80" s="29">
        <f>BS80+BX80</f>
        <v/>
      </c>
    </row>
    <row r="81">
      <c r="A81" s="30" t="inlineStr">
        <is>
          <t>9700</t>
        </is>
      </c>
      <c r="B81" s="30" t="inlineStr">
        <is>
          <t>Serviços domésticos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0</v>
      </c>
      <c r="J81" s="31" t="n">
        <v>0</v>
      </c>
      <c r="K81" s="31" t="n">
        <v>0</v>
      </c>
      <c r="L81" s="31" t="n">
        <v>0</v>
      </c>
      <c r="M81" s="31" t="n">
        <v>0</v>
      </c>
      <c r="N81" s="31" t="n">
        <v>0</v>
      </c>
      <c r="O81" s="31" t="n">
        <v>0</v>
      </c>
      <c r="P81" s="31" t="n">
        <v>0</v>
      </c>
      <c r="Q81" s="31" t="n">
        <v>0</v>
      </c>
      <c r="R81" s="31" t="n">
        <v>0</v>
      </c>
      <c r="S81" s="31" t="n">
        <v>0</v>
      </c>
      <c r="T81" s="31" t="n">
        <v>0</v>
      </c>
      <c r="U81" s="31" t="n">
        <v>0</v>
      </c>
      <c r="V81" s="31" t="n">
        <v>0</v>
      </c>
      <c r="W81" s="31" t="n">
        <v>0</v>
      </c>
      <c r="X81" s="31" t="n">
        <v>0</v>
      </c>
      <c r="Y81" s="31" t="n">
        <v>0</v>
      </c>
      <c r="Z81" s="31" t="n">
        <v>0</v>
      </c>
      <c r="AA81" s="31" t="n">
        <v>0</v>
      </c>
      <c r="AB81" s="31" t="n">
        <v>0</v>
      </c>
      <c r="AC81" s="31" t="n">
        <v>0</v>
      </c>
      <c r="AD81" s="31" t="n">
        <v>0</v>
      </c>
      <c r="AE81" s="31" t="n">
        <v>0</v>
      </c>
      <c r="AF81" s="31" t="n">
        <v>0</v>
      </c>
      <c r="AG81" s="31" t="n">
        <v>0</v>
      </c>
      <c r="AH81" s="31" t="n">
        <v>0</v>
      </c>
      <c r="AI81" s="31" t="n">
        <v>0</v>
      </c>
      <c r="AJ81" s="31" t="n">
        <v>0</v>
      </c>
      <c r="AK81" s="31" t="n">
        <v>0</v>
      </c>
      <c r="AL81" s="31" t="n">
        <v>0</v>
      </c>
      <c r="AM81" s="31" t="n">
        <v>0</v>
      </c>
      <c r="AN81" s="31" t="n">
        <v>0</v>
      </c>
      <c r="AO81" s="31" t="n">
        <v>0</v>
      </c>
      <c r="AP81" s="31" t="n">
        <v>0</v>
      </c>
      <c r="AQ81" s="31" t="n">
        <v>0</v>
      </c>
      <c r="AR81" s="31" t="n">
        <v>0</v>
      </c>
      <c r="AS81" s="31" t="n">
        <v>0</v>
      </c>
      <c r="AT81" s="31" t="n">
        <v>0</v>
      </c>
      <c r="AU81" s="31" t="n">
        <v>0</v>
      </c>
      <c r="AV81" s="31" t="n">
        <v>0</v>
      </c>
      <c r="AW81" s="31" t="n">
        <v>0</v>
      </c>
      <c r="AX81" s="31" t="n">
        <v>0</v>
      </c>
      <c r="AY81" s="31" t="n">
        <v>0</v>
      </c>
      <c r="AZ81" s="31" t="n">
        <v>0</v>
      </c>
      <c r="BA81" s="31" t="n">
        <v>0</v>
      </c>
      <c r="BB81" s="31" t="n">
        <v>0</v>
      </c>
      <c r="BC81" s="31" t="n">
        <v>0</v>
      </c>
      <c r="BD81" s="31" t="n">
        <v>0</v>
      </c>
      <c r="BE81" s="31" t="n">
        <v>0</v>
      </c>
      <c r="BF81" s="31" t="n">
        <v>0</v>
      </c>
      <c r="BG81" s="31" t="n">
        <v>0</v>
      </c>
      <c r="BH81" s="31" t="n">
        <v>0</v>
      </c>
      <c r="BI81" s="31" t="n">
        <v>0</v>
      </c>
      <c r="BJ81" s="31" t="n">
        <v>0</v>
      </c>
      <c r="BK81" s="31" t="n">
        <v>0</v>
      </c>
      <c r="BL81" s="31" t="n">
        <v>0</v>
      </c>
      <c r="BM81" s="31" t="n">
        <v>0</v>
      </c>
      <c r="BN81" s="31" t="n">
        <v>0</v>
      </c>
      <c r="BO81" s="31" t="n">
        <v>0</v>
      </c>
      <c r="BP81" s="31" t="n">
        <v>0</v>
      </c>
      <c r="BQ81" s="31" t="n">
        <v>0</v>
      </c>
      <c r="BR81" s="31" t="n">
        <v>0</v>
      </c>
      <c r="BS81" s="31">
        <f>SUM(C81:BR81)</f>
        <v/>
      </c>
      <c r="BT81" s="31" t="n">
        <v>0</v>
      </c>
      <c r="BU81" s="31" t="n">
        <v>0</v>
      </c>
      <c r="BV81" s="31" t="n">
        <v>58164</v>
      </c>
      <c r="BW81" s="31" t="n">
        <v>0</v>
      </c>
      <c r="BX81" s="31">
        <f>SUM(BT81:BW81)</f>
        <v/>
      </c>
      <c r="BY81" s="31">
        <f>BS81+BX81</f>
        <v/>
      </c>
    </row>
    <row r="82">
      <c r="B82" s="32" t="inlineStr">
        <is>
          <t>Total consumo intermedio</t>
        </is>
      </c>
      <c r="C82" s="33">
        <f>SUM(C14:C81)</f>
        <v/>
      </c>
      <c r="D82" s="33">
        <f>SUM(D14:D81)</f>
        <v/>
      </c>
      <c r="E82" s="33">
        <f>SUM(E14:E81)</f>
        <v/>
      </c>
      <c r="F82" s="33">
        <f>SUM(F14:F81)</f>
        <v/>
      </c>
      <c r="G82" s="33">
        <f>SUM(G14:G81)</f>
        <v/>
      </c>
      <c r="H82" s="33">
        <f>SUM(H14:H81)</f>
        <v/>
      </c>
      <c r="I82" s="33">
        <f>SUM(I14:I81)</f>
        <v/>
      </c>
      <c r="J82" s="33">
        <f>SUM(J14:J81)</f>
        <v/>
      </c>
      <c r="K82" s="33">
        <f>SUM(K14:K81)</f>
        <v/>
      </c>
      <c r="L82" s="33">
        <f>SUM(L14:L81)</f>
        <v/>
      </c>
      <c r="M82" s="33">
        <f>SUM(M14:M81)</f>
        <v/>
      </c>
      <c r="N82" s="33">
        <f>SUM(N14:N81)</f>
        <v/>
      </c>
      <c r="O82" s="33">
        <f>SUM(O14:O81)</f>
        <v/>
      </c>
      <c r="P82" s="33">
        <f>SUM(P14:P81)</f>
        <v/>
      </c>
      <c r="Q82" s="33">
        <f>SUM(Q14:Q81)</f>
        <v/>
      </c>
      <c r="R82" s="33">
        <f>SUM(R14:R81)</f>
        <v/>
      </c>
      <c r="S82" s="33">
        <f>SUM(S14:S81)</f>
        <v/>
      </c>
      <c r="T82" s="33">
        <f>SUM(T14:T81)</f>
        <v/>
      </c>
      <c r="U82" s="33">
        <f>SUM(U14:U81)</f>
        <v/>
      </c>
      <c r="V82" s="33">
        <f>SUM(V14:V81)</f>
        <v/>
      </c>
      <c r="W82" s="33">
        <f>SUM(W14:W81)</f>
        <v/>
      </c>
      <c r="X82" s="33">
        <f>SUM(X14:X81)</f>
        <v/>
      </c>
      <c r="Y82" s="33">
        <f>SUM(Y14:Y81)</f>
        <v/>
      </c>
      <c r="Z82" s="33">
        <f>SUM(Z14:Z81)</f>
        <v/>
      </c>
      <c r="AA82" s="33">
        <f>SUM(AA14:AA81)</f>
        <v/>
      </c>
      <c r="AB82" s="33">
        <f>SUM(AB14:AB81)</f>
        <v/>
      </c>
      <c r="AC82" s="33">
        <f>SUM(AC14:AC81)</f>
        <v/>
      </c>
      <c r="AD82" s="33">
        <f>SUM(AD14:AD81)</f>
        <v/>
      </c>
      <c r="AE82" s="33">
        <f>SUM(AE14:AE81)</f>
        <v/>
      </c>
      <c r="AF82" s="33">
        <f>SUM(AF14:AF81)</f>
        <v/>
      </c>
      <c r="AG82" s="33">
        <f>SUM(AG14:AG81)</f>
        <v/>
      </c>
      <c r="AH82" s="33">
        <f>SUM(AH14:AH81)</f>
        <v/>
      </c>
      <c r="AI82" s="33">
        <f>SUM(AI14:AI81)</f>
        <v/>
      </c>
      <c r="AJ82" s="33">
        <f>SUM(AJ14:AJ81)</f>
        <v/>
      </c>
      <c r="AK82" s="33">
        <f>SUM(AK14:AK81)</f>
        <v/>
      </c>
      <c r="AL82" s="33">
        <f>SUM(AL14:AL81)</f>
        <v/>
      </c>
      <c r="AM82" s="33">
        <f>SUM(AM14:AM81)</f>
        <v/>
      </c>
      <c r="AN82" s="33">
        <f>SUM(AN14:AN81)</f>
        <v/>
      </c>
      <c r="AO82" s="33">
        <f>SUM(AO14:AO81)</f>
        <v/>
      </c>
      <c r="AP82" s="33">
        <f>SUM(AP14:AP81)</f>
        <v/>
      </c>
      <c r="AQ82" s="33">
        <f>SUM(AQ14:AQ81)</f>
        <v/>
      </c>
      <c r="AR82" s="33">
        <f>SUM(AR14:AR81)</f>
        <v/>
      </c>
      <c r="AS82" s="33">
        <f>SUM(AS14:AS81)</f>
        <v/>
      </c>
      <c r="AT82" s="33">
        <f>SUM(AT14:AT81)</f>
        <v/>
      </c>
      <c r="AU82" s="33">
        <f>SUM(AU14:AU81)</f>
        <v/>
      </c>
      <c r="AV82" s="33">
        <f>SUM(AV14:AV81)</f>
        <v/>
      </c>
      <c r="AW82" s="33">
        <f>SUM(AW14:AW81)</f>
        <v/>
      </c>
      <c r="AX82" s="33">
        <f>SUM(AX14:AX81)</f>
        <v/>
      </c>
      <c r="AY82" s="33">
        <f>SUM(AY14:AY81)</f>
        <v/>
      </c>
      <c r="AZ82" s="33">
        <f>SUM(AZ14:AZ81)</f>
        <v/>
      </c>
      <c r="BA82" s="33">
        <f>SUM(BA14:BA81)</f>
        <v/>
      </c>
      <c r="BB82" s="33">
        <f>SUM(BB14:BB81)</f>
        <v/>
      </c>
      <c r="BC82" s="33">
        <f>SUM(BC14:BC81)</f>
        <v/>
      </c>
      <c r="BD82" s="33">
        <f>SUM(BD14:BD81)</f>
        <v/>
      </c>
      <c r="BE82" s="33">
        <f>SUM(BE14:BE81)</f>
        <v/>
      </c>
      <c r="BF82" s="33">
        <f>SUM(BF14:BF81)</f>
        <v/>
      </c>
      <c r="BG82" s="33">
        <f>SUM(BG14:BG81)</f>
        <v/>
      </c>
      <c r="BH82" s="33">
        <f>SUM(BH14:BH81)</f>
        <v/>
      </c>
      <c r="BI82" s="33">
        <f>SUM(BI14:BI81)</f>
        <v/>
      </c>
      <c r="BJ82" s="33">
        <f>SUM(BJ14:BJ81)</f>
        <v/>
      </c>
      <c r="BK82" s="33">
        <f>SUM(BK14:BK81)</f>
        <v/>
      </c>
      <c r="BL82" s="33">
        <f>SUM(BL14:BL81)</f>
        <v/>
      </c>
      <c r="BM82" s="33">
        <f>SUM(BM14:BM81)</f>
        <v/>
      </c>
      <c r="BN82" s="33">
        <f>SUM(BN14:BN81)</f>
        <v/>
      </c>
      <c r="BO82" s="33">
        <f>SUM(BO14:BO81)</f>
        <v/>
      </c>
      <c r="BP82" s="33">
        <f>SUM(BP14:BP81)</f>
        <v/>
      </c>
      <c r="BQ82" s="33">
        <f>SUM(BQ14:BQ81)</f>
        <v/>
      </c>
      <c r="BR82" s="33">
        <f>SUM(BR14:BR81)</f>
        <v/>
      </c>
      <c r="BS82" s="33">
        <f>SUM(BS14:BS81)</f>
        <v/>
      </c>
      <c r="BT82" s="33">
        <f>SUM(BT14:BT81)</f>
        <v/>
      </c>
      <c r="BU82" s="33">
        <f>SUM(BU14:BU81)</f>
        <v/>
      </c>
      <c r="BV82" s="33">
        <f>SUM(BV14:BV81)</f>
        <v/>
      </c>
      <c r="BW82" s="33">
        <f>SUM(BW14:BW81)</f>
        <v/>
      </c>
      <c r="BX82" s="33">
        <f>SUM(BX14:BX81)</f>
        <v/>
      </c>
      <c r="BY82" s="33">
        <f>SUM(BY14:BY81)</f>
        <v/>
      </c>
    </row>
    <row r="83"/>
    <row r="84">
      <c r="B84" s="32" t="inlineStr">
        <is>
          <t>Ajuste intermedio no asignado a matriz</t>
        </is>
      </c>
      <c r="C84" s="33" t="n">
        <v>34762.4607200945</v>
      </c>
      <c r="D84" s="33" t="n">
        <v>15986.74407228236</v>
      </c>
      <c r="E84" s="33" t="n">
        <v>1581.067089598838</v>
      </c>
      <c r="F84" s="33" t="n">
        <v>1585.285171519743</v>
      </c>
      <c r="G84" s="33" t="n">
        <v>22446.76689466133</v>
      </c>
      <c r="H84" s="33" t="n">
        <v>3226.382087650855</v>
      </c>
      <c r="I84" s="33" t="n">
        <v>1306.148421760644</v>
      </c>
      <c r="J84" s="34" t="n">
        <v>-69598.87814064437</v>
      </c>
      <c r="K84" s="34" t="n">
        <v>-2046.28890003218</v>
      </c>
      <c r="L84" s="34" t="n">
        <v>-26234.72210519668</v>
      </c>
      <c r="M84" s="33" t="n">
        <v>9219.072870347642</v>
      </c>
      <c r="N84" s="34" t="n">
        <v>-395.3503591856746</v>
      </c>
      <c r="O84" s="33" t="n">
        <v>435.4072070148939</v>
      </c>
      <c r="P84" s="33" t="n">
        <v>1553.038886824784</v>
      </c>
      <c r="Q84" s="34" t="n">
        <v>-7016.368046052433</v>
      </c>
      <c r="R84" s="34" t="n">
        <v>-97.9991314220174</v>
      </c>
      <c r="S84" s="34" t="n">
        <v>-14736.38133430665</v>
      </c>
      <c r="T84" s="33" t="n">
        <v>2273.695750095685</v>
      </c>
      <c r="U84" s="33" t="n">
        <v>100131.7776587694</v>
      </c>
      <c r="V84" s="34" t="n">
        <v>-2753.379445944234</v>
      </c>
      <c r="W84" s="33" t="n">
        <v>32402.77807124276</v>
      </c>
      <c r="X84" s="34" t="n">
        <v>-216.9078705905822</v>
      </c>
      <c r="Y84" s="33" t="n">
        <v>7800.771865556351</v>
      </c>
      <c r="Z84" s="34" t="n">
        <v>-13584.61718787339</v>
      </c>
      <c r="AA84" s="34" t="n">
        <v>-4336.990424117324</v>
      </c>
      <c r="AB84" s="34" t="n">
        <v>-4971.423161432347</v>
      </c>
      <c r="AC84" s="34" t="n">
        <v>-4612.21145396135</v>
      </c>
      <c r="AD84" s="33" t="n">
        <v>4355.215386269681</v>
      </c>
      <c r="AE84" s="34" t="n">
        <v>-7821.40197444062</v>
      </c>
      <c r="AF84" s="33" t="n">
        <v>23032.69769268531</v>
      </c>
      <c r="AG84" s="34" t="n">
        <v>-587.8607505870668</v>
      </c>
      <c r="AH84" s="34" t="n">
        <v>-20815.62832357138</v>
      </c>
      <c r="AI84" s="33" t="n">
        <v>42919.28712565048</v>
      </c>
      <c r="AJ84" s="33" t="n">
        <v>16893.84101641798</v>
      </c>
      <c r="AK84" s="33" t="n">
        <v>9859.684379242435</v>
      </c>
      <c r="AL84" s="33" t="n">
        <v>895.1485230844237</v>
      </c>
      <c r="AM84" s="33" t="n">
        <v>13577.4637046024</v>
      </c>
      <c r="AN84" s="33" t="n">
        <v>25378.23846095919</v>
      </c>
      <c r="AO84" s="33" t="n">
        <v>3852.7465011799</v>
      </c>
      <c r="AP84" s="33" t="n">
        <v>86760.50339804952</v>
      </c>
      <c r="AQ84" s="33" t="n">
        <v>13345.55477084367</v>
      </c>
      <c r="AR84" s="34" t="n">
        <v>-55108.89980325894</v>
      </c>
      <c r="AS84" s="33" t="n">
        <v>14341.3278799251</v>
      </c>
      <c r="AT84" s="33" t="n">
        <v>2213.906086774733</v>
      </c>
      <c r="AU84" s="33" t="n">
        <v>11052.74577104489</v>
      </c>
      <c r="AV84" s="33" t="n">
        <v>4429.469159903118</v>
      </c>
      <c r="AW84" s="33" t="n">
        <v>2236.324424662526</v>
      </c>
      <c r="AX84" s="33" t="n">
        <v>36221.72515874219</v>
      </c>
      <c r="AY84" s="34" t="n">
        <v>-5870.076571946974</v>
      </c>
      <c r="AZ84" s="34" t="n">
        <v>-5131.917018476423</v>
      </c>
      <c r="BA84" s="34" t="n">
        <v>-46285.58240999289</v>
      </c>
      <c r="BB84" s="33" t="n">
        <v>3488.613783520803</v>
      </c>
      <c r="BC84" s="33" t="n">
        <v>25139.4011811212</v>
      </c>
      <c r="BD84" s="33" t="n">
        <v>6859.992852004737</v>
      </c>
      <c r="BE84" s="33" t="n">
        <v>1423.689899106149</v>
      </c>
      <c r="BF84" s="33" t="n">
        <v>5201.690349820865</v>
      </c>
      <c r="BG84" s="33" t="n">
        <v>7669.644631887204</v>
      </c>
      <c r="BH84" s="33" t="n">
        <v>3037.264948839229</v>
      </c>
      <c r="BI84" s="33" t="n">
        <v>7293.956383360366</v>
      </c>
      <c r="BJ84" s="33" t="n">
        <v>474.6771712033619</v>
      </c>
      <c r="BK84" s="33" t="n">
        <v>29538.55841587352</v>
      </c>
      <c r="BL84" s="33" t="n">
        <v>11563.24214184006</v>
      </c>
      <c r="BM84" s="33" t="n">
        <v>5771.141720536001</v>
      </c>
      <c r="BN84" s="33" t="n">
        <v>12236.28138682246</v>
      </c>
      <c r="BO84" s="33" t="n">
        <v>24700.30359109113</v>
      </c>
      <c r="BP84" s="33" t="n">
        <v>2180.618229554233</v>
      </c>
      <c r="BQ84" s="33" t="n">
        <v>17934.12001593605</v>
      </c>
      <c r="BR84" s="33" t="n">
        <v>0</v>
      </c>
      <c r="BY84" s="33">
        <f>SUM(C84:BR84)</f>
        <v/>
      </c>
    </row>
    <row r="85"/>
    <row r="86">
      <c r="B86" s="32" t="inlineStr">
        <is>
          <t>Valor agregado</t>
        </is>
      </c>
      <c r="C86" s="33" t="n">
        <v>159111</v>
      </c>
      <c r="D86" s="33" t="n">
        <v>67178</v>
      </c>
      <c r="E86" s="33" t="n">
        <v>23686</v>
      </c>
      <c r="F86" s="33" t="n">
        <v>8845</v>
      </c>
      <c r="G86" s="33" t="n">
        <v>129598</v>
      </c>
      <c r="H86" s="33" t="n">
        <v>44174</v>
      </c>
      <c r="I86" s="33" t="n">
        <v>2180</v>
      </c>
      <c r="J86" s="33" t="n">
        <v>34403</v>
      </c>
      <c r="K86" s="33" t="n">
        <v>6829</v>
      </c>
      <c r="L86" s="33" t="n">
        <v>46921</v>
      </c>
      <c r="M86" s="33" t="n">
        <v>20923</v>
      </c>
      <c r="N86" s="33" t="n">
        <v>5105</v>
      </c>
      <c r="O86" s="33" t="n">
        <v>15156</v>
      </c>
      <c r="P86" s="33" t="n">
        <v>25914</v>
      </c>
      <c r="Q86" s="33" t="n">
        <v>14042</v>
      </c>
      <c r="R86" s="33" t="n">
        <v>11364</v>
      </c>
      <c r="S86" s="33" t="n">
        <v>19316</v>
      </c>
      <c r="T86" s="33" t="n">
        <v>9140</v>
      </c>
      <c r="U86" s="34" t="n">
        <v>-16729</v>
      </c>
      <c r="V86" s="33" t="n">
        <v>7305</v>
      </c>
      <c r="W86" s="33" t="n">
        <v>18734</v>
      </c>
      <c r="X86" s="33" t="n">
        <v>14877</v>
      </c>
      <c r="Y86" s="33" t="n">
        <v>7975</v>
      </c>
      <c r="Z86" s="33" t="n">
        <v>25412</v>
      </c>
      <c r="AA86" s="33" t="n">
        <v>27998</v>
      </c>
      <c r="AB86" s="33" t="n">
        <v>30994</v>
      </c>
      <c r="AC86" s="33" t="n">
        <v>30190</v>
      </c>
      <c r="AD86" s="33" t="n">
        <v>10281</v>
      </c>
      <c r="AE86" s="33" t="n">
        <v>35496</v>
      </c>
      <c r="AF86" s="33" t="n">
        <v>16311</v>
      </c>
      <c r="AG86" s="33" t="n">
        <v>18036</v>
      </c>
      <c r="AH86" s="33" t="n">
        <v>41801</v>
      </c>
      <c r="AI86" s="33" t="n">
        <v>27371</v>
      </c>
      <c r="AJ86" s="33" t="n">
        <v>23138</v>
      </c>
      <c r="AK86" s="33" t="n">
        <v>11968</v>
      </c>
      <c r="AL86" s="33" t="n">
        <v>32956</v>
      </c>
      <c r="AM86" s="33" t="n">
        <v>24149</v>
      </c>
      <c r="AN86" s="33" t="n">
        <v>56222</v>
      </c>
      <c r="AO86" s="33" t="n">
        <v>37753</v>
      </c>
      <c r="AP86" s="33" t="n">
        <v>306946</v>
      </c>
      <c r="AQ86" s="33" t="n">
        <v>89526</v>
      </c>
      <c r="AR86" s="33" t="n">
        <v>587036</v>
      </c>
      <c r="AS86" s="33" t="n">
        <v>148027</v>
      </c>
      <c r="AT86" s="33" t="n">
        <v>7347</v>
      </c>
      <c r="AU86" s="33" t="n">
        <v>9108</v>
      </c>
      <c r="AV86" s="33" t="n">
        <v>63275</v>
      </c>
      <c r="AW86" s="33" t="n">
        <v>14435</v>
      </c>
      <c r="AX86" s="33" t="n">
        <v>110497</v>
      </c>
      <c r="AY86" s="33" t="n">
        <v>9194</v>
      </c>
      <c r="AZ86" s="33" t="n">
        <v>19032</v>
      </c>
      <c r="BA86" s="33" t="n">
        <v>63318</v>
      </c>
      <c r="BB86" s="33" t="n">
        <v>77066</v>
      </c>
      <c r="BC86" s="33" t="n">
        <v>318680</v>
      </c>
      <c r="BD86" s="33" t="n">
        <v>463781</v>
      </c>
      <c r="BE86" s="33" t="n">
        <v>119287</v>
      </c>
      <c r="BF86" s="33" t="n">
        <v>46499</v>
      </c>
      <c r="BG86" s="33" t="n">
        <v>30620</v>
      </c>
      <c r="BH86" s="33" t="n">
        <v>31428</v>
      </c>
      <c r="BI86" s="33" t="n">
        <v>142777</v>
      </c>
      <c r="BJ86" s="33" t="n">
        <v>31180</v>
      </c>
      <c r="BK86" s="33" t="n">
        <v>474773</v>
      </c>
      <c r="BL86" s="33" t="n">
        <v>231854</v>
      </c>
      <c r="BM86" s="33" t="n">
        <v>68794</v>
      </c>
      <c r="BN86" s="33" t="n">
        <v>110181</v>
      </c>
      <c r="BO86" s="33" t="n">
        <v>122447</v>
      </c>
      <c r="BP86" s="33" t="n">
        <v>19749</v>
      </c>
      <c r="BQ86" s="33" t="n">
        <v>71590</v>
      </c>
      <c r="BR86" s="33" t="n">
        <v>58164</v>
      </c>
      <c r="BY86" s="33">
        <f>SUM(C86:BR86)</f>
        <v/>
      </c>
    </row>
    <row r="87"/>
    <row r="88">
      <c r="B88" s="32" t="inlineStr">
        <is>
          <t>Produccion total</t>
        </is>
      </c>
      <c r="C88" s="33">
        <f>C82+C84+C86</f>
        <v/>
      </c>
      <c r="D88" s="33">
        <f>D82+D84+D86</f>
        <v/>
      </c>
      <c r="E88" s="33">
        <f>E82+E84+E86</f>
        <v/>
      </c>
      <c r="F88" s="33">
        <f>F82+F84+F86</f>
        <v/>
      </c>
      <c r="G88" s="33">
        <f>G82+G84+G86</f>
        <v/>
      </c>
      <c r="H88" s="33">
        <f>H82+H84+H86</f>
        <v/>
      </c>
      <c r="I88" s="33">
        <f>I82+I84+I86</f>
        <v/>
      </c>
      <c r="J88" s="33">
        <f>J82+J84+J86</f>
        <v/>
      </c>
      <c r="K88" s="33">
        <f>K82+K84+K86</f>
        <v/>
      </c>
      <c r="L88" s="33">
        <f>L82+L84+L86</f>
        <v/>
      </c>
      <c r="M88" s="33">
        <f>M82+M84+M86</f>
        <v/>
      </c>
      <c r="N88" s="33">
        <f>N82+N84+N86</f>
        <v/>
      </c>
      <c r="O88" s="33">
        <f>O82+O84+O86</f>
        <v/>
      </c>
      <c r="P88" s="33">
        <f>P82+P84+P86</f>
        <v/>
      </c>
      <c r="Q88" s="33">
        <f>Q82+Q84+Q86</f>
        <v/>
      </c>
      <c r="R88" s="33">
        <f>R82+R84+R86</f>
        <v/>
      </c>
      <c r="S88" s="33">
        <f>S82+S84+S86</f>
        <v/>
      </c>
      <c r="T88" s="33">
        <f>T82+T84+T86</f>
        <v/>
      </c>
      <c r="U88" s="33">
        <f>U82+U84+U86</f>
        <v/>
      </c>
      <c r="V88" s="33">
        <f>V82+V84+V86</f>
        <v/>
      </c>
      <c r="W88" s="33">
        <f>W82+W84+W86</f>
        <v/>
      </c>
      <c r="X88" s="33">
        <f>X82+X84+X86</f>
        <v/>
      </c>
      <c r="Y88" s="33">
        <f>Y82+Y84+Y86</f>
        <v/>
      </c>
      <c r="Z88" s="33">
        <f>Z82+Z84+Z86</f>
        <v/>
      </c>
      <c r="AA88" s="33">
        <f>AA82+AA84+AA86</f>
        <v/>
      </c>
      <c r="AB88" s="33">
        <f>AB82+AB84+AB86</f>
        <v/>
      </c>
      <c r="AC88" s="33">
        <f>AC82+AC84+AC86</f>
        <v/>
      </c>
      <c r="AD88" s="33">
        <f>AD82+AD84+AD86</f>
        <v/>
      </c>
      <c r="AE88" s="33">
        <f>AE82+AE84+AE86</f>
        <v/>
      </c>
      <c r="AF88" s="33">
        <f>AF82+AF84+AF86</f>
        <v/>
      </c>
      <c r="AG88" s="33">
        <f>AG82+AG84+AG86</f>
        <v/>
      </c>
      <c r="AH88" s="33">
        <f>AH82+AH84+AH86</f>
        <v/>
      </c>
      <c r="AI88" s="33">
        <f>AI82+AI84+AI86</f>
        <v/>
      </c>
      <c r="AJ88" s="33">
        <f>AJ82+AJ84+AJ86</f>
        <v/>
      </c>
      <c r="AK88" s="33">
        <f>AK82+AK84+AK86</f>
        <v/>
      </c>
      <c r="AL88" s="33">
        <f>AL82+AL84+AL86</f>
        <v/>
      </c>
      <c r="AM88" s="33">
        <f>AM82+AM84+AM86</f>
        <v/>
      </c>
      <c r="AN88" s="33">
        <f>AN82+AN84+AN86</f>
        <v/>
      </c>
      <c r="AO88" s="33">
        <f>AO82+AO84+AO86</f>
        <v/>
      </c>
      <c r="AP88" s="33">
        <f>AP82+AP84+AP86</f>
        <v/>
      </c>
      <c r="AQ88" s="33">
        <f>AQ82+AQ84+AQ86</f>
        <v/>
      </c>
      <c r="AR88" s="33">
        <f>AR82+AR84+AR86</f>
        <v/>
      </c>
      <c r="AS88" s="33">
        <f>AS82+AS84+AS86</f>
        <v/>
      </c>
      <c r="AT88" s="33">
        <f>AT82+AT84+AT86</f>
        <v/>
      </c>
      <c r="AU88" s="33">
        <f>AU82+AU84+AU86</f>
        <v/>
      </c>
      <c r="AV88" s="33">
        <f>AV82+AV84+AV86</f>
        <v/>
      </c>
      <c r="AW88" s="33">
        <f>AW82+AW84+AW86</f>
        <v/>
      </c>
      <c r="AX88" s="33">
        <f>AX82+AX84+AX86</f>
        <v/>
      </c>
      <c r="AY88" s="33">
        <f>AY82+AY84+AY86</f>
        <v/>
      </c>
      <c r="AZ88" s="33">
        <f>AZ82+AZ84+AZ86</f>
        <v/>
      </c>
      <c r="BA88" s="33">
        <f>BA82+BA84+BA86</f>
        <v/>
      </c>
      <c r="BB88" s="33">
        <f>BB82+BB84+BB86</f>
        <v/>
      </c>
      <c r="BC88" s="33">
        <f>BC82+BC84+BC86</f>
        <v/>
      </c>
      <c r="BD88" s="33">
        <f>BD82+BD84+BD86</f>
        <v/>
      </c>
      <c r="BE88" s="33">
        <f>BE82+BE84+BE86</f>
        <v/>
      </c>
      <c r="BF88" s="33">
        <f>BF82+BF84+BF86</f>
        <v/>
      </c>
      <c r="BG88" s="33">
        <f>BG82+BG84+BG86</f>
        <v/>
      </c>
      <c r="BH88" s="33">
        <f>BH82+BH84+BH86</f>
        <v/>
      </c>
      <c r="BI88" s="33">
        <f>BI82+BI84+BI86</f>
        <v/>
      </c>
      <c r="BJ88" s="33">
        <f>BJ82+BJ84+BJ86</f>
        <v/>
      </c>
      <c r="BK88" s="33">
        <f>BK82+BK84+BK86</f>
        <v/>
      </c>
      <c r="BL88" s="33">
        <f>BL82+BL84+BL86</f>
        <v/>
      </c>
      <c r="BM88" s="33">
        <f>BM82+BM84+BM86</f>
        <v/>
      </c>
      <c r="BN88" s="33">
        <f>BN82+BN84+BN86</f>
        <v/>
      </c>
      <c r="BO88" s="33">
        <f>BO82+BO84+BO86</f>
        <v/>
      </c>
      <c r="BP88" s="33">
        <f>BP82+BP84+BP86</f>
        <v/>
      </c>
      <c r="BQ88" s="33">
        <f>BQ82+BQ84+BQ86</f>
        <v/>
      </c>
      <c r="BR88" s="33">
        <f>BR82+BR84+BR86</f>
        <v/>
      </c>
      <c r="BY88" s="33">
        <f>SUM(C88:BR88)</f>
        <v/>
      </c>
    </row>
    <row r="89">
      <c r="B89" s="32" t="inlineStr">
        <is>
          <t>Produccion fuente</t>
        </is>
      </c>
      <c r="C89" s="33" t="n">
        <v>278711</v>
      </c>
      <c r="D89" s="33" t="n">
        <v>125218</v>
      </c>
      <c r="E89" s="33" t="n">
        <v>31135</v>
      </c>
      <c r="F89" s="33" t="n">
        <v>19479</v>
      </c>
      <c r="G89" s="33" t="n">
        <v>216706</v>
      </c>
      <c r="H89" s="33" t="n">
        <v>70975</v>
      </c>
      <c r="I89" s="33" t="n">
        <v>11925</v>
      </c>
      <c r="J89" s="33" t="n">
        <v>235142</v>
      </c>
      <c r="K89" s="33" t="n">
        <v>48692</v>
      </c>
      <c r="L89" s="33" t="n">
        <v>237388</v>
      </c>
      <c r="M89" s="33" t="n">
        <v>71456</v>
      </c>
      <c r="N89" s="33" t="n">
        <v>15786</v>
      </c>
      <c r="O89" s="33" t="n">
        <v>48755</v>
      </c>
      <c r="P89" s="33" t="n">
        <v>62341</v>
      </c>
      <c r="Q89" s="33" t="n">
        <v>41241</v>
      </c>
      <c r="R89" s="33" t="n">
        <v>28694</v>
      </c>
      <c r="S89" s="33" t="n">
        <v>72783</v>
      </c>
      <c r="T89" s="33" t="n">
        <v>20852</v>
      </c>
      <c r="U89" s="33" t="n">
        <v>364803</v>
      </c>
      <c r="V89" s="33" t="n">
        <v>35434</v>
      </c>
      <c r="W89" s="33" t="n">
        <v>135209</v>
      </c>
      <c r="X89" s="33" t="n">
        <v>65030</v>
      </c>
      <c r="Y89" s="33" t="n">
        <v>38909</v>
      </c>
      <c r="Z89" s="33" t="n">
        <v>56561</v>
      </c>
      <c r="AA89" s="33" t="n">
        <v>102769</v>
      </c>
      <c r="AB89" s="33" t="n">
        <v>94114</v>
      </c>
      <c r="AC89" s="33" t="n">
        <v>108146</v>
      </c>
      <c r="AD89" s="33" t="n">
        <v>51102</v>
      </c>
      <c r="AE89" s="33" t="n">
        <v>95125</v>
      </c>
      <c r="AF89" s="33" t="n">
        <v>90532</v>
      </c>
      <c r="AG89" s="33" t="n">
        <v>71474</v>
      </c>
      <c r="AH89" s="33" t="n">
        <v>135525</v>
      </c>
      <c r="AI89" s="33" t="n">
        <v>172624</v>
      </c>
      <c r="AJ89" s="33" t="n">
        <v>80245</v>
      </c>
      <c r="AK89" s="33" t="n">
        <v>48758</v>
      </c>
      <c r="AL89" s="33" t="n">
        <v>71259</v>
      </c>
      <c r="AM89" s="33" t="n">
        <v>59450</v>
      </c>
      <c r="AN89" s="33" t="n">
        <v>211363</v>
      </c>
      <c r="AO89" s="33" t="n">
        <v>60661</v>
      </c>
      <c r="AP89" s="33" t="n">
        <v>662329</v>
      </c>
      <c r="AQ89" s="33" t="n">
        <v>149926</v>
      </c>
      <c r="AR89" s="33" t="n">
        <v>913319</v>
      </c>
      <c r="AS89" s="33" t="n">
        <v>323975</v>
      </c>
      <c r="AT89" s="33" t="n">
        <v>17453</v>
      </c>
      <c r="AU89" s="33" t="n">
        <v>37736</v>
      </c>
      <c r="AV89" s="33" t="n">
        <v>109868</v>
      </c>
      <c r="AW89" s="33" t="n">
        <v>24494</v>
      </c>
      <c r="AX89" s="33" t="n">
        <v>219910</v>
      </c>
      <c r="AY89" s="33" t="n">
        <v>22379</v>
      </c>
      <c r="AZ89" s="33" t="n">
        <v>43383</v>
      </c>
      <c r="BA89" s="33" t="n">
        <v>163015</v>
      </c>
      <c r="BB89" s="33" t="n">
        <v>115472</v>
      </c>
      <c r="BC89" s="33" t="n">
        <v>505894</v>
      </c>
      <c r="BD89" s="33" t="n">
        <v>505800</v>
      </c>
      <c r="BE89" s="33" t="n">
        <v>174311</v>
      </c>
      <c r="BF89" s="33" t="n">
        <v>72807</v>
      </c>
      <c r="BG89" s="33" t="n">
        <v>90927</v>
      </c>
      <c r="BH89" s="33" t="n">
        <v>47146</v>
      </c>
      <c r="BI89" s="33" t="n">
        <v>198781</v>
      </c>
      <c r="BJ89" s="33" t="n">
        <v>37700</v>
      </c>
      <c r="BK89" s="33" t="n">
        <v>675619</v>
      </c>
      <c r="BL89" s="33" t="n">
        <v>283767</v>
      </c>
      <c r="BM89" s="33" t="n">
        <v>99725</v>
      </c>
      <c r="BN89" s="33" t="n">
        <v>166924</v>
      </c>
      <c r="BO89" s="33" t="n">
        <v>202015</v>
      </c>
      <c r="BP89" s="33" t="n">
        <v>35052</v>
      </c>
      <c r="BQ89" s="33" t="n">
        <v>144093</v>
      </c>
      <c r="BR89" s="33" t="n">
        <v>58164</v>
      </c>
      <c r="BY89" s="33">
        <f>SUM(C89:BR89)</f>
        <v/>
      </c>
    </row>
    <row r="90">
      <c r="B90" s="35" t="inlineStr">
        <is>
          <t>Check produccion total - fuente</t>
        </is>
      </c>
      <c r="C90" s="36">
        <f>C88-C89</f>
        <v/>
      </c>
      <c r="D90" s="36">
        <f>D88-D89</f>
        <v/>
      </c>
      <c r="E90" s="36">
        <f>E88-E89</f>
        <v/>
      </c>
      <c r="F90" s="36">
        <f>F88-F89</f>
        <v/>
      </c>
      <c r="G90" s="36">
        <f>G88-G89</f>
        <v/>
      </c>
      <c r="H90" s="36">
        <f>H88-H89</f>
        <v/>
      </c>
      <c r="I90" s="36">
        <f>I88-I89</f>
        <v/>
      </c>
      <c r="J90" s="36">
        <f>J88-J89</f>
        <v/>
      </c>
      <c r="K90" s="36">
        <f>K88-K89</f>
        <v/>
      </c>
      <c r="L90" s="36">
        <f>L88-L89</f>
        <v/>
      </c>
      <c r="M90" s="36">
        <f>M88-M89</f>
        <v/>
      </c>
      <c r="N90" s="36">
        <f>N88-N89</f>
        <v/>
      </c>
      <c r="O90" s="36">
        <f>O88-O89</f>
        <v/>
      </c>
      <c r="P90" s="36">
        <f>P88-P89</f>
        <v/>
      </c>
      <c r="Q90" s="36">
        <f>Q88-Q89</f>
        <v/>
      </c>
      <c r="R90" s="36">
        <f>R88-R89</f>
        <v/>
      </c>
      <c r="S90" s="36">
        <f>S88-S89</f>
        <v/>
      </c>
      <c r="T90" s="36">
        <f>T88-T89</f>
        <v/>
      </c>
      <c r="U90" s="36">
        <f>U88-U89</f>
        <v/>
      </c>
      <c r="V90" s="36">
        <f>V88-V89</f>
        <v/>
      </c>
      <c r="W90" s="36">
        <f>W88-W89</f>
        <v/>
      </c>
      <c r="X90" s="36">
        <f>X88-X89</f>
        <v/>
      </c>
      <c r="Y90" s="36">
        <f>Y88-Y89</f>
        <v/>
      </c>
      <c r="Z90" s="36">
        <f>Z88-Z89</f>
        <v/>
      </c>
      <c r="AA90" s="36">
        <f>AA88-AA89</f>
        <v/>
      </c>
      <c r="AB90" s="36">
        <f>AB88-AB89</f>
        <v/>
      </c>
      <c r="AC90" s="36">
        <f>AC88-AC89</f>
        <v/>
      </c>
      <c r="AD90" s="36">
        <f>AD88-AD89</f>
        <v/>
      </c>
      <c r="AE90" s="36">
        <f>AE88-AE89</f>
        <v/>
      </c>
      <c r="AF90" s="36">
        <f>AF88-AF89</f>
        <v/>
      </c>
      <c r="AG90" s="36">
        <f>AG88-AG89</f>
        <v/>
      </c>
      <c r="AH90" s="36">
        <f>AH88-AH89</f>
        <v/>
      </c>
      <c r="AI90" s="36">
        <f>AI88-AI89</f>
        <v/>
      </c>
      <c r="AJ90" s="36">
        <f>AJ88-AJ89</f>
        <v/>
      </c>
      <c r="AK90" s="36">
        <f>AK88-AK89</f>
        <v/>
      </c>
      <c r="AL90" s="36">
        <f>AL88-AL89</f>
        <v/>
      </c>
      <c r="AM90" s="36">
        <f>AM88-AM89</f>
        <v/>
      </c>
      <c r="AN90" s="36">
        <f>AN88-AN89</f>
        <v/>
      </c>
      <c r="AO90" s="36">
        <f>AO88-AO89</f>
        <v/>
      </c>
      <c r="AP90" s="36">
        <f>AP88-AP89</f>
        <v/>
      </c>
      <c r="AQ90" s="36">
        <f>AQ88-AQ89</f>
        <v/>
      </c>
      <c r="AR90" s="36">
        <f>AR88-AR89</f>
        <v/>
      </c>
      <c r="AS90" s="36">
        <f>AS88-AS89</f>
        <v/>
      </c>
      <c r="AT90" s="36">
        <f>AT88-AT89</f>
        <v/>
      </c>
      <c r="AU90" s="36">
        <f>AU88-AU89</f>
        <v/>
      </c>
      <c r="AV90" s="36">
        <f>AV88-AV89</f>
        <v/>
      </c>
      <c r="AW90" s="36">
        <f>AW88-AW89</f>
        <v/>
      </c>
      <c r="AX90" s="36">
        <f>AX88-AX89</f>
        <v/>
      </c>
      <c r="AY90" s="36">
        <f>AY88-AY89</f>
        <v/>
      </c>
      <c r="AZ90" s="36">
        <f>AZ88-AZ89</f>
        <v/>
      </c>
      <c r="BA90" s="36">
        <f>BA88-BA89</f>
        <v/>
      </c>
      <c r="BB90" s="36">
        <f>BB88-BB89</f>
        <v/>
      </c>
      <c r="BC90" s="36">
        <f>BC88-BC89</f>
        <v/>
      </c>
      <c r="BD90" s="36">
        <f>BD88-BD89</f>
        <v/>
      </c>
      <c r="BE90" s="36">
        <f>BE88-BE89</f>
        <v/>
      </c>
      <c r="BF90" s="36">
        <f>BF88-BF89</f>
        <v/>
      </c>
      <c r="BG90" s="36">
        <f>BG88-BG89</f>
        <v/>
      </c>
      <c r="BH90" s="36">
        <f>BH88-BH89</f>
        <v/>
      </c>
      <c r="BI90" s="36">
        <f>BI88-BI89</f>
        <v/>
      </c>
      <c r="BJ90" s="36">
        <f>BJ88-BJ89</f>
        <v/>
      </c>
      <c r="BK90" s="36">
        <f>BK88-BK89</f>
        <v/>
      </c>
      <c r="BL90" s="36">
        <f>BL88-BL89</f>
        <v/>
      </c>
      <c r="BM90" s="36">
        <f>BM88-BM89</f>
        <v/>
      </c>
      <c r="BN90" s="36">
        <f>BN88-BN89</f>
        <v/>
      </c>
      <c r="BO90" s="36">
        <f>BO88-BO89</f>
        <v/>
      </c>
      <c r="BP90" s="36">
        <f>BP88-BP89</f>
        <v/>
      </c>
      <c r="BQ90" s="36">
        <f>BQ88-BQ89</f>
        <v/>
      </c>
      <c r="BR90" s="36">
        <f>BR88-BR89</f>
        <v/>
      </c>
      <c r="BY90" s="36">
        <f>SUM(C90:BR90)</f>
        <v/>
      </c>
    </row>
    <row r="91"/>
    <row r="92">
      <c r="B92" s="28" t="inlineStr">
        <is>
          <t>Nota</t>
        </is>
      </c>
      <c r="C92" s="28" t="inlineStr">
        <is>
          <t>Z contiene consumo intermedio nacional/domestico. El ajuste intermedio fuera de Z queda visible antes del valor agregado.</t>
        </is>
      </c>
    </row>
  </sheetData>
  <mergeCells count="9">
    <mergeCell ref="BY10:BY12"/>
    <mergeCell ref="BX10:BX12"/>
    <mergeCell ref="A3:H4"/>
    <mergeCell ref="B10:B12"/>
    <mergeCell ref="A10:A12"/>
    <mergeCell ref="A1:H1"/>
    <mergeCell ref="C10:BR10"/>
    <mergeCell ref="BS10:BS12"/>
    <mergeCell ref="BT10:BW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Y9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</cols>
  <sheetData>
    <row r="1" ht="44" customHeight="1"/>
    <row r="2"/>
    <row r="3" ht="16" customHeight="1">
      <c r="A3" s="20" t="inlineStr">
        <is>
          <t>Matriz insumo producto, actividad por actividad - Importada / ajuste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2014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3" t="inlineStr">
        <is>
          <t>Total consumo intermedio</t>
        </is>
      </c>
      <c r="BT10" s="23" t="inlineStr">
        <is>
          <t>Demanda final</t>
        </is>
      </c>
      <c r="BU10" s="24" t="n"/>
      <c r="BV10" s="24" t="n"/>
      <c r="BW10" s="24" t="n"/>
      <c r="BX10" s="23" t="inlineStr">
        <is>
          <t>Total demanda final</t>
        </is>
      </c>
      <c r="BY10" s="23" t="inlineStr">
        <is>
          <t>Total</t>
        </is>
      </c>
    </row>
    <row r="11" ht="15" customHeight="1">
      <c r="C11" s="25" t="inlineStr">
        <is>
          <t>0191</t>
        </is>
      </c>
      <c r="D11" s="25" t="inlineStr">
        <is>
          <t>0192</t>
        </is>
      </c>
      <c r="E11" s="25" t="inlineStr">
        <is>
          <t>0280</t>
        </is>
      </c>
      <c r="F11" s="25" t="inlineStr">
        <is>
          <t>0580</t>
        </is>
      </c>
      <c r="G11" s="25" t="inlineStr">
        <is>
          <t>0680</t>
        </is>
      </c>
      <c r="H11" s="25" t="inlineStr">
        <is>
          <t>0791</t>
        </is>
      </c>
      <c r="I11" s="25" t="inlineStr">
        <is>
          <t>0792</t>
        </is>
      </c>
      <c r="J11" s="25" t="inlineStr">
        <is>
          <t>1091</t>
        </is>
      </c>
      <c r="K11" s="25" t="inlineStr">
        <is>
          <t>1092</t>
        </is>
      </c>
      <c r="L11" s="25" t="inlineStr">
        <is>
          <t>1093</t>
        </is>
      </c>
      <c r="M11" s="25" t="inlineStr">
        <is>
          <t>1100</t>
        </is>
      </c>
      <c r="N11" s="25" t="inlineStr">
        <is>
          <t>1200</t>
        </is>
      </c>
      <c r="O11" s="25" t="inlineStr">
        <is>
          <t>1300</t>
        </is>
      </c>
      <c r="P11" s="25" t="inlineStr">
        <is>
          <t>1400</t>
        </is>
      </c>
      <c r="Q11" s="25" t="inlineStr">
        <is>
          <t>1500</t>
        </is>
      </c>
      <c r="R11" s="25" t="inlineStr">
        <is>
          <t>1600</t>
        </is>
      </c>
      <c r="S11" s="25" t="inlineStr">
        <is>
          <t>1700</t>
        </is>
      </c>
      <c r="T11" s="25" t="inlineStr">
        <is>
          <t>1800</t>
        </is>
      </c>
      <c r="U11" s="25" t="inlineStr">
        <is>
          <t>1991</t>
        </is>
      </c>
      <c r="V11" s="25" t="inlineStr">
        <is>
          <t>1992</t>
        </is>
      </c>
      <c r="W11" s="25" t="inlineStr">
        <is>
          <t>2091</t>
        </is>
      </c>
      <c r="X11" s="25" t="inlineStr">
        <is>
          <t>2092</t>
        </is>
      </c>
      <c r="Y11" s="25" t="inlineStr">
        <is>
          <t>2093</t>
        </is>
      </c>
      <c r="Z11" s="25" t="inlineStr">
        <is>
          <t>2100</t>
        </is>
      </c>
      <c r="AA11" s="25" t="inlineStr">
        <is>
          <t>2200</t>
        </is>
      </c>
      <c r="AB11" s="25" t="inlineStr">
        <is>
          <t>2300</t>
        </is>
      </c>
      <c r="AC11" s="25" t="inlineStr">
        <is>
          <t>2491</t>
        </is>
      </c>
      <c r="AD11" s="25" t="inlineStr">
        <is>
          <t>2492</t>
        </is>
      </c>
      <c r="AE11" s="25" t="inlineStr">
        <is>
          <t>2500</t>
        </is>
      </c>
      <c r="AF11" s="25" t="inlineStr">
        <is>
          <t>2600</t>
        </is>
      </c>
      <c r="AG11" s="25" t="inlineStr">
        <is>
          <t>2700</t>
        </is>
      </c>
      <c r="AH11" s="25" t="inlineStr">
        <is>
          <t>2800</t>
        </is>
      </c>
      <c r="AI11" s="25" t="inlineStr">
        <is>
          <t>2991</t>
        </is>
      </c>
      <c r="AJ11" s="25" t="inlineStr">
        <is>
          <t>2992</t>
        </is>
      </c>
      <c r="AK11" s="25" t="inlineStr">
        <is>
          <t>3000</t>
        </is>
      </c>
      <c r="AL11" s="25" t="inlineStr">
        <is>
          <t>3180</t>
        </is>
      </c>
      <c r="AM11" s="25" t="inlineStr">
        <is>
          <t>3300</t>
        </is>
      </c>
      <c r="AN11" s="25" t="inlineStr">
        <is>
          <t>3500</t>
        </is>
      </c>
      <c r="AO11" s="25" t="inlineStr">
        <is>
          <t>3680</t>
        </is>
      </c>
      <c r="AP11" s="25" t="inlineStr">
        <is>
          <t>4180</t>
        </is>
      </c>
      <c r="AQ11" s="25" t="inlineStr">
        <is>
          <t>4500</t>
        </is>
      </c>
      <c r="AR11" s="25" t="inlineStr">
        <is>
          <t>4680</t>
        </is>
      </c>
      <c r="AS11" s="25" t="inlineStr">
        <is>
          <t>4900</t>
        </is>
      </c>
      <c r="AT11" s="25" t="inlineStr">
        <is>
          <t>5000</t>
        </is>
      </c>
      <c r="AU11" s="25" t="inlineStr">
        <is>
          <t>5100</t>
        </is>
      </c>
      <c r="AV11" s="25" t="inlineStr">
        <is>
          <t>5280</t>
        </is>
      </c>
      <c r="AW11" s="25" t="inlineStr">
        <is>
          <t>5500</t>
        </is>
      </c>
      <c r="AX11" s="25" t="inlineStr">
        <is>
          <t>5600</t>
        </is>
      </c>
      <c r="AY11" s="25" t="inlineStr">
        <is>
          <t>5800</t>
        </is>
      </c>
      <c r="AZ11" s="25" t="inlineStr">
        <is>
          <t>5980</t>
        </is>
      </c>
      <c r="BA11" s="25" t="inlineStr">
        <is>
          <t>6100</t>
        </is>
      </c>
      <c r="BB11" s="25" t="inlineStr">
        <is>
          <t>6280</t>
        </is>
      </c>
      <c r="BC11" s="25" t="inlineStr">
        <is>
          <t>6480</t>
        </is>
      </c>
      <c r="BD11" s="25" t="inlineStr">
        <is>
          <t>6800</t>
        </is>
      </c>
      <c r="BE11" s="25" t="inlineStr">
        <is>
          <t>6980</t>
        </is>
      </c>
      <c r="BF11" s="25" t="inlineStr">
        <is>
          <t>7180</t>
        </is>
      </c>
      <c r="BG11" s="25" t="inlineStr">
        <is>
          <t>7380</t>
        </is>
      </c>
      <c r="BH11" s="25" t="inlineStr">
        <is>
          <t>7700</t>
        </is>
      </c>
      <c r="BI11" s="25" t="inlineStr">
        <is>
          <t>7880</t>
        </is>
      </c>
      <c r="BJ11" s="25" t="inlineStr">
        <is>
          <t>8000</t>
        </is>
      </c>
      <c r="BK11" s="25" t="inlineStr">
        <is>
          <t>8400</t>
        </is>
      </c>
      <c r="BL11" s="25" t="inlineStr">
        <is>
          <t>8591</t>
        </is>
      </c>
      <c r="BM11" s="25" t="inlineStr">
        <is>
          <t>8592</t>
        </is>
      </c>
      <c r="BN11" s="25" t="inlineStr">
        <is>
          <t>8691</t>
        </is>
      </c>
      <c r="BO11" s="25" t="inlineStr">
        <is>
          <t>8692</t>
        </is>
      </c>
      <c r="BP11" s="25" t="inlineStr">
        <is>
          <t>9080</t>
        </is>
      </c>
      <c r="BQ11" s="25" t="inlineStr">
        <is>
          <t>9480</t>
        </is>
      </c>
      <c r="BR11" s="25" t="inlineStr">
        <is>
          <t>9700</t>
        </is>
      </c>
      <c r="BT11" s="25" t="inlineStr"/>
      <c r="BU11" s="25" t="inlineStr"/>
      <c r="BV11" s="25" t="inlineStr"/>
      <c r="BW11" s="25" t="inlineStr"/>
    </row>
    <row r="12" ht="90" customHeight="1">
      <c r="A12" s="26" t="n"/>
      <c r="B12" s="26" t="n"/>
      <c r="C12" s="27" t="inlineStr">
        <is>
          <t>Agricultura, inclusive o apoio à agricultura e a pós-colheita</t>
        </is>
      </c>
      <c r="D12" s="27" t="inlineStr">
        <is>
          <t>Pecuária, inclusive o apoio à pecuária</t>
        </is>
      </c>
      <c r="E12" s="27" t="inlineStr">
        <is>
          <t>Produção florestal; pesca e aquicultura</t>
        </is>
      </c>
      <c r="F12" s="27" t="inlineStr">
        <is>
          <t>Extração de carvão mineral e de minerais não-metálicos</t>
        </is>
      </c>
      <c r="G12" s="27" t="inlineStr">
        <is>
          <t>Extração de petróleo e gás, inclusive as atividades de apoio</t>
        </is>
      </c>
      <c r="H12" s="27" t="inlineStr">
        <is>
          <t>Extração de minério de ferro, inclusive beneficiamentos e a aglomeração</t>
        </is>
      </c>
      <c r="I12" s="27" t="inlineStr">
        <is>
          <t>Extração de minerais metálicos não-ferrosos, inclusive beneficiamentos</t>
        </is>
      </c>
      <c r="J12" s="27" t="inlineStr">
        <is>
          <t>Abate e produtos de carne, inclusive os produtos do laticínio e da pesca</t>
        </is>
      </c>
      <c r="K12" s="27" t="inlineStr">
        <is>
          <t>Fabricação e refino de açúcar</t>
        </is>
      </c>
      <c r="L12" s="27" t="inlineStr">
        <is>
          <t>Outros produtos alimentares</t>
        </is>
      </c>
      <c r="M12" s="27" t="inlineStr">
        <is>
          <t>Fabricação de bebidas</t>
        </is>
      </c>
      <c r="N12" s="27" t="inlineStr">
        <is>
          <t>Fabricação de produtos do fumo</t>
        </is>
      </c>
      <c r="O12" s="27" t="inlineStr">
        <is>
          <t>Fabricação de produtos têxteis</t>
        </is>
      </c>
      <c r="P12" s="27" t="inlineStr">
        <is>
          <t>Confecção de artefatos do vestuário e acessórios</t>
        </is>
      </c>
      <c r="Q12" s="27" t="inlineStr">
        <is>
          <t>Fabricação de calçados e de artefatos de couro</t>
        </is>
      </c>
      <c r="R12" s="27" t="inlineStr">
        <is>
          <t>Fabricação de produtos da madeira</t>
        </is>
      </c>
      <c r="S12" s="27" t="inlineStr">
        <is>
          <t>Fabricação de celulose, papel e produtos de papel</t>
        </is>
      </c>
      <c r="T12" s="27" t="inlineStr">
        <is>
          <t>Impressão e reprodução de gravações</t>
        </is>
      </c>
      <c r="U12" s="27" t="inlineStr">
        <is>
          <t>Refino de petróleo e coquerias</t>
        </is>
      </c>
      <c r="V12" s="27" t="inlineStr">
        <is>
          <t>Fabricação de biocombustíveis</t>
        </is>
      </c>
      <c r="W12" s="27" t="inlineStr">
        <is>
          <t>Fabricação de químicos orgânicos e inorgânicos, resinas e elastômeros</t>
        </is>
      </c>
      <c r="X12" s="27" t="inlineStr">
        <is>
          <t>Fabricação de defensivos, desinfestantes, tintas e químicos diversos</t>
        </is>
      </c>
      <c r="Y12" s="27" t="inlineStr">
        <is>
          <t>Fabricação de produtos de limpeza, cosméticos/perfumaria e higiene pessoal</t>
        </is>
      </c>
      <c r="Z12" s="27" t="inlineStr">
        <is>
          <t>Fabricação de produtos farmoquímicos e farmacêuticos</t>
        </is>
      </c>
      <c r="AA12" s="27" t="inlineStr">
        <is>
          <t>Fabricação de produtos de borracha e de material plástico</t>
        </is>
      </c>
      <c r="AB12" s="27" t="inlineStr">
        <is>
          <t>Fabricação de produtos de minerais não-metálicos</t>
        </is>
      </c>
      <c r="AC12" s="27" t="inlineStr">
        <is>
          <t>Produção de ferro-gusa/ferroligas, siderurgia e tubos de aço sem costura</t>
        </is>
      </c>
      <c r="AD12" s="27" t="inlineStr">
        <is>
          <t>Metalurgia de metais não-ferrosos e a fundição de metais</t>
        </is>
      </c>
      <c r="AE12" s="27" t="inlineStr">
        <is>
          <t>Fabricação de produtos de metal, exceto máquinas e equipamentos</t>
        </is>
      </c>
      <c r="AF12" s="27" t="inlineStr">
        <is>
          <t>Fabricação de equipamentos de informática, produtos eletrônicos e ópticos</t>
        </is>
      </c>
      <c r="AG12" s="27" t="inlineStr">
        <is>
          <t>Fabricação de máquinas e equipamentos elétricos</t>
        </is>
      </c>
      <c r="AH12" s="27" t="inlineStr">
        <is>
          <t>Fabricação de máquinas e equipamentos mecânicos</t>
        </is>
      </c>
      <c r="AI12" s="27" t="inlineStr">
        <is>
          <t>Fabricação de automóveis, caminhões e ônibus, exceto peças</t>
        </is>
      </c>
      <c r="AJ12" s="27" t="inlineStr">
        <is>
          <t>Fabricação de peças e acessórios para veículos automotores</t>
        </is>
      </c>
      <c r="AK12" s="27" t="inlineStr">
        <is>
          <t>Fabricação de outros equipamentos de transporte, exceto veículos automotores</t>
        </is>
      </c>
      <c r="AL12" s="27" t="inlineStr">
        <is>
          <t>Fabricação de móveis e de produtos de indústrias diversas</t>
        </is>
      </c>
      <c r="AM12" s="27" t="inlineStr">
        <is>
          <t>Manutenção, reparação e instalação de máquinas e equipamentos</t>
        </is>
      </c>
      <c r="AN12" s="27" t="inlineStr">
        <is>
          <t>Energia elétrica, gás natural e outras utilidades</t>
        </is>
      </c>
      <c r="AO12" s="27" t="inlineStr">
        <is>
          <t>Água, esgoto e gestão de resíduos</t>
        </is>
      </c>
      <c r="AP12" s="27" t="inlineStr">
        <is>
          <t>Construção</t>
        </is>
      </c>
      <c r="AQ12" s="27" t="inlineStr">
        <is>
          <t>Comércio e reparação de veículos automotores e motocicletas</t>
        </is>
      </c>
      <c r="AR12" s="27" t="inlineStr">
        <is>
          <t>Comércio por atacado e a varejo, exceto veículos automotores</t>
        </is>
      </c>
      <c r="AS12" s="27" t="inlineStr">
        <is>
          <t>Transporte terrestre</t>
        </is>
      </c>
      <c r="AT12" s="27" t="inlineStr">
        <is>
          <t>Transporte aquaviário</t>
        </is>
      </c>
      <c r="AU12" s="27" t="inlineStr">
        <is>
          <t>Transporte aéreo</t>
        </is>
      </c>
      <c r="AV12" s="27" t="inlineStr">
        <is>
          <t>Armazenamento, atividades auxiliares dos transportes e correio</t>
        </is>
      </c>
      <c r="AW12" s="27" t="inlineStr">
        <is>
          <t>Alojamento</t>
        </is>
      </c>
      <c r="AX12" s="27" t="inlineStr">
        <is>
          <t>Alimentação</t>
        </is>
      </c>
      <c r="AY12" s="27" t="inlineStr">
        <is>
          <t>Edição e edição integrada à impressão</t>
        </is>
      </c>
      <c r="AZ12" s="27" t="inlineStr">
        <is>
          <t>Atividades de televisão, rádio, cinema e  gravação/edição de som e imagem</t>
        </is>
      </c>
      <c r="BA12" s="27" t="inlineStr">
        <is>
          <t>Telecomunicações</t>
        </is>
      </c>
      <c r="BB12" s="27" t="inlineStr">
        <is>
          <t>Desenvolvimento de sistemas e outros serviços de informação</t>
        </is>
      </c>
      <c r="BC12" s="27" t="inlineStr">
        <is>
          <t>Intermediação financeira, seguros e previdência complementar</t>
        </is>
      </c>
      <c r="BD12" s="27" t="inlineStr">
        <is>
          <t>Atividades imobiliárias</t>
        </is>
      </c>
      <c r="BE12" s="27" t="inlineStr">
        <is>
          <t>Atividades jurídicas, contábeis, consultoria e sedes de empresas</t>
        </is>
      </c>
      <c r="BF12" s="27" t="inlineStr">
        <is>
          <t>Serviços de arquitetura, engenharia, testes/análises técnicas e P &amp; D</t>
        </is>
      </c>
      <c r="BG12" s="27" t="inlineStr">
        <is>
          <t>Outras atividades profissionais, científicas e técnicas</t>
        </is>
      </c>
      <c r="BH12" s="27" t="inlineStr">
        <is>
          <t>Aluguéis não-imobiliários e gestão de ativos de propriedade intelectual</t>
        </is>
      </c>
      <c r="BI12" s="27" t="inlineStr">
        <is>
          <t>Outras atividades administrativas e serviços complementares</t>
        </is>
      </c>
      <c r="BJ12" s="27" t="inlineStr">
        <is>
          <t>Atividades de vigilância, segurança e investigação</t>
        </is>
      </c>
      <c r="BK12" s="27" t="inlineStr">
        <is>
          <t>Administração pública, defesa e seguridade social</t>
        </is>
      </c>
      <c r="BL12" s="27" t="inlineStr">
        <is>
          <t>Educação pública</t>
        </is>
      </c>
      <c r="BM12" s="27" t="inlineStr">
        <is>
          <t>Educação privada</t>
        </is>
      </c>
      <c r="BN12" s="27" t="inlineStr">
        <is>
          <t>Saúde pública</t>
        </is>
      </c>
      <c r="BO12" s="27" t="inlineStr">
        <is>
          <t>Saúde privada</t>
        </is>
      </c>
      <c r="BP12" s="27" t="inlineStr">
        <is>
          <t>Atividades artísticas, criativas e de espetáculos</t>
        </is>
      </c>
      <c r="BQ12" s="27" t="inlineStr">
        <is>
          <t>Organizações associativas e outros serviços pessoais</t>
        </is>
      </c>
      <c r="BR12" s="27" t="inlineStr">
        <is>
          <t>Serviços domésticos</t>
        </is>
      </c>
      <c r="BS12" s="26" t="n"/>
      <c r="BT12" s="27" t="inlineStr">
        <is>
          <t>Gasto de consumo final</t>
        </is>
      </c>
      <c r="BU12" s="27" t="inlineStr">
        <is>
          <t>Formacion bruta de capital</t>
        </is>
      </c>
      <c r="BV12" s="27" t="inlineStr">
        <is>
          <t>Exportaciones netas</t>
        </is>
      </c>
      <c r="BW12" s="27" t="inlineStr">
        <is>
          <t>Sin desglose fuente</t>
        </is>
      </c>
      <c r="BX12" s="26" t="n"/>
      <c r="BY12" s="26" t="n"/>
    </row>
    <row r="13"/>
    <row r="14">
      <c r="A14" s="28" t="inlineStr">
        <is>
          <t>0191</t>
        </is>
      </c>
      <c r="B14" s="28" t="inlineStr">
        <is>
          <t>Agricultura, inclusive o apoio à agricultura e a pós-colheita</t>
        </is>
      </c>
      <c r="C14" s="29" t="n">
        <v>1611.223354434014</v>
      </c>
      <c r="D14" s="29" t="n">
        <v>1073.74491195119</v>
      </c>
      <c r="E14" s="29" t="n">
        <v>53.76237227447237</v>
      </c>
      <c r="F14" s="29" t="n">
        <v>1.071836257612805</v>
      </c>
      <c r="G14" s="29" t="n">
        <v>1.086826078745573</v>
      </c>
      <c r="H14" s="29" t="n">
        <v>0.1265636085640515</v>
      </c>
      <c r="I14" s="29" t="n">
        <v>0.07463862197011541</v>
      </c>
      <c r="J14" s="29" t="n">
        <v>1014.278474106368</v>
      </c>
      <c r="K14" s="29" t="n">
        <v>1992.823065530606</v>
      </c>
      <c r="L14" s="29" t="n">
        <v>15422.71811408743</v>
      </c>
      <c r="M14" s="29" t="n">
        <v>355.2919938997666</v>
      </c>
      <c r="N14" s="29" t="n">
        <v>1626.635707544376</v>
      </c>
      <c r="O14" s="29" t="n">
        <v>823.2219674012293</v>
      </c>
      <c r="P14" s="29" t="n">
        <v>331.1112978274259</v>
      </c>
      <c r="Q14" s="29" t="n">
        <v>4.337671855703022</v>
      </c>
      <c r="R14" s="29" t="n">
        <v>41.35761802924154</v>
      </c>
      <c r="S14" s="29" t="n">
        <v>61.84705011380775</v>
      </c>
      <c r="T14" s="29" t="n">
        <v>0.01797717948311886</v>
      </c>
      <c r="U14" s="29" t="n">
        <v>2.600045599818118</v>
      </c>
      <c r="V14" s="29" t="n">
        <v>1291.209821848524</v>
      </c>
      <c r="W14" s="29" t="n">
        <v>7.496359956375117</v>
      </c>
      <c r="X14" s="29" t="n">
        <v>8.702234526988473</v>
      </c>
      <c r="Y14" s="29" t="n">
        <v>0.6423207066711965</v>
      </c>
      <c r="Z14" s="29" t="n">
        <v>7.173510455981375</v>
      </c>
      <c r="AA14" s="29" t="n">
        <v>20.65674054606593</v>
      </c>
      <c r="AB14" s="29" t="n">
        <v>10.1562832572765</v>
      </c>
      <c r="AC14" s="29" t="n">
        <v>12.33707211249365</v>
      </c>
      <c r="AD14" s="29" t="n">
        <v>1.094488719199757</v>
      </c>
      <c r="AE14" s="29" t="n">
        <v>1.329078379661579</v>
      </c>
      <c r="AF14" s="29" t="n">
        <v>0.1364307453307302</v>
      </c>
      <c r="AG14" s="29" t="n">
        <v>0.1603066064550031</v>
      </c>
      <c r="AH14" s="29" t="n">
        <v>0.3910169969733571</v>
      </c>
      <c r="AI14" s="29" t="n">
        <v>0.1866581291659933</v>
      </c>
      <c r="AJ14" s="29" t="n">
        <v>0.1289830292810363</v>
      </c>
      <c r="AK14" s="29" t="n">
        <v>0.2504537276515286</v>
      </c>
      <c r="AL14" s="29" t="n">
        <v>6.597452042341685</v>
      </c>
      <c r="AM14" s="29" t="n">
        <v>0.04575348013230399</v>
      </c>
      <c r="AN14" s="29" t="n">
        <v>0.2858700831850672</v>
      </c>
      <c r="AO14" s="29" t="n">
        <v>10.10106897614346</v>
      </c>
      <c r="AP14" s="29" t="n">
        <v>38.93371977974425</v>
      </c>
      <c r="AQ14" s="29" t="n">
        <v>0.6602121642043073</v>
      </c>
      <c r="AR14" s="29" t="n">
        <v>1379.058874832543</v>
      </c>
      <c r="AS14" s="29" t="n">
        <v>0.2542083669872911</v>
      </c>
      <c r="AT14" s="29" t="n">
        <v>0.004192076918182369</v>
      </c>
      <c r="AU14" s="29" t="n">
        <v>0.165172281542875</v>
      </c>
      <c r="AV14" s="29" t="n">
        <v>0.5449212372433875</v>
      </c>
      <c r="AW14" s="29" t="n">
        <v>106.532492768326</v>
      </c>
      <c r="AX14" s="29" t="n">
        <v>1132.407148719278</v>
      </c>
      <c r="AY14" s="29" t="n">
        <v>0.07752980341018278</v>
      </c>
      <c r="AZ14" s="29" t="n">
        <v>0.1734078608588515</v>
      </c>
      <c r="BA14" s="29" t="n">
        <v>2.064064767611673</v>
      </c>
      <c r="BB14" s="29" t="n">
        <v>0.3971898540683007</v>
      </c>
      <c r="BC14" s="29" t="n">
        <v>2.157273348450316</v>
      </c>
      <c r="BD14" s="29" t="n">
        <v>1.264283361353147</v>
      </c>
      <c r="BE14" s="29" t="n">
        <v>1.440785667820841</v>
      </c>
      <c r="BF14" s="29" t="n">
        <v>1.620961652985018</v>
      </c>
      <c r="BG14" s="29" t="n">
        <v>0.1568591357396245</v>
      </c>
      <c r="BH14" s="29" t="n">
        <v>0.129829316995566</v>
      </c>
      <c r="BI14" s="29" t="n">
        <v>37.58158440034384</v>
      </c>
      <c r="BJ14" s="29" t="n">
        <v>0.04771780097705872</v>
      </c>
      <c r="BK14" s="29" t="n">
        <v>377.0725044833712</v>
      </c>
      <c r="BL14" s="29" t="n">
        <v>160.3566728639178</v>
      </c>
      <c r="BM14" s="29" t="n">
        <v>15.923784365523</v>
      </c>
      <c r="BN14" s="29" t="n">
        <v>76.86205836626732</v>
      </c>
      <c r="BO14" s="29" t="n">
        <v>61.0412947155886</v>
      </c>
      <c r="BP14" s="29" t="n">
        <v>0.4833354442313668</v>
      </c>
      <c r="BQ14" s="29" t="n">
        <v>87.37913435211354</v>
      </c>
      <c r="BR14" s="29" t="n">
        <v>0</v>
      </c>
      <c r="BS14" s="29">
        <f>SUM(C14:BR14)</f>
        <v/>
      </c>
      <c r="BT14" s="29" t="n">
        <v>0</v>
      </c>
      <c r="BU14" s="29" t="n">
        <v>0</v>
      </c>
      <c r="BV14" s="29" t="n">
        <v>0</v>
      </c>
      <c r="BW14" s="29" t="n">
        <v>0</v>
      </c>
      <c r="BX14" s="29">
        <f>SUM(BT14:BW14)</f>
        <v/>
      </c>
      <c r="BY14" s="29">
        <f>BS14+BX14</f>
        <v/>
      </c>
    </row>
    <row r="15">
      <c r="A15" s="30" t="inlineStr">
        <is>
          <t>0192</t>
        </is>
      </c>
      <c r="B15" s="30" t="inlineStr">
        <is>
          <t>Pecuária, inclusive o apoio à pecuária</t>
        </is>
      </c>
      <c r="C15" s="31" t="n">
        <v>150.8146361559681</v>
      </c>
      <c r="D15" s="31" t="n">
        <v>778.5510453434786</v>
      </c>
      <c r="E15" s="31" t="n">
        <v>50.5345734622151</v>
      </c>
      <c r="F15" s="31" t="n">
        <v>2.599658852398767</v>
      </c>
      <c r="G15" s="31" t="n">
        <v>4.332874782188842</v>
      </c>
      <c r="H15" s="31" t="n">
        <v>0.2446692538106453</v>
      </c>
      <c r="I15" s="31" t="n">
        <v>0.1722319710828245</v>
      </c>
      <c r="J15" s="31" t="n">
        <v>10314.85128188508</v>
      </c>
      <c r="K15" s="31" t="n">
        <v>11.55213092599102</v>
      </c>
      <c r="L15" s="31" t="n">
        <v>792.8260192346925</v>
      </c>
      <c r="M15" s="31" t="n">
        <v>38.42083290808398</v>
      </c>
      <c r="N15" s="31" t="n">
        <v>70.01310270926659</v>
      </c>
      <c r="O15" s="31" t="n">
        <v>91.10874326903111</v>
      </c>
      <c r="P15" s="31" t="n">
        <v>71.76131025709093</v>
      </c>
      <c r="Q15" s="31" t="n">
        <v>4.16230305028796</v>
      </c>
      <c r="R15" s="31" t="n">
        <v>58.29690752898415</v>
      </c>
      <c r="S15" s="31" t="n">
        <v>72.63567284343586</v>
      </c>
      <c r="T15" s="31" t="n">
        <v>0.05451311494881337</v>
      </c>
      <c r="U15" s="31" t="n">
        <v>0.1086609591588227</v>
      </c>
      <c r="V15" s="31" t="n">
        <v>13.90415554486374</v>
      </c>
      <c r="W15" s="31" t="n">
        <v>26.80347682812265</v>
      </c>
      <c r="X15" s="31" t="n">
        <v>4.294497426615011</v>
      </c>
      <c r="Y15" s="31" t="n">
        <v>1.662055928065227</v>
      </c>
      <c r="Z15" s="31" t="n">
        <v>2.130729821563255</v>
      </c>
      <c r="AA15" s="31" t="n">
        <v>25.52054988520552</v>
      </c>
      <c r="AB15" s="31" t="n">
        <v>43.90436822256494</v>
      </c>
      <c r="AC15" s="31" t="n">
        <v>19.80396899066834</v>
      </c>
      <c r="AD15" s="31" t="n">
        <v>3.261160961088027</v>
      </c>
      <c r="AE15" s="31" t="n">
        <v>1.12011458062491</v>
      </c>
      <c r="AF15" s="31" t="n">
        <v>0.5568106169795696</v>
      </c>
      <c r="AG15" s="31" t="n">
        <v>0.6891682783349117</v>
      </c>
      <c r="AH15" s="31" t="n">
        <v>1.24535456843589</v>
      </c>
      <c r="AI15" s="31" t="n">
        <v>0.538608071440272</v>
      </c>
      <c r="AJ15" s="31" t="n">
        <v>0.4794924856389363</v>
      </c>
      <c r="AK15" s="31" t="n">
        <v>0.3768530476308297</v>
      </c>
      <c r="AL15" s="31" t="n">
        <v>3.041562890805789</v>
      </c>
      <c r="AM15" s="31" t="n">
        <v>0.1910409629879613</v>
      </c>
      <c r="AN15" s="31" t="n">
        <v>0.7585680812202406</v>
      </c>
      <c r="AO15" s="31" t="n">
        <v>2.911968200914996</v>
      </c>
      <c r="AP15" s="31" t="n">
        <v>100.2810529947319</v>
      </c>
      <c r="AQ15" s="31" t="n">
        <v>1.437291687254477</v>
      </c>
      <c r="AR15" s="31" t="n">
        <v>86.88830762608241</v>
      </c>
      <c r="AS15" s="31" t="n">
        <v>0.6188195043927162</v>
      </c>
      <c r="AT15" s="31" t="n">
        <v>0.01591617151425667</v>
      </c>
      <c r="AU15" s="31" t="n">
        <v>0.2813298956963831</v>
      </c>
      <c r="AV15" s="31" t="n">
        <v>1.356805796304166</v>
      </c>
      <c r="AW15" s="31" t="n">
        <v>43.72547708163396</v>
      </c>
      <c r="AX15" s="31" t="n">
        <v>314.1043009399077</v>
      </c>
      <c r="AY15" s="31" t="n">
        <v>0.3188480750232949</v>
      </c>
      <c r="AZ15" s="31" t="n">
        <v>0.5464962919433158</v>
      </c>
      <c r="BA15" s="31" t="n">
        <v>4.212988695087457</v>
      </c>
      <c r="BB15" s="31" t="n">
        <v>1.525268787674494</v>
      </c>
      <c r="BC15" s="31" t="n">
        <v>4.766518179656511</v>
      </c>
      <c r="BD15" s="31" t="n">
        <v>3.681841076904055</v>
      </c>
      <c r="BE15" s="31" t="n">
        <v>1.186614317670288</v>
      </c>
      <c r="BF15" s="31" t="n">
        <v>1.73542872988059</v>
      </c>
      <c r="BG15" s="31" t="n">
        <v>1.021664523398941</v>
      </c>
      <c r="BH15" s="31" t="n">
        <v>0.4973291440230531</v>
      </c>
      <c r="BI15" s="31" t="n">
        <v>2.974147544560609</v>
      </c>
      <c r="BJ15" s="31" t="n">
        <v>0.1511462304254247</v>
      </c>
      <c r="BK15" s="31" t="n">
        <v>48.03616393315141</v>
      </c>
      <c r="BL15" s="31" t="n">
        <v>23.83323972162608</v>
      </c>
      <c r="BM15" s="31" t="n">
        <v>3.409708383408232</v>
      </c>
      <c r="BN15" s="31" t="n">
        <v>11.91012876428411</v>
      </c>
      <c r="BO15" s="31" t="n">
        <v>15.38378921283102</v>
      </c>
      <c r="BP15" s="31" t="n">
        <v>0.6324853764649404</v>
      </c>
      <c r="BQ15" s="31" t="n">
        <v>26.73221156362704</v>
      </c>
      <c r="BR15" s="31" t="n">
        <v>0</v>
      </c>
      <c r="BS15" s="31">
        <f>SUM(C15:BR15)</f>
        <v/>
      </c>
      <c r="BT15" s="31" t="n">
        <v>0</v>
      </c>
      <c r="BU15" s="31" t="n">
        <v>0</v>
      </c>
      <c r="BV15" s="31" t="n">
        <v>0</v>
      </c>
      <c r="BW15" s="31" t="n">
        <v>0</v>
      </c>
      <c r="BX15" s="31">
        <f>SUM(BT15:BW15)</f>
        <v/>
      </c>
      <c r="BY15" s="31">
        <f>BS15+BX15</f>
        <v/>
      </c>
    </row>
    <row r="16">
      <c r="A16" s="28" t="inlineStr">
        <is>
          <t>0280</t>
        </is>
      </c>
      <c r="B16" s="28" t="inlineStr">
        <is>
          <t>Produção florestal; pesca e aquicultura</t>
        </is>
      </c>
      <c r="C16" s="29" t="n">
        <v>342.1163432946619</v>
      </c>
      <c r="D16" s="29" t="n">
        <v>402.3546498553006</v>
      </c>
      <c r="E16" s="29" t="n">
        <v>676.087403069813</v>
      </c>
      <c r="F16" s="29" t="n">
        <v>0.7249936327010816</v>
      </c>
      <c r="G16" s="29" t="n">
        <v>0.3743240158845777</v>
      </c>
      <c r="H16" s="29" t="n">
        <v>0.03190464419051868</v>
      </c>
      <c r="I16" s="29" t="n">
        <v>0.01298046880847408</v>
      </c>
      <c r="J16" s="29" t="n">
        <v>610.9672520312419</v>
      </c>
      <c r="K16" s="29" t="n">
        <v>0.1003950984721368</v>
      </c>
      <c r="L16" s="29" t="n">
        <v>117.2999240717001</v>
      </c>
      <c r="M16" s="29" t="n">
        <v>6.859550515973274</v>
      </c>
      <c r="N16" s="29" t="n">
        <v>5.72176166700517</v>
      </c>
      <c r="O16" s="29" t="n">
        <v>19.62958129259184</v>
      </c>
      <c r="P16" s="29" t="n">
        <v>6.849623919360079</v>
      </c>
      <c r="Q16" s="29" t="n">
        <v>5.407022732059234</v>
      </c>
      <c r="R16" s="29" t="n">
        <v>841.179907326086</v>
      </c>
      <c r="S16" s="29" t="n">
        <v>977.3716549979749</v>
      </c>
      <c r="T16" s="29" t="n">
        <v>0.005404847749900498</v>
      </c>
      <c r="U16" s="29" t="n">
        <v>0.01177554681270798</v>
      </c>
      <c r="V16" s="29" t="n">
        <v>0.6258535831863752</v>
      </c>
      <c r="W16" s="29" t="n">
        <v>55.32949197905067</v>
      </c>
      <c r="X16" s="29" t="n">
        <v>1.291645437118382</v>
      </c>
      <c r="Y16" s="29" t="n">
        <v>0.03535508152764767</v>
      </c>
      <c r="Z16" s="29" t="n">
        <v>0.1332066391475475</v>
      </c>
      <c r="AA16" s="29" t="n">
        <v>358.1700706209461</v>
      </c>
      <c r="AB16" s="29" t="n">
        <v>29.77642034042863</v>
      </c>
      <c r="AC16" s="29" t="n">
        <v>242.9475601148357</v>
      </c>
      <c r="AD16" s="29" t="n">
        <v>0.244034880009214</v>
      </c>
      <c r="AE16" s="29" t="n">
        <v>3.422916506357777</v>
      </c>
      <c r="AF16" s="29" t="n">
        <v>0.06186775382524477</v>
      </c>
      <c r="AG16" s="29" t="n">
        <v>0.06866025604334909</v>
      </c>
      <c r="AH16" s="29" t="n">
        <v>0.147251647430078</v>
      </c>
      <c r="AI16" s="29" t="n">
        <v>0.06421437251523787</v>
      </c>
      <c r="AJ16" s="29" t="n">
        <v>0.05041397876067303</v>
      </c>
      <c r="AK16" s="29" t="n">
        <v>0.05217218786524123</v>
      </c>
      <c r="AL16" s="29" t="n">
        <v>1.10306565782108</v>
      </c>
      <c r="AM16" s="29" t="n">
        <v>0.02128705739480313</v>
      </c>
      <c r="AN16" s="29" t="n">
        <v>0.1014393765542303</v>
      </c>
      <c r="AO16" s="29" t="n">
        <v>0.2362052699046189</v>
      </c>
      <c r="AP16" s="29" t="n">
        <v>158.8861077904379</v>
      </c>
      <c r="AQ16" s="29" t="n">
        <v>0.1611277428266383</v>
      </c>
      <c r="AR16" s="29" t="n">
        <v>105.0148974698113</v>
      </c>
      <c r="AS16" s="29" t="n">
        <v>0.07372460274349606</v>
      </c>
      <c r="AT16" s="29" t="n">
        <v>0.002029600192053449</v>
      </c>
      <c r="AU16" s="29" t="n">
        <v>0.02650046616186464</v>
      </c>
      <c r="AV16" s="29" t="n">
        <v>0.1285307390324719</v>
      </c>
      <c r="AW16" s="29" t="n">
        <v>16.55696288023124</v>
      </c>
      <c r="AX16" s="29" t="n">
        <v>176.944420148386</v>
      </c>
      <c r="AY16" s="29" t="n">
        <v>0.03649549994165133</v>
      </c>
      <c r="AZ16" s="29" t="n">
        <v>0.06512401850271839</v>
      </c>
      <c r="BA16" s="29" t="n">
        <v>0.2866644373171194</v>
      </c>
      <c r="BB16" s="29" t="n">
        <v>0.1705132442410421</v>
      </c>
      <c r="BC16" s="29" t="n">
        <v>0.4491797122192876</v>
      </c>
      <c r="BD16" s="29" t="n">
        <v>0.3131325656604695</v>
      </c>
      <c r="BE16" s="29" t="n">
        <v>0.1403205847887724</v>
      </c>
      <c r="BF16" s="29" t="n">
        <v>1.053477556202594</v>
      </c>
      <c r="BG16" s="29" t="n">
        <v>0.05691919013971516</v>
      </c>
      <c r="BH16" s="29" t="n">
        <v>0.05930419085611483</v>
      </c>
      <c r="BI16" s="29" t="n">
        <v>0.2198026664300422</v>
      </c>
      <c r="BJ16" s="29" t="n">
        <v>0.01751747436789185</v>
      </c>
      <c r="BK16" s="29" t="n">
        <v>33.90542789396498</v>
      </c>
      <c r="BL16" s="29" t="n">
        <v>30.58235445599716</v>
      </c>
      <c r="BM16" s="29" t="n">
        <v>3.020580299147256</v>
      </c>
      <c r="BN16" s="29" t="n">
        <v>14.15158292564963</v>
      </c>
      <c r="BO16" s="29" t="n">
        <v>6.514590547966383</v>
      </c>
      <c r="BP16" s="29" t="n">
        <v>0.07874688661699794</v>
      </c>
      <c r="BQ16" s="29" t="n">
        <v>2.618871889867479</v>
      </c>
      <c r="BR16" s="29" t="n">
        <v>0</v>
      </c>
      <c r="BS16" s="29">
        <f>SUM(C16:BR16)</f>
        <v/>
      </c>
      <c r="BT16" s="29" t="n">
        <v>0</v>
      </c>
      <c r="BU16" s="29" t="n">
        <v>0</v>
      </c>
      <c r="BV16" s="29" t="n">
        <v>0</v>
      </c>
      <c r="BW16" s="29" t="n">
        <v>0</v>
      </c>
      <c r="BX16" s="29">
        <f>SUM(BT16:BW16)</f>
        <v/>
      </c>
      <c r="BY16" s="29">
        <f>BS16+BX16</f>
        <v/>
      </c>
    </row>
    <row r="17">
      <c r="A17" s="30" t="inlineStr">
        <is>
          <t>0580</t>
        </is>
      </c>
      <c r="B17" s="30" t="inlineStr">
        <is>
          <t>Extração de carvão mineral e de minerais não-metálicos</t>
        </is>
      </c>
      <c r="C17" s="31" t="n">
        <v>49.12747610615997</v>
      </c>
      <c r="D17" s="31" t="n">
        <v>153.548831148187</v>
      </c>
      <c r="E17" s="31" t="n">
        <v>5.283277027594072</v>
      </c>
      <c r="F17" s="31" t="n">
        <v>134.7263867118234</v>
      </c>
      <c r="G17" s="31" t="n">
        <v>195.7966007481961</v>
      </c>
      <c r="H17" s="31" t="n">
        <v>0.3342500583694184</v>
      </c>
      <c r="I17" s="31" t="n">
        <v>5.166671716643744</v>
      </c>
      <c r="J17" s="31" t="n">
        <v>26.7690910077112</v>
      </c>
      <c r="K17" s="31" t="n">
        <v>5.822706287220256</v>
      </c>
      <c r="L17" s="31" t="n">
        <v>115.199871044314</v>
      </c>
      <c r="M17" s="31" t="n">
        <v>6.71057513536304</v>
      </c>
      <c r="N17" s="31" t="n">
        <v>-0.02734218958507792</v>
      </c>
      <c r="O17" s="31" t="n">
        <v>0.619322046801235</v>
      </c>
      <c r="P17" s="31" t="n">
        <v>-0.02207767387871925</v>
      </c>
      <c r="Q17" s="31" t="n">
        <v>0.5935363118847227</v>
      </c>
      <c r="R17" s="31" t="n">
        <v>0.430713045623416</v>
      </c>
      <c r="S17" s="31" t="n">
        <v>8.36358626352971</v>
      </c>
      <c r="T17" s="31" t="n">
        <v>0.2798861926448916</v>
      </c>
      <c r="U17" s="31" t="n">
        <v>64.75261762329627</v>
      </c>
      <c r="V17" s="31" t="n">
        <v>73.04458061317538</v>
      </c>
      <c r="W17" s="31" t="n">
        <v>1410.780783271193</v>
      </c>
      <c r="X17" s="31" t="n">
        <v>45.78060048872644</v>
      </c>
      <c r="Y17" s="31" t="n">
        <v>5.45030584982825</v>
      </c>
      <c r="Z17" s="31" t="n">
        <v>1.340765475068043</v>
      </c>
      <c r="AA17" s="31" t="n">
        <v>4.058259437599592</v>
      </c>
      <c r="AB17" s="31" t="n">
        <v>2410.645071909675</v>
      </c>
      <c r="AC17" s="31" t="n">
        <v>4865.207442811776</v>
      </c>
      <c r="AD17" s="31" t="n">
        <v>423.0151888549515</v>
      </c>
      <c r="AE17" s="31" t="n">
        <v>2.074923608627487</v>
      </c>
      <c r="AF17" s="31" t="n">
        <v>-0.138258575335647</v>
      </c>
      <c r="AG17" s="31" t="n">
        <v>17.68841303044645</v>
      </c>
      <c r="AH17" s="31" t="n">
        <v>1.550621819610013</v>
      </c>
      <c r="AI17" s="31" t="n">
        <v>8.170593146480794</v>
      </c>
      <c r="AJ17" s="31" t="n">
        <v>50.391811690916</v>
      </c>
      <c r="AK17" s="31" t="n">
        <v>1.763433615264615</v>
      </c>
      <c r="AL17" s="31" t="n">
        <v>14.57916235763617</v>
      </c>
      <c r="AM17" s="31" t="n">
        <v>1.735962414408422</v>
      </c>
      <c r="AN17" s="31" t="n">
        <v>1485.493325631523</v>
      </c>
      <c r="AO17" s="31" t="n">
        <v>143.3117204033291</v>
      </c>
      <c r="AP17" s="31" t="n">
        <v>3273.005741820282</v>
      </c>
      <c r="AQ17" s="31" t="n">
        <v>0.8912320347892553</v>
      </c>
      <c r="AR17" s="31" t="n">
        <v>29.1544685058978</v>
      </c>
      <c r="AS17" s="31" t="n">
        <v>1.031305347288837</v>
      </c>
      <c r="AT17" s="31" t="n">
        <v>0.02333770354070511</v>
      </c>
      <c r="AU17" s="31" t="n">
        <v>0.001495795353532313</v>
      </c>
      <c r="AV17" s="31" t="n">
        <v>1.996642956254447</v>
      </c>
      <c r="AW17" s="31" t="n">
        <v>0.8228527578300479</v>
      </c>
      <c r="AX17" s="31" t="n">
        <v>5.050649412596746</v>
      </c>
      <c r="AY17" s="31" t="n">
        <v>-0.09325478349722476</v>
      </c>
      <c r="AZ17" s="31" t="n">
        <v>-0.08835704570164028</v>
      </c>
      <c r="BA17" s="31" t="n">
        <v>-0.6198213749233072</v>
      </c>
      <c r="BB17" s="31" t="n">
        <v>-0.02877735280700648</v>
      </c>
      <c r="BC17" s="31" t="n">
        <v>0.1048066738225911</v>
      </c>
      <c r="BD17" s="31" t="n">
        <v>136.1504309380109</v>
      </c>
      <c r="BE17" s="31" t="n">
        <v>0.02013090125536584</v>
      </c>
      <c r="BF17" s="31" t="n">
        <v>7.536696001955017</v>
      </c>
      <c r="BG17" s="31" t="n">
        <v>0.0402015537841687</v>
      </c>
      <c r="BH17" s="31" t="n">
        <v>0.103767233835369</v>
      </c>
      <c r="BI17" s="31" t="n">
        <v>0.3594202575388099</v>
      </c>
      <c r="BJ17" s="31" t="n">
        <v>-0.00200139600183112</v>
      </c>
      <c r="BK17" s="31" t="n">
        <v>28.38016094287959</v>
      </c>
      <c r="BL17" s="31" t="n">
        <v>8.29884430238241</v>
      </c>
      <c r="BM17" s="31" t="n">
        <v>0.1107607913747685</v>
      </c>
      <c r="BN17" s="31" t="n">
        <v>3.483466877995984</v>
      </c>
      <c r="BO17" s="31" t="n">
        <v>3.592302598206448</v>
      </c>
      <c r="BP17" s="31" t="n">
        <v>0.08004909864693394</v>
      </c>
      <c r="BQ17" s="31" t="n">
        <v>1.703516531869851</v>
      </c>
      <c r="BR17" s="31" t="n">
        <v>0</v>
      </c>
      <c r="BS17" s="31">
        <f>SUM(C17:BR17)</f>
        <v/>
      </c>
      <c r="BT17" s="31" t="n">
        <v>0</v>
      </c>
      <c r="BU17" s="31" t="n">
        <v>0</v>
      </c>
      <c r="BV17" s="31" t="n">
        <v>0</v>
      </c>
      <c r="BW17" s="31" t="n">
        <v>0</v>
      </c>
      <c r="BX17" s="31">
        <f>SUM(BT17:BW17)</f>
        <v/>
      </c>
      <c r="BY17" s="31">
        <f>BS17+BX17</f>
        <v/>
      </c>
    </row>
    <row r="18">
      <c r="A18" s="28" t="inlineStr">
        <is>
          <t>0680</t>
        </is>
      </c>
      <c r="B18" s="28" t="inlineStr">
        <is>
          <t>Extração de petróleo e gás, inclusive as atividades de apoio</t>
        </is>
      </c>
      <c r="C18" s="29" t="n">
        <v>4.09973881736365</v>
      </c>
      <c r="D18" s="29" t="n">
        <v>3.48212752794925</v>
      </c>
      <c r="E18" s="29" t="n">
        <v>0.2746893328199547</v>
      </c>
      <c r="F18" s="29" t="n">
        <v>1.424149038809666</v>
      </c>
      <c r="G18" s="29" t="n">
        <v>2244.248271123129</v>
      </c>
      <c r="H18" s="29" t="n">
        <v>54.13155633409225</v>
      </c>
      <c r="I18" s="29" t="n">
        <v>12.34757072667753</v>
      </c>
      <c r="J18" s="29" t="n">
        <v>21.79909586242995</v>
      </c>
      <c r="K18" s="29" t="n">
        <v>-0.03599867220054716</v>
      </c>
      <c r="L18" s="29" t="n">
        <v>215.4273032851834</v>
      </c>
      <c r="M18" s="29" t="n">
        <v>47.7226857374507</v>
      </c>
      <c r="N18" s="29" t="n">
        <v>-0.0178673433406226</v>
      </c>
      <c r="O18" s="29" t="n">
        <v>46.19310167579093</v>
      </c>
      <c r="P18" s="29" t="n">
        <v>-0.08897422942797879</v>
      </c>
      <c r="Q18" s="29" t="n">
        <v>0.3166010724352475</v>
      </c>
      <c r="R18" s="29" t="n">
        <v>14.18568410724766</v>
      </c>
      <c r="S18" s="29" t="n">
        <v>208.9475793316651</v>
      </c>
      <c r="T18" s="29" t="n">
        <v>-0.002813891413615583</v>
      </c>
      <c r="U18" s="29" t="n">
        <v>39080.42963596219</v>
      </c>
      <c r="V18" s="29" t="n">
        <v>-0.02426863332615097</v>
      </c>
      <c r="W18" s="29" t="n">
        <v>577.3650044342191</v>
      </c>
      <c r="X18" s="29" t="n">
        <v>26.44327069603855</v>
      </c>
      <c r="Y18" s="29" t="n">
        <v>10.09485678332695</v>
      </c>
      <c r="Z18" s="29" t="n">
        <v>10.66649290836842</v>
      </c>
      <c r="AA18" s="29" t="n">
        <v>34.68216034320767</v>
      </c>
      <c r="AB18" s="29" t="n">
        <v>209.2768630080473</v>
      </c>
      <c r="AC18" s="29" t="n">
        <v>103.2355344561849</v>
      </c>
      <c r="AD18" s="29" t="n">
        <v>93.98808775146311</v>
      </c>
      <c r="AE18" s="29" t="n">
        <v>121.0445376689466</v>
      </c>
      <c r="AF18" s="29" t="n">
        <v>0.7101611190150718</v>
      </c>
      <c r="AG18" s="29" t="n">
        <v>16.32757105860485</v>
      </c>
      <c r="AH18" s="29" t="n">
        <v>255.4914172858032</v>
      </c>
      <c r="AI18" s="29" t="n">
        <v>51.24022680795828</v>
      </c>
      <c r="AJ18" s="29" t="n">
        <v>50.32622097858067</v>
      </c>
      <c r="AK18" s="29" t="n">
        <v>15.04576725757778</v>
      </c>
      <c r="AL18" s="29" t="n">
        <v>0.2075077349348071</v>
      </c>
      <c r="AM18" s="29" t="n">
        <v>104.1718453196213</v>
      </c>
      <c r="AN18" s="29" t="n">
        <v>3291.649568771723</v>
      </c>
      <c r="AO18" s="29" t="n">
        <v>17.5484843301706</v>
      </c>
      <c r="AP18" s="29" t="n">
        <v>113.3780510536193</v>
      </c>
      <c r="AQ18" s="29" t="n">
        <v>5.164371230584964</v>
      </c>
      <c r="AR18" s="29" t="n">
        <v>24.79156664866621</v>
      </c>
      <c r="AS18" s="29" t="n">
        <v>15.33084318108181</v>
      </c>
      <c r="AT18" s="29" t="n">
        <v>2.016955554939528</v>
      </c>
      <c r="AU18" s="29" t="n">
        <v>0.01206990573679088</v>
      </c>
      <c r="AV18" s="29" t="n">
        <v>4.563085188837302</v>
      </c>
      <c r="AW18" s="29" t="n">
        <v>0.2672049459516329</v>
      </c>
      <c r="AX18" s="29" t="n">
        <v>7.080158912531571</v>
      </c>
      <c r="AY18" s="29" t="n">
        <v>-0.06415400063384405</v>
      </c>
      <c r="AZ18" s="29" t="n">
        <v>-0.03953924576574876</v>
      </c>
      <c r="BA18" s="29" t="n">
        <v>4.37789872549397</v>
      </c>
      <c r="BB18" s="29" t="n">
        <v>0.1019896433658491</v>
      </c>
      <c r="BC18" s="29" t="n">
        <v>0.5906961215775066</v>
      </c>
      <c r="BD18" s="29" t="n">
        <v>0.2775473232732611</v>
      </c>
      <c r="BE18" s="29" t="n">
        <v>0.4096252609223368</v>
      </c>
      <c r="BF18" s="29" t="n">
        <v>15.12280967241762</v>
      </c>
      <c r="BG18" s="29" t="n">
        <v>0.1637737527658966</v>
      </c>
      <c r="BH18" s="29" t="n">
        <v>0.859498794285122</v>
      </c>
      <c r="BI18" s="29" t="n">
        <v>17.63886698847076</v>
      </c>
      <c r="BJ18" s="29" t="n">
        <v>0.01899750261836227</v>
      </c>
      <c r="BK18" s="29" t="n">
        <v>33.61191978667377</v>
      </c>
      <c r="BL18" s="29" t="n">
        <v>0.6585247359358458</v>
      </c>
      <c r="BM18" s="29" t="n">
        <v>0.4016772585917288</v>
      </c>
      <c r="BN18" s="29" t="n">
        <v>1.738105557907528</v>
      </c>
      <c r="BO18" s="29" t="n">
        <v>0.2990586680696912</v>
      </c>
      <c r="BP18" s="29" t="n">
        <v>0.4427420782968032</v>
      </c>
      <c r="BQ18" s="29" t="n">
        <v>1.473579154237933</v>
      </c>
      <c r="BR18" s="29" t="n">
        <v>0</v>
      </c>
      <c r="BS18" s="29">
        <f>SUM(C18:BR18)</f>
        <v/>
      </c>
      <c r="BT18" s="29" t="n">
        <v>0</v>
      </c>
      <c r="BU18" s="29" t="n">
        <v>0</v>
      </c>
      <c r="BV18" s="29" t="n">
        <v>0</v>
      </c>
      <c r="BW18" s="29" t="n">
        <v>0</v>
      </c>
      <c r="BX18" s="29">
        <f>SUM(BT18:BW18)</f>
        <v/>
      </c>
      <c r="BY18" s="29">
        <f>BS18+BX18</f>
        <v/>
      </c>
    </row>
    <row r="19">
      <c r="A19" s="30" t="inlineStr">
        <is>
          <t>0791</t>
        </is>
      </c>
      <c r="B19" s="30" t="inlineStr">
        <is>
          <t>Extração de minério de ferro, inclusive beneficiamentos e a aglomeração</t>
        </is>
      </c>
      <c r="C19" s="31" t="n">
        <v>-0.001310584901505731</v>
      </c>
      <c r="D19" s="31" t="n">
        <v>-0.0009836238970617687</v>
      </c>
      <c r="E19" s="31" t="n">
        <v>5.481767459765588e-06</v>
      </c>
      <c r="F19" s="31" t="n">
        <v>-0.01083753778483851</v>
      </c>
      <c r="G19" s="31" t="n">
        <v>-0.01167030893036049</v>
      </c>
      <c r="H19" s="31" t="n">
        <v>129.3492572345886</v>
      </c>
      <c r="I19" s="31" t="n">
        <v>3.808184837883999</v>
      </c>
      <c r="J19" s="31" t="n">
        <v>-1.90522844113865</v>
      </c>
      <c r="K19" s="31" t="n">
        <v>-0.1057768203361452</v>
      </c>
      <c r="L19" s="31" t="n">
        <v>-1.200750331123934</v>
      </c>
      <c r="M19" s="31" t="n">
        <v>-0.05583932945938661</v>
      </c>
      <c r="N19" s="31" t="n">
        <v>-0.05912261944965598</v>
      </c>
      <c r="O19" s="31" t="n">
        <v>-0.1892943296326409</v>
      </c>
      <c r="P19" s="31" t="n">
        <v>-0.2273396074050452</v>
      </c>
      <c r="Q19" s="31" t="n">
        <v>-0.3011971855067647</v>
      </c>
      <c r="R19" s="31" t="n">
        <v>-0.08087105148809419</v>
      </c>
      <c r="S19" s="31" t="n">
        <v>-0.5126959546282824</v>
      </c>
      <c r="T19" s="31" t="n">
        <v>-0.02331618840737426</v>
      </c>
      <c r="U19" s="31" t="n">
        <v>-0.148274825913867</v>
      </c>
      <c r="V19" s="31" t="n">
        <v>-0.1114324966130902</v>
      </c>
      <c r="W19" s="31" t="n">
        <v>-0.2356764011732411</v>
      </c>
      <c r="X19" s="31" t="n">
        <v>-0.317984572966332</v>
      </c>
      <c r="Y19" s="31" t="n">
        <v>-0.02652425603880948</v>
      </c>
      <c r="Z19" s="31" t="n">
        <v>-0.3887779445181855</v>
      </c>
      <c r="AA19" s="31" t="n">
        <v>-0.5029446339313677</v>
      </c>
      <c r="AB19" s="31" t="n">
        <v>21.17584610724358</v>
      </c>
      <c r="AC19" s="31" t="n">
        <v>1600.621754117442</v>
      </c>
      <c r="AD19" s="31" t="n">
        <v>0.4277695166190658</v>
      </c>
      <c r="AE19" s="31" t="n">
        <v>-0.4169795889563149</v>
      </c>
      <c r="AF19" s="31" t="n">
        <v>-0.2779434901640254</v>
      </c>
      <c r="AG19" s="31" t="n">
        <v>-0.3260402096671561</v>
      </c>
      <c r="AH19" s="31" t="n">
        <v>-0.8882407560885283</v>
      </c>
      <c r="AI19" s="31" t="n">
        <v>-0.03323965132579253</v>
      </c>
      <c r="AJ19" s="31" t="n">
        <v>-0.007790194169460066</v>
      </c>
      <c r="AK19" s="31" t="n">
        <v>-0.05178951362559281</v>
      </c>
      <c r="AL19" s="31" t="n">
        <v>-0.1994429234830617</v>
      </c>
      <c r="AM19" s="31" t="n">
        <v>-0.003248227368447851</v>
      </c>
      <c r="AN19" s="31" t="n">
        <v>0.001203306764129667</v>
      </c>
      <c r="AO19" s="31" t="n">
        <v>-0.002729789155180791</v>
      </c>
      <c r="AP19" s="31" t="n">
        <v>0.0008984305078724969</v>
      </c>
      <c r="AQ19" s="31" t="n">
        <v>0.002638785810944659</v>
      </c>
      <c r="AR19" s="31" t="n">
        <v>-1.613413638243344</v>
      </c>
      <c r="AS19" s="31" t="n">
        <v>0.0007907449560711857</v>
      </c>
      <c r="AT19" s="31" t="n">
        <v>4.453936061059533e-05</v>
      </c>
      <c r="AU19" s="31" t="n">
        <v>7.468908163930614e-05</v>
      </c>
      <c r="AV19" s="31" t="n">
        <v>0.001706885342784506</v>
      </c>
      <c r="AW19" s="31" t="n">
        <v>0.0008243207817622498</v>
      </c>
      <c r="AX19" s="31" t="n">
        <v>0.003297283127048998</v>
      </c>
      <c r="AY19" s="31" t="n">
        <v>-0.1725114570654305</v>
      </c>
      <c r="AZ19" s="31" t="n">
        <v>-0.1793087124987445</v>
      </c>
      <c r="BA19" s="31" t="n">
        <v>-1.183836842313866</v>
      </c>
      <c r="BB19" s="31" t="n">
        <v>-0.09504163380393241</v>
      </c>
      <c r="BC19" s="31" t="n">
        <v>-0.006060371064040358</v>
      </c>
      <c r="BD19" s="31" t="n">
        <v>0.001597935214521673</v>
      </c>
      <c r="BE19" s="31" t="n">
        <v>-0.1121923636212006</v>
      </c>
      <c r="BF19" s="31" t="n">
        <v>0.6534101107815056</v>
      </c>
      <c r="BG19" s="31" t="n">
        <v>-0.05260108952105001</v>
      </c>
      <c r="BH19" s="31" t="n">
        <v>0.0009735307778310036</v>
      </c>
      <c r="BI19" s="31" t="n">
        <v>-0.08486872564070737</v>
      </c>
      <c r="BJ19" s="31" t="n">
        <v>-0.01330947025165654</v>
      </c>
      <c r="BK19" s="31" t="n">
        <v>0.001878875796834656</v>
      </c>
      <c r="BL19" s="31" t="n">
        <v>0.0004817103155269017</v>
      </c>
      <c r="BM19" s="31" t="n">
        <v>-0.0004682860454142331</v>
      </c>
      <c r="BN19" s="31" t="n">
        <v>0.000324794721991111</v>
      </c>
      <c r="BO19" s="31" t="n">
        <v>0.001370338866843055</v>
      </c>
      <c r="BP19" s="31" t="n">
        <v>-0.004128038247170289</v>
      </c>
      <c r="BQ19" s="31" t="n">
        <v>-0.002154402225343636</v>
      </c>
      <c r="BR19" s="31" t="n">
        <v>0</v>
      </c>
      <c r="BS19" s="31">
        <f>SUM(C19:BR19)</f>
        <v/>
      </c>
      <c r="BT19" s="31" t="n">
        <v>0</v>
      </c>
      <c r="BU19" s="31" t="n">
        <v>0</v>
      </c>
      <c r="BV19" s="31" t="n">
        <v>0</v>
      </c>
      <c r="BW19" s="31" t="n">
        <v>0</v>
      </c>
      <c r="BX19" s="31">
        <f>SUM(BT19:BW19)</f>
        <v/>
      </c>
      <c r="BY19" s="31">
        <f>BS19+BX19</f>
        <v/>
      </c>
    </row>
    <row r="20">
      <c r="A20" s="28" t="inlineStr">
        <is>
          <t>0792</t>
        </is>
      </c>
      <c r="B20" s="28" t="inlineStr">
        <is>
          <t>Extração de minerais metálicos não-ferrosos, inclusive beneficiamentos</t>
        </is>
      </c>
      <c r="C20" s="29" t="n">
        <v>5.073985667914608</v>
      </c>
      <c r="D20" s="29" t="n">
        <v>1.702659920518421</v>
      </c>
      <c r="E20" s="29" t="n">
        <v>0.07985890551531379</v>
      </c>
      <c r="F20" s="29" t="n">
        <v>1.83078616124037</v>
      </c>
      <c r="G20" s="29" t="n">
        <v>21.8973733686261</v>
      </c>
      <c r="H20" s="29" t="n">
        <v>2.835127106560464</v>
      </c>
      <c r="I20" s="29" t="n">
        <v>362.6011926608348</v>
      </c>
      <c r="J20" s="29" t="n">
        <v>2.518890439083772</v>
      </c>
      <c r="K20" s="29" t="n">
        <v>0.163940680854198</v>
      </c>
      <c r="L20" s="29" t="n">
        <v>5.546289747205146</v>
      </c>
      <c r="M20" s="29" t="n">
        <v>0.5252094245997097</v>
      </c>
      <c r="N20" s="29" t="n">
        <v>0.003086955820521164</v>
      </c>
      <c r="O20" s="29" t="n">
        <v>0.275928826263056</v>
      </c>
      <c r="P20" s="29" t="n">
        <v>0.000202405441334427</v>
      </c>
      <c r="Q20" s="29" t="n">
        <v>0.266205753800206</v>
      </c>
      <c r="R20" s="29" t="n">
        <v>0.2742343766360321</v>
      </c>
      <c r="S20" s="29" t="n">
        <v>3.875643959322835</v>
      </c>
      <c r="T20" s="29" t="n">
        <v>1.985915079098882</v>
      </c>
      <c r="U20" s="29" t="n">
        <v>0.1962027751972331</v>
      </c>
      <c r="V20" s="29" t="n">
        <v>0.296191758969818</v>
      </c>
      <c r="W20" s="29" t="n">
        <v>24.59752925207733</v>
      </c>
      <c r="X20" s="29" t="n">
        <v>5.92325125225685</v>
      </c>
      <c r="Y20" s="29" t="n">
        <v>1.766826064402339</v>
      </c>
      <c r="Z20" s="29" t="n">
        <v>0.7921225652532241</v>
      </c>
      <c r="AA20" s="29" t="n">
        <v>1.812695223855904</v>
      </c>
      <c r="AB20" s="29" t="n">
        <v>26.44071739293739</v>
      </c>
      <c r="AC20" s="29" t="n">
        <v>617.2658694247458</v>
      </c>
      <c r="AD20" s="29" t="n">
        <v>3133.367172354197</v>
      </c>
      <c r="AE20" s="29" t="n">
        <v>18.07963073914798</v>
      </c>
      <c r="AF20" s="29" t="n">
        <v>1.463241068581427</v>
      </c>
      <c r="AG20" s="29" t="n">
        <v>49.67960565236861</v>
      </c>
      <c r="AH20" s="29" t="n">
        <v>9.247162935294877</v>
      </c>
      <c r="AI20" s="29" t="n">
        <v>4.522814701993109</v>
      </c>
      <c r="AJ20" s="29" t="n">
        <v>23.22372609564151</v>
      </c>
      <c r="AK20" s="29" t="n">
        <v>6.345531115599182</v>
      </c>
      <c r="AL20" s="29" t="n">
        <v>15.83837812947754</v>
      </c>
      <c r="AM20" s="29" t="n">
        <v>2.791493249493854</v>
      </c>
      <c r="AN20" s="29" t="n">
        <v>0.2883331322624713</v>
      </c>
      <c r="AO20" s="29" t="n">
        <v>1.983128657312719</v>
      </c>
      <c r="AP20" s="29" t="n">
        <v>41.58207087409536</v>
      </c>
      <c r="AQ20" s="29" t="n">
        <v>0.0650649788406302</v>
      </c>
      <c r="AR20" s="29" t="n">
        <v>1.5856921048846</v>
      </c>
      <c r="AS20" s="29" t="n">
        <v>0.07901250736844201</v>
      </c>
      <c r="AT20" s="29" t="n">
        <v>3.34045204579465e-05</v>
      </c>
      <c r="AU20" s="29" t="n">
        <v>5.601681122947962e-05</v>
      </c>
      <c r="AV20" s="29" t="n">
        <v>0.0295009145883916</v>
      </c>
      <c r="AW20" s="29" t="n">
        <v>0.04204317522838465</v>
      </c>
      <c r="AX20" s="29" t="n">
        <v>0.125935512651043</v>
      </c>
      <c r="AY20" s="29" t="n">
        <v>0.0001597146867974983</v>
      </c>
      <c r="AZ20" s="29" t="n">
        <v>0.000250790861284276</v>
      </c>
      <c r="BA20" s="29" t="n">
        <v>0.001863220303814768</v>
      </c>
      <c r="BB20" s="29" t="n">
        <v>0.001252277662898239</v>
      </c>
      <c r="BC20" s="29" t="n">
        <v>0.018627897724159</v>
      </c>
      <c r="BD20" s="29" t="n">
        <v>0.9231508907717094</v>
      </c>
      <c r="BE20" s="29" t="n">
        <v>0.002469364935391273</v>
      </c>
      <c r="BF20" s="29" t="n">
        <v>0.360232301092733</v>
      </c>
      <c r="BG20" s="29" t="n">
        <v>0.01143019123065421</v>
      </c>
      <c r="BH20" s="29" t="n">
        <v>0.0006320747174841833</v>
      </c>
      <c r="BI20" s="29" t="n">
        <v>0.05529793815616378</v>
      </c>
      <c r="BJ20" s="29" t="n">
        <v>0.0005739048108945849</v>
      </c>
      <c r="BK20" s="29" t="n">
        <v>0.2673854933118165</v>
      </c>
      <c r="BL20" s="29" t="n">
        <v>0.2643845461347347</v>
      </c>
      <c r="BM20" s="29" t="n">
        <v>0.002112907850039307</v>
      </c>
      <c r="BN20" s="29" t="n">
        <v>0.6908823017879449</v>
      </c>
      <c r="BO20" s="29" t="n">
        <v>0.6794542180855699</v>
      </c>
      <c r="BP20" s="29" t="n">
        <v>0.0083908642952668</v>
      </c>
      <c r="BQ20" s="29" t="n">
        <v>0.3795551786224329</v>
      </c>
      <c r="BR20" s="29" t="n">
        <v>0</v>
      </c>
      <c r="BS20" s="29">
        <f>SUM(C20:BR20)</f>
        <v/>
      </c>
      <c r="BT20" s="29" t="n">
        <v>0</v>
      </c>
      <c r="BU20" s="29" t="n">
        <v>0</v>
      </c>
      <c r="BV20" s="29" t="n">
        <v>0</v>
      </c>
      <c r="BW20" s="29" t="n">
        <v>0</v>
      </c>
      <c r="BX20" s="29">
        <f>SUM(BT20:BW20)</f>
        <v/>
      </c>
      <c r="BY20" s="29">
        <f>BS20+BX20</f>
        <v/>
      </c>
    </row>
    <row r="21">
      <c r="A21" s="30" t="inlineStr">
        <is>
          <t>1091</t>
        </is>
      </c>
      <c r="B21" s="30" t="inlineStr">
        <is>
          <t>Abate e produtos de carne, inclusive os produtos do laticínio e da pesca</t>
        </is>
      </c>
      <c r="C21" s="31" t="n">
        <v>26.35082649658834</v>
      </c>
      <c r="D21" s="31" t="n">
        <v>760.1114079156206</v>
      </c>
      <c r="E21" s="31" t="n">
        <v>22.95620184824255</v>
      </c>
      <c r="F21" s="31" t="n">
        <v>0.1274536206705264</v>
      </c>
      <c r="G21" s="31" t="n">
        <v>0.2083112402567494</v>
      </c>
      <c r="H21" s="31" t="n">
        <v>-0.7522146942079823</v>
      </c>
      <c r="I21" s="31" t="n">
        <v>-0.5960612384252992</v>
      </c>
      <c r="J21" s="31" t="n">
        <v>6931.010637735709</v>
      </c>
      <c r="K21" s="31" t="n">
        <v>-5.724469313292296</v>
      </c>
      <c r="L21" s="31" t="n">
        <v>857.9432464150872</v>
      </c>
      <c r="M21" s="31" t="n">
        <v>13.37059659165284</v>
      </c>
      <c r="N21" s="31" t="n">
        <v>-3.211095551418016</v>
      </c>
      <c r="O21" s="31" t="n">
        <v>-8.51440601087452</v>
      </c>
      <c r="P21" s="31" t="n">
        <v>-11.36884320454462</v>
      </c>
      <c r="Q21" s="31" t="n">
        <v>982.1840690947881</v>
      </c>
      <c r="R21" s="31" t="n">
        <v>-4.229099595200898</v>
      </c>
      <c r="S21" s="31" t="n">
        <v>-26.45055858880313</v>
      </c>
      <c r="T21" s="31" t="n">
        <v>-1.069391703067645</v>
      </c>
      <c r="U21" s="31" t="n">
        <v>-7.941324435494729</v>
      </c>
      <c r="V21" s="31" t="n">
        <v>226.6717812825252</v>
      </c>
      <c r="W21" s="31" t="n">
        <v>-2.103329751697869</v>
      </c>
      <c r="X21" s="31" t="n">
        <v>-5.801767650574789</v>
      </c>
      <c r="Y21" s="31" t="n">
        <v>510.1830578532538</v>
      </c>
      <c r="Z21" s="31" t="n">
        <v>-19.01130915258252</v>
      </c>
      <c r="AA21" s="31" t="n">
        <v>-24.20131953700229</v>
      </c>
      <c r="AB21" s="31" t="n">
        <v>-19.68229192996935</v>
      </c>
      <c r="AC21" s="31" t="n">
        <v>-20.86662026785318</v>
      </c>
      <c r="AD21" s="31" t="n">
        <v>-6.567009356762859</v>
      </c>
      <c r="AE21" s="31" t="n">
        <v>-5.545248015737509</v>
      </c>
      <c r="AF21" s="31" t="n">
        <v>-14.94772870458838</v>
      </c>
      <c r="AG21" s="31" t="n">
        <v>-17.39728633578552</v>
      </c>
      <c r="AH21" s="31" t="n">
        <v>-47.25882287605495</v>
      </c>
      <c r="AI21" s="31" t="n">
        <v>-1.47210012162403</v>
      </c>
      <c r="AJ21" s="31" t="n">
        <v>-0.2318073225176703</v>
      </c>
      <c r="AK21" s="31" t="n">
        <v>-2.737745610352374</v>
      </c>
      <c r="AL21" s="31" t="n">
        <v>-10.0135623448137</v>
      </c>
      <c r="AM21" s="31" t="n">
        <v>0.2812078248631313</v>
      </c>
      <c r="AN21" s="31" t="n">
        <v>0.06620147031898711</v>
      </c>
      <c r="AO21" s="31" t="n">
        <v>0.01489895975604991</v>
      </c>
      <c r="AP21" s="31" t="n">
        <v>1.794665080128042</v>
      </c>
      <c r="AQ21" s="31" t="n">
        <v>0.3259391234561861</v>
      </c>
      <c r="AR21" s="31" t="n">
        <v>9.206491733718725</v>
      </c>
      <c r="AS21" s="31" t="n">
        <v>0.1083178767295116</v>
      </c>
      <c r="AT21" s="31" t="n">
        <v>0.005955577183701672</v>
      </c>
      <c r="AU21" s="31" t="n">
        <v>0.06047785818923191</v>
      </c>
      <c r="AV21" s="31" t="n">
        <v>0.2475963499866211</v>
      </c>
      <c r="AW21" s="31" t="n">
        <v>175.5216207014002</v>
      </c>
      <c r="AX21" s="31" t="n">
        <v>5359.44263876375</v>
      </c>
      <c r="AY21" s="31" t="n">
        <v>-9.368991360042278</v>
      </c>
      <c r="AZ21" s="31" t="n">
        <v>-9.736685609542311</v>
      </c>
      <c r="BA21" s="31" t="n">
        <v>-64.06736318372963</v>
      </c>
      <c r="BB21" s="31" t="n">
        <v>-5.219550338447433</v>
      </c>
      <c r="BC21" s="31" t="n">
        <v>-0.06069589149463289</v>
      </c>
      <c r="BD21" s="31" t="n">
        <v>0.05810546711097739</v>
      </c>
      <c r="BE21" s="31" t="n">
        <v>-5.961027016545342</v>
      </c>
      <c r="BF21" s="31" t="n">
        <v>-0.2983706604134551</v>
      </c>
      <c r="BG21" s="31" t="n">
        <v>-2.201581004168827</v>
      </c>
      <c r="BH21" s="31" t="n">
        <v>0.007226430058455691</v>
      </c>
      <c r="BI21" s="31" t="n">
        <v>-4.568583051501321</v>
      </c>
      <c r="BJ21" s="31" t="n">
        <v>-0.7175593667689654</v>
      </c>
      <c r="BK21" s="31" t="n">
        <v>750.746435886074</v>
      </c>
      <c r="BL21" s="31" t="n">
        <v>571.5838904812487</v>
      </c>
      <c r="BM21" s="31" t="n">
        <v>70.73032078393813</v>
      </c>
      <c r="BN21" s="31" t="n">
        <v>301.1810537865456</v>
      </c>
      <c r="BO21" s="31" t="n">
        <v>225.4447043268253</v>
      </c>
      <c r="BP21" s="31" t="n">
        <v>1.947231963829608</v>
      </c>
      <c r="BQ21" s="31" t="n">
        <v>92.68261246603718</v>
      </c>
      <c r="BR21" s="31" t="n">
        <v>0</v>
      </c>
      <c r="BS21" s="31">
        <f>SUM(C21:BR21)</f>
        <v/>
      </c>
      <c r="BT21" s="31" t="n">
        <v>0</v>
      </c>
      <c r="BU21" s="31" t="n">
        <v>0</v>
      </c>
      <c r="BV21" s="31" t="n">
        <v>0</v>
      </c>
      <c r="BW21" s="31" t="n">
        <v>0</v>
      </c>
      <c r="BX21" s="31">
        <f>SUM(BT21:BW21)</f>
        <v/>
      </c>
      <c r="BY21" s="31">
        <f>BS21+BX21</f>
        <v/>
      </c>
    </row>
    <row r="22">
      <c r="A22" s="28" t="inlineStr">
        <is>
          <t>1092</t>
        </is>
      </c>
      <c r="B22" s="28" t="inlineStr">
        <is>
          <t>Fabricação e refino de açúcar</t>
        </is>
      </c>
      <c r="C22" s="29" t="n">
        <v>16.08677161337842</v>
      </c>
      <c r="D22" s="29" t="n">
        <v>24.74539199793491</v>
      </c>
      <c r="E22" s="29" t="n">
        <v>0.8531187248064727</v>
      </c>
      <c r="F22" s="29" t="n">
        <v>0.6616282032241538</v>
      </c>
      <c r="G22" s="29" t="n">
        <v>69.2447753856657</v>
      </c>
      <c r="H22" s="29" t="n">
        <v>5.587858783766753</v>
      </c>
      <c r="I22" s="29" t="n">
        <v>1.612470980969214</v>
      </c>
      <c r="J22" s="29" t="n">
        <v>76.71381784626477</v>
      </c>
      <c r="K22" s="29" t="n">
        <v>354.6538296270071</v>
      </c>
      <c r="L22" s="29" t="n">
        <v>1094.34497105033</v>
      </c>
      <c r="M22" s="29" t="n">
        <v>239.4659613206516</v>
      </c>
      <c r="N22" s="29" t="n">
        <v>-0.1918693331815716</v>
      </c>
      <c r="O22" s="29" t="n">
        <v>-0.5799030818896745</v>
      </c>
      <c r="P22" s="29" t="n">
        <v>-0.7290469579206573</v>
      </c>
      <c r="Q22" s="29" t="n">
        <v>-0.9433906669163374</v>
      </c>
      <c r="R22" s="29" t="n">
        <v>-0.03207938031179677</v>
      </c>
      <c r="S22" s="29" t="n">
        <v>-1.079764682179508</v>
      </c>
      <c r="T22" s="29" t="n">
        <v>-0.0499566045092557</v>
      </c>
      <c r="U22" s="29" t="n">
        <v>2520.929744216462</v>
      </c>
      <c r="V22" s="29" t="n">
        <v>163.382725002641</v>
      </c>
      <c r="W22" s="29" t="n">
        <v>40.40335466510785</v>
      </c>
      <c r="X22" s="29" t="n">
        <v>126.6398745158656</v>
      </c>
      <c r="Y22" s="29" t="n">
        <v>160.0528494848742</v>
      </c>
      <c r="Z22" s="29" t="n">
        <v>91.35789688573165</v>
      </c>
      <c r="AA22" s="29" t="n">
        <v>-1.325490514183548</v>
      </c>
      <c r="AB22" s="29" t="n">
        <v>-0.8845918712535563</v>
      </c>
      <c r="AC22" s="29" t="n">
        <v>-1.044033014214171</v>
      </c>
      <c r="AD22" s="29" t="n">
        <v>-0.2228890581345006</v>
      </c>
      <c r="AE22" s="29" t="n">
        <v>3.695880743872311</v>
      </c>
      <c r="AF22" s="29" t="n">
        <v>-0.7079231180000729</v>
      </c>
      <c r="AG22" s="29" t="n">
        <v>0.9458604659052244</v>
      </c>
      <c r="AH22" s="29" t="n">
        <v>53.8559742601396</v>
      </c>
      <c r="AI22" s="29" t="n">
        <v>6.651814654744879</v>
      </c>
      <c r="AJ22" s="29" t="n">
        <v>0.1407414265889949</v>
      </c>
      <c r="AK22" s="29" t="n">
        <v>3.322603699522849</v>
      </c>
      <c r="AL22" s="29" t="n">
        <v>-0.3251083157471421</v>
      </c>
      <c r="AM22" s="29" t="n">
        <v>23.65732325343279</v>
      </c>
      <c r="AN22" s="29" t="n">
        <v>0.6888479554462543</v>
      </c>
      <c r="AO22" s="29" t="n">
        <v>0.7285045714175667</v>
      </c>
      <c r="AP22" s="29" t="n">
        <v>60.96787719104685</v>
      </c>
      <c r="AQ22" s="29" t="n">
        <v>15.25957520953576</v>
      </c>
      <c r="AR22" s="29" t="n">
        <v>19.21174734500615</v>
      </c>
      <c r="AS22" s="29" t="n">
        <v>86.91134748390797</v>
      </c>
      <c r="AT22" s="29" t="n">
        <v>0.427191901685549</v>
      </c>
      <c r="AU22" s="29" t="n">
        <v>0.02863205980793373</v>
      </c>
      <c r="AV22" s="29" t="n">
        <v>6.531724133229448</v>
      </c>
      <c r="AW22" s="29" t="n">
        <v>0.6417546318998169</v>
      </c>
      <c r="AX22" s="29" t="n">
        <v>208.5927908190514</v>
      </c>
      <c r="AY22" s="29" t="n">
        <v>-0.5437668108506616</v>
      </c>
      <c r="AZ22" s="29" t="n">
        <v>-0.4810909840370479</v>
      </c>
      <c r="BA22" s="29" t="n">
        <v>-3.600766185709346</v>
      </c>
      <c r="BB22" s="29" t="n">
        <v>-0.2742923326572376</v>
      </c>
      <c r="BC22" s="29" t="n">
        <v>0.5639207747103785</v>
      </c>
      <c r="BD22" s="29" t="n">
        <v>0.04659624890432201</v>
      </c>
      <c r="BE22" s="29" t="n">
        <v>-0.2776299256957406</v>
      </c>
      <c r="BF22" s="29" t="n">
        <v>8.648912367509956</v>
      </c>
      <c r="BG22" s="29" t="n">
        <v>2.254076663678275</v>
      </c>
      <c r="BH22" s="29" t="n">
        <v>0.03690094905972264</v>
      </c>
      <c r="BI22" s="29" t="n">
        <v>3.916523099652729</v>
      </c>
      <c r="BJ22" s="29" t="n">
        <v>8.558258974251794</v>
      </c>
      <c r="BK22" s="29" t="n">
        <v>107.7802147020673</v>
      </c>
      <c r="BL22" s="29" t="n">
        <v>30.67974212614358</v>
      </c>
      <c r="BM22" s="29" t="n">
        <v>1.623917065335624</v>
      </c>
      <c r="BN22" s="29" t="n">
        <v>13.92258238606662</v>
      </c>
      <c r="BO22" s="29" t="n">
        <v>9.918338442507215</v>
      </c>
      <c r="BP22" s="29" t="n">
        <v>0.06889883530500854</v>
      </c>
      <c r="BQ22" s="29" t="n">
        <v>15.62759426706271</v>
      </c>
      <c r="BR22" s="29" t="n">
        <v>0</v>
      </c>
      <c r="BS22" s="29">
        <f>SUM(C22:BR22)</f>
        <v/>
      </c>
      <c r="BT22" s="29" t="n">
        <v>0</v>
      </c>
      <c r="BU22" s="29" t="n">
        <v>0</v>
      </c>
      <c r="BV22" s="29" t="n">
        <v>0</v>
      </c>
      <c r="BW22" s="29" t="n">
        <v>0</v>
      </c>
      <c r="BX22" s="29">
        <f>SUM(BT22:BW22)</f>
        <v/>
      </c>
      <c r="BY22" s="29">
        <f>BS22+BX22</f>
        <v/>
      </c>
    </row>
    <row r="23">
      <c r="A23" s="30" t="inlineStr">
        <is>
          <t>1093</t>
        </is>
      </c>
      <c r="B23" s="30" t="inlineStr">
        <is>
          <t>Outros produtos alimentares</t>
        </is>
      </c>
      <c r="C23" s="31" t="n">
        <v>427.6023859768797</v>
      </c>
      <c r="D23" s="31" t="n">
        <v>3549.937294080074</v>
      </c>
      <c r="E23" s="31" t="n">
        <v>265.1044307641176</v>
      </c>
      <c r="F23" s="31" t="n">
        <v>62.53504585939482</v>
      </c>
      <c r="G23" s="31" t="n">
        <v>33.70668556363859</v>
      </c>
      <c r="H23" s="31" t="n">
        <v>8.702283393627182</v>
      </c>
      <c r="I23" s="31" t="n">
        <v>3.631605084219617</v>
      </c>
      <c r="J23" s="31" t="n">
        <v>6539.431093573769</v>
      </c>
      <c r="K23" s="31" t="n">
        <v>-8.167450952823961</v>
      </c>
      <c r="L23" s="31" t="n">
        <v>8809.3394313833</v>
      </c>
      <c r="M23" s="31" t="n">
        <v>1045.6813922197</v>
      </c>
      <c r="N23" s="31" t="n">
        <v>-7.412504314244336</v>
      </c>
      <c r="O23" s="31" t="n">
        <v>-11.74959507901645</v>
      </c>
      <c r="P23" s="31" t="n">
        <v>-27.66600666406034</v>
      </c>
      <c r="Q23" s="31" t="n">
        <v>-29.23466203940592</v>
      </c>
      <c r="R23" s="31" t="n">
        <v>2.668317611080619</v>
      </c>
      <c r="S23" s="31" t="n">
        <v>152.5238731503686</v>
      </c>
      <c r="T23" s="31" t="n">
        <v>4.140011678851137</v>
      </c>
      <c r="U23" s="31" t="n">
        <v>484.6115357511549</v>
      </c>
      <c r="V23" s="31" t="n">
        <v>334.6755624058631</v>
      </c>
      <c r="W23" s="31" t="n">
        <v>136.4592911113776</v>
      </c>
      <c r="X23" s="31" t="n">
        <v>239.3729559814661</v>
      </c>
      <c r="Y23" s="31" t="n">
        <v>263.629890347216</v>
      </c>
      <c r="Z23" s="31" t="n">
        <v>12.87414208974938</v>
      </c>
      <c r="AA23" s="31" t="n">
        <v>-20.48668608331092</v>
      </c>
      <c r="AB23" s="31" t="n">
        <v>-35.39708986908209</v>
      </c>
      <c r="AC23" s="31" t="n">
        <v>-40.67697281281674</v>
      </c>
      <c r="AD23" s="31" t="n">
        <v>-13.46539722411017</v>
      </c>
      <c r="AE23" s="31" t="n">
        <v>-45.93777969129374</v>
      </c>
      <c r="AF23" s="31" t="n">
        <v>-37.338243650047</v>
      </c>
      <c r="AG23" s="31" t="n">
        <v>-39.51473415716129</v>
      </c>
      <c r="AH23" s="31" t="n">
        <v>-78.68551935457913</v>
      </c>
      <c r="AI23" s="31" t="n">
        <v>2.073469711193437</v>
      </c>
      <c r="AJ23" s="31" t="n">
        <v>0.3378467163218492</v>
      </c>
      <c r="AK23" s="31" t="n">
        <v>-3.615681019413559</v>
      </c>
      <c r="AL23" s="31" t="n">
        <v>-11.11945896914079</v>
      </c>
      <c r="AM23" s="31" t="n">
        <v>21.12723746004239</v>
      </c>
      <c r="AN23" s="31" t="n">
        <v>1.200815712441973</v>
      </c>
      <c r="AO23" s="31" t="n">
        <v>6.277964691858298</v>
      </c>
      <c r="AP23" s="31" t="n">
        <v>44.08902776300202</v>
      </c>
      <c r="AQ23" s="31" t="n">
        <v>44.22902937075849</v>
      </c>
      <c r="AR23" s="31" t="n">
        <v>1042.461348386742</v>
      </c>
      <c r="AS23" s="31" t="n">
        <v>22.18099051309783</v>
      </c>
      <c r="AT23" s="31" t="n">
        <v>0.3206134234130819</v>
      </c>
      <c r="AU23" s="31" t="n">
        <v>13.24320283436144</v>
      </c>
      <c r="AV23" s="31" t="n">
        <v>9.766140697551961</v>
      </c>
      <c r="AW23" s="31" t="n">
        <v>134.2974807190343</v>
      </c>
      <c r="AX23" s="31" t="n">
        <v>5213.540450400184</v>
      </c>
      <c r="AY23" s="31" t="n">
        <v>-23.1720027262174</v>
      </c>
      <c r="AZ23" s="31" t="n">
        <v>-24.11417890277491</v>
      </c>
      <c r="BA23" s="31" t="n">
        <v>-152.0861401405835</v>
      </c>
      <c r="BB23" s="31" t="n">
        <v>-12.7917504240349</v>
      </c>
      <c r="BC23" s="31" t="n">
        <v>82.15388574088594</v>
      </c>
      <c r="BD23" s="31" t="n">
        <v>8.213056559200977</v>
      </c>
      <c r="BE23" s="31" t="n">
        <v>-2.258636426799919</v>
      </c>
      <c r="BF23" s="31" t="n">
        <v>4.32723628383946</v>
      </c>
      <c r="BG23" s="31" t="n">
        <v>6.877882877429241</v>
      </c>
      <c r="BH23" s="31" t="n">
        <v>0.6049132310065344</v>
      </c>
      <c r="BI23" s="31" t="n">
        <v>-2.401660169401832</v>
      </c>
      <c r="BJ23" s="31" t="n">
        <v>-0.08514976491054753</v>
      </c>
      <c r="BK23" s="31" t="n">
        <v>748.8781018122365</v>
      </c>
      <c r="BL23" s="31" t="n">
        <v>738.1078952880787</v>
      </c>
      <c r="BM23" s="31" t="n">
        <v>79.2885978627145</v>
      </c>
      <c r="BN23" s="31" t="n">
        <v>673.6680896550021</v>
      </c>
      <c r="BO23" s="31" t="n">
        <v>294.7028185678695</v>
      </c>
      <c r="BP23" s="31" t="n">
        <v>12.43162349334142</v>
      </c>
      <c r="BQ23" s="31" t="n">
        <v>249.9505659807307</v>
      </c>
      <c r="BR23" s="31" t="n">
        <v>0</v>
      </c>
      <c r="BS23" s="31">
        <f>SUM(C23:BR23)</f>
        <v/>
      </c>
      <c r="BT23" s="31" t="n">
        <v>0</v>
      </c>
      <c r="BU23" s="31" t="n">
        <v>0</v>
      </c>
      <c r="BV23" s="31" t="n">
        <v>0</v>
      </c>
      <c r="BW23" s="31" t="n">
        <v>0</v>
      </c>
      <c r="BX23" s="31">
        <f>SUM(BT23:BW23)</f>
        <v/>
      </c>
      <c r="BY23" s="31">
        <f>BS23+BX23</f>
        <v/>
      </c>
    </row>
    <row r="24">
      <c r="A24" s="28" t="inlineStr">
        <is>
          <t>1100</t>
        </is>
      </c>
      <c r="B24" s="28" t="inlineStr">
        <is>
          <t>Fabricação de bebidas</t>
        </is>
      </c>
      <c r="C24" s="29" t="n">
        <v>0.2700384276225922</v>
      </c>
      <c r="D24" s="29" t="n">
        <v>0.6396789893263828</v>
      </c>
      <c r="E24" s="29" t="n">
        <v>0.05060293288384193</v>
      </c>
      <c r="F24" s="29" t="n">
        <v>-0.6581505261681954</v>
      </c>
      <c r="G24" s="29" t="n">
        <v>2.344905081684865</v>
      </c>
      <c r="H24" s="29" t="n">
        <v>0.8273227155933276</v>
      </c>
      <c r="I24" s="29" t="n">
        <v>-0.3431634344239105</v>
      </c>
      <c r="J24" s="29" t="n">
        <v>92.95460256611823</v>
      </c>
      <c r="K24" s="29" t="n">
        <v>-8.58670344954237</v>
      </c>
      <c r="L24" s="29" t="n">
        <v>-66.1621928983602</v>
      </c>
      <c r="M24" s="29" t="n">
        <v>5374.629553127947</v>
      </c>
      <c r="N24" s="29" t="n">
        <v>-4.870294175738839</v>
      </c>
      <c r="O24" s="29" t="n">
        <v>-15.4972869749725</v>
      </c>
      <c r="P24" s="29" t="n">
        <v>-18.69919029421979</v>
      </c>
      <c r="Q24" s="29" t="n">
        <v>-24.7663700674542</v>
      </c>
      <c r="R24" s="29" t="n">
        <v>-6.265316477959414</v>
      </c>
      <c r="S24" s="29" t="n">
        <v>-41.80268505777101</v>
      </c>
      <c r="T24" s="29" t="n">
        <v>-1.835602354470026</v>
      </c>
      <c r="U24" s="29" t="n">
        <v>-0.8862745883939397</v>
      </c>
      <c r="V24" s="29" t="n">
        <v>-8.943971176499549</v>
      </c>
      <c r="W24" s="29" t="n">
        <v>-17.89786639235516</v>
      </c>
      <c r="X24" s="29" t="n">
        <v>-24.59230703988735</v>
      </c>
      <c r="Y24" s="29" t="n">
        <v>-0.49848415435023</v>
      </c>
      <c r="Z24" s="29" t="n">
        <v>-31.50464587014922</v>
      </c>
      <c r="AA24" s="29" t="n">
        <v>-40.86536795008302</v>
      </c>
      <c r="AB24" s="29" t="n">
        <v>-30.29194105569427</v>
      </c>
      <c r="AC24" s="29" t="n">
        <v>-30.5597749389409</v>
      </c>
      <c r="AD24" s="29" t="n">
        <v>-10.06654082990235</v>
      </c>
      <c r="AE24" s="29" t="n">
        <v>-27.96154596045666</v>
      </c>
      <c r="AF24" s="29" t="n">
        <v>-22.08233522282323</v>
      </c>
      <c r="AG24" s="29" t="n">
        <v>-24.60423573515788</v>
      </c>
      <c r="AH24" s="29" t="n">
        <v>-49.168863258915</v>
      </c>
      <c r="AI24" s="29" t="n">
        <v>1.991321696817699</v>
      </c>
      <c r="AJ24" s="29" t="n">
        <v>0.8586610637158353</v>
      </c>
      <c r="AK24" s="29" t="n">
        <v>-0.6645392158311465</v>
      </c>
      <c r="AL24" s="29" t="n">
        <v>-15.42040858527001</v>
      </c>
      <c r="AM24" s="29" t="n">
        <v>9.98861043353214</v>
      </c>
      <c r="AN24" s="29" t="n">
        <v>1.941816539789365</v>
      </c>
      <c r="AO24" s="29" t="n">
        <v>0.2548063727270671</v>
      </c>
      <c r="AP24" s="29" t="n">
        <v>26.2780029534869</v>
      </c>
      <c r="AQ24" s="29" t="n">
        <v>1.231266685896404</v>
      </c>
      <c r="AR24" s="29" t="n">
        <v>-124.6254712031083</v>
      </c>
      <c r="AS24" s="29" t="n">
        <v>3.944723121975284</v>
      </c>
      <c r="AT24" s="29" t="n">
        <v>0.1447401220330843</v>
      </c>
      <c r="AU24" s="29" t="n">
        <v>4.636114038224562</v>
      </c>
      <c r="AV24" s="29" t="n">
        <v>0.3339909776556021</v>
      </c>
      <c r="AW24" s="29" t="n">
        <v>346.7527970735264</v>
      </c>
      <c r="AX24" s="29" t="n">
        <v>17966.480246201</v>
      </c>
      <c r="AY24" s="29" t="n">
        <v>-14.17330400121687</v>
      </c>
      <c r="AZ24" s="29" t="n">
        <v>-14.78526159167946</v>
      </c>
      <c r="BA24" s="29" t="n">
        <v>-97.64821783317197</v>
      </c>
      <c r="BB24" s="29" t="n">
        <v>-7.87850986514523</v>
      </c>
      <c r="BC24" s="29" t="n">
        <v>78.99108731844835</v>
      </c>
      <c r="BD24" s="29" t="n">
        <v>0.3652964710000063</v>
      </c>
      <c r="BE24" s="29" t="n">
        <v>-8.49385817267213</v>
      </c>
      <c r="BF24" s="29" t="n">
        <v>-1.016224720022815</v>
      </c>
      <c r="BG24" s="29" t="n">
        <v>-4.251940526922663</v>
      </c>
      <c r="BH24" s="29" t="n">
        <v>0.04481776771216443</v>
      </c>
      <c r="BI24" s="29" t="n">
        <v>-5.023651878621408</v>
      </c>
      <c r="BJ24" s="29" t="n">
        <v>-1.003743581573284</v>
      </c>
      <c r="BK24" s="29" t="n">
        <v>56.97402680067727</v>
      </c>
      <c r="BL24" s="29" t="n">
        <v>51.05719177567574</v>
      </c>
      <c r="BM24" s="29" t="n">
        <v>4.888264471084147</v>
      </c>
      <c r="BN24" s="29" t="n">
        <v>26.80219007395343</v>
      </c>
      <c r="BO24" s="29" t="n">
        <v>97.48845059498223</v>
      </c>
      <c r="BP24" s="29" t="n">
        <v>16.42368018007683</v>
      </c>
      <c r="BQ24" s="29" t="n">
        <v>8.038275366623886</v>
      </c>
      <c r="BR24" s="29" t="n">
        <v>0</v>
      </c>
      <c r="BS24" s="29">
        <f>SUM(C24:BR24)</f>
        <v/>
      </c>
      <c r="BT24" s="29" t="n">
        <v>0</v>
      </c>
      <c r="BU24" s="29" t="n">
        <v>0</v>
      </c>
      <c r="BV24" s="29" t="n">
        <v>0</v>
      </c>
      <c r="BW24" s="29" t="n">
        <v>0</v>
      </c>
      <c r="BX24" s="29">
        <f>SUM(BT24:BW24)</f>
        <v/>
      </c>
      <c r="BY24" s="29">
        <f>BS24+BX24</f>
        <v/>
      </c>
    </row>
    <row r="25">
      <c r="A25" s="30" t="inlineStr">
        <is>
          <t>1200</t>
        </is>
      </c>
      <c r="B25" s="30" t="inlineStr">
        <is>
          <t>Fabricação de produtos do fumo</t>
        </is>
      </c>
      <c r="C25" s="31" t="n">
        <v>0.04124392489918288</v>
      </c>
      <c r="D25" s="31" t="n">
        <v>0.01197474168404685</v>
      </c>
      <c r="E25" s="31" t="n">
        <v>0.002584872811505872</v>
      </c>
      <c r="F25" s="31" t="n">
        <v>-0.06429505685007537</v>
      </c>
      <c r="G25" s="31" t="n">
        <v>0.04727705341958906</v>
      </c>
      <c r="H25" s="31" t="n">
        <v>0.0104850615261333</v>
      </c>
      <c r="I25" s="31" t="n">
        <v>-0.0461647328530281</v>
      </c>
      <c r="J25" s="31" t="n">
        <v>-11.80645218362692</v>
      </c>
      <c r="K25" s="31" t="n">
        <v>-0.6724907855875952</v>
      </c>
      <c r="L25" s="31" t="n">
        <v>-7.271666097705667</v>
      </c>
      <c r="M25" s="31" t="n">
        <v>-0.3314931398412462</v>
      </c>
      <c r="N25" s="31" t="n">
        <v>532.4187258546762</v>
      </c>
      <c r="O25" s="31" t="n">
        <v>-1.131960336126006</v>
      </c>
      <c r="P25" s="31" t="n">
        <v>-1.410664079395595</v>
      </c>
      <c r="Q25" s="31" t="n">
        <v>-1.839695271540772</v>
      </c>
      <c r="R25" s="31" t="n">
        <v>-0.4251733256760393</v>
      </c>
      <c r="S25" s="31" t="n">
        <v>-2.321054381345405</v>
      </c>
      <c r="T25" s="31" t="n">
        <v>0.01440015277958761</v>
      </c>
      <c r="U25" s="31" t="n">
        <v>-0.9290755919691116</v>
      </c>
      <c r="V25" s="31" t="n">
        <v>-0.7058193788246189</v>
      </c>
      <c r="W25" s="31" t="n">
        <v>-1.497517452751493</v>
      </c>
      <c r="X25" s="31" t="n">
        <v>-2.008418404876983</v>
      </c>
      <c r="Y25" s="31" t="n">
        <v>0.01400512522762007</v>
      </c>
      <c r="Z25" s="31" t="n">
        <v>-2.383063454017665</v>
      </c>
      <c r="AA25" s="31" t="n">
        <v>-2.957146299449594</v>
      </c>
      <c r="AB25" s="31" t="n">
        <v>-2.119766545742532</v>
      </c>
      <c r="AC25" s="31" t="n">
        <v>-2.49241589022713</v>
      </c>
      <c r="AD25" s="31" t="n">
        <v>-0.7882606516396289</v>
      </c>
      <c r="AE25" s="31" t="n">
        <v>-2.502434613802564</v>
      </c>
      <c r="AF25" s="31" t="n">
        <v>-1.635209246714802</v>
      </c>
      <c r="AG25" s="31" t="n">
        <v>-1.996379472399513</v>
      </c>
      <c r="AH25" s="31" t="n">
        <v>-4.421462937186118</v>
      </c>
      <c r="AI25" s="31" t="n">
        <v>-0.06643217253830148</v>
      </c>
      <c r="AJ25" s="31" t="n">
        <v>0.02132382114115528</v>
      </c>
      <c r="AK25" s="31" t="n">
        <v>-0.2493315339708265</v>
      </c>
      <c r="AL25" s="31" t="n">
        <v>-1.168370944113053</v>
      </c>
      <c r="AM25" s="31" t="n">
        <v>0.4914233628478022</v>
      </c>
      <c r="AN25" s="31" t="n">
        <v>0.01103521230779773</v>
      </c>
      <c r="AO25" s="31" t="n">
        <v>-0.007371011280843011</v>
      </c>
      <c r="AP25" s="31" t="n">
        <v>0.3575199622389508</v>
      </c>
      <c r="AQ25" s="31" t="n">
        <v>0.108990828658591</v>
      </c>
      <c r="AR25" s="31" t="n">
        <v>-9.746881911835723</v>
      </c>
      <c r="AS25" s="31" t="n">
        <v>0.02276078015410821</v>
      </c>
      <c r="AT25" s="31" t="n">
        <v>0.01450416544343634</v>
      </c>
      <c r="AU25" s="31" t="n">
        <v>0.002137824183701508</v>
      </c>
      <c r="AV25" s="31" t="n">
        <v>0.04785618605088782</v>
      </c>
      <c r="AW25" s="31" t="n">
        <v>0.0240623951033917</v>
      </c>
      <c r="AX25" s="31" t="n">
        <v>0.139157634282291</v>
      </c>
      <c r="AY25" s="31" t="n">
        <v>-0.9447046383104787</v>
      </c>
      <c r="AZ25" s="31" t="n">
        <v>-1.131015618350299</v>
      </c>
      <c r="BA25" s="31" t="n">
        <v>-7.548312708671827</v>
      </c>
      <c r="BB25" s="31" t="n">
        <v>-0.5709713332894977</v>
      </c>
      <c r="BC25" s="31" t="n">
        <v>0.1320064942636904</v>
      </c>
      <c r="BD25" s="31" t="n">
        <v>0.03586319790741948</v>
      </c>
      <c r="BE25" s="31" t="n">
        <v>-0.5548370728891903</v>
      </c>
      <c r="BF25" s="31" t="n">
        <v>-0.02960919207024512</v>
      </c>
      <c r="BG25" s="31" t="n">
        <v>-0.2819642061555457</v>
      </c>
      <c r="BH25" s="31" t="n">
        <v>0.05368942816502814</v>
      </c>
      <c r="BI25" s="31" t="n">
        <v>-0.2726168429026239</v>
      </c>
      <c r="BJ25" s="31" t="n">
        <v>-0.0806178461858101</v>
      </c>
      <c r="BK25" s="31" t="n">
        <v>0.1009862131890225</v>
      </c>
      <c r="BL25" s="31" t="n">
        <v>0.09044991532416455</v>
      </c>
      <c r="BM25" s="31" t="n">
        <v>0.03143615652020836</v>
      </c>
      <c r="BN25" s="31" t="n">
        <v>0.02255496501665111</v>
      </c>
      <c r="BO25" s="31" t="n">
        <v>0.08418940590140014</v>
      </c>
      <c r="BP25" s="31" t="n">
        <v>-0.03461319070970693</v>
      </c>
      <c r="BQ25" s="31" t="n">
        <v>0.03833613551586606</v>
      </c>
      <c r="BR25" s="31" t="n">
        <v>0</v>
      </c>
      <c r="BS25" s="31">
        <f>SUM(C25:BR25)</f>
        <v/>
      </c>
      <c r="BT25" s="31" t="n">
        <v>0</v>
      </c>
      <c r="BU25" s="31" t="n">
        <v>0</v>
      </c>
      <c r="BV25" s="31" t="n">
        <v>0</v>
      </c>
      <c r="BW25" s="31" t="n">
        <v>0</v>
      </c>
      <c r="BX25" s="31">
        <f>SUM(BT25:BW25)</f>
        <v/>
      </c>
      <c r="BY25" s="31">
        <f>BS25+BX25</f>
        <v/>
      </c>
    </row>
    <row r="26">
      <c r="A26" s="28" t="inlineStr">
        <is>
          <t>1300</t>
        </is>
      </c>
      <c r="B26" s="28" t="inlineStr">
        <is>
          <t>Fabricação de produtos têxteis</t>
        </is>
      </c>
      <c r="C26" s="29" t="n">
        <v>359.1539786164591</v>
      </c>
      <c r="D26" s="29" t="n">
        <v>9.002814238116935</v>
      </c>
      <c r="E26" s="29" t="n">
        <v>1.192083979584419</v>
      </c>
      <c r="F26" s="29" t="n">
        <v>117.2051783179559</v>
      </c>
      <c r="G26" s="29" t="n">
        <v>73.85249104601311</v>
      </c>
      <c r="H26" s="29" t="n">
        <v>0.7044802690527925</v>
      </c>
      <c r="I26" s="29" t="n">
        <v>3.821676145729259</v>
      </c>
      <c r="J26" s="29" t="n">
        <v>-34.90169604014669</v>
      </c>
      <c r="K26" s="29" t="n">
        <v>71.40649519698712</v>
      </c>
      <c r="L26" s="29" t="n">
        <v>109.975607618302</v>
      </c>
      <c r="M26" s="29" t="n">
        <v>6.615938672788706</v>
      </c>
      <c r="N26" s="29" t="n">
        <v>-1.049910967006347</v>
      </c>
      <c r="O26" s="29" t="n">
        <v>5517.601395448659</v>
      </c>
      <c r="P26" s="29" t="n">
        <v>8628.465502327428</v>
      </c>
      <c r="Q26" s="29" t="n">
        <v>2025.409508337017</v>
      </c>
      <c r="R26" s="29" t="n">
        <v>3.854462316814279</v>
      </c>
      <c r="S26" s="29" t="n">
        <v>78.64344585183153</v>
      </c>
      <c r="T26" s="29" t="n">
        <v>1.974776922139077</v>
      </c>
      <c r="U26" s="29" t="n">
        <v>-2.580216437739084</v>
      </c>
      <c r="V26" s="29" t="n">
        <v>-2.151205117481939</v>
      </c>
      <c r="W26" s="29" t="n">
        <v>9.647764503510553</v>
      </c>
      <c r="X26" s="29" t="n">
        <v>26.93931339234395</v>
      </c>
      <c r="Y26" s="29" t="n">
        <v>10.85974189441353</v>
      </c>
      <c r="Z26" s="29" t="n">
        <v>37.48618762207956</v>
      </c>
      <c r="AA26" s="29" t="n">
        <v>444.5627988288514</v>
      </c>
      <c r="AB26" s="29" t="n">
        <v>23.37421170490964</v>
      </c>
      <c r="AC26" s="29" t="n">
        <v>-6.581617183736868</v>
      </c>
      <c r="AD26" s="29" t="n">
        <v>-1.098407497307497</v>
      </c>
      <c r="AE26" s="29" t="n">
        <v>23.79269172627687</v>
      </c>
      <c r="AF26" s="29" t="n">
        <v>-1.32883182409373</v>
      </c>
      <c r="AG26" s="29" t="n">
        <v>23.72547804449112</v>
      </c>
      <c r="AH26" s="29" t="n">
        <v>-0.2034788459994723</v>
      </c>
      <c r="AI26" s="29" t="n">
        <v>26.10967999641195</v>
      </c>
      <c r="AJ26" s="29" t="n">
        <v>763.7135556740045</v>
      </c>
      <c r="AK26" s="29" t="n">
        <v>66.74641442942199</v>
      </c>
      <c r="AL26" s="29" t="n">
        <v>868.3505351553072</v>
      </c>
      <c r="AM26" s="29" t="n">
        <v>6.105835088550065</v>
      </c>
      <c r="AN26" s="29" t="n">
        <v>19.44574158215549</v>
      </c>
      <c r="AO26" s="29" t="n">
        <v>7.696004254795429</v>
      </c>
      <c r="AP26" s="29" t="n">
        <v>565.8749524859861</v>
      </c>
      <c r="AQ26" s="29" t="n">
        <v>7.862301766007745</v>
      </c>
      <c r="AR26" s="29" t="n">
        <v>60.37598733623163</v>
      </c>
      <c r="AS26" s="29" t="n">
        <v>31.5670218729538</v>
      </c>
      <c r="AT26" s="29" t="n">
        <v>8.063633746805804</v>
      </c>
      <c r="AU26" s="29" t="n">
        <v>1.120933556755804</v>
      </c>
      <c r="AV26" s="29" t="n">
        <v>1.674314555013756</v>
      </c>
      <c r="AW26" s="29" t="n">
        <v>214.1962314747019</v>
      </c>
      <c r="AX26" s="29" t="n">
        <v>132.4021231027603</v>
      </c>
      <c r="AY26" s="29" t="n">
        <v>-3.277833740751982</v>
      </c>
      <c r="AZ26" s="29" t="n">
        <v>-0.3881595457603814</v>
      </c>
      <c r="BA26" s="29" t="n">
        <v>-24.54574557059374</v>
      </c>
      <c r="BB26" s="29" t="n">
        <v>-1.419260764956216</v>
      </c>
      <c r="BC26" s="29" t="n">
        <v>5.074018925178319</v>
      </c>
      <c r="BD26" s="29" t="n">
        <v>2.74909802217527</v>
      </c>
      <c r="BE26" s="29" t="n">
        <v>0.2415110737978058</v>
      </c>
      <c r="BF26" s="29" t="n">
        <v>5.151240206383201</v>
      </c>
      <c r="BG26" s="29" t="n">
        <v>1.095094941844429</v>
      </c>
      <c r="BH26" s="29" t="n">
        <v>3.236155287393768</v>
      </c>
      <c r="BI26" s="29" t="n">
        <v>8.831518734515406</v>
      </c>
      <c r="BJ26" s="29" t="n">
        <v>0.8945762208392661</v>
      </c>
      <c r="BK26" s="29" t="n">
        <v>36.6828978882512</v>
      </c>
      <c r="BL26" s="29" t="n">
        <v>41.06548878044854</v>
      </c>
      <c r="BM26" s="29" t="n">
        <v>0.3364194964537823</v>
      </c>
      <c r="BN26" s="29" t="n">
        <v>28.45506188503018</v>
      </c>
      <c r="BO26" s="29" t="n">
        <v>66.92260218159906</v>
      </c>
      <c r="BP26" s="29" t="n">
        <v>1.765206837630401</v>
      </c>
      <c r="BQ26" s="29" t="n">
        <v>572.0115209439472</v>
      </c>
      <c r="BR26" s="29" t="n">
        <v>0</v>
      </c>
      <c r="BS26" s="29">
        <f>SUM(C26:BR26)</f>
        <v/>
      </c>
      <c r="BT26" s="29" t="n">
        <v>0</v>
      </c>
      <c r="BU26" s="29" t="n">
        <v>0</v>
      </c>
      <c r="BV26" s="29" t="n">
        <v>0</v>
      </c>
      <c r="BW26" s="29" t="n">
        <v>0</v>
      </c>
      <c r="BX26" s="29">
        <f>SUM(BT26:BW26)</f>
        <v/>
      </c>
      <c r="BY26" s="29">
        <f>BS26+BX26</f>
        <v/>
      </c>
    </row>
    <row r="27">
      <c r="A27" s="30" t="inlineStr">
        <is>
          <t>1400</t>
        </is>
      </c>
      <c r="B27" s="30" t="inlineStr">
        <is>
          <t>Confecção de artefatos do vestuário e acessórios</t>
        </is>
      </c>
      <c r="C27" s="31" t="n">
        <v>5.874447038174699</v>
      </c>
      <c r="D27" s="31" t="n">
        <v>1.224140817955377</v>
      </c>
      <c r="E27" s="31" t="n">
        <v>9.015051623262535</v>
      </c>
      <c r="F27" s="31" t="n">
        <v>4.875557035065513</v>
      </c>
      <c r="G27" s="31" t="n">
        <v>75.37821008616839</v>
      </c>
      <c r="H27" s="31" t="n">
        <v>0.01685766163747712</v>
      </c>
      <c r="I27" s="31" t="n">
        <v>-0.1563901587577662</v>
      </c>
      <c r="J27" s="31" t="n">
        <v>-43.37869862494395</v>
      </c>
      <c r="K27" s="31" t="n">
        <v>-1.716853875304531</v>
      </c>
      <c r="L27" s="31" t="n">
        <v>-22.92985789059981</v>
      </c>
      <c r="M27" s="31" t="n">
        <v>-0.8112022145652342</v>
      </c>
      <c r="N27" s="31" t="n">
        <v>-1.40581548045383</v>
      </c>
      <c r="O27" s="31" t="n">
        <v>62.00477383102186</v>
      </c>
      <c r="P27" s="31" t="n">
        <v>2073.940999661427</v>
      </c>
      <c r="Q27" s="31" t="n">
        <v>50.49092425291568</v>
      </c>
      <c r="R27" s="31" t="n">
        <v>-1.864441667436162</v>
      </c>
      <c r="S27" s="31" t="n">
        <v>-10.60764521185965</v>
      </c>
      <c r="T27" s="31" t="n">
        <v>2.424713504686746</v>
      </c>
      <c r="U27" s="31" t="n">
        <v>-3.730411095441399</v>
      </c>
      <c r="V27" s="31" t="n">
        <v>-2.812216745109284</v>
      </c>
      <c r="W27" s="31" t="n">
        <v>-5.70282509889179</v>
      </c>
      <c r="X27" s="31" t="n">
        <v>-3.161959337593812</v>
      </c>
      <c r="Y27" s="31" t="n">
        <v>-0.3754874667426569</v>
      </c>
      <c r="Z27" s="31" t="n">
        <v>-9.270183188757912</v>
      </c>
      <c r="AA27" s="31" t="n">
        <v>-8.62923914632696</v>
      </c>
      <c r="AB27" s="31" t="n">
        <v>4.952580790228335</v>
      </c>
      <c r="AC27" s="31" t="n">
        <v>-6.542875530218205</v>
      </c>
      <c r="AD27" s="31" t="n">
        <v>-3.138889803490642</v>
      </c>
      <c r="AE27" s="31" t="n">
        <v>47.9879942083419</v>
      </c>
      <c r="AF27" s="31" t="n">
        <v>-6.350155388059472</v>
      </c>
      <c r="AG27" s="31" t="n">
        <v>-6.759486982706041</v>
      </c>
      <c r="AH27" s="31" t="n">
        <v>-15.79747398498404</v>
      </c>
      <c r="AI27" s="31" t="n">
        <v>0.5547967725856339</v>
      </c>
      <c r="AJ27" s="31" t="n">
        <v>18.3871745757168</v>
      </c>
      <c r="AK27" s="31" t="n">
        <v>-0.1047944717274003</v>
      </c>
      <c r="AL27" s="31" t="n">
        <v>13.69708234403853</v>
      </c>
      <c r="AM27" s="31" t="n">
        <v>2.479911966483701</v>
      </c>
      <c r="AN27" s="31" t="n">
        <v>101.7394684049547</v>
      </c>
      <c r="AO27" s="31" t="n">
        <v>97.07594082064031</v>
      </c>
      <c r="AP27" s="31" t="n">
        <v>50.10093703444355</v>
      </c>
      <c r="AQ27" s="31" t="n">
        <v>1.079339813456755</v>
      </c>
      <c r="AR27" s="31" t="n">
        <v>304.7739254747722</v>
      </c>
      <c r="AS27" s="31" t="n">
        <v>172.122130534042</v>
      </c>
      <c r="AT27" s="31" t="n">
        <v>7.042419873786158</v>
      </c>
      <c r="AU27" s="31" t="n">
        <v>151.414478646132</v>
      </c>
      <c r="AV27" s="31" t="n">
        <v>84.05741468983062</v>
      </c>
      <c r="AW27" s="31" t="n">
        <v>87.67057703571179</v>
      </c>
      <c r="AX27" s="31" t="n">
        <v>172.9949621168094</v>
      </c>
      <c r="AY27" s="31" t="n">
        <v>0.4116204753679686</v>
      </c>
      <c r="AZ27" s="31" t="n">
        <v>125.3622166845183</v>
      </c>
      <c r="BA27" s="31" t="n">
        <v>18.61746294872706</v>
      </c>
      <c r="BB27" s="31" t="n">
        <v>-0.6711300728351178</v>
      </c>
      <c r="BC27" s="31" t="n">
        <v>638.1573328859154</v>
      </c>
      <c r="BD27" s="31" t="n">
        <v>39.74009485810226</v>
      </c>
      <c r="BE27" s="31" t="n">
        <v>5.158521040878957</v>
      </c>
      <c r="BF27" s="31" t="n">
        <v>170.0538205373159</v>
      </c>
      <c r="BG27" s="31" t="n">
        <v>36.41645895614974</v>
      </c>
      <c r="BH27" s="31" t="n">
        <v>1.55831368081966</v>
      </c>
      <c r="BI27" s="31" t="n">
        <v>136.9101453837903</v>
      </c>
      <c r="BJ27" s="31" t="n">
        <v>191.0621169563526</v>
      </c>
      <c r="BK27" s="31" t="n">
        <v>524.1408378884486</v>
      </c>
      <c r="BL27" s="31" t="n">
        <v>551.4866440432236</v>
      </c>
      <c r="BM27" s="31" t="n">
        <v>0.1304040936729215</v>
      </c>
      <c r="BN27" s="31" t="n">
        <v>43.10993999593941</v>
      </c>
      <c r="BO27" s="31" t="n">
        <v>53.52004756534271</v>
      </c>
      <c r="BP27" s="31" t="n">
        <v>128.8127528509005</v>
      </c>
      <c r="BQ27" s="31" t="n">
        <v>881.249546253352</v>
      </c>
      <c r="BR27" s="31" t="n">
        <v>0</v>
      </c>
      <c r="BS27" s="31">
        <f>SUM(C27:BR27)</f>
        <v/>
      </c>
      <c r="BT27" s="31" t="n">
        <v>0</v>
      </c>
      <c r="BU27" s="31" t="n">
        <v>0</v>
      </c>
      <c r="BV27" s="31" t="n">
        <v>0</v>
      </c>
      <c r="BW27" s="31" t="n">
        <v>0</v>
      </c>
      <c r="BX27" s="31">
        <f>SUM(BT27:BW27)</f>
        <v/>
      </c>
      <c r="BY27" s="31">
        <f>BS27+BX27</f>
        <v/>
      </c>
    </row>
    <row r="28">
      <c r="A28" s="28" t="inlineStr">
        <is>
          <t>1500</t>
        </is>
      </c>
      <c r="B28" s="28" t="inlineStr">
        <is>
          <t>Fabricação de calçados e de artefatos de couro</t>
        </is>
      </c>
      <c r="C28" s="29" t="n">
        <v>1.988340754578065</v>
      </c>
      <c r="D28" s="29" t="n">
        <v>2.024346782022083</v>
      </c>
      <c r="E28" s="29" t="n">
        <v>0.1152640063227732</v>
      </c>
      <c r="F28" s="29" t="n">
        <v>3.18646148596371</v>
      </c>
      <c r="G28" s="29" t="n">
        <v>4.112339489368209</v>
      </c>
      <c r="H28" s="29" t="n">
        <v>0.9399428631443159</v>
      </c>
      <c r="I28" s="29" t="n">
        <v>0.180515533558614</v>
      </c>
      <c r="J28" s="29" t="n">
        <v>-33.2525409567552</v>
      </c>
      <c r="K28" s="29" t="n">
        <v>-2.054408866323074</v>
      </c>
      <c r="L28" s="29" t="n">
        <v>-13.7654630372526</v>
      </c>
      <c r="M28" s="29" t="n">
        <v>1.543585568311918</v>
      </c>
      <c r="N28" s="29" t="n">
        <v>-1.178173925785675</v>
      </c>
      <c r="O28" s="29" t="n">
        <v>2.46874530642788</v>
      </c>
      <c r="P28" s="29" t="n">
        <v>5.852532798081371</v>
      </c>
      <c r="Q28" s="29" t="n">
        <v>3230.304045778973</v>
      </c>
      <c r="R28" s="29" t="n">
        <v>-0.7273308013444801</v>
      </c>
      <c r="S28" s="29" t="n">
        <v>42.74264437595951</v>
      </c>
      <c r="T28" s="29" t="n">
        <v>0.7771235773450332</v>
      </c>
      <c r="U28" s="29" t="n">
        <v>-2.245402670089215</v>
      </c>
      <c r="V28" s="29" t="n">
        <v>-1.684475514924723</v>
      </c>
      <c r="W28" s="29" t="n">
        <v>-1.417358224231172</v>
      </c>
      <c r="X28" s="29" t="n">
        <v>-0.08000603065998843</v>
      </c>
      <c r="Y28" s="29" t="n">
        <v>3.621769150956233</v>
      </c>
      <c r="Z28" s="29" t="n">
        <v>-6.674679897177746</v>
      </c>
      <c r="AA28" s="29" t="n">
        <v>-0.9479592335218845</v>
      </c>
      <c r="AB28" s="29" t="n">
        <v>-5.805762819613614</v>
      </c>
      <c r="AC28" s="29" t="n">
        <v>-6.785217031551605</v>
      </c>
      <c r="AD28" s="29" t="n">
        <v>-2.537542020829902</v>
      </c>
      <c r="AE28" s="29" t="n">
        <v>17.7969179710057</v>
      </c>
      <c r="AF28" s="29" t="n">
        <v>-4.996744968967824</v>
      </c>
      <c r="AG28" s="29" t="n">
        <v>-5.176701914573569</v>
      </c>
      <c r="AH28" s="29" t="n">
        <v>-12.19197470063177</v>
      </c>
      <c r="AI28" s="29" t="n">
        <v>35.0809480926423</v>
      </c>
      <c r="AJ28" s="29" t="n">
        <v>12.12417961910518</v>
      </c>
      <c r="AK28" s="29" t="n">
        <v>1.536580360015193</v>
      </c>
      <c r="AL28" s="29" t="n">
        <v>24.02094838316479</v>
      </c>
      <c r="AM28" s="29" t="n">
        <v>3.042369964392736</v>
      </c>
      <c r="AN28" s="29" t="n">
        <v>85.48183593544856</v>
      </c>
      <c r="AO28" s="29" t="n">
        <v>0.8541318448365821</v>
      </c>
      <c r="AP28" s="29" t="n">
        <v>42.0858300771698</v>
      </c>
      <c r="AQ28" s="29" t="n">
        <v>8.874297338986603</v>
      </c>
      <c r="AR28" s="29" t="n">
        <v>-27.06838712377428</v>
      </c>
      <c r="AS28" s="29" t="n">
        <v>13.79860272602133</v>
      </c>
      <c r="AT28" s="29" t="n">
        <v>0.2638925446222434</v>
      </c>
      <c r="AU28" s="29" t="n">
        <v>1.407256988985032</v>
      </c>
      <c r="AV28" s="29" t="n">
        <v>0.6802264608931864</v>
      </c>
      <c r="AW28" s="29" t="n">
        <v>1.48189624479744</v>
      </c>
      <c r="AX28" s="29" t="n">
        <v>7.176550504312132</v>
      </c>
      <c r="AY28" s="29" t="n">
        <v>-3.062632594412547</v>
      </c>
      <c r="AZ28" s="29" t="n">
        <v>15.22163479253365</v>
      </c>
      <c r="BA28" s="29" t="n">
        <v>-25.97472516546285</v>
      </c>
      <c r="BB28" s="29" t="n">
        <v>-0.3957086544134866</v>
      </c>
      <c r="BC28" s="29" t="n">
        <v>2.242997908178372</v>
      </c>
      <c r="BD28" s="29" t="n">
        <v>0.7480638969572533</v>
      </c>
      <c r="BE28" s="29" t="n">
        <v>-1.370677759428947</v>
      </c>
      <c r="BF28" s="29" t="n">
        <v>1.248812343664536</v>
      </c>
      <c r="BG28" s="29" t="n">
        <v>0.4584273626400443</v>
      </c>
      <c r="BH28" s="29" t="n">
        <v>2.022755410941185</v>
      </c>
      <c r="BI28" s="29" t="n">
        <v>2.687619473853423</v>
      </c>
      <c r="BJ28" s="29" t="n">
        <v>38.44579241121033</v>
      </c>
      <c r="BK28" s="29" t="n">
        <v>23.28158983602316</v>
      </c>
      <c r="BL28" s="29" t="n">
        <v>5.260763470142721</v>
      </c>
      <c r="BM28" s="29" t="n">
        <v>0.1673965043594468</v>
      </c>
      <c r="BN28" s="29" t="n">
        <v>7.331427018557802</v>
      </c>
      <c r="BO28" s="29" t="n">
        <v>26.68390856213058</v>
      </c>
      <c r="BP28" s="29" t="n">
        <v>0.6652840039684357</v>
      </c>
      <c r="BQ28" s="29" t="n">
        <v>4.009374245701412</v>
      </c>
      <c r="BR28" s="29" t="n">
        <v>0</v>
      </c>
      <c r="BS28" s="29">
        <f>SUM(C28:BR28)</f>
        <v/>
      </c>
      <c r="BT28" s="29" t="n">
        <v>0</v>
      </c>
      <c r="BU28" s="29" t="n">
        <v>0</v>
      </c>
      <c r="BV28" s="29" t="n">
        <v>0</v>
      </c>
      <c r="BW28" s="29" t="n">
        <v>0</v>
      </c>
      <c r="BX28" s="29">
        <f>SUM(BT28:BW28)</f>
        <v/>
      </c>
      <c r="BY28" s="29">
        <f>BS28+BX28</f>
        <v/>
      </c>
    </row>
    <row r="29">
      <c r="A29" s="30" t="inlineStr">
        <is>
          <t>1600</t>
        </is>
      </c>
      <c r="B29" s="30" t="inlineStr">
        <is>
          <t>Fabricação de produtos da madeira</t>
        </is>
      </c>
      <c r="C29" s="31" t="n">
        <v>151.4154702273387</v>
      </c>
      <c r="D29" s="31" t="n">
        <v>119.718812927894</v>
      </c>
      <c r="E29" s="31" t="n">
        <v>6.277199811018622</v>
      </c>
      <c r="F29" s="31" t="n">
        <v>2.104059359918669</v>
      </c>
      <c r="G29" s="31" t="n">
        <v>0.9343129975866333</v>
      </c>
      <c r="H29" s="31" t="n">
        <v>0.3795580118166701</v>
      </c>
      <c r="I29" s="31" t="n">
        <v>0.08626957957920017</v>
      </c>
      <c r="J29" s="31" t="n">
        <v>2.55711351272252</v>
      </c>
      <c r="K29" s="31" t="n">
        <v>-0.6030673556956941</v>
      </c>
      <c r="L29" s="31" t="n">
        <v>112.8475221665024</v>
      </c>
      <c r="M29" s="31" t="n">
        <v>37.27984650163204</v>
      </c>
      <c r="N29" s="31" t="n">
        <v>-0.3576500087994023</v>
      </c>
      <c r="O29" s="31" t="n">
        <v>8.980715240000128</v>
      </c>
      <c r="P29" s="31" t="n">
        <v>0.0767350834678749</v>
      </c>
      <c r="Q29" s="31" t="n">
        <v>-1.480986341423931</v>
      </c>
      <c r="R29" s="31" t="n">
        <v>1349.9414884643</v>
      </c>
      <c r="S29" s="31" t="n">
        <v>130.7934327326983</v>
      </c>
      <c r="T29" s="31" t="n">
        <v>0.7492163047162286</v>
      </c>
      <c r="U29" s="31" t="n">
        <v>-0.9022032054251666</v>
      </c>
      <c r="V29" s="31" t="n">
        <v>-0.7462876635074547</v>
      </c>
      <c r="W29" s="31" t="n">
        <v>6.259155283328292</v>
      </c>
      <c r="X29" s="31" t="n">
        <v>12.79711592168273</v>
      </c>
      <c r="Y29" s="31" t="n">
        <v>1.244994569655523</v>
      </c>
      <c r="Z29" s="31" t="n">
        <v>-2.336583212433121</v>
      </c>
      <c r="AA29" s="31" t="n">
        <v>4.864908455349926</v>
      </c>
      <c r="AB29" s="31" t="n">
        <v>14.4148972009746</v>
      </c>
      <c r="AC29" s="31" t="n">
        <v>3.716990153321192</v>
      </c>
      <c r="AD29" s="31" t="n">
        <v>0.9684404131669063</v>
      </c>
      <c r="AE29" s="31" t="n">
        <v>91.58685021656953</v>
      </c>
      <c r="AF29" s="31" t="n">
        <v>-0.272908800626144</v>
      </c>
      <c r="AG29" s="31" t="n">
        <v>2.013799295568317</v>
      </c>
      <c r="AH29" s="31" t="n">
        <v>136.6292867838283</v>
      </c>
      <c r="AI29" s="31" t="n">
        <v>80.75943017353934</v>
      </c>
      <c r="AJ29" s="31" t="n">
        <v>29.81080334739541</v>
      </c>
      <c r="AK29" s="31" t="n">
        <v>162.3559567159521</v>
      </c>
      <c r="AL29" s="31" t="n">
        <v>2306.611639932437</v>
      </c>
      <c r="AM29" s="31" t="n">
        <v>2.712739987311906</v>
      </c>
      <c r="AN29" s="31" t="n">
        <v>163.7915021282882</v>
      </c>
      <c r="AO29" s="31" t="n">
        <v>2.377830340564624</v>
      </c>
      <c r="AP29" s="31" t="n">
        <v>2285.149668666321</v>
      </c>
      <c r="AQ29" s="31" t="n">
        <v>1.763601600187622</v>
      </c>
      <c r="AR29" s="31" t="n">
        <v>809.8652235855991</v>
      </c>
      <c r="AS29" s="31" t="n">
        <v>0.6595573498233105</v>
      </c>
      <c r="AT29" s="31" t="n">
        <v>0.1432990799025565</v>
      </c>
      <c r="AU29" s="31" t="n">
        <v>0.02711620293841921</v>
      </c>
      <c r="AV29" s="31" t="n">
        <v>30.69596567029863</v>
      </c>
      <c r="AW29" s="31" t="n">
        <v>0.242091381084203</v>
      </c>
      <c r="AX29" s="31" t="n">
        <v>1.622497019290433</v>
      </c>
      <c r="AY29" s="31" t="n">
        <v>-1.020235379469535</v>
      </c>
      <c r="AZ29" s="31" t="n">
        <v>51.83104682535632</v>
      </c>
      <c r="BA29" s="31" t="n">
        <v>-8.30828763056628</v>
      </c>
      <c r="BB29" s="31" t="n">
        <v>-0.3621647277693194</v>
      </c>
      <c r="BC29" s="31" t="n">
        <v>1.014192339973173</v>
      </c>
      <c r="BD29" s="31" t="n">
        <v>164.891536202037</v>
      </c>
      <c r="BE29" s="31" t="n">
        <v>0.4014052644611418</v>
      </c>
      <c r="BF29" s="31" t="n">
        <v>0.9193458886019976</v>
      </c>
      <c r="BG29" s="31" t="n">
        <v>0.1877015329465035</v>
      </c>
      <c r="BH29" s="31" t="n">
        <v>0.8134955701901545</v>
      </c>
      <c r="BI29" s="31" t="n">
        <v>42.57051272611443</v>
      </c>
      <c r="BJ29" s="31" t="n">
        <v>-0.021952560250081</v>
      </c>
      <c r="BK29" s="31" t="n">
        <v>23.62525863053121</v>
      </c>
      <c r="BL29" s="31" t="n">
        <v>10.00357097950108</v>
      </c>
      <c r="BM29" s="31" t="n">
        <v>0.5146455113074105</v>
      </c>
      <c r="BN29" s="31" t="n">
        <v>3.685765462275913</v>
      </c>
      <c r="BO29" s="31" t="n">
        <v>12.33406420552018</v>
      </c>
      <c r="BP29" s="31" t="n">
        <v>0.643858374502512</v>
      </c>
      <c r="BQ29" s="31" t="n">
        <v>80.41113764530294</v>
      </c>
      <c r="BR29" s="31" t="n">
        <v>0</v>
      </c>
      <c r="BS29" s="31">
        <f>SUM(C29:BR29)</f>
        <v/>
      </c>
      <c r="BT29" s="31" t="n">
        <v>0</v>
      </c>
      <c r="BU29" s="31" t="n">
        <v>0</v>
      </c>
      <c r="BV29" s="31" t="n">
        <v>0</v>
      </c>
      <c r="BW29" s="31" t="n">
        <v>0</v>
      </c>
      <c r="BX29" s="31">
        <f>SUM(BT29:BW29)</f>
        <v/>
      </c>
      <c r="BY29" s="31">
        <f>BS29+BX29</f>
        <v/>
      </c>
    </row>
    <row r="30">
      <c r="A30" s="28" t="inlineStr">
        <is>
          <t>1700</t>
        </is>
      </c>
      <c r="B30" s="28" t="inlineStr">
        <is>
          <t>Fabricação de celulose, papel e produtos de papel</t>
        </is>
      </c>
      <c r="C30" s="29" t="n">
        <v>170.1215844667744</v>
      </c>
      <c r="D30" s="29" t="n">
        <v>57.96561531032712</v>
      </c>
      <c r="E30" s="29" t="n">
        <v>7.366935472180538</v>
      </c>
      <c r="F30" s="29" t="n">
        <v>3.072585811369831</v>
      </c>
      <c r="G30" s="29" t="n">
        <v>29.97703084568571</v>
      </c>
      <c r="H30" s="29" t="n">
        <v>38.50899099852122</v>
      </c>
      <c r="I30" s="29" t="n">
        <v>11.51157869622343</v>
      </c>
      <c r="J30" s="29" t="n">
        <v>1167.018308176745</v>
      </c>
      <c r="K30" s="29" t="n">
        <v>9.325798858682459</v>
      </c>
      <c r="L30" s="29" t="n">
        <v>1324.482076760001</v>
      </c>
      <c r="M30" s="29" t="n">
        <v>102.1929330300432</v>
      </c>
      <c r="N30" s="29" t="n">
        <v>285.3569367038397</v>
      </c>
      <c r="O30" s="29" t="n">
        <v>264.0204456553357</v>
      </c>
      <c r="P30" s="29" t="n">
        <v>141.8534491485744</v>
      </c>
      <c r="Q30" s="29" t="n">
        <v>280.9062339155992</v>
      </c>
      <c r="R30" s="29" t="n">
        <v>300.792850172663</v>
      </c>
      <c r="S30" s="29" t="n">
        <v>3935.209491726916</v>
      </c>
      <c r="T30" s="29" t="n">
        <v>577.1819096746075</v>
      </c>
      <c r="U30" s="29" t="n">
        <v>56.56127951127132</v>
      </c>
      <c r="V30" s="29" t="n">
        <v>16.85364334796971</v>
      </c>
      <c r="W30" s="29" t="n">
        <v>35.32665600559447</v>
      </c>
      <c r="X30" s="29" t="n">
        <v>68.84250635336507</v>
      </c>
      <c r="Y30" s="29" t="n">
        <v>638.5370718109939</v>
      </c>
      <c r="Z30" s="29" t="n">
        <v>347.5263844790503</v>
      </c>
      <c r="AA30" s="29" t="n">
        <v>873.6895888147556</v>
      </c>
      <c r="AB30" s="29" t="n">
        <v>821.0922053390555</v>
      </c>
      <c r="AC30" s="29" t="n">
        <v>11.73816303211026</v>
      </c>
      <c r="AD30" s="29" t="n">
        <v>7.25454282210613</v>
      </c>
      <c r="AE30" s="29" t="n">
        <v>524.5559894510375</v>
      </c>
      <c r="AF30" s="29" t="n">
        <v>465.0831707854779</v>
      </c>
      <c r="AG30" s="29" t="n">
        <v>177.0718515583532</v>
      </c>
      <c r="AH30" s="29" t="n">
        <v>174.809564155538</v>
      </c>
      <c r="AI30" s="29" t="n">
        <v>157.1575341459466</v>
      </c>
      <c r="AJ30" s="29" t="n">
        <v>273.2440182277901</v>
      </c>
      <c r="AK30" s="29" t="n">
        <v>34.8008780060341</v>
      </c>
      <c r="AL30" s="29" t="n">
        <v>375.8631553444432</v>
      </c>
      <c r="AM30" s="29" t="n">
        <v>49.17836962298205</v>
      </c>
      <c r="AN30" s="29" t="n">
        <v>30.16388842678585</v>
      </c>
      <c r="AO30" s="29" t="n">
        <v>23.07625837334595</v>
      </c>
      <c r="AP30" s="29" t="n">
        <v>241.066697210555</v>
      </c>
      <c r="AQ30" s="29" t="n">
        <v>280.2577539152449</v>
      </c>
      <c r="AR30" s="29" t="n">
        <v>2239.396176020061</v>
      </c>
      <c r="AS30" s="29" t="n">
        <v>67.26863223113342</v>
      </c>
      <c r="AT30" s="29" t="n">
        <v>19.89781980369483</v>
      </c>
      <c r="AU30" s="29" t="n">
        <v>7.394248643366375</v>
      </c>
      <c r="AV30" s="29" t="n">
        <v>109.6319924218368</v>
      </c>
      <c r="AW30" s="29" t="n">
        <v>75.97828977131353</v>
      </c>
      <c r="AX30" s="29" t="n">
        <v>457.1299671221769</v>
      </c>
      <c r="AY30" s="29" t="n">
        <v>561.4727743950655</v>
      </c>
      <c r="AZ30" s="29" t="n">
        <v>50.46783752656517</v>
      </c>
      <c r="BA30" s="29" t="n">
        <v>22.54174169837678</v>
      </c>
      <c r="BB30" s="29" t="n">
        <v>151.6886441580957</v>
      </c>
      <c r="BC30" s="29" t="n">
        <v>660.1462214338723</v>
      </c>
      <c r="BD30" s="29" t="n">
        <v>117.6838261014161</v>
      </c>
      <c r="BE30" s="29" t="n">
        <v>605.319905560495</v>
      </c>
      <c r="BF30" s="29" t="n">
        <v>196.2012224969546</v>
      </c>
      <c r="BG30" s="29" t="n">
        <v>233.3548366495623</v>
      </c>
      <c r="BH30" s="29" t="n">
        <v>180.157813390365</v>
      </c>
      <c r="BI30" s="29" t="n">
        <v>678.8342776744573</v>
      </c>
      <c r="BJ30" s="29" t="n">
        <v>17.25557340080552</v>
      </c>
      <c r="BK30" s="29" t="n">
        <v>333.1203117541656</v>
      </c>
      <c r="BL30" s="29" t="n">
        <v>310.6052775471586</v>
      </c>
      <c r="BM30" s="29" t="n">
        <v>160.9159256417779</v>
      </c>
      <c r="BN30" s="29" t="n">
        <v>58.28984146922364</v>
      </c>
      <c r="BO30" s="29" t="n">
        <v>312.5055253681087</v>
      </c>
      <c r="BP30" s="29" t="n">
        <v>19.04869449714435</v>
      </c>
      <c r="BQ30" s="29" t="n">
        <v>219.1511677297594</v>
      </c>
      <c r="BR30" s="29" t="n">
        <v>0</v>
      </c>
      <c r="BS30" s="29">
        <f>SUM(C30:BR30)</f>
        <v/>
      </c>
      <c r="BT30" s="29" t="n">
        <v>0</v>
      </c>
      <c r="BU30" s="29" t="n">
        <v>0</v>
      </c>
      <c r="BV30" s="29" t="n">
        <v>0</v>
      </c>
      <c r="BW30" s="29" t="n">
        <v>0</v>
      </c>
      <c r="BX30" s="29">
        <f>SUM(BT30:BW30)</f>
        <v/>
      </c>
      <c r="BY30" s="29">
        <f>BS30+BX30</f>
        <v/>
      </c>
    </row>
    <row r="31">
      <c r="A31" s="30" t="inlineStr">
        <is>
          <t>1800</t>
        </is>
      </c>
      <c r="B31" s="30" t="inlineStr">
        <is>
          <t>Impressão e reprodução de gravações</t>
        </is>
      </c>
      <c r="C31" s="31" t="n">
        <v>3.264488314156637</v>
      </c>
      <c r="D31" s="31" t="n">
        <v>0.3807326942954085</v>
      </c>
      <c r="E31" s="31" t="n">
        <v>1.902031972530003</v>
      </c>
      <c r="F31" s="31" t="n">
        <v>0.5252045181498003</v>
      </c>
      <c r="G31" s="31" t="n">
        <v>2.717419746804991</v>
      </c>
      <c r="H31" s="31" t="n">
        <v>5.647890357204338</v>
      </c>
      <c r="I31" s="31" t="n">
        <v>2.228341680692541</v>
      </c>
      <c r="J31" s="31" t="n">
        <v>26.07004557887069</v>
      </c>
      <c r="K31" s="31" t="n">
        <v>6.63512331273516</v>
      </c>
      <c r="L31" s="31" t="n">
        <v>44.77930012271631</v>
      </c>
      <c r="M31" s="31" t="n">
        <v>136.2862834754004</v>
      </c>
      <c r="N31" s="31" t="n">
        <v>1.085537329972629</v>
      </c>
      <c r="O31" s="31" t="n">
        <v>6.757507276295336</v>
      </c>
      <c r="P31" s="31" t="n">
        <v>15.35663758959836</v>
      </c>
      <c r="Q31" s="31" t="n">
        <v>4.422120009411443</v>
      </c>
      <c r="R31" s="31" t="n">
        <v>9.542090991957865</v>
      </c>
      <c r="S31" s="31" t="n">
        <v>88.89663888383755</v>
      </c>
      <c r="T31" s="31" t="n">
        <v>788.6971626221861</v>
      </c>
      <c r="U31" s="31" t="n">
        <v>2.798511894945449</v>
      </c>
      <c r="V31" s="31" t="n">
        <v>3.366182609968648</v>
      </c>
      <c r="W31" s="31" t="n">
        <v>1.036410717323141</v>
      </c>
      <c r="X31" s="31" t="n">
        <v>8.17520869060726</v>
      </c>
      <c r="Y31" s="31" t="n">
        <v>3.939417910862441</v>
      </c>
      <c r="Z31" s="31" t="n">
        <v>5.688947366728198</v>
      </c>
      <c r="AA31" s="31" t="n">
        <v>22.55915689208333</v>
      </c>
      <c r="AB31" s="31" t="n">
        <v>11.00781394342137</v>
      </c>
      <c r="AC31" s="31" t="n">
        <v>6.184461764669849</v>
      </c>
      <c r="AD31" s="31" t="n">
        <v>0.5359709650977751</v>
      </c>
      <c r="AE31" s="31" t="n">
        <v>12.69239584619584</v>
      </c>
      <c r="AF31" s="31" t="n">
        <v>727.9226031160821</v>
      </c>
      <c r="AG31" s="31" t="n">
        <v>31.80022321469153</v>
      </c>
      <c r="AH31" s="31" t="n">
        <v>18.46716886839747</v>
      </c>
      <c r="AI31" s="31" t="n">
        <v>19.31525002260489</v>
      </c>
      <c r="AJ31" s="31" t="n">
        <v>22.97159532351724</v>
      </c>
      <c r="AK31" s="31" t="n">
        <v>3.401286918735945</v>
      </c>
      <c r="AL31" s="31" t="n">
        <v>23.2615624069651</v>
      </c>
      <c r="AM31" s="31" t="n">
        <v>21.47672862783803</v>
      </c>
      <c r="AN31" s="31" t="n">
        <v>21.48532968724046</v>
      </c>
      <c r="AO31" s="31" t="n">
        <v>5.226501048970639</v>
      </c>
      <c r="AP31" s="31" t="n">
        <v>35.26505085441937</v>
      </c>
      <c r="AQ31" s="31" t="n">
        <v>56.08395498133165</v>
      </c>
      <c r="AR31" s="31" t="n">
        <v>3539.791898970846</v>
      </c>
      <c r="AS31" s="31" t="n">
        <v>29.92614309200052</v>
      </c>
      <c r="AT31" s="31" t="n">
        <v>0.9942849550419458</v>
      </c>
      <c r="AU31" s="31" t="n">
        <v>20.68026802743873</v>
      </c>
      <c r="AV31" s="31" t="n">
        <v>36.40977633800915</v>
      </c>
      <c r="AW31" s="31" t="n">
        <v>1.637924615930936</v>
      </c>
      <c r="AX31" s="31" t="n">
        <v>31.47581349653792</v>
      </c>
      <c r="AY31" s="31" t="n">
        <v>1281.510018853715</v>
      </c>
      <c r="AZ31" s="31" t="n">
        <v>192.943184688395</v>
      </c>
      <c r="BA31" s="31" t="n">
        <v>451.7169556334678</v>
      </c>
      <c r="BB31" s="31" t="n">
        <v>436.3333267264828</v>
      </c>
      <c r="BC31" s="31" t="n">
        <v>854.931931198357</v>
      </c>
      <c r="BD31" s="31" t="n">
        <v>181.6293053723626</v>
      </c>
      <c r="BE31" s="31" t="n">
        <v>288.5774114737612</v>
      </c>
      <c r="BF31" s="31" t="n">
        <v>163.5444963069601</v>
      </c>
      <c r="BG31" s="31" t="n">
        <v>1701.606303454626</v>
      </c>
      <c r="BH31" s="31" t="n">
        <v>35.88388011145587</v>
      </c>
      <c r="BI31" s="31" t="n">
        <v>659.8017611476804</v>
      </c>
      <c r="BJ31" s="31" t="n">
        <v>0.9643047087741754</v>
      </c>
      <c r="BK31" s="31" t="n">
        <v>598.4655879631619</v>
      </c>
      <c r="BL31" s="31" t="n">
        <v>170.0244275640136</v>
      </c>
      <c r="BM31" s="31" t="n">
        <v>7.889595403562435</v>
      </c>
      <c r="BN31" s="31" t="n">
        <v>78.27798630311997</v>
      </c>
      <c r="BO31" s="31" t="n">
        <v>75.56689956350189</v>
      </c>
      <c r="BP31" s="31" t="n">
        <v>196.8563359688227</v>
      </c>
      <c r="BQ31" s="31" t="n">
        <v>233.2513964046503</v>
      </c>
      <c r="BR31" s="31" t="n">
        <v>0</v>
      </c>
      <c r="BS31" s="31">
        <f>SUM(C31:BR31)</f>
        <v/>
      </c>
      <c r="BT31" s="31" t="n">
        <v>0</v>
      </c>
      <c r="BU31" s="31" t="n">
        <v>0</v>
      </c>
      <c r="BV31" s="31" t="n">
        <v>0</v>
      </c>
      <c r="BW31" s="31" t="n">
        <v>0</v>
      </c>
      <c r="BX31" s="31">
        <f>SUM(BT31:BW31)</f>
        <v/>
      </c>
      <c r="BY31" s="31">
        <f>BS31+BX31</f>
        <v/>
      </c>
    </row>
    <row r="32">
      <c r="A32" s="28" t="inlineStr">
        <is>
          <t>1991</t>
        </is>
      </c>
      <c r="B32" s="28" t="inlineStr">
        <is>
          <t>Refino de petróleo e coquerias</t>
        </is>
      </c>
      <c r="C32" s="29" t="n">
        <v>2580.915196161934</v>
      </c>
      <c r="D32" s="29" t="n">
        <v>1285.322549114601</v>
      </c>
      <c r="E32" s="29" t="n">
        <v>160.3075875267498</v>
      </c>
      <c r="F32" s="29" t="n">
        <v>242.6732087534852</v>
      </c>
      <c r="G32" s="29" t="n">
        <v>1594.288237941822</v>
      </c>
      <c r="H32" s="29" t="n">
        <v>685.0972666777017</v>
      </c>
      <c r="I32" s="29" t="n">
        <v>297.3092095737912</v>
      </c>
      <c r="J32" s="29" t="n">
        <v>751.0096837373862</v>
      </c>
      <c r="K32" s="29" t="n">
        <v>255.1130111172945</v>
      </c>
      <c r="L32" s="29" t="n">
        <v>834.892673608741</v>
      </c>
      <c r="M32" s="29" t="n">
        <v>195.9420959086694</v>
      </c>
      <c r="N32" s="29" t="n">
        <v>5.418786196410729</v>
      </c>
      <c r="O32" s="29" t="n">
        <v>77.15353218895325</v>
      </c>
      <c r="P32" s="29" t="n">
        <v>22.49709957623019</v>
      </c>
      <c r="Q32" s="29" t="n">
        <v>78.9879704417214</v>
      </c>
      <c r="R32" s="29" t="n">
        <v>103.7461274049275</v>
      </c>
      <c r="S32" s="29" t="n">
        <v>412.8063804631454</v>
      </c>
      <c r="T32" s="29" t="n">
        <v>7.557844608899896</v>
      </c>
      <c r="U32" s="29" t="n">
        <v>58567.70604682204</v>
      </c>
      <c r="V32" s="29" t="n">
        <v>170.5200572560316</v>
      </c>
      <c r="W32" s="29" t="n">
        <v>11722.25052770497</v>
      </c>
      <c r="X32" s="29" t="n">
        <v>445.8411323433914</v>
      </c>
      <c r="Y32" s="29" t="n">
        <v>206.442052040518</v>
      </c>
      <c r="Z32" s="29" t="n">
        <v>45.23639525042875</v>
      </c>
      <c r="AA32" s="29" t="n">
        <v>693.0311323951036</v>
      </c>
      <c r="AB32" s="29" t="n">
        <v>1669.979891373899</v>
      </c>
      <c r="AC32" s="29" t="n">
        <v>1090.373518243639</v>
      </c>
      <c r="AD32" s="29" t="n">
        <v>417.2505487438776</v>
      </c>
      <c r="AE32" s="29" t="n">
        <v>127.454846792143</v>
      </c>
      <c r="AF32" s="29" t="n">
        <v>44.42191117119329</v>
      </c>
      <c r="AG32" s="29" t="n">
        <v>318.8282989442354</v>
      </c>
      <c r="AH32" s="29" t="n">
        <v>180.2940209888682</v>
      </c>
      <c r="AI32" s="29" t="n">
        <v>286.7199851414711</v>
      </c>
      <c r="AJ32" s="29" t="n">
        <v>147.6322896644157</v>
      </c>
      <c r="AK32" s="29" t="n">
        <v>44.4908526326216</v>
      </c>
      <c r="AL32" s="29" t="n">
        <v>82.42335864398549</v>
      </c>
      <c r="AM32" s="29" t="n">
        <v>108.6116549768837</v>
      </c>
      <c r="AN32" s="29" t="n">
        <v>1847.909844945806</v>
      </c>
      <c r="AO32" s="29" t="n">
        <v>274.2283629516272</v>
      </c>
      <c r="AP32" s="29" t="n">
        <v>3220.894773325355</v>
      </c>
      <c r="AQ32" s="29" t="n">
        <v>553.0248093002076</v>
      </c>
      <c r="AR32" s="29" t="n">
        <v>4669.344206797972</v>
      </c>
      <c r="AS32" s="29" t="n">
        <v>15074.03653566374</v>
      </c>
      <c r="AT32" s="29" t="n">
        <v>312.164506712239</v>
      </c>
      <c r="AU32" s="29" t="n">
        <v>7149.2982146199</v>
      </c>
      <c r="AV32" s="29" t="n">
        <v>413.7974157605739</v>
      </c>
      <c r="AW32" s="29" t="n">
        <v>41.43334347408449</v>
      </c>
      <c r="AX32" s="29" t="n">
        <v>817.1401855601548</v>
      </c>
      <c r="AY32" s="29" t="n">
        <v>23.51732789534661</v>
      </c>
      <c r="AZ32" s="29" t="n">
        <v>36.65119743196168</v>
      </c>
      <c r="BA32" s="29" t="n">
        <v>73.58020169343217</v>
      </c>
      <c r="BB32" s="29" t="n">
        <v>95.06353111452387</v>
      </c>
      <c r="BC32" s="29" t="n">
        <v>419.0397861288278</v>
      </c>
      <c r="BD32" s="29" t="n">
        <v>59.83341561613327</v>
      </c>
      <c r="BE32" s="29" t="n">
        <v>351.3901939109668</v>
      </c>
      <c r="BF32" s="29" t="n">
        <v>315.7485256011469</v>
      </c>
      <c r="BG32" s="29" t="n">
        <v>76.75377016579155</v>
      </c>
      <c r="BH32" s="29" t="n">
        <v>404.7110953577124</v>
      </c>
      <c r="BI32" s="29" t="n">
        <v>347.8112234828918</v>
      </c>
      <c r="BJ32" s="29" t="n">
        <v>133.629361801072</v>
      </c>
      <c r="BK32" s="29" t="n">
        <v>1336.293672568577</v>
      </c>
      <c r="BL32" s="29" t="n">
        <v>172.5276763468626</v>
      </c>
      <c r="BM32" s="29" t="n">
        <v>35.02910415532549</v>
      </c>
      <c r="BN32" s="29" t="n">
        <v>51.70759602190243</v>
      </c>
      <c r="BO32" s="29" t="n">
        <v>163.4601186616444</v>
      </c>
      <c r="BP32" s="29" t="n">
        <v>70.41096178241961</v>
      </c>
      <c r="BQ32" s="29" t="n">
        <v>278.4536457508927</v>
      </c>
      <c r="BR32" s="29" t="n">
        <v>0</v>
      </c>
      <c r="BS32" s="29">
        <f>SUM(C32:BR32)</f>
        <v/>
      </c>
      <c r="BT32" s="29" t="n">
        <v>0</v>
      </c>
      <c r="BU32" s="29" t="n">
        <v>0</v>
      </c>
      <c r="BV32" s="29" t="n">
        <v>0</v>
      </c>
      <c r="BW32" s="29" t="n">
        <v>0</v>
      </c>
      <c r="BX32" s="29">
        <f>SUM(BT32:BW32)</f>
        <v/>
      </c>
      <c r="BY32" s="29">
        <f>BS32+BX32</f>
        <v/>
      </c>
    </row>
    <row r="33">
      <c r="A33" s="30" t="inlineStr">
        <is>
          <t>1992</t>
        </is>
      </c>
      <c r="B33" s="30" t="inlineStr">
        <is>
          <t>Fabricação de biocombustíveis</t>
        </is>
      </c>
      <c r="C33" s="31" t="n">
        <v>21.57365797107077</v>
      </c>
      <c r="D33" s="31" t="n">
        <v>18.00638808758164</v>
      </c>
      <c r="E33" s="31" t="n">
        <v>1.053654545365496</v>
      </c>
      <c r="F33" s="31" t="n">
        <v>0.6887530432644017</v>
      </c>
      <c r="G33" s="31" t="n">
        <v>99.07352224906917</v>
      </c>
      <c r="H33" s="31" t="n">
        <v>0.8269540318877511</v>
      </c>
      <c r="I33" s="31" t="n">
        <v>0.2081166412977553</v>
      </c>
      <c r="J33" s="31" t="n">
        <v>9.546412713306349</v>
      </c>
      <c r="K33" s="31" t="n">
        <v>85.07343899427688</v>
      </c>
      <c r="L33" s="31" t="n">
        <v>236.3058367506343</v>
      </c>
      <c r="M33" s="31" t="n">
        <v>59.32267778595534</v>
      </c>
      <c r="N33" s="31" t="n">
        <v>-0.4512015708432907</v>
      </c>
      <c r="O33" s="31" t="n">
        <v>-0.352692063492303</v>
      </c>
      <c r="P33" s="31" t="n">
        <v>-1.518710127465556</v>
      </c>
      <c r="Q33" s="31" t="n">
        <v>-1.667332975938415</v>
      </c>
      <c r="R33" s="31" t="n">
        <v>-0.5634958512438548</v>
      </c>
      <c r="S33" s="31" t="n">
        <v>-1.848123007824488</v>
      </c>
      <c r="T33" s="31" t="n">
        <v>-0.1625274431588911</v>
      </c>
      <c r="U33" s="31" t="n">
        <v>3900.54672905107</v>
      </c>
      <c r="V33" s="31" t="n">
        <v>82.65595769977287</v>
      </c>
      <c r="W33" s="31" t="n">
        <v>74.66540216037009</v>
      </c>
      <c r="X33" s="31" t="n">
        <v>77.30832527027704</v>
      </c>
      <c r="Y33" s="31" t="n">
        <v>253.0995196022149</v>
      </c>
      <c r="Z33" s="31" t="n">
        <v>141.8663760120062</v>
      </c>
      <c r="AA33" s="31" t="n">
        <v>-1.784796062395446</v>
      </c>
      <c r="AB33" s="31" t="n">
        <v>-2.720047670958462</v>
      </c>
      <c r="AC33" s="31" t="n">
        <v>-2.485797132089109</v>
      </c>
      <c r="AD33" s="31" t="n">
        <v>-0.6208308647492605</v>
      </c>
      <c r="AE33" s="31" t="n">
        <v>5.319688883719714</v>
      </c>
      <c r="AF33" s="31" t="n">
        <v>-2.040593347946581</v>
      </c>
      <c r="AG33" s="31" t="n">
        <v>-1.752187347429478</v>
      </c>
      <c r="AH33" s="31" t="n">
        <v>0.3155640187260829</v>
      </c>
      <c r="AI33" s="31" t="n">
        <v>2.853546638405887</v>
      </c>
      <c r="AJ33" s="31" t="n">
        <v>0.1211578312815939</v>
      </c>
      <c r="AK33" s="31" t="n">
        <v>0.03282700177669479</v>
      </c>
      <c r="AL33" s="31" t="n">
        <v>-0.8318151908158447</v>
      </c>
      <c r="AM33" s="31" t="n">
        <v>2.85667943843402</v>
      </c>
      <c r="AN33" s="31" t="n">
        <v>0.9189324802851494</v>
      </c>
      <c r="AO33" s="31" t="n">
        <v>0.7797463053911259</v>
      </c>
      <c r="AP33" s="31" t="n">
        <v>74.14302335755507</v>
      </c>
      <c r="AQ33" s="31" t="n">
        <v>22.1602369057045</v>
      </c>
      <c r="AR33" s="31" t="n">
        <v>24.94639022696883</v>
      </c>
      <c r="AS33" s="31" t="n">
        <v>134.7048092336157</v>
      </c>
      <c r="AT33" s="31" t="n">
        <v>0.06877680897860897</v>
      </c>
      <c r="AU33" s="31" t="n">
        <v>0.01107722554230921</v>
      </c>
      <c r="AV33" s="31" t="n">
        <v>9.262061078529378</v>
      </c>
      <c r="AW33" s="31" t="n">
        <v>0.5831159537675794</v>
      </c>
      <c r="AX33" s="31" t="n">
        <v>62.8067432787995</v>
      </c>
      <c r="AY33" s="31" t="n">
        <v>-1.292172026503911</v>
      </c>
      <c r="AZ33" s="31" t="n">
        <v>-1.15477588339739</v>
      </c>
      <c r="BA33" s="31" t="n">
        <v>-8.812164426007703</v>
      </c>
      <c r="BB33" s="31" t="n">
        <v>-0.7002593705084285</v>
      </c>
      <c r="BC33" s="31" t="n">
        <v>0.1634735836205219</v>
      </c>
      <c r="BD33" s="31" t="n">
        <v>0.02461068918170492</v>
      </c>
      <c r="BE33" s="31" t="n">
        <v>-0.4946261823562976</v>
      </c>
      <c r="BF33" s="31" t="n">
        <v>13.02715785384817</v>
      </c>
      <c r="BG33" s="31" t="n">
        <v>3.660472209647614</v>
      </c>
      <c r="BH33" s="31" t="n">
        <v>0.1610157859774907</v>
      </c>
      <c r="BI33" s="31" t="n">
        <v>2.007338509626529</v>
      </c>
      <c r="BJ33" s="31" t="n">
        <v>13.20479079878114</v>
      </c>
      <c r="BK33" s="31" t="n">
        <v>141.3907004125837</v>
      </c>
      <c r="BL33" s="31" t="n">
        <v>24.43625194145452</v>
      </c>
      <c r="BM33" s="31" t="n">
        <v>0.5182411867478766</v>
      </c>
      <c r="BN33" s="31" t="n">
        <v>9.138635651928219</v>
      </c>
      <c r="BO33" s="31" t="n">
        <v>9.586400217755884</v>
      </c>
      <c r="BP33" s="31" t="n">
        <v>0.2771418513572142</v>
      </c>
      <c r="BQ33" s="31" t="n">
        <v>23.46429142998214</v>
      </c>
      <c r="BR33" s="31" t="n">
        <v>0</v>
      </c>
      <c r="BS33" s="31">
        <f>SUM(C33:BR33)</f>
        <v/>
      </c>
      <c r="BT33" s="31" t="n">
        <v>0</v>
      </c>
      <c r="BU33" s="31" t="n">
        <v>0</v>
      </c>
      <c r="BV33" s="31" t="n">
        <v>0</v>
      </c>
      <c r="BW33" s="31" t="n">
        <v>0</v>
      </c>
      <c r="BX33" s="31">
        <f>SUM(BT33:BW33)</f>
        <v/>
      </c>
      <c r="BY33" s="31">
        <f>BS33+BX33</f>
        <v/>
      </c>
    </row>
    <row r="34">
      <c r="A34" s="28" t="inlineStr">
        <is>
          <t>2091</t>
        </is>
      </c>
      <c r="B34" s="28" t="inlineStr">
        <is>
          <t>Fabricação de químicos orgânicos e inorgânicos, resinas e elastômeros</t>
        </is>
      </c>
      <c r="C34" s="29" t="n">
        <v>13466.25083526648</v>
      </c>
      <c r="D34" s="29" t="n">
        <v>1674.219972674869</v>
      </c>
      <c r="E34" s="29" t="n">
        <v>117.5345845255371</v>
      </c>
      <c r="F34" s="29" t="n">
        <v>141.9349275329979</v>
      </c>
      <c r="G34" s="29" t="n">
        <v>2285.344871166024</v>
      </c>
      <c r="H34" s="29" t="n">
        <v>137.6402068291241</v>
      </c>
      <c r="I34" s="29" t="n">
        <v>109.558730756271</v>
      </c>
      <c r="J34" s="29" t="n">
        <v>177.1646565323717</v>
      </c>
      <c r="K34" s="29" t="n">
        <v>137.1460404563515</v>
      </c>
      <c r="L34" s="29" t="n">
        <v>610.4714835333891</v>
      </c>
      <c r="M34" s="29" t="n">
        <v>91.27206827727179</v>
      </c>
      <c r="N34" s="29" t="n">
        <v>9.492509607784394</v>
      </c>
      <c r="O34" s="29" t="n">
        <v>2748.991065483573</v>
      </c>
      <c r="P34" s="29" t="n">
        <v>103.1776123410827</v>
      </c>
      <c r="Q34" s="29" t="n">
        <v>1153.392381038244</v>
      </c>
      <c r="R34" s="29" t="n">
        <v>335.6512882914398</v>
      </c>
      <c r="S34" s="29" t="n">
        <v>2978.526866975667</v>
      </c>
      <c r="T34" s="29" t="n">
        <v>46.67131131841272</v>
      </c>
      <c r="U34" s="29" t="n">
        <v>1083.161043986634</v>
      </c>
      <c r="V34" s="29" t="n">
        <v>399.2897847374395</v>
      </c>
      <c r="W34" s="29" t="n">
        <v>26370.05583549799</v>
      </c>
      <c r="X34" s="29" t="n">
        <v>8978.779049151874</v>
      </c>
      <c r="Y34" s="29" t="n">
        <v>3399.781657445863</v>
      </c>
      <c r="Z34" s="29" t="n">
        <v>1184.599022336043</v>
      </c>
      <c r="AA34" s="29" t="n">
        <v>10638.7551985077</v>
      </c>
      <c r="AB34" s="29" t="n">
        <v>2206.624514875712</v>
      </c>
      <c r="AC34" s="29" t="n">
        <v>668.3572811721142</v>
      </c>
      <c r="AD34" s="29" t="n">
        <v>825.2185963656419</v>
      </c>
      <c r="AE34" s="29" t="n">
        <v>1063.104327203534</v>
      </c>
      <c r="AF34" s="29" t="n">
        <v>96.90621572987826</v>
      </c>
      <c r="AG34" s="29" t="n">
        <v>1853.606127789884</v>
      </c>
      <c r="AH34" s="29" t="n">
        <v>161.7490566331605</v>
      </c>
      <c r="AI34" s="29" t="n">
        <v>89.85397395250421</v>
      </c>
      <c r="AJ34" s="29" t="n">
        <v>761.7959431769547</v>
      </c>
      <c r="AK34" s="29" t="n">
        <v>455.3418741665026</v>
      </c>
      <c r="AL34" s="29" t="n">
        <v>1245.375182463406</v>
      </c>
      <c r="AM34" s="29" t="n">
        <v>173.3887826192919</v>
      </c>
      <c r="AN34" s="29" t="n">
        <v>143.1726828516248</v>
      </c>
      <c r="AO34" s="29" t="n">
        <v>650.6935102551735</v>
      </c>
      <c r="AP34" s="29" t="n">
        <v>230.4095685692325</v>
      </c>
      <c r="AQ34" s="29" t="n">
        <v>17.09928778680047</v>
      </c>
      <c r="AR34" s="29" t="n">
        <v>418.2268323906461</v>
      </c>
      <c r="AS34" s="29" t="n">
        <v>40.3468185787133</v>
      </c>
      <c r="AT34" s="29" t="n">
        <v>1.426610608156508</v>
      </c>
      <c r="AU34" s="29" t="n">
        <v>0.3120360029216508</v>
      </c>
      <c r="AV34" s="29" t="n">
        <v>6.506566024292691</v>
      </c>
      <c r="AW34" s="29" t="n">
        <v>5.663828691192125</v>
      </c>
      <c r="AX34" s="29" t="n">
        <v>26.68363088891048</v>
      </c>
      <c r="AY34" s="29" t="n">
        <v>-5.622518748121483</v>
      </c>
      <c r="AZ34" s="29" t="n">
        <v>-5.054552679685485</v>
      </c>
      <c r="BA34" s="29" t="n">
        <v>-43.25711060591141</v>
      </c>
      <c r="BB34" s="29" t="n">
        <v>-2.796796213505286</v>
      </c>
      <c r="BC34" s="29" t="n">
        <v>3.97630217233182</v>
      </c>
      <c r="BD34" s="29" t="n">
        <v>10.74726513667065</v>
      </c>
      <c r="BE34" s="29" t="n">
        <v>4.607845905917205</v>
      </c>
      <c r="BF34" s="29" t="n">
        <v>32.51928730642493</v>
      </c>
      <c r="BG34" s="29" t="n">
        <v>7.274712821775775</v>
      </c>
      <c r="BH34" s="29" t="n">
        <v>6.409053845425596</v>
      </c>
      <c r="BI34" s="29" t="n">
        <v>46.26062392163166</v>
      </c>
      <c r="BJ34" s="29" t="n">
        <v>-0.1433272727103498</v>
      </c>
      <c r="BK34" s="29" t="n">
        <v>28.22419874676563</v>
      </c>
      <c r="BL34" s="29" t="n">
        <v>54.47365650969542</v>
      </c>
      <c r="BM34" s="29" t="n">
        <v>4.480227015032501</v>
      </c>
      <c r="BN34" s="29" t="n">
        <v>233.2215417510212</v>
      </c>
      <c r="BO34" s="29" t="n">
        <v>584.1583531121032</v>
      </c>
      <c r="BP34" s="29" t="n">
        <v>6.667119613857433</v>
      </c>
      <c r="BQ34" s="29" t="n">
        <v>303.1011316141886</v>
      </c>
      <c r="BR34" s="29" t="n">
        <v>0</v>
      </c>
      <c r="BS34" s="29">
        <f>SUM(C34:BR34)</f>
        <v/>
      </c>
      <c r="BT34" s="29" t="n">
        <v>0</v>
      </c>
      <c r="BU34" s="29" t="n">
        <v>0</v>
      </c>
      <c r="BV34" s="29" t="n">
        <v>0</v>
      </c>
      <c r="BW34" s="29" t="n">
        <v>0</v>
      </c>
      <c r="BX34" s="29">
        <f>SUM(BT34:BW34)</f>
        <v/>
      </c>
      <c r="BY34" s="29">
        <f>BS34+BX34</f>
        <v/>
      </c>
    </row>
    <row r="35">
      <c r="A35" s="30" t="inlineStr">
        <is>
          <t>2092</t>
        </is>
      </c>
      <c r="B35" s="30" t="inlineStr">
        <is>
          <t>Fabricação de defensivos, desinfestantes, tintas e químicos diversos</t>
        </is>
      </c>
      <c r="C35" s="31" t="n">
        <v>12349.8723890194</v>
      </c>
      <c r="D35" s="31" t="n">
        <v>1445.825767724564</v>
      </c>
      <c r="E35" s="31" t="n">
        <v>47.44522072458086</v>
      </c>
      <c r="F35" s="31" t="n">
        <v>921.8373051957445</v>
      </c>
      <c r="G35" s="31" t="n">
        <v>213.6197888424332</v>
      </c>
      <c r="H35" s="31" t="n">
        <v>89.62908240097481</v>
      </c>
      <c r="I35" s="31" t="n">
        <v>63.52774066163177</v>
      </c>
      <c r="J35" s="31" t="n">
        <v>369.7075949648556</v>
      </c>
      <c r="K35" s="31" t="n">
        <v>24.20095149833273</v>
      </c>
      <c r="L35" s="31" t="n">
        <v>1088.005118453507</v>
      </c>
      <c r="M35" s="31" t="n">
        <v>59.35594425826741</v>
      </c>
      <c r="N35" s="31" t="n">
        <v>1.994698161680228</v>
      </c>
      <c r="O35" s="31" t="n">
        <v>243.0950897113783</v>
      </c>
      <c r="P35" s="31" t="n">
        <v>19.79902366582762</v>
      </c>
      <c r="Q35" s="31" t="n">
        <v>137.8378662863523</v>
      </c>
      <c r="R35" s="31" t="n">
        <v>312.968400824954</v>
      </c>
      <c r="S35" s="31" t="n">
        <v>765.7609228097043</v>
      </c>
      <c r="T35" s="31" t="n">
        <v>430.3275869388568</v>
      </c>
      <c r="U35" s="31" t="n">
        <v>292.3496830153255</v>
      </c>
      <c r="V35" s="31" t="n">
        <v>68.44976861235953</v>
      </c>
      <c r="W35" s="31" t="n">
        <v>1184.275276295331</v>
      </c>
      <c r="X35" s="31" t="n">
        <v>4155.689796774936</v>
      </c>
      <c r="Y35" s="31" t="n">
        <v>989.8067062392655</v>
      </c>
      <c r="Z35" s="31" t="n">
        <v>424.4808345921079</v>
      </c>
      <c r="AA35" s="31" t="n">
        <v>1705.306575480879</v>
      </c>
      <c r="AB35" s="31" t="n">
        <v>600.335291314281</v>
      </c>
      <c r="AC35" s="31" t="n">
        <v>171.6362574907494</v>
      </c>
      <c r="AD35" s="31" t="n">
        <v>48.63216512789486</v>
      </c>
      <c r="AE35" s="31" t="n">
        <v>363.71574957325</v>
      </c>
      <c r="AF35" s="31" t="n">
        <v>151.3358569154002</v>
      </c>
      <c r="AG35" s="31" t="n">
        <v>163.2923885630416</v>
      </c>
      <c r="AH35" s="31" t="n">
        <v>99.80711542195597</v>
      </c>
      <c r="AI35" s="31" t="n">
        <v>304.2577509862758</v>
      </c>
      <c r="AJ35" s="31" t="n">
        <v>137.2079265591967</v>
      </c>
      <c r="AK35" s="31" t="n">
        <v>94.95522644096052</v>
      </c>
      <c r="AL35" s="31" t="n">
        <v>315.2099560790909</v>
      </c>
      <c r="AM35" s="31" t="n">
        <v>287.0657586122867</v>
      </c>
      <c r="AN35" s="31" t="n">
        <v>62.70916062468923</v>
      </c>
      <c r="AO35" s="31" t="n">
        <v>147.6812205048342</v>
      </c>
      <c r="AP35" s="31" t="n">
        <v>3655.071242897279</v>
      </c>
      <c r="AQ35" s="31" t="n">
        <v>486.1821774509543</v>
      </c>
      <c r="AR35" s="31" t="n">
        <v>676.0466547532903</v>
      </c>
      <c r="AS35" s="31" t="n">
        <v>117.9661007517353</v>
      </c>
      <c r="AT35" s="31" t="n">
        <v>0.3423726484531284</v>
      </c>
      <c r="AU35" s="31" t="n">
        <v>1.994734122933685</v>
      </c>
      <c r="AV35" s="31" t="n">
        <v>17.66501715030125</v>
      </c>
      <c r="AW35" s="31" t="n">
        <v>9.900496651904961</v>
      </c>
      <c r="AX35" s="31" t="n">
        <v>11.89116293433256</v>
      </c>
      <c r="AY35" s="31" t="n">
        <v>72.09922150632018</v>
      </c>
      <c r="AZ35" s="31" t="n">
        <v>47.28350459895339</v>
      </c>
      <c r="BA35" s="31" t="n">
        <v>-21.99112528368199</v>
      </c>
      <c r="BB35" s="31" t="n">
        <v>-0.6812363555181874</v>
      </c>
      <c r="BC35" s="31" t="n">
        <v>13.82354069386872</v>
      </c>
      <c r="BD35" s="31" t="n">
        <v>438.3530618728077</v>
      </c>
      <c r="BE35" s="31" t="n">
        <v>3.393499859789459</v>
      </c>
      <c r="BF35" s="31" t="n">
        <v>17.87388764652435</v>
      </c>
      <c r="BG35" s="31" t="n">
        <v>17.94500032347022</v>
      </c>
      <c r="BH35" s="31" t="n">
        <v>10.55148241825612</v>
      </c>
      <c r="BI35" s="31" t="n">
        <v>810.6242821316615</v>
      </c>
      <c r="BJ35" s="31" t="n">
        <v>0.1415028668594129</v>
      </c>
      <c r="BK35" s="31" t="n">
        <v>94.67689002339242</v>
      </c>
      <c r="BL35" s="31" t="n">
        <v>150.484534011501</v>
      </c>
      <c r="BM35" s="31" t="n">
        <v>3.010729978294818</v>
      </c>
      <c r="BN35" s="31" t="n">
        <v>325.8821392309106</v>
      </c>
      <c r="BO35" s="31" t="n">
        <v>44.26101452848622</v>
      </c>
      <c r="BP35" s="31" t="n">
        <v>11.37389191546372</v>
      </c>
      <c r="BQ35" s="31" t="n">
        <v>62.36579083831021</v>
      </c>
      <c r="BR35" s="31" t="n">
        <v>0</v>
      </c>
      <c r="BS35" s="31">
        <f>SUM(C35:BR35)</f>
        <v/>
      </c>
      <c r="BT35" s="31" t="n">
        <v>0</v>
      </c>
      <c r="BU35" s="31" t="n">
        <v>0</v>
      </c>
      <c r="BV35" s="31" t="n">
        <v>0</v>
      </c>
      <c r="BW35" s="31" t="n">
        <v>0</v>
      </c>
      <c r="BX35" s="31">
        <f>SUM(BT35:BW35)</f>
        <v/>
      </c>
      <c r="BY35" s="31">
        <f>BS35+BX35</f>
        <v/>
      </c>
    </row>
    <row r="36">
      <c r="A36" s="28" t="inlineStr">
        <is>
          <t>2093</t>
        </is>
      </c>
      <c r="B36" s="28" t="inlineStr">
        <is>
          <t>Fabricação de produtos de limpeza, cosméticos/perfumaria e higiene pessoal</t>
        </is>
      </c>
      <c r="C36" s="29" t="n">
        <v>440.934876189138</v>
      </c>
      <c r="D36" s="29" t="n">
        <v>79.05080557646586</v>
      </c>
      <c r="E36" s="29" t="n">
        <v>2.241195963319026</v>
      </c>
      <c r="F36" s="29" t="n">
        <v>8.458321385402963</v>
      </c>
      <c r="G36" s="29" t="n">
        <v>78.15514771454053</v>
      </c>
      <c r="H36" s="29" t="n">
        <v>45.92728809245958</v>
      </c>
      <c r="I36" s="29" t="n">
        <v>12.73691479881407</v>
      </c>
      <c r="J36" s="29" t="n">
        <v>57.82271976735895</v>
      </c>
      <c r="K36" s="29" t="n">
        <v>13.69852494039699</v>
      </c>
      <c r="L36" s="29" t="n">
        <v>185.4946444748453</v>
      </c>
      <c r="M36" s="29" t="n">
        <v>25.18131579232198</v>
      </c>
      <c r="N36" s="29" t="n">
        <v>3.373114702613159</v>
      </c>
      <c r="O36" s="29" t="n">
        <v>45.59204135279491</v>
      </c>
      <c r="P36" s="29" t="n">
        <v>68.02335789052775</v>
      </c>
      <c r="Q36" s="29" t="n">
        <v>14.49084049722304</v>
      </c>
      <c r="R36" s="29" t="n">
        <v>21.00682967011664</v>
      </c>
      <c r="S36" s="29" t="n">
        <v>87.59320791046137</v>
      </c>
      <c r="T36" s="29" t="n">
        <v>9.83051306393496</v>
      </c>
      <c r="U36" s="29" t="n">
        <v>62.08208876288857</v>
      </c>
      <c r="V36" s="29" t="n">
        <v>5.398623144236135</v>
      </c>
      <c r="W36" s="29" t="n">
        <v>247.4819789028699</v>
      </c>
      <c r="X36" s="29" t="n">
        <v>263.2978305209016</v>
      </c>
      <c r="Y36" s="29" t="n">
        <v>1311.241204752338</v>
      </c>
      <c r="Z36" s="29" t="n">
        <v>35.41343084033508</v>
      </c>
      <c r="AA36" s="29" t="n">
        <v>57.76531742616039</v>
      </c>
      <c r="AB36" s="29" t="n">
        <v>78.01903434239121</v>
      </c>
      <c r="AC36" s="29" t="n">
        <v>22.48643585752984</v>
      </c>
      <c r="AD36" s="29" t="n">
        <v>40.9643803678768</v>
      </c>
      <c r="AE36" s="29" t="n">
        <v>432.7828956471392</v>
      </c>
      <c r="AF36" s="29" t="n">
        <v>47.37562419693653</v>
      </c>
      <c r="AG36" s="29" t="n">
        <v>16.03934681369045</v>
      </c>
      <c r="AH36" s="29" t="n">
        <v>53.34117361393665</v>
      </c>
      <c r="AI36" s="29" t="n">
        <v>35.96303922591414</v>
      </c>
      <c r="AJ36" s="29" t="n">
        <v>31.49853730971973</v>
      </c>
      <c r="AK36" s="29" t="n">
        <v>10.84433286308744</v>
      </c>
      <c r="AL36" s="29" t="n">
        <v>32.48806422787025</v>
      </c>
      <c r="AM36" s="29" t="n">
        <v>11.56734501475253</v>
      </c>
      <c r="AN36" s="29" t="n">
        <v>19.48599910959041</v>
      </c>
      <c r="AO36" s="29" t="n">
        <v>46.81512334507564</v>
      </c>
      <c r="AP36" s="29" t="n">
        <v>187.9037468893441</v>
      </c>
      <c r="AQ36" s="29" t="n">
        <v>180.2137325684185</v>
      </c>
      <c r="AR36" s="29" t="n">
        <v>1967.132413994933</v>
      </c>
      <c r="AS36" s="29" t="n">
        <v>274.6102552820349</v>
      </c>
      <c r="AT36" s="29" t="n">
        <v>9.386427543864812</v>
      </c>
      <c r="AU36" s="29" t="n">
        <v>0.7145716591442735</v>
      </c>
      <c r="AV36" s="29" t="n">
        <v>91.27838688422763</v>
      </c>
      <c r="AW36" s="29" t="n">
        <v>74.01509742572931</v>
      </c>
      <c r="AX36" s="29" t="n">
        <v>75.00862652169613</v>
      </c>
      <c r="AY36" s="29" t="n">
        <v>16.23932426004467</v>
      </c>
      <c r="AZ36" s="29" t="n">
        <v>48.22324620139091</v>
      </c>
      <c r="BA36" s="29" t="n">
        <v>118.9583771654066</v>
      </c>
      <c r="BB36" s="29" t="n">
        <v>10.23864873467007</v>
      </c>
      <c r="BC36" s="29" t="n">
        <v>29.37528304760162</v>
      </c>
      <c r="BD36" s="29" t="n">
        <v>6.414852606856205</v>
      </c>
      <c r="BE36" s="29" t="n">
        <v>248.8062606152262</v>
      </c>
      <c r="BF36" s="29" t="n">
        <v>116.7898162702271</v>
      </c>
      <c r="BG36" s="29" t="n">
        <v>250.6376715379547</v>
      </c>
      <c r="BH36" s="29" t="n">
        <v>114.4045171908476</v>
      </c>
      <c r="BI36" s="29" t="n">
        <v>1504.655199444304</v>
      </c>
      <c r="BJ36" s="29" t="n">
        <v>1.92138795984764</v>
      </c>
      <c r="BK36" s="29" t="n">
        <v>208.3176932097944</v>
      </c>
      <c r="BL36" s="29" t="n">
        <v>193.1830080838523</v>
      </c>
      <c r="BM36" s="29" t="n">
        <v>125.4323254343813</v>
      </c>
      <c r="BN36" s="29" t="n">
        <v>106.261319553411</v>
      </c>
      <c r="BO36" s="29" t="n">
        <v>742.7476584502541</v>
      </c>
      <c r="BP36" s="29" t="n">
        <v>193.582002030734</v>
      </c>
      <c r="BQ36" s="29" t="n">
        <v>1090.347963109322</v>
      </c>
      <c r="BR36" s="29" t="n">
        <v>0</v>
      </c>
      <c r="BS36" s="29">
        <f>SUM(C36:BR36)</f>
        <v/>
      </c>
      <c r="BT36" s="29" t="n">
        <v>0</v>
      </c>
      <c r="BU36" s="29" t="n">
        <v>0</v>
      </c>
      <c r="BV36" s="29" t="n">
        <v>0</v>
      </c>
      <c r="BW36" s="29" t="n">
        <v>0</v>
      </c>
      <c r="BX36" s="29">
        <f>SUM(BT36:BW36)</f>
        <v/>
      </c>
      <c r="BY36" s="29">
        <f>BS36+BX36</f>
        <v/>
      </c>
    </row>
    <row r="37">
      <c r="A37" s="30" t="inlineStr">
        <is>
          <t>2100</t>
        </is>
      </c>
      <c r="B37" s="30" t="inlineStr">
        <is>
          <t>Fabricação de produtos farmoquímicos e farmacêuticos</t>
        </is>
      </c>
      <c r="C37" s="31" t="n">
        <v>350.903516749254</v>
      </c>
      <c r="D37" s="31" t="n">
        <v>2262.830748082599</v>
      </c>
      <c r="E37" s="31" t="n">
        <v>12.98600941003868</v>
      </c>
      <c r="F37" s="31" t="n">
        <v>0.2987700318888397</v>
      </c>
      <c r="G37" s="31" t="n">
        <v>218.2289607101502</v>
      </c>
      <c r="H37" s="31" t="n">
        <v>2.453858980625437</v>
      </c>
      <c r="I37" s="31" t="n">
        <v>0.6705859859102934</v>
      </c>
      <c r="J37" s="31" t="n">
        <v>-31.53926690153724</v>
      </c>
      <c r="K37" s="31" t="n">
        <v>-2.000777512236175</v>
      </c>
      <c r="L37" s="31" t="n">
        <v>184.9203889817887</v>
      </c>
      <c r="M37" s="31" t="n">
        <v>0.04638652697932979</v>
      </c>
      <c r="N37" s="31" t="n">
        <v>-1.349236048230567</v>
      </c>
      <c r="O37" s="31" t="n">
        <v>5.218151021588226</v>
      </c>
      <c r="P37" s="31" t="n">
        <v>26.61237321205554</v>
      </c>
      <c r="Q37" s="31" t="n">
        <v>3.044537922169727</v>
      </c>
      <c r="R37" s="31" t="n">
        <v>-1.171653131133845</v>
      </c>
      <c r="S37" s="31" t="n">
        <v>-1.624356447811619</v>
      </c>
      <c r="T37" s="31" t="n">
        <v>-0.1692953213533784</v>
      </c>
      <c r="U37" s="31" t="n">
        <v>-2.857584498790525</v>
      </c>
      <c r="V37" s="31" t="n">
        <v>1.111027445570105</v>
      </c>
      <c r="W37" s="31" t="n">
        <v>113.9827587185416</v>
      </c>
      <c r="X37" s="31" t="n">
        <v>246.8895107912865</v>
      </c>
      <c r="Y37" s="31" t="n">
        <v>39.84657488127418</v>
      </c>
      <c r="Z37" s="31" t="n">
        <v>3413.953411771742</v>
      </c>
      <c r="AA37" s="31" t="n">
        <v>8.830242276236051</v>
      </c>
      <c r="AB37" s="31" t="n">
        <v>-2.177620990954684</v>
      </c>
      <c r="AC37" s="31" t="n">
        <v>-6.404076742949877</v>
      </c>
      <c r="AD37" s="31" t="n">
        <v>-0.4099071792069836</v>
      </c>
      <c r="AE37" s="31" t="n">
        <v>-0.8726090684485489</v>
      </c>
      <c r="AF37" s="31" t="n">
        <v>-5.320382155237851</v>
      </c>
      <c r="AG37" s="31" t="n">
        <v>-5.49041942441101</v>
      </c>
      <c r="AH37" s="31" t="n">
        <v>-3.122872083502151</v>
      </c>
      <c r="AI37" s="31" t="n">
        <v>9.216569749560655</v>
      </c>
      <c r="AJ37" s="31" t="n">
        <v>1.866455978127282</v>
      </c>
      <c r="AK37" s="31" t="n">
        <v>0.02915751001341465</v>
      </c>
      <c r="AL37" s="31" t="n">
        <v>14.02848976348312</v>
      </c>
      <c r="AM37" s="31" t="n">
        <v>4.947143443322296</v>
      </c>
      <c r="AN37" s="31" t="n">
        <v>1.83694909547978</v>
      </c>
      <c r="AO37" s="31" t="n">
        <v>2.771166340419947</v>
      </c>
      <c r="AP37" s="31" t="n">
        <v>23.69969131931012</v>
      </c>
      <c r="AQ37" s="31" t="n">
        <v>3.515364448013371</v>
      </c>
      <c r="AR37" s="31" t="n">
        <v>205.7247602465579</v>
      </c>
      <c r="AS37" s="31" t="n">
        <v>7.176326546268093</v>
      </c>
      <c r="AT37" s="31" t="n">
        <v>1.919589387213179</v>
      </c>
      <c r="AU37" s="31" t="n">
        <v>0.287956723510122</v>
      </c>
      <c r="AV37" s="31" t="n">
        <v>4.221219679223123</v>
      </c>
      <c r="AW37" s="31" t="n">
        <v>1.762600495495034</v>
      </c>
      <c r="AX37" s="31" t="n">
        <v>7.583235079068078</v>
      </c>
      <c r="AY37" s="31" t="n">
        <v>-3.88381855065011</v>
      </c>
      <c r="AZ37" s="31" t="n">
        <v>-2.544753084188231</v>
      </c>
      <c r="BA37" s="31" t="n">
        <v>-27.14097547880153</v>
      </c>
      <c r="BB37" s="31" t="n">
        <v>-0.495018228300609</v>
      </c>
      <c r="BC37" s="31" t="n">
        <v>5.451060313533485</v>
      </c>
      <c r="BD37" s="31" t="n">
        <v>3.082435149977062</v>
      </c>
      <c r="BE37" s="31" t="n">
        <v>6.036368775239366</v>
      </c>
      <c r="BF37" s="31" t="n">
        <v>19.30919667437396</v>
      </c>
      <c r="BG37" s="31" t="n">
        <v>44.59679920279599</v>
      </c>
      <c r="BH37" s="31" t="n">
        <v>12.86773964167172</v>
      </c>
      <c r="BI37" s="31" t="n">
        <v>26.51658865681803</v>
      </c>
      <c r="BJ37" s="31" t="n">
        <v>0.1719002173489624</v>
      </c>
      <c r="BK37" s="31" t="n">
        <v>477.1883623956653</v>
      </c>
      <c r="BL37" s="31" t="n">
        <v>477.2178515788945</v>
      </c>
      <c r="BM37" s="31" t="n">
        <v>141.9559338564404</v>
      </c>
      <c r="BN37" s="31" t="n">
        <v>2629.261932667032</v>
      </c>
      <c r="BO37" s="31" t="n">
        <v>6701.703423424841</v>
      </c>
      <c r="BP37" s="31" t="n">
        <v>11.69963989030743</v>
      </c>
      <c r="BQ37" s="31" t="n">
        <v>493.5428637436319</v>
      </c>
      <c r="BR37" s="31" t="n">
        <v>0</v>
      </c>
      <c r="BS37" s="31">
        <f>SUM(C37:BR37)</f>
        <v/>
      </c>
      <c r="BT37" s="31" t="n">
        <v>0</v>
      </c>
      <c r="BU37" s="31" t="n">
        <v>0</v>
      </c>
      <c r="BV37" s="31" t="n">
        <v>0</v>
      </c>
      <c r="BW37" s="31" t="n">
        <v>0</v>
      </c>
      <c r="BX37" s="31">
        <f>SUM(BT37:BW37)</f>
        <v/>
      </c>
      <c r="BY37" s="31">
        <f>BS37+BX37</f>
        <v/>
      </c>
    </row>
    <row r="38">
      <c r="A38" s="28" t="inlineStr">
        <is>
          <t>2200</t>
        </is>
      </c>
      <c r="B38" s="28" t="inlineStr">
        <is>
          <t>Fabricação de produtos de borracha e de material plástico</t>
        </is>
      </c>
      <c r="C38" s="29" t="n">
        <v>216.9085214400638</v>
      </c>
      <c r="D38" s="29" t="n">
        <v>71.13086336901698</v>
      </c>
      <c r="E38" s="29" t="n">
        <v>14.71526116467789</v>
      </c>
      <c r="F38" s="29" t="n">
        <v>65.78316179178579</v>
      </c>
      <c r="G38" s="29" t="n">
        <v>92.29358532043491</v>
      </c>
      <c r="H38" s="29" t="n">
        <v>247.6951364591219</v>
      </c>
      <c r="I38" s="29" t="n">
        <v>43.30717788487013</v>
      </c>
      <c r="J38" s="29" t="n">
        <v>833.5735389441024</v>
      </c>
      <c r="K38" s="29" t="n">
        <v>55.50074505063114</v>
      </c>
      <c r="L38" s="29" t="n">
        <v>2257.254982694389</v>
      </c>
      <c r="M38" s="29" t="n">
        <v>1042.284011514635</v>
      </c>
      <c r="N38" s="29" t="n">
        <v>0.8948749689481045</v>
      </c>
      <c r="O38" s="29" t="n">
        <v>150.9071143044362</v>
      </c>
      <c r="P38" s="29" t="n">
        <v>109.7598403757622</v>
      </c>
      <c r="Q38" s="29" t="n">
        <v>419.0785939724078</v>
      </c>
      <c r="R38" s="29" t="n">
        <v>77.92084557992867</v>
      </c>
      <c r="S38" s="29" t="n">
        <v>275.1883780401364</v>
      </c>
      <c r="T38" s="29" t="n">
        <v>365.0555689486664</v>
      </c>
      <c r="U38" s="29" t="n">
        <v>27.95386223531485</v>
      </c>
      <c r="V38" s="29" t="n">
        <v>8.012145117456011</v>
      </c>
      <c r="W38" s="29" t="n">
        <v>450.5718934200121</v>
      </c>
      <c r="X38" s="29" t="n">
        <v>228.4822560421581</v>
      </c>
      <c r="Y38" s="29" t="n">
        <v>608.5269048040158</v>
      </c>
      <c r="Z38" s="29" t="n">
        <v>142.0667171731471</v>
      </c>
      <c r="AA38" s="29" t="n">
        <v>5870.157770268624</v>
      </c>
      <c r="AB38" s="29" t="n">
        <v>841.7913100931535</v>
      </c>
      <c r="AC38" s="29" t="n">
        <v>184.9541904708398</v>
      </c>
      <c r="AD38" s="29" t="n">
        <v>32.1112239015937</v>
      </c>
      <c r="AE38" s="29" t="n">
        <v>287.4693944368346</v>
      </c>
      <c r="AF38" s="29" t="n">
        <v>546.2479241121396</v>
      </c>
      <c r="AG38" s="29" t="n">
        <v>829.8770644831186</v>
      </c>
      <c r="AH38" s="29" t="n">
        <v>1213.471338540917</v>
      </c>
      <c r="AI38" s="29" t="n">
        <v>4727.930660839254</v>
      </c>
      <c r="AJ38" s="29" t="n">
        <v>1626.701595226537</v>
      </c>
      <c r="AK38" s="29" t="n">
        <v>495.1707747674567</v>
      </c>
      <c r="AL38" s="29" t="n">
        <v>912.6875487211469</v>
      </c>
      <c r="AM38" s="29" t="n">
        <v>539.307702177387</v>
      </c>
      <c r="AN38" s="29" t="n">
        <v>89.7777910080985</v>
      </c>
      <c r="AO38" s="29" t="n">
        <v>114.6416205843494</v>
      </c>
      <c r="AP38" s="29" t="n">
        <v>4591.822006642389</v>
      </c>
      <c r="AQ38" s="29" t="n">
        <v>770.897348355808</v>
      </c>
      <c r="AR38" s="29" t="n">
        <v>1863.585461844072</v>
      </c>
      <c r="AS38" s="29" t="n">
        <v>2940.332531470029</v>
      </c>
      <c r="AT38" s="29" t="n">
        <v>2.464175018661514</v>
      </c>
      <c r="AU38" s="29" t="n">
        <v>407.0987782915682</v>
      </c>
      <c r="AV38" s="29" t="n">
        <v>41.68511969290395</v>
      </c>
      <c r="AW38" s="29" t="n">
        <v>11.50457435729458</v>
      </c>
      <c r="AX38" s="29" t="n">
        <v>161.8755511319063</v>
      </c>
      <c r="AY38" s="29" t="n">
        <v>5.331512434169608</v>
      </c>
      <c r="AZ38" s="29" t="n">
        <v>-1.906410527004889</v>
      </c>
      <c r="BA38" s="29" t="n">
        <v>-28.63194823614391</v>
      </c>
      <c r="BB38" s="29" t="n">
        <v>4.089762128637022</v>
      </c>
      <c r="BC38" s="29" t="n">
        <v>24.61193329013839</v>
      </c>
      <c r="BD38" s="29" t="n">
        <v>35.29848938082555</v>
      </c>
      <c r="BE38" s="29" t="n">
        <v>170.7649977682752</v>
      </c>
      <c r="BF38" s="29" t="n">
        <v>19.37541378790348</v>
      </c>
      <c r="BG38" s="29" t="n">
        <v>13.31692197548639</v>
      </c>
      <c r="BH38" s="29" t="n">
        <v>192.5541559716251</v>
      </c>
      <c r="BI38" s="29" t="n">
        <v>184.7304788832851</v>
      </c>
      <c r="BJ38" s="29" t="n">
        <v>1.371343540737038</v>
      </c>
      <c r="BK38" s="29" t="n">
        <v>78.94076034209712</v>
      </c>
      <c r="BL38" s="29" t="n">
        <v>92.22562348179511</v>
      </c>
      <c r="BM38" s="29" t="n">
        <v>2.998722034048982</v>
      </c>
      <c r="BN38" s="29" t="n">
        <v>210.1261372093787</v>
      </c>
      <c r="BO38" s="29" t="n">
        <v>315.7120201352303</v>
      </c>
      <c r="BP38" s="29" t="n">
        <v>5.446232061126765</v>
      </c>
      <c r="BQ38" s="29" t="n">
        <v>68.61407251357041</v>
      </c>
      <c r="BR38" s="29" t="n">
        <v>0</v>
      </c>
      <c r="BS38" s="29">
        <f>SUM(C38:BR38)</f>
        <v/>
      </c>
      <c r="BT38" s="29" t="n">
        <v>0</v>
      </c>
      <c r="BU38" s="29" t="n">
        <v>0</v>
      </c>
      <c r="BV38" s="29" t="n">
        <v>0</v>
      </c>
      <c r="BW38" s="29" t="n">
        <v>0</v>
      </c>
      <c r="BX38" s="29">
        <f>SUM(BT38:BW38)</f>
        <v/>
      </c>
      <c r="BY38" s="29">
        <f>BS38+BX38</f>
        <v/>
      </c>
    </row>
    <row r="39">
      <c r="A39" s="30" t="inlineStr">
        <is>
          <t>2300</t>
        </is>
      </c>
      <c r="B39" s="30" t="inlineStr">
        <is>
          <t>Fabricação de produtos de minerais não-metálicos</t>
        </is>
      </c>
      <c r="C39" s="31" t="n">
        <v>1465.566320437759</v>
      </c>
      <c r="D39" s="31" t="n">
        <v>941.9079362440227</v>
      </c>
      <c r="E39" s="31" t="n">
        <v>28.94522777475746</v>
      </c>
      <c r="F39" s="31" t="n">
        <v>43.21122529965484</v>
      </c>
      <c r="G39" s="31" t="n">
        <v>57.3285988450348</v>
      </c>
      <c r="H39" s="31" t="n">
        <v>4.74368316191971</v>
      </c>
      <c r="I39" s="31" t="n">
        <v>7.156406917374714</v>
      </c>
      <c r="J39" s="31" t="n">
        <v>-33.72400413271459</v>
      </c>
      <c r="K39" s="31" t="n">
        <v>63.55951015603708</v>
      </c>
      <c r="L39" s="31" t="n">
        <v>691.6204527476181</v>
      </c>
      <c r="M39" s="31" t="n">
        <v>797.7983432484689</v>
      </c>
      <c r="N39" s="31" t="n">
        <v>-1.079263334474991</v>
      </c>
      <c r="O39" s="31" t="n">
        <v>5.842124005034396</v>
      </c>
      <c r="P39" s="31" t="n">
        <v>8.467709096706653</v>
      </c>
      <c r="Q39" s="31" t="n">
        <v>0.8613375886931088</v>
      </c>
      <c r="R39" s="31" t="n">
        <v>4.79848541624456</v>
      </c>
      <c r="S39" s="31" t="n">
        <v>91.27984802121847</v>
      </c>
      <c r="T39" s="31" t="n">
        <v>7.876674473515596</v>
      </c>
      <c r="U39" s="31" t="n">
        <v>171.3020687224513</v>
      </c>
      <c r="V39" s="31" t="n">
        <v>1.137614908188057</v>
      </c>
      <c r="W39" s="31" t="n">
        <v>357.0165763716653</v>
      </c>
      <c r="X39" s="31" t="n">
        <v>114.8468545938174</v>
      </c>
      <c r="Y39" s="31" t="n">
        <v>177.7273905585908</v>
      </c>
      <c r="Z39" s="31" t="n">
        <v>27.52491061839911</v>
      </c>
      <c r="AA39" s="31" t="n">
        <v>225.9098686572331</v>
      </c>
      <c r="AB39" s="31" t="n">
        <v>3579.043596954536</v>
      </c>
      <c r="AC39" s="31" t="n">
        <v>139.3850964030871</v>
      </c>
      <c r="AD39" s="31" t="n">
        <v>8.792750151955381</v>
      </c>
      <c r="AE39" s="31" t="n">
        <v>82.70962781690696</v>
      </c>
      <c r="AF39" s="31" t="n">
        <v>3.31455975882717</v>
      </c>
      <c r="AG39" s="31" t="n">
        <v>147.212586594533</v>
      </c>
      <c r="AH39" s="31" t="n">
        <v>170.8476075304291</v>
      </c>
      <c r="AI39" s="31" t="n">
        <v>1069.404420891855</v>
      </c>
      <c r="AJ39" s="31" t="n">
        <v>53.1161251988429</v>
      </c>
      <c r="AK39" s="31" t="n">
        <v>88.21835498325133</v>
      </c>
      <c r="AL39" s="31" t="n">
        <v>243.0403514692337</v>
      </c>
      <c r="AM39" s="31" t="n">
        <v>111.431977034008</v>
      </c>
      <c r="AN39" s="31" t="n">
        <v>562.3518767177459</v>
      </c>
      <c r="AO39" s="31" t="n">
        <v>266.1751380121137</v>
      </c>
      <c r="AP39" s="31" t="n">
        <v>24061.0135341861</v>
      </c>
      <c r="AQ39" s="31" t="n">
        <v>110.0273833947738</v>
      </c>
      <c r="AR39" s="31" t="n">
        <v>1.263071298938429</v>
      </c>
      <c r="AS39" s="31" t="n">
        <v>14.1340195659241</v>
      </c>
      <c r="AT39" s="31" t="n">
        <v>0.8034109615033584</v>
      </c>
      <c r="AU39" s="31" t="n">
        <v>0.09531451637792861</v>
      </c>
      <c r="AV39" s="31" t="n">
        <v>4.664175524484677</v>
      </c>
      <c r="AW39" s="31" t="n">
        <v>93.44108142265108</v>
      </c>
      <c r="AX39" s="31" t="n">
        <v>280.926159628305</v>
      </c>
      <c r="AY39" s="31" t="n">
        <v>-2.655235438976761</v>
      </c>
      <c r="AZ39" s="31" t="n">
        <v>-3.208913230952034</v>
      </c>
      <c r="BA39" s="31" t="n">
        <v>-28.69883369871136</v>
      </c>
      <c r="BB39" s="31" t="n">
        <v>-1.397692952236416</v>
      </c>
      <c r="BC39" s="31" t="n">
        <v>3.107605663119181</v>
      </c>
      <c r="BD39" s="31" t="n">
        <v>861.4260614596554</v>
      </c>
      <c r="BE39" s="31" t="n">
        <v>1.152913085200294</v>
      </c>
      <c r="BF39" s="31" t="n">
        <v>6.839989730723622</v>
      </c>
      <c r="BG39" s="31" t="n">
        <v>1.235272558678316</v>
      </c>
      <c r="BH39" s="31" t="n">
        <v>4.259258474954972</v>
      </c>
      <c r="BI39" s="31" t="n">
        <v>41.80496554983321</v>
      </c>
      <c r="BJ39" s="31" t="n">
        <v>-0.08163881208622353</v>
      </c>
      <c r="BK39" s="31" t="n">
        <v>168.6268151584609</v>
      </c>
      <c r="BL39" s="31" t="n">
        <v>81.63343904408984</v>
      </c>
      <c r="BM39" s="31" t="n">
        <v>1.295708092548383</v>
      </c>
      <c r="BN39" s="31" t="n">
        <v>84.71656759345696</v>
      </c>
      <c r="BO39" s="31" t="n">
        <v>112.1116321597375</v>
      </c>
      <c r="BP39" s="31" t="n">
        <v>2.240242983707928</v>
      </c>
      <c r="BQ39" s="31" t="n">
        <v>85.89019336219381</v>
      </c>
      <c r="BR39" s="31" t="n">
        <v>0</v>
      </c>
      <c r="BS39" s="31">
        <f>SUM(C39:BR39)</f>
        <v/>
      </c>
      <c r="BT39" s="31" t="n">
        <v>0</v>
      </c>
      <c r="BU39" s="31" t="n">
        <v>0</v>
      </c>
      <c r="BV39" s="31" t="n">
        <v>0</v>
      </c>
      <c r="BW39" s="31" t="n">
        <v>0</v>
      </c>
      <c r="BX39" s="31">
        <f>SUM(BT39:BW39)</f>
        <v/>
      </c>
      <c r="BY39" s="31">
        <f>BS39+BX39</f>
        <v/>
      </c>
    </row>
    <row r="40">
      <c r="A40" s="28" t="inlineStr">
        <is>
          <t>2491</t>
        </is>
      </c>
      <c r="B40" s="28" t="inlineStr">
        <is>
          <t>Produção de ferro-gusa/ferroligas, siderurgia e tubos de aço sem costura</t>
        </is>
      </c>
      <c r="C40" s="29" t="n">
        <v>58.42732280724509</v>
      </c>
      <c r="D40" s="29" t="n">
        <v>94.88720592924462</v>
      </c>
      <c r="E40" s="29" t="n">
        <v>4.628519499043381</v>
      </c>
      <c r="F40" s="29" t="n">
        <v>30.32372191938899</v>
      </c>
      <c r="G40" s="29" t="n">
        <v>574.3798796239691</v>
      </c>
      <c r="H40" s="29" t="n">
        <v>18.39187940646453</v>
      </c>
      <c r="I40" s="29" t="n">
        <v>44.02680900560076</v>
      </c>
      <c r="J40" s="29" t="n">
        <v>79.04176449167291</v>
      </c>
      <c r="K40" s="29" t="n">
        <v>1.771584585427263</v>
      </c>
      <c r="L40" s="29" t="n">
        <v>43.92851245277842</v>
      </c>
      <c r="M40" s="29" t="n">
        <v>56.88486405214726</v>
      </c>
      <c r="N40" s="29" t="n">
        <v>0.07281848428028073</v>
      </c>
      <c r="O40" s="29" t="n">
        <v>1.683084135444392</v>
      </c>
      <c r="P40" s="29" t="n">
        <v>0.917228040766389</v>
      </c>
      <c r="Q40" s="29" t="n">
        <v>0.9552248787788342</v>
      </c>
      <c r="R40" s="29" t="n">
        <v>7.515480923152613</v>
      </c>
      <c r="S40" s="29" t="n">
        <v>41.71711611387867</v>
      </c>
      <c r="T40" s="29" t="n">
        <v>3.110012704216811</v>
      </c>
      <c r="U40" s="29" t="n">
        <v>26.31505599025362</v>
      </c>
      <c r="V40" s="29" t="n">
        <v>1.638568851178904</v>
      </c>
      <c r="W40" s="29" t="n">
        <v>32.49509553186747</v>
      </c>
      <c r="X40" s="29" t="n">
        <v>23.14939451600751</v>
      </c>
      <c r="Y40" s="29" t="n">
        <v>19.02961204902195</v>
      </c>
      <c r="Z40" s="29" t="n">
        <v>4.062261370217046</v>
      </c>
      <c r="AA40" s="29" t="n">
        <v>219.3365856904522</v>
      </c>
      <c r="AB40" s="29" t="n">
        <v>250.436510824625</v>
      </c>
      <c r="AC40" s="29" t="n">
        <v>2305.839180872652</v>
      </c>
      <c r="AD40" s="29" t="n">
        <v>261.62883737849</v>
      </c>
      <c r="AE40" s="29" t="n">
        <v>5322.159922857387</v>
      </c>
      <c r="AF40" s="29" t="n">
        <v>31.14991995739556</v>
      </c>
      <c r="AG40" s="29" t="n">
        <v>885.3535150116246</v>
      </c>
      <c r="AH40" s="29" t="n">
        <v>2829.380105585934</v>
      </c>
      <c r="AI40" s="29" t="n">
        <v>2053.031233599551</v>
      </c>
      <c r="AJ40" s="29" t="n">
        <v>2023.206081914265</v>
      </c>
      <c r="AK40" s="29" t="n">
        <v>516.5289898800727</v>
      </c>
      <c r="AL40" s="29" t="n">
        <v>373.0726233081349</v>
      </c>
      <c r="AM40" s="29" t="n">
        <v>357.6059695940704</v>
      </c>
      <c r="AN40" s="29" t="n">
        <v>108.9145725001953</v>
      </c>
      <c r="AO40" s="29" t="n">
        <v>35.29346371785315</v>
      </c>
      <c r="AP40" s="29" t="n">
        <v>6071.688847327341</v>
      </c>
      <c r="AQ40" s="29" t="n">
        <v>11.1306959796998</v>
      </c>
      <c r="AR40" s="29" t="n">
        <v>336.95006972664</v>
      </c>
      <c r="AS40" s="29" t="n">
        <v>15.097378016206</v>
      </c>
      <c r="AT40" s="29" t="n">
        <v>1.464425726221046</v>
      </c>
      <c r="AU40" s="29" t="n">
        <v>0.882565503708003</v>
      </c>
      <c r="AV40" s="29" t="n">
        <v>6.60197466455199</v>
      </c>
      <c r="AW40" s="29" t="n">
        <v>2.81865854170377</v>
      </c>
      <c r="AX40" s="29" t="n">
        <v>31.10449473941966</v>
      </c>
      <c r="AY40" s="29" t="n">
        <v>0.2635701510588679</v>
      </c>
      <c r="AZ40" s="29" t="n">
        <v>-0.1722204903225189</v>
      </c>
      <c r="BA40" s="29" t="n">
        <v>-1.947511850908523</v>
      </c>
      <c r="BB40" s="29" t="n">
        <v>5.778605043803733</v>
      </c>
      <c r="BC40" s="29" t="n">
        <v>2.213398831075171</v>
      </c>
      <c r="BD40" s="29" t="n">
        <v>6.981701311575393</v>
      </c>
      <c r="BE40" s="29" t="n">
        <v>2.877627821113315</v>
      </c>
      <c r="BF40" s="29" t="n">
        <v>8.227263294787289</v>
      </c>
      <c r="BG40" s="29" t="n">
        <v>0.3682003130679123</v>
      </c>
      <c r="BH40" s="29" t="n">
        <v>74.07868866062503</v>
      </c>
      <c r="BI40" s="29" t="n">
        <v>10.64519457756289</v>
      </c>
      <c r="BJ40" s="29" t="n">
        <v>1.544021980942136</v>
      </c>
      <c r="BK40" s="29" t="n">
        <v>56.34479389370787</v>
      </c>
      <c r="BL40" s="29" t="n">
        <v>12.95339607621608</v>
      </c>
      <c r="BM40" s="29" t="n">
        <v>1.296839677540906</v>
      </c>
      <c r="BN40" s="29" t="n">
        <v>7.559995334105694</v>
      </c>
      <c r="BO40" s="29" t="n">
        <v>2.56093402746858</v>
      </c>
      <c r="BP40" s="29" t="n">
        <v>2.126069526490342</v>
      </c>
      <c r="BQ40" s="29" t="n">
        <v>3.769761030787775</v>
      </c>
      <c r="BR40" s="29" t="n">
        <v>0</v>
      </c>
      <c r="BS40" s="29">
        <f>SUM(C40:BR40)</f>
        <v/>
      </c>
      <c r="BT40" s="29" t="n">
        <v>0</v>
      </c>
      <c r="BU40" s="29" t="n">
        <v>0</v>
      </c>
      <c r="BV40" s="29" t="n">
        <v>0</v>
      </c>
      <c r="BW40" s="29" t="n">
        <v>0</v>
      </c>
      <c r="BX40" s="29">
        <f>SUM(BT40:BW40)</f>
        <v/>
      </c>
      <c r="BY40" s="29">
        <f>BS40+BX40</f>
        <v/>
      </c>
    </row>
    <row r="41">
      <c r="A41" s="30" t="inlineStr">
        <is>
          <t>2492</t>
        </is>
      </c>
      <c r="B41" s="30" t="inlineStr">
        <is>
          <t>Metalurgia de metais não-ferrosos e a fundição de metais</t>
        </is>
      </c>
      <c r="C41" s="31" t="n">
        <v>104.7194035858459</v>
      </c>
      <c r="D41" s="31" t="n">
        <v>23.38447168555878</v>
      </c>
      <c r="E41" s="31" t="n">
        <v>1.509374675595933</v>
      </c>
      <c r="F41" s="31" t="n">
        <v>3.858138397425512</v>
      </c>
      <c r="G41" s="31" t="n">
        <v>41.66933545894832</v>
      </c>
      <c r="H41" s="31" t="n">
        <v>8.96688474624673</v>
      </c>
      <c r="I41" s="31" t="n">
        <v>34.37094349504264</v>
      </c>
      <c r="J41" s="31" t="n">
        <v>112.9549058057371</v>
      </c>
      <c r="K41" s="31" t="n">
        <v>2.688433127397703</v>
      </c>
      <c r="L41" s="31" t="n">
        <v>189.6117613606065</v>
      </c>
      <c r="M41" s="31" t="n">
        <v>9.86334688954045</v>
      </c>
      <c r="N41" s="31" t="n">
        <v>-0.1129572163680715</v>
      </c>
      <c r="O41" s="31" t="n">
        <v>4.641294409082413</v>
      </c>
      <c r="P41" s="31" t="n">
        <v>-0.2943785945455447</v>
      </c>
      <c r="Q41" s="31" t="n">
        <v>3.930091089651675</v>
      </c>
      <c r="R41" s="31" t="n">
        <v>1.322595739746167</v>
      </c>
      <c r="S41" s="31" t="n">
        <v>138.3330101111414</v>
      </c>
      <c r="T41" s="31" t="n">
        <v>110.366983338303</v>
      </c>
      <c r="U41" s="31" t="n">
        <v>0.3118488634080266</v>
      </c>
      <c r="V41" s="31" t="n">
        <v>0.08855077575573814</v>
      </c>
      <c r="W41" s="31" t="n">
        <v>486.8543154899061</v>
      </c>
      <c r="X41" s="31" t="n">
        <v>143.4161901465125</v>
      </c>
      <c r="Y41" s="31" t="n">
        <v>27.53480476593756</v>
      </c>
      <c r="Z41" s="31" t="n">
        <v>6.748968633933014</v>
      </c>
      <c r="AA41" s="31" t="n">
        <v>45.29664484517349</v>
      </c>
      <c r="AB41" s="31" t="n">
        <v>80.62154433509397</v>
      </c>
      <c r="AC41" s="31" t="n">
        <v>675.2983039021203</v>
      </c>
      <c r="AD41" s="31" t="n">
        <v>4145.19922145364</v>
      </c>
      <c r="AE41" s="31" t="n">
        <v>1091.935699023115</v>
      </c>
      <c r="AF41" s="31" t="n">
        <v>108.5429241535218</v>
      </c>
      <c r="AG41" s="31" t="n">
        <v>3427.002123524425</v>
      </c>
      <c r="AH41" s="31" t="n">
        <v>979.3322621680442</v>
      </c>
      <c r="AI41" s="31" t="n">
        <v>329.5180489049752</v>
      </c>
      <c r="AJ41" s="31" t="n">
        <v>1901.160148121513</v>
      </c>
      <c r="AK41" s="31" t="n">
        <v>396.9021840016567</v>
      </c>
      <c r="AL41" s="31" t="n">
        <v>937.5031949595517</v>
      </c>
      <c r="AM41" s="31" t="n">
        <v>578.6262633166065</v>
      </c>
      <c r="AN41" s="31" t="n">
        <v>65.15744477512463</v>
      </c>
      <c r="AO41" s="31" t="n">
        <v>62.85963485708775</v>
      </c>
      <c r="AP41" s="31" t="n">
        <v>1892.874909777162</v>
      </c>
      <c r="AQ41" s="31" t="n">
        <v>207.5519929640745</v>
      </c>
      <c r="AR41" s="31" t="n">
        <v>38.22593145026999</v>
      </c>
      <c r="AS41" s="31" t="n">
        <v>30.29294102529197</v>
      </c>
      <c r="AT41" s="31" t="n">
        <v>0.7071878344367423</v>
      </c>
      <c r="AU41" s="31" t="n">
        <v>0.09256923489665592</v>
      </c>
      <c r="AV41" s="31" t="n">
        <v>2.479168596874905</v>
      </c>
      <c r="AW41" s="31" t="n">
        <v>1.073988561462495</v>
      </c>
      <c r="AX41" s="31" t="n">
        <v>5.887478782258875</v>
      </c>
      <c r="AY41" s="31" t="n">
        <v>-0.4114214451317902</v>
      </c>
      <c r="AZ41" s="31" t="n">
        <v>0.01217472642252641</v>
      </c>
      <c r="BA41" s="31" t="n">
        <v>4.092486864473517</v>
      </c>
      <c r="BB41" s="31" t="n">
        <v>0.3531316816284388</v>
      </c>
      <c r="BC41" s="31" t="n">
        <v>2.574504510229553</v>
      </c>
      <c r="BD41" s="31" t="n">
        <v>26.44537670199486</v>
      </c>
      <c r="BE41" s="31" t="n">
        <v>6.911120077462942</v>
      </c>
      <c r="BF41" s="31" t="n">
        <v>1.765057717437249</v>
      </c>
      <c r="BG41" s="31" t="n">
        <v>0.6409424243724106</v>
      </c>
      <c r="BH41" s="31" t="n">
        <v>1.194200622179955</v>
      </c>
      <c r="BI41" s="31" t="n">
        <v>11.33890244593476</v>
      </c>
      <c r="BJ41" s="31" t="n">
        <v>0.2322872056290741</v>
      </c>
      <c r="BK41" s="31" t="n">
        <v>11.79453131833463</v>
      </c>
      <c r="BL41" s="31" t="n">
        <v>3.717979488244412</v>
      </c>
      <c r="BM41" s="31" t="n">
        <v>1.533359473158258</v>
      </c>
      <c r="BN41" s="31" t="n">
        <v>7.017983073402067</v>
      </c>
      <c r="BO41" s="31" t="n">
        <v>18.37962683469154</v>
      </c>
      <c r="BP41" s="31" t="n">
        <v>2.073431756362313</v>
      </c>
      <c r="BQ41" s="31" t="n">
        <v>14.81495861644226</v>
      </c>
      <c r="BR41" s="31" t="n">
        <v>0</v>
      </c>
      <c r="BS41" s="31">
        <f>SUM(C41:BR41)</f>
        <v/>
      </c>
      <c r="BT41" s="31" t="n">
        <v>0</v>
      </c>
      <c r="BU41" s="31" t="n">
        <v>0</v>
      </c>
      <c r="BV41" s="31" t="n">
        <v>0</v>
      </c>
      <c r="BW41" s="31" t="n">
        <v>0</v>
      </c>
      <c r="BX41" s="31">
        <f>SUM(BT41:BW41)</f>
        <v/>
      </c>
      <c r="BY41" s="31">
        <f>BS41+BX41</f>
        <v/>
      </c>
    </row>
    <row r="42">
      <c r="A42" s="28" t="inlineStr">
        <is>
          <t>2500</t>
        </is>
      </c>
      <c r="B42" s="28" t="inlineStr">
        <is>
          <t>Fabricação de produtos de metal, exceto máquinas e equipamentos</t>
        </is>
      </c>
      <c r="C42" s="29" t="n">
        <v>149.2265806964016</v>
      </c>
      <c r="D42" s="29" t="n">
        <v>221.5789387995881</v>
      </c>
      <c r="E42" s="29" t="n">
        <v>18.79586391344486</v>
      </c>
      <c r="F42" s="29" t="n">
        <v>25.48898488517032</v>
      </c>
      <c r="G42" s="29" t="n">
        <v>533.0270823085017</v>
      </c>
      <c r="H42" s="29" t="n">
        <v>226.0779541459482</v>
      </c>
      <c r="I42" s="29" t="n">
        <v>90.91103650567369</v>
      </c>
      <c r="J42" s="29" t="n">
        <v>778.1497173385065</v>
      </c>
      <c r="K42" s="29" t="n">
        <v>29.49565049893995</v>
      </c>
      <c r="L42" s="29" t="n">
        <v>743.3645885048871</v>
      </c>
      <c r="M42" s="29" t="n">
        <v>1388.759191948346</v>
      </c>
      <c r="N42" s="29" t="n">
        <v>5.443257218156487</v>
      </c>
      <c r="O42" s="29" t="n">
        <v>25.30843867525696</v>
      </c>
      <c r="P42" s="29" t="n">
        <v>32.51430466851076</v>
      </c>
      <c r="Q42" s="29" t="n">
        <v>18.00474582399506</v>
      </c>
      <c r="R42" s="29" t="n">
        <v>155.906867650692</v>
      </c>
      <c r="S42" s="29" t="n">
        <v>33.70806727495933</v>
      </c>
      <c r="T42" s="29" t="n">
        <v>19.44097324259469</v>
      </c>
      <c r="U42" s="29" t="n">
        <v>115.4759644689118</v>
      </c>
      <c r="V42" s="29" t="n">
        <v>16.05722817875743</v>
      </c>
      <c r="W42" s="29" t="n">
        <v>148.3926333022643</v>
      </c>
      <c r="X42" s="29" t="n">
        <v>283.5656721208973</v>
      </c>
      <c r="Y42" s="29" t="n">
        <v>352.6299197737977</v>
      </c>
      <c r="Z42" s="29" t="n">
        <v>40.98939098594667</v>
      </c>
      <c r="AA42" s="29" t="n">
        <v>81.06745580099307</v>
      </c>
      <c r="AB42" s="29" t="n">
        <v>88.11714934019666</v>
      </c>
      <c r="AC42" s="29" t="n">
        <v>855.509476108764</v>
      </c>
      <c r="AD42" s="29" t="n">
        <v>107.7550959898776</v>
      </c>
      <c r="AE42" s="29" t="n">
        <v>3160.250496173313</v>
      </c>
      <c r="AF42" s="29" t="n">
        <v>473.2093597861219</v>
      </c>
      <c r="AG42" s="29" t="n">
        <v>942.9137778469083</v>
      </c>
      <c r="AH42" s="29" t="n">
        <v>2545.781365714211</v>
      </c>
      <c r="AI42" s="29" t="n">
        <v>1615.336595452152</v>
      </c>
      <c r="AJ42" s="29" t="n">
        <v>834.0317065363784</v>
      </c>
      <c r="AK42" s="29" t="n">
        <v>1251.332341864033</v>
      </c>
      <c r="AL42" s="29" t="n">
        <v>513.3320715113966</v>
      </c>
      <c r="AM42" s="29" t="n">
        <v>1154.546196948304</v>
      </c>
      <c r="AN42" s="29" t="n">
        <v>966.5962607070624</v>
      </c>
      <c r="AO42" s="29" t="n">
        <v>194.8813369434238</v>
      </c>
      <c r="AP42" s="29" t="n">
        <v>10522.6829766197</v>
      </c>
      <c r="AQ42" s="29" t="n">
        <v>148.4769481130363</v>
      </c>
      <c r="AR42" s="29" t="n">
        <v>478.0300809697862</v>
      </c>
      <c r="AS42" s="29" t="n">
        <v>62.05319103773642</v>
      </c>
      <c r="AT42" s="29" t="n">
        <v>3.332166243017521</v>
      </c>
      <c r="AU42" s="29" t="n">
        <v>0.9080035236922068</v>
      </c>
      <c r="AV42" s="29" t="n">
        <v>11.31853355768465</v>
      </c>
      <c r="AW42" s="29" t="n">
        <v>60.13814460364267</v>
      </c>
      <c r="AX42" s="29" t="n">
        <v>725.4800703947503</v>
      </c>
      <c r="AY42" s="29" t="n">
        <v>5.445444174156385</v>
      </c>
      <c r="AZ42" s="29" t="n">
        <v>1.913096259051634</v>
      </c>
      <c r="BA42" s="29" t="n">
        <v>-15.22518045682709</v>
      </c>
      <c r="BB42" s="29" t="n">
        <v>8.640821391651645</v>
      </c>
      <c r="BC42" s="29" t="n">
        <v>10.21397777186812</v>
      </c>
      <c r="BD42" s="29" t="n">
        <v>144.390493644117</v>
      </c>
      <c r="BE42" s="29" t="n">
        <v>8.67047028619692</v>
      </c>
      <c r="BF42" s="29" t="n">
        <v>16.66842165295505</v>
      </c>
      <c r="BG42" s="29" t="n">
        <v>13.50718841179029</v>
      </c>
      <c r="BH42" s="29" t="n">
        <v>6.808999267416445</v>
      </c>
      <c r="BI42" s="29" t="n">
        <v>112.4373275165591</v>
      </c>
      <c r="BJ42" s="29" t="n">
        <v>31.83957058809733</v>
      </c>
      <c r="BK42" s="29" t="n">
        <v>413.187859088173</v>
      </c>
      <c r="BL42" s="29" t="n">
        <v>47.65531850317679</v>
      </c>
      <c r="BM42" s="29" t="n">
        <v>1.409449146982693</v>
      </c>
      <c r="BN42" s="29" t="n">
        <v>90.59355433341607</v>
      </c>
      <c r="BO42" s="29" t="n">
        <v>64.05378383195742</v>
      </c>
      <c r="BP42" s="29" t="n">
        <v>4.869573645887099</v>
      </c>
      <c r="BQ42" s="29" t="n">
        <v>43.79199249444802</v>
      </c>
      <c r="BR42" s="29" t="n">
        <v>0</v>
      </c>
      <c r="BS42" s="29">
        <f>SUM(C42:BR42)</f>
        <v/>
      </c>
      <c r="BT42" s="29" t="n">
        <v>0</v>
      </c>
      <c r="BU42" s="29" t="n">
        <v>0</v>
      </c>
      <c r="BV42" s="29" t="n">
        <v>0</v>
      </c>
      <c r="BW42" s="29" t="n">
        <v>0</v>
      </c>
      <c r="BX42" s="29">
        <f>SUM(BT42:BW42)</f>
        <v/>
      </c>
      <c r="BY42" s="29">
        <f>BS42+BX42</f>
        <v/>
      </c>
    </row>
    <row r="43">
      <c r="A43" s="30" t="inlineStr">
        <is>
          <t>2600</t>
        </is>
      </c>
      <c r="B43" s="30" t="inlineStr">
        <is>
          <t>Fabricação de equipamentos de informática, produtos eletrônicos e ópticos</t>
        </is>
      </c>
      <c r="C43" s="31" t="n">
        <v>1.860709590868796</v>
      </c>
      <c r="D43" s="31" t="n">
        <v>2.361816444890188</v>
      </c>
      <c r="E43" s="31" t="n">
        <v>0.4685772923571822</v>
      </c>
      <c r="F43" s="31" t="n">
        <v>3.472921663987809</v>
      </c>
      <c r="G43" s="31" t="n">
        <v>379.7069013690162</v>
      </c>
      <c r="H43" s="31" t="n">
        <v>42.62729557434744</v>
      </c>
      <c r="I43" s="31" t="n">
        <v>12.85722913962999</v>
      </c>
      <c r="J43" s="31" t="n">
        <v>1.786904457157729</v>
      </c>
      <c r="K43" s="31" t="n">
        <v>-0.26240660580659</v>
      </c>
      <c r="L43" s="31" t="n">
        <v>-9.702224573852259</v>
      </c>
      <c r="M43" s="31" t="n">
        <v>2.418711319016432</v>
      </c>
      <c r="N43" s="31" t="n">
        <v>-0.6748331242328172</v>
      </c>
      <c r="O43" s="31" t="n">
        <v>-0.7736696512536972</v>
      </c>
      <c r="P43" s="31" t="n">
        <v>10.09956590644509</v>
      </c>
      <c r="Q43" s="31" t="n">
        <v>-0.1579807677378272</v>
      </c>
      <c r="R43" s="31" t="n">
        <v>1.987656733005909</v>
      </c>
      <c r="S43" s="31" t="n">
        <v>-2.441184554696711</v>
      </c>
      <c r="T43" s="31" t="n">
        <v>465.9414654431608</v>
      </c>
      <c r="U43" s="31" t="n">
        <v>-0.9751059873755137</v>
      </c>
      <c r="V43" s="31" t="n">
        <v>-0.6613285483599989</v>
      </c>
      <c r="W43" s="31" t="n">
        <v>0.9859771871132055</v>
      </c>
      <c r="X43" s="31" t="n">
        <v>-1.322216921929087</v>
      </c>
      <c r="Y43" s="31" t="n">
        <v>1.286756558738922</v>
      </c>
      <c r="Z43" s="31" t="n">
        <v>-3.16889855083785</v>
      </c>
      <c r="AA43" s="31" t="n">
        <v>1.907292753070938</v>
      </c>
      <c r="AB43" s="31" t="n">
        <v>2.467499204474373</v>
      </c>
      <c r="AC43" s="31" t="n">
        <v>3.341683551831462</v>
      </c>
      <c r="AD43" s="31" t="n">
        <v>1.955510657095229</v>
      </c>
      <c r="AE43" s="31" t="n">
        <v>1.085825857235227</v>
      </c>
      <c r="AF43" s="31" t="n">
        <v>32019.73966443094</v>
      </c>
      <c r="AG43" s="31" t="n">
        <v>832.6277071063286</v>
      </c>
      <c r="AH43" s="31" t="n">
        <v>1194.945623299233</v>
      </c>
      <c r="AI43" s="31" t="n">
        <v>464.1356866277553</v>
      </c>
      <c r="AJ43" s="31" t="n">
        <v>337.139553635893</v>
      </c>
      <c r="AK43" s="31" t="n">
        <v>124.0166471819153</v>
      </c>
      <c r="AL43" s="31" t="n">
        <v>104.7191308456404</v>
      </c>
      <c r="AM43" s="31" t="n">
        <v>1088.586808163228</v>
      </c>
      <c r="AN43" s="31" t="n">
        <v>323.9860806141048</v>
      </c>
      <c r="AO43" s="31" t="n">
        <v>18.48825578149105</v>
      </c>
      <c r="AP43" s="31" t="n">
        <v>961.2087149228076</v>
      </c>
      <c r="AQ43" s="31" t="n">
        <v>37.34103342835754</v>
      </c>
      <c r="AR43" s="31" t="n">
        <v>262.7821915734151</v>
      </c>
      <c r="AS43" s="31" t="n">
        <v>36.74476293756211</v>
      </c>
      <c r="AT43" s="31" t="n">
        <v>4.670569577270219</v>
      </c>
      <c r="AU43" s="31" t="n">
        <v>6.795613664669554</v>
      </c>
      <c r="AV43" s="31" t="n">
        <v>323.0568841543467</v>
      </c>
      <c r="AW43" s="31" t="n">
        <v>1.424280381526747</v>
      </c>
      <c r="AX43" s="31" t="n">
        <v>1.587340097811672</v>
      </c>
      <c r="AY43" s="31" t="n">
        <v>1.335687571803931</v>
      </c>
      <c r="AZ43" s="31" t="n">
        <v>394.2217636702474</v>
      </c>
      <c r="BA43" s="31" t="n">
        <v>279.6027486174704</v>
      </c>
      <c r="BB43" s="31" t="n">
        <v>2624.868420954059</v>
      </c>
      <c r="BC43" s="31" t="n">
        <v>426.6736219620786</v>
      </c>
      <c r="BD43" s="31" t="n">
        <v>10.16420638168685</v>
      </c>
      <c r="BE43" s="31" t="n">
        <v>398.0652441692199</v>
      </c>
      <c r="BF43" s="31" t="n">
        <v>1625.00135408752</v>
      </c>
      <c r="BG43" s="31" t="n">
        <v>143.8672814778532</v>
      </c>
      <c r="BH43" s="31" t="n">
        <v>54.32615364291922</v>
      </c>
      <c r="BI43" s="31" t="n">
        <v>1264.247803247427</v>
      </c>
      <c r="BJ43" s="31" t="n">
        <v>174.7507578176429</v>
      </c>
      <c r="BK43" s="31" t="n">
        <v>507.004668262056</v>
      </c>
      <c r="BL43" s="31" t="n">
        <v>927.3373537660827</v>
      </c>
      <c r="BM43" s="31" t="n">
        <v>127.6190036504039</v>
      </c>
      <c r="BN43" s="31" t="n">
        <v>406.5123064781239</v>
      </c>
      <c r="BO43" s="31" t="n">
        <v>338.5433284839319</v>
      </c>
      <c r="BP43" s="31" t="n">
        <v>81.30682806883907</v>
      </c>
      <c r="BQ43" s="31" t="n">
        <v>1009.547542638704</v>
      </c>
      <c r="BR43" s="31" t="n">
        <v>0</v>
      </c>
      <c r="BS43" s="31">
        <f>SUM(C43:BR43)</f>
        <v/>
      </c>
      <c r="BT43" s="31" t="n">
        <v>0</v>
      </c>
      <c r="BU43" s="31" t="n">
        <v>0</v>
      </c>
      <c r="BV43" s="31" t="n">
        <v>0</v>
      </c>
      <c r="BW43" s="31" t="n">
        <v>0</v>
      </c>
      <c r="BX43" s="31">
        <f>SUM(BT43:BW43)</f>
        <v/>
      </c>
      <c r="BY43" s="31">
        <f>BS43+BX43</f>
        <v/>
      </c>
    </row>
    <row r="44">
      <c r="A44" s="28" t="inlineStr">
        <is>
          <t>2700</t>
        </is>
      </c>
      <c r="B44" s="28" t="inlineStr">
        <is>
          <t>Fabricação de máquinas e equipamentos elétricos</t>
        </is>
      </c>
      <c r="C44" s="29" t="n">
        <v>26.61657065811201</v>
      </c>
      <c r="D44" s="29" t="n">
        <v>56.40188843514856</v>
      </c>
      <c r="E44" s="29" t="n">
        <v>3.489625899529665</v>
      </c>
      <c r="F44" s="29" t="n">
        <v>14.01540292825783</v>
      </c>
      <c r="G44" s="29" t="n">
        <v>144.6777184480254</v>
      </c>
      <c r="H44" s="29" t="n">
        <v>35.91227670636229</v>
      </c>
      <c r="I44" s="29" t="n">
        <v>15.51502605646134</v>
      </c>
      <c r="J44" s="29" t="n">
        <v>-42.45193317552347</v>
      </c>
      <c r="K44" s="29" t="n">
        <v>9.418096296938435</v>
      </c>
      <c r="L44" s="29" t="n">
        <v>6.511561903243123</v>
      </c>
      <c r="M44" s="29" t="n">
        <v>26.4694565819303</v>
      </c>
      <c r="N44" s="29" t="n">
        <v>-1.275039345855718</v>
      </c>
      <c r="O44" s="29" t="n">
        <v>17.28436568583806</v>
      </c>
      <c r="P44" s="29" t="n">
        <v>-5.317446416460145</v>
      </c>
      <c r="Q44" s="29" t="n">
        <v>-6.677851939829333</v>
      </c>
      <c r="R44" s="29" t="n">
        <v>11.47624998555913</v>
      </c>
      <c r="S44" s="29" t="n">
        <v>13.16609574839777</v>
      </c>
      <c r="T44" s="29" t="n">
        <v>12.61685807447832</v>
      </c>
      <c r="U44" s="29" t="n">
        <v>-2.693327360972142</v>
      </c>
      <c r="V44" s="29" t="n">
        <v>-0.9363339087740981</v>
      </c>
      <c r="W44" s="29" t="n">
        <v>49.27861786445791</v>
      </c>
      <c r="X44" s="29" t="n">
        <v>0.4939803561236104</v>
      </c>
      <c r="Y44" s="29" t="n">
        <v>12.30485622772919</v>
      </c>
      <c r="Z44" s="29" t="n">
        <v>-9.9476484428499</v>
      </c>
      <c r="AA44" s="29" t="n">
        <v>43.82097047071433</v>
      </c>
      <c r="AB44" s="29" t="n">
        <v>72.75640492239279</v>
      </c>
      <c r="AC44" s="29" t="n">
        <v>12.47589868029062</v>
      </c>
      <c r="AD44" s="29" t="n">
        <v>72.58685536886995</v>
      </c>
      <c r="AE44" s="29" t="n">
        <v>49.79205120311333</v>
      </c>
      <c r="AF44" s="29" t="n">
        <v>1574.517829381234</v>
      </c>
      <c r="AG44" s="29" t="n">
        <v>5330.111414386482</v>
      </c>
      <c r="AH44" s="29" t="n">
        <v>2025.329284686752</v>
      </c>
      <c r="AI44" s="29" t="n">
        <v>816.0414119491254</v>
      </c>
      <c r="AJ44" s="29" t="n">
        <v>610.9208564175512</v>
      </c>
      <c r="AK44" s="29" t="n">
        <v>302.5507766114713</v>
      </c>
      <c r="AL44" s="29" t="n">
        <v>159.1275618892227</v>
      </c>
      <c r="AM44" s="29" t="n">
        <v>1397.763464445022</v>
      </c>
      <c r="AN44" s="29" t="n">
        <v>3571.969271902595</v>
      </c>
      <c r="AO44" s="29" t="n">
        <v>114.7266544424631</v>
      </c>
      <c r="AP44" s="29" t="n">
        <v>6821.397063353345</v>
      </c>
      <c r="AQ44" s="29" t="n">
        <v>297.9204651873657</v>
      </c>
      <c r="AR44" s="29" t="n">
        <v>488.0592299764847</v>
      </c>
      <c r="AS44" s="29" t="n">
        <v>689.892321740769</v>
      </c>
      <c r="AT44" s="29" t="n">
        <v>10.83087708644436</v>
      </c>
      <c r="AU44" s="29" t="n">
        <v>0.5961370438535496</v>
      </c>
      <c r="AV44" s="29" t="n">
        <v>50.2736899351842</v>
      </c>
      <c r="AW44" s="29" t="n">
        <v>20.90327050821887</v>
      </c>
      <c r="AX44" s="29" t="n">
        <v>19.77051113431038</v>
      </c>
      <c r="AY44" s="29" t="n">
        <v>-2.170791262695451</v>
      </c>
      <c r="AZ44" s="29" t="n">
        <v>31.062355413075</v>
      </c>
      <c r="BA44" s="29" t="n">
        <v>489.0493395458948</v>
      </c>
      <c r="BB44" s="29" t="n">
        <v>12.38030518117073</v>
      </c>
      <c r="BC44" s="29" t="n">
        <v>27.92396362400127</v>
      </c>
      <c r="BD44" s="29" t="n">
        <v>283.265177508608</v>
      </c>
      <c r="BE44" s="29" t="n">
        <v>369.0618119024507</v>
      </c>
      <c r="BF44" s="29" t="n">
        <v>54.07080834748799</v>
      </c>
      <c r="BG44" s="29" t="n">
        <v>23.64568192214671</v>
      </c>
      <c r="BH44" s="29" t="n">
        <v>20.36595626045465</v>
      </c>
      <c r="BI44" s="29" t="n">
        <v>364.5978963502193</v>
      </c>
      <c r="BJ44" s="29" t="n">
        <v>1.819544732341113</v>
      </c>
      <c r="BK44" s="29" t="n">
        <v>67.97772281787908</v>
      </c>
      <c r="BL44" s="29" t="n">
        <v>42.31077367555199</v>
      </c>
      <c r="BM44" s="29" t="n">
        <v>0.6345256957708496</v>
      </c>
      <c r="BN44" s="29" t="n">
        <v>14.74731697276965</v>
      </c>
      <c r="BO44" s="29" t="n">
        <v>11.29851850064223</v>
      </c>
      <c r="BP44" s="29" t="n">
        <v>39.4454629130047</v>
      </c>
      <c r="BQ44" s="29" t="n">
        <v>654.1423748878917</v>
      </c>
      <c r="BR44" s="29" t="n">
        <v>0</v>
      </c>
      <c r="BS44" s="29">
        <f>SUM(C44:BR44)</f>
        <v/>
      </c>
      <c r="BT44" s="29" t="n">
        <v>0</v>
      </c>
      <c r="BU44" s="29" t="n">
        <v>0</v>
      </c>
      <c r="BV44" s="29" t="n">
        <v>0</v>
      </c>
      <c r="BW44" s="29" t="n">
        <v>0</v>
      </c>
      <c r="BX44" s="29">
        <f>SUM(BT44:BW44)</f>
        <v/>
      </c>
      <c r="BY44" s="29">
        <f>BS44+BX44</f>
        <v/>
      </c>
    </row>
    <row r="45">
      <c r="A45" s="30" t="inlineStr">
        <is>
          <t>2800</t>
        </is>
      </c>
      <c r="B45" s="30" t="inlineStr">
        <is>
          <t>Fabricação de máquinas e equipamentos mecânicos</t>
        </is>
      </c>
      <c r="C45" s="31" t="n">
        <v>15.77818592675433</v>
      </c>
      <c r="D45" s="31" t="n">
        <v>25.4981195189469</v>
      </c>
      <c r="E45" s="31" t="n">
        <v>5.519529792742762</v>
      </c>
      <c r="F45" s="31" t="n">
        <v>111.879656525058</v>
      </c>
      <c r="G45" s="31" t="n">
        <v>2029.747019191583</v>
      </c>
      <c r="H45" s="31" t="n">
        <v>1524.058806676424</v>
      </c>
      <c r="I45" s="31" t="n">
        <v>500.1061674075029</v>
      </c>
      <c r="J45" s="31" t="n">
        <v>-118.3742342924442</v>
      </c>
      <c r="K45" s="31" t="n">
        <v>-4.729168979023544</v>
      </c>
      <c r="L45" s="31" t="n">
        <v>-59.80408070127576</v>
      </c>
      <c r="M45" s="31" t="n">
        <v>36.16946409080019</v>
      </c>
      <c r="N45" s="31" t="n">
        <v>-4.252467152875322</v>
      </c>
      <c r="O45" s="31" t="n">
        <v>-11.03414780540343</v>
      </c>
      <c r="P45" s="31" t="n">
        <v>-13.56565638634783</v>
      </c>
      <c r="Q45" s="31" t="n">
        <v>-19.20785485383031</v>
      </c>
      <c r="R45" s="31" t="n">
        <v>45.26422616130274</v>
      </c>
      <c r="S45" s="31" t="n">
        <v>-25.9570348306885</v>
      </c>
      <c r="T45" s="31" t="n">
        <v>12.46496508792794</v>
      </c>
      <c r="U45" s="31" t="n">
        <v>-2.670986351448457</v>
      </c>
      <c r="V45" s="31" t="n">
        <v>-5.959254486551948</v>
      </c>
      <c r="W45" s="31" t="n">
        <v>6.069836987034202</v>
      </c>
      <c r="X45" s="31" t="n">
        <v>-9.523497795994425</v>
      </c>
      <c r="Y45" s="31" t="n">
        <v>12.03798299096617</v>
      </c>
      <c r="Z45" s="31" t="n">
        <v>-25.37956408794202</v>
      </c>
      <c r="AA45" s="31" t="n">
        <v>38.02312961127498</v>
      </c>
      <c r="AB45" s="31" t="n">
        <v>-5.623283582543796</v>
      </c>
      <c r="AC45" s="31" t="n">
        <v>23.33151917294674</v>
      </c>
      <c r="AD45" s="31" t="n">
        <v>25.33029271037444</v>
      </c>
      <c r="AE45" s="31" t="n">
        <v>100.9300958781242</v>
      </c>
      <c r="AF45" s="31" t="n">
        <v>143.9193963909745</v>
      </c>
      <c r="AG45" s="31" t="n">
        <v>498.7084008018777</v>
      </c>
      <c r="AH45" s="31" t="n">
        <v>13430.63057774923</v>
      </c>
      <c r="AI45" s="31" t="n">
        <v>1651.566038266603</v>
      </c>
      <c r="AJ45" s="31" t="n">
        <v>195.3344023610481</v>
      </c>
      <c r="AK45" s="31" t="n">
        <v>749.2346945780533</v>
      </c>
      <c r="AL45" s="31" t="n">
        <v>22.64400702298357</v>
      </c>
      <c r="AM45" s="31" t="n">
        <v>5537.905820378645</v>
      </c>
      <c r="AN45" s="31" t="n">
        <v>127.3187990101529</v>
      </c>
      <c r="AO45" s="31" t="n">
        <v>56.86071559655868</v>
      </c>
      <c r="AP45" s="31" t="n">
        <v>3348.857424741221</v>
      </c>
      <c r="AQ45" s="31" t="n">
        <v>406.83864768762</v>
      </c>
      <c r="AR45" s="31" t="n">
        <v>183.4684251465723</v>
      </c>
      <c r="AS45" s="31" t="n">
        <v>183.350485787179</v>
      </c>
      <c r="AT45" s="31" t="n">
        <v>85.13412193290183</v>
      </c>
      <c r="AU45" s="31" t="n">
        <v>3.719409224180382</v>
      </c>
      <c r="AV45" s="31" t="n">
        <v>135.7230237576929</v>
      </c>
      <c r="AW45" s="31" t="n">
        <v>6.363991267195225</v>
      </c>
      <c r="AX45" s="31" t="n">
        <v>20.05263997470601</v>
      </c>
      <c r="AY45" s="31" t="n">
        <v>-10.40812169057894</v>
      </c>
      <c r="AZ45" s="31" t="n">
        <v>-10.00991632269344</v>
      </c>
      <c r="BA45" s="31" t="n">
        <v>-36.94936559633418</v>
      </c>
      <c r="BB45" s="31" t="n">
        <v>2.60645682825924</v>
      </c>
      <c r="BC45" s="31" t="n">
        <v>5.170169990391217</v>
      </c>
      <c r="BD45" s="31" t="n">
        <v>11.85765364358074</v>
      </c>
      <c r="BE45" s="31" t="n">
        <v>4.92941729736441</v>
      </c>
      <c r="BF45" s="31" t="n">
        <v>54.80416196393385</v>
      </c>
      <c r="BG45" s="31" t="n">
        <v>-0.65726532377652</v>
      </c>
      <c r="BH45" s="31" t="n">
        <v>8.021575557948257</v>
      </c>
      <c r="BI45" s="31" t="n">
        <v>801.5587989730965</v>
      </c>
      <c r="BJ45" s="31" t="n">
        <v>0.5675930899169226</v>
      </c>
      <c r="BK45" s="31" t="n">
        <v>78.49825945713275</v>
      </c>
      <c r="BL45" s="31" t="n">
        <v>20.2844675239082</v>
      </c>
      <c r="BM45" s="31" t="n">
        <v>0.3450488850484716</v>
      </c>
      <c r="BN45" s="31" t="n">
        <v>95.85903132582634</v>
      </c>
      <c r="BO45" s="31" t="n">
        <v>21.58276732031241</v>
      </c>
      <c r="BP45" s="31" t="n">
        <v>4.569752653755087</v>
      </c>
      <c r="BQ45" s="31" t="n">
        <v>29.03356427216915</v>
      </c>
      <c r="BR45" s="31" t="n">
        <v>0</v>
      </c>
      <c r="BS45" s="31">
        <f>SUM(C45:BR45)</f>
        <v/>
      </c>
      <c r="BT45" s="31" t="n">
        <v>0</v>
      </c>
      <c r="BU45" s="31" t="n">
        <v>0</v>
      </c>
      <c r="BV45" s="31" t="n">
        <v>0</v>
      </c>
      <c r="BW45" s="31" t="n">
        <v>0</v>
      </c>
      <c r="BX45" s="31">
        <f>SUM(BT45:BW45)</f>
        <v/>
      </c>
      <c r="BY45" s="31">
        <f>BS45+BX45</f>
        <v/>
      </c>
    </row>
    <row r="46">
      <c r="A46" s="28" t="inlineStr">
        <is>
          <t>2991</t>
        </is>
      </c>
      <c r="B46" s="28" t="inlineStr">
        <is>
          <t>Fabricação de automóveis, caminhões e ônibus, exceto peças</t>
        </is>
      </c>
      <c r="C46" s="29" t="n">
        <v>-2.401132424904765</v>
      </c>
      <c r="D46" s="29" t="n">
        <v>1.454802965557124</v>
      </c>
      <c r="E46" s="29" t="n">
        <v>-0.37544488821002</v>
      </c>
      <c r="F46" s="29" t="n">
        <v>-1.412317080289578</v>
      </c>
      <c r="G46" s="29" t="n">
        <v>11.94310590985724</v>
      </c>
      <c r="H46" s="29" t="n">
        <v>-4.940547113586129</v>
      </c>
      <c r="I46" s="29" t="n">
        <v>1.030632924328129</v>
      </c>
      <c r="J46" s="29" t="n">
        <v>1.739865733634681</v>
      </c>
      <c r="K46" s="29" t="n">
        <v>19.10128156978336</v>
      </c>
      <c r="L46" s="29" t="n">
        <v>2.544473327712619</v>
      </c>
      <c r="M46" s="29" t="n">
        <v>2.407515638667246</v>
      </c>
      <c r="N46" s="29" t="n">
        <v>0.0372423802697225</v>
      </c>
      <c r="O46" s="29" t="n">
        <v>0.4854742256180761</v>
      </c>
      <c r="P46" s="29" t="n">
        <v>0.1298880261326767</v>
      </c>
      <c r="Q46" s="29" t="n">
        <v>0.08902163929569469</v>
      </c>
      <c r="R46" s="29" t="n">
        <v>0.7730275496079899</v>
      </c>
      <c r="S46" s="29" t="n">
        <v>0.9736146011651151</v>
      </c>
      <c r="T46" s="29" t="n">
        <v>0.2146899833364778</v>
      </c>
      <c r="U46" s="29" t="n">
        <v>0.2372224618805113</v>
      </c>
      <c r="V46" s="29" t="n">
        <v>0.03639921527122952</v>
      </c>
      <c r="W46" s="29" t="n">
        <v>1.730671324232041</v>
      </c>
      <c r="X46" s="29" t="n">
        <v>7.603553879784016</v>
      </c>
      <c r="Y46" s="29" t="n">
        <v>0.7852080157976313</v>
      </c>
      <c r="Z46" s="29" t="n">
        <v>-0.6282255563891225</v>
      </c>
      <c r="AA46" s="29" t="n">
        <v>-2.209630491833457</v>
      </c>
      <c r="AB46" s="29" t="n">
        <v>-3.243370783185588</v>
      </c>
      <c r="AC46" s="29" t="n">
        <v>1.812329105324275</v>
      </c>
      <c r="AD46" s="29" t="n">
        <v>0.2197342861016687</v>
      </c>
      <c r="AE46" s="29" t="n">
        <v>5.061388732566109</v>
      </c>
      <c r="AF46" s="29" t="n">
        <v>17.65905401959407</v>
      </c>
      <c r="AG46" s="29" t="n">
        <v>106.8403147322902</v>
      </c>
      <c r="AH46" s="29" t="n">
        <v>59.26705415514702</v>
      </c>
      <c r="AI46" s="29" t="n">
        <v>3238.092124339941</v>
      </c>
      <c r="AJ46" s="29" t="n">
        <v>104.4245469246188</v>
      </c>
      <c r="AK46" s="29" t="n">
        <v>55.80132260530722</v>
      </c>
      <c r="AL46" s="29" t="n">
        <v>3.476395913181365</v>
      </c>
      <c r="AM46" s="29" t="n">
        <v>65.75598886881329</v>
      </c>
      <c r="AN46" s="29" t="n">
        <v>73.64697136255114</v>
      </c>
      <c r="AO46" s="29" t="n">
        <v>-11.08726859627674</v>
      </c>
      <c r="AP46" s="29" t="n">
        <v>179.0626420535903</v>
      </c>
      <c r="AQ46" s="29" t="n">
        <v>238.1732740272216</v>
      </c>
      <c r="AR46" s="29" t="n">
        <v>-56.11838597038787</v>
      </c>
      <c r="AS46" s="29" t="n">
        <v>162.1834254096508</v>
      </c>
      <c r="AT46" s="29" t="n">
        <v>0.731310709773889</v>
      </c>
      <c r="AU46" s="29" t="n">
        <v>0.02710689750179062</v>
      </c>
      <c r="AV46" s="29" t="n">
        <v>-6.703097748398257</v>
      </c>
      <c r="AW46" s="29" t="n">
        <v>0.6328095835895817</v>
      </c>
      <c r="AX46" s="29" t="n">
        <v>-0.4505146222106545</v>
      </c>
      <c r="AY46" s="29" t="n">
        <v>-0.05326057182080542</v>
      </c>
      <c r="AZ46" s="29" t="n">
        <v>-0.3467879303580768</v>
      </c>
      <c r="BA46" s="29" t="n">
        <v>11.68910858793114</v>
      </c>
      <c r="BB46" s="29" t="n">
        <v>0.1809255091176273</v>
      </c>
      <c r="BC46" s="29" t="n">
        <v>-1.599479687550159</v>
      </c>
      <c r="BD46" s="29" t="n">
        <v>6.235190088486349</v>
      </c>
      <c r="BE46" s="29" t="n">
        <v>8.392531911011631</v>
      </c>
      <c r="BF46" s="29" t="n">
        <v>10.01945873638816</v>
      </c>
      <c r="BG46" s="29" t="n">
        <v>0.1188869833867326</v>
      </c>
      <c r="BH46" s="29" t="n">
        <v>-16.86224639356922</v>
      </c>
      <c r="BI46" s="29" t="n">
        <v>11.22597639622841</v>
      </c>
      <c r="BJ46" s="29" t="n">
        <v>-3.255928583457145</v>
      </c>
      <c r="BK46" s="29" t="n">
        <v>-15.87165368995062</v>
      </c>
      <c r="BL46" s="29" t="n">
        <v>-3.567004905559858</v>
      </c>
      <c r="BM46" s="29" t="n">
        <v>0.06692588667601028</v>
      </c>
      <c r="BN46" s="29" t="n">
        <v>-21.85254342599319</v>
      </c>
      <c r="BO46" s="29" t="n">
        <v>-13.23210287944697</v>
      </c>
      <c r="BP46" s="29" t="n">
        <v>-0.08130980527029653</v>
      </c>
      <c r="BQ46" s="29" t="n">
        <v>6.628942423928437</v>
      </c>
      <c r="BR46" s="29" t="n">
        <v>0</v>
      </c>
      <c r="BS46" s="29">
        <f>SUM(C46:BR46)</f>
        <v/>
      </c>
      <c r="BT46" s="29" t="n">
        <v>0</v>
      </c>
      <c r="BU46" s="29" t="n">
        <v>0</v>
      </c>
      <c r="BV46" s="29" t="n">
        <v>0</v>
      </c>
      <c r="BW46" s="29" t="n">
        <v>0</v>
      </c>
      <c r="BX46" s="29">
        <f>SUM(BT46:BW46)</f>
        <v/>
      </c>
      <c r="BY46" s="29">
        <f>BS46+BX46</f>
        <v/>
      </c>
    </row>
    <row r="47">
      <c r="A47" s="30" t="inlineStr">
        <is>
          <t>2992</t>
        </is>
      </c>
      <c r="B47" s="30" t="inlineStr">
        <is>
          <t>Fabricação de peças e acessórios para veículos automotores</t>
        </is>
      </c>
      <c r="C47" s="31" t="n">
        <v>7.518562316461718</v>
      </c>
      <c r="D47" s="31" t="n">
        <v>5.582470524405921</v>
      </c>
      <c r="E47" s="31" t="n">
        <v>0.3475385111632538</v>
      </c>
      <c r="F47" s="31" t="n">
        <v>2.274578590584284</v>
      </c>
      <c r="G47" s="31" t="n">
        <v>33.48968090153534</v>
      </c>
      <c r="H47" s="31" t="n">
        <v>22.29433271525911</v>
      </c>
      <c r="I47" s="31" t="n">
        <v>6.950490686035284</v>
      </c>
      <c r="J47" s="31" t="n">
        <v>11.00094334053238</v>
      </c>
      <c r="K47" s="31" t="n">
        <v>1.338846510787035</v>
      </c>
      <c r="L47" s="31" t="n">
        <v>17.03759484674681</v>
      </c>
      <c r="M47" s="31" t="n">
        <v>17.44609097337838</v>
      </c>
      <c r="N47" s="31" t="n">
        <v>0.1417128409236378</v>
      </c>
      <c r="O47" s="31" t="n">
        <v>17.10540360422336</v>
      </c>
      <c r="P47" s="31" t="n">
        <v>3.336965171359887</v>
      </c>
      <c r="Q47" s="31" t="n">
        <v>8.466879715854718</v>
      </c>
      <c r="R47" s="31" t="n">
        <v>2.868090140394542</v>
      </c>
      <c r="S47" s="31" t="n">
        <v>3.913487192510774</v>
      </c>
      <c r="T47" s="31" t="n">
        <v>2.54764747418902</v>
      </c>
      <c r="U47" s="31" t="n">
        <v>1.670724387279452</v>
      </c>
      <c r="V47" s="31" t="n">
        <v>0.3043295800309327</v>
      </c>
      <c r="W47" s="31" t="n">
        <v>5.389111157087193</v>
      </c>
      <c r="X47" s="31" t="n">
        <v>5.330317977886294</v>
      </c>
      <c r="Y47" s="31" t="n">
        <v>6.152296918503229</v>
      </c>
      <c r="Z47" s="31" t="n">
        <v>1.27516341240487</v>
      </c>
      <c r="AA47" s="31" t="n">
        <v>34.00701536432199</v>
      </c>
      <c r="AB47" s="31" t="n">
        <v>10.208177912104</v>
      </c>
      <c r="AC47" s="31" t="n">
        <v>18.03528977808532</v>
      </c>
      <c r="AD47" s="31" t="n">
        <v>4.573524270713831</v>
      </c>
      <c r="AE47" s="31" t="n">
        <v>52.34419142785935</v>
      </c>
      <c r="AF47" s="31" t="n">
        <v>52.02434687356494</v>
      </c>
      <c r="AG47" s="31" t="n">
        <v>72.50158890986619</v>
      </c>
      <c r="AH47" s="31" t="n">
        <v>259.6849579342966</v>
      </c>
      <c r="AI47" s="31" t="n">
        <v>24627.10264622828</v>
      </c>
      <c r="AJ47" s="31" t="n">
        <v>5799.972497336872</v>
      </c>
      <c r="AK47" s="31" t="n">
        <v>82.85595325069224</v>
      </c>
      <c r="AL47" s="31" t="n">
        <v>14.13679075901798</v>
      </c>
      <c r="AM47" s="31" t="n">
        <v>118.9686645113877</v>
      </c>
      <c r="AN47" s="31" t="n">
        <v>44.21397200491855</v>
      </c>
      <c r="AO47" s="31" t="n">
        <v>2.769061016103451</v>
      </c>
      <c r="AP47" s="31" t="n">
        <v>285.2093692850612</v>
      </c>
      <c r="AQ47" s="31" t="n">
        <v>8149.731761497555</v>
      </c>
      <c r="AR47" s="31" t="n">
        <v>19.68151829455457</v>
      </c>
      <c r="AS47" s="31" t="n">
        <v>5939.024927590183</v>
      </c>
      <c r="AT47" s="31" t="n">
        <v>1.627085482672844</v>
      </c>
      <c r="AU47" s="31" t="n">
        <v>3.832184020914346</v>
      </c>
      <c r="AV47" s="31" t="n">
        <v>2.47542320250186</v>
      </c>
      <c r="AW47" s="31" t="n">
        <v>2.835866404438987</v>
      </c>
      <c r="AX47" s="31" t="n">
        <v>9.11942936027253</v>
      </c>
      <c r="AY47" s="31" t="n">
        <v>0.1840402704667147</v>
      </c>
      <c r="AZ47" s="31" t="n">
        <v>0.7462062237785498</v>
      </c>
      <c r="BA47" s="31" t="n">
        <v>6.921621449564778</v>
      </c>
      <c r="BB47" s="31" t="n">
        <v>0.6054994039210843</v>
      </c>
      <c r="BC47" s="31" t="n">
        <v>1.080422134684961</v>
      </c>
      <c r="BD47" s="31" t="n">
        <v>5.495795185286148</v>
      </c>
      <c r="BE47" s="31" t="n">
        <v>5.053094301392101</v>
      </c>
      <c r="BF47" s="31" t="n">
        <v>26.43643543758352</v>
      </c>
      <c r="BG47" s="31" t="n">
        <v>0.4259046102751715</v>
      </c>
      <c r="BH47" s="31" t="n">
        <v>103.4622029067905</v>
      </c>
      <c r="BI47" s="31" t="n">
        <v>20.4046553620046</v>
      </c>
      <c r="BJ47" s="31" t="n">
        <v>0.2470340205043967</v>
      </c>
      <c r="BK47" s="31" t="n">
        <v>521.8084400326671</v>
      </c>
      <c r="BL47" s="31" t="n">
        <v>161.2350019889703</v>
      </c>
      <c r="BM47" s="31" t="n">
        <v>0.5172336654332497</v>
      </c>
      <c r="BN47" s="31" t="n">
        <v>69.72584734277248</v>
      </c>
      <c r="BO47" s="31" t="n">
        <v>1.474520298009506</v>
      </c>
      <c r="BP47" s="31" t="n">
        <v>0.9432901090476516</v>
      </c>
      <c r="BQ47" s="31" t="n">
        <v>10.17519391989156</v>
      </c>
      <c r="BR47" s="31" t="n">
        <v>0</v>
      </c>
      <c r="BS47" s="31">
        <f>SUM(C47:BR47)</f>
        <v/>
      </c>
      <c r="BT47" s="31" t="n">
        <v>0</v>
      </c>
      <c r="BU47" s="31" t="n">
        <v>0</v>
      </c>
      <c r="BV47" s="31" t="n">
        <v>0</v>
      </c>
      <c r="BW47" s="31" t="n">
        <v>0</v>
      </c>
      <c r="BX47" s="31">
        <f>SUM(BT47:BW47)</f>
        <v/>
      </c>
      <c r="BY47" s="31">
        <f>BS47+BX47</f>
        <v/>
      </c>
    </row>
    <row r="48">
      <c r="A48" s="28" t="inlineStr">
        <is>
          <t>3000</t>
        </is>
      </c>
      <c r="B48" s="28" t="inlineStr">
        <is>
          <t>Fabricação de outros equipamentos de transporte, exceto veículos automotores</t>
        </is>
      </c>
      <c r="C48" s="29" t="n">
        <v>0.6296489806185434</v>
      </c>
      <c r="D48" s="29" t="n">
        <v>0.8882996885555083</v>
      </c>
      <c r="E48" s="29" t="n">
        <v>0.1908177771069325</v>
      </c>
      <c r="F48" s="29" t="n">
        <v>0.9157786998704692</v>
      </c>
      <c r="G48" s="29" t="n">
        <v>13.13191315387532</v>
      </c>
      <c r="H48" s="29" t="n">
        <v>8.165939126558708</v>
      </c>
      <c r="I48" s="29" t="n">
        <v>2.812102254180998</v>
      </c>
      <c r="J48" s="29" t="n">
        <v>-24.97056973343392</v>
      </c>
      <c r="K48" s="29" t="n">
        <v>-1.025800173924375</v>
      </c>
      <c r="L48" s="29" t="n">
        <v>-14.33076269576993</v>
      </c>
      <c r="M48" s="29" t="n">
        <v>4.092815886092294</v>
      </c>
      <c r="N48" s="29" t="n">
        <v>-0.8555333744123609</v>
      </c>
      <c r="O48" s="29" t="n">
        <v>-2.551659488119625</v>
      </c>
      <c r="P48" s="29" t="n">
        <v>1.519824177415095</v>
      </c>
      <c r="Q48" s="29" t="n">
        <v>-3.432644640669538</v>
      </c>
      <c r="R48" s="29" t="n">
        <v>-0.08583736636031276</v>
      </c>
      <c r="S48" s="29" t="n">
        <v>-5.73728183709806</v>
      </c>
      <c r="T48" s="29" t="n">
        <v>0.6815683080511005</v>
      </c>
      <c r="U48" s="29" t="n">
        <v>15.5447166092067</v>
      </c>
      <c r="V48" s="29" t="n">
        <v>-1.202986380289323</v>
      </c>
      <c r="W48" s="29" t="n">
        <v>-1.630447613731823</v>
      </c>
      <c r="X48" s="29" t="n">
        <v>-3.333739364690611</v>
      </c>
      <c r="Y48" s="29" t="n">
        <v>0.9887183330048426</v>
      </c>
      <c r="Z48" s="29" t="n">
        <v>-5.057670392507843</v>
      </c>
      <c r="AA48" s="29" t="n">
        <v>-5.089197601993766</v>
      </c>
      <c r="AB48" s="29" t="n">
        <v>-2.472746731577789</v>
      </c>
      <c r="AC48" s="29" t="n">
        <v>1.676123867125686</v>
      </c>
      <c r="AD48" s="29" t="n">
        <v>-0.2488812882033193</v>
      </c>
      <c r="AE48" s="29" t="n">
        <v>4.197689492559989</v>
      </c>
      <c r="AF48" s="29" t="n">
        <v>0.3109897658283521</v>
      </c>
      <c r="AG48" s="29" t="n">
        <v>9.745087563243668</v>
      </c>
      <c r="AH48" s="29" t="n">
        <v>60.40197362875693</v>
      </c>
      <c r="AI48" s="29" t="n">
        <v>18.75017494553554</v>
      </c>
      <c r="AJ48" s="29" t="n">
        <v>6.061805812109773</v>
      </c>
      <c r="AK48" s="29" t="n">
        <v>6505.785450666684</v>
      </c>
      <c r="AL48" s="29" t="n">
        <v>3.965088311209595</v>
      </c>
      <c r="AM48" s="29" t="n">
        <v>895.4307319233606</v>
      </c>
      <c r="AN48" s="29" t="n">
        <v>12.33550876465801</v>
      </c>
      <c r="AO48" s="29" t="n">
        <v>1.848619115402346</v>
      </c>
      <c r="AP48" s="29" t="n">
        <v>64.30236681218329</v>
      </c>
      <c r="AQ48" s="29" t="n">
        <v>87.39665303717098</v>
      </c>
      <c r="AR48" s="29" t="n">
        <v>-16.06161647138358</v>
      </c>
      <c r="AS48" s="29" t="n">
        <v>635.3212348451403</v>
      </c>
      <c r="AT48" s="29" t="n">
        <v>1.206547872086464</v>
      </c>
      <c r="AU48" s="29" t="n">
        <v>0.2631560495337888</v>
      </c>
      <c r="AV48" s="29" t="n">
        <v>3.086375495295801</v>
      </c>
      <c r="AW48" s="29" t="n">
        <v>0.2714979196394917</v>
      </c>
      <c r="AX48" s="29" t="n">
        <v>2.532883147027249</v>
      </c>
      <c r="AY48" s="29" t="n">
        <v>-2.095107396186366</v>
      </c>
      <c r="AZ48" s="29" t="n">
        <v>-2.319839749371849</v>
      </c>
      <c r="BA48" s="29" t="n">
        <v>-16.15249336376246</v>
      </c>
      <c r="BB48" s="29" t="n">
        <v>-0.5909895308096109</v>
      </c>
      <c r="BC48" s="29" t="n">
        <v>0.9088324187053798</v>
      </c>
      <c r="BD48" s="29" t="n">
        <v>1.492072719396912</v>
      </c>
      <c r="BE48" s="29" t="n">
        <v>0.4200597181975987</v>
      </c>
      <c r="BF48" s="29" t="n">
        <v>1.394222420294647</v>
      </c>
      <c r="BG48" s="29" t="n">
        <v>0.310339421709602</v>
      </c>
      <c r="BH48" s="29" t="n">
        <v>2.506896322571656</v>
      </c>
      <c r="BI48" s="29" t="n">
        <v>4.840877847314768</v>
      </c>
      <c r="BJ48" s="29" t="n">
        <v>0.1094969602913036</v>
      </c>
      <c r="BK48" s="29" t="n">
        <v>167.2118843930274</v>
      </c>
      <c r="BL48" s="29" t="n">
        <v>3.867817918598794</v>
      </c>
      <c r="BM48" s="29" t="n">
        <v>0.08281157959985319</v>
      </c>
      <c r="BN48" s="29" t="n">
        <v>8.71832067537645</v>
      </c>
      <c r="BO48" s="29" t="n">
        <v>35.10878916591229</v>
      </c>
      <c r="BP48" s="29" t="n">
        <v>1.004443860355388</v>
      </c>
      <c r="BQ48" s="29" t="n">
        <v>49.0050582535135</v>
      </c>
      <c r="BR48" s="29" t="n">
        <v>0</v>
      </c>
      <c r="BS48" s="29">
        <f>SUM(C48:BR48)</f>
        <v/>
      </c>
      <c r="BT48" s="29" t="n">
        <v>0</v>
      </c>
      <c r="BU48" s="29" t="n">
        <v>0</v>
      </c>
      <c r="BV48" s="29" t="n">
        <v>0</v>
      </c>
      <c r="BW48" s="29" t="n">
        <v>0</v>
      </c>
      <c r="BX48" s="29">
        <f>SUM(BT48:BW48)</f>
        <v/>
      </c>
      <c r="BY48" s="29">
        <f>BS48+BX48</f>
        <v/>
      </c>
    </row>
    <row r="49">
      <c r="A49" s="30" t="inlineStr">
        <is>
          <t>3180</t>
        </is>
      </c>
      <c r="B49" s="30" t="inlineStr">
        <is>
          <t>Fabricação de móveis e de produtos de indústrias diversas</t>
        </is>
      </c>
      <c r="C49" s="31" t="n">
        <v>23.43857357589057</v>
      </c>
      <c r="D49" s="31" t="n">
        <v>17.34877327190457</v>
      </c>
      <c r="E49" s="31" t="n">
        <v>11.31813489836502</v>
      </c>
      <c r="F49" s="31" t="n">
        <v>3.379437563431874</v>
      </c>
      <c r="G49" s="31" t="n">
        <v>66.07824350387045</v>
      </c>
      <c r="H49" s="31" t="n">
        <v>29.39977991612811</v>
      </c>
      <c r="I49" s="31" t="n">
        <v>6.697266180725632</v>
      </c>
      <c r="J49" s="31" t="n">
        <v>-20.55420716758918</v>
      </c>
      <c r="K49" s="31" t="n">
        <v>4.880575584920378</v>
      </c>
      <c r="L49" s="31" t="n">
        <v>24.95655863709574</v>
      </c>
      <c r="M49" s="31" t="n">
        <v>31.43235738183022</v>
      </c>
      <c r="N49" s="31" t="n">
        <v>-1.217502758654194</v>
      </c>
      <c r="O49" s="31" t="n">
        <v>49.05370363790139</v>
      </c>
      <c r="P49" s="31" t="n">
        <v>1434.299916836667</v>
      </c>
      <c r="Q49" s="31" t="n">
        <v>287.2066130192534</v>
      </c>
      <c r="R49" s="31" t="n">
        <v>16.3492705265775</v>
      </c>
      <c r="S49" s="31" t="n">
        <v>2.254594036562421</v>
      </c>
      <c r="T49" s="31" t="n">
        <v>8.291846015837953</v>
      </c>
      <c r="U49" s="31" t="n">
        <v>1.541584195896676</v>
      </c>
      <c r="V49" s="31" t="n">
        <v>-0.9843622756299251</v>
      </c>
      <c r="W49" s="31" t="n">
        <v>99.54491847233008</v>
      </c>
      <c r="X49" s="31" t="n">
        <v>43.05492533969031</v>
      </c>
      <c r="Y49" s="31" t="n">
        <v>17.07416426891965</v>
      </c>
      <c r="Z49" s="31" t="n">
        <v>58.21002722759548</v>
      </c>
      <c r="AA49" s="31" t="n">
        <v>93.69586858378264</v>
      </c>
      <c r="AB49" s="31" t="n">
        <v>154.7423992210739</v>
      </c>
      <c r="AC49" s="31" t="n">
        <v>7.095746759405615</v>
      </c>
      <c r="AD49" s="31" t="n">
        <v>0.7448151249762348</v>
      </c>
      <c r="AE49" s="31" t="n">
        <v>31.74894507483642</v>
      </c>
      <c r="AF49" s="31" t="n">
        <v>68.89737258558856</v>
      </c>
      <c r="AG49" s="31" t="n">
        <v>29.06075428822889</v>
      </c>
      <c r="AH49" s="31" t="n">
        <v>641.9397204124745</v>
      </c>
      <c r="AI49" s="31" t="n">
        <v>387.826366629737</v>
      </c>
      <c r="AJ49" s="31" t="n">
        <v>346.361986950023</v>
      </c>
      <c r="AK49" s="31" t="n">
        <v>41.54033188543458</v>
      </c>
      <c r="AL49" s="31" t="n">
        <v>2302.645945111867</v>
      </c>
      <c r="AM49" s="31" t="n">
        <v>147.9909132421951</v>
      </c>
      <c r="AN49" s="31" t="n">
        <v>77.57694492021822</v>
      </c>
      <c r="AO49" s="31" t="n">
        <v>36.65255556205879</v>
      </c>
      <c r="AP49" s="31" t="n">
        <v>1121.517678466015</v>
      </c>
      <c r="AQ49" s="31" t="n">
        <v>38.13362549592239</v>
      </c>
      <c r="AR49" s="31" t="n">
        <v>384.9982405282758</v>
      </c>
      <c r="AS49" s="31" t="n">
        <v>106.8745854872663</v>
      </c>
      <c r="AT49" s="31" t="n">
        <v>85.24770309262982</v>
      </c>
      <c r="AU49" s="31" t="n">
        <v>2.090141411219763</v>
      </c>
      <c r="AV49" s="31" t="n">
        <v>156.480814254079</v>
      </c>
      <c r="AW49" s="31" t="n">
        <v>9.161673617469093</v>
      </c>
      <c r="AX49" s="31" t="n">
        <v>18.62599325041852</v>
      </c>
      <c r="AY49" s="31" t="n">
        <v>-2.454183774292972</v>
      </c>
      <c r="AZ49" s="31" t="n">
        <v>51.2621898187586</v>
      </c>
      <c r="BA49" s="31" t="n">
        <v>-26.97003829303296</v>
      </c>
      <c r="BB49" s="31" t="n">
        <v>76.42544718998946</v>
      </c>
      <c r="BC49" s="31" t="n">
        <v>223.7838612603095</v>
      </c>
      <c r="BD49" s="31" t="n">
        <v>142.5618010914924</v>
      </c>
      <c r="BE49" s="31" t="n">
        <v>243.85820756906</v>
      </c>
      <c r="BF49" s="31" t="n">
        <v>429.6003738820833</v>
      </c>
      <c r="BG49" s="31" t="n">
        <v>293.4992708604507</v>
      </c>
      <c r="BH49" s="31" t="n">
        <v>544.1835836176103</v>
      </c>
      <c r="BI49" s="31" t="n">
        <v>195.946229179987</v>
      </c>
      <c r="BJ49" s="31" t="n">
        <v>18.97518500170808</v>
      </c>
      <c r="BK49" s="31" t="n">
        <v>847.8972537963705</v>
      </c>
      <c r="BL49" s="31" t="n">
        <v>991.9810163463853</v>
      </c>
      <c r="BM49" s="31" t="n">
        <v>28.30060924824128</v>
      </c>
      <c r="BN49" s="31" t="n">
        <v>2294.074227149419</v>
      </c>
      <c r="BO49" s="31" t="n">
        <v>10727.60872464049</v>
      </c>
      <c r="BP49" s="31" t="n">
        <v>178.239655387527</v>
      </c>
      <c r="BQ49" s="31" t="n">
        <v>119.2337452266322</v>
      </c>
      <c r="BR49" s="31" t="n">
        <v>0</v>
      </c>
      <c r="BS49" s="31">
        <f>SUM(C49:BR49)</f>
        <v/>
      </c>
      <c r="BT49" s="31" t="n">
        <v>0</v>
      </c>
      <c r="BU49" s="31" t="n">
        <v>0</v>
      </c>
      <c r="BV49" s="31" t="n">
        <v>0</v>
      </c>
      <c r="BW49" s="31" t="n">
        <v>0</v>
      </c>
      <c r="BX49" s="31">
        <f>SUM(BT49:BW49)</f>
        <v/>
      </c>
      <c r="BY49" s="31">
        <f>BS49+BX49</f>
        <v/>
      </c>
    </row>
    <row r="50">
      <c r="A50" s="28" t="inlineStr">
        <is>
          <t>3300</t>
        </is>
      </c>
      <c r="B50" s="28" t="inlineStr">
        <is>
          <t>Manutenção, reparação e instalação de máquinas e equipamentos</t>
        </is>
      </c>
      <c r="C50" s="29" t="n">
        <v>16.28767619916022</v>
      </c>
      <c r="D50" s="29" t="n">
        <v>7.812040364083574</v>
      </c>
      <c r="E50" s="29" t="n">
        <v>20.2455437210468</v>
      </c>
      <c r="F50" s="29" t="n">
        <v>164.0939634912252</v>
      </c>
      <c r="G50" s="29" t="n">
        <v>502.4840350220433</v>
      </c>
      <c r="H50" s="29" t="n">
        <v>231.499481732073</v>
      </c>
      <c r="I50" s="29" t="n">
        <v>155.8909497756331</v>
      </c>
      <c r="J50" s="29" t="n">
        <v>164.6961525680512</v>
      </c>
      <c r="K50" s="29" t="n">
        <v>120.9505433985668</v>
      </c>
      <c r="L50" s="29" t="n">
        <v>85.36788449679423</v>
      </c>
      <c r="M50" s="29" t="n">
        <v>84.1336475127785</v>
      </c>
      <c r="N50" s="29" t="n">
        <v>1.058792155487202</v>
      </c>
      <c r="O50" s="29" t="n">
        <v>30.44773622623609</v>
      </c>
      <c r="P50" s="29" t="n">
        <v>56.20825176288894</v>
      </c>
      <c r="Q50" s="29" t="n">
        <v>31.22545499096591</v>
      </c>
      <c r="R50" s="29" t="n">
        <v>109.4282532660384</v>
      </c>
      <c r="S50" s="29" t="n">
        <v>474.3846082028479</v>
      </c>
      <c r="T50" s="29" t="n">
        <v>270.9155083746053</v>
      </c>
      <c r="U50" s="29" t="n">
        <v>114.5021791498824</v>
      </c>
      <c r="V50" s="29" t="n">
        <v>118.6503678382605</v>
      </c>
      <c r="W50" s="29" t="n">
        <v>212.5565903436999</v>
      </c>
      <c r="X50" s="29" t="n">
        <v>99.63233657600389</v>
      </c>
      <c r="Y50" s="29" t="n">
        <v>32.95557688434722</v>
      </c>
      <c r="Z50" s="29" t="n">
        <v>112.5706307453382</v>
      </c>
      <c r="AA50" s="29" t="n">
        <v>101.7287212269754</v>
      </c>
      <c r="AB50" s="29" t="n">
        <v>563.9808934487769</v>
      </c>
      <c r="AC50" s="29" t="n">
        <v>1477.99207068775</v>
      </c>
      <c r="AD50" s="29" t="n">
        <v>371.9566254168424</v>
      </c>
      <c r="AE50" s="29" t="n">
        <v>152.6989410031413</v>
      </c>
      <c r="AF50" s="29" t="n">
        <v>47.20558626746797</v>
      </c>
      <c r="AG50" s="29" t="n">
        <v>139.3219576899519</v>
      </c>
      <c r="AH50" s="29" t="n">
        <v>426.1276656047601</v>
      </c>
      <c r="AI50" s="29" t="n">
        <v>82.07807492228167</v>
      </c>
      <c r="AJ50" s="29" t="n">
        <v>139.4840812715935</v>
      </c>
      <c r="AK50" s="29" t="n">
        <v>140.4321593635295</v>
      </c>
      <c r="AL50" s="29" t="n">
        <v>145.7083847778506</v>
      </c>
      <c r="AM50" s="29" t="n">
        <v>210.2985543938574</v>
      </c>
      <c r="AN50" s="29" t="n">
        <v>345.510685283804</v>
      </c>
      <c r="AO50" s="29" t="n">
        <v>225.2624679006518</v>
      </c>
      <c r="AP50" s="29" t="n">
        <v>647.9616168716245</v>
      </c>
      <c r="AQ50" s="29" t="n">
        <v>175.0189908816055</v>
      </c>
      <c r="AR50" s="29" t="n">
        <v>808.1451128902506</v>
      </c>
      <c r="AS50" s="29" t="n">
        <v>144.1594015611346</v>
      </c>
      <c r="AT50" s="29" t="n">
        <v>152.7126135872895</v>
      </c>
      <c r="AU50" s="29" t="n">
        <v>78.84464370207348</v>
      </c>
      <c r="AV50" s="29" t="n">
        <v>576.3899715004294</v>
      </c>
      <c r="AW50" s="29" t="n">
        <v>1.730678377990952</v>
      </c>
      <c r="AX50" s="29" t="n">
        <v>51.48236477108305</v>
      </c>
      <c r="AY50" s="29" t="n">
        <v>142.6453937678843</v>
      </c>
      <c r="AZ50" s="29" t="n">
        <v>29.66969968062761</v>
      </c>
      <c r="BA50" s="29" t="n">
        <v>83.77358292111437</v>
      </c>
      <c r="BB50" s="29" t="n">
        <v>175.0844978546691</v>
      </c>
      <c r="BC50" s="29" t="n">
        <v>64.37513569346345</v>
      </c>
      <c r="BD50" s="29" t="n">
        <v>23.32139608692481</v>
      </c>
      <c r="BE50" s="29" t="n">
        <v>168.8997181061576</v>
      </c>
      <c r="BF50" s="29" t="n">
        <v>54.93732731122385</v>
      </c>
      <c r="BG50" s="29" t="n">
        <v>28.54539839130497</v>
      </c>
      <c r="BH50" s="29" t="n">
        <v>202.3803717747104</v>
      </c>
      <c r="BI50" s="29" t="n">
        <v>167.6044320187348</v>
      </c>
      <c r="BJ50" s="29" t="n">
        <v>43.7117097476854</v>
      </c>
      <c r="BK50" s="29" t="n">
        <v>233.8391956393833</v>
      </c>
      <c r="BL50" s="29" t="n">
        <v>28.25000463562236</v>
      </c>
      <c r="BM50" s="29" t="n">
        <v>0.2003630139846503</v>
      </c>
      <c r="BN50" s="29" t="n">
        <v>213.4116249346908</v>
      </c>
      <c r="BO50" s="29" t="n">
        <v>88.00801884558983</v>
      </c>
      <c r="BP50" s="29" t="n">
        <v>128.3795050259306</v>
      </c>
      <c r="BQ50" s="29" t="n">
        <v>109.4708248014263</v>
      </c>
      <c r="BR50" s="29" t="n">
        <v>0</v>
      </c>
      <c r="BS50" s="29">
        <f>SUM(C50:BR50)</f>
        <v/>
      </c>
      <c r="BT50" s="29" t="n">
        <v>0</v>
      </c>
      <c r="BU50" s="29" t="n">
        <v>0</v>
      </c>
      <c r="BV50" s="29" t="n">
        <v>0</v>
      </c>
      <c r="BW50" s="29" t="n">
        <v>0</v>
      </c>
      <c r="BX50" s="29">
        <f>SUM(BT50:BW50)</f>
        <v/>
      </c>
      <c r="BY50" s="29">
        <f>BS50+BX50</f>
        <v/>
      </c>
    </row>
    <row r="51">
      <c r="A51" s="30" t="inlineStr">
        <is>
          <t>3500</t>
        </is>
      </c>
      <c r="B51" s="30" t="inlineStr">
        <is>
          <t>Energia elétrica, gás natural e outras utilidades</t>
        </is>
      </c>
      <c r="C51" s="31" t="n">
        <v>612.4463873294021</v>
      </c>
      <c r="D51" s="31" t="n">
        <v>418.0363007495392</v>
      </c>
      <c r="E51" s="31" t="n">
        <v>34.52239069061762</v>
      </c>
      <c r="F51" s="31" t="n">
        <v>64.48708413815039</v>
      </c>
      <c r="G51" s="31" t="n">
        <v>20.38832794453297</v>
      </c>
      <c r="H51" s="31" t="n">
        <v>112.3201548986931</v>
      </c>
      <c r="I51" s="31" t="n">
        <v>36.74790767553389</v>
      </c>
      <c r="J51" s="31" t="n">
        <v>141.6349482746333</v>
      </c>
      <c r="K51" s="31" t="n">
        <v>6.511897983358642</v>
      </c>
      <c r="L51" s="31" t="n">
        <v>285.2871734921317</v>
      </c>
      <c r="M51" s="31" t="n">
        <v>67.9669996213087</v>
      </c>
      <c r="N51" s="31" t="n">
        <v>5.931609082059635</v>
      </c>
      <c r="O51" s="31" t="n">
        <v>145.2872192820141</v>
      </c>
      <c r="P51" s="31" t="n">
        <v>23.5296373601071</v>
      </c>
      <c r="Q51" s="31" t="n">
        <v>28.16663064542976</v>
      </c>
      <c r="R51" s="31" t="n">
        <v>80.02657856438036</v>
      </c>
      <c r="S51" s="31" t="n">
        <v>199.3052067080977</v>
      </c>
      <c r="T51" s="31" t="n">
        <v>16.18314439831534</v>
      </c>
      <c r="U51" s="31" t="n">
        <v>8.849385009279819</v>
      </c>
      <c r="V51" s="31" t="n">
        <v>12.66445587319046</v>
      </c>
      <c r="W51" s="31" t="n">
        <v>445.4949528308674</v>
      </c>
      <c r="X51" s="31" t="n">
        <v>64.52690951118321</v>
      </c>
      <c r="Y51" s="31" t="n">
        <v>21.30301318823612</v>
      </c>
      <c r="Z51" s="31" t="n">
        <v>28.2496925975574</v>
      </c>
      <c r="AA51" s="31" t="n">
        <v>208.8303227697581</v>
      </c>
      <c r="AB51" s="31" t="n">
        <v>478.2035516601268</v>
      </c>
      <c r="AC51" s="31" t="n">
        <v>300.3268432619901</v>
      </c>
      <c r="AD51" s="31" t="n">
        <v>244.3430492263217</v>
      </c>
      <c r="AE51" s="31" t="n">
        <v>121.2090207215601</v>
      </c>
      <c r="AF51" s="31" t="n">
        <v>17.51457307043232</v>
      </c>
      <c r="AG51" s="31" t="n">
        <v>59.49009190590738</v>
      </c>
      <c r="AH51" s="31" t="n">
        <v>72.76203225478902</v>
      </c>
      <c r="AI51" s="31" t="n">
        <v>57.40491489892482</v>
      </c>
      <c r="AJ51" s="31" t="n">
        <v>121.7901902973029</v>
      </c>
      <c r="AK51" s="31" t="n">
        <v>29.75916862034003</v>
      </c>
      <c r="AL51" s="31" t="n">
        <v>36.26448005771835</v>
      </c>
      <c r="AM51" s="31" t="n">
        <v>20.74262492062796</v>
      </c>
      <c r="AN51" s="31" t="n">
        <v>10159.82518593064</v>
      </c>
      <c r="AO51" s="31" t="n">
        <v>284.6901485295774</v>
      </c>
      <c r="AP51" s="31" t="n">
        <v>62.98145603668211</v>
      </c>
      <c r="AQ51" s="31" t="n">
        <v>129.7532601563763</v>
      </c>
      <c r="AR51" s="31" t="n">
        <v>1690.727633056829</v>
      </c>
      <c r="AS51" s="31" t="n">
        <v>140.7276036960725</v>
      </c>
      <c r="AT51" s="31" t="n">
        <v>4.969652072939959</v>
      </c>
      <c r="AU51" s="31" t="n">
        <v>3.146594648361313</v>
      </c>
      <c r="AV51" s="31" t="n">
        <v>100.839242233566</v>
      </c>
      <c r="AW51" s="31" t="n">
        <v>119.9228077538637</v>
      </c>
      <c r="AX51" s="31" t="n">
        <v>158.1840246942196</v>
      </c>
      <c r="AY51" s="31" t="n">
        <v>16.94962169830114</v>
      </c>
      <c r="AZ51" s="31" t="n">
        <v>39.24512401065734</v>
      </c>
      <c r="BA51" s="31" t="n">
        <v>192.0897602274006</v>
      </c>
      <c r="BB51" s="31" t="n">
        <v>49.86673990106107</v>
      </c>
      <c r="BC51" s="31" t="n">
        <v>206.1831633462933</v>
      </c>
      <c r="BD51" s="31" t="n">
        <v>40.58559477782827</v>
      </c>
      <c r="BE51" s="31" t="n">
        <v>94.44550641378815</v>
      </c>
      <c r="BF51" s="31" t="n">
        <v>29.9394219693882</v>
      </c>
      <c r="BG51" s="31" t="n">
        <v>18.60417409619789</v>
      </c>
      <c r="BH51" s="31" t="n">
        <v>15.39324695510894</v>
      </c>
      <c r="BI51" s="31" t="n">
        <v>563.7327039287539</v>
      </c>
      <c r="BJ51" s="31" t="n">
        <v>8.90870801150847</v>
      </c>
      <c r="BK51" s="31" t="n">
        <v>636.0116381509698</v>
      </c>
      <c r="BL51" s="31" t="n">
        <v>217.8782032634354</v>
      </c>
      <c r="BM51" s="31" t="n">
        <v>214.2291788288336</v>
      </c>
      <c r="BN51" s="31" t="n">
        <v>160.4184076759948</v>
      </c>
      <c r="BO51" s="31" t="n">
        <v>130.8356551907945</v>
      </c>
      <c r="BP51" s="31" t="n">
        <v>92.40035187767781</v>
      </c>
      <c r="BQ51" s="31" t="n">
        <v>321.4958733847193</v>
      </c>
      <c r="BR51" s="31" t="n">
        <v>0</v>
      </c>
      <c r="BS51" s="31">
        <f>SUM(C51:BR51)</f>
        <v/>
      </c>
      <c r="BT51" s="31" t="n">
        <v>0</v>
      </c>
      <c r="BU51" s="31" t="n">
        <v>0</v>
      </c>
      <c r="BV51" s="31" t="n">
        <v>0</v>
      </c>
      <c r="BW51" s="31" t="n">
        <v>0</v>
      </c>
      <c r="BX51" s="31">
        <f>SUM(BT51:BW51)</f>
        <v/>
      </c>
      <c r="BY51" s="31">
        <f>BS51+BX51</f>
        <v/>
      </c>
    </row>
    <row r="52">
      <c r="A52" s="28" t="inlineStr">
        <is>
          <t>3680</t>
        </is>
      </c>
      <c r="B52" s="28" t="inlineStr">
        <is>
          <t>Água, esgoto e gestão de resíduos</t>
        </is>
      </c>
      <c r="C52" s="29" t="n">
        <v>-0.03054380561983706</v>
      </c>
      <c r="D52" s="29" t="n">
        <v>0.03534979243216343</v>
      </c>
      <c r="E52" s="29" t="n">
        <v>0.05219771811470064</v>
      </c>
      <c r="F52" s="29" t="n">
        <v>2.589442472796891</v>
      </c>
      <c r="G52" s="29" t="n">
        <v>2.840223447310784</v>
      </c>
      <c r="H52" s="29" t="n">
        <v>13.58974820636975</v>
      </c>
      <c r="I52" s="29" t="n">
        <v>4.690662186510732</v>
      </c>
      <c r="J52" s="29" t="n">
        <v>10.45731215888425</v>
      </c>
      <c r="K52" s="29" t="n">
        <v>5.015785045897523</v>
      </c>
      <c r="L52" s="29" t="n">
        <v>20.53141054704345</v>
      </c>
      <c r="M52" s="29" t="n">
        <v>40.65675337323415</v>
      </c>
      <c r="N52" s="29" t="n">
        <v>0.07254958206265846</v>
      </c>
      <c r="O52" s="29" t="n">
        <v>4.940388339524473</v>
      </c>
      <c r="P52" s="29" t="n">
        <v>2.322866512919652</v>
      </c>
      <c r="Q52" s="29" t="n">
        <v>1.794761272530039</v>
      </c>
      <c r="R52" s="29" t="n">
        <v>16.8127245916944</v>
      </c>
      <c r="S52" s="29" t="n">
        <v>26.96088836983119</v>
      </c>
      <c r="T52" s="29" t="n">
        <v>0.7848436566117765</v>
      </c>
      <c r="U52" s="29" t="n">
        <v>30.8100862571629</v>
      </c>
      <c r="V52" s="29" t="n">
        <v>1.806648640558754</v>
      </c>
      <c r="W52" s="29" t="n">
        <v>48.70954980969442</v>
      </c>
      <c r="X52" s="29" t="n">
        <v>27.80800259141241</v>
      </c>
      <c r="Y52" s="29" t="n">
        <v>10.26858209601893</v>
      </c>
      <c r="Z52" s="29" t="n">
        <v>5.393635676054918</v>
      </c>
      <c r="AA52" s="29" t="n">
        <v>43.17906663332846</v>
      </c>
      <c r="AB52" s="29" t="n">
        <v>63.19854102245186</v>
      </c>
      <c r="AC52" s="29" t="n">
        <v>336.2570188926812</v>
      </c>
      <c r="AD52" s="29" t="n">
        <v>181.6874131395784</v>
      </c>
      <c r="AE52" s="29" t="n">
        <v>13.67614920652101</v>
      </c>
      <c r="AF52" s="29" t="n">
        <v>2.092041576616719</v>
      </c>
      <c r="AG52" s="29" t="n">
        <v>4.900293777883323</v>
      </c>
      <c r="AH52" s="29" t="n">
        <v>8.646398811153842</v>
      </c>
      <c r="AI52" s="29" t="n">
        <v>8.232873899437276</v>
      </c>
      <c r="AJ52" s="29" t="n">
        <v>22.30705067281433</v>
      </c>
      <c r="AK52" s="29" t="n">
        <v>11.19293415795547</v>
      </c>
      <c r="AL52" s="29" t="n">
        <v>5.790425454257473</v>
      </c>
      <c r="AM52" s="29" t="n">
        <v>2.006613348177581</v>
      </c>
      <c r="AN52" s="29" t="n">
        <v>5.24815781420758</v>
      </c>
      <c r="AO52" s="29" t="n">
        <v>77.31336957103836</v>
      </c>
      <c r="AP52" s="29" t="n">
        <v>24.69988776896737</v>
      </c>
      <c r="AQ52" s="29" t="n">
        <v>28.74032144665258</v>
      </c>
      <c r="AR52" s="29" t="n">
        <v>285.0292495987694</v>
      </c>
      <c r="AS52" s="29" t="n">
        <v>18.79167837819641</v>
      </c>
      <c r="AT52" s="29" t="n">
        <v>0.7198396829034599</v>
      </c>
      <c r="AU52" s="29" t="n">
        <v>0.4063780886275724</v>
      </c>
      <c r="AV52" s="29" t="n">
        <v>53.1647898004175</v>
      </c>
      <c r="AW52" s="29" t="n">
        <v>25.52890478273515</v>
      </c>
      <c r="AX52" s="29" t="n">
        <v>85.31001921110526</v>
      </c>
      <c r="AY52" s="29" t="n">
        <v>2.881473745801529</v>
      </c>
      <c r="AZ52" s="29" t="n">
        <v>4.285425443736345</v>
      </c>
      <c r="BA52" s="29" t="n">
        <v>3.84022955225464</v>
      </c>
      <c r="BB52" s="29" t="n">
        <v>7.428374245296377</v>
      </c>
      <c r="BC52" s="29" t="n">
        <v>37.1145829485119</v>
      </c>
      <c r="BD52" s="29" t="n">
        <v>29.80145560385393</v>
      </c>
      <c r="BE52" s="29" t="n">
        <v>36.5667870784126</v>
      </c>
      <c r="BF52" s="29" t="n">
        <v>5.520727242967205</v>
      </c>
      <c r="BG52" s="29" t="n">
        <v>2.414326606431621</v>
      </c>
      <c r="BH52" s="29" t="n">
        <v>3.532974491224398</v>
      </c>
      <c r="BI52" s="29" t="n">
        <v>330.3329833949133</v>
      </c>
      <c r="BJ52" s="29" t="n">
        <v>2.344732685469634</v>
      </c>
      <c r="BK52" s="29" t="n">
        <v>788.0564859385006</v>
      </c>
      <c r="BL52" s="29" t="n">
        <v>116.4181671117752</v>
      </c>
      <c r="BM52" s="29" t="n">
        <v>16.49009771248697</v>
      </c>
      <c r="BN52" s="29" t="n">
        <v>133.3028453047152</v>
      </c>
      <c r="BO52" s="29" t="n">
        <v>128.3256288864575</v>
      </c>
      <c r="BP52" s="29" t="n">
        <v>9.102194083110984</v>
      </c>
      <c r="BQ52" s="29" t="n">
        <v>132.1922765658782</v>
      </c>
      <c r="BR52" s="29" t="n">
        <v>0</v>
      </c>
      <c r="BS52" s="29">
        <f>SUM(C52:BR52)</f>
        <v/>
      </c>
      <c r="BT52" s="29" t="n">
        <v>0</v>
      </c>
      <c r="BU52" s="29" t="n">
        <v>0</v>
      </c>
      <c r="BV52" s="29" t="n">
        <v>0</v>
      </c>
      <c r="BW52" s="29" t="n">
        <v>0</v>
      </c>
      <c r="BX52" s="29">
        <f>SUM(BT52:BW52)</f>
        <v/>
      </c>
      <c r="BY52" s="29">
        <f>BS52+BX52</f>
        <v/>
      </c>
    </row>
    <row r="53">
      <c r="A53" s="30" t="inlineStr">
        <is>
          <t>4180</t>
        </is>
      </c>
      <c r="B53" s="30" t="inlineStr">
        <is>
          <t>Construção</t>
        </is>
      </c>
      <c r="C53" s="31" t="n">
        <v>6.023115160328397</v>
      </c>
      <c r="D53" s="31" t="n">
        <v>8.686241565498287</v>
      </c>
      <c r="E53" s="31" t="n">
        <v>1.153876756098809</v>
      </c>
      <c r="F53" s="31" t="n">
        <v>2.148656643085514</v>
      </c>
      <c r="G53" s="31" t="n">
        <v>207.4632451943509</v>
      </c>
      <c r="H53" s="31" t="n">
        <v>70.65481963383141</v>
      </c>
      <c r="I53" s="31" t="n">
        <v>17.87075823331124</v>
      </c>
      <c r="J53" s="31" t="n">
        <v>2.707847022138736</v>
      </c>
      <c r="K53" s="31" t="n">
        <v>3.394577176906525</v>
      </c>
      <c r="L53" s="31" t="n">
        <v>9.289822010984366</v>
      </c>
      <c r="M53" s="31" t="n">
        <v>3.281982957036244</v>
      </c>
      <c r="N53" s="31" t="n">
        <v>0.3566808183848579</v>
      </c>
      <c r="O53" s="31" t="n">
        <v>1.594179022349158</v>
      </c>
      <c r="P53" s="31" t="n">
        <v>0.8985928253695722</v>
      </c>
      <c r="Q53" s="31" t="n">
        <v>0.5937958475236051</v>
      </c>
      <c r="R53" s="31" t="n">
        <v>0.9483863934453848</v>
      </c>
      <c r="S53" s="31" t="n">
        <v>6.118204024372194</v>
      </c>
      <c r="T53" s="31" t="n">
        <v>2.155712720271294</v>
      </c>
      <c r="U53" s="31" t="n">
        <v>4.45201993957297</v>
      </c>
      <c r="V53" s="31" t="n">
        <v>1.72957772576945</v>
      </c>
      <c r="W53" s="31" t="n">
        <v>7.297763170944534</v>
      </c>
      <c r="X53" s="31" t="n">
        <v>3.681693866269892</v>
      </c>
      <c r="Y53" s="31" t="n">
        <v>0.7896450607380607</v>
      </c>
      <c r="Z53" s="31" t="n">
        <v>1.509529182223947</v>
      </c>
      <c r="AA53" s="31" t="n">
        <v>4.741392126448713</v>
      </c>
      <c r="AB53" s="31" t="n">
        <v>4.408909393905726</v>
      </c>
      <c r="AC53" s="31" t="n">
        <v>8.672601938927878</v>
      </c>
      <c r="AD53" s="31" t="n">
        <v>73.13379403682112</v>
      </c>
      <c r="AE53" s="31" t="n">
        <v>8.877556144282478</v>
      </c>
      <c r="AF53" s="31" t="n">
        <v>9.809567005503075</v>
      </c>
      <c r="AG53" s="31" t="n">
        <v>2.356177647832445</v>
      </c>
      <c r="AH53" s="31" t="n">
        <v>14.30830666425962</v>
      </c>
      <c r="AI53" s="31" t="n">
        <v>29.67437461938905</v>
      </c>
      <c r="AJ53" s="31" t="n">
        <v>5.530523335056606</v>
      </c>
      <c r="AK53" s="31" t="n">
        <v>18.61560187523322</v>
      </c>
      <c r="AL53" s="31" t="n">
        <v>2.732352802599771</v>
      </c>
      <c r="AM53" s="31" t="n">
        <v>4.224584071370504</v>
      </c>
      <c r="AN53" s="31" t="n">
        <v>6.587442641011976</v>
      </c>
      <c r="AO53" s="31" t="n">
        <v>229.1919425615702</v>
      </c>
      <c r="AP53" s="31" t="n">
        <v>3619.834921867451</v>
      </c>
      <c r="AQ53" s="31" t="n">
        <v>36.74383854587278</v>
      </c>
      <c r="AR53" s="31" t="n">
        <v>103.6655473585926</v>
      </c>
      <c r="AS53" s="31" t="n">
        <v>45.33390058734109</v>
      </c>
      <c r="AT53" s="31" t="n">
        <v>7.604710508538605</v>
      </c>
      <c r="AU53" s="31" t="n">
        <v>21.42728838267705</v>
      </c>
      <c r="AV53" s="31" t="n">
        <v>81.87684267378063</v>
      </c>
      <c r="AW53" s="31" t="n">
        <v>16.58252689862291</v>
      </c>
      <c r="AX53" s="31" t="n">
        <v>26.82004772364109</v>
      </c>
      <c r="AY53" s="31" t="n">
        <v>7.795945726520114</v>
      </c>
      <c r="AZ53" s="31" t="n">
        <v>22.88661475567621</v>
      </c>
      <c r="BA53" s="31" t="n">
        <v>295.2213546846274</v>
      </c>
      <c r="BB53" s="31" t="n">
        <v>63.10073206731673</v>
      </c>
      <c r="BC53" s="31" t="n">
        <v>91.71765664758426</v>
      </c>
      <c r="BD53" s="31" t="n">
        <v>81.50622684372102</v>
      </c>
      <c r="BE53" s="31" t="n">
        <v>18.58549719995077</v>
      </c>
      <c r="BF53" s="31" t="n">
        <v>47.67671101596837</v>
      </c>
      <c r="BG53" s="31" t="n">
        <v>2.420842557191115</v>
      </c>
      <c r="BH53" s="31" t="n">
        <v>24.09897791521308</v>
      </c>
      <c r="BI53" s="31" t="n">
        <v>152.8867608323741</v>
      </c>
      <c r="BJ53" s="31" t="n">
        <v>2.926667679942662</v>
      </c>
      <c r="BK53" s="31" t="n">
        <v>728.2753591296739</v>
      </c>
      <c r="BL53" s="31" t="n">
        <v>87.18301222596611</v>
      </c>
      <c r="BM53" s="31" t="n">
        <v>37.24721516055495</v>
      </c>
      <c r="BN53" s="31" t="n">
        <v>193.6962469292311</v>
      </c>
      <c r="BO53" s="31" t="n">
        <v>6.048220827130802</v>
      </c>
      <c r="BP53" s="31" t="n">
        <v>10.71377039548483</v>
      </c>
      <c r="BQ53" s="31" t="n">
        <v>23.08330126948193</v>
      </c>
      <c r="BR53" s="31" t="n">
        <v>0</v>
      </c>
      <c r="BS53" s="31">
        <f>SUM(C53:BR53)</f>
        <v/>
      </c>
      <c r="BT53" s="31" t="n">
        <v>0</v>
      </c>
      <c r="BU53" s="31" t="n">
        <v>0</v>
      </c>
      <c r="BV53" s="31" t="n">
        <v>0</v>
      </c>
      <c r="BW53" s="31" t="n">
        <v>0</v>
      </c>
      <c r="BX53" s="31">
        <f>SUM(BT53:BW53)</f>
        <v/>
      </c>
      <c r="BY53" s="31">
        <f>BS53+BX53</f>
        <v/>
      </c>
    </row>
    <row r="54">
      <c r="A54" s="28" t="inlineStr">
        <is>
          <t>4500</t>
        </is>
      </c>
      <c r="B54" s="28" t="inlineStr">
        <is>
          <t>Comércio e reparação de veículos automotores e motocicletas</t>
        </is>
      </c>
      <c r="C54" s="29" t="n">
        <v>-230.5772618731181</v>
      </c>
      <c r="D54" s="29" t="n">
        <v>-51.36270079909328</v>
      </c>
      <c r="E54" s="29" t="n">
        <v>-25.35168444111138</v>
      </c>
      <c r="F54" s="29" t="n">
        <v>-109.5741820487416</v>
      </c>
      <c r="G54" s="29" t="n">
        <v>89.13315033896875</v>
      </c>
      <c r="H54" s="29" t="n">
        <v>-663.8622550556255</v>
      </c>
      <c r="I54" s="29" t="n">
        <v>-85.8092444696922</v>
      </c>
      <c r="J54" s="29" t="n">
        <v>-3.918810372326804</v>
      </c>
      <c r="K54" s="29" t="n">
        <v>2.639012914180474</v>
      </c>
      <c r="L54" s="29" t="n">
        <v>-0.8664600798982942</v>
      </c>
      <c r="M54" s="29" t="n">
        <v>-27.26814047358039</v>
      </c>
      <c r="N54" s="29" t="n">
        <v>0.532885265825926</v>
      </c>
      <c r="O54" s="29" t="n">
        <v>-4.457512014366456</v>
      </c>
      <c r="P54" s="29" t="n">
        <v>2.929636463433118</v>
      </c>
      <c r="Q54" s="29" t="n">
        <v>-2.790245589343627</v>
      </c>
      <c r="R54" s="29" t="n">
        <v>1.642585133952586</v>
      </c>
      <c r="S54" s="29" t="n">
        <v>8.620428837275439</v>
      </c>
      <c r="T54" s="29" t="n">
        <v>2.271276463060789</v>
      </c>
      <c r="U54" s="29" t="n">
        <v>6.180572662354422</v>
      </c>
      <c r="V54" s="29" t="n">
        <v>-4.03144775480863</v>
      </c>
      <c r="W54" s="29" t="n">
        <v>5.574107346609458</v>
      </c>
      <c r="X54" s="29" t="n">
        <v>-4.870655987084171</v>
      </c>
      <c r="Y54" s="29" t="n">
        <v>1.461404808283184</v>
      </c>
      <c r="Z54" s="29" t="n">
        <v>-42.63290849290082</v>
      </c>
      <c r="AA54" s="29" t="n">
        <v>-199.5141324946752</v>
      </c>
      <c r="AB54" s="29" t="n">
        <v>-355.7513258001135</v>
      </c>
      <c r="AC54" s="29" t="n">
        <v>2.533456203638952</v>
      </c>
      <c r="AD54" s="29" t="n">
        <v>-49.37554880117762</v>
      </c>
      <c r="AE54" s="29" t="n">
        <v>9.003559445615791</v>
      </c>
      <c r="AF54" s="29" t="n">
        <v>-556.0048480109118</v>
      </c>
      <c r="AG54" s="29" t="n">
        <v>-31.024787641432</v>
      </c>
      <c r="AH54" s="29" t="n">
        <v>-3003.25391668313</v>
      </c>
      <c r="AI54" s="29" t="n">
        <v>-94.87611130171865</v>
      </c>
      <c r="AJ54" s="29" t="n">
        <v>72.75722855343469</v>
      </c>
      <c r="AK54" s="29" t="n">
        <v>9.669318864238228</v>
      </c>
      <c r="AL54" s="29" t="n">
        <v>-38.27100542631789</v>
      </c>
      <c r="AM54" s="29" t="n">
        <v>-58.98283579567261</v>
      </c>
      <c r="AN54" s="29" t="n">
        <v>-349.2869230360038</v>
      </c>
      <c r="AO54" s="29" t="n">
        <v>-696.8905990208273</v>
      </c>
      <c r="AP54" s="29" t="n">
        <v>-616.9358102918532</v>
      </c>
      <c r="AQ54" s="29" t="n">
        <v>-1564.852228290706</v>
      </c>
      <c r="AR54" s="29" t="n">
        <v>-3478.527801566341</v>
      </c>
      <c r="AS54" s="29" t="n">
        <v>-6405.009285027521</v>
      </c>
      <c r="AT54" s="29" t="n">
        <v>14.51924128574677</v>
      </c>
      <c r="AU54" s="29" t="n">
        <v>40.17278426584011</v>
      </c>
      <c r="AV54" s="29" t="n">
        <v>-405.1198394244435</v>
      </c>
      <c r="AW54" s="29" t="n">
        <v>1.919117757066206</v>
      </c>
      <c r="AX54" s="29" t="n">
        <v>-90.22063943508984</v>
      </c>
      <c r="AY54" s="29" t="n">
        <v>3.947034936736908</v>
      </c>
      <c r="AZ54" s="29" t="n">
        <v>-44.23458544485081</v>
      </c>
      <c r="BA54" s="29" t="n">
        <v>49.60838490287722</v>
      </c>
      <c r="BB54" s="29" t="n">
        <v>30.30585085340699</v>
      </c>
      <c r="BC54" s="29" t="n">
        <v>-91.89913909674692</v>
      </c>
      <c r="BD54" s="29" t="n">
        <v>-31.52189053390696</v>
      </c>
      <c r="BE54" s="29" t="n">
        <v>9.7856582923984</v>
      </c>
      <c r="BF54" s="29" t="n">
        <v>-95.73569206325219</v>
      </c>
      <c r="BG54" s="29" t="n">
        <v>-16.56571993530689</v>
      </c>
      <c r="BH54" s="29" t="n">
        <v>-924.3913225679684</v>
      </c>
      <c r="BI54" s="29" t="n">
        <v>-58.67842671306357</v>
      </c>
      <c r="BJ54" s="29" t="n">
        <v>-163.7808078030283</v>
      </c>
      <c r="BK54" s="29" t="n">
        <v>-1835.127135219688</v>
      </c>
      <c r="BL54" s="29" t="n">
        <v>-323.4895505434829</v>
      </c>
      <c r="BM54" s="29" t="n">
        <v>29.48601390752289</v>
      </c>
      <c r="BN54" s="29" t="n">
        <v>-1169.262049865208</v>
      </c>
      <c r="BO54" s="29" t="n">
        <v>-653.5952227165905</v>
      </c>
      <c r="BP54" s="29" t="n">
        <v>-44.60457606258208</v>
      </c>
      <c r="BQ54" s="29" t="n">
        <v>-33.82888845669798</v>
      </c>
      <c r="BR54" s="29" t="n">
        <v>0</v>
      </c>
      <c r="BS54" s="29">
        <f>SUM(C54:BR54)</f>
        <v/>
      </c>
      <c r="BT54" s="29" t="n">
        <v>0</v>
      </c>
      <c r="BU54" s="29" t="n">
        <v>0</v>
      </c>
      <c r="BV54" s="29" t="n">
        <v>0</v>
      </c>
      <c r="BW54" s="29" t="n">
        <v>0</v>
      </c>
      <c r="BX54" s="29">
        <f>SUM(BT54:BW54)</f>
        <v/>
      </c>
      <c r="BY54" s="29">
        <f>BS54+BX54</f>
        <v/>
      </c>
    </row>
    <row r="55">
      <c r="A55" s="30" t="inlineStr">
        <is>
          <t>4680</t>
        </is>
      </c>
      <c r="B55" s="30" t="inlineStr">
        <is>
          <t>Comércio por atacado e a varejo, exceto veículos automotores</t>
        </is>
      </c>
      <c r="C55" s="31" t="n">
        <v>87.72482251470537</v>
      </c>
      <c r="D55" s="31" t="n">
        <v>298.5109434209541</v>
      </c>
      <c r="E55" s="31" t="n">
        <v>10.99583179896491</v>
      </c>
      <c r="F55" s="31" t="n">
        <v>-537.3520481140208</v>
      </c>
      <c r="G55" s="31" t="n">
        <v>-211.2761772362061</v>
      </c>
      <c r="H55" s="31" t="n">
        <v>-886.2226675885132</v>
      </c>
      <c r="I55" s="31" t="n">
        <v>-653.0427464409887</v>
      </c>
      <c r="J55" s="31" t="n">
        <v>-98651.73762629023</v>
      </c>
      <c r="K55" s="31" t="n">
        <v>-5501.005982562318</v>
      </c>
      <c r="L55" s="31" t="n">
        <v>-61786.59894428747</v>
      </c>
      <c r="M55" s="31" t="n">
        <v>-2758.819488313787</v>
      </c>
      <c r="N55" s="31" t="n">
        <v>-3090.27556023748</v>
      </c>
      <c r="O55" s="31" t="n">
        <v>-9888.239917651292</v>
      </c>
      <c r="P55" s="31" t="n">
        <v>-11838.45026380773</v>
      </c>
      <c r="Q55" s="31" t="n">
        <v>-15713.92739411551</v>
      </c>
      <c r="R55" s="31" t="n">
        <v>-4196.931902892253</v>
      </c>
      <c r="S55" s="31" t="n">
        <v>-26687.23787191428</v>
      </c>
      <c r="T55" s="31" t="n">
        <v>-1157.055211627325</v>
      </c>
      <c r="U55" s="31" t="n">
        <v>-6435.097728842245</v>
      </c>
      <c r="V55" s="31" t="n">
        <v>-5781.530179504038</v>
      </c>
      <c r="W55" s="31" t="n">
        <v>-12267.21093725585</v>
      </c>
      <c r="X55" s="31" t="n">
        <v>-16547.60180955773</v>
      </c>
      <c r="Y55" s="31" t="n">
        <v>-1370.87233799833</v>
      </c>
      <c r="Z55" s="31" t="n">
        <v>-19940.76899129188</v>
      </c>
      <c r="AA55" s="31" t="n">
        <v>-26214.9161418249</v>
      </c>
      <c r="AB55" s="31" t="n">
        <v>-19197.73604952121</v>
      </c>
      <c r="AC55" s="31" t="n">
        <v>-20232.43893970128</v>
      </c>
      <c r="AD55" s="31" t="n">
        <v>-6409.804421761282</v>
      </c>
      <c r="AE55" s="31" t="n">
        <v>-21705.43939366091</v>
      </c>
      <c r="AF55" s="31" t="n">
        <v>-14266.39142148313</v>
      </c>
      <c r="AG55" s="31" t="n">
        <v>-16987.02416786071</v>
      </c>
      <c r="AH55" s="31" t="n">
        <v>-46175.55978851167</v>
      </c>
      <c r="AI55" s="31" t="n">
        <v>-1670.638230369817</v>
      </c>
      <c r="AJ55" s="31" t="n">
        <v>-417.2296101594741</v>
      </c>
      <c r="AK55" s="31" t="n">
        <v>-2649.978837912809</v>
      </c>
      <c r="AL55" s="31" t="n">
        <v>-10328.33103350241</v>
      </c>
      <c r="AM55" s="31" t="n">
        <v>-55.58507311161725</v>
      </c>
      <c r="AN55" s="31" t="n">
        <v>99.88888434839447</v>
      </c>
      <c r="AO55" s="31" t="n">
        <v>-56.62830564283141</v>
      </c>
      <c r="AP55" s="31" t="n">
        <v>616.8906176607303</v>
      </c>
      <c r="AQ55" s="31" t="n">
        <v>68.78036470981699</v>
      </c>
      <c r="AR55" s="31" t="n">
        <v>-84941.82882197721</v>
      </c>
      <c r="AS55" s="31" t="n">
        <v>175.8966648601474</v>
      </c>
      <c r="AT55" s="31" t="n">
        <v>64.9083890323224</v>
      </c>
      <c r="AU55" s="31" t="n">
        <v>140.6565178688803</v>
      </c>
      <c r="AV55" s="31" t="n">
        <v>161.7169716030857</v>
      </c>
      <c r="AW55" s="31" t="n">
        <v>45.85817917747863</v>
      </c>
      <c r="AX55" s="31" t="n">
        <v>962.054704728965</v>
      </c>
      <c r="AY55" s="31" t="n">
        <v>-8940.535771650708</v>
      </c>
      <c r="AZ55" s="31" t="n">
        <v>-9303.210995240137</v>
      </c>
      <c r="BA55" s="31" t="n">
        <v>-61608.96740636148</v>
      </c>
      <c r="BB55" s="31" t="n">
        <v>-4793.589981237864</v>
      </c>
      <c r="BC55" s="31" t="n">
        <v>-343.1401698038039</v>
      </c>
      <c r="BD55" s="31" t="n">
        <v>28.86222247751352</v>
      </c>
      <c r="BE55" s="31" t="n">
        <v>-5941.322840890489</v>
      </c>
      <c r="BF55" s="31" t="n">
        <v>-596.1504320805972</v>
      </c>
      <c r="BG55" s="31" t="n">
        <v>-2718.335391857909</v>
      </c>
      <c r="BH55" s="31" t="n">
        <v>109.4063000980867</v>
      </c>
      <c r="BI55" s="31" t="n">
        <v>-4409.826438820673</v>
      </c>
      <c r="BJ55" s="31" t="n">
        <v>-679.4612154860139</v>
      </c>
      <c r="BK55" s="31" t="n">
        <v>449.9844449733358</v>
      </c>
      <c r="BL55" s="31" t="n">
        <v>304.7604899597681</v>
      </c>
      <c r="BM55" s="31" t="n">
        <v>-32.06950123606844</v>
      </c>
      <c r="BN55" s="31" t="n">
        <v>592.2317670268964</v>
      </c>
      <c r="BO55" s="31" t="n">
        <v>968.0578643639628</v>
      </c>
      <c r="BP55" s="31" t="n">
        <v>-311.6666387069778</v>
      </c>
      <c r="BQ55" s="31" t="n">
        <v>-56.38418592048382</v>
      </c>
      <c r="BR55" s="31" t="n">
        <v>0</v>
      </c>
      <c r="BS55" s="31">
        <f>SUM(C55:BR55)</f>
        <v/>
      </c>
      <c r="BT55" s="31" t="n">
        <v>0</v>
      </c>
      <c r="BU55" s="31" t="n">
        <v>0</v>
      </c>
      <c r="BV55" s="31" t="n">
        <v>0</v>
      </c>
      <c r="BW55" s="31" t="n">
        <v>0</v>
      </c>
      <c r="BX55" s="31">
        <f>SUM(BT55:BW55)</f>
        <v/>
      </c>
      <c r="BY55" s="31">
        <f>BS55+BX55</f>
        <v/>
      </c>
    </row>
    <row r="56">
      <c r="A56" s="28" t="inlineStr">
        <is>
          <t>4900</t>
        </is>
      </c>
      <c r="B56" s="28" t="inlineStr">
        <is>
          <t>Transporte terrestre</t>
        </is>
      </c>
      <c r="C56" s="29" t="n">
        <v>-1540.379138207671</v>
      </c>
      <c r="D56" s="29" t="n">
        <v>-252.3841249428496</v>
      </c>
      <c r="E56" s="29" t="n">
        <v>-158.4733611397467</v>
      </c>
      <c r="F56" s="29" t="n">
        <v>-332.7492763387686</v>
      </c>
      <c r="G56" s="29" t="n">
        <v>-1612.828184096562</v>
      </c>
      <c r="H56" s="29" t="n">
        <v>-675.6286828250592</v>
      </c>
      <c r="I56" s="29" t="n">
        <v>-227.2834508425954</v>
      </c>
      <c r="J56" s="29" t="n">
        <v>-3266.309914009692</v>
      </c>
      <c r="K56" s="29" t="n">
        <v>-738.7427732001797</v>
      </c>
      <c r="L56" s="29" t="n">
        <v>-4274.562531147</v>
      </c>
      <c r="M56" s="29" t="n">
        <v>-909.6769700375977</v>
      </c>
      <c r="N56" s="29" t="n">
        <v>-53.6934248371719</v>
      </c>
      <c r="O56" s="29" t="n">
        <v>-343.4538048228439</v>
      </c>
      <c r="P56" s="29" t="n">
        <v>-197.3429527786911</v>
      </c>
      <c r="Q56" s="29" t="n">
        <v>-326.9808128749065</v>
      </c>
      <c r="R56" s="29" t="n">
        <v>-107.7711946472636</v>
      </c>
      <c r="S56" s="29" t="n">
        <v>-869.2725588104676</v>
      </c>
      <c r="T56" s="29" t="n">
        <v>-125.0092008140241</v>
      </c>
      <c r="U56" s="29" t="n">
        <v>-1355.947307326684</v>
      </c>
      <c r="V56" s="29" t="n">
        <v>-285.9074712568796</v>
      </c>
      <c r="W56" s="29" t="n">
        <v>-1685.149577576267</v>
      </c>
      <c r="X56" s="29" t="n">
        <v>-593.3846990767996</v>
      </c>
      <c r="Y56" s="29" t="n">
        <v>-505.3368799564827</v>
      </c>
      <c r="Z56" s="29" t="n">
        <v>-889.2340635989024</v>
      </c>
      <c r="AA56" s="29" t="n">
        <v>-899.6297471767301</v>
      </c>
      <c r="AB56" s="29" t="n">
        <v>-956.7626296206544</v>
      </c>
      <c r="AC56" s="29" t="n">
        <v>-1465.765499144483</v>
      </c>
      <c r="AD56" s="29" t="n">
        <v>-195.2252809980349</v>
      </c>
      <c r="AE56" s="29" t="n">
        <v>-748.8129077089791</v>
      </c>
      <c r="AF56" s="29" t="n">
        <v>-514.8780344835264</v>
      </c>
      <c r="AG56" s="29" t="n">
        <v>-455.4052080307532</v>
      </c>
      <c r="AH56" s="29" t="n">
        <v>-601.715789834741</v>
      </c>
      <c r="AI56" s="29" t="n">
        <v>-1536.333005455734</v>
      </c>
      <c r="AJ56" s="29" t="n">
        <v>-445.8318008783638</v>
      </c>
      <c r="AK56" s="29" t="n">
        <v>-229.52471538266</v>
      </c>
      <c r="AL56" s="29" t="n">
        <v>-482.70133005137</v>
      </c>
      <c r="AM56" s="29" t="n">
        <v>-9.342191932270255</v>
      </c>
      <c r="AN56" s="29" t="n">
        <v>-1258.441126687179</v>
      </c>
      <c r="AO56" s="29" t="n">
        <v>-108.1996703430434</v>
      </c>
      <c r="AP56" s="29" t="n">
        <v>-810.0154739308274</v>
      </c>
      <c r="AQ56" s="29" t="n">
        <v>-409.5421153311543</v>
      </c>
      <c r="AR56" s="29" t="n">
        <v>-13296.34625786662</v>
      </c>
      <c r="AS56" s="29" t="n">
        <v>-12681.39958327201</v>
      </c>
      <c r="AT56" s="29" t="n">
        <v>-13.82068535345192</v>
      </c>
      <c r="AU56" s="29" t="n">
        <v>-16.74215744098609</v>
      </c>
      <c r="AV56" s="29" t="n">
        <v>-1735.597195240987</v>
      </c>
      <c r="AW56" s="29" t="n">
        <v>-2.672484335741482</v>
      </c>
      <c r="AX56" s="29" t="n">
        <v>-272.186080750492</v>
      </c>
      <c r="AY56" s="29" t="n">
        <v>-181.9392018723194</v>
      </c>
      <c r="AZ56" s="29" t="n">
        <v>-23.26631622223842</v>
      </c>
      <c r="BA56" s="29" t="n">
        <v>-60.05427279550546</v>
      </c>
      <c r="BB56" s="29" t="n">
        <v>-24.99029773135636</v>
      </c>
      <c r="BC56" s="29" t="n">
        <v>-51.86991732364471</v>
      </c>
      <c r="BD56" s="29" t="n">
        <v>6.463958061953133</v>
      </c>
      <c r="BE56" s="29" t="n">
        <v>-161.9237181614441</v>
      </c>
      <c r="BF56" s="29" t="n">
        <v>-32.82111281257434</v>
      </c>
      <c r="BG56" s="29" t="n">
        <v>-0.7014860615105424</v>
      </c>
      <c r="BH56" s="29" t="n">
        <v>-132.9133039573457</v>
      </c>
      <c r="BI56" s="29" t="n">
        <v>-1.253187187756174</v>
      </c>
      <c r="BJ56" s="29" t="n">
        <v>-21.49131329717056</v>
      </c>
      <c r="BK56" s="29" t="n">
        <v>-270.5625230290884</v>
      </c>
      <c r="BL56" s="29" t="n">
        <v>221.1944293375226</v>
      </c>
      <c r="BM56" s="29" t="n">
        <v>145.2458399418964</v>
      </c>
      <c r="BN56" s="29" t="n">
        <v>-22.14202494344681</v>
      </c>
      <c r="BO56" s="29" t="n">
        <v>0.8519811097004353</v>
      </c>
      <c r="BP56" s="29" t="n">
        <v>-15.77212266596003</v>
      </c>
      <c r="BQ56" s="29" t="n">
        <v>222.431531477121</v>
      </c>
      <c r="BR56" s="29" t="n">
        <v>0</v>
      </c>
      <c r="BS56" s="29">
        <f>SUM(C56:BR56)</f>
        <v/>
      </c>
      <c r="BT56" s="29" t="n">
        <v>0</v>
      </c>
      <c r="BU56" s="29" t="n">
        <v>0</v>
      </c>
      <c r="BV56" s="29" t="n">
        <v>0</v>
      </c>
      <c r="BW56" s="29" t="n">
        <v>0</v>
      </c>
      <c r="BX56" s="29">
        <f>SUM(BT56:BW56)</f>
        <v/>
      </c>
      <c r="BY56" s="29">
        <f>BS56+BX56</f>
        <v/>
      </c>
    </row>
    <row r="57">
      <c r="A57" s="30" t="inlineStr">
        <is>
          <t>5000</t>
        </is>
      </c>
      <c r="B57" s="30" t="inlineStr">
        <is>
          <t>Transporte aquaviário</t>
        </is>
      </c>
      <c r="C57" s="31" t="n">
        <v>-0.001471147839014751</v>
      </c>
      <c r="D57" s="31" t="n">
        <v>-0.001166229899815251</v>
      </c>
      <c r="E57" s="31" t="n">
        <v>0.0005029521644334926</v>
      </c>
      <c r="F57" s="31" t="n">
        <v>-0.01490320657625591</v>
      </c>
      <c r="G57" s="31" t="n">
        <v>1375.940292169701</v>
      </c>
      <c r="H57" s="31" t="n">
        <v>-0.026622068555837</v>
      </c>
      <c r="I57" s="31" t="n">
        <v>2.812228538581712</v>
      </c>
      <c r="J57" s="31" t="n">
        <v>354.800290533617</v>
      </c>
      <c r="K57" s="31" t="n">
        <v>25.89496580271328</v>
      </c>
      <c r="L57" s="31" t="n">
        <v>96.36027990336115</v>
      </c>
      <c r="M57" s="31" t="n">
        <v>0.2973818575675817</v>
      </c>
      <c r="N57" s="31" t="n">
        <v>0.1013926914865071</v>
      </c>
      <c r="O57" s="31" t="n">
        <v>2.377904378158079</v>
      </c>
      <c r="P57" s="31" t="n">
        <v>3.834677252642785</v>
      </c>
      <c r="Q57" s="31" t="n">
        <v>1.252683017601169</v>
      </c>
      <c r="R57" s="31" t="n">
        <v>38.94536290318039</v>
      </c>
      <c r="S57" s="31" t="n">
        <v>304.7750094819626</v>
      </c>
      <c r="T57" s="31" t="n">
        <v>6.007529983858467</v>
      </c>
      <c r="U57" s="31" t="n">
        <v>15.07385302198014</v>
      </c>
      <c r="V57" s="31" t="n">
        <v>2.106871137612528</v>
      </c>
      <c r="W57" s="31" t="n">
        <v>199.3195809416121</v>
      </c>
      <c r="X57" s="31" t="n">
        <v>2.736568364518129</v>
      </c>
      <c r="Y57" s="31" t="n">
        <v>12.61415853130316</v>
      </c>
      <c r="Z57" s="31" t="n">
        <v>-0.003646424663959015</v>
      </c>
      <c r="AA57" s="31" t="n">
        <v>11.3488451036661</v>
      </c>
      <c r="AB57" s="31" t="n">
        <v>34.74932144542203</v>
      </c>
      <c r="AC57" s="31" t="n">
        <v>83.59661137322745</v>
      </c>
      <c r="AD57" s="31" t="n">
        <v>3.022907200444072</v>
      </c>
      <c r="AE57" s="31" t="n">
        <v>8.448659117249791</v>
      </c>
      <c r="AF57" s="31" t="n">
        <v>17.33602114480177</v>
      </c>
      <c r="AG57" s="31" t="n">
        <v>12.35019500865905</v>
      </c>
      <c r="AH57" s="31" t="n">
        <v>82.66218618894003</v>
      </c>
      <c r="AI57" s="31" t="n">
        <v>64.68705614857782</v>
      </c>
      <c r="AJ57" s="31" t="n">
        <v>21.32354976173004</v>
      </c>
      <c r="AK57" s="31" t="n">
        <v>52.57965668496715</v>
      </c>
      <c r="AL57" s="31" t="n">
        <v>-0.09557416838022614</v>
      </c>
      <c r="AM57" s="31" t="n">
        <v>1.696924693436704</v>
      </c>
      <c r="AN57" s="31" t="n">
        <v>0.07053904106179754</v>
      </c>
      <c r="AO57" s="31" t="n">
        <v>0.01316160074741369</v>
      </c>
      <c r="AP57" s="31" t="n">
        <v>1.423640014746647</v>
      </c>
      <c r="AQ57" s="31" t="n">
        <v>0.8082636035993052</v>
      </c>
      <c r="AR57" s="31" t="n">
        <v>297.8633546618274</v>
      </c>
      <c r="AS57" s="31" t="n">
        <v>189.1683226683939</v>
      </c>
      <c r="AT57" s="31" t="n">
        <v>298.9339293613662</v>
      </c>
      <c r="AU57" s="31" t="n">
        <v>0.006852723240406339</v>
      </c>
      <c r="AV57" s="31" t="n">
        <v>15.25407354207069</v>
      </c>
      <c r="AW57" s="31" t="n">
        <v>0.07563143172668642</v>
      </c>
      <c r="AX57" s="31" t="n">
        <v>4.831765770467807</v>
      </c>
      <c r="AY57" s="31" t="n">
        <v>-0.2396112290807842</v>
      </c>
      <c r="AZ57" s="31" t="n">
        <v>0.3273704370048904</v>
      </c>
      <c r="BA57" s="31" t="n">
        <v>-1.606833642768704</v>
      </c>
      <c r="BB57" s="31" t="n">
        <v>3.916557884927877</v>
      </c>
      <c r="BC57" s="31" t="n">
        <v>0.3316025532277069</v>
      </c>
      <c r="BD57" s="31" t="n">
        <v>0.1466105559323634</v>
      </c>
      <c r="BE57" s="31" t="n">
        <v>0.3175767036086599</v>
      </c>
      <c r="BF57" s="31" t="n">
        <v>0.6086731900864377</v>
      </c>
      <c r="BG57" s="31" t="n">
        <v>-0.01576178015382949</v>
      </c>
      <c r="BH57" s="31" t="n">
        <v>0.07663733605555352</v>
      </c>
      <c r="BI57" s="31" t="n">
        <v>73.83995556708692</v>
      </c>
      <c r="BJ57" s="31" t="n">
        <v>0.1850183625187842</v>
      </c>
      <c r="BK57" s="31" t="n">
        <v>0.1723868543595797</v>
      </c>
      <c r="BL57" s="31" t="n">
        <v>0.04419692144959322</v>
      </c>
      <c r="BM57" s="31" t="n">
        <v>0.2535192934896399</v>
      </c>
      <c r="BN57" s="31" t="n">
        <v>0.02979991574268443</v>
      </c>
      <c r="BO57" s="31" t="n">
        <v>0.121651554772351</v>
      </c>
      <c r="BP57" s="31" t="n">
        <v>0.4335396645597177</v>
      </c>
      <c r="BQ57" s="31" t="n">
        <v>0.1883524006656636</v>
      </c>
      <c r="BR57" s="31" t="n">
        <v>0</v>
      </c>
      <c r="BS57" s="31">
        <f>SUM(C57:BR57)</f>
        <v/>
      </c>
      <c r="BT57" s="31" t="n">
        <v>0</v>
      </c>
      <c r="BU57" s="31" t="n">
        <v>0</v>
      </c>
      <c r="BV57" s="31" t="n">
        <v>0</v>
      </c>
      <c r="BW57" s="31" t="n">
        <v>0</v>
      </c>
      <c r="BX57" s="31">
        <f>SUM(BT57:BW57)</f>
        <v/>
      </c>
      <c r="BY57" s="31">
        <f>BS57+BX57</f>
        <v/>
      </c>
    </row>
    <row r="58">
      <c r="A58" s="28" t="inlineStr">
        <is>
          <t>5100</t>
        </is>
      </c>
      <c r="B58" s="28" t="inlineStr">
        <is>
          <t>Transporte aéreo</t>
        </is>
      </c>
      <c r="C58" s="29" t="n">
        <v>0.2275465932820819</v>
      </c>
      <c r="D58" s="29" t="n">
        <v>-0.001539820496309545</v>
      </c>
      <c r="E58" s="29" t="n">
        <v>1.148097793421015</v>
      </c>
      <c r="F58" s="29" t="n">
        <v>2.275606190338721</v>
      </c>
      <c r="G58" s="29" t="n">
        <v>409.8790898514725</v>
      </c>
      <c r="H58" s="29" t="n">
        <v>2.26045595086481</v>
      </c>
      <c r="I58" s="29" t="n">
        <v>6.860926953299104</v>
      </c>
      <c r="J58" s="29" t="n">
        <v>63.82531783628446</v>
      </c>
      <c r="K58" s="29" t="n">
        <v>2.102480568909777</v>
      </c>
      <c r="L58" s="29" t="n">
        <v>52.78658263289319</v>
      </c>
      <c r="M58" s="29" t="n">
        <v>11.83015156458818</v>
      </c>
      <c r="N58" s="29" t="n">
        <v>6.542553440949958</v>
      </c>
      <c r="O58" s="29" t="n">
        <v>7.918674976518918</v>
      </c>
      <c r="P58" s="29" t="n">
        <v>8.07929601959399</v>
      </c>
      <c r="Q58" s="29" t="n">
        <v>11.81654728051946</v>
      </c>
      <c r="R58" s="29" t="n">
        <v>10.40265670872732</v>
      </c>
      <c r="S58" s="29" t="n">
        <v>22.19689561395391</v>
      </c>
      <c r="T58" s="29" t="n">
        <v>5.237494753532682</v>
      </c>
      <c r="U58" s="29" t="n">
        <v>9.59316172141434</v>
      </c>
      <c r="V58" s="29" t="n">
        <v>0.7132257632290779</v>
      </c>
      <c r="W58" s="29" t="n">
        <v>58.07665470915405</v>
      </c>
      <c r="X58" s="29" t="n">
        <v>55.61777970176025</v>
      </c>
      <c r="Y58" s="29" t="n">
        <v>2.714175908555296</v>
      </c>
      <c r="Z58" s="29" t="n">
        <v>30.70395328726416</v>
      </c>
      <c r="AA58" s="29" t="n">
        <v>9.612462249831946</v>
      </c>
      <c r="AB58" s="29" t="n">
        <v>33.49523670664113</v>
      </c>
      <c r="AC58" s="29" t="n">
        <v>18.53784457768798</v>
      </c>
      <c r="AD58" s="29" t="n">
        <v>2.973572724826095</v>
      </c>
      <c r="AE58" s="29" t="n">
        <v>12.52163497199521</v>
      </c>
      <c r="AF58" s="29" t="n">
        <v>74.98292666904912</v>
      </c>
      <c r="AG58" s="29" t="n">
        <v>39.76784371596897</v>
      </c>
      <c r="AH58" s="29" t="n">
        <v>56.81914286458961</v>
      </c>
      <c r="AI58" s="29" t="n">
        <v>65.80972035101344</v>
      </c>
      <c r="AJ58" s="29" t="n">
        <v>20.19263635571683</v>
      </c>
      <c r="AK58" s="29" t="n">
        <v>11.15098093003815</v>
      </c>
      <c r="AL58" s="29" t="n">
        <v>8.811176865127269</v>
      </c>
      <c r="AM58" s="29" t="n">
        <v>13.76766907651532</v>
      </c>
      <c r="AN58" s="29" t="n">
        <v>128.1447932201375</v>
      </c>
      <c r="AO58" s="29" t="n">
        <v>11.49014426135637</v>
      </c>
      <c r="AP58" s="29" t="n">
        <v>408.6321595141898</v>
      </c>
      <c r="AQ58" s="29" t="n">
        <v>54.44904589404115</v>
      </c>
      <c r="AR58" s="29" t="n">
        <v>749.370296529844</v>
      </c>
      <c r="AS58" s="29" t="n">
        <v>51.72356781841219</v>
      </c>
      <c r="AT58" s="29" t="n">
        <v>20.65987337724217</v>
      </c>
      <c r="AU58" s="29" t="n">
        <v>2.532626070289758</v>
      </c>
      <c r="AV58" s="29" t="n">
        <v>174.8353750951541</v>
      </c>
      <c r="AW58" s="29" t="n">
        <v>17.53166998340507</v>
      </c>
      <c r="AX58" s="29" t="n">
        <v>12.981097703374</v>
      </c>
      <c r="AY58" s="29" t="n">
        <v>5.196436795283206</v>
      </c>
      <c r="AZ58" s="29" t="n">
        <v>42.14586726278956</v>
      </c>
      <c r="BA58" s="29" t="n">
        <v>51.60925189877389</v>
      </c>
      <c r="BB58" s="29" t="n">
        <v>156.678194637163</v>
      </c>
      <c r="BC58" s="29" t="n">
        <v>629.222373717166</v>
      </c>
      <c r="BD58" s="29" t="n">
        <v>15.32079725054813</v>
      </c>
      <c r="BE58" s="29" t="n">
        <v>211.9631108316885</v>
      </c>
      <c r="BF58" s="29" t="n">
        <v>86.56981565298413</v>
      </c>
      <c r="BG58" s="29" t="n">
        <v>146.1645229074044</v>
      </c>
      <c r="BH58" s="29" t="n">
        <v>23.04087019363445</v>
      </c>
      <c r="BI58" s="29" t="n">
        <v>82.66681064674097</v>
      </c>
      <c r="BJ58" s="29" t="n">
        <v>6.419471160465526</v>
      </c>
      <c r="BK58" s="29" t="n">
        <v>290.2927451687344</v>
      </c>
      <c r="BL58" s="29" t="n">
        <v>99.19652866133731</v>
      </c>
      <c r="BM58" s="29" t="n">
        <v>482.2506613889796</v>
      </c>
      <c r="BN58" s="29" t="n">
        <v>108.5889776304604</v>
      </c>
      <c r="BO58" s="29" t="n">
        <v>0.1441918973459746</v>
      </c>
      <c r="BP58" s="29" t="n">
        <v>24.38661546418941</v>
      </c>
      <c r="BQ58" s="29" t="n">
        <v>2074.446553690771</v>
      </c>
      <c r="BR58" s="29" t="n">
        <v>0</v>
      </c>
      <c r="BS58" s="29">
        <f>SUM(C58:BR58)</f>
        <v/>
      </c>
      <c r="BT58" s="29" t="n">
        <v>0</v>
      </c>
      <c r="BU58" s="29" t="n">
        <v>0</v>
      </c>
      <c r="BV58" s="29" t="n">
        <v>0</v>
      </c>
      <c r="BW58" s="29" t="n">
        <v>0</v>
      </c>
      <c r="BX58" s="29">
        <f>SUM(BT58:BW58)</f>
        <v/>
      </c>
      <c r="BY58" s="29">
        <f>BS58+BX58</f>
        <v/>
      </c>
    </row>
    <row r="59">
      <c r="A59" s="30" t="inlineStr">
        <is>
          <t>5280</t>
        </is>
      </c>
      <c r="B59" s="30" t="inlineStr">
        <is>
          <t>Armazenamento, atividades auxiliares dos transportes e correio</t>
        </is>
      </c>
      <c r="C59" s="31" t="n">
        <v>59.81515356101318</v>
      </c>
      <c r="D59" s="31" t="n">
        <v>3.79147967889028</v>
      </c>
      <c r="E59" s="31" t="n">
        <v>15.39782187314669</v>
      </c>
      <c r="F59" s="31" t="n">
        <v>2.174326191558077</v>
      </c>
      <c r="G59" s="31" t="n">
        <v>410.4171677119789</v>
      </c>
      <c r="H59" s="31" t="n">
        <v>195.5070358577524</v>
      </c>
      <c r="I59" s="31" t="n">
        <v>61.38417453663475</v>
      </c>
      <c r="J59" s="31" t="n">
        <v>242.9153538351292</v>
      </c>
      <c r="K59" s="31" t="n">
        <v>162.9751681699633</v>
      </c>
      <c r="L59" s="31" t="n">
        <v>264.2261494357976</v>
      </c>
      <c r="M59" s="31" t="n">
        <v>156.5810627182673</v>
      </c>
      <c r="N59" s="31" t="n">
        <v>2.384897503530125</v>
      </c>
      <c r="O59" s="31" t="n">
        <v>13.41505688920885</v>
      </c>
      <c r="P59" s="31" t="n">
        <v>7.7410148555697</v>
      </c>
      <c r="Q59" s="31" t="n">
        <v>12.19082114054558</v>
      </c>
      <c r="R59" s="31" t="n">
        <v>21.26899145911162</v>
      </c>
      <c r="S59" s="31" t="n">
        <v>105.8949948883742</v>
      </c>
      <c r="T59" s="31" t="n">
        <v>16.34200786499069</v>
      </c>
      <c r="U59" s="31" t="n">
        <v>55.19482783794214</v>
      </c>
      <c r="V59" s="31" t="n">
        <v>50.33591898601178</v>
      </c>
      <c r="W59" s="31" t="n">
        <v>97.20815626213253</v>
      </c>
      <c r="X59" s="31" t="n">
        <v>46.9423218194766</v>
      </c>
      <c r="Y59" s="31" t="n">
        <v>33.1508389620809</v>
      </c>
      <c r="Z59" s="31" t="n">
        <v>45.13411912780943</v>
      </c>
      <c r="AA59" s="31" t="n">
        <v>19.44852090608737</v>
      </c>
      <c r="AB59" s="31" t="n">
        <v>30.23059418897749</v>
      </c>
      <c r="AC59" s="31" t="n">
        <v>194.4524676826706</v>
      </c>
      <c r="AD59" s="31" t="n">
        <v>10.28582139998211</v>
      </c>
      <c r="AE59" s="31" t="n">
        <v>76.75924827527987</v>
      </c>
      <c r="AF59" s="31" t="n">
        <v>65.60806921281286</v>
      </c>
      <c r="AG59" s="31" t="n">
        <v>70.35929036414753</v>
      </c>
      <c r="AH59" s="31" t="n">
        <v>36.36807723225606</v>
      </c>
      <c r="AI59" s="31" t="n">
        <v>332.1976994408368</v>
      </c>
      <c r="AJ59" s="31" t="n">
        <v>52.02085638971612</v>
      </c>
      <c r="AK59" s="31" t="n">
        <v>55.16087828143331</v>
      </c>
      <c r="AL59" s="31" t="n">
        <v>23.79154686612823</v>
      </c>
      <c r="AM59" s="31" t="n">
        <v>14.56939990540667</v>
      </c>
      <c r="AN59" s="31" t="n">
        <v>41.26503522691878</v>
      </c>
      <c r="AO59" s="31" t="n">
        <v>1.646170339238285</v>
      </c>
      <c r="AP59" s="31" t="n">
        <v>48.47300751974689</v>
      </c>
      <c r="AQ59" s="31" t="n">
        <v>52.18922956945569</v>
      </c>
      <c r="AR59" s="31" t="n">
        <v>1073.657939255937</v>
      </c>
      <c r="AS59" s="31" t="n">
        <v>615.9514152328181</v>
      </c>
      <c r="AT59" s="31" t="n">
        <v>254.823044300532</v>
      </c>
      <c r="AU59" s="31" t="n">
        <v>319.8884091236845</v>
      </c>
      <c r="AV59" s="31" t="n">
        <v>337.8322114601021</v>
      </c>
      <c r="AW59" s="31" t="n">
        <v>3.922973204978994</v>
      </c>
      <c r="AX59" s="31" t="n">
        <v>16.12047959871271</v>
      </c>
      <c r="AY59" s="31" t="n">
        <v>5.804968519191981</v>
      </c>
      <c r="AZ59" s="31" t="n">
        <v>6.057712758257861</v>
      </c>
      <c r="BA59" s="31" t="n">
        <v>44.08308147294213</v>
      </c>
      <c r="BB59" s="31" t="n">
        <v>9.748939079394402</v>
      </c>
      <c r="BC59" s="31" t="n">
        <v>299.7447725754354</v>
      </c>
      <c r="BD59" s="31" t="n">
        <v>13.59721487054626</v>
      </c>
      <c r="BE59" s="31" t="n">
        <v>36.44857120495953</v>
      </c>
      <c r="BF59" s="31" t="n">
        <v>17.64598785718594</v>
      </c>
      <c r="BG59" s="31" t="n">
        <v>20.8618817602164</v>
      </c>
      <c r="BH59" s="31" t="n">
        <v>14.75554529445612</v>
      </c>
      <c r="BI59" s="31" t="n">
        <v>50.8763105568709</v>
      </c>
      <c r="BJ59" s="31" t="n">
        <v>5.246390757116007</v>
      </c>
      <c r="BK59" s="31" t="n">
        <v>259.6653875774895</v>
      </c>
      <c r="BL59" s="31" t="n">
        <v>23.57446425052702</v>
      </c>
      <c r="BM59" s="31" t="n">
        <v>26.8419504931295</v>
      </c>
      <c r="BN59" s="31" t="n">
        <v>34.82589262831445</v>
      </c>
      <c r="BO59" s="31" t="n">
        <v>15.63631600647868</v>
      </c>
      <c r="BP59" s="31" t="n">
        <v>4.522742596142545</v>
      </c>
      <c r="BQ59" s="31" t="n">
        <v>109.8766689660785</v>
      </c>
      <c r="BR59" s="31" t="n">
        <v>0</v>
      </c>
      <c r="BS59" s="31">
        <f>SUM(C59:BR59)</f>
        <v/>
      </c>
      <c r="BT59" s="31" t="n">
        <v>0</v>
      </c>
      <c r="BU59" s="31" t="n">
        <v>0</v>
      </c>
      <c r="BV59" s="31" t="n">
        <v>0</v>
      </c>
      <c r="BW59" s="31" t="n">
        <v>0</v>
      </c>
      <c r="BX59" s="31">
        <f>SUM(BT59:BW59)</f>
        <v/>
      </c>
      <c r="BY59" s="31">
        <f>BS59+BX59</f>
        <v/>
      </c>
    </row>
    <row r="60">
      <c r="A60" s="28" t="inlineStr">
        <is>
          <t>5500</t>
        </is>
      </c>
      <c r="B60" s="28" t="inlineStr">
        <is>
          <t>Alojamento</t>
        </is>
      </c>
      <c r="C60" s="29" t="n">
        <v>1.901029737666665</v>
      </c>
      <c r="D60" s="29" t="n">
        <v>0.4679012980774629</v>
      </c>
      <c r="E60" s="29" t="n">
        <v>1.915999996026148</v>
      </c>
      <c r="F60" s="29" t="n">
        <v>6.582237368944714</v>
      </c>
      <c r="G60" s="29" t="n">
        <v>147.8209099448369</v>
      </c>
      <c r="H60" s="29" t="n">
        <v>40.49539608236019</v>
      </c>
      <c r="I60" s="29" t="n">
        <v>10.86613645799069</v>
      </c>
      <c r="J60" s="29" t="n">
        <v>172.3055084177569</v>
      </c>
      <c r="K60" s="29" t="n">
        <v>21.31120497160937</v>
      </c>
      <c r="L60" s="29" t="n">
        <v>172.6530080667607</v>
      </c>
      <c r="M60" s="29" t="n">
        <v>37.19719458904593</v>
      </c>
      <c r="N60" s="29" t="n">
        <v>19.44175847528709</v>
      </c>
      <c r="O60" s="29" t="n">
        <v>17.97243019129803</v>
      </c>
      <c r="P60" s="29" t="n">
        <v>14.66773251391482</v>
      </c>
      <c r="Q60" s="29" t="n">
        <v>18.6061547708873</v>
      </c>
      <c r="R60" s="29" t="n">
        <v>4.827716077491883</v>
      </c>
      <c r="S60" s="29" t="n">
        <v>48.76798787728293</v>
      </c>
      <c r="T60" s="29" t="n">
        <v>7.878266842341104</v>
      </c>
      <c r="U60" s="29" t="n">
        <v>17.95458613593089</v>
      </c>
      <c r="V60" s="29" t="n">
        <v>6.879344305539466</v>
      </c>
      <c r="W60" s="29" t="n">
        <v>85.43980894283807</v>
      </c>
      <c r="X60" s="29" t="n">
        <v>82.11037350573037</v>
      </c>
      <c r="Y60" s="29" t="n">
        <v>26.99838852051938</v>
      </c>
      <c r="Z60" s="29" t="n">
        <v>131.5869144640142</v>
      </c>
      <c r="AA60" s="29" t="n">
        <v>66.60764876258492</v>
      </c>
      <c r="AB60" s="29" t="n">
        <v>58.53706679216545</v>
      </c>
      <c r="AC60" s="29" t="n">
        <v>103.7915334027612</v>
      </c>
      <c r="AD60" s="29" t="n">
        <v>17.26721526838189</v>
      </c>
      <c r="AE60" s="29" t="n">
        <v>117.8673344614313</v>
      </c>
      <c r="AF60" s="29" t="n">
        <v>117.5297077772198</v>
      </c>
      <c r="AG60" s="29" t="n">
        <v>84.40888377608316</v>
      </c>
      <c r="AH60" s="29" t="n">
        <v>238.9338368349615</v>
      </c>
      <c r="AI60" s="29" t="n">
        <v>101.1426041971444</v>
      </c>
      <c r="AJ60" s="29" t="n">
        <v>59.76780020094405</v>
      </c>
      <c r="AK60" s="29" t="n">
        <v>51.61387000868879</v>
      </c>
      <c r="AL60" s="29" t="n">
        <v>74.36495231875399</v>
      </c>
      <c r="AM60" s="29" t="n">
        <v>42.10932855782801</v>
      </c>
      <c r="AN60" s="29" t="n">
        <v>144.6802724637736</v>
      </c>
      <c r="AO60" s="29" t="n">
        <v>9.556636326064915</v>
      </c>
      <c r="AP60" s="29" t="n">
        <v>1021.59034358327</v>
      </c>
      <c r="AQ60" s="29" t="n">
        <v>267.878511922384</v>
      </c>
      <c r="AR60" s="29" t="n">
        <v>1855.981346743699</v>
      </c>
      <c r="AS60" s="29" t="n">
        <v>130.7931422778002</v>
      </c>
      <c r="AT60" s="29" t="n">
        <v>3.355192871334899</v>
      </c>
      <c r="AU60" s="29" t="n">
        <v>48.37500112160358</v>
      </c>
      <c r="AV60" s="29" t="n">
        <v>134.6819421173026</v>
      </c>
      <c r="AW60" s="29" t="n">
        <v>0.05172612905558117</v>
      </c>
      <c r="AX60" s="29" t="n">
        <v>20.32129267496183</v>
      </c>
      <c r="AY60" s="29" t="n">
        <v>67.96992740231555</v>
      </c>
      <c r="AZ60" s="29" t="n">
        <v>104.7753654121559</v>
      </c>
      <c r="BA60" s="29" t="n">
        <v>66.60454974333275</v>
      </c>
      <c r="BB60" s="29" t="n">
        <v>314.0959193391663</v>
      </c>
      <c r="BC60" s="29" t="n">
        <v>668.2096751851772</v>
      </c>
      <c r="BD60" s="29" t="n">
        <v>39.37121874463123</v>
      </c>
      <c r="BE60" s="29" t="n">
        <v>202.9103289719553</v>
      </c>
      <c r="BF60" s="29" t="n">
        <v>215.876283590979</v>
      </c>
      <c r="BG60" s="29" t="n">
        <v>98.5728038821963</v>
      </c>
      <c r="BH60" s="29" t="n">
        <v>103.9767529110259</v>
      </c>
      <c r="BI60" s="29" t="n">
        <v>94.91881181916023</v>
      </c>
      <c r="BJ60" s="29" t="n">
        <v>31.46618747361689</v>
      </c>
      <c r="BK60" s="29" t="n">
        <v>1418.182264647386</v>
      </c>
      <c r="BL60" s="29" t="n">
        <v>197.3427968794582</v>
      </c>
      <c r="BM60" s="29" t="n">
        <v>227.6234893385196</v>
      </c>
      <c r="BN60" s="29" t="n">
        <v>223.6732206338371</v>
      </c>
      <c r="BO60" s="29" t="n">
        <v>0.08320038214675776</v>
      </c>
      <c r="BP60" s="29" t="n">
        <v>100.1889602467781</v>
      </c>
      <c r="BQ60" s="29" t="n">
        <v>4461.168498473147</v>
      </c>
      <c r="BR60" s="29" t="n">
        <v>0</v>
      </c>
      <c r="BS60" s="29">
        <f>SUM(C60:BR60)</f>
        <v/>
      </c>
      <c r="BT60" s="29" t="n">
        <v>0</v>
      </c>
      <c r="BU60" s="29" t="n">
        <v>0</v>
      </c>
      <c r="BV60" s="29" t="n">
        <v>0</v>
      </c>
      <c r="BW60" s="29" t="n">
        <v>0</v>
      </c>
      <c r="BX60" s="29">
        <f>SUM(BT60:BW60)</f>
        <v/>
      </c>
      <c r="BY60" s="29">
        <f>BS60+BX60</f>
        <v/>
      </c>
    </row>
    <row r="61">
      <c r="A61" s="30" t="inlineStr">
        <is>
          <t>5600</t>
        </is>
      </c>
      <c r="B61" s="30" t="inlineStr">
        <is>
          <t>Alimentação</t>
        </is>
      </c>
      <c r="C61" s="31" t="n">
        <v>2.718945415559226</v>
      </c>
      <c r="D61" s="31" t="n">
        <v>0.435923051443196</v>
      </c>
      <c r="E61" s="31" t="n">
        <v>1.065575497480201</v>
      </c>
      <c r="F61" s="31" t="n">
        <v>2.087252032993272</v>
      </c>
      <c r="G61" s="31" t="n">
        <v>120.6755592290938</v>
      </c>
      <c r="H61" s="31" t="n">
        <v>10.00270544863906</v>
      </c>
      <c r="I61" s="31" t="n">
        <v>3.247500671151295</v>
      </c>
      <c r="J61" s="31" t="n">
        <v>-1.857154747741476</v>
      </c>
      <c r="K61" s="31" t="n">
        <v>3.395862304814232</v>
      </c>
      <c r="L61" s="31" t="n">
        <v>23.16144889137344</v>
      </c>
      <c r="M61" s="31" t="n">
        <v>3.838949440650715</v>
      </c>
      <c r="N61" s="31" t="n">
        <v>0.252720905558614</v>
      </c>
      <c r="O61" s="31" t="n">
        <v>1.294478272718228</v>
      </c>
      <c r="P61" s="31" t="n">
        <v>0.6645354829216699</v>
      </c>
      <c r="Q61" s="31" t="n">
        <v>-0.1460130081056166</v>
      </c>
      <c r="R61" s="31" t="n">
        <v>0.8871450302428724</v>
      </c>
      <c r="S61" s="31" t="n">
        <v>5.205541263265038</v>
      </c>
      <c r="T61" s="31" t="n">
        <v>3.314465641317154</v>
      </c>
      <c r="U61" s="31" t="n">
        <v>3.637253416474073</v>
      </c>
      <c r="V61" s="31" t="n">
        <v>0.3546521019867071</v>
      </c>
      <c r="W61" s="31" t="n">
        <v>14.69080004429921</v>
      </c>
      <c r="X61" s="31" t="n">
        <v>17.54752996403494</v>
      </c>
      <c r="Y61" s="31" t="n">
        <v>0.9751683781899236</v>
      </c>
      <c r="Z61" s="31" t="n">
        <v>35.99393395999246</v>
      </c>
      <c r="AA61" s="31" t="n">
        <v>5.73863855126329</v>
      </c>
      <c r="AB61" s="31" t="n">
        <v>2.54101423117349</v>
      </c>
      <c r="AC61" s="31" t="n">
        <v>6.170857422905666</v>
      </c>
      <c r="AD61" s="31" t="n">
        <v>8.559570495109739</v>
      </c>
      <c r="AE61" s="31" t="n">
        <v>10.05227524103508</v>
      </c>
      <c r="AF61" s="31" t="n">
        <v>5.546904038247063</v>
      </c>
      <c r="AG61" s="31" t="n">
        <v>1.159529595701278</v>
      </c>
      <c r="AH61" s="31" t="n">
        <v>19.59611331085884</v>
      </c>
      <c r="AI61" s="31" t="n">
        <v>76.35249081227599</v>
      </c>
      <c r="AJ61" s="31" t="n">
        <v>6.226515343086412</v>
      </c>
      <c r="AK61" s="31" t="n">
        <v>5.993542860806748</v>
      </c>
      <c r="AL61" s="31" t="n">
        <v>1.679378747644054</v>
      </c>
      <c r="AM61" s="31" t="n">
        <v>13.60311031769216</v>
      </c>
      <c r="AN61" s="31" t="n">
        <v>43.48760626430554</v>
      </c>
      <c r="AO61" s="31" t="n">
        <v>13.03768958157359</v>
      </c>
      <c r="AP61" s="31" t="n">
        <v>47.79235991255219</v>
      </c>
      <c r="AQ61" s="31" t="n">
        <v>29.34080635326511</v>
      </c>
      <c r="AR61" s="31" t="n">
        <v>145.6887482479089</v>
      </c>
      <c r="AS61" s="31" t="n">
        <v>37.19646953254757</v>
      </c>
      <c r="AT61" s="31" t="n">
        <v>8.60369716530041</v>
      </c>
      <c r="AU61" s="31" t="n">
        <v>155.2113504625473</v>
      </c>
      <c r="AV61" s="31" t="n">
        <v>21.22378141040447</v>
      </c>
      <c r="AW61" s="31" t="n">
        <v>34.85956365345044</v>
      </c>
      <c r="AX61" s="31" t="n">
        <v>10.58351846252016</v>
      </c>
      <c r="AY61" s="31" t="n">
        <v>7.861335418090423</v>
      </c>
      <c r="AZ61" s="31" t="n">
        <v>114.7137067843314</v>
      </c>
      <c r="BA61" s="31" t="n">
        <v>57.83714462414451</v>
      </c>
      <c r="BB61" s="31" t="n">
        <v>22.44450242890933</v>
      </c>
      <c r="BC61" s="31" t="n">
        <v>460.8441386710582</v>
      </c>
      <c r="BD61" s="31" t="n">
        <v>12.99535852000728</v>
      </c>
      <c r="BE61" s="31" t="n">
        <v>195.3847966311798</v>
      </c>
      <c r="BF61" s="31" t="n">
        <v>9.930259473284696</v>
      </c>
      <c r="BG61" s="31" t="n">
        <v>35.94745589077458</v>
      </c>
      <c r="BH61" s="31" t="n">
        <v>15.80938037065852</v>
      </c>
      <c r="BI61" s="31" t="n">
        <v>212.5161174555225</v>
      </c>
      <c r="BJ61" s="31" t="n">
        <v>3.506455244492176</v>
      </c>
      <c r="BK61" s="31" t="n">
        <v>1533.334441211687</v>
      </c>
      <c r="BL61" s="31" t="n">
        <v>280.364673162124</v>
      </c>
      <c r="BM61" s="31" t="n">
        <v>48.98328168995244</v>
      </c>
      <c r="BN61" s="31" t="n">
        <v>759.3816297668524</v>
      </c>
      <c r="BO61" s="31" t="n">
        <v>467.6964065589082</v>
      </c>
      <c r="BP61" s="31" t="n">
        <v>10.90905957804912</v>
      </c>
      <c r="BQ61" s="31" t="n">
        <v>1328.866799867162</v>
      </c>
      <c r="BR61" s="31" t="n">
        <v>0</v>
      </c>
      <c r="BS61" s="31">
        <f>SUM(C61:BR61)</f>
        <v/>
      </c>
      <c r="BT61" s="31" t="n">
        <v>0</v>
      </c>
      <c r="BU61" s="31" t="n">
        <v>0</v>
      </c>
      <c r="BV61" s="31" t="n">
        <v>0</v>
      </c>
      <c r="BW61" s="31" t="n">
        <v>0</v>
      </c>
      <c r="BX61" s="31">
        <f>SUM(BT61:BW61)</f>
        <v/>
      </c>
      <c r="BY61" s="31">
        <f>BS61+BX61</f>
        <v/>
      </c>
    </row>
    <row r="62">
      <c r="A62" s="28" t="inlineStr">
        <is>
          <t>5800</t>
        </is>
      </c>
      <c r="B62" s="28" t="inlineStr">
        <is>
          <t>Edição e edição integrada à impressão</t>
        </is>
      </c>
      <c r="C62" s="29" t="n">
        <v>0.1228437412171726</v>
      </c>
      <c r="D62" s="29" t="n">
        <v>-0.00408106526848966</v>
      </c>
      <c r="E62" s="29" t="n">
        <v>0.1071462223696242</v>
      </c>
      <c r="F62" s="29" t="n">
        <v>-0.04605001484452106</v>
      </c>
      <c r="G62" s="29" t="n">
        <v>0.07166463336655485</v>
      </c>
      <c r="H62" s="29" t="n">
        <v>0.2406100644869163</v>
      </c>
      <c r="I62" s="29" t="n">
        <v>0.07215019692862969</v>
      </c>
      <c r="J62" s="29" t="n">
        <v>-6.680822672040938</v>
      </c>
      <c r="K62" s="29" t="n">
        <v>-0.04478176370026789</v>
      </c>
      <c r="L62" s="29" t="n">
        <v>-2.856057291556135</v>
      </c>
      <c r="M62" s="29" t="n">
        <v>7.838853495923238</v>
      </c>
      <c r="N62" s="29" t="n">
        <v>-0.254546455013771</v>
      </c>
      <c r="O62" s="29" t="n">
        <v>-0.4640708764156583</v>
      </c>
      <c r="P62" s="29" t="n">
        <v>-0.6048916677324389</v>
      </c>
      <c r="Q62" s="29" t="n">
        <v>-1.167934585095708</v>
      </c>
      <c r="R62" s="29" t="n">
        <v>0.1436988663621363</v>
      </c>
      <c r="S62" s="29" t="n">
        <v>2.324331163516871</v>
      </c>
      <c r="T62" s="29" t="n">
        <v>46.51589740948404</v>
      </c>
      <c r="U62" s="29" t="n">
        <v>-0.463208239018445</v>
      </c>
      <c r="V62" s="29" t="n">
        <v>-0.2619333693266171</v>
      </c>
      <c r="W62" s="29" t="n">
        <v>71.83092307982741</v>
      </c>
      <c r="X62" s="29" t="n">
        <v>-0.8987150799283923</v>
      </c>
      <c r="Y62" s="29" t="n">
        <v>-0.1104436565449146</v>
      </c>
      <c r="Z62" s="29" t="n">
        <v>-1.395023799685227</v>
      </c>
      <c r="AA62" s="29" t="n">
        <v>-1.451058857813016</v>
      </c>
      <c r="AB62" s="29" t="n">
        <v>-1.224950070830653</v>
      </c>
      <c r="AC62" s="29" t="n">
        <v>-1.273696888677787</v>
      </c>
      <c r="AD62" s="29" t="n">
        <v>-0.4917005817612207</v>
      </c>
      <c r="AE62" s="29" t="n">
        <v>-1.127656115985626</v>
      </c>
      <c r="AF62" s="29" t="n">
        <v>6.181189212265914</v>
      </c>
      <c r="AG62" s="29" t="n">
        <v>-1.04139639386135</v>
      </c>
      <c r="AH62" s="29" t="n">
        <v>-3.098117312433917</v>
      </c>
      <c r="AI62" s="29" t="n">
        <v>0.6680775749578041</v>
      </c>
      <c r="AJ62" s="29" t="n">
        <v>1.642167758767552</v>
      </c>
      <c r="AK62" s="29" t="n">
        <v>-0.05026819793502062</v>
      </c>
      <c r="AL62" s="29" t="n">
        <v>0.02357830694333541</v>
      </c>
      <c r="AM62" s="29" t="n">
        <v>6.96009496459287</v>
      </c>
      <c r="AN62" s="29" t="n">
        <v>53.89786753298751</v>
      </c>
      <c r="AO62" s="29" t="n">
        <v>2.599046316526619</v>
      </c>
      <c r="AP62" s="29" t="n">
        <v>1.2530773342436</v>
      </c>
      <c r="AQ62" s="29" t="n">
        <v>3.341196226430248</v>
      </c>
      <c r="AR62" s="29" t="n">
        <v>325.5608162985727</v>
      </c>
      <c r="AS62" s="29" t="n">
        <v>1.77174324395309</v>
      </c>
      <c r="AT62" s="29" t="n">
        <v>0.02365569858875524</v>
      </c>
      <c r="AU62" s="29" t="n">
        <v>1.243465084166824</v>
      </c>
      <c r="AV62" s="29" t="n">
        <v>1.647710987912449</v>
      </c>
      <c r="AW62" s="29" t="n">
        <v>30.70739690011907</v>
      </c>
      <c r="AX62" s="29" t="n">
        <v>1.87883026885824</v>
      </c>
      <c r="AY62" s="29" t="n">
        <v>87.89374016539027</v>
      </c>
      <c r="AZ62" s="29" t="n">
        <v>12.01006058692422</v>
      </c>
      <c r="BA62" s="29" t="n">
        <v>94.79546288751416</v>
      </c>
      <c r="BB62" s="29" t="n">
        <v>25.13978073507957</v>
      </c>
      <c r="BC62" s="29" t="n">
        <v>920.1335350072175</v>
      </c>
      <c r="BD62" s="29" t="n">
        <v>35.30001476411159</v>
      </c>
      <c r="BE62" s="29" t="n">
        <v>160.4564241700411</v>
      </c>
      <c r="BF62" s="29" t="n">
        <v>79.31790718949634</v>
      </c>
      <c r="BG62" s="29" t="n">
        <v>1468.25517033982</v>
      </c>
      <c r="BH62" s="29" t="n">
        <v>12.01625214952054</v>
      </c>
      <c r="BI62" s="29" t="n">
        <v>40.68806569990786</v>
      </c>
      <c r="BJ62" s="29" t="n">
        <v>-0.00619222511815154</v>
      </c>
      <c r="BK62" s="29" t="n">
        <v>403.8858867400835</v>
      </c>
      <c r="BL62" s="29" t="n">
        <v>1263.595628517259</v>
      </c>
      <c r="BM62" s="29" t="n">
        <v>889.881576666207</v>
      </c>
      <c r="BN62" s="29" t="n">
        <v>19.35798893256999</v>
      </c>
      <c r="BO62" s="29" t="n">
        <v>70.00291726624729</v>
      </c>
      <c r="BP62" s="29" t="n">
        <v>11.82518053991331</v>
      </c>
      <c r="BQ62" s="29" t="n">
        <v>100.7743293731938</v>
      </c>
      <c r="BR62" s="29" t="n">
        <v>0</v>
      </c>
      <c r="BS62" s="29">
        <f>SUM(C62:BR62)</f>
        <v/>
      </c>
      <c r="BT62" s="29" t="n">
        <v>0</v>
      </c>
      <c r="BU62" s="29" t="n">
        <v>0</v>
      </c>
      <c r="BV62" s="29" t="n">
        <v>0</v>
      </c>
      <c r="BW62" s="29" t="n">
        <v>0</v>
      </c>
      <c r="BX62" s="29">
        <f>SUM(BT62:BW62)</f>
        <v/>
      </c>
      <c r="BY62" s="29">
        <f>BS62+BX62</f>
        <v/>
      </c>
    </row>
    <row r="63">
      <c r="A63" s="30" t="inlineStr">
        <is>
          <t>5980</t>
        </is>
      </c>
      <c r="B63" s="30" t="inlineStr">
        <is>
          <t>Atividades de televisão, rádio, cinema e  gravação/edição de som e imagem</t>
        </is>
      </c>
      <c r="C63" s="31" t="n">
        <v>-0.00380908652842808</v>
      </c>
      <c r="D63" s="31" t="n">
        <v>-0.002864341807275485</v>
      </c>
      <c r="E63" s="31" t="n">
        <v>5.753050685353396e-05</v>
      </c>
      <c r="F63" s="31" t="n">
        <v>-0.03173886466524308</v>
      </c>
      <c r="G63" s="31" t="n">
        <v>-0.04329470019708378</v>
      </c>
      <c r="H63" s="31" t="n">
        <v>-0.05492116387183977</v>
      </c>
      <c r="I63" s="31" t="n">
        <v>-0.0385213132578945</v>
      </c>
      <c r="J63" s="31" t="n">
        <v>-5.594605494206887</v>
      </c>
      <c r="K63" s="31" t="n">
        <v>-0.3100076191375467</v>
      </c>
      <c r="L63" s="31" t="n">
        <v>-3.525372534943318</v>
      </c>
      <c r="M63" s="31" t="n">
        <v>-0.1647838909639973</v>
      </c>
      <c r="N63" s="31" t="n">
        <v>-0.1737989984544887</v>
      </c>
      <c r="O63" s="31" t="n">
        <v>-0.554442635557142</v>
      </c>
      <c r="P63" s="31" t="n">
        <v>-0.6660821642960764</v>
      </c>
      <c r="Q63" s="31" t="n">
        <v>-0.8845992459239447</v>
      </c>
      <c r="R63" s="31" t="n">
        <v>-0.2375238931848896</v>
      </c>
      <c r="S63" s="31" t="n">
        <v>-1.505696179209119</v>
      </c>
      <c r="T63" s="31" t="n">
        <v>-0.06821147279419201</v>
      </c>
      <c r="U63" s="31" t="n">
        <v>-0.4347405605967875</v>
      </c>
      <c r="V63" s="31" t="n">
        <v>-0.3265706645393159</v>
      </c>
      <c r="W63" s="31" t="n">
        <v>-0.6927738673796892</v>
      </c>
      <c r="X63" s="31" t="n">
        <v>-0.9339022081112188</v>
      </c>
      <c r="Y63" s="31" t="n">
        <v>-0.07807829159541377</v>
      </c>
      <c r="Z63" s="31" t="n">
        <v>-1.143446077104092</v>
      </c>
      <c r="AA63" s="31" t="n">
        <v>-1.475816189173419</v>
      </c>
      <c r="AB63" s="31" t="n">
        <v>-1.08570995323416</v>
      </c>
      <c r="AC63" s="31" t="n">
        <v>-1.14836864184035</v>
      </c>
      <c r="AD63" s="31" t="n">
        <v>-0.3642488958840428</v>
      </c>
      <c r="AE63" s="31" t="n">
        <v>-1.223701393948952</v>
      </c>
      <c r="AF63" s="31" t="n">
        <v>-0.8160806302366292</v>
      </c>
      <c r="AG63" s="31" t="n">
        <v>-0.9588922800835622</v>
      </c>
      <c r="AH63" s="31" t="n">
        <v>-2.609586285660812</v>
      </c>
      <c r="AI63" s="31" t="n">
        <v>-0.1002624121731812</v>
      </c>
      <c r="AJ63" s="31" t="n">
        <v>-0.02569301829962582</v>
      </c>
      <c r="AK63" s="31" t="n">
        <v>-0.1521219089751033</v>
      </c>
      <c r="AL63" s="31" t="n">
        <v>-0.5849505671955212</v>
      </c>
      <c r="AM63" s="31" t="n">
        <v>-0.009237939955214582</v>
      </c>
      <c r="AN63" s="31" t="n">
        <v>0.008044826156769031</v>
      </c>
      <c r="AO63" s="31" t="n">
        <v>-0.006731122868807456</v>
      </c>
      <c r="AP63" s="31" t="n">
        <v>0.0105520774148109</v>
      </c>
      <c r="AQ63" s="31" t="n">
        <v>0.0271442066703302</v>
      </c>
      <c r="AR63" s="31" t="n">
        <v>-4.554655899910919</v>
      </c>
      <c r="AS63" s="31" t="n">
        <v>0.127373376124312</v>
      </c>
      <c r="AT63" s="31" t="n">
        <v>0.0004565284462586021</v>
      </c>
      <c r="AU63" s="31" t="n">
        <v>0.001361584420378774</v>
      </c>
      <c r="AV63" s="31" t="n">
        <v>0.01751101225303696</v>
      </c>
      <c r="AW63" s="31" t="n">
        <v>0.4856538035697042</v>
      </c>
      <c r="AX63" s="31" t="n">
        <v>0.03379715205225223</v>
      </c>
      <c r="AY63" s="31" t="n">
        <v>1.283714959446898</v>
      </c>
      <c r="AZ63" s="31" t="n">
        <v>695.8521061441775</v>
      </c>
      <c r="BA63" s="31" t="n">
        <v>680.865457118962</v>
      </c>
      <c r="BB63" s="31" t="n">
        <v>-0.1529556097515212</v>
      </c>
      <c r="BC63" s="31" t="n">
        <v>0.2502691327476425</v>
      </c>
      <c r="BD63" s="31" t="n">
        <v>0.0164264908077254</v>
      </c>
      <c r="BE63" s="31" t="n">
        <v>-0.304624931800644</v>
      </c>
      <c r="BF63" s="31" t="n">
        <v>-0.03352610448053745</v>
      </c>
      <c r="BG63" s="31" t="n">
        <v>4094.62215868302</v>
      </c>
      <c r="BH63" s="31" t="n">
        <v>0.008561664245988268</v>
      </c>
      <c r="BI63" s="31" t="n">
        <v>1.912773035524088</v>
      </c>
      <c r="BJ63" s="31" t="n">
        <v>0.3200125365376625</v>
      </c>
      <c r="BK63" s="31" t="n">
        <v>0.02613755647591025</v>
      </c>
      <c r="BL63" s="31" t="n">
        <v>0.006162461965880463</v>
      </c>
      <c r="BM63" s="31" t="n">
        <v>0.01934237159089995</v>
      </c>
      <c r="BN63" s="31" t="n">
        <v>0.006737475102997121</v>
      </c>
      <c r="BO63" s="31" t="n">
        <v>0.01570073836394317</v>
      </c>
      <c r="BP63" s="31" t="n">
        <v>13.48494213156829</v>
      </c>
      <c r="BQ63" s="31" t="n">
        <v>0.0152674982484584</v>
      </c>
      <c r="BR63" s="31" t="n">
        <v>0</v>
      </c>
      <c r="BS63" s="31">
        <f>SUM(C63:BR63)</f>
        <v/>
      </c>
      <c r="BT63" s="31" t="n">
        <v>0</v>
      </c>
      <c r="BU63" s="31" t="n">
        <v>0</v>
      </c>
      <c r="BV63" s="31" t="n">
        <v>0</v>
      </c>
      <c r="BW63" s="31" t="n">
        <v>0</v>
      </c>
      <c r="BX63" s="31">
        <f>SUM(BT63:BW63)</f>
        <v/>
      </c>
      <c r="BY63" s="31">
        <f>BS63+BX63</f>
        <v/>
      </c>
    </row>
    <row r="64">
      <c r="A64" s="28" t="inlineStr">
        <is>
          <t>6100</t>
        </is>
      </c>
      <c r="B64" s="28" t="inlineStr">
        <is>
          <t>Telecomunicações</t>
        </is>
      </c>
      <c r="C64" s="29" t="n">
        <v>1.363701157052005</v>
      </c>
      <c r="D64" s="29" t="n">
        <v>0.7793200612458668</v>
      </c>
      <c r="E64" s="29" t="n">
        <v>1.558349588816366</v>
      </c>
      <c r="F64" s="29" t="n">
        <v>6.426598928492966</v>
      </c>
      <c r="G64" s="29" t="n">
        <v>118.3880833619851</v>
      </c>
      <c r="H64" s="29" t="n">
        <v>14.01856789801656</v>
      </c>
      <c r="I64" s="29" t="n">
        <v>5.452916159318129</v>
      </c>
      <c r="J64" s="29" t="n">
        <v>138.4832629198984</v>
      </c>
      <c r="K64" s="29" t="n">
        <v>39.73316880757355</v>
      </c>
      <c r="L64" s="29" t="n">
        <v>258.3647385166935</v>
      </c>
      <c r="M64" s="29" t="n">
        <v>78.843003824205</v>
      </c>
      <c r="N64" s="29" t="n">
        <v>3.701888374906892</v>
      </c>
      <c r="O64" s="29" t="n">
        <v>46.95675744327003</v>
      </c>
      <c r="P64" s="29" t="n">
        <v>121.1277602380541</v>
      </c>
      <c r="Q64" s="29" t="n">
        <v>37.38713620884533</v>
      </c>
      <c r="R64" s="29" t="n">
        <v>18.10714124828903</v>
      </c>
      <c r="S64" s="29" t="n">
        <v>70.09536013634222</v>
      </c>
      <c r="T64" s="29" t="n">
        <v>78.0623061570971</v>
      </c>
      <c r="U64" s="29" t="n">
        <v>44.79281780034571</v>
      </c>
      <c r="V64" s="29" t="n">
        <v>23.57454080281575</v>
      </c>
      <c r="W64" s="29" t="n">
        <v>55.10889604510636</v>
      </c>
      <c r="X64" s="29" t="n">
        <v>47.89655358890637</v>
      </c>
      <c r="Y64" s="29" t="n">
        <v>6.447989689075532</v>
      </c>
      <c r="Z64" s="29" t="n">
        <v>48.69774539473246</v>
      </c>
      <c r="AA64" s="29" t="n">
        <v>67.99246142428493</v>
      </c>
      <c r="AB64" s="29" t="n">
        <v>108.8414383371142</v>
      </c>
      <c r="AC64" s="29" t="n">
        <v>34.0994670939907</v>
      </c>
      <c r="AD64" s="29" t="n">
        <v>13.43290825971114</v>
      </c>
      <c r="AE64" s="29" t="n">
        <v>89.575214867098</v>
      </c>
      <c r="AF64" s="29" t="n">
        <v>183.9754078239644</v>
      </c>
      <c r="AG64" s="29" t="n">
        <v>93.25431748277326</v>
      </c>
      <c r="AH64" s="29" t="n">
        <v>113.3230027014253</v>
      </c>
      <c r="AI64" s="29" t="n">
        <v>302.1151603420112</v>
      </c>
      <c r="AJ64" s="29" t="n">
        <v>244.5071555744666</v>
      </c>
      <c r="AK64" s="29" t="n">
        <v>57.43347919353389</v>
      </c>
      <c r="AL64" s="29" t="n">
        <v>96.38637457155585</v>
      </c>
      <c r="AM64" s="29" t="n">
        <v>22.00312200844781</v>
      </c>
      <c r="AN64" s="29" t="n">
        <v>91.25887872352058</v>
      </c>
      <c r="AO64" s="29" t="n">
        <v>32.93629816144845</v>
      </c>
      <c r="AP64" s="29" t="n">
        <v>293.9628221528632</v>
      </c>
      <c r="AQ64" s="29" t="n">
        <v>253.4077354538265</v>
      </c>
      <c r="AR64" s="29" t="n">
        <v>1371.247048332689</v>
      </c>
      <c r="AS64" s="29" t="n">
        <v>184.1104059480092</v>
      </c>
      <c r="AT64" s="29" t="n">
        <v>6.23819216090903</v>
      </c>
      <c r="AU64" s="29" t="n">
        <v>13.44657587704851</v>
      </c>
      <c r="AV64" s="29" t="n">
        <v>160.3628706029759</v>
      </c>
      <c r="AW64" s="29" t="n">
        <v>48.44756708329536</v>
      </c>
      <c r="AX64" s="29" t="n">
        <v>130.9188248732926</v>
      </c>
      <c r="AY64" s="29" t="n">
        <v>38.00148653341252</v>
      </c>
      <c r="AZ64" s="29" t="n">
        <v>73.25870056018981</v>
      </c>
      <c r="BA64" s="29" t="n">
        <v>4999.748877815321</v>
      </c>
      <c r="BB64" s="29" t="n">
        <v>301.3480239868132</v>
      </c>
      <c r="BC64" s="29" t="n">
        <v>1878.379226743553</v>
      </c>
      <c r="BD64" s="29" t="n">
        <v>137.5659066593539</v>
      </c>
      <c r="BE64" s="29" t="n">
        <v>529.7524446906066</v>
      </c>
      <c r="BF64" s="29" t="n">
        <v>88.90935374580187</v>
      </c>
      <c r="BG64" s="29" t="n">
        <v>530.5652939991613</v>
      </c>
      <c r="BH64" s="29" t="n">
        <v>27.42799539766657</v>
      </c>
      <c r="BI64" s="29" t="n">
        <v>327.039177756837</v>
      </c>
      <c r="BJ64" s="29" t="n">
        <v>59.98992216173431</v>
      </c>
      <c r="BK64" s="29" t="n">
        <v>1060.25903262588</v>
      </c>
      <c r="BL64" s="29" t="n">
        <v>213.8261006641612</v>
      </c>
      <c r="BM64" s="29" t="n">
        <v>245.6595723708898</v>
      </c>
      <c r="BN64" s="29" t="n">
        <v>103.8164706114671</v>
      </c>
      <c r="BO64" s="29" t="n">
        <v>208.1656597438165</v>
      </c>
      <c r="BP64" s="29" t="n">
        <v>58.59487075993835</v>
      </c>
      <c r="BQ64" s="29" t="n">
        <v>355.8780730648694</v>
      </c>
      <c r="BR64" s="29" t="n">
        <v>0</v>
      </c>
      <c r="BS64" s="29">
        <f>SUM(C64:BR64)</f>
        <v/>
      </c>
      <c r="BT64" s="29" t="n">
        <v>0</v>
      </c>
      <c r="BU64" s="29" t="n">
        <v>0</v>
      </c>
      <c r="BV64" s="29" t="n">
        <v>0</v>
      </c>
      <c r="BW64" s="29" t="n">
        <v>0</v>
      </c>
      <c r="BX64" s="29">
        <f>SUM(BT64:BW64)</f>
        <v/>
      </c>
      <c r="BY64" s="29">
        <f>BS64+BX64</f>
        <v/>
      </c>
    </row>
    <row r="65">
      <c r="A65" s="30" t="inlineStr">
        <is>
          <t>6280</t>
        </is>
      </c>
      <c r="B65" s="30" t="inlineStr">
        <is>
          <t>Desenvolvimento de sistemas e outros serviços de informação</t>
        </is>
      </c>
      <c r="C65" s="31" t="n">
        <v>1.936157578536939</v>
      </c>
      <c r="D65" s="31" t="n">
        <v>1.079032533777017</v>
      </c>
      <c r="E65" s="31" t="n">
        <v>0.1111122859888814</v>
      </c>
      <c r="F65" s="31" t="n">
        <v>0.000737303307541017</v>
      </c>
      <c r="G65" s="31" t="n">
        <v>6.276663620835443</v>
      </c>
      <c r="H65" s="31" t="n">
        <v>18.20782756493216</v>
      </c>
      <c r="I65" s="31" t="n">
        <v>2.963033395520791</v>
      </c>
      <c r="J65" s="31" t="n">
        <v>19.33673800457652</v>
      </c>
      <c r="K65" s="31" t="n">
        <v>-0.1125280870007041</v>
      </c>
      <c r="L65" s="31" t="n">
        <v>59.4565273234807</v>
      </c>
      <c r="M65" s="31" t="n">
        <v>6.225789954067324</v>
      </c>
      <c r="N65" s="31" t="n">
        <v>2.621447169107725</v>
      </c>
      <c r="O65" s="31" t="n">
        <v>1.886761374935056</v>
      </c>
      <c r="P65" s="31" t="n">
        <v>2.390814987896035</v>
      </c>
      <c r="Q65" s="31" t="n">
        <v>-2.303740932528711</v>
      </c>
      <c r="R65" s="31" t="n">
        <v>0.2209193638623801</v>
      </c>
      <c r="S65" s="31" t="n">
        <v>7.627531997198318</v>
      </c>
      <c r="T65" s="31" t="n">
        <v>0.8105450050998096</v>
      </c>
      <c r="U65" s="31" t="n">
        <v>2.282219672563206</v>
      </c>
      <c r="V65" s="31" t="n">
        <v>-1.154464659982824</v>
      </c>
      <c r="W65" s="31" t="n">
        <v>28.75774849680262</v>
      </c>
      <c r="X65" s="31" t="n">
        <v>15.21149408889796</v>
      </c>
      <c r="Y65" s="31" t="n">
        <v>1.725197413552448</v>
      </c>
      <c r="Z65" s="31" t="n">
        <v>31.29967639159722</v>
      </c>
      <c r="AA65" s="31" t="n">
        <v>7.453406212368032</v>
      </c>
      <c r="AB65" s="31" t="n">
        <v>5.605420863734733</v>
      </c>
      <c r="AC65" s="31" t="n">
        <v>9.988581036479644</v>
      </c>
      <c r="AD65" s="31" t="n">
        <v>0.7488458760945451</v>
      </c>
      <c r="AE65" s="31" t="n">
        <v>6.236320018698818</v>
      </c>
      <c r="AF65" s="31" t="n">
        <v>79.78330839767357</v>
      </c>
      <c r="AG65" s="31" t="n">
        <v>31.75175417378984</v>
      </c>
      <c r="AH65" s="31" t="n">
        <v>17.58238399113383</v>
      </c>
      <c r="AI65" s="31" t="n">
        <v>89.37468233372535</v>
      </c>
      <c r="AJ65" s="31" t="n">
        <v>11.64306495557588</v>
      </c>
      <c r="AK65" s="31" t="n">
        <v>7.939428908709651</v>
      </c>
      <c r="AL65" s="31" t="n">
        <v>9.20038393299536</v>
      </c>
      <c r="AM65" s="31" t="n">
        <v>11.93775956432409</v>
      </c>
      <c r="AN65" s="31" t="n">
        <v>124.3566960178505</v>
      </c>
      <c r="AO65" s="31" t="n">
        <v>29.23111300202743</v>
      </c>
      <c r="AP65" s="31" t="n">
        <v>57.37661289258161</v>
      </c>
      <c r="AQ65" s="31" t="n">
        <v>43.1200900585976</v>
      </c>
      <c r="AR65" s="31" t="n">
        <v>763.4828381425039</v>
      </c>
      <c r="AS65" s="31" t="n">
        <v>78.81128207549091</v>
      </c>
      <c r="AT65" s="31" t="n">
        <v>0.1616580973837477</v>
      </c>
      <c r="AU65" s="31" t="n">
        <v>68.18854915905018</v>
      </c>
      <c r="AV65" s="31" t="n">
        <v>111.9400146727793</v>
      </c>
      <c r="AW65" s="31" t="n">
        <v>6.835341530565293</v>
      </c>
      <c r="AX65" s="31" t="n">
        <v>8.515138127330717</v>
      </c>
      <c r="AY65" s="31" t="n">
        <v>66.28178733363498</v>
      </c>
      <c r="AZ65" s="31" t="n">
        <v>112.6960345420643</v>
      </c>
      <c r="BA65" s="31" t="n">
        <v>315.2315989015727</v>
      </c>
      <c r="BB65" s="31" t="n">
        <v>805.3169391676597</v>
      </c>
      <c r="BC65" s="31" t="n">
        <v>1624.69752540353</v>
      </c>
      <c r="BD65" s="31" t="n">
        <v>36.46202633719199</v>
      </c>
      <c r="BE65" s="31" t="n">
        <v>239.8088798048455</v>
      </c>
      <c r="BF65" s="31" t="n">
        <v>5.973937992647904</v>
      </c>
      <c r="BG65" s="31" t="n">
        <v>468.0324987185128</v>
      </c>
      <c r="BH65" s="31" t="n">
        <v>38.12447678710207</v>
      </c>
      <c r="BI65" s="31" t="n">
        <v>81.49671518110206</v>
      </c>
      <c r="BJ65" s="31" t="n">
        <v>17.40539624228352</v>
      </c>
      <c r="BK65" s="31" t="n">
        <v>983.8588834058475</v>
      </c>
      <c r="BL65" s="31" t="n">
        <v>164.1002796168347</v>
      </c>
      <c r="BM65" s="31" t="n">
        <v>36.9719731437893</v>
      </c>
      <c r="BN65" s="31" t="n">
        <v>268.4313523729845</v>
      </c>
      <c r="BO65" s="31" t="n">
        <v>0.5115645894670747</v>
      </c>
      <c r="BP65" s="31" t="n">
        <v>17.11884900033876</v>
      </c>
      <c r="BQ65" s="31" t="n">
        <v>151.6709391926034</v>
      </c>
      <c r="BR65" s="31" t="n">
        <v>0</v>
      </c>
      <c r="BS65" s="31">
        <f>SUM(C65:BR65)</f>
        <v/>
      </c>
      <c r="BT65" s="31" t="n">
        <v>0</v>
      </c>
      <c r="BU65" s="31" t="n">
        <v>0</v>
      </c>
      <c r="BV65" s="31" t="n">
        <v>0</v>
      </c>
      <c r="BW65" s="31" t="n">
        <v>0</v>
      </c>
      <c r="BX65" s="31">
        <f>SUM(BT65:BW65)</f>
        <v/>
      </c>
      <c r="BY65" s="31">
        <f>BS65+BX65</f>
        <v/>
      </c>
    </row>
    <row r="66">
      <c r="A66" s="28" t="inlineStr">
        <is>
          <t>6480</t>
        </is>
      </c>
      <c r="B66" s="28" t="inlineStr">
        <is>
          <t>Intermediação financeira, seguros e previdência complementar</t>
        </is>
      </c>
      <c r="C66" s="29" t="n">
        <v>780.4119797146353</v>
      </c>
      <c r="D66" s="29" t="n">
        <v>278.0494468730075</v>
      </c>
      <c r="E66" s="29" t="n">
        <v>65.82906936943454</v>
      </c>
      <c r="F66" s="29" t="n">
        <v>94.2161834590575</v>
      </c>
      <c r="G66" s="29" t="n">
        <v>713.087759925064</v>
      </c>
      <c r="H66" s="29" t="n">
        <v>283.0945131419811</v>
      </c>
      <c r="I66" s="29" t="n">
        <v>61.8129416055304</v>
      </c>
      <c r="J66" s="29" t="n">
        <v>676.2647452905759</v>
      </c>
      <c r="K66" s="29" t="n">
        <v>224.2673472394359</v>
      </c>
      <c r="L66" s="29" t="n">
        <v>669.6471176495384</v>
      </c>
      <c r="M66" s="29" t="n">
        <v>204.5666741032226</v>
      </c>
      <c r="N66" s="29" t="n">
        <v>47.2393304346645</v>
      </c>
      <c r="O66" s="29" t="n">
        <v>123.6152685961629</v>
      </c>
      <c r="P66" s="29" t="n">
        <v>150.9560799658965</v>
      </c>
      <c r="Q66" s="29" t="n">
        <v>111.3416548739163</v>
      </c>
      <c r="R66" s="29" t="n">
        <v>75.18545506329426</v>
      </c>
      <c r="S66" s="29" t="n">
        <v>279.0865857375981</v>
      </c>
      <c r="T66" s="29" t="n">
        <v>60.36515071509918</v>
      </c>
      <c r="U66" s="29" t="n">
        <v>454.0226714912919</v>
      </c>
      <c r="V66" s="29" t="n">
        <v>125.9986150475137</v>
      </c>
      <c r="W66" s="29" t="n">
        <v>484.7378386509362</v>
      </c>
      <c r="X66" s="29" t="n">
        <v>191.5089847552658</v>
      </c>
      <c r="Y66" s="29" t="n">
        <v>109.122652384138</v>
      </c>
      <c r="Z66" s="29" t="n">
        <v>137.7117137366543</v>
      </c>
      <c r="AA66" s="29" t="n">
        <v>267.7732742562857</v>
      </c>
      <c r="AB66" s="29" t="n">
        <v>318.6773819405934</v>
      </c>
      <c r="AC66" s="29" t="n">
        <v>383.4915192287836</v>
      </c>
      <c r="AD66" s="29" t="n">
        <v>158.1994475260514</v>
      </c>
      <c r="AE66" s="29" t="n">
        <v>254.2616631523906</v>
      </c>
      <c r="AF66" s="29" t="n">
        <v>241.8642436372105</v>
      </c>
      <c r="AG66" s="29" t="n">
        <v>205.05024995535</v>
      </c>
      <c r="AH66" s="29" t="n">
        <v>369.2690554385946</v>
      </c>
      <c r="AI66" s="29" t="n">
        <v>493.4782023853726</v>
      </c>
      <c r="AJ66" s="29" t="n">
        <v>186.9132694343063</v>
      </c>
      <c r="AK66" s="29" t="n">
        <v>154.5090525116093</v>
      </c>
      <c r="AL66" s="29" t="n">
        <v>154.0417398714896</v>
      </c>
      <c r="AM66" s="29" t="n">
        <v>99.0904107000388</v>
      </c>
      <c r="AN66" s="29" t="n">
        <v>784.6256084392433</v>
      </c>
      <c r="AO66" s="29" t="n">
        <v>183.4780552145034</v>
      </c>
      <c r="AP66" s="29" t="n">
        <v>1502.875593748739</v>
      </c>
      <c r="AQ66" s="29" t="n">
        <v>413.8593496335042</v>
      </c>
      <c r="AR66" s="29" t="n">
        <v>3773.016744009081</v>
      </c>
      <c r="AS66" s="29" t="n">
        <v>1243.336450122448</v>
      </c>
      <c r="AT66" s="29" t="n">
        <v>76.96188209100066</v>
      </c>
      <c r="AU66" s="29" t="n">
        <v>201.9158677322923</v>
      </c>
      <c r="AV66" s="29" t="n">
        <v>444.7438061331364</v>
      </c>
      <c r="AW66" s="29" t="n">
        <v>81.61248925286164</v>
      </c>
      <c r="AX66" s="29" t="n">
        <v>448.2959731631624</v>
      </c>
      <c r="AY66" s="29" t="n">
        <v>84.87866703850936</v>
      </c>
      <c r="AZ66" s="29" t="n">
        <v>169.4931046631629</v>
      </c>
      <c r="BA66" s="29" t="n">
        <v>936.0789260306825</v>
      </c>
      <c r="BB66" s="29" t="n">
        <v>345.4699935457716</v>
      </c>
      <c r="BC66" s="29" t="n">
        <v>9831.71299880546</v>
      </c>
      <c r="BD66" s="29" t="n">
        <v>3121.571699771392</v>
      </c>
      <c r="BE66" s="29" t="n">
        <v>576.3669992606067</v>
      </c>
      <c r="BF66" s="29" t="n">
        <v>233.8818307983036</v>
      </c>
      <c r="BG66" s="29" t="n">
        <v>117.6556648157366</v>
      </c>
      <c r="BH66" s="29" t="n">
        <v>206.1911173085551</v>
      </c>
      <c r="BI66" s="29" t="n">
        <v>654.5377871313166</v>
      </c>
      <c r="BJ66" s="29" t="n">
        <v>142.7679061422679</v>
      </c>
      <c r="BK66" s="29" t="n">
        <v>7577.116332073771</v>
      </c>
      <c r="BL66" s="29" t="n">
        <v>65.96288502322602</v>
      </c>
      <c r="BM66" s="29" t="n">
        <v>255.4444193877843</v>
      </c>
      <c r="BN66" s="29" t="n">
        <v>72.95788014804531</v>
      </c>
      <c r="BO66" s="29" t="n">
        <v>624.3219293171658</v>
      </c>
      <c r="BP66" s="29" t="n">
        <v>129.1698159527881</v>
      </c>
      <c r="BQ66" s="29" t="n">
        <v>349.0043200514411</v>
      </c>
      <c r="BR66" s="29" t="n">
        <v>0</v>
      </c>
      <c r="BS66" s="29">
        <f>SUM(C66:BR66)</f>
        <v/>
      </c>
      <c r="BT66" s="29" t="n">
        <v>0</v>
      </c>
      <c r="BU66" s="29" t="n">
        <v>0</v>
      </c>
      <c r="BV66" s="29" t="n">
        <v>0</v>
      </c>
      <c r="BW66" s="29" t="n">
        <v>0</v>
      </c>
      <c r="BX66" s="29">
        <f>SUM(BT66:BW66)</f>
        <v/>
      </c>
      <c r="BY66" s="29">
        <f>BS66+BX66</f>
        <v/>
      </c>
    </row>
    <row r="67">
      <c r="A67" s="30" t="inlineStr">
        <is>
          <t>6800</t>
        </is>
      </c>
      <c r="B67" s="30" t="inlineStr">
        <is>
          <t>Atividades imobiliárias</t>
        </is>
      </c>
      <c r="C67" s="31" t="n">
        <v>0.1898199027130329</v>
      </c>
      <c r="D67" s="31" t="n">
        <v>0.1186374391956453</v>
      </c>
      <c r="E67" s="31" t="n">
        <v>0.1898199027130329</v>
      </c>
      <c r="F67" s="31" t="n">
        <v>0.5220047324608394</v>
      </c>
      <c r="G67" s="31" t="n">
        <v>6.833516497669164</v>
      </c>
      <c r="H67" s="31" t="n">
        <v>0.5694597081390979</v>
      </c>
      <c r="I67" s="31" t="n">
        <v>0.450822268943452</v>
      </c>
      <c r="J67" s="31" t="n">
        <v>14.35513014267314</v>
      </c>
      <c r="K67" s="31" t="n">
        <v>4.057400420491067</v>
      </c>
      <c r="L67" s="31" t="n">
        <v>10.79600696680372</v>
      </c>
      <c r="M67" s="31" t="n">
        <v>1.637196660899906</v>
      </c>
      <c r="N67" s="31" t="n">
        <v>0.5694597081390979</v>
      </c>
      <c r="O67" s="31" t="n">
        <v>7.592796108521295</v>
      </c>
      <c r="P67" s="31" t="n">
        <v>9.206265281582091</v>
      </c>
      <c r="Q67" s="31" t="n">
        <v>2.372748783912908</v>
      </c>
      <c r="R67" s="31" t="n">
        <v>0.7830070986912608</v>
      </c>
      <c r="S67" s="31" t="n">
        <v>3.559123175869373</v>
      </c>
      <c r="T67" s="31" t="n">
        <v>1.352466806830361</v>
      </c>
      <c r="U67" s="31" t="n">
        <v>3.867580517778034</v>
      </c>
      <c r="V67" s="31" t="n">
        <v>3.606578151547616</v>
      </c>
      <c r="W67" s="31" t="n">
        <v>3.748943078582406</v>
      </c>
      <c r="X67" s="31" t="n">
        <v>2.11174641768249</v>
      </c>
      <c r="Y67" s="31" t="n">
        <v>3.962490469134561</v>
      </c>
      <c r="Z67" s="31" t="n">
        <v>5.670869593551862</v>
      </c>
      <c r="AA67" s="31" t="n">
        <v>9.79945247756034</v>
      </c>
      <c r="AB67" s="31" t="n">
        <v>5.362412251643181</v>
      </c>
      <c r="AC67" s="31" t="n">
        <v>5.860689496264896</v>
      </c>
      <c r="AD67" s="31" t="n">
        <v>0.2847298540695489</v>
      </c>
      <c r="AE67" s="31" t="n">
        <v>6.026781911138787</v>
      </c>
      <c r="AF67" s="31" t="n">
        <v>5.291229788125795</v>
      </c>
      <c r="AG67" s="31" t="n">
        <v>2.799843565017239</v>
      </c>
      <c r="AH67" s="31" t="n">
        <v>6.05050939897793</v>
      </c>
      <c r="AI67" s="31" t="n">
        <v>3.203210858282427</v>
      </c>
      <c r="AJ67" s="31" t="n">
        <v>4.603132640791046</v>
      </c>
      <c r="AK67" s="31" t="n">
        <v>1.96938149064772</v>
      </c>
      <c r="AL67" s="31" t="n">
        <v>5.765779544908368</v>
      </c>
      <c r="AM67" s="31" t="n">
        <v>1.281284343312971</v>
      </c>
      <c r="AN67" s="31" t="n">
        <v>26.62224135550293</v>
      </c>
      <c r="AO67" s="31" t="n">
        <v>6.643696594956151</v>
      </c>
      <c r="AP67" s="31" t="n">
        <v>38.91308005617172</v>
      </c>
      <c r="AQ67" s="31" t="n">
        <v>91.37455566848618</v>
      </c>
      <c r="AR67" s="31" t="n">
        <v>881.7609030777179</v>
      </c>
      <c r="AS67" s="31" t="n">
        <v>27.38152096635498</v>
      </c>
      <c r="AT67" s="31" t="n">
        <v>1.54228670954339</v>
      </c>
      <c r="AU67" s="31" t="n">
        <v>2.586296174465073</v>
      </c>
      <c r="AV67" s="31" t="n">
        <v>59.10517220727046</v>
      </c>
      <c r="AW67" s="31" t="n">
        <v>28.5441678704723</v>
      </c>
      <c r="AX67" s="31" t="n">
        <v>114.1766714818892</v>
      </c>
      <c r="AY67" s="31" t="n">
        <v>7.355521230130043</v>
      </c>
      <c r="AZ67" s="31" t="n">
        <v>11.57901406549502</v>
      </c>
      <c r="BA67" s="31" t="n">
        <v>65.0370441670529</v>
      </c>
      <c r="BB67" s="31" t="n">
        <v>37.01488102904134</v>
      </c>
      <c r="BC67" s="31" t="n">
        <v>130.7384579936017</v>
      </c>
      <c r="BD67" s="31" t="n">
        <v>55.33250164084921</v>
      </c>
      <c r="BE67" s="31" t="n">
        <v>114.0105790670151</v>
      </c>
      <c r="BF67" s="31" t="n">
        <v>23.86985276616385</v>
      </c>
      <c r="BG67" s="31" t="n">
        <v>24.22576508375079</v>
      </c>
      <c r="BH67" s="31" t="n">
        <v>28.92380767589841</v>
      </c>
      <c r="BI67" s="31" t="n">
        <v>68.45380241588737</v>
      </c>
      <c r="BJ67" s="31" t="n">
        <v>6.240329301690963</v>
      </c>
      <c r="BK67" s="31" t="n">
        <v>65.06077165489205</v>
      </c>
      <c r="BL67" s="31" t="n">
        <v>16.68042395090779</v>
      </c>
      <c r="BM67" s="31" t="n">
        <v>97.54370250665957</v>
      </c>
      <c r="BN67" s="31" t="n">
        <v>11.2468292357472</v>
      </c>
      <c r="BO67" s="31" t="n">
        <v>45.91268896871481</v>
      </c>
      <c r="BP67" s="31" t="n">
        <v>96.30987313902507</v>
      </c>
      <c r="BQ67" s="31" t="n">
        <v>73.50775732562209</v>
      </c>
      <c r="BR67" s="31" t="n">
        <v>0</v>
      </c>
      <c r="BS67" s="31">
        <f>SUM(C67:BR67)</f>
        <v/>
      </c>
      <c r="BT67" s="31" t="n">
        <v>0</v>
      </c>
      <c r="BU67" s="31" t="n">
        <v>0</v>
      </c>
      <c r="BV67" s="31" t="n">
        <v>0</v>
      </c>
      <c r="BW67" s="31" t="n">
        <v>0</v>
      </c>
      <c r="BX67" s="31">
        <f>SUM(BT67:BW67)</f>
        <v/>
      </c>
      <c r="BY67" s="31">
        <f>BS67+BX67</f>
        <v/>
      </c>
    </row>
    <row r="68">
      <c r="A68" s="28" t="inlineStr">
        <is>
          <t>6980</t>
        </is>
      </c>
      <c r="B68" s="28" t="inlineStr">
        <is>
          <t>Atividades jurídicas, contábeis, consultoria e sedes de empresas</t>
        </is>
      </c>
      <c r="C68" s="29" t="n">
        <v>1.38792322885957</v>
      </c>
      <c r="D68" s="29" t="n">
        <v>0.72633038795873</v>
      </c>
      <c r="E68" s="29" t="n">
        <v>2.848052044915827</v>
      </c>
      <c r="F68" s="29" t="n">
        <v>31.76615539133319</v>
      </c>
      <c r="G68" s="29" t="n">
        <v>490.9398381952805</v>
      </c>
      <c r="H68" s="29" t="n">
        <v>157.6533488781783</v>
      </c>
      <c r="I68" s="29" t="n">
        <v>14.2095311952479</v>
      </c>
      <c r="J68" s="29" t="n">
        <v>275.9573678380931</v>
      </c>
      <c r="K68" s="29" t="n">
        <v>53.6033370907667</v>
      </c>
      <c r="L68" s="29" t="n">
        <v>431.9698262224699</v>
      </c>
      <c r="M68" s="29" t="n">
        <v>118.2259378547114</v>
      </c>
      <c r="N68" s="29" t="n">
        <v>49.13936332468236</v>
      </c>
      <c r="O68" s="29" t="n">
        <v>22.15106873275776</v>
      </c>
      <c r="P68" s="29" t="n">
        <v>20.07683055718071</v>
      </c>
      <c r="Q68" s="29" t="n">
        <v>13.74285695619901</v>
      </c>
      <c r="R68" s="29" t="n">
        <v>15.11269102016879</v>
      </c>
      <c r="S68" s="29" t="n">
        <v>118.0982505875909</v>
      </c>
      <c r="T68" s="29" t="n">
        <v>10.27884044996813</v>
      </c>
      <c r="U68" s="29" t="n">
        <v>314.1246701920157</v>
      </c>
      <c r="V68" s="29" t="n">
        <v>30.2767691393342</v>
      </c>
      <c r="W68" s="29" t="n">
        <v>181.9889917977778</v>
      </c>
      <c r="X68" s="29" t="n">
        <v>203.9860075967555</v>
      </c>
      <c r="Y68" s="29" t="n">
        <v>86.23915114493732</v>
      </c>
      <c r="Z68" s="29" t="n">
        <v>236.8053643564029</v>
      </c>
      <c r="AA68" s="29" t="n">
        <v>101.8973766405111</v>
      </c>
      <c r="AB68" s="29" t="n">
        <v>163.0693260421913</v>
      </c>
      <c r="AC68" s="29" t="n">
        <v>92.41775439070614</v>
      </c>
      <c r="AD68" s="29" t="n">
        <v>49.71784981080494</v>
      </c>
      <c r="AE68" s="29" t="n">
        <v>56.52745143722012</v>
      </c>
      <c r="AF68" s="29" t="n">
        <v>190.3038726170441</v>
      </c>
      <c r="AG68" s="29" t="n">
        <v>140.1197993309162</v>
      </c>
      <c r="AH68" s="29" t="n">
        <v>131.2048465065758</v>
      </c>
      <c r="AI68" s="29" t="n">
        <v>171.7256232815894</v>
      </c>
      <c r="AJ68" s="29" t="n">
        <v>66.87488793094995</v>
      </c>
      <c r="AK68" s="29" t="n">
        <v>27.16818733391067</v>
      </c>
      <c r="AL68" s="29" t="n">
        <v>24.2457976919238</v>
      </c>
      <c r="AM68" s="29" t="n">
        <v>40.59284809664508</v>
      </c>
      <c r="AN68" s="29" t="n">
        <v>66.04822238705979</v>
      </c>
      <c r="AO68" s="29" t="n">
        <v>72.38773801737966</v>
      </c>
      <c r="AP68" s="29" t="n">
        <v>342.1061922940837</v>
      </c>
      <c r="AQ68" s="29" t="n">
        <v>430.4241408556711</v>
      </c>
      <c r="AR68" s="29" t="n">
        <v>1396.459926528853</v>
      </c>
      <c r="AS68" s="29" t="n">
        <v>141.4859575345457</v>
      </c>
      <c r="AT68" s="29" t="n">
        <v>6.888953185800004</v>
      </c>
      <c r="AU68" s="29" t="n">
        <v>28.8120835884309</v>
      </c>
      <c r="AV68" s="29" t="n">
        <v>109.5813216611904</v>
      </c>
      <c r="AW68" s="29" t="n">
        <v>13.66051652366982</v>
      </c>
      <c r="AX68" s="29" t="n">
        <v>57.02638767776264</v>
      </c>
      <c r="AY68" s="29" t="n">
        <v>34.04510842599054</v>
      </c>
      <c r="AZ68" s="29" t="n">
        <v>161.1954486897164</v>
      </c>
      <c r="BA68" s="29" t="n">
        <v>219.6336225193303</v>
      </c>
      <c r="BB68" s="29" t="n">
        <v>165.2444094137737</v>
      </c>
      <c r="BC68" s="29" t="n">
        <v>1001.138482718722</v>
      </c>
      <c r="BD68" s="29" t="n">
        <v>143.8868265179273</v>
      </c>
      <c r="BE68" s="29" t="n">
        <v>989.7575123240026</v>
      </c>
      <c r="BF68" s="29" t="n">
        <v>313.9840818285464</v>
      </c>
      <c r="BG68" s="29" t="n">
        <v>23.13821958282455</v>
      </c>
      <c r="BH68" s="29" t="n">
        <v>53.3332031724394</v>
      </c>
      <c r="BI68" s="29" t="n">
        <v>213.8987542404651</v>
      </c>
      <c r="BJ68" s="29" t="n">
        <v>79.44988557867327</v>
      </c>
      <c r="BK68" s="29" t="n">
        <v>312.1197197174129</v>
      </c>
      <c r="BL68" s="29" t="n">
        <v>11.9314829768851</v>
      </c>
      <c r="BM68" s="29" t="n">
        <v>120.8557657024882</v>
      </c>
      <c r="BN68" s="29" t="n">
        <v>23.78364296754876</v>
      </c>
      <c r="BO68" s="29" t="n">
        <v>128.3831595573263</v>
      </c>
      <c r="BP68" s="29" t="n">
        <v>70.64345034057929</v>
      </c>
      <c r="BQ68" s="29" t="n">
        <v>206.0125189490093</v>
      </c>
      <c r="BR68" s="29" t="n">
        <v>0</v>
      </c>
      <c r="BS68" s="29">
        <f>SUM(C68:BR68)</f>
        <v/>
      </c>
      <c r="BT68" s="29" t="n">
        <v>0</v>
      </c>
      <c r="BU68" s="29" t="n">
        <v>0</v>
      </c>
      <c r="BV68" s="29" t="n">
        <v>0</v>
      </c>
      <c r="BW68" s="29" t="n">
        <v>0</v>
      </c>
      <c r="BX68" s="29">
        <f>SUM(BT68:BW68)</f>
        <v/>
      </c>
      <c r="BY68" s="29">
        <f>BS68+BX68</f>
        <v/>
      </c>
    </row>
    <row r="69">
      <c r="A69" s="30" t="inlineStr">
        <is>
          <t>7180</t>
        </is>
      </c>
      <c r="B69" s="30" t="inlineStr">
        <is>
          <t>Serviços de arquitetura, engenharia, testes/análises técnicas e P &amp; D</t>
        </is>
      </c>
      <c r="C69" s="31" t="n">
        <v>68.75785260042548</v>
      </c>
      <c r="D69" s="31" t="n">
        <v>2.866517940619552</v>
      </c>
      <c r="E69" s="31" t="n">
        <v>0.03271685628513718</v>
      </c>
      <c r="F69" s="31" t="n">
        <v>9.062681353716179</v>
      </c>
      <c r="G69" s="31" t="n">
        <v>246.0323444976214</v>
      </c>
      <c r="H69" s="31" t="n">
        <v>39.40926018290661</v>
      </c>
      <c r="I69" s="31" t="n">
        <v>18.33991906460372</v>
      </c>
      <c r="J69" s="31" t="n">
        <v>139.3959106440929</v>
      </c>
      <c r="K69" s="31" t="n">
        <v>43.99104514656594</v>
      </c>
      <c r="L69" s="31" t="n">
        <v>132.1287384856334</v>
      </c>
      <c r="M69" s="31" t="n">
        <v>30.25449586388901</v>
      </c>
      <c r="N69" s="31" t="n">
        <v>16.365709516843</v>
      </c>
      <c r="O69" s="31" t="n">
        <v>9.193032867997816</v>
      </c>
      <c r="P69" s="31" t="n">
        <v>23.39479814519837</v>
      </c>
      <c r="Q69" s="31" t="n">
        <v>15.80560665265025</v>
      </c>
      <c r="R69" s="31" t="n">
        <v>5.585846276477778</v>
      </c>
      <c r="S69" s="31" t="n">
        <v>60.11010377818921</v>
      </c>
      <c r="T69" s="31" t="n">
        <v>6.139610621165602</v>
      </c>
      <c r="U69" s="31" t="n">
        <v>21.64899040736584</v>
      </c>
      <c r="V69" s="31" t="n">
        <v>27.41493944418771</v>
      </c>
      <c r="W69" s="31" t="n">
        <v>88.6924480154599</v>
      </c>
      <c r="X69" s="31" t="n">
        <v>69.90876920301514</v>
      </c>
      <c r="Y69" s="31" t="n">
        <v>56.99000923711306</v>
      </c>
      <c r="Z69" s="31" t="n">
        <v>116.3895606121583</v>
      </c>
      <c r="AA69" s="31" t="n">
        <v>114.4495648292994</v>
      </c>
      <c r="AB69" s="31" t="n">
        <v>84.5588248667861</v>
      </c>
      <c r="AC69" s="31" t="n">
        <v>47.07079800548122</v>
      </c>
      <c r="AD69" s="31" t="n">
        <v>33.26607274143915</v>
      </c>
      <c r="AE69" s="31" t="n">
        <v>65.25181685130812</v>
      </c>
      <c r="AF69" s="31" t="n">
        <v>104.932641799068</v>
      </c>
      <c r="AG69" s="31" t="n">
        <v>52.00656457620198</v>
      </c>
      <c r="AH69" s="31" t="n">
        <v>258.0569384567847</v>
      </c>
      <c r="AI69" s="31" t="n">
        <v>267.2670326133262</v>
      </c>
      <c r="AJ69" s="31" t="n">
        <v>88.23706003712405</v>
      </c>
      <c r="AK69" s="31" t="n">
        <v>38.44860516330871</v>
      </c>
      <c r="AL69" s="31" t="n">
        <v>33.66611117007075</v>
      </c>
      <c r="AM69" s="31" t="n">
        <v>30.24938335334184</v>
      </c>
      <c r="AN69" s="31" t="n">
        <v>408.9592210639894</v>
      </c>
      <c r="AO69" s="31" t="n">
        <v>58.3609373215862</v>
      </c>
      <c r="AP69" s="31" t="n">
        <v>661.4773347638534</v>
      </c>
      <c r="AQ69" s="31" t="n">
        <v>13.01164761288505</v>
      </c>
      <c r="AR69" s="31" t="n">
        <v>195.8115422878199</v>
      </c>
      <c r="AS69" s="31" t="n">
        <v>48.34972306134932</v>
      </c>
      <c r="AT69" s="31" t="n">
        <v>1.927702752540939</v>
      </c>
      <c r="AU69" s="31" t="n">
        <v>0.02173723462861525</v>
      </c>
      <c r="AV69" s="31" t="n">
        <v>579.7489669943053</v>
      </c>
      <c r="AW69" s="31" t="n">
        <v>1.066737078208779</v>
      </c>
      <c r="AX69" s="31" t="n">
        <v>1.783682333486169</v>
      </c>
      <c r="AY69" s="31" t="n">
        <v>-0.1888598572392962</v>
      </c>
      <c r="AZ69" s="31" t="n">
        <v>-0.1607921875912406</v>
      </c>
      <c r="BA69" s="31" t="n">
        <v>-0.1621424214749644</v>
      </c>
      <c r="BB69" s="31" t="n">
        <v>42.40483215453235</v>
      </c>
      <c r="BC69" s="31" t="n">
        <v>97.1821226453209</v>
      </c>
      <c r="BD69" s="31" t="n">
        <v>3.092410940369573</v>
      </c>
      <c r="BE69" s="31" t="n">
        <v>0.8128260008342498</v>
      </c>
      <c r="BF69" s="31" t="n">
        <v>450.7333364370979</v>
      </c>
      <c r="BG69" s="31" t="n">
        <v>0.1195642979049305</v>
      </c>
      <c r="BH69" s="31" t="n">
        <v>9.982936210381366</v>
      </c>
      <c r="BI69" s="31" t="n">
        <v>4.40578335711497</v>
      </c>
      <c r="BJ69" s="31" t="n">
        <v>0.06600823333090498</v>
      </c>
      <c r="BK69" s="31" t="n">
        <v>574.2233863430419</v>
      </c>
      <c r="BL69" s="31" t="n">
        <v>195.4416839824779</v>
      </c>
      <c r="BM69" s="31" t="n">
        <v>14.06446801591273</v>
      </c>
      <c r="BN69" s="31" t="n">
        <v>187.1446412714516</v>
      </c>
      <c r="BO69" s="31" t="n">
        <v>0.4197818751471482</v>
      </c>
      <c r="BP69" s="31" t="n">
        <v>0.7680392011365409</v>
      </c>
      <c r="BQ69" s="31" t="n">
        <v>0.6312256051640442</v>
      </c>
      <c r="BR69" s="31" t="n">
        <v>0</v>
      </c>
      <c r="BS69" s="31">
        <f>SUM(C69:BR69)</f>
        <v/>
      </c>
      <c r="BT69" s="31" t="n">
        <v>0</v>
      </c>
      <c r="BU69" s="31" t="n">
        <v>0</v>
      </c>
      <c r="BV69" s="31" t="n">
        <v>0</v>
      </c>
      <c r="BW69" s="31" t="n">
        <v>0</v>
      </c>
      <c r="BX69" s="31">
        <f>SUM(BT69:BW69)</f>
        <v/>
      </c>
      <c r="BY69" s="31">
        <f>BS69+BX69</f>
        <v/>
      </c>
    </row>
    <row r="70">
      <c r="A70" s="28" t="inlineStr">
        <is>
          <t>7380</t>
        </is>
      </c>
      <c r="B70" s="28" t="inlineStr">
        <is>
          <t>Outras atividades profissionais, científicas e técnicas</t>
        </is>
      </c>
      <c r="C70" s="29" t="n">
        <v>0.9569676213406079</v>
      </c>
      <c r="D70" s="29" t="n">
        <v>25.4383760741936</v>
      </c>
      <c r="E70" s="29" t="n">
        <v>5.979391074829894</v>
      </c>
      <c r="F70" s="29" t="n">
        <v>2.408369756997728</v>
      </c>
      <c r="G70" s="29" t="n">
        <v>31.90794165552566</v>
      </c>
      <c r="H70" s="29" t="n">
        <v>0.4213126399877117</v>
      </c>
      <c r="I70" s="29" t="n">
        <v>0.03543822584560368</v>
      </c>
      <c r="J70" s="29" t="n">
        <v>136.4122558144572</v>
      </c>
      <c r="K70" s="29" t="n">
        <v>10.49264589189574</v>
      </c>
      <c r="L70" s="29" t="n">
        <v>222.1657338525077</v>
      </c>
      <c r="M70" s="29" t="n">
        <v>343.4329493375557</v>
      </c>
      <c r="N70" s="29" t="n">
        <v>18.91368205221928</v>
      </c>
      <c r="O70" s="29" t="n">
        <v>6.411572753643318</v>
      </c>
      <c r="P70" s="29" t="n">
        <v>28.01159899012809</v>
      </c>
      <c r="Q70" s="29" t="n">
        <v>60.0943157089579</v>
      </c>
      <c r="R70" s="29" t="n">
        <v>2.012691586370282</v>
      </c>
      <c r="S70" s="29" t="n">
        <v>36.0039912238493</v>
      </c>
      <c r="T70" s="29" t="n">
        <v>4.983574390150079</v>
      </c>
      <c r="U70" s="29" t="n">
        <v>10.81835422069199</v>
      </c>
      <c r="V70" s="29" t="n">
        <v>4.616739923643769</v>
      </c>
      <c r="W70" s="29" t="n">
        <v>7.121807700814357</v>
      </c>
      <c r="X70" s="29" t="n">
        <v>29.4938366248639</v>
      </c>
      <c r="Y70" s="29" t="n">
        <v>89.59164752893157</v>
      </c>
      <c r="Z70" s="29" t="n">
        <v>127.2479221639933</v>
      </c>
      <c r="AA70" s="29" t="n">
        <v>32.47157817563166</v>
      </c>
      <c r="AB70" s="29" t="n">
        <v>20.33072672693217</v>
      </c>
      <c r="AC70" s="29" t="n">
        <v>11.66605749185071</v>
      </c>
      <c r="AD70" s="29" t="n">
        <v>0.9832608817456897</v>
      </c>
      <c r="AE70" s="29" t="n">
        <v>34.5824399387325</v>
      </c>
      <c r="AF70" s="29" t="n">
        <v>111.5782561235348</v>
      </c>
      <c r="AG70" s="29" t="n">
        <v>47.7002570049586</v>
      </c>
      <c r="AH70" s="29" t="n">
        <v>34.15421694629924</v>
      </c>
      <c r="AI70" s="29" t="n">
        <v>330.7779522116227</v>
      </c>
      <c r="AJ70" s="29" t="n">
        <v>10.0862609783831</v>
      </c>
      <c r="AK70" s="29" t="n">
        <v>20.67537663676354</v>
      </c>
      <c r="AL70" s="29" t="n">
        <v>29.23842658484051</v>
      </c>
      <c r="AM70" s="29" t="n">
        <v>6.313499368535925</v>
      </c>
      <c r="AN70" s="29" t="n">
        <v>202.1333729609032</v>
      </c>
      <c r="AO70" s="29" t="n">
        <v>12.12898211200695</v>
      </c>
      <c r="AP70" s="29" t="n">
        <v>150.8131941816867</v>
      </c>
      <c r="AQ70" s="29" t="n">
        <v>182.9017802823361</v>
      </c>
      <c r="AR70" s="29" t="n">
        <v>1101.823640638493</v>
      </c>
      <c r="AS70" s="29" t="n">
        <v>41.37214419248842</v>
      </c>
      <c r="AT70" s="29" t="n">
        <v>2.370548444892274</v>
      </c>
      <c r="AU70" s="29" t="n">
        <v>13.31460604449924</v>
      </c>
      <c r="AV70" s="29" t="n">
        <v>69.66171582442794</v>
      </c>
      <c r="AW70" s="29" t="n">
        <v>21.01004076385491</v>
      </c>
      <c r="AX70" s="29" t="n">
        <v>48.61613066490723</v>
      </c>
      <c r="AY70" s="29" t="n">
        <v>75.48163928380797</v>
      </c>
      <c r="AZ70" s="29" t="n">
        <v>135.0972481065136</v>
      </c>
      <c r="BA70" s="29" t="n">
        <v>284.1761021185436</v>
      </c>
      <c r="BB70" s="29" t="n">
        <v>103.7241194595535</v>
      </c>
      <c r="BC70" s="29" t="n">
        <v>736.3944199829821</v>
      </c>
      <c r="BD70" s="29" t="n">
        <v>63.56619837227363</v>
      </c>
      <c r="BE70" s="29" t="n">
        <v>273.1565707330142</v>
      </c>
      <c r="BF70" s="29" t="n">
        <v>27.63937374050077</v>
      </c>
      <c r="BG70" s="29" t="n">
        <v>116.4740715420531</v>
      </c>
      <c r="BH70" s="29" t="n">
        <v>68.39285530402704</v>
      </c>
      <c r="BI70" s="29" t="n">
        <v>97.05616204570124</v>
      </c>
      <c r="BJ70" s="29" t="n">
        <v>11.66023892600832</v>
      </c>
      <c r="BK70" s="29" t="n">
        <v>273.6938519337398</v>
      </c>
      <c r="BL70" s="29" t="n">
        <v>50.21826318161905</v>
      </c>
      <c r="BM70" s="29" t="n">
        <v>163.8363339270512</v>
      </c>
      <c r="BN70" s="29" t="n">
        <v>77.4581585141823</v>
      </c>
      <c r="BO70" s="29" t="n">
        <v>2.298736675712619</v>
      </c>
      <c r="BP70" s="29" t="n">
        <v>102.9090020659936</v>
      </c>
      <c r="BQ70" s="29" t="n">
        <v>106.5022998414708</v>
      </c>
      <c r="BR70" s="29" t="n">
        <v>0</v>
      </c>
      <c r="BS70" s="29">
        <f>SUM(C70:BR70)</f>
        <v/>
      </c>
      <c r="BT70" s="29" t="n">
        <v>0</v>
      </c>
      <c r="BU70" s="29" t="n">
        <v>0</v>
      </c>
      <c r="BV70" s="29" t="n">
        <v>0</v>
      </c>
      <c r="BW70" s="29" t="n">
        <v>0</v>
      </c>
      <c r="BX70" s="29">
        <f>SUM(BT70:BW70)</f>
        <v/>
      </c>
      <c r="BY70" s="29">
        <f>BS70+BX70</f>
        <v/>
      </c>
    </row>
    <row r="71">
      <c r="A71" s="30" t="inlineStr">
        <is>
          <t>7700</t>
        </is>
      </c>
      <c r="B71" s="30" t="inlineStr">
        <is>
          <t>Aluguéis não-imobiliários e gestão de ativos de propriedade intelectual</t>
        </is>
      </c>
      <c r="C71" s="31" t="n">
        <v>213.0791099913679</v>
      </c>
      <c r="D71" s="31" t="n">
        <v>36.40646052847154</v>
      </c>
      <c r="E71" s="31" t="n">
        <v>64.58698742456161</v>
      </c>
      <c r="F71" s="31" t="n">
        <v>170.7145241508575</v>
      </c>
      <c r="G71" s="31" t="n">
        <v>8036.115990301691</v>
      </c>
      <c r="H71" s="31" t="n">
        <v>839.4660665758997</v>
      </c>
      <c r="I71" s="31" t="n">
        <v>193.8207192648184</v>
      </c>
      <c r="J71" s="31" t="n">
        <v>255.7791330968035</v>
      </c>
      <c r="K71" s="31" t="n">
        <v>308.0588918039635</v>
      </c>
      <c r="L71" s="31" t="n">
        <v>850.6341166194469</v>
      </c>
      <c r="M71" s="31" t="n">
        <v>320.4195601190224</v>
      </c>
      <c r="N71" s="31" t="n">
        <v>33.99533589524088</v>
      </c>
      <c r="O71" s="31" t="n">
        <v>40.8476623890792</v>
      </c>
      <c r="P71" s="31" t="n">
        <v>80.35090700711957</v>
      </c>
      <c r="Q71" s="31" t="n">
        <v>57.45513320162836</v>
      </c>
      <c r="R71" s="31" t="n">
        <v>96.77508024488222</v>
      </c>
      <c r="S71" s="31" t="n">
        <v>520.1667705837402</v>
      </c>
      <c r="T71" s="31" t="n">
        <v>134.8800826320653</v>
      </c>
      <c r="U71" s="31" t="n">
        <v>337.0895023021972</v>
      </c>
      <c r="V71" s="31" t="n">
        <v>46.71972653665853</v>
      </c>
      <c r="W71" s="31" t="n">
        <v>306.8269993880116</v>
      </c>
      <c r="X71" s="31" t="n">
        <v>350.4221393838887</v>
      </c>
      <c r="Y71" s="31" t="n">
        <v>73.86552821072536</v>
      </c>
      <c r="Z71" s="31" t="n">
        <v>146.037146041966</v>
      </c>
      <c r="AA71" s="31" t="n">
        <v>453.9687661583766</v>
      </c>
      <c r="AB71" s="31" t="n">
        <v>319.9244756429578</v>
      </c>
      <c r="AC71" s="31" t="n">
        <v>394.4481467543669</v>
      </c>
      <c r="AD71" s="31" t="n">
        <v>173.1335634438274</v>
      </c>
      <c r="AE71" s="31" t="n">
        <v>577.1304092103593</v>
      </c>
      <c r="AF71" s="31" t="n">
        <v>505.3614740063355</v>
      </c>
      <c r="AG71" s="31" t="n">
        <v>172.6840215793029</v>
      </c>
      <c r="AH71" s="31" t="n">
        <v>583.6563105637861</v>
      </c>
      <c r="AI71" s="31" t="n">
        <v>1433.326940592813</v>
      </c>
      <c r="AJ71" s="31" t="n">
        <v>410.5611866355921</v>
      </c>
      <c r="AK71" s="31" t="n">
        <v>510.1649103361273</v>
      </c>
      <c r="AL71" s="31" t="n">
        <v>188.2444422652887</v>
      </c>
      <c r="AM71" s="31" t="n">
        <v>271.4121268300332</v>
      </c>
      <c r="AN71" s="31" t="n">
        <v>625.3482204340164</v>
      </c>
      <c r="AO71" s="31" t="n">
        <v>1070.599160075692</v>
      </c>
      <c r="AP71" s="31" t="n">
        <v>3945.176779579996</v>
      </c>
      <c r="AQ71" s="31" t="n">
        <v>635.4679190139368</v>
      </c>
      <c r="AR71" s="31" t="n">
        <v>5839.653630158449</v>
      </c>
      <c r="AS71" s="31" t="n">
        <v>2955.873568549483</v>
      </c>
      <c r="AT71" s="31" t="n">
        <v>716.1177835465573</v>
      </c>
      <c r="AU71" s="31" t="n">
        <v>2065.810249159751</v>
      </c>
      <c r="AV71" s="31" t="n">
        <v>1468.343662771915</v>
      </c>
      <c r="AW71" s="31" t="n">
        <v>102.9434659109005</v>
      </c>
      <c r="AX71" s="31" t="n">
        <v>811.5346475424415</v>
      </c>
      <c r="AY71" s="31" t="n">
        <v>690.3920144011402</v>
      </c>
      <c r="AZ71" s="31" t="n">
        <v>887.8864037112793</v>
      </c>
      <c r="BA71" s="31" t="n">
        <v>4338.407614394192</v>
      </c>
      <c r="BB71" s="31" t="n">
        <v>1763.113084285187</v>
      </c>
      <c r="BC71" s="31" t="n">
        <v>1222.495258827505</v>
      </c>
      <c r="BD71" s="31" t="n">
        <v>183.5681175489978</v>
      </c>
      <c r="BE71" s="31" t="n">
        <v>525.6496371606853</v>
      </c>
      <c r="BF71" s="31" t="n">
        <v>798.2398690054396</v>
      </c>
      <c r="BG71" s="31" t="n">
        <v>196.0865745985051</v>
      </c>
      <c r="BH71" s="31" t="n">
        <v>1296.733071273148</v>
      </c>
      <c r="BI71" s="31" t="n">
        <v>747.7134052124067</v>
      </c>
      <c r="BJ71" s="31" t="n">
        <v>242.4187716236504</v>
      </c>
      <c r="BK71" s="31" t="n">
        <v>2523.55541295121</v>
      </c>
      <c r="BL71" s="31" t="n">
        <v>1049.65641194618</v>
      </c>
      <c r="BM71" s="31" t="n">
        <v>1579.071713123258</v>
      </c>
      <c r="BN71" s="31" t="n">
        <v>1239.79303561815</v>
      </c>
      <c r="BO71" s="31" t="n">
        <v>540.3839743309245</v>
      </c>
      <c r="BP71" s="31" t="n">
        <v>394.8004067913814</v>
      </c>
      <c r="BQ71" s="31" t="n">
        <v>173.9062837928757</v>
      </c>
      <c r="BR71" s="31" t="n">
        <v>0</v>
      </c>
      <c r="BS71" s="31">
        <f>SUM(C71:BR71)</f>
        <v/>
      </c>
      <c r="BT71" s="31" t="n">
        <v>0</v>
      </c>
      <c r="BU71" s="31" t="n">
        <v>0</v>
      </c>
      <c r="BV71" s="31" t="n">
        <v>0</v>
      </c>
      <c r="BW71" s="31" t="n">
        <v>0</v>
      </c>
      <c r="BX71" s="31">
        <f>SUM(BT71:BW71)</f>
        <v/>
      </c>
      <c r="BY71" s="31">
        <f>BS71+BX71</f>
        <v/>
      </c>
    </row>
    <row r="72">
      <c r="A72" s="28" t="inlineStr">
        <is>
          <t>7880</t>
        </is>
      </c>
      <c r="B72" s="28" t="inlineStr">
        <is>
          <t>Outras atividades administrativas e serviços complementares</t>
        </is>
      </c>
      <c r="C72" s="29" t="n">
        <v>1.475394702331448</v>
      </c>
      <c r="D72" s="29" t="n">
        <v>0.8267781079617001</v>
      </c>
      <c r="E72" s="29" t="n">
        <v>2.466389332272943</v>
      </c>
      <c r="F72" s="29" t="n">
        <v>44.99487412446612</v>
      </c>
      <c r="G72" s="29" t="n">
        <v>38.95678890262285</v>
      </c>
      <c r="H72" s="29" t="n">
        <v>28.01793893830081</v>
      </c>
      <c r="I72" s="29" t="n">
        <v>13.02881321536829</v>
      </c>
      <c r="J72" s="29" t="n">
        <v>38.76223044303097</v>
      </c>
      <c r="K72" s="29" t="n">
        <v>28.64988471148765</v>
      </c>
      <c r="L72" s="29" t="n">
        <v>77.75033922897499</v>
      </c>
      <c r="M72" s="29" t="n">
        <v>83.12202070065439</v>
      </c>
      <c r="N72" s="29" t="n">
        <v>10.59811077577265</v>
      </c>
      <c r="O72" s="29" t="n">
        <v>16.5624135476328</v>
      </c>
      <c r="P72" s="29" t="n">
        <v>12.96613684374545</v>
      </c>
      <c r="Q72" s="29" t="n">
        <v>18.77642029679386</v>
      </c>
      <c r="R72" s="29" t="n">
        <v>2.363422858253871</v>
      </c>
      <c r="S72" s="29" t="n">
        <v>28.12371868927227</v>
      </c>
      <c r="T72" s="29" t="n">
        <v>2.190909240699982</v>
      </c>
      <c r="U72" s="29" t="n">
        <v>11.29143406975649</v>
      </c>
      <c r="V72" s="29" t="n">
        <v>16.27555999597475</v>
      </c>
      <c r="W72" s="29" t="n">
        <v>36.16516912340902</v>
      </c>
      <c r="X72" s="29" t="n">
        <v>43.35307367001957</v>
      </c>
      <c r="Y72" s="29" t="n">
        <v>29.64748490825445</v>
      </c>
      <c r="Z72" s="29" t="n">
        <v>94.84375313761544</v>
      </c>
      <c r="AA72" s="29" t="n">
        <v>32.88987486939949</v>
      </c>
      <c r="AB72" s="29" t="n">
        <v>71.14345232753702</v>
      </c>
      <c r="AC72" s="29" t="n">
        <v>31.21432345954497</v>
      </c>
      <c r="AD72" s="29" t="n">
        <v>37.82268832415716</v>
      </c>
      <c r="AE72" s="29" t="n">
        <v>52.2871617263389</v>
      </c>
      <c r="AF72" s="29" t="n">
        <v>86.56620441514532</v>
      </c>
      <c r="AG72" s="29" t="n">
        <v>52.12019452503624</v>
      </c>
      <c r="AH72" s="29" t="n">
        <v>170.3915762839967</v>
      </c>
      <c r="AI72" s="29" t="n">
        <v>97.00797690149383</v>
      </c>
      <c r="AJ72" s="29" t="n">
        <v>24.27163646668451</v>
      </c>
      <c r="AK72" s="29" t="n">
        <v>15.09325954751801</v>
      </c>
      <c r="AL72" s="29" t="n">
        <v>17.20550480966466</v>
      </c>
      <c r="AM72" s="29" t="n">
        <v>29.73624004885883</v>
      </c>
      <c r="AN72" s="29" t="n">
        <v>221.6818401634854</v>
      </c>
      <c r="AO72" s="29" t="n">
        <v>19.08306782635967</v>
      </c>
      <c r="AP72" s="29" t="n">
        <v>171.4496234297586</v>
      </c>
      <c r="AQ72" s="29" t="n">
        <v>137.7294709991887</v>
      </c>
      <c r="AR72" s="29" t="n">
        <v>2043.564080778746</v>
      </c>
      <c r="AS72" s="29" t="n">
        <v>113.9978633307516</v>
      </c>
      <c r="AT72" s="29" t="n">
        <v>9.017547687807225</v>
      </c>
      <c r="AU72" s="29" t="n">
        <v>59.73378201712212</v>
      </c>
      <c r="AV72" s="29" t="n">
        <v>176.8168699984618</v>
      </c>
      <c r="AW72" s="29" t="n">
        <v>69.2379252680104</v>
      </c>
      <c r="AX72" s="29" t="n">
        <v>102.7803728487724</v>
      </c>
      <c r="AY72" s="29" t="n">
        <v>25.27077346717694</v>
      </c>
      <c r="AZ72" s="29" t="n">
        <v>50.89389791891219</v>
      </c>
      <c r="BA72" s="29" t="n">
        <v>1539.772151849182</v>
      </c>
      <c r="BB72" s="29" t="n">
        <v>401.7030161798386</v>
      </c>
      <c r="BC72" s="29" t="n">
        <v>1660.799517959791</v>
      </c>
      <c r="BD72" s="29" t="n">
        <v>74.48670318417064</v>
      </c>
      <c r="BE72" s="29" t="n">
        <v>243.1867803665398</v>
      </c>
      <c r="BF72" s="29" t="n">
        <v>47.34144065892838</v>
      </c>
      <c r="BG72" s="29" t="n">
        <v>49.92822636573016</v>
      </c>
      <c r="BH72" s="29" t="n">
        <v>47.46015692997116</v>
      </c>
      <c r="BI72" s="29" t="n">
        <v>326.5905498186228</v>
      </c>
      <c r="BJ72" s="29" t="n">
        <v>31.33296450627359</v>
      </c>
      <c r="BK72" s="29" t="n">
        <v>1949.710411014104</v>
      </c>
      <c r="BL72" s="29" t="n">
        <v>893.9327236232991</v>
      </c>
      <c r="BM72" s="29" t="n">
        <v>222.3356701044609</v>
      </c>
      <c r="BN72" s="29" t="n">
        <v>866.4382218560233</v>
      </c>
      <c r="BO72" s="29" t="n">
        <v>176.7567020716426</v>
      </c>
      <c r="BP72" s="29" t="n">
        <v>64.21784338615115</v>
      </c>
      <c r="BQ72" s="29" t="n">
        <v>469.1028196377188</v>
      </c>
      <c r="BR72" s="29" t="n">
        <v>0</v>
      </c>
      <c r="BS72" s="29">
        <f>SUM(C72:BR72)</f>
        <v/>
      </c>
      <c r="BT72" s="29" t="n">
        <v>0</v>
      </c>
      <c r="BU72" s="29" t="n">
        <v>0</v>
      </c>
      <c r="BV72" s="29" t="n">
        <v>0</v>
      </c>
      <c r="BW72" s="29" t="n">
        <v>0</v>
      </c>
      <c r="BX72" s="29">
        <f>SUM(BT72:BW72)</f>
        <v/>
      </c>
      <c r="BY72" s="29">
        <f>BS72+BX72</f>
        <v/>
      </c>
    </row>
    <row r="73">
      <c r="A73" s="30" t="inlineStr">
        <is>
          <t>8000</t>
        </is>
      </c>
      <c r="B73" s="30" t="inlineStr">
        <is>
          <t>Atividades de vigilância, segurança e investigação</t>
        </is>
      </c>
      <c r="C73" s="31" t="n">
        <v>0.03197222092772137</v>
      </c>
      <c r="D73" s="31" t="n">
        <v>-0.008117466729256357</v>
      </c>
      <c r="E73" s="31" t="n">
        <v>0.1284070863281636</v>
      </c>
      <c r="F73" s="31" t="n">
        <v>0.2100588776325633</v>
      </c>
      <c r="G73" s="31" t="n">
        <v>3.810460372039228</v>
      </c>
      <c r="H73" s="31" t="n">
        <v>2.027624794225255</v>
      </c>
      <c r="I73" s="31" t="n">
        <v>0.5761406668450393</v>
      </c>
      <c r="J73" s="31" t="n">
        <v>-2.328487767784317</v>
      </c>
      <c r="K73" s="31" t="n">
        <v>4.475428230661487</v>
      </c>
      <c r="L73" s="31" t="n">
        <v>1.602258455430057</v>
      </c>
      <c r="M73" s="31" t="n">
        <v>4.585255946028927</v>
      </c>
      <c r="N73" s="31" t="n">
        <v>5.11684774640115</v>
      </c>
      <c r="O73" s="31" t="n">
        <v>-0.1070283110079742</v>
      </c>
      <c r="P73" s="31" t="n">
        <v>-0.421547798882409</v>
      </c>
      <c r="Q73" s="31" t="n">
        <v>-0.6031641002512145</v>
      </c>
      <c r="R73" s="31" t="n">
        <v>1.386285835169863</v>
      </c>
      <c r="S73" s="31" t="n">
        <v>10.3599730261991</v>
      </c>
      <c r="T73" s="31" t="n">
        <v>0.6633445729267662</v>
      </c>
      <c r="U73" s="31" t="n">
        <v>3.568978579314317</v>
      </c>
      <c r="V73" s="31" t="n">
        <v>-0.8766075545535577</v>
      </c>
      <c r="W73" s="31" t="n">
        <v>7.722118396507599</v>
      </c>
      <c r="X73" s="31" t="n">
        <v>4.179041240714962</v>
      </c>
      <c r="Y73" s="31" t="n">
        <v>1.318670140695714</v>
      </c>
      <c r="Z73" s="31" t="n">
        <v>5.984240468911738</v>
      </c>
      <c r="AA73" s="31" t="n">
        <v>4.364052470041027</v>
      </c>
      <c r="AB73" s="31" t="n">
        <v>18.29901569432503</v>
      </c>
      <c r="AC73" s="31" t="n">
        <v>-0.4048003512760481</v>
      </c>
      <c r="AD73" s="31" t="n">
        <v>1.50126838435001</v>
      </c>
      <c r="AE73" s="31" t="n">
        <v>6.101332654899023</v>
      </c>
      <c r="AF73" s="31" t="n">
        <v>5.492309902712783</v>
      </c>
      <c r="AG73" s="31" t="n">
        <v>1.455719424318716</v>
      </c>
      <c r="AH73" s="31" t="n">
        <v>5.246900808299372</v>
      </c>
      <c r="AI73" s="31" t="n">
        <v>27.48552193948553</v>
      </c>
      <c r="AJ73" s="31" t="n">
        <v>10.87889051515304</v>
      </c>
      <c r="AK73" s="31" t="n">
        <v>5.604754058675447</v>
      </c>
      <c r="AL73" s="31" t="n">
        <v>0.7925690881435301</v>
      </c>
      <c r="AM73" s="31" t="n">
        <v>6.947684843020618</v>
      </c>
      <c r="AN73" s="31" t="n">
        <v>13.35582733365712</v>
      </c>
      <c r="AO73" s="31" t="n">
        <v>18.80401886034044</v>
      </c>
      <c r="AP73" s="31" t="n">
        <v>35.94818629018495</v>
      </c>
      <c r="AQ73" s="31" t="n">
        <v>31.68339758472855</v>
      </c>
      <c r="AR73" s="31" t="n">
        <v>190.8954515739625</v>
      </c>
      <c r="AS73" s="31" t="n">
        <v>56.23022679280079</v>
      </c>
      <c r="AT73" s="31" t="n">
        <v>0.8561071990193494</v>
      </c>
      <c r="AU73" s="31" t="n">
        <v>8.215982444734074</v>
      </c>
      <c r="AV73" s="31" t="n">
        <v>112.5041827090222</v>
      </c>
      <c r="AW73" s="31" t="n">
        <v>4.285048174937063</v>
      </c>
      <c r="AX73" s="31" t="n">
        <v>23.25897074952384</v>
      </c>
      <c r="AY73" s="31" t="n">
        <v>0.6731839255249812</v>
      </c>
      <c r="AZ73" s="31" t="n">
        <v>11.57099292669929</v>
      </c>
      <c r="BA73" s="31" t="n">
        <v>21.37886227358435</v>
      </c>
      <c r="BB73" s="31" t="n">
        <v>18.03971092994562</v>
      </c>
      <c r="BC73" s="31" t="n">
        <v>238.3652857826869</v>
      </c>
      <c r="BD73" s="31" t="n">
        <v>8.569716052256604</v>
      </c>
      <c r="BE73" s="31" t="n">
        <v>33.04613784163603</v>
      </c>
      <c r="BF73" s="31" t="n">
        <v>0.4902069244066946</v>
      </c>
      <c r="BG73" s="31" t="n">
        <v>7.609783949381136</v>
      </c>
      <c r="BH73" s="31" t="n">
        <v>5.312058186026682</v>
      </c>
      <c r="BI73" s="31" t="n">
        <v>25.27094338495289</v>
      </c>
      <c r="BJ73" s="31" t="n">
        <v>1.901128622059614</v>
      </c>
      <c r="BK73" s="31" t="n">
        <v>292.4745668846738</v>
      </c>
      <c r="BL73" s="31" t="n">
        <v>126.3157303304265</v>
      </c>
      <c r="BM73" s="31" t="n">
        <v>55.19135162040571</v>
      </c>
      <c r="BN73" s="31" t="n">
        <v>55.79884558913798</v>
      </c>
      <c r="BO73" s="31" t="n">
        <v>0.009944268782481008</v>
      </c>
      <c r="BP73" s="31" t="n">
        <v>7.152352192681243</v>
      </c>
      <c r="BQ73" s="31" t="n">
        <v>0.1090000438765346</v>
      </c>
      <c r="BR73" s="31" t="n">
        <v>0</v>
      </c>
      <c r="BS73" s="31">
        <f>SUM(C73:BR73)</f>
        <v/>
      </c>
      <c r="BT73" s="31" t="n">
        <v>0</v>
      </c>
      <c r="BU73" s="31" t="n">
        <v>0</v>
      </c>
      <c r="BV73" s="31" t="n">
        <v>0</v>
      </c>
      <c r="BW73" s="31" t="n">
        <v>0</v>
      </c>
      <c r="BX73" s="31">
        <f>SUM(BT73:BW73)</f>
        <v/>
      </c>
      <c r="BY73" s="31">
        <f>BS73+BX73</f>
        <v/>
      </c>
    </row>
    <row r="74">
      <c r="A74" s="28" t="inlineStr">
        <is>
          <t>8400</t>
        </is>
      </c>
      <c r="B74" s="28" t="inlineStr">
        <is>
          <t>Administração pública, defesa e seguridade social</t>
        </is>
      </c>
      <c r="C74" s="29" t="n">
        <v>73.00863129091142</v>
      </c>
      <c r="D74" s="29" t="n">
        <v>38.92517007916089</v>
      </c>
      <c r="E74" s="29" t="n">
        <v>2.244443180279383</v>
      </c>
      <c r="F74" s="29" t="n">
        <v>3.777953820743621</v>
      </c>
      <c r="G74" s="29" t="n">
        <v>60.96361248200161</v>
      </c>
      <c r="H74" s="29" t="n">
        <v>18.40091296250623</v>
      </c>
      <c r="I74" s="29" t="n">
        <v>5.512541862153124</v>
      </c>
      <c r="J74" s="29" t="n">
        <v>11.6441378317207</v>
      </c>
      <c r="K74" s="29" t="n">
        <v>9.801718241384531</v>
      </c>
      <c r="L74" s="29" t="n">
        <v>244.858053407756</v>
      </c>
      <c r="M74" s="29" t="n">
        <v>45.74103773547623</v>
      </c>
      <c r="N74" s="29" t="n">
        <v>10.68385092478418</v>
      </c>
      <c r="O74" s="29" t="n">
        <v>2.431357688772668</v>
      </c>
      <c r="P74" s="29" t="n">
        <v>1.284697843169704</v>
      </c>
      <c r="Q74" s="29" t="n">
        <v>4.59319085842016</v>
      </c>
      <c r="R74" s="29" t="n">
        <v>3.251076843479225</v>
      </c>
      <c r="S74" s="29" t="n">
        <v>32.27883352936991</v>
      </c>
      <c r="T74" s="29" t="n">
        <v>1.494497721026153</v>
      </c>
      <c r="U74" s="29" t="n">
        <v>13.27204590705373</v>
      </c>
      <c r="V74" s="29" t="n">
        <v>3.051861299304961</v>
      </c>
      <c r="W74" s="29" t="n">
        <v>272.8398893936366</v>
      </c>
      <c r="X74" s="29" t="n">
        <v>50.61004654268731</v>
      </c>
      <c r="Y74" s="29" t="n">
        <v>27.03032747247565</v>
      </c>
      <c r="Z74" s="29" t="n">
        <v>44.84286911353985</v>
      </c>
      <c r="AA74" s="29" t="n">
        <v>12.4476689199732</v>
      </c>
      <c r="AB74" s="29" t="n">
        <v>30.77556400737454</v>
      </c>
      <c r="AC74" s="29" t="n">
        <v>28.82896262716325</v>
      </c>
      <c r="AD74" s="29" t="n">
        <v>17.22475571444585</v>
      </c>
      <c r="AE74" s="29" t="n">
        <v>14.42986910949818</v>
      </c>
      <c r="AF74" s="29" t="n">
        <v>18.88331962546227</v>
      </c>
      <c r="AG74" s="29" t="n">
        <v>13.54569995505308</v>
      </c>
      <c r="AH74" s="29" t="n">
        <v>39.70020053348286</v>
      </c>
      <c r="AI74" s="29" t="n">
        <v>56.24926829519911</v>
      </c>
      <c r="AJ74" s="29" t="n">
        <v>10.6055684283126</v>
      </c>
      <c r="AK74" s="29" t="n">
        <v>13.00771007613972</v>
      </c>
      <c r="AL74" s="29" t="n">
        <v>6.577562852134132</v>
      </c>
      <c r="AM74" s="29" t="n">
        <v>19.56557574501819</v>
      </c>
      <c r="AN74" s="29" t="n">
        <v>56.0528504160733</v>
      </c>
      <c r="AO74" s="29" t="n">
        <v>18.78811468147159</v>
      </c>
      <c r="AP74" s="29" t="n">
        <v>79.72612066764471</v>
      </c>
      <c r="AQ74" s="29" t="n">
        <v>39.06287055349537</v>
      </c>
      <c r="AR74" s="29" t="n">
        <v>238.6186947658203</v>
      </c>
      <c r="AS74" s="29" t="n">
        <v>36.33153561367175</v>
      </c>
      <c r="AT74" s="29" t="n">
        <v>8.951501082807606</v>
      </c>
      <c r="AU74" s="29" t="n">
        <v>14.98289424081043</v>
      </c>
      <c r="AV74" s="29" t="n">
        <v>39.06165829243763</v>
      </c>
      <c r="AW74" s="29" t="n">
        <v>4.978583847059072</v>
      </c>
      <c r="AX74" s="29" t="n">
        <v>15.38184860524063</v>
      </c>
      <c r="AY74" s="29" t="n">
        <v>7.372887394093537</v>
      </c>
      <c r="AZ74" s="29" t="n">
        <v>32.50614641998431</v>
      </c>
      <c r="BA74" s="29" t="n">
        <v>30.74531048813516</v>
      </c>
      <c r="BB74" s="29" t="n">
        <v>32.61930332289558</v>
      </c>
      <c r="BC74" s="29" t="n">
        <v>163.3845935075348</v>
      </c>
      <c r="BD74" s="29" t="n">
        <v>16.40005630190747</v>
      </c>
      <c r="BE74" s="29" t="n">
        <v>67.6684533141909</v>
      </c>
      <c r="BF74" s="29" t="n">
        <v>32.68323677881943</v>
      </c>
      <c r="BG74" s="29" t="n">
        <v>50.14140749956272</v>
      </c>
      <c r="BH74" s="29" t="n">
        <v>11.1369891198913</v>
      </c>
      <c r="BI74" s="29" t="n">
        <v>35.60418058464222</v>
      </c>
      <c r="BJ74" s="29" t="n">
        <v>4.881332543940785</v>
      </c>
      <c r="BK74" s="29" t="n">
        <v>161.3481967212128</v>
      </c>
      <c r="BL74" s="29" t="n">
        <v>56.16105270417145</v>
      </c>
      <c r="BM74" s="29" t="n">
        <v>44.44097083355074</v>
      </c>
      <c r="BN74" s="29" t="n">
        <v>52.75934024305433</v>
      </c>
      <c r="BO74" s="29" t="n">
        <v>64.08096552716719</v>
      </c>
      <c r="BP74" s="29" t="n">
        <v>18.87788978523703</v>
      </c>
      <c r="BQ74" s="29" t="n">
        <v>143.3370131284351</v>
      </c>
      <c r="BR74" s="29" t="n">
        <v>0</v>
      </c>
      <c r="BS74" s="29">
        <f>SUM(C74:BR74)</f>
        <v/>
      </c>
      <c r="BT74" s="29" t="n">
        <v>0</v>
      </c>
      <c r="BU74" s="29" t="n">
        <v>0</v>
      </c>
      <c r="BV74" s="29" t="n">
        <v>0</v>
      </c>
      <c r="BW74" s="29" t="n">
        <v>0</v>
      </c>
      <c r="BX74" s="29">
        <f>SUM(BT74:BW74)</f>
        <v/>
      </c>
      <c r="BY74" s="29">
        <f>BS74+BX74</f>
        <v/>
      </c>
    </row>
    <row r="75">
      <c r="A75" s="30" t="inlineStr">
        <is>
          <t>8591</t>
        </is>
      </c>
      <c r="B75" s="30" t="inlineStr">
        <is>
          <t>Educação pública</t>
        </is>
      </c>
      <c r="C75" s="31" t="n">
        <v>0.2091789069110268</v>
      </c>
      <c r="D75" s="31" t="n">
        <v>0.04344308235516308</v>
      </c>
      <c r="E75" s="31" t="n">
        <v>0.01234322891213444</v>
      </c>
      <c r="F75" s="31" t="n">
        <v>0.1849945412971136</v>
      </c>
      <c r="G75" s="31" t="n">
        <v>1.280000454414358</v>
      </c>
      <c r="H75" s="31" t="n">
        <v>0.3752116413961605</v>
      </c>
      <c r="I75" s="31" t="n">
        <v>0.1017344331429593</v>
      </c>
      <c r="J75" s="31" t="n">
        <v>0.4942318472894374</v>
      </c>
      <c r="K75" s="31" t="n">
        <v>0.1758480207327305</v>
      </c>
      <c r="L75" s="31" t="n">
        <v>0.5259976146400586</v>
      </c>
      <c r="M75" s="31" t="n">
        <v>0.524095461129343</v>
      </c>
      <c r="N75" s="31" t="n">
        <v>0.1437105386313975</v>
      </c>
      <c r="O75" s="31" t="n">
        <v>0.007912350167953204</v>
      </c>
      <c r="P75" s="31" t="n">
        <v>0.02426496280828339</v>
      </c>
      <c r="Q75" s="31" t="n">
        <v>-0.01572769673294306</v>
      </c>
      <c r="R75" s="31" t="n">
        <v>-0.005072964591424262</v>
      </c>
      <c r="S75" s="31" t="n">
        <v>0.07543961768551939</v>
      </c>
      <c r="T75" s="31" t="n">
        <v>0.02563589730351009</v>
      </c>
      <c r="U75" s="31" t="n">
        <v>0.2736074801509964</v>
      </c>
      <c r="V75" s="31" t="n">
        <v>0.05354618793762755</v>
      </c>
      <c r="W75" s="31" t="n">
        <v>0.4674320083988596</v>
      </c>
      <c r="X75" s="31" t="n">
        <v>0.3529146319650172</v>
      </c>
      <c r="Y75" s="31" t="n">
        <v>0.3493042737143816</v>
      </c>
      <c r="Z75" s="31" t="n">
        <v>0.7628606237953113</v>
      </c>
      <c r="AA75" s="31" t="n">
        <v>0.2263579472417914</v>
      </c>
      <c r="AB75" s="31" t="n">
        <v>0.4236259882406301</v>
      </c>
      <c r="AC75" s="31" t="n">
        <v>0.216634179199598</v>
      </c>
      <c r="AD75" s="31" t="n">
        <v>0.2208254113243194</v>
      </c>
      <c r="AE75" s="31" t="n">
        <v>0.2677278942556741</v>
      </c>
      <c r="AF75" s="31" t="n">
        <v>0.6908307720193727</v>
      </c>
      <c r="AG75" s="31" t="n">
        <v>0.3454415310298932</v>
      </c>
      <c r="AH75" s="31" t="n">
        <v>1.022171737399054</v>
      </c>
      <c r="AI75" s="31" t="n">
        <v>1.253884223325714</v>
      </c>
      <c r="AJ75" s="31" t="n">
        <v>0.4327719105564804</v>
      </c>
      <c r="AK75" s="31" t="n">
        <v>0.1822869836219919</v>
      </c>
      <c r="AL75" s="31" t="n">
        <v>0.1280667593155912</v>
      </c>
      <c r="AM75" s="31" t="n">
        <v>0.2250839189491627</v>
      </c>
      <c r="AN75" s="31" t="n">
        <v>1.95949269169492</v>
      </c>
      <c r="AO75" s="31" t="n">
        <v>0.2525394345737555</v>
      </c>
      <c r="AP75" s="31" t="n">
        <v>3.449869696280938</v>
      </c>
      <c r="AQ75" s="31" t="n">
        <v>1.090744285383734</v>
      </c>
      <c r="AR75" s="31" t="n">
        <v>8.963421145049431</v>
      </c>
      <c r="AS75" s="31" t="n">
        <v>0.8224698422095895</v>
      </c>
      <c r="AT75" s="31" t="n">
        <v>0.05576301476153418</v>
      </c>
      <c r="AU75" s="31" t="n">
        <v>0.2108205898233451</v>
      </c>
      <c r="AV75" s="31" t="n">
        <v>2.164783875833605</v>
      </c>
      <c r="AW75" s="31" t="n">
        <v>0.2220269691819507</v>
      </c>
      <c r="AX75" s="31" t="n">
        <v>0.356031476114826</v>
      </c>
      <c r="AY75" s="31" t="n">
        <v>0.09733251848096706</v>
      </c>
      <c r="AZ75" s="31" t="n">
        <v>0.2918390132597363</v>
      </c>
      <c r="BA75" s="31" t="n">
        <v>4.169183172707617</v>
      </c>
      <c r="BB75" s="31" t="n">
        <v>1.630867286354261</v>
      </c>
      <c r="BC75" s="31" t="n">
        <v>7.05956213454943</v>
      </c>
      <c r="BD75" s="31" t="n">
        <v>0.3283384974088044</v>
      </c>
      <c r="BE75" s="31" t="n">
        <v>2.176021412636977</v>
      </c>
      <c r="BF75" s="31" t="n">
        <v>2.069213564948016</v>
      </c>
      <c r="BG75" s="31" t="n">
        <v>0.5198506035989131</v>
      </c>
      <c r="BH75" s="31" t="n">
        <v>0.359980645117768</v>
      </c>
      <c r="BI75" s="31" t="n">
        <v>1.182715334276442</v>
      </c>
      <c r="BJ75" s="31" t="n">
        <v>0.2130349455020426</v>
      </c>
      <c r="BK75" s="31" t="n">
        <v>8.513161323950575</v>
      </c>
      <c r="BL75" s="31" t="n">
        <v>3.105017420708757</v>
      </c>
      <c r="BM75" s="31" t="n">
        <v>1.024396028715209</v>
      </c>
      <c r="BN75" s="31" t="n">
        <v>3.12125629081014</v>
      </c>
      <c r="BO75" s="31" t="n">
        <v>0.7323863096813111</v>
      </c>
      <c r="BP75" s="31" t="n">
        <v>0.3826078709607214</v>
      </c>
      <c r="BQ75" s="31" t="n">
        <v>6.343572068150728</v>
      </c>
      <c r="BR75" s="31" t="n">
        <v>0</v>
      </c>
      <c r="BS75" s="31">
        <f>SUM(C75:BR75)</f>
        <v/>
      </c>
      <c r="BT75" s="31" t="n">
        <v>0</v>
      </c>
      <c r="BU75" s="31" t="n">
        <v>0</v>
      </c>
      <c r="BV75" s="31" t="n">
        <v>0</v>
      </c>
      <c r="BW75" s="31" t="n">
        <v>0</v>
      </c>
      <c r="BX75" s="31">
        <f>SUM(BT75:BW75)</f>
        <v/>
      </c>
      <c r="BY75" s="31">
        <f>BS75+BX75</f>
        <v/>
      </c>
    </row>
    <row r="76">
      <c r="A76" s="28" t="inlineStr">
        <is>
          <t>8592</t>
        </is>
      </c>
      <c r="B76" s="28" t="inlineStr">
        <is>
          <t>Educação privada</t>
        </is>
      </c>
      <c r="C76" s="29" t="n">
        <v>0.06886820248717331</v>
      </c>
      <c r="D76" s="29" t="n">
        <v>0.01952941561872</v>
      </c>
      <c r="E76" s="29" t="n">
        <v>0.0002370864426348617</v>
      </c>
      <c r="F76" s="29" t="n">
        <v>-0.04286995162160566</v>
      </c>
      <c r="G76" s="29" t="n">
        <v>0.7571849446637895</v>
      </c>
      <c r="H76" s="29" t="n">
        <v>2.552961042264792</v>
      </c>
      <c r="I76" s="29" t="n">
        <v>0.5071584782751911</v>
      </c>
      <c r="J76" s="29" t="n">
        <v>-12.05424861998256</v>
      </c>
      <c r="K76" s="29" t="n">
        <v>-0.6701086241785301</v>
      </c>
      <c r="L76" s="29" t="n">
        <v>-7.155854418549737</v>
      </c>
      <c r="M76" s="29" t="n">
        <v>-0.3550085362056873</v>
      </c>
      <c r="N76" s="29" t="n">
        <v>-0.3764739177887756</v>
      </c>
      <c r="O76" s="29" t="n">
        <v>-1.172992064051867</v>
      </c>
      <c r="P76" s="29" t="n">
        <v>-1.439639409882711</v>
      </c>
      <c r="Q76" s="29" t="n">
        <v>-1.917840229206343</v>
      </c>
      <c r="R76" s="29" t="n">
        <v>-0.5148110517145236</v>
      </c>
      <c r="S76" s="29" t="n">
        <v>-2.289332723234286</v>
      </c>
      <c r="T76" s="29" t="n">
        <v>-0.1472106664273655</v>
      </c>
      <c r="U76" s="29" t="n">
        <v>-0.7357439663091544</v>
      </c>
      <c r="V76" s="29" t="n">
        <v>-0.7065415025819521</v>
      </c>
      <c r="W76" s="29" t="n">
        <v>-1.242637466569986</v>
      </c>
      <c r="X76" s="29" t="n">
        <v>-1.460316799234399</v>
      </c>
      <c r="Y76" s="29" t="n">
        <v>-0.1655772274602517</v>
      </c>
      <c r="Z76" s="29" t="n">
        <v>-2.474371347431125</v>
      </c>
      <c r="AA76" s="29" t="n">
        <v>-3.144836472712805</v>
      </c>
      <c r="AB76" s="29" t="n">
        <v>-2.352373391355629</v>
      </c>
      <c r="AC76" s="29" t="n">
        <v>1.876332030694169</v>
      </c>
      <c r="AD76" s="29" t="n">
        <v>0.8289180870267209</v>
      </c>
      <c r="AE76" s="29" t="n">
        <v>-1.008793099063958</v>
      </c>
      <c r="AF76" s="29" t="n">
        <v>-1.74110233002964</v>
      </c>
      <c r="AG76" s="29" t="n">
        <v>-2.076750458380686</v>
      </c>
      <c r="AH76" s="29" t="n">
        <v>-4.912770347002045</v>
      </c>
      <c r="AI76" s="29" t="n">
        <v>2.407711071128406</v>
      </c>
      <c r="AJ76" s="29" t="n">
        <v>0.02644348191615083</v>
      </c>
      <c r="AK76" s="29" t="n">
        <v>-0.3283469392248727</v>
      </c>
      <c r="AL76" s="29" t="n">
        <v>-1.26552312502012</v>
      </c>
      <c r="AM76" s="29" t="n">
        <v>0.1603625451015877</v>
      </c>
      <c r="AN76" s="29" t="n">
        <v>2.910574600873716</v>
      </c>
      <c r="AO76" s="29" t="n">
        <v>0.01526446799421503</v>
      </c>
      <c r="AP76" s="29" t="n">
        <v>0.09829909545136042</v>
      </c>
      <c r="AQ76" s="29" t="n">
        <v>0.7559694951499684</v>
      </c>
      <c r="AR76" s="29" t="n">
        <v>8.238684200686777</v>
      </c>
      <c r="AS76" s="29" t="n">
        <v>23.6796593245225</v>
      </c>
      <c r="AT76" s="29" t="n">
        <v>1.722062911001731</v>
      </c>
      <c r="AU76" s="29" t="n">
        <v>0.336988147370738</v>
      </c>
      <c r="AV76" s="29" t="n">
        <v>6.286853436517037</v>
      </c>
      <c r="AW76" s="29" t="n">
        <v>0.0613255541642818</v>
      </c>
      <c r="AX76" s="29" t="n">
        <v>0.1426074952448692</v>
      </c>
      <c r="AY76" s="29" t="n">
        <v>-1.091948035163397</v>
      </c>
      <c r="AZ76" s="29" t="n">
        <v>-1.130762491499686</v>
      </c>
      <c r="BA76" s="29" t="n">
        <v>-5.886740322520028</v>
      </c>
      <c r="BB76" s="29" t="n">
        <v>-0.56707571194939</v>
      </c>
      <c r="BC76" s="29" t="n">
        <v>44.25924788877876</v>
      </c>
      <c r="BD76" s="29" t="n">
        <v>0.06911069802806233</v>
      </c>
      <c r="BE76" s="29" t="n">
        <v>63.48769028582058</v>
      </c>
      <c r="BF76" s="29" t="n">
        <v>4.450219541670951</v>
      </c>
      <c r="BG76" s="29" t="n">
        <v>14.22176927398223</v>
      </c>
      <c r="BH76" s="29" t="n">
        <v>1.628489555598152</v>
      </c>
      <c r="BI76" s="29" t="n">
        <v>32.08605472013069</v>
      </c>
      <c r="BJ76" s="29" t="n">
        <v>3.49043905447737</v>
      </c>
      <c r="BK76" s="29" t="n">
        <v>12.68703843156777</v>
      </c>
      <c r="BL76" s="29" t="n">
        <v>16.96546300416913</v>
      </c>
      <c r="BM76" s="29" t="n">
        <v>0.1008792448513397</v>
      </c>
      <c r="BN76" s="29" t="n">
        <v>15.44392926391793</v>
      </c>
      <c r="BO76" s="29" t="n">
        <v>0.05753663842319939</v>
      </c>
      <c r="BP76" s="29" t="n">
        <v>0.076244627504924</v>
      </c>
      <c r="BQ76" s="29" t="n">
        <v>10.15430084736705</v>
      </c>
      <c r="BR76" s="29" t="n">
        <v>0</v>
      </c>
      <c r="BS76" s="29">
        <f>SUM(C76:BR76)</f>
        <v/>
      </c>
      <c r="BT76" s="29" t="n">
        <v>0</v>
      </c>
      <c r="BU76" s="29" t="n">
        <v>0</v>
      </c>
      <c r="BV76" s="29" t="n">
        <v>0</v>
      </c>
      <c r="BW76" s="29" t="n">
        <v>0</v>
      </c>
      <c r="BX76" s="29">
        <f>SUM(BT76:BW76)</f>
        <v/>
      </c>
      <c r="BY76" s="29">
        <f>BS76+BX76</f>
        <v/>
      </c>
    </row>
    <row r="77">
      <c r="A77" s="30" t="inlineStr">
        <is>
          <t>8691</t>
        </is>
      </c>
      <c r="B77" s="30" t="inlineStr">
        <is>
          <t>Saúde pública</t>
        </is>
      </c>
      <c r="C77" s="31" t="n">
        <v>0.002086777845739443</v>
      </c>
      <c r="D77" s="31" t="n">
        <v>0.0003654591898675825</v>
      </c>
      <c r="E77" s="31" t="n">
        <v>0.0001176407234115966</v>
      </c>
      <c r="F77" s="31" t="n">
        <v>0.001293123506836861</v>
      </c>
      <c r="G77" s="31" t="n">
        <v>0.0109668771906902</v>
      </c>
      <c r="H77" s="31" t="n">
        <v>0.004930334952602202</v>
      </c>
      <c r="I77" s="31" t="n">
        <v>0.0008240327629194574</v>
      </c>
      <c r="J77" s="31" t="n">
        <v>0.01023798286909943</v>
      </c>
      <c r="K77" s="31" t="n">
        <v>0.002362707089986879</v>
      </c>
      <c r="L77" s="31" t="n">
        <v>0.01126194616772704</v>
      </c>
      <c r="M77" s="31" t="n">
        <v>0.00896229756555381</v>
      </c>
      <c r="N77" s="31" t="n">
        <v>0.001670082181076092</v>
      </c>
      <c r="O77" s="31" t="n">
        <v>0.0008390886459087029</v>
      </c>
      <c r="P77" s="31" t="n">
        <v>0.001939394553438479</v>
      </c>
      <c r="Q77" s="31" t="n">
        <v>0.002266191082397755</v>
      </c>
      <c r="R77" s="31" t="n">
        <v>0.0005801153914015431</v>
      </c>
      <c r="S77" s="31" t="n">
        <v>0.003924325077727314</v>
      </c>
      <c r="T77" s="31" t="n">
        <v>0.0003628991580933117</v>
      </c>
      <c r="U77" s="31" t="n">
        <v>0.002683378154427017</v>
      </c>
      <c r="V77" s="31" t="n">
        <v>0.001135278046802382</v>
      </c>
      <c r="W77" s="31" t="n">
        <v>0.007089321140529022</v>
      </c>
      <c r="X77" s="31" t="n">
        <v>0.004716629584447976</v>
      </c>
      <c r="Y77" s="31" t="n">
        <v>0.005731575158359695</v>
      </c>
      <c r="Z77" s="31" t="n">
        <v>0.01355770503577004</v>
      </c>
      <c r="AA77" s="31" t="n">
        <v>0.00567376454466788</v>
      </c>
      <c r="AB77" s="31" t="n">
        <v>0.005750263989576718</v>
      </c>
      <c r="AC77" s="31" t="n">
        <v>0.00327280566730364</v>
      </c>
      <c r="AD77" s="31" t="n">
        <v>0.004582553850780343</v>
      </c>
      <c r="AE77" s="31" t="n">
        <v>0.003682218166291055</v>
      </c>
      <c r="AF77" s="31" t="n">
        <v>0.008478734579665061</v>
      </c>
      <c r="AG77" s="31" t="n">
        <v>0.007334914822731467</v>
      </c>
      <c r="AH77" s="31" t="n">
        <v>0.01482937377105088</v>
      </c>
      <c r="AI77" s="31" t="n">
        <v>0.02094607806197264</v>
      </c>
      <c r="AJ77" s="31" t="n">
        <v>0.006910018311019245</v>
      </c>
      <c r="AK77" s="31" t="n">
        <v>0.002487469961425833</v>
      </c>
      <c r="AL77" s="31" t="n">
        <v>0.002371561378765933</v>
      </c>
      <c r="AM77" s="31" t="n">
        <v>0.001531000915945268</v>
      </c>
      <c r="AN77" s="31" t="n">
        <v>0.02118831607360552</v>
      </c>
      <c r="AO77" s="31" t="n">
        <v>0.00275389103053207</v>
      </c>
      <c r="AP77" s="31" t="n">
        <v>0.02599617716165278</v>
      </c>
      <c r="AQ77" s="31" t="n">
        <v>0.007829370921852213</v>
      </c>
      <c r="AR77" s="31" t="n">
        <v>0.07186168567010187</v>
      </c>
      <c r="AS77" s="31" t="n">
        <v>0.004376065357602388</v>
      </c>
      <c r="AT77" s="31" t="n">
        <v>0.0002955911928445085</v>
      </c>
      <c r="AU77" s="31" t="n">
        <v>0.00108556355955619</v>
      </c>
      <c r="AV77" s="31" t="n">
        <v>0.0214619479588011</v>
      </c>
      <c r="AW77" s="31" t="n">
        <v>0.001780093895416016</v>
      </c>
      <c r="AX77" s="31" t="n">
        <v>0.003535180485906885</v>
      </c>
      <c r="AY77" s="31" t="n">
        <v>0.001559002178608204</v>
      </c>
      <c r="AZ77" s="31" t="n">
        <v>0.002940649368983966</v>
      </c>
      <c r="BA77" s="31" t="n">
        <v>0.03349480209660066</v>
      </c>
      <c r="BB77" s="31" t="n">
        <v>0.01164500976787884</v>
      </c>
      <c r="BC77" s="31" t="n">
        <v>0.04524599529954572</v>
      </c>
      <c r="BD77" s="31" t="n">
        <v>0.002966836577278616</v>
      </c>
      <c r="BE77" s="31" t="n">
        <v>0.01328419338191228</v>
      </c>
      <c r="BF77" s="31" t="n">
        <v>0.03903867659780558</v>
      </c>
      <c r="BG77" s="31" t="n">
        <v>0.002477474815906456</v>
      </c>
      <c r="BH77" s="31" t="n">
        <v>0.003293538813037851</v>
      </c>
      <c r="BI77" s="31" t="n">
        <v>0.006984299933094848</v>
      </c>
      <c r="BJ77" s="31" t="n">
        <v>0.001163489010689935</v>
      </c>
      <c r="BK77" s="31" t="n">
        <v>0.06844943350417965</v>
      </c>
      <c r="BL77" s="31" t="n">
        <v>0.02003540576840826</v>
      </c>
      <c r="BM77" s="31" t="n">
        <v>0.006914212124081099</v>
      </c>
      <c r="BN77" s="31" t="n">
        <v>0.02321334677531097</v>
      </c>
      <c r="BO77" s="31" t="n">
        <v>5.175428011510804</v>
      </c>
      <c r="BP77" s="31" t="n">
        <v>0.003551457211087909</v>
      </c>
      <c r="BQ77" s="31" t="n">
        <v>0.01021918888792162</v>
      </c>
      <c r="BR77" s="31" t="n">
        <v>0</v>
      </c>
      <c r="BS77" s="31">
        <f>SUM(C77:BR77)</f>
        <v/>
      </c>
      <c r="BT77" s="31" t="n">
        <v>0</v>
      </c>
      <c r="BU77" s="31" t="n">
        <v>0</v>
      </c>
      <c r="BV77" s="31" t="n">
        <v>0</v>
      </c>
      <c r="BW77" s="31" t="n">
        <v>0</v>
      </c>
      <c r="BX77" s="31">
        <f>SUM(BT77:BW77)</f>
        <v/>
      </c>
      <c r="BY77" s="31">
        <f>BS77+BX77</f>
        <v/>
      </c>
    </row>
    <row r="78">
      <c r="A78" s="28" t="inlineStr">
        <is>
          <t>8692</t>
        </is>
      </c>
      <c r="B78" s="28" t="inlineStr">
        <is>
          <t>Saúde privada</t>
        </is>
      </c>
      <c r="C78" s="29" t="n">
        <v>0.0007153706534994092</v>
      </c>
      <c r="D78" s="29" t="n">
        <v>0.0004471066584371298</v>
      </c>
      <c r="E78" s="29" t="n">
        <v>0.0007153706534994092</v>
      </c>
      <c r="F78" s="29" t="n">
        <v>0.001968745043479867</v>
      </c>
      <c r="G78" s="29" t="n">
        <v>0.02575334352597866</v>
      </c>
      <c r="H78" s="29" t="n">
        <v>0.002267123161730842</v>
      </c>
      <c r="I78" s="29" t="n">
        <v>0.001699005302061092</v>
      </c>
      <c r="J78" s="29" t="n">
        <v>0.05420468366220413</v>
      </c>
      <c r="K78" s="29" t="n">
        <v>0.01530580518211479</v>
      </c>
      <c r="L78" s="29" t="n">
        <v>0.04073983278661265</v>
      </c>
      <c r="M78" s="29" t="n">
        <v>0.006282228609526037</v>
      </c>
      <c r="N78" s="29" t="n">
        <v>0.002171199648558647</v>
      </c>
      <c r="O78" s="29" t="n">
        <v>0.02861482613997629</v>
      </c>
      <c r="P78" s="29" t="n">
        <v>0.03471761289006877</v>
      </c>
      <c r="Q78" s="29" t="n">
        <v>0.008976075334942001</v>
      </c>
      <c r="R78" s="29" t="n">
        <v>0.002964185662893524</v>
      </c>
      <c r="S78" s="29" t="n">
        <v>0.01345452065109582</v>
      </c>
      <c r="T78" s="29" t="n">
        <v>0.005098491652539794</v>
      </c>
      <c r="U78" s="29" t="n">
        <v>0.01457567706505042</v>
      </c>
      <c r="V78" s="29" t="n">
        <v>0.01359204241648874</v>
      </c>
      <c r="W78" s="29" t="n">
        <v>0.01426286332505445</v>
      </c>
      <c r="X78" s="29" t="n">
        <v>0.007992440686380321</v>
      </c>
      <c r="Y78" s="29" t="n">
        <v>0.01503518889039835</v>
      </c>
      <c r="Z78" s="29" t="n">
        <v>0.0216535658273855</v>
      </c>
      <c r="AA78" s="29" t="n">
        <v>0.03698118536302791</v>
      </c>
      <c r="AB78" s="29" t="n">
        <v>0.02025054185934019</v>
      </c>
      <c r="AC78" s="29" t="n">
        <v>0.02212101109299368</v>
      </c>
      <c r="AD78" s="29" t="n">
        <v>0.001202921659620702</v>
      </c>
      <c r="AE78" s="29" t="n">
        <v>0.02272482421945818</v>
      </c>
      <c r="AF78" s="29" t="n">
        <v>0.02001622003047732</v>
      </c>
      <c r="AG78" s="29" t="n">
        <v>0.01072880670189576</v>
      </c>
      <c r="AH78" s="29" t="n">
        <v>0.02297805339671666</v>
      </c>
      <c r="AI78" s="29" t="n">
        <v>0.01243491338150039</v>
      </c>
      <c r="AJ78" s="29" t="n">
        <v>0.01751449768564467</v>
      </c>
      <c r="AK78" s="29" t="n">
        <v>0.007463291428038256</v>
      </c>
      <c r="AL78" s="29" t="n">
        <v>0.02176037427353094</v>
      </c>
      <c r="AM78" s="29" t="n">
        <v>0.004830227657477505</v>
      </c>
      <c r="AN78" s="29" t="n">
        <v>0.100460599832664</v>
      </c>
      <c r="AO78" s="29" t="n">
        <v>0.02504977884333129</v>
      </c>
      <c r="AP78" s="29" t="n">
        <v>0.1466819746408652</v>
      </c>
      <c r="AQ78" s="29" t="n">
        <v>0.344361548328278</v>
      </c>
      <c r="AR78" s="29" t="n">
        <v>3.323258520716343</v>
      </c>
      <c r="AS78" s="29" t="n">
        <v>0.1031922167672897</v>
      </c>
      <c r="AT78" s="29" t="n">
        <v>0.00581238655968269</v>
      </c>
      <c r="AU78" s="29" t="n">
        <v>0.009746925153929453</v>
      </c>
      <c r="AV78" s="29" t="n">
        <v>0.222748537233378</v>
      </c>
      <c r="AW78" s="29" t="n">
        <v>0.1075738620199736</v>
      </c>
      <c r="AX78" s="29" t="n">
        <v>0.4302954480798943</v>
      </c>
      <c r="AY78" s="29" t="n">
        <v>0.02772356431581517</v>
      </c>
      <c r="AZ78" s="29" t="n">
        <v>0.04363760986346403</v>
      </c>
      <c r="BA78" s="29" t="n">
        <v>0.2452204541173982</v>
      </c>
      <c r="BB78" s="29" t="n">
        <v>0.1395843464674177</v>
      </c>
      <c r="BC78" s="29" t="n">
        <v>0.4927218678222146</v>
      </c>
      <c r="BD78" s="29" t="n">
        <v>0.2085305454950783</v>
      </c>
      <c r="BE78" s="29" t="n">
        <v>0.4296694987580815</v>
      </c>
      <c r="BF78" s="29" t="n">
        <v>0.0910410575032183</v>
      </c>
      <c r="BG78" s="29" t="n">
        <v>0.09129917965286199</v>
      </c>
      <c r="BH78" s="29" t="n">
        <v>0.1090459242249545</v>
      </c>
      <c r="BI78" s="29" t="n">
        <v>0.2579849691572935</v>
      </c>
      <c r="BJ78" s="29" t="n">
        <v>0.02351781023379311</v>
      </c>
      <c r="BK78" s="29" t="n">
        <v>1.825810424979653</v>
      </c>
      <c r="BL78" s="29" t="n">
        <v>0.1648384951112753</v>
      </c>
      <c r="BM78" s="29" t="n">
        <v>0.3676125703133646</v>
      </c>
      <c r="BN78" s="29" t="n">
        <v>0.3738054327586371</v>
      </c>
      <c r="BO78" s="29" t="n">
        <v>496.4613296505158</v>
      </c>
      <c r="BP78" s="29" t="n">
        <v>0.3629611853192628</v>
      </c>
      <c r="BQ78" s="29" t="n">
        <v>0.2770272855676467</v>
      </c>
      <c r="BR78" s="29" t="n">
        <v>0</v>
      </c>
      <c r="BS78" s="29">
        <f>SUM(C78:BR78)</f>
        <v/>
      </c>
      <c r="BT78" s="29" t="n">
        <v>0</v>
      </c>
      <c r="BU78" s="29" t="n">
        <v>0</v>
      </c>
      <c r="BV78" s="29" t="n">
        <v>0</v>
      </c>
      <c r="BW78" s="29" t="n">
        <v>0</v>
      </c>
      <c r="BX78" s="29">
        <f>SUM(BT78:BW78)</f>
        <v/>
      </c>
      <c r="BY78" s="29">
        <f>BS78+BX78</f>
        <v/>
      </c>
    </row>
    <row r="79">
      <c r="A79" s="30" t="inlineStr">
        <is>
          <t>9080</t>
        </is>
      </c>
      <c r="B79" s="30" t="inlineStr">
        <is>
          <t>Atividades artísticas, criativas e de espetáculos</t>
        </is>
      </c>
      <c r="C79" s="31" t="n">
        <v>0.01664785931807355</v>
      </c>
      <c r="D79" s="31" t="n">
        <v>0.6821004708088731</v>
      </c>
      <c r="E79" s="31" t="n">
        <v>0.1624333778622493</v>
      </c>
      <c r="F79" s="31" t="n">
        <v>-0.01378396121672985</v>
      </c>
      <c r="G79" s="31" t="n">
        <v>0.7663971721110987</v>
      </c>
      <c r="H79" s="31" t="n">
        <v>-0.1258807353443744</v>
      </c>
      <c r="I79" s="31" t="n">
        <v>-0.09526404145176484</v>
      </c>
      <c r="J79" s="31" t="n">
        <v>-10.36221725497079</v>
      </c>
      <c r="K79" s="31" t="n">
        <v>-0.4893373736118001</v>
      </c>
      <c r="L79" s="31" t="n">
        <v>-2.837130824404302</v>
      </c>
      <c r="M79" s="31" t="n">
        <v>8.891393004794754</v>
      </c>
      <c r="N79" s="31" t="n">
        <v>0.07586219594860821</v>
      </c>
      <c r="O79" s="31" t="n">
        <v>-1.209304431465589</v>
      </c>
      <c r="P79" s="31" t="n">
        <v>-0.9024864783176854</v>
      </c>
      <c r="Q79" s="31" t="n">
        <v>-0.5946339466517888</v>
      </c>
      <c r="R79" s="31" t="n">
        <v>-0.5420170891868851</v>
      </c>
      <c r="S79" s="31" t="n">
        <v>-2.80853804607256</v>
      </c>
      <c r="T79" s="31" t="n">
        <v>-0.03447301772502105</v>
      </c>
      <c r="U79" s="31" t="n">
        <v>-0.7947709856067021</v>
      </c>
      <c r="V79" s="31" t="n">
        <v>-0.6909459376349196</v>
      </c>
      <c r="W79" s="31" t="n">
        <v>-1.544691064744681</v>
      </c>
      <c r="X79" s="31" t="n">
        <v>-1.548273451141291</v>
      </c>
      <c r="Y79" s="31" t="n">
        <v>2.237010769651594</v>
      </c>
      <c r="Z79" s="31" t="n">
        <v>0.5780580258805463</v>
      </c>
      <c r="AA79" s="31" t="n">
        <v>-2.818748148449348</v>
      </c>
      <c r="AB79" s="31" t="n">
        <v>-2.173064646803115</v>
      </c>
      <c r="AC79" s="31" t="n">
        <v>-2.564711573851377</v>
      </c>
      <c r="AD79" s="31" t="n">
        <v>-0.8897642802472285</v>
      </c>
      <c r="AE79" s="31" t="n">
        <v>-2.133260544956891</v>
      </c>
      <c r="AF79" s="31" t="n">
        <v>0.9773090181613162</v>
      </c>
      <c r="AG79" s="31" t="n">
        <v>-1.116669683098122</v>
      </c>
      <c r="AH79" s="31" t="n">
        <v>-5.633120939620766</v>
      </c>
      <c r="AI79" s="31" t="n">
        <v>8.712873290187355</v>
      </c>
      <c r="AJ79" s="31" t="n">
        <v>0.2161380107785418</v>
      </c>
      <c r="AK79" s="31" t="n">
        <v>0.180453232614797</v>
      </c>
      <c r="AL79" s="31" t="n">
        <v>-0.6707181615759709</v>
      </c>
      <c r="AM79" s="31" t="n">
        <v>0.1497709323410152</v>
      </c>
      <c r="AN79" s="31" t="n">
        <v>5.539424768327985</v>
      </c>
      <c r="AO79" s="31" t="n">
        <v>0.3225776151092061</v>
      </c>
      <c r="AP79" s="31" t="n">
        <v>4.176170392155846</v>
      </c>
      <c r="AQ79" s="31" t="n">
        <v>5.173438320660181</v>
      </c>
      <c r="AR79" s="31" t="n">
        <v>20.05768184520343</v>
      </c>
      <c r="AS79" s="31" t="n">
        <v>1.186292315739671</v>
      </c>
      <c r="AT79" s="31" t="n">
        <v>0.06790865968863503</v>
      </c>
      <c r="AU79" s="31" t="n">
        <v>0.3668771921122784</v>
      </c>
      <c r="AV79" s="31" t="n">
        <v>2.028576754245631</v>
      </c>
      <c r="AW79" s="31" t="n">
        <v>3.948827664219101</v>
      </c>
      <c r="AX79" s="31" t="n">
        <v>1.590278411515304</v>
      </c>
      <c r="AY79" s="31" t="n">
        <v>0.7852663449463925</v>
      </c>
      <c r="AZ79" s="31" t="n">
        <v>556.0174330898868</v>
      </c>
      <c r="BA79" s="31" t="n">
        <v>91.36079389374702</v>
      </c>
      <c r="BB79" s="31" t="n">
        <v>2.185692174026882</v>
      </c>
      <c r="BC79" s="31" t="n">
        <v>20.18854922934006</v>
      </c>
      <c r="BD79" s="31" t="n">
        <v>1.854421782678625</v>
      </c>
      <c r="BE79" s="31" t="n">
        <v>6.818746154468109</v>
      </c>
      <c r="BF79" s="31" t="n">
        <v>0.7037040246209355</v>
      </c>
      <c r="BG79" s="31" t="n">
        <v>18.05136152238339</v>
      </c>
      <c r="BH79" s="31" t="n">
        <v>1.921962864947032</v>
      </c>
      <c r="BI79" s="31" t="n">
        <v>7.00750673155795</v>
      </c>
      <c r="BJ79" s="31" t="n">
        <v>0.2310715910531543</v>
      </c>
      <c r="BK79" s="31" t="n">
        <v>167.3979311255353</v>
      </c>
      <c r="BL79" s="31" t="n">
        <v>21.0476756756206</v>
      </c>
      <c r="BM79" s="31" t="n">
        <v>4.647404367451175</v>
      </c>
      <c r="BN79" s="31" t="n">
        <v>16.47442219327874</v>
      </c>
      <c r="BO79" s="31" t="n">
        <v>0.1721667044877024</v>
      </c>
      <c r="BP79" s="31" t="n">
        <v>187.9614394336147</v>
      </c>
      <c r="BQ79" s="31" t="n">
        <v>262.4187212429656</v>
      </c>
      <c r="BR79" s="31" t="n">
        <v>0</v>
      </c>
      <c r="BS79" s="31">
        <f>SUM(C79:BR79)</f>
        <v/>
      </c>
      <c r="BT79" s="31" t="n">
        <v>0</v>
      </c>
      <c r="BU79" s="31" t="n">
        <v>0</v>
      </c>
      <c r="BV79" s="31" t="n">
        <v>0</v>
      </c>
      <c r="BW79" s="31" t="n">
        <v>0</v>
      </c>
      <c r="BX79" s="31">
        <f>SUM(BT79:BW79)</f>
        <v/>
      </c>
      <c r="BY79" s="31">
        <f>BS79+BX79</f>
        <v/>
      </c>
    </row>
    <row r="80">
      <c r="A80" s="28" t="inlineStr">
        <is>
          <t>9480</t>
        </is>
      </c>
      <c r="B80" s="28" t="inlineStr">
        <is>
          <t>Organizações associativas e outros serviços pessoais</t>
        </is>
      </c>
      <c r="C80" s="29" t="n">
        <v>-0.07512185978056692</v>
      </c>
      <c r="D80" s="29" t="n">
        <v>-0.05673928813853871</v>
      </c>
      <c r="E80" s="29" t="n">
        <v>0.157543210595375</v>
      </c>
      <c r="F80" s="29" t="n">
        <v>-0.6366216904142332</v>
      </c>
      <c r="G80" s="29" t="n">
        <v>1.215631599568628</v>
      </c>
      <c r="H80" s="29" t="n">
        <v>-1.084356409919809</v>
      </c>
      <c r="I80" s="29" t="n">
        <v>-0.706715246178654</v>
      </c>
      <c r="J80" s="29" t="n">
        <v>-111.9061511005675</v>
      </c>
      <c r="K80" s="29" t="n">
        <v>-6.214065800176724</v>
      </c>
      <c r="L80" s="29" t="n">
        <v>-70.41828125114145</v>
      </c>
      <c r="M80" s="29" t="n">
        <v>-3.295432142275422</v>
      </c>
      <c r="N80" s="29" t="n">
        <v>-3.475028090642691</v>
      </c>
      <c r="O80" s="29" t="n">
        <v>-10.73634041365195</v>
      </c>
      <c r="P80" s="29" t="n">
        <v>-13.35096771698156</v>
      </c>
      <c r="Q80" s="29" t="n">
        <v>-17.69947383018964</v>
      </c>
      <c r="R80" s="29" t="n">
        <v>-4.752287538572421</v>
      </c>
      <c r="S80" s="29" t="n">
        <v>-30.11441296839306</v>
      </c>
      <c r="T80" s="29" t="n">
        <v>-0.835132383890434</v>
      </c>
      <c r="U80" s="29" t="n">
        <v>-8.705360521736559</v>
      </c>
      <c r="V80" s="29" t="n">
        <v>-6.544561155271627</v>
      </c>
      <c r="W80" s="29" t="n">
        <v>-13.84151674851488</v>
      </c>
      <c r="X80" s="29" t="n">
        <v>-18.66969853531987</v>
      </c>
      <c r="Y80" s="29" t="n">
        <v>-1.574352968597549</v>
      </c>
      <c r="Z80" s="29" t="n">
        <v>-22.86018359560482</v>
      </c>
      <c r="AA80" s="29" t="n">
        <v>-29.54027023929823</v>
      </c>
      <c r="AB80" s="29" t="n">
        <v>-21.66194289319819</v>
      </c>
      <c r="AC80" s="29" t="n">
        <v>-22.37915058563623</v>
      </c>
      <c r="AD80" s="29" t="n">
        <v>-7.19039047333654</v>
      </c>
      <c r="AE80" s="29" t="n">
        <v>-23.48139710082167</v>
      </c>
      <c r="AF80" s="29" t="n">
        <v>-5.076285174150055</v>
      </c>
      <c r="AG80" s="29" t="n">
        <v>-17.05303178790507</v>
      </c>
      <c r="AH80" s="29" t="n">
        <v>-51.37982682320685</v>
      </c>
      <c r="AI80" s="29" t="n">
        <v>-1.878435925358769</v>
      </c>
      <c r="AJ80" s="29" t="n">
        <v>-0.5209384754045401</v>
      </c>
      <c r="AK80" s="29" t="n">
        <v>-3.042420905100868</v>
      </c>
      <c r="AL80" s="29" t="n">
        <v>-11.58415529472536</v>
      </c>
      <c r="AM80" s="29" t="n">
        <v>-0.1211309510780901</v>
      </c>
      <c r="AN80" s="29" t="n">
        <v>21.90402098355627</v>
      </c>
      <c r="AO80" s="29" t="n">
        <v>-0.1325697855984978</v>
      </c>
      <c r="AP80" s="29" t="n">
        <v>5.331032150116688</v>
      </c>
      <c r="AQ80" s="29" t="n">
        <v>2.189413325723119</v>
      </c>
      <c r="AR80" s="29" t="n">
        <v>4.870352775929449</v>
      </c>
      <c r="AS80" s="29" t="n">
        <v>12.97721423400793</v>
      </c>
      <c r="AT80" s="29" t="n">
        <v>0.09774164304375006</v>
      </c>
      <c r="AU80" s="29" t="n">
        <v>0.09937780177511256</v>
      </c>
      <c r="AV80" s="29" t="n">
        <v>5.540160850048342</v>
      </c>
      <c r="AW80" s="29" t="n">
        <v>2.535757861395695</v>
      </c>
      <c r="AX80" s="29" t="n">
        <v>4.379810697991717</v>
      </c>
      <c r="AY80" s="29" t="n">
        <v>-8.27927558391972</v>
      </c>
      <c r="AZ80" s="29" t="n">
        <v>-4.740628801929398</v>
      </c>
      <c r="BA80" s="29" t="n">
        <v>78.39436251195065</v>
      </c>
      <c r="BB80" s="29" t="n">
        <v>35.05731279171916</v>
      </c>
      <c r="BC80" s="29" t="n">
        <v>60.93008598152979</v>
      </c>
      <c r="BD80" s="29" t="n">
        <v>4.418229126692854</v>
      </c>
      <c r="BE80" s="29" t="n">
        <v>7.56799481183696</v>
      </c>
      <c r="BF80" s="29" t="n">
        <v>1.003530550525537</v>
      </c>
      <c r="BG80" s="29" t="n">
        <v>3.929832043925939</v>
      </c>
      <c r="BH80" s="29" t="n">
        <v>2.956639622718708</v>
      </c>
      <c r="BI80" s="29" t="n">
        <v>27.44574409827929</v>
      </c>
      <c r="BJ80" s="29" t="n">
        <v>-0.2288899298077513</v>
      </c>
      <c r="BK80" s="29" t="n">
        <v>24.0242014581871</v>
      </c>
      <c r="BL80" s="29" t="n">
        <v>3.474861306776932</v>
      </c>
      <c r="BM80" s="29" t="n">
        <v>16.98366743296463</v>
      </c>
      <c r="BN80" s="29" t="n">
        <v>26.84032629376497</v>
      </c>
      <c r="BO80" s="29" t="n">
        <v>40.42418594141148</v>
      </c>
      <c r="BP80" s="29" t="n">
        <v>0.4205024263977017</v>
      </c>
      <c r="BQ80" s="29" t="n">
        <v>8.827393446014584</v>
      </c>
      <c r="BR80" s="29" t="n">
        <v>0</v>
      </c>
      <c r="BS80" s="29">
        <f>SUM(C80:BR80)</f>
        <v/>
      </c>
      <c r="BT80" s="29" t="n">
        <v>0</v>
      </c>
      <c r="BU80" s="29" t="n">
        <v>0</v>
      </c>
      <c r="BV80" s="29" t="n">
        <v>0</v>
      </c>
      <c r="BW80" s="29" t="n">
        <v>0</v>
      </c>
      <c r="BX80" s="29">
        <f>SUM(BT80:BW80)</f>
        <v/>
      </c>
      <c r="BY80" s="29">
        <f>BS80+BX80</f>
        <v/>
      </c>
    </row>
    <row r="81">
      <c r="A81" s="30" t="inlineStr">
        <is>
          <t>9700</t>
        </is>
      </c>
      <c r="B81" s="30" t="inlineStr">
        <is>
          <t>Serviços domésticos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0</v>
      </c>
      <c r="J81" s="31" t="n">
        <v>0</v>
      </c>
      <c r="K81" s="31" t="n">
        <v>0</v>
      </c>
      <c r="L81" s="31" t="n">
        <v>0</v>
      </c>
      <c r="M81" s="31" t="n">
        <v>0</v>
      </c>
      <c r="N81" s="31" t="n">
        <v>0</v>
      </c>
      <c r="O81" s="31" t="n">
        <v>0</v>
      </c>
      <c r="P81" s="31" t="n">
        <v>0</v>
      </c>
      <c r="Q81" s="31" t="n">
        <v>0</v>
      </c>
      <c r="R81" s="31" t="n">
        <v>0</v>
      </c>
      <c r="S81" s="31" t="n">
        <v>0</v>
      </c>
      <c r="T81" s="31" t="n">
        <v>0</v>
      </c>
      <c r="U81" s="31" t="n">
        <v>0</v>
      </c>
      <c r="V81" s="31" t="n">
        <v>0</v>
      </c>
      <c r="W81" s="31" t="n">
        <v>0</v>
      </c>
      <c r="X81" s="31" t="n">
        <v>0</v>
      </c>
      <c r="Y81" s="31" t="n">
        <v>0</v>
      </c>
      <c r="Z81" s="31" t="n">
        <v>0</v>
      </c>
      <c r="AA81" s="31" t="n">
        <v>0</v>
      </c>
      <c r="AB81" s="31" t="n">
        <v>0</v>
      </c>
      <c r="AC81" s="31" t="n">
        <v>0</v>
      </c>
      <c r="AD81" s="31" t="n">
        <v>0</v>
      </c>
      <c r="AE81" s="31" t="n">
        <v>0</v>
      </c>
      <c r="AF81" s="31" t="n">
        <v>0</v>
      </c>
      <c r="AG81" s="31" t="n">
        <v>0</v>
      </c>
      <c r="AH81" s="31" t="n">
        <v>0</v>
      </c>
      <c r="AI81" s="31" t="n">
        <v>0</v>
      </c>
      <c r="AJ81" s="31" t="n">
        <v>0</v>
      </c>
      <c r="AK81" s="31" t="n">
        <v>0</v>
      </c>
      <c r="AL81" s="31" t="n">
        <v>0</v>
      </c>
      <c r="AM81" s="31" t="n">
        <v>0</v>
      </c>
      <c r="AN81" s="31" t="n">
        <v>0</v>
      </c>
      <c r="AO81" s="31" t="n">
        <v>0</v>
      </c>
      <c r="AP81" s="31" t="n">
        <v>0</v>
      </c>
      <c r="AQ81" s="31" t="n">
        <v>0</v>
      </c>
      <c r="AR81" s="31" t="n">
        <v>0</v>
      </c>
      <c r="AS81" s="31" t="n">
        <v>0</v>
      </c>
      <c r="AT81" s="31" t="n">
        <v>0</v>
      </c>
      <c r="AU81" s="31" t="n">
        <v>0</v>
      </c>
      <c r="AV81" s="31" t="n">
        <v>0</v>
      </c>
      <c r="AW81" s="31" t="n">
        <v>0</v>
      </c>
      <c r="AX81" s="31" t="n">
        <v>0</v>
      </c>
      <c r="AY81" s="31" t="n">
        <v>0</v>
      </c>
      <c r="AZ81" s="31" t="n">
        <v>0</v>
      </c>
      <c r="BA81" s="31" t="n">
        <v>0</v>
      </c>
      <c r="BB81" s="31" t="n">
        <v>0</v>
      </c>
      <c r="BC81" s="31" t="n">
        <v>0</v>
      </c>
      <c r="BD81" s="31" t="n">
        <v>0</v>
      </c>
      <c r="BE81" s="31" t="n">
        <v>0</v>
      </c>
      <c r="BF81" s="31" t="n">
        <v>0</v>
      </c>
      <c r="BG81" s="31" t="n">
        <v>0</v>
      </c>
      <c r="BH81" s="31" t="n">
        <v>0</v>
      </c>
      <c r="BI81" s="31" t="n">
        <v>0</v>
      </c>
      <c r="BJ81" s="31" t="n">
        <v>0</v>
      </c>
      <c r="BK81" s="31" t="n">
        <v>0</v>
      </c>
      <c r="BL81" s="31" t="n">
        <v>0</v>
      </c>
      <c r="BM81" s="31" t="n">
        <v>0</v>
      </c>
      <c r="BN81" s="31" t="n">
        <v>0</v>
      </c>
      <c r="BO81" s="31" t="n">
        <v>0</v>
      </c>
      <c r="BP81" s="31" t="n">
        <v>0</v>
      </c>
      <c r="BQ81" s="31" t="n">
        <v>0</v>
      </c>
      <c r="BR81" s="31" t="n">
        <v>0</v>
      </c>
      <c r="BS81" s="31">
        <f>SUM(C81:BR81)</f>
        <v/>
      </c>
      <c r="BT81" s="31" t="n">
        <v>0</v>
      </c>
      <c r="BU81" s="31" t="n">
        <v>0</v>
      </c>
      <c r="BV81" s="31" t="n">
        <v>0</v>
      </c>
      <c r="BW81" s="31" t="n">
        <v>0</v>
      </c>
      <c r="BX81" s="31">
        <f>SUM(BT81:BW81)</f>
        <v/>
      </c>
      <c r="BY81" s="31">
        <f>BS81+BX81</f>
        <v/>
      </c>
    </row>
    <row r="82">
      <c r="B82" s="32" t="inlineStr">
        <is>
          <t>Total consumo intermedio</t>
        </is>
      </c>
      <c r="C82" s="33">
        <f>SUM(C14:C81)</f>
        <v/>
      </c>
      <c r="D82" s="33">
        <f>SUM(D14:D81)</f>
        <v/>
      </c>
      <c r="E82" s="33">
        <f>SUM(E14:E81)</f>
        <v/>
      </c>
      <c r="F82" s="33">
        <f>SUM(F14:F81)</f>
        <v/>
      </c>
      <c r="G82" s="33">
        <f>SUM(G14:G81)</f>
        <v/>
      </c>
      <c r="H82" s="33">
        <f>SUM(H14:H81)</f>
        <v/>
      </c>
      <c r="I82" s="33">
        <f>SUM(I14:I81)</f>
        <v/>
      </c>
      <c r="J82" s="33">
        <f>SUM(J14:J81)</f>
        <v/>
      </c>
      <c r="K82" s="33">
        <f>SUM(K14:K81)</f>
        <v/>
      </c>
      <c r="L82" s="33">
        <f>SUM(L14:L81)</f>
        <v/>
      </c>
      <c r="M82" s="33">
        <f>SUM(M14:M81)</f>
        <v/>
      </c>
      <c r="N82" s="33">
        <f>SUM(N14:N81)</f>
        <v/>
      </c>
      <c r="O82" s="33">
        <f>SUM(O14:O81)</f>
        <v/>
      </c>
      <c r="P82" s="33">
        <f>SUM(P14:P81)</f>
        <v/>
      </c>
      <c r="Q82" s="33">
        <f>SUM(Q14:Q81)</f>
        <v/>
      </c>
      <c r="R82" s="33">
        <f>SUM(R14:R81)</f>
        <v/>
      </c>
      <c r="S82" s="33">
        <f>SUM(S14:S81)</f>
        <v/>
      </c>
      <c r="T82" s="33">
        <f>SUM(T14:T81)</f>
        <v/>
      </c>
      <c r="U82" s="33">
        <f>SUM(U14:U81)</f>
        <v/>
      </c>
      <c r="V82" s="33">
        <f>SUM(V14:V81)</f>
        <v/>
      </c>
      <c r="W82" s="33">
        <f>SUM(W14:W81)</f>
        <v/>
      </c>
      <c r="X82" s="33">
        <f>SUM(X14:X81)</f>
        <v/>
      </c>
      <c r="Y82" s="33">
        <f>SUM(Y14:Y81)</f>
        <v/>
      </c>
      <c r="Z82" s="33">
        <f>SUM(Z14:Z81)</f>
        <v/>
      </c>
      <c r="AA82" s="33">
        <f>SUM(AA14:AA81)</f>
        <v/>
      </c>
      <c r="AB82" s="33">
        <f>SUM(AB14:AB81)</f>
        <v/>
      </c>
      <c r="AC82" s="33">
        <f>SUM(AC14:AC81)</f>
        <v/>
      </c>
      <c r="AD82" s="33">
        <f>SUM(AD14:AD81)</f>
        <v/>
      </c>
      <c r="AE82" s="33">
        <f>SUM(AE14:AE81)</f>
        <v/>
      </c>
      <c r="AF82" s="33">
        <f>SUM(AF14:AF81)</f>
        <v/>
      </c>
      <c r="AG82" s="33">
        <f>SUM(AG14:AG81)</f>
        <v/>
      </c>
      <c r="AH82" s="33">
        <f>SUM(AH14:AH81)</f>
        <v/>
      </c>
      <c r="AI82" s="33">
        <f>SUM(AI14:AI81)</f>
        <v/>
      </c>
      <c r="AJ82" s="33">
        <f>SUM(AJ14:AJ81)</f>
        <v/>
      </c>
      <c r="AK82" s="33">
        <f>SUM(AK14:AK81)</f>
        <v/>
      </c>
      <c r="AL82" s="33">
        <f>SUM(AL14:AL81)</f>
        <v/>
      </c>
      <c r="AM82" s="33">
        <f>SUM(AM14:AM81)</f>
        <v/>
      </c>
      <c r="AN82" s="33">
        <f>SUM(AN14:AN81)</f>
        <v/>
      </c>
      <c r="AO82" s="33">
        <f>SUM(AO14:AO81)</f>
        <v/>
      </c>
      <c r="AP82" s="33">
        <f>SUM(AP14:AP81)</f>
        <v/>
      </c>
      <c r="AQ82" s="33">
        <f>SUM(AQ14:AQ81)</f>
        <v/>
      </c>
      <c r="AR82" s="33">
        <f>SUM(AR14:AR81)</f>
        <v/>
      </c>
      <c r="AS82" s="33">
        <f>SUM(AS14:AS81)</f>
        <v/>
      </c>
      <c r="AT82" s="33">
        <f>SUM(AT14:AT81)</f>
        <v/>
      </c>
      <c r="AU82" s="33">
        <f>SUM(AU14:AU81)</f>
        <v/>
      </c>
      <c r="AV82" s="33">
        <f>SUM(AV14:AV81)</f>
        <v/>
      </c>
      <c r="AW82" s="33">
        <f>SUM(AW14:AW81)</f>
        <v/>
      </c>
      <c r="AX82" s="33">
        <f>SUM(AX14:AX81)</f>
        <v/>
      </c>
      <c r="AY82" s="33">
        <f>SUM(AY14:AY81)</f>
        <v/>
      </c>
      <c r="AZ82" s="33">
        <f>SUM(AZ14:AZ81)</f>
        <v/>
      </c>
      <c r="BA82" s="33">
        <f>SUM(BA14:BA81)</f>
        <v/>
      </c>
      <c r="BB82" s="33">
        <f>SUM(BB14:BB81)</f>
        <v/>
      </c>
      <c r="BC82" s="33">
        <f>SUM(BC14:BC81)</f>
        <v/>
      </c>
      <c r="BD82" s="33">
        <f>SUM(BD14:BD81)</f>
        <v/>
      </c>
      <c r="BE82" s="33">
        <f>SUM(BE14:BE81)</f>
        <v/>
      </c>
      <c r="BF82" s="33">
        <f>SUM(BF14:BF81)</f>
        <v/>
      </c>
      <c r="BG82" s="33">
        <f>SUM(BG14:BG81)</f>
        <v/>
      </c>
      <c r="BH82" s="33">
        <f>SUM(BH14:BH81)</f>
        <v/>
      </c>
      <c r="BI82" s="33">
        <f>SUM(BI14:BI81)</f>
        <v/>
      </c>
      <c r="BJ82" s="33">
        <f>SUM(BJ14:BJ81)</f>
        <v/>
      </c>
      <c r="BK82" s="33">
        <f>SUM(BK14:BK81)</f>
        <v/>
      </c>
      <c r="BL82" s="33">
        <f>SUM(BL14:BL81)</f>
        <v/>
      </c>
      <c r="BM82" s="33">
        <f>SUM(BM14:BM81)</f>
        <v/>
      </c>
      <c r="BN82" s="33">
        <f>SUM(BN14:BN81)</f>
        <v/>
      </c>
      <c r="BO82" s="33">
        <f>SUM(BO14:BO81)</f>
        <v/>
      </c>
      <c r="BP82" s="33">
        <f>SUM(BP14:BP81)</f>
        <v/>
      </c>
      <c r="BQ82" s="33">
        <f>SUM(BQ14:BQ81)</f>
        <v/>
      </c>
      <c r="BR82" s="33">
        <f>SUM(BR14:BR81)</f>
        <v/>
      </c>
      <c r="BS82" s="33">
        <f>SUM(BS14:BS81)</f>
        <v/>
      </c>
      <c r="BT82" s="33">
        <f>SUM(BT14:BT81)</f>
        <v/>
      </c>
      <c r="BU82" s="33">
        <f>SUM(BU14:BU81)</f>
        <v/>
      </c>
      <c r="BV82" s="33">
        <f>SUM(BV14:BV81)</f>
        <v/>
      </c>
      <c r="BW82" s="33">
        <f>SUM(BW14:BW81)</f>
        <v/>
      </c>
      <c r="BX82" s="33">
        <f>SUM(BX14:BX81)</f>
        <v/>
      </c>
      <c r="BY82" s="33">
        <f>SUM(BY14:BY81)</f>
        <v/>
      </c>
    </row>
    <row r="83"/>
    <row r="84">
      <c r="B84" s="32" t="inlineStr">
        <is>
          <t>Ajuste intermedio no asignado a matriz</t>
        </is>
      </c>
      <c r="C84" s="33" t="n">
        <v>0</v>
      </c>
      <c r="D84" s="33" t="n">
        <v>5.456968210637569e-12</v>
      </c>
      <c r="E84" s="33" t="n">
        <v>-9.094947017729282e-13</v>
      </c>
      <c r="F84" s="33" t="n">
        <v>6.821210263296962e-13</v>
      </c>
      <c r="G84" s="33" t="n">
        <v>7.275957614183426e-12</v>
      </c>
      <c r="H84" s="33" t="n">
        <v>-1.364242052659392e-12</v>
      </c>
      <c r="I84" s="33" t="n">
        <v>-2.273736754432321e-13</v>
      </c>
      <c r="J84" s="33" t="n">
        <v>2.91038304567337e-11</v>
      </c>
      <c r="K84" s="33" t="n">
        <v>-2.273736754432321e-13</v>
      </c>
      <c r="L84" s="33" t="n">
        <v>-1.091393642127514e-11</v>
      </c>
      <c r="M84" s="33" t="n">
        <v>7.275957614183426e-12</v>
      </c>
      <c r="N84" s="33" t="n">
        <v>1.13686837721616e-12</v>
      </c>
      <c r="O84" s="33" t="n">
        <v>3.240074875066057e-12</v>
      </c>
      <c r="P84" s="33" t="n">
        <v>1.818989403545856e-12</v>
      </c>
      <c r="Q84" s="33" t="n">
        <v>0</v>
      </c>
      <c r="R84" s="33" t="n">
        <v>-1.506350599811412e-12</v>
      </c>
      <c r="S84" s="33" t="n">
        <v>-5.456968210637569e-12</v>
      </c>
      <c r="T84" s="33" t="n">
        <v>9.094947017729282e-13</v>
      </c>
      <c r="U84" s="33" t="n">
        <v>2.91038304567337e-11</v>
      </c>
      <c r="V84" s="33" t="n">
        <v>-1.818989403545856e-12</v>
      </c>
      <c r="W84" s="33" t="n">
        <v>-1.455191522836685e-11</v>
      </c>
      <c r="X84" s="33" t="n">
        <v>1.449507180950604e-12</v>
      </c>
      <c r="Y84" s="33" t="n">
        <v>-3.637978807091713e-12</v>
      </c>
      <c r="Z84" s="33" t="n">
        <v>1.818989403545856e-12</v>
      </c>
      <c r="AA84" s="33" t="n">
        <v>-9.094947017729282e-12</v>
      </c>
      <c r="AB84" s="33" t="n">
        <v>7.275957614183426e-12</v>
      </c>
      <c r="AC84" s="33" t="n">
        <v>9.094947017729282e-12</v>
      </c>
      <c r="AD84" s="33" t="n">
        <v>0</v>
      </c>
      <c r="AE84" s="33" t="n">
        <v>2.728484105318785e-12</v>
      </c>
      <c r="AF84" s="33" t="n">
        <v>-2.182787284255028e-11</v>
      </c>
      <c r="AG84" s="33" t="n">
        <v>3.410605131648481e-13</v>
      </c>
      <c r="AH84" s="33" t="n">
        <v>0</v>
      </c>
      <c r="AI84" s="33" t="n">
        <v>-7.275957614183426e-12</v>
      </c>
      <c r="AJ84" s="33" t="n">
        <v>7.275957614183426e-12</v>
      </c>
      <c r="AK84" s="33" t="n">
        <v>-1.818989403545856e-12</v>
      </c>
      <c r="AL84" s="33" t="n">
        <v>1.591615728102624e-12</v>
      </c>
      <c r="AM84" s="33" t="n">
        <v>-3.637978807091713e-12</v>
      </c>
      <c r="AN84" s="33" t="n">
        <v>-7.275957614183426e-12</v>
      </c>
      <c r="AO84" s="33" t="n">
        <v>-1.364242052659392e-12</v>
      </c>
      <c r="AP84" s="33" t="n">
        <v>0</v>
      </c>
      <c r="AQ84" s="33" t="n">
        <v>0</v>
      </c>
      <c r="AR84" s="33" t="n">
        <v>1.455191522836685e-11</v>
      </c>
      <c r="AS84" s="33" t="n">
        <v>-1.818989403545856e-12</v>
      </c>
      <c r="AT84" s="33" t="n">
        <v>1.818989403545856e-12</v>
      </c>
      <c r="AU84" s="33" t="n">
        <v>1.818989403545856e-12</v>
      </c>
      <c r="AV84" s="33" t="n">
        <v>1.818989403545856e-12</v>
      </c>
      <c r="AW84" s="33" t="n">
        <v>4.547473508864641e-13</v>
      </c>
      <c r="AX84" s="33" t="n">
        <v>0</v>
      </c>
      <c r="AY84" s="33" t="n">
        <v>-9.094947017729282e-13</v>
      </c>
      <c r="AZ84" s="33" t="n">
        <v>-9.094947017729282e-13</v>
      </c>
      <c r="BA84" s="33" t="n">
        <v>0</v>
      </c>
      <c r="BB84" s="33" t="n">
        <v>1.364242052659392e-12</v>
      </c>
      <c r="BC84" s="33" t="n">
        <v>3.637978807091713e-12</v>
      </c>
      <c r="BD84" s="33" t="n">
        <v>1.818989403545856e-12</v>
      </c>
      <c r="BE84" s="33" t="n">
        <v>2.273736754432321e-13</v>
      </c>
      <c r="BF84" s="33" t="n">
        <v>2.728484105318785e-12</v>
      </c>
      <c r="BG84" s="33" t="n">
        <v>9.094947017729282e-13</v>
      </c>
      <c r="BH84" s="33" t="n">
        <v>-9.094947017729282e-13</v>
      </c>
      <c r="BI84" s="33" t="n">
        <v>0</v>
      </c>
      <c r="BJ84" s="33" t="n">
        <v>5.684341886080801e-14</v>
      </c>
      <c r="BK84" s="33" t="n">
        <v>3.637978807091713e-12</v>
      </c>
      <c r="BL84" s="33" t="n">
        <v>0</v>
      </c>
      <c r="BM84" s="33" t="n">
        <v>0</v>
      </c>
      <c r="BN84" s="33" t="n">
        <v>0</v>
      </c>
      <c r="BO84" s="33" t="n">
        <v>3.637978807091713e-12</v>
      </c>
      <c r="BP84" s="33" t="n">
        <v>-4.547473508864641e-13</v>
      </c>
      <c r="BQ84" s="33" t="n">
        <v>-3.637978807091713e-12</v>
      </c>
      <c r="BR84" s="33" t="n">
        <v>0</v>
      </c>
      <c r="BY84" s="33">
        <f>SUM(C84:BR84)</f>
        <v/>
      </c>
    </row>
    <row r="85"/>
    <row r="86">
      <c r="B86" s="32" t="inlineStr">
        <is>
          <t>Sin valor agregado</t>
        </is>
      </c>
      <c r="C86" s="33" t="n">
        <v>0</v>
      </c>
      <c r="D86" s="33" t="n">
        <v>0</v>
      </c>
      <c r="E86" s="33" t="n">
        <v>0</v>
      </c>
      <c r="F86" s="33" t="n">
        <v>0</v>
      </c>
      <c r="G86" s="33" t="n">
        <v>0</v>
      </c>
      <c r="H86" s="33" t="n">
        <v>0</v>
      </c>
      <c r="I86" s="33" t="n">
        <v>0</v>
      </c>
      <c r="J86" s="33" t="n">
        <v>0</v>
      </c>
      <c r="K86" s="33" t="n">
        <v>0</v>
      </c>
      <c r="L86" s="33" t="n">
        <v>0</v>
      </c>
      <c r="M86" s="33" t="n">
        <v>0</v>
      </c>
      <c r="N86" s="33" t="n">
        <v>0</v>
      </c>
      <c r="O86" s="33" t="n">
        <v>0</v>
      </c>
      <c r="P86" s="33" t="n">
        <v>0</v>
      </c>
      <c r="Q86" s="33" t="n">
        <v>0</v>
      </c>
      <c r="R86" s="33" t="n">
        <v>0</v>
      </c>
      <c r="S86" s="33" t="n">
        <v>0</v>
      </c>
      <c r="T86" s="33" t="n">
        <v>0</v>
      </c>
      <c r="U86" s="33" t="n">
        <v>0</v>
      </c>
      <c r="V86" s="33" t="n">
        <v>0</v>
      </c>
      <c r="W86" s="33" t="n">
        <v>0</v>
      </c>
      <c r="X86" s="33" t="n">
        <v>0</v>
      </c>
      <c r="Y86" s="33" t="n">
        <v>0</v>
      </c>
      <c r="Z86" s="33" t="n">
        <v>0</v>
      </c>
      <c r="AA86" s="33" t="n">
        <v>0</v>
      </c>
      <c r="AB86" s="33" t="n">
        <v>0</v>
      </c>
      <c r="AC86" s="33" t="n">
        <v>0</v>
      </c>
      <c r="AD86" s="33" t="n">
        <v>0</v>
      </c>
      <c r="AE86" s="33" t="n">
        <v>0</v>
      </c>
      <c r="AF86" s="33" t="n">
        <v>0</v>
      </c>
      <c r="AG86" s="33" t="n">
        <v>0</v>
      </c>
      <c r="AH86" s="33" t="n">
        <v>0</v>
      </c>
      <c r="AI86" s="33" t="n">
        <v>0</v>
      </c>
      <c r="AJ86" s="33" t="n">
        <v>0</v>
      </c>
      <c r="AK86" s="33" t="n">
        <v>0</v>
      </c>
      <c r="AL86" s="33" t="n">
        <v>0</v>
      </c>
      <c r="AM86" s="33" t="n">
        <v>0</v>
      </c>
      <c r="AN86" s="33" t="n">
        <v>0</v>
      </c>
      <c r="AO86" s="33" t="n">
        <v>0</v>
      </c>
      <c r="AP86" s="33" t="n">
        <v>0</v>
      </c>
      <c r="AQ86" s="33" t="n">
        <v>0</v>
      </c>
      <c r="AR86" s="33" t="n">
        <v>0</v>
      </c>
      <c r="AS86" s="33" t="n">
        <v>0</v>
      </c>
      <c r="AT86" s="33" t="n">
        <v>0</v>
      </c>
      <c r="AU86" s="33" t="n">
        <v>0</v>
      </c>
      <c r="AV86" s="33" t="n">
        <v>0</v>
      </c>
      <c r="AW86" s="33" t="n">
        <v>0</v>
      </c>
      <c r="AX86" s="33" t="n">
        <v>0</v>
      </c>
      <c r="AY86" s="33" t="n">
        <v>0</v>
      </c>
      <c r="AZ86" s="33" t="n">
        <v>0</v>
      </c>
      <c r="BA86" s="33" t="n">
        <v>0</v>
      </c>
      <c r="BB86" s="33" t="n">
        <v>0</v>
      </c>
      <c r="BC86" s="33" t="n">
        <v>0</v>
      </c>
      <c r="BD86" s="33" t="n">
        <v>0</v>
      </c>
      <c r="BE86" s="33" t="n">
        <v>0</v>
      </c>
      <c r="BF86" s="33" t="n">
        <v>0</v>
      </c>
      <c r="BG86" s="33" t="n">
        <v>0</v>
      </c>
      <c r="BH86" s="33" t="n">
        <v>0</v>
      </c>
      <c r="BI86" s="33" t="n">
        <v>0</v>
      </c>
      <c r="BJ86" s="33" t="n">
        <v>0</v>
      </c>
      <c r="BK86" s="33" t="n">
        <v>0</v>
      </c>
      <c r="BL86" s="33" t="n">
        <v>0</v>
      </c>
      <c r="BM86" s="33" t="n">
        <v>0</v>
      </c>
      <c r="BN86" s="33" t="n">
        <v>0</v>
      </c>
      <c r="BO86" s="33" t="n">
        <v>0</v>
      </c>
      <c r="BP86" s="33" t="n">
        <v>0</v>
      </c>
      <c r="BQ86" s="33" t="n">
        <v>0</v>
      </c>
      <c r="BR86" s="33" t="n">
        <v>0</v>
      </c>
      <c r="BY86" s="33">
        <f>SUM(C86:BR86)</f>
        <v/>
      </c>
    </row>
    <row r="87"/>
    <row r="88">
      <c r="B88" s="32" t="inlineStr">
        <is>
          <t>Produccion total</t>
        </is>
      </c>
      <c r="C88" s="33">
        <f>C82+C84+C86</f>
        <v/>
      </c>
      <c r="D88" s="33">
        <f>D82+D84+D86</f>
        <v/>
      </c>
      <c r="E88" s="33">
        <f>E82+E84+E86</f>
        <v/>
      </c>
      <c r="F88" s="33">
        <f>F82+F84+F86</f>
        <v/>
      </c>
      <c r="G88" s="33">
        <f>G82+G84+G86</f>
        <v/>
      </c>
      <c r="H88" s="33">
        <f>H82+H84+H86</f>
        <v/>
      </c>
      <c r="I88" s="33">
        <f>I82+I84+I86</f>
        <v/>
      </c>
      <c r="J88" s="33">
        <f>J82+J84+J86</f>
        <v/>
      </c>
      <c r="K88" s="33">
        <f>K82+K84+K86</f>
        <v/>
      </c>
      <c r="L88" s="33">
        <f>L82+L84+L86</f>
        <v/>
      </c>
      <c r="M88" s="33">
        <f>M82+M84+M86</f>
        <v/>
      </c>
      <c r="N88" s="33">
        <f>N82+N84+N86</f>
        <v/>
      </c>
      <c r="O88" s="33">
        <f>O82+O84+O86</f>
        <v/>
      </c>
      <c r="P88" s="33">
        <f>P82+P84+P86</f>
        <v/>
      </c>
      <c r="Q88" s="33">
        <f>Q82+Q84+Q86</f>
        <v/>
      </c>
      <c r="R88" s="33">
        <f>R82+R84+R86</f>
        <v/>
      </c>
      <c r="S88" s="33">
        <f>S82+S84+S86</f>
        <v/>
      </c>
      <c r="T88" s="33">
        <f>T82+T84+T86</f>
        <v/>
      </c>
      <c r="U88" s="33">
        <f>U82+U84+U86</f>
        <v/>
      </c>
      <c r="V88" s="33">
        <f>V82+V84+V86</f>
        <v/>
      </c>
      <c r="W88" s="33">
        <f>W82+W84+W86</f>
        <v/>
      </c>
      <c r="X88" s="33">
        <f>X82+X84+X86</f>
        <v/>
      </c>
      <c r="Y88" s="33">
        <f>Y82+Y84+Y86</f>
        <v/>
      </c>
      <c r="Z88" s="33">
        <f>Z82+Z84+Z86</f>
        <v/>
      </c>
      <c r="AA88" s="33">
        <f>AA82+AA84+AA86</f>
        <v/>
      </c>
      <c r="AB88" s="33">
        <f>AB82+AB84+AB86</f>
        <v/>
      </c>
      <c r="AC88" s="33">
        <f>AC82+AC84+AC86</f>
        <v/>
      </c>
      <c r="AD88" s="33">
        <f>AD82+AD84+AD86</f>
        <v/>
      </c>
      <c r="AE88" s="33">
        <f>AE82+AE84+AE86</f>
        <v/>
      </c>
      <c r="AF88" s="33">
        <f>AF82+AF84+AF86</f>
        <v/>
      </c>
      <c r="AG88" s="33">
        <f>AG82+AG84+AG86</f>
        <v/>
      </c>
      <c r="AH88" s="33">
        <f>AH82+AH84+AH86</f>
        <v/>
      </c>
      <c r="AI88" s="33">
        <f>AI82+AI84+AI86</f>
        <v/>
      </c>
      <c r="AJ88" s="33">
        <f>AJ82+AJ84+AJ86</f>
        <v/>
      </c>
      <c r="AK88" s="33">
        <f>AK82+AK84+AK86</f>
        <v/>
      </c>
      <c r="AL88" s="33">
        <f>AL82+AL84+AL86</f>
        <v/>
      </c>
      <c r="AM88" s="33">
        <f>AM82+AM84+AM86</f>
        <v/>
      </c>
      <c r="AN88" s="33">
        <f>AN82+AN84+AN86</f>
        <v/>
      </c>
      <c r="AO88" s="33">
        <f>AO82+AO84+AO86</f>
        <v/>
      </c>
      <c r="AP88" s="33">
        <f>AP82+AP84+AP86</f>
        <v/>
      </c>
      <c r="AQ88" s="33">
        <f>AQ82+AQ84+AQ86</f>
        <v/>
      </c>
      <c r="AR88" s="33">
        <f>AR82+AR84+AR86</f>
        <v/>
      </c>
      <c r="AS88" s="33">
        <f>AS82+AS84+AS86</f>
        <v/>
      </c>
      <c r="AT88" s="33">
        <f>AT82+AT84+AT86</f>
        <v/>
      </c>
      <c r="AU88" s="33">
        <f>AU82+AU84+AU86</f>
        <v/>
      </c>
      <c r="AV88" s="33">
        <f>AV82+AV84+AV86</f>
        <v/>
      </c>
      <c r="AW88" s="33">
        <f>AW82+AW84+AW86</f>
        <v/>
      </c>
      <c r="AX88" s="33">
        <f>AX82+AX84+AX86</f>
        <v/>
      </c>
      <c r="AY88" s="33">
        <f>AY82+AY84+AY86</f>
        <v/>
      </c>
      <c r="AZ88" s="33">
        <f>AZ82+AZ84+AZ86</f>
        <v/>
      </c>
      <c r="BA88" s="33">
        <f>BA82+BA84+BA86</f>
        <v/>
      </c>
      <c r="BB88" s="33">
        <f>BB82+BB84+BB86</f>
        <v/>
      </c>
      <c r="BC88" s="33">
        <f>BC82+BC84+BC86</f>
        <v/>
      </c>
      <c r="BD88" s="33">
        <f>BD82+BD84+BD86</f>
        <v/>
      </c>
      <c r="BE88" s="33">
        <f>BE82+BE84+BE86</f>
        <v/>
      </c>
      <c r="BF88" s="33">
        <f>BF82+BF84+BF86</f>
        <v/>
      </c>
      <c r="BG88" s="33">
        <f>BG82+BG84+BG86</f>
        <v/>
      </c>
      <c r="BH88" s="33">
        <f>BH82+BH84+BH86</f>
        <v/>
      </c>
      <c r="BI88" s="33">
        <f>BI82+BI84+BI86</f>
        <v/>
      </c>
      <c r="BJ88" s="33">
        <f>BJ82+BJ84+BJ86</f>
        <v/>
      </c>
      <c r="BK88" s="33">
        <f>BK82+BK84+BK86</f>
        <v/>
      </c>
      <c r="BL88" s="33">
        <f>BL82+BL84+BL86</f>
        <v/>
      </c>
      <c r="BM88" s="33">
        <f>BM82+BM84+BM86</f>
        <v/>
      </c>
      <c r="BN88" s="33">
        <f>BN82+BN84+BN86</f>
        <v/>
      </c>
      <c r="BO88" s="33">
        <f>BO82+BO84+BO86</f>
        <v/>
      </c>
      <c r="BP88" s="33">
        <f>BP82+BP84+BP86</f>
        <v/>
      </c>
      <c r="BQ88" s="33">
        <f>BQ82+BQ84+BQ86</f>
        <v/>
      </c>
      <c r="BR88" s="33">
        <f>BR82+BR84+BR86</f>
        <v/>
      </c>
      <c r="BY88" s="33">
        <f>SUM(C88:BR88)</f>
        <v/>
      </c>
    </row>
    <row r="89">
      <c r="B89" s="32" t="inlineStr">
        <is>
          <t>Produccion fuente</t>
        </is>
      </c>
      <c r="C89" s="33" t="n">
        <v>29281.20460451614</v>
      </c>
      <c r="D89" s="33" t="n">
        <v>13367.50099415013</v>
      </c>
      <c r="E89" s="33" t="n">
        <v>5258.52449324881</v>
      </c>
      <c r="F89" s="33" t="n">
        <v>15240.53075555126</v>
      </c>
      <c r="G89" s="33" t="n">
        <v>47195.06337027977</v>
      </c>
      <c r="H89" s="33" t="n">
        <v>1743.909145157962</v>
      </c>
      <c r="I89" s="33" t="n">
        <v>4404.555670546433</v>
      </c>
      <c r="J89" s="33" t="n">
        <v>17522.67936220964</v>
      </c>
      <c r="K89" s="33" t="n">
        <v>5669.350116175785</v>
      </c>
      <c r="L89" s="33" t="n">
        <v>31203.60021334296</v>
      </c>
      <c r="M89" s="33" t="n">
        <v>23373.23084088187</v>
      </c>
      <c r="N89" s="33" t="n">
        <v>457.9452513178155</v>
      </c>
      <c r="O89" s="33" t="n">
        <v>21085.55933698953</v>
      </c>
      <c r="P89" s="33" t="n">
        <v>6993.357054276301</v>
      </c>
      <c r="Q89" s="33" t="n">
        <v>3526.646095856549</v>
      </c>
      <c r="R89" s="33" t="n">
        <v>8454.662324668228</v>
      </c>
      <c r="S89" s="33" t="n">
        <v>22256.07447067085</v>
      </c>
      <c r="T89" s="33" t="n">
        <v>13480.54750849219</v>
      </c>
      <c r="U89" s="33" t="n">
        <v>124779.4315867313</v>
      </c>
      <c r="V89" s="33" t="n">
        <v>5613.512472854271</v>
      </c>
      <c r="W89" s="33" t="n">
        <v>90789.9732670196</v>
      </c>
      <c r="X89" s="33" t="n">
        <v>37431.54252953401</v>
      </c>
      <c r="Y89" s="33" t="n">
        <v>12048.7632797435</v>
      </c>
      <c r="Z89" s="33" t="n">
        <v>18135.44196264559</v>
      </c>
      <c r="AA89" s="33" t="n">
        <v>38303.39965522738</v>
      </c>
      <c r="AB89" s="33" t="n">
        <v>37773.336471197</v>
      </c>
      <c r="AC89" s="33" t="n">
        <v>25417.49996949094</v>
      </c>
      <c r="AD89" s="33" t="n">
        <v>18575.36076144206</v>
      </c>
      <c r="AE89" s="33" t="n">
        <v>33260.26601626741</v>
      </c>
      <c r="AF89" s="33" t="n">
        <v>49857.47307478973</v>
      </c>
      <c r="AG89" s="33" t="n">
        <v>27446.11208497827</v>
      </c>
      <c r="AH89" s="33" t="n">
        <v>32075.42283794806</v>
      </c>
      <c r="AI89" s="33" t="n">
        <v>4254.451178473201</v>
      </c>
      <c r="AJ89" s="33" t="n">
        <v>46727.66194086883</v>
      </c>
      <c r="AK89" s="33" t="n">
        <v>8532.188220509655</v>
      </c>
      <c r="AL89" s="33" t="n">
        <v>25882.71347304391</v>
      </c>
      <c r="AM89" s="33" t="n">
        <v>12410.7386684519</v>
      </c>
      <c r="AN89" s="33" t="n">
        <v>20553.48955403227</v>
      </c>
      <c r="AO89" s="33" t="n">
        <v>3376.985053917327</v>
      </c>
      <c r="AP89" s="33" t="n">
        <v>6644.626588225145</v>
      </c>
      <c r="AQ89" s="33" t="n">
        <v>-24343.29344501953</v>
      </c>
      <c r="AR89" s="33" t="n">
        <v>-671758.2610131998</v>
      </c>
      <c r="AS89" s="33" t="n">
        <v>-60879.90638454907</v>
      </c>
      <c r="AT89" s="33" t="n">
        <v>3726.490861051562</v>
      </c>
      <c r="AU89" s="33" t="n">
        <v>7319.905080382938</v>
      </c>
      <c r="AV89" s="33" t="n">
        <v>6829.22604536951</v>
      </c>
      <c r="AW89" s="33" t="n">
        <v>14504.86543522133</v>
      </c>
      <c r="AX89" s="33" t="n">
        <v>6543.017254049717</v>
      </c>
      <c r="AY89" s="33" t="n">
        <v>6238.980357133278</v>
      </c>
      <c r="AZ89" s="33" t="n">
        <v>5456.340773042602</v>
      </c>
      <c r="BA89" s="33" t="n">
        <v>16516.83152329281</v>
      </c>
      <c r="BB89" s="33" t="n">
        <v>7222.313573622501</v>
      </c>
      <c r="BC89" s="33" t="n">
        <v>44338.06538666795</v>
      </c>
      <c r="BD89" s="33" t="n">
        <v>2404.116522836242</v>
      </c>
      <c r="BE89" s="33" t="n">
        <v>11074.49086077268</v>
      </c>
      <c r="BF89" s="33" t="n">
        <v>6016.872806487288</v>
      </c>
      <c r="BG89" s="33" t="n">
        <v>6511.41322774847</v>
      </c>
      <c r="BH89" s="33" t="n">
        <v>60139.27049505252</v>
      </c>
      <c r="BI89" s="33" t="n">
        <v>13665.31216851705</v>
      </c>
      <c r="BJ89" s="33" t="n">
        <v>1552.484574531955</v>
      </c>
      <c r="BK89" s="33" t="n">
        <v>2842.47048290603</v>
      </c>
      <c r="BL89" s="33" t="n">
        <v>74.94691586266032</v>
      </c>
      <c r="BM89" s="33" t="n">
        <v>212.2038069445316</v>
      </c>
      <c r="BN89" s="33" t="n">
        <v>5.821824828027017</v>
      </c>
      <c r="BO89" s="33" t="n">
        <v>507.3667578445326</v>
      </c>
      <c r="BP89" s="33" t="n">
        <v>1392.756964827897</v>
      </c>
      <c r="BQ89" s="33" t="n">
        <v>-151.8466150079874</v>
      </c>
      <c r="BR89" s="33" t="n">
        <v>0</v>
      </c>
      <c r="BY89" s="33">
        <f>SUM(C89:BR89)</f>
        <v/>
      </c>
    </row>
    <row r="90">
      <c r="B90" s="35" t="inlineStr">
        <is>
          <t>Check produccion total - fuente</t>
        </is>
      </c>
      <c r="C90" s="36">
        <f>C88-C89</f>
        <v/>
      </c>
      <c r="D90" s="36">
        <f>D88-D89</f>
        <v/>
      </c>
      <c r="E90" s="36">
        <f>E88-E89</f>
        <v/>
      </c>
      <c r="F90" s="36">
        <f>F88-F89</f>
        <v/>
      </c>
      <c r="G90" s="36">
        <f>G88-G89</f>
        <v/>
      </c>
      <c r="H90" s="36">
        <f>H88-H89</f>
        <v/>
      </c>
      <c r="I90" s="36">
        <f>I88-I89</f>
        <v/>
      </c>
      <c r="J90" s="36">
        <f>J88-J89</f>
        <v/>
      </c>
      <c r="K90" s="36">
        <f>K88-K89</f>
        <v/>
      </c>
      <c r="L90" s="36">
        <f>L88-L89</f>
        <v/>
      </c>
      <c r="M90" s="36">
        <f>M88-M89</f>
        <v/>
      </c>
      <c r="N90" s="36">
        <f>N88-N89</f>
        <v/>
      </c>
      <c r="O90" s="36">
        <f>O88-O89</f>
        <v/>
      </c>
      <c r="P90" s="36">
        <f>P88-P89</f>
        <v/>
      </c>
      <c r="Q90" s="36">
        <f>Q88-Q89</f>
        <v/>
      </c>
      <c r="R90" s="36">
        <f>R88-R89</f>
        <v/>
      </c>
      <c r="S90" s="36">
        <f>S88-S89</f>
        <v/>
      </c>
      <c r="T90" s="36">
        <f>T88-T89</f>
        <v/>
      </c>
      <c r="U90" s="36">
        <f>U88-U89</f>
        <v/>
      </c>
      <c r="V90" s="36">
        <f>V88-V89</f>
        <v/>
      </c>
      <c r="W90" s="36">
        <f>W88-W89</f>
        <v/>
      </c>
      <c r="X90" s="36">
        <f>X88-X89</f>
        <v/>
      </c>
      <c r="Y90" s="36">
        <f>Y88-Y89</f>
        <v/>
      </c>
      <c r="Z90" s="36">
        <f>Z88-Z89</f>
        <v/>
      </c>
      <c r="AA90" s="36">
        <f>AA88-AA89</f>
        <v/>
      </c>
      <c r="AB90" s="36">
        <f>AB88-AB89</f>
        <v/>
      </c>
      <c r="AC90" s="36">
        <f>AC88-AC89</f>
        <v/>
      </c>
      <c r="AD90" s="36">
        <f>AD88-AD89</f>
        <v/>
      </c>
      <c r="AE90" s="36">
        <f>AE88-AE89</f>
        <v/>
      </c>
      <c r="AF90" s="36">
        <f>AF88-AF89</f>
        <v/>
      </c>
      <c r="AG90" s="36">
        <f>AG88-AG89</f>
        <v/>
      </c>
      <c r="AH90" s="36">
        <f>AH88-AH89</f>
        <v/>
      </c>
      <c r="AI90" s="36">
        <f>AI88-AI89</f>
        <v/>
      </c>
      <c r="AJ90" s="36">
        <f>AJ88-AJ89</f>
        <v/>
      </c>
      <c r="AK90" s="36">
        <f>AK88-AK89</f>
        <v/>
      </c>
      <c r="AL90" s="36">
        <f>AL88-AL89</f>
        <v/>
      </c>
      <c r="AM90" s="36">
        <f>AM88-AM89</f>
        <v/>
      </c>
      <c r="AN90" s="36">
        <f>AN88-AN89</f>
        <v/>
      </c>
      <c r="AO90" s="36">
        <f>AO88-AO89</f>
        <v/>
      </c>
      <c r="AP90" s="36">
        <f>AP88-AP89</f>
        <v/>
      </c>
      <c r="AQ90" s="36">
        <f>AQ88-AQ89</f>
        <v/>
      </c>
      <c r="AR90" s="36">
        <f>AR88-AR89</f>
        <v/>
      </c>
      <c r="AS90" s="36">
        <f>AS88-AS89</f>
        <v/>
      </c>
      <c r="AT90" s="36">
        <f>AT88-AT89</f>
        <v/>
      </c>
      <c r="AU90" s="36">
        <f>AU88-AU89</f>
        <v/>
      </c>
      <c r="AV90" s="36">
        <f>AV88-AV89</f>
        <v/>
      </c>
      <c r="AW90" s="36">
        <f>AW88-AW89</f>
        <v/>
      </c>
      <c r="AX90" s="36">
        <f>AX88-AX89</f>
        <v/>
      </c>
      <c r="AY90" s="36">
        <f>AY88-AY89</f>
        <v/>
      </c>
      <c r="AZ90" s="36">
        <f>AZ88-AZ89</f>
        <v/>
      </c>
      <c r="BA90" s="36">
        <f>BA88-BA89</f>
        <v/>
      </c>
      <c r="BB90" s="36">
        <f>BB88-BB89</f>
        <v/>
      </c>
      <c r="BC90" s="36">
        <f>BC88-BC89</f>
        <v/>
      </c>
      <c r="BD90" s="36">
        <f>BD88-BD89</f>
        <v/>
      </c>
      <c r="BE90" s="36">
        <f>BE88-BE89</f>
        <v/>
      </c>
      <c r="BF90" s="36">
        <f>BF88-BF89</f>
        <v/>
      </c>
      <c r="BG90" s="36">
        <f>BG88-BG89</f>
        <v/>
      </c>
      <c r="BH90" s="36">
        <f>BH88-BH89</f>
        <v/>
      </c>
      <c r="BI90" s="36">
        <f>BI88-BI89</f>
        <v/>
      </c>
      <c r="BJ90" s="36">
        <f>BJ88-BJ89</f>
        <v/>
      </c>
      <c r="BK90" s="36">
        <f>BK88-BK89</f>
        <v/>
      </c>
      <c r="BL90" s="36">
        <f>BL88-BL89</f>
        <v/>
      </c>
      <c r="BM90" s="36">
        <f>BM88-BM89</f>
        <v/>
      </c>
      <c r="BN90" s="36">
        <f>BN88-BN89</f>
        <v/>
      </c>
      <c r="BO90" s="36">
        <f>BO88-BO89</f>
        <v/>
      </c>
      <c r="BP90" s="36">
        <f>BP88-BP89</f>
        <v/>
      </c>
      <c r="BQ90" s="36">
        <f>BQ88-BQ89</f>
        <v/>
      </c>
      <c r="BR90" s="36">
        <f>BR88-BR89</f>
        <v/>
      </c>
      <c r="BY90" s="36">
        <f>SUM(C90:BR90)</f>
        <v/>
      </c>
    </row>
    <row r="91"/>
    <row r="92">
      <c r="B92" s="28" t="inlineStr">
        <is>
          <t>Nota</t>
        </is>
      </c>
      <c r="C92" s="28" t="inlineStr">
        <is>
          <t>U_importada/ajuste transformado a industrias con D = V * diag(q)^-1.</t>
        </is>
      </c>
    </row>
  </sheetData>
  <mergeCells count="9">
    <mergeCell ref="BY10:BY12"/>
    <mergeCell ref="BX10:BX12"/>
    <mergeCell ref="A3:H4"/>
    <mergeCell ref="B10:B12"/>
    <mergeCell ref="A10:A12"/>
    <mergeCell ref="A1:H1"/>
    <mergeCell ref="C10:BR10"/>
    <mergeCell ref="BS10:BS12"/>
    <mergeCell ref="BT10:BW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Y9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</cols>
  <sheetData>
    <row r="1" ht="44" customHeight="1"/>
    <row r="2"/>
    <row r="3" ht="16" customHeight="1">
      <c r="A3" s="20" t="inlineStr">
        <is>
          <t>Matriz insumo producto, actividad por actividad - Total auditable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2014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3" t="inlineStr">
        <is>
          <t>Total consumo intermedio</t>
        </is>
      </c>
      <c r="BT10" s="23" t="inlineStr">
        <is>
          <t>Demanda final</t>
        </is>
      </c>
      <c r="BU10" s="24" t="n"/>
      <c r="BV10" s="24" t="n"/>
      <c r="BW10" s="24" t="n"/>
      <c r="BX10" s="23" t="inlineStr">
        <is>
          <t>Total demanda final</t>
        </is>
      </c>
      <c r="BY10" s="23" t="inlineStr">
        <is>
          <t>Total</t>
        </is>
      </c>
    </row>
    <row r="11" ht="15" customHeight="1">
      <c r="C11" s="25" t="inlineStr">
        <is>
          <t>0191</t>
        </is>
      </c>
      <c r="D11" s="25" t="inlineStr">
        <is>
          <t>0192</t>
        </is>
      </c>
      <c r="E11" s="25" t="inlineStr">
        <is>
          <t>0280</t>
        </is>
      </c>
      <c r="F11" s="25" t="inlineStr">
        <is>
          <t>0580</t>
        </is>
      </c>
      <c r="G11" s="25" t="inlineStr">
        <is>
          <t>0680</t>
        </is>
      </c>
      <c r="H11" s="25" t="inlineStr">
        <is>
          <t>0791</t>
        </is>
      </c>
      <c r="I11" s="25" t="inlineStr">
        <is>
          <t>0792</t>
        </is>
      </c>
      <c r="J11" s="25" t="inlineStr">
        <is>
          <t>1091</t>
        </is>
      </c>
      <c r="K11" s="25" t="inlineStr">
        <is>
          <t>1092</t>
        </is>
      </c>
      <c r="L11" s="25" t="inlineStr">
        <is>
          <t>1093</t>
        </is>
      </c>
      <c r="M11" s="25" t="inlineStr">
        <is>
          <t>1100</t>
        </is>
      </c>
      <c r="N11" s="25" t="inlineStr">
        <is>
          <t>1200</t>
        </is>
      </c>
      <c r="O11" s="25" t="inlineStr">
        <is>
          <t>1300</t>
        </is>
      </c>
      <c r="P11" s="25" t="inlineStr">
        <is>
          <t>1400</t>
        </is>
      </c>
      <c r="Q11" s="25" t="inlineStr">
        <is>
          <t>1500</t>
        </is>
      </c>
      <c r="R11" s="25" t="inlineStr">
        <is>
          <t>1600</t>
        </is>
      </c>
      <c r="S11" s="25" t="inlineStr">
        <is>
          <t>1700</t>
        </is>
      </c>
      <c r="T11" s="25" t="inlineStr">
        <is>
          <t>1800</t>
        </is>
      </c>
      <c r="U11" s="25" t="inlineStr">
        <is>
          <t>1991</t>
        </is>
      </c>
      <c r="V11" s="25" t="inlineStr">
        <is>
          <t>1992</t>
        </is>
      </c>
      <c r="W11" s="25" t="inlineStr">
        <is>
          <t>2091</t>
        </is>
      </c>
      <c r="X11" s="25" t="inlineStr">
        <is>
          <t>2092</t>
        </is>
      </c>
      <c r="Y11" s="25" t="inlineStr">
        <is>
          <t>2093</t>
        </is>
      </c>
      <c r="Z11" s="25" t="inlineStr">
        <is>
          <t>2100</t>
        </is>
      </c>
      <c r="AA11" s="25" t="inlineStr">
        <is>
          <t>2200</t>
        </is>
      </c>
      <c r="AB11" s="25" t="inlineStr">
        <is>
          <t>2300</t>
        </is>
      </c>
      <c r="AC11" s="25" t="inlineStr">
        <is>
          <t>2491</t>
        </is>
      </c>
      <c r="AD11" s="25" t="inlineStr">
        <is>
          <t>2492</t>
        </is>
      </c>
      <c r="AE11" s="25" t="inlineStr">
        <is>
          <t>2500</t>
        </is>
      </c>
      <c r="AF11" s="25" t="inlineStr">
        <is>
          <t>2600</t>
        </is>
      </c>
      <c r="AG11" s="25" t="inlineStr">
        <is>
          <t>2700</t>
        </is>
      </c>
      <c r="AH11" s="25" t="inlineStr">
        <is>
          <t>2800</t>
        </is>
      </c>
      <c r="AI11" s="25" t="inlineStr">
        <is>
          <t>2991</t>
        </is>
      </c>
      <c r="AJ11" s="25" t="inlineStr">
        <is>
          <t>2992</t>
        </is>
      </c>
      <c r="AK11" s="25" t="inlineStr">
        <is>
          <t>3000</t>
        </is>
      </c>
      <c r="AL11" s="25" t="inlineStr">
        <is>
          <t>3180</t>
        </is>
      </c>
      <c r="AM11" s="25" t="inlineStr">
        <is>
          <t>3300</t>
        </is>
      </c>
      <c r="AN11" s="25" t="inlineStr">
        <is>
          <t>3500</t>
        </is>
      </c>
      <c r="AO11" s="25" t="inlineStr">
        <is>
          <t>3680</t>
        </is>
      </c>
      <c r="AP11" s="25" t="inlineStr">
        <is>
          <t>4180</t>
        </is>
      </c>
      <c r="AQ11" s="25" t="inlineStr">
        <is>
          <t>4500</t>
        </is>
      </c>
      <c r="AR11" s="25" t="inlineStr">
        <is>
          <t>4680</t>
        </is>
      </c>
      <c r="AS11" s="25" t="inlineStr">
        <is>
          <t>4900</t>
        </is>
      </c>
      <c r="AT11" s="25" t="inlineStr">
        <is>
          <t>5000</t>
        </is>
      </c>
      <c r="AU11" s="25" t="inlineStr">
        <is>
          <t>5100</t>
        </is>
      </c>
      <c r="AV11" s="25" t="inlineStr">
        <is>
          <t>5280</t>
        </is>
      </c>
      <c r="AW11" s="25" t="inlineStr">
        <is>
          <t>5500</t>
        </is>
      </c>
      <c r="AX11" s="25" t="inlineStr">
        <is>
          <t>5600</t>
        </is>
      </c>
      <c r="AY11" s="25" t="inlineStr">
        <is>
          <t>5800</t>
        </is>
      </c>
      <c r="AZ11" s="25" t="inlineStr">
        <is>
          <t>5980</t>
        </is>
      </c>
      <c r="BA11" s="25" t="inlineStr">
        <is>
          <t>6100</t>
        </is>
      </c>
      <c r="BB11" s="25" t="inlineStr">
        <is>
          <t>6280</t>
        </is>
      </c>
      <c r="BC11" s="25" t="inlineStr">
        <is>
          <t>6480</t>
        </is>
      </c>
      <c r="BD11" s="25" t="inlineStr">
        <is>
          <t>6800</t>
        </is>
      </c>
      <c r="BE11" s="25" t="inlineStr">
        <is>
          <t>6980</t>
        </is>
      </c>
      <c r="BF11" s="25" t="inlineStr">
        <is>
          <t>7180</t>
        </is>
      </c>
      <c r="BG11" s="25" t="inlineStr">
        <is>
          <t>7380</t>
        </is>
      </c>
      <c r="BH11" s="25" t="inlineStr">
        <is>
          <t>7700</t>
        </is>
      </c>
      <c r="BI11" s="25" t="inlineStr">
        <is>
          <t>7880</t>
        </is>
      </c>
      <c r="BJ11" s="25" t="inlineStr">
        <is>
          <t>8000</t>
        </is>
      </c>
      <c r="BK11" s="25" t="inlineStr">
        <is>
          <t>8400</t>
        </is>
      </c>
      <c r="BL11" s="25" t="inlineStr">
        <is>
          <t>8591</t>
        </is>
      </c>
      <c r="BM11" s="25" t="inlineStr">
        <is>
          <t>8592</t>
        </is>
      </c>
      <c r="BN11" s="25" t="inlineStr">
        <is>
          <t>8691</t>
        </is>
      </c>
      <c r="BO11" s="25" t="inlineStr">
        <is>
          <t>8692</t>
        </is>
      </c>
      <c r="BP11" s="25" t="inlineStr">
        <is>
          <t>9080</t>
        </is>
      </c>
      <c r="BQ11" s="25" t="inlineStr">
        <is>
          <t>9480</t>
        </is>
      </c>
      <c r="BR11" s="25" t="inlineStr">
        <is>
          <t>9700</t>
        </is>
      </c>
      <c r="BT11" s="25" t="inlineStr"/>
      <c r="BU11" s="25" t="inlineStr"/>
      <c r="BV11" s="25" t="inlineStr"/>
      <c r="BW11" s="25" t="inlineStr"/>
    </row>
    <row r="12" ht="90" customHeight="1">
      <c r="A12" s="26" t="n"/>
      <c r="B12" s="26" t="n"/>
      <c r="C12" s="27" t="inlineStr">
        <is>
          <t>Agricultura, inclusive o apoio à agricultura e a pós-colheita</t>
        </is>
      </c>
      <c r="D12" s="27" t="inlineStr">
        <is>
          <t>Pecuária, inclusive o apoio à pecuária</t>
        </is>
      </c>
      <c r="E12" s="27" t="inlineStr">
        <is>
          <t>Produção florestal; pesca e aquicultura</t>
        </is>
      </c>
      <c r="F12" s="27" t="inlineStr">
        <is>
          <t>Extração de carvão mineral e de minerais não-metálicos</t>
        </is>
      </c>
      <c r="G12" s="27" t="inlineStr">
        <is>
          <t>Extração de petróleo e gás, inclusive as atividades de apoio</t>
        </is>
      </c>
      <c r="H12" s="27" t="inlineStr">
        <is>
          <t>Extração de minério de ferro, inclusive beneficiamentos e a aglomeração</t>
        </is>
      </c>
      <c r="I12" s="27" t="inlineStr">
        <is>
          <t>Extração de minerais metálicos não-ferrosos, inclusive beneficiamentos</t>
        </is>
      </c>
      <c r="J12" s="27" t="inlineStr">
        <is>
          <t>Abate e produtos de carne, inclusive os produtos do laticínio e da pesca</t>
        </is>
      </c>
      <c r="K12" s="27" t="inlineStr">
        <is>
          <t>Fabricação e refino de açúcar</t>
        </is>
      </c>
      <c r="L12" s="27" t="inlineStr">
        <is>
          <t>Outros produtos alimentares</t>
        </is>
      </c>
      <c r="M12" s="27" t="inlineStr">
        <is>
          <t>Fabricação de bebidas</t>
        </is>
      </c>
      <c r="N12" s="27" t="inlineStr">
        <is>
          <t>Fabricação de produtos do fumo</t>
        </is>
      </c>
      <c r="O12" s="27" t="inlineStr">
        <is>
          <t>Fabricação de produtos têxteis</t>
        </is>
      </c>
      <c r="P12" s="27" t="inlineStr">
        <is>
          <t>Confecção de artefatos do vestuário e acessórios</t>
        </is>
      </c>
      <c r="Q12" s="27" t="inlineStr">
        <is>
          <t>Fabricação de calçados e de artefatos de couro</t>
        </is>
      </c>
      <c r="R12" s="27" t="inlineStr">
        <is>
          <t>Fabricação de produtos da madeira</t>
        </is>
      </c>
      <c r="S12" s="27" t="inlineStr">
        <is>
          <t>Fabricação de celulose, papel e produtos de papel</t>
        </is>
      </c>
      <c r="T12" s="27" t="inlineStr">
        <is>
          <t>Impressão e reprodução de gravações</t>
        </is>
      </c>
      <c r="U12" s="27" t="inlineStr">
        <is>
          <t>Refino de petróleo e coquerias</t>
        </is>
      </c>
      <c r="V12" s="27" t="inlineStr">
        <is>
          <t>Fabricação de biocombustíveis</t>
        </is>
      </c>
      <c r="W12" s="27" t="inlineStr">
        <is>
          <t>Fabricação de químicos orgânicos e inorgânicos, resinas e elastômeros</t>
        </is>
      </c>
      <c r="X12" s="27" t="inlineStr">
        <is>
          <t>Fabricação de defensivos, desinfestantes, tintas e químicos diversos</t>
        </is>
      </c>
      <c r="Y12" s="27" t="inlineStr">
        <is>
          <t>Fabricação de produtos de limpeza, cosméticos/perfumaria e higiene pessoal</t>
        </is>
      </c>
      <c r="Z12" s="27" t="inlineStr">
        <is>
          <t>Fabricação de produtos farmoquímicos e farmacêuticos</t>
        </is>
      </c>
      <c r="AA12" s="27" t="inlineStr">
        <is>
          <t>Fabricação de produtos de borracha e de material plástico</t>
        </is>
      </c>
      <c r="AB12" s="27" t="inlineStr">
        <is>
          <t>Fabricação de produtos de minerais não-metálicos</t>
        </is>
      </c>
      <c r="AC12" s="27" t="inlineStr">
        <is>
          <t>Produção de ferro-gusa/ferroligas, siderurgia e tubos de aço sem costura</t>
        </is>
      </c>
      <c r="AD12" s="27" t="inlineStr">
        <is>
          <t>Metalurgia de metais não-ferrosos e a fundição de metais</t>
        </is>
      </c>
      <c r="AE12" s="27" t="inlineStr">
        <is>
          <t>Fabricação de produtos de metal, exceto máquinas e equipamentos</t>
        </is>
      </c>
      <c r="AF12" s="27" t="inlineStr">
        <is>
          <t>Fabricação de equipamentos de informática, produtos eletrônicos e ópticos</t>
        </is>
      </c>
      <c r="AG12" s="27" t="inlineStr">
        <is>
          <t>Fabricação de máquinas e equipamentos elétricos</t>
        </is>
      </c>
      <c r="AH12" s="27" t="inlineStr">
        <is>
          <t>Fabricação de máquinas e equipamentos mecânicos</t>
        </is>
      </c>
      <c r="AI12" s="27" t="inlineStr">
        <is>
          <t>Fabricação de automóveis, caminhões e ônibus, exceto peças</t>
        </is>
      </c>
      <c r="AJ12" s="27" t="inlineStr">
        <is>
          <t>Fabricação de peças e acessórios para veículos automotores</t>
        </is>
      </c>
      <c r="AK12" s="27" t="inlineStr">
        <is>
          <t>Fabricação de outros equipamentos de transporte, exceto veículos automotores</t>
        </is>
      </c>
      <c r="AL12" s="27" t="inlineStr">
        <is>
          <t>Fabricação de móveis e de produtos de indústrias diversas</t>
        </is>
      </c>
      <c r="AM12" s="27" t="inlineStr">
        <is>
          <t>Manutenção, reparação e instalação de máquinas e equipamentos</t>
        </is>
      </c>
      <c r="AN12" s="27" t="inlineStr">
        <is>
          <t>Energia elétrica, gás natural e outras utilidades</t>
        </is>
      </c>
      <c r="AO12" s="27" t="inlineStr">
        <is>
          <t>Água, esgoto e gestão de resíduos</t>
        </is>
      </c>
      <c r="AP12" s="27" t="inlineStr">
        <is>
          <t>Construção</t>
        </is>
      </c>
      <c r="AQ12" s="27" t="inlineStr">
        <is>
          <t>Comércio e reparação de veículos automotores e motocicletas</t>
        </is>
      </c>
      <c r="AR12" s="27" t="inlineStr">
        <is>
          <t>Comércio por atacado e a varejo, exceto veículos automotores</t>
        </is>
      </c>
      <c r="AS12" s="27" t="inlineStr">
        <is>
          <t>Transporte terrestre</t>
        </is>
      </c>
      <c r="AT12" s="27" t="inlineStr">
        <is>
          <t>Transporte aquaviário</t>
        </is>
      </c>
      <c r="AU12" s="27" t="inlineStr">
        <is>
          <t>Transporte aéreo</t>
        </is>
      </c>
      <c r="AV12" s="27" t="inlineStr">
        <is>
          <t>Armazenamento, atividades auxiliares dos transportes e correio</t>
        </is>
      </c>
      <c r="AW12" s="27" t="inlineStr">
        <is>
          <t>Alojamento</t>
        </is>
      </c>
      <c r="AX12" s="27" t="inlineStr">
        <is>
          <t>Alimentação</t>
        </is>
      </c>
      <c r="AY12" s="27" t="inlineStr">
        <is>
          <t>Edição e edição integrada à impressão</t>
        </is>
      </c>
      <c r="AZ12" s="27" t="inlineStr">
        <is>
          <t>Atividades de televisão, rádio, cinema e  gravação/edição de som e imagem</t>
        </is>
      </c>
      <c r="BA12" s="27" t="inlineStr">
        <is>
          <t>Telecomunicações</t>
        </is>
      </c>
      <c r="BB12" s="27" t="inlineStr">
        <is>
          <t>Desenvolvimento de sistemas e outros serviços de informação</t>
        </is>
      </c>
      <c r="BC12" s="27" t="inlineStr">
        <is>
          <t>Intermediação financeira, seguros e previdência complementar</t>
        </is>
      </c>
      <c r="BD12" s="27" t="inlineStr">
        <is>
          <t>Atividades imobiliárias</t>
        </is>
      </c>
      <c r="BE12" s="27" t="inlineStr">
        <is>
          <t>Atividades jurídicas, contábeis, consultoria e sedes de empresas</t>
        </is>
      </c>
      <c r="BF12" s="27" t="inlineStr">
        <is>
          <t>Serviços de arquitetura, engenharia, testes/análises técnicas e P &amp; D</t>
        </is>
      </c>
      <c r="BG12" s="27" t="inlineStr">
        <is>
          <t>Outras atividades profissionais, científicas e técnicas</t>
        </is>
      </c>
      <c r="BH12" s="27" t="inlineStr">
        <is>
          <t>Aluguéis não-imobiliários e gestão de ativos de propriedade intelectual</t>
        </is>
      </c>
      <c r="BI12" s="27" t="inlineStr">
        <is>
          <t>Outras atividades administrativas e serviços complementares</t>
        </is>
      </c>
      <c r="BJ12" s="27" t="inlineStr">
        <is>
          <t>Atividades de vigilância, segurança e investigação</t>
        </is>
      </c>
      <c r="BK12" s="27" t="inlineStr">
        <is>
          <t>Administração pública, defesa e seguridade social</t>
        </is>
      </c>
      <c r="BL12" s="27" t="inlineStr">
        <is>
          <t>Educação pública</t>
        </is>
      </c>
      <c r="BM12" s="27" t="inlineStr">
        <is>
          <t>Educação privada</t>
        </is>
      </c>
      <c r="BN12" s="27" t="inlineStr">
        <is>
          <t>Saúde pública</t>
        </is>
      </c>
      <c r="BO12" s="27" t="inlineStr">
        <is>
          <t>Saúde privada</t>
        </is>
      </c>
      <c r="BP12" s="27" t="inlineStr">
        <is>
          <t>Atividades artísticas, criativas e de espetáculos</t>
        </is>
      </c>
      <c r="BQ12" s="27" t="inlineStr">
        <is>
          <t>Organizações associativas e outros serviços pessoais</t>
        </is>
      </c>
      <c r="BR12" s="27" t="inlineStr">
        <is>
          <t>Serviços domésticos</t>
        </is>
      </c>
      <c r="BS12" s="26" t="n"/>
      <c r="BT12" s="27" t="inlineStr">
        <is>
          <t>Gasto de consumo final</t>
        </is>
      </c>
      <c r="BU12" s="27" t="inlineStr">
        <is>
          <t>Formacion bruta de capital</t>
        </is>
      </c>
      <c r="BV12" s="27" t="inlineStr">
        <is>
          <t>Exportaciones netas</t>
        </is>
      </c>
      <c r="BW12" s="27" t="inlineStr">
        <is>
          <t>Sin desglose fuente</t>
        </is>
      </c>
      <c r="BX12" s="26" t="n"/>
      <c r="BY12" s="26" t="n"/>
    </row>
    <row r="13"/>
    <row r="14">
      <c r="A14" s="28" t="inlineStr">
        <is>
          <t>0191</t>
        </is>
      </c>
      <c r="B14" s="28" t="inlineStr">
        <is>
          <t>Agricultura, inclusive o apoio à agricultura e a pós-colheita</t>
        </is>
      </c>
      <c r="C14" s="29" t="n">
        <v>7871.280408986432</v>
      </c>
      <c r="D14" s="29" t="n">
        <v>5039.748742136587</v>
      </c>
      <c r="E14" s="29" t="n">
        <v>209.0084930790368</v>
      </c>
      <c r="F14" s="29" t="n">
        <v>3.266814238306471</v>
      </c>
      <c r="G14" s="29" t="n">
        <v>5.776027038947271</v>
      </c>
      <c r="H14" s="29" t="n">
        <v>0.6424869386805725</v>
      </c>
      <c r="I14" s="29" t="n">
        <v>1.310893392799204</v>
      </c>
      <c r="J14" s="29" t="n">
        <v>7227.633964806404</v>
      </c>
      <c r="K14" s="29" t="n">
        <v>26903.99592316505</v>
      </c>
      <c r="L14" s="29" t="n">
        <v>70036.61516071211</v>
      </c>
      <c r="M14" s="29" t="n">
        <v>2318.070155056295</v>
      </c>
      <c r="N14" s="29" t="n">
        <v>5830.650741468694</v>
      </c>
      <c r="O14" s="29" t="n">
        <v>4966.696451091502</v>
      </c>
      <c r="P14" s="29" t="n">
        <v>952.1157155448445</v>
      </c>
      <c r="Q14" s="29" t="n">
        <v>13.24125664137335</v>
      </c>
      <c r="R14" s="29" t="n">
        <v>165.9213004331966</v>
      </c>
      <c r="S14" s="29" t="n">
        <v>234.4479976348815</v>
      </c>
      <c r="T14" s="29" t="n">
        <v>0.2092662407575908</v>
      </c>
      <c r="U14" s="29" t="n">
        <v>10.20135650621132</v>
      </c>
      <c r="V14" s="29" t="n">
        <v>16640.81848109896</v>
      </c>
      <c r="W14" s="29" t="n">
        <v>24.84985933811286</v>
      </c>
      <c r="X14" s="29" t="n">
        <v>27.40613187320843</v>
      </c>
      <c r="Y14" s="29" t="n">
        <v>2.321479092445901</v>
      </c>
      <c r="Z14" s="29" t="n">
        <v>20.61980042752299</v>
      </c>
      <c r="AA14" s="29" t="n">
        <v>79.0679623740686</v>
      </c>
      <c r="AB14" s="29" t="n">
        <v>31.39181816323106</v>
      </c>
      <c r="AC14" s="29" t="n">
        <v>48.93011692726984</v>
      </c>
      <c r="AD14" s="29" t="n">
        <v>15.35205361796997</v>
      </c>
      <c r="AE14" s="29" t="n">
        <v>4.186036221022491</v>
      </c>
      <c r="AF14" s="29" t="n">
        <v>0.3849432953776275</v>
      </c>
      <c r="AG14" s="29" t="n">
        <v>0.4764439662170232</v>
      </c>
      <c r="AH14" s="29" t="n">
        <v>1.288742616816271</v>
      </c>
      <c r="AI14" s="29" t="n">
        <v>0.7583597964325357</v>
      </c>
      <c r="AJ14" s="29" t="n">
        <v>0.4452343632300821</v>
      </c>
      <c r="AK14" s="29" t="n">
        <v>1.00157067175162</v>
      </c>
      <c r="AL14" s="29" t="n">
        <v>20.28589587503118</v>
      </c>
      <c r="AM14" s="29" t="n">
        <v>0.09916276805467561</v>
      </c>
      <c r="AN14" s="29" t="n">
        <v>0.9064201369300813</v>
      </c>
      <c r="AO14" s="29" t="n">
        <v>35.97689470888346</v>
      </c>
      <c r="AP14" s="29" t="n">
        <v>379.8881986329026</v>
      </c>
      <c r="AQ14" s="29" t="n">
        <v>2.606291842212492</v>
      </c>
      <c r="AR14" s="29" t="n">
        <v>11649.84868569382</v>
      </c>
      <c r="AS14" s="29" t="n">
        <v>0.9064294520480418</v>
      </c>
      <c r="AT14" s="29" t="n">
        <v>0.02097323285858312</v>
      </c>
      <c r="AU14" s="29" t="n">
        <v>0.4026171806580522</v>
      </c>
      <c r="AV14" s="29" t="n">
        <v>7.947244506190011</v>
      </c>
      <c r="AW14" s="29" t="n">
        <v>337.9735908598391</v>
      </c>
      <c r="AX14" s="29" t="n">
        <v>4398.862919040153</v>
      </c>
      <c r="AY14" s="29" t="n">
        <v>0.2050809815957829</v>
      </c>
      <c r="AZ14" s="29" t="n">
        <v>0.7187152256944034</v>
      </c>
      <c r="BA14" s="29" t="n">
        <v>40.98775447137679</v>
      </c>
      <c r="BB14" s="29" t="n">
        <v>1.793342317818716</v>
      </c>
      <c r="BC14" s="29" t="n">
        <v>16.66059792499077</v>
      </c>
      <c r="BD14" s="29" t="n">
        <v>13.59193582615192</v>
      </c>
      <c r="BE14" s="29" t="n">
        <v>6.885341669117413</v>
      </c>
      <c r="BF14" s="29" t="n">
        <v>12.54705556775032</v>
      </c>
      <c r="BG14" s="29" t="n">
        <v>0.7860781463041665</v>
      </c>
      <c r="BH14" s="29" t="n">
        <v>0.6093019271034141</v>
      </c>
      <c r="BI14" s="29" t="n">
        <v>143.0756334451476</v>
      </c>
      <c r="BJ14" s="29" t="n">
        <v>0.2131489479728508</v>
      </c>
      <c r="BK14" s="29" t="n">
        <v>1307.762174617746</v>
      </c>
      <c r="BL14" s="29" t="n">
        <v>540.1598662310791</v>
      </c>
      <c r="BM14" s="29" t="n">
        <v>55.91606891913189</v>
      </c>
      <c r="BN14" s="29" t="n">
        <v>274.4716638957323</v>
      </c>
      <c r="BO14" s="29" t="n">
        <v>214.5000032738872</v>
      </c>
      <c r="BP14" s="29" t="n">
        <v>2.833222537891062</v>
      </c>
      <c r="BQ14" s="29" t="n">
        <v>307.6621535212402</v>
      </c>
      <c r="BR14" s="29" t="n">
        <v>0</v>
      </c>
      <c r="BS14" s="29">
        <f>SUM(C14:BR14)</f>
        <v/>
      </c>
      <c r="BT14" s="29" t="n">
        <v>0</v>
      </c>
      <c r="BU14" s="29" t="n">
        <v>0</v>
      </c>
      <c r="BV14" s="29" t="n">
        <v>139524.967952183</v>
      </c>
      <c r="BW14" s="29" t="n">
        <v>0</v>
      </c>
      <c r="BX14" s="29">
        <f>SUM(BT14:BW14)</f>
        <v/>
      </c>
      <c r="BY14" s="29">
        <f>BS14+BX14</f>
        <v/>
      </c>
    </row>
    <row r="15">
      <c r="A15" s="30" t="inlineStr">
        <is>
          <t>0192</t>
        </is>
      </c>
      <c r="B15" s="30" t="inlineStr">
        <is>
          <t>Pecuária, inclusive o apoio à pecuária</t>
        </is>
      </c>
      <c r="C15" s="31" t="n">
        <v>917.0356310928432</v>
      </c>
      <c r="D15" s="31" t="n">
        <v>5438.50952453946</v>
      </c>
      <c r="E15" s="31" t="n">
        <v>214.9590738821766</v>
      </c>
      <c r="F15" s="31" t="n">
        <v>7.726362827711668</v>
      </c>
      <c r="G15" s="31" t="n">
        <v>17.26517037581386</v>
      </c>
      <c r="H15" s="31" t="n">
        <v>1.124669361633003</v>
      </c>
      <c r="I15" s="31" t="n">
        <v>2.609796260972606</v>
      </c>
      <c r="J15" s="31" t="n">
        <v>84028.02224834885</v>
      </c>
      <c r="K15" s="31" t="n">
        <v>148.8230510923544</v>
      </c>
      <c r="L15" s="31" t="n">
        <v>4069.091576253998</v>
      </c>
      <c r="M15" s="31" t="n">
        <v>107.418182798286</v>
      </c>
      <c r="N15" s="31" t="n">
        <v>248.2866623561605</v>
      </c>
      <c r="O15" s="31" t="n">
        <v>267.3900254200776</v>
      </c>
      <c r="P15" s="31" t="n">
        <v>206.554683363563</v>
      </c>
      <c r="Q15" s="31" t="n">
        <v>14.09941467008681</v>
      </c>
      <c r="R15" s="31" t="n">
        <v>234.1012343567961</v>
      </c>
      <c r="S15" s="31" t="n">
        <v>286.3751900088523</v>
      </c>
      <c r="T15" s="31" t="n">
        <v>0.4393412360749586</v>
      </c>
      <c r="U15" s="31" t="n">
        <v>0.5904369507020877</v>
      </c>
      <c r="V15" s="31" t="n">
        <v>132.7628255713624</v>
      </c>
      <c r="W15" s="31" t="n">
        <v>82.52198128756442</v>
      </c>
      <c r="X15" s="31" t="n">
        <v>12.98055517093324</v>
      </c>
      <c r="Y15" s="31" t="n">
        <v>5.619565678778276</v>
      </c>
      <c r="Z15" s="31" t="n">
        <v>5.618808683916596</v>
      </c>
      <c r="AA15" s="31" t="n">
        <v>101.1853018783976</v>
      </c>
      <c r="AB15" s="31" t="n">
        <v>131.1584020402855</v>
      </c>
      <c r="AC15" s="31" t="n">
        <v>76.01096881332094</v>
      </c>
      <c r="AD15" s="31" t="n">
        <v>33.26153045290435</v>
      </c>
      <c r="AE15" s="31" t="n">
        <v>3.491155214410946</v>
      </c>
      <c r="AF15" s="31" t="n">
        <v>1.299179981664762</v>
      </c>
      <c r="AG15" s="31" t="n">
        <v>1.823097627320351</v>
      </c>
      <c r="AH15" s="31" t="n">
        <v>3.263185160181483</v>
      </c>
      <c r="AI15" s="31" t="n">
        <v>1.679692103368191</v>
      </c>
      <c r="AJ15" s="31" t="n">
        <v>1.360735243125728</v>
      </c>
      <c r="AK15" s="31" t="n">
        <v>1.390691391165006</v>
      </c>
      <c r="AL15" s="31" t="n">
        <v>9.643884581021403</v>
      </c>
      <c r="AM15" s="31" t="n">
        <v>0.3917190549374102</v>
      </c>
      <c r="AN15" s="31" t="n">
        <v>1.772777942877</v>
      </c>
      <c r="AO15" s="31" t="n">
        <v>8.927078931680246</v>
      </c>
      <c r="AP15" s="31" t="n">
        <v>799.9051286359866</v>
      </c>
      <c r="AQ15" s="31" t="n">
        <v>4.460516663662239</v>
      </c>
      <c r="AR15" s="31" t="n">
        <v>467.3695226125292</v>
      </c>
      <c r="AS15" s="31" t="n">
        <v>1.513925648369956</v>
      </c>
      <c r="AT15" s="31" t="n">
        <v>0.04589482978402142</v>
      </c>
      <c r="AU15" s="31" t="n">
        <v>0.6089723961858013</v>
      </c>
      <c r="AV15" s="31" t="n">
        <v>15.65925983332952</v>
      </c>
      <c r="AW15" s="31" t="n">
        <v>287.4321369270547</v>
      </c>
      <c r="AX15" s="31" t="n">
        <v>1612.388374122578</v>
      </c>
      <c r="AY15" s="31" t="n">
        <v>0.6904376573099246</v>
      </c>
      <c r="AZ15" s="31" t="n">
        <v>1.653464613402855</v>
      </c>
      <c r="BA15" s="31" t="n">
        <v>80.04359507273192</v>
      </c>
      <c r="BB15" s="31" t="n">
        <v>4.706628169440387</v>
      </c>
      <c r="BC15" s="31" t="n">
        <v>32.29291437836829</v>
      </c>
      <c r="BD15" s="31" t="n">
        <v>29.57576096075324</v>
      </c>
      <c r="BE15" s="31" t="n">
        <v>6.184626932299857</v>
      </c>
      <c r="BF15" s="31" t="n">
        <v>15.19100281307105</v>
      </c>
      <c r="BG15" s="31" t="n">
        <v>6.608488138725638</v>
      </c>
      <c r="BH15" s="31" t="n">
        <v>1.47504980979366</v>
      </c>
      <c r="BI15" s="31" t="n">
        <v>25.85911677752421</v>
      </c>
      <c r="BJ15" s="31" t="n">
        <v>0.4609658713050928</v>
      </c>
      <c r="BK15" s="31" t="n">
        <v>291.1528197676952</v>
      </c>
      <c r="BL15" s="31" t="n">
        <v>141.9941367440001</v>
      </c>
      <c r="BM15" s="31" t="n">
        <v>16.43464812195744</v>
      </c>
      <c r="BN15" s="31" t="n">
        <v>84.17972916801543</v>
      </c>
      <c r="BO15" s="31" t="n">
        <v>118.5531563088703</v>
      </c>
      <c r="BP15" s="31" t="n">
        <v>3.463545165839163</v>
      </c>
      <c r="BQ15" s="31" t="n">
        <v>68.02002188320104</v>
      </c>
      <c r="BR15" s="31" t="n">
        <v>0</v>
      </c>
      <c r="BS15" s="31">
        <f>SUM(C15:BR15)</f>
        <v/>
      </c>
      <c r="BT15" s="31" t="n">
        <v>0</v>
      </c>
      <c r="BU15" s="31" t="n">
        <v>0</v>
      </c>
      <c r="BV15" s="31" t="n">
        <v>37640.99174212071</v>
      </c>
      <c r="BW15" s="31" t="n">
        <v>0</v>
      </c>
      <c r="BX15" s="31">
        <f>SUM(BT15:BW15)</f>
        <v/>
      </c>
      <c r="BY15" s="31">
        <f>BS15+BX15</f>
        <v/>
      </c>
    </row>
    <row r="16">
      <c r="A16" s="28" t="inlineStr">
        <is>
          <t>0280</t>
        </is>
      </c>
      <c r="B16" s="28" t="inlineStr">
        <is>
          <t>Produção florestal; pesca e aquicultura</t>
        </is>
      </c>
      <c r="C16" s="29" t="n">
        <v>1372.093838261145</v>
      </c>
      <c r="D16" s="29" t="n">
        <v>1616.346468137641</v>
      </c>
      <c r="E16" s="29" t="n">
        <v>2595.372873406975</v>
      </c>
      <c r="F16" s="29" t="n">
        <v>2.62658470490474</v>
      </c>
      <c r="G16" s="29" t="n">
        <v>1.38005104559488</v>
      </c>
      <c r="H16" s="29" t="n">
        <v>0.1121955639150557</v>
      </c>
      <c r="I16" s="29" t="n">
        <v>0.1657019094271118</v>
      </c>
      <c r="J16" s="29" t="n">
        <v>2237.151842747974</v>
      </c>
      <c r="K16" s="29" t="n">
        <v>0.8643158665159729</v>
      </c>
      <c r="L16" s="29" t="n">
        <v>442.6093116109288</v>
      </c>
      <c r="M16" s="29" t="n">
        <v>20.58160253523296</v>
      </c>
      <c r="N16" s="29" t="n">
        <v>21.13779010712934</v>
      </c>
      <c r="O16" s="29" t="n">
        <v>74.61721509294718</v>
      </c>
      <c r="P16" s="29" t="n">
        <v>24.07822693308437</v>
      </c>
      <c r="Q16" s="29" t="n">
        <v>21.69198063442035</v>
      </c>
      <c r="R16" s="29" t="n">
        <v>3383.581607799646</v>
      </c>
      <c r="S16" s="29" t="n">
        <v>3929.342413808607</v>
      </c>
      <c r="T16" s="29" t="n">
        <v>0.03891178543870102</v>
      </c>
      <c r="U16" s="29" t="n">
        <v>0.06923943772053009</v>
      </c>
      <c r="V16" s="29" t="n">
        <v>2.977245608514611</v>
      </c>
      <c r="W16" s="29" t="n">
        <v>220.4452588563791</v>
      </c>
      <c r="X16" s="29" t="n">
        <v>3.943596129231323</v>
      </c>
      <c r="Y16" s="29" t="n">
        <v>0.1362218450177266</v>
      </c>
      <c r="Z16" s="29" t="n">
        <v>0.3592856330876363</v>
      </c>
      <c r="AA16" s="29" t="n">
        <v>1440.6947930089</v>
      </c>
      <c r="AB16" s="29" t="n">
        <v>115.9814514941913</v>
      </c>
      <c r="AC16" s="29" t="n">
        <v>976.9566044285814</v>
      </c>
      <c r="AD16" s="29" t="n">
        <v>2.150481769187075</v>
      </c>
      <c r="AE16" s="29" t="n">
        <v>13.68703845634985</v>
      </c>
      <c r="AF16" s="29" t="n">
        <v>0.1670354289641566</v>
      </c>
      <c r="AG16" s="29" t="n">
        <v>0.1877525989698585</v>
      </c>
      <c r="AH16" s="29" t="n">
        <v>0.402493212923175</v>
      </c>
      <c r="AI16" s="29" t="n">
        <v>0.1972214302991767</v>
      </c>
      <c r="AJ16" s="29" t="n">
        <v>0.1612984804180116</v>
      </c>
      <c r="AK16" s="29" t="n">
        <v>0.182323232172843</v>
      </c>
      <c r="AL16" s="29" t="n">
        <v>4.189098194095676</v>
      </c>
      <c r="AM16" s="29" t="n">
        <v>0.05105689706971789</v>
      </c>
      <c r="AN16" s="29" t="n">
        <v>0.4054971859295516</v>
      </c>
      <c r="AO16" s="29" t="n">
        <v>0.7450803774583792</v>
      </c>
      <c r="AP16" s="29" t="n">
        <v>661.3687935595419</v>
      </c>
      <c r="AQ16" s="29" t="n">
        <v>0.9584295516565844</v>
      </c>
      <c r="AR16" s="29" t="n">
        <v>416.9131894685784</v>
      </c>
      <c r="AS16" s="29" t="n">
        <v>0.3272594944362954</v>
      </c>
      <c r="AT16" s="29" t="n">
        <v>0.01406676635695425</v>
      </c>
      <c r="AU16" s="29" t="n">
        <v>0.07058504605775372</v>
      </c>
      <c r="AV16" s="29" t="n">
        <v>1.397955705677507</v>
      </c>
      <c r="AW16" s="29" t="n">
        <v>55.541994605627</v>
      </c>
      <c r="AX16" s="29" t="n">
        <v>585.7966699987006</v>
      </c>
      <c r="AY16" s="29" t="n">
        <v>0.1202658837257135</v>
      </c>
      <c r="AZ16" s="29" t="n">
        <v>0.2422869614867157</v>
      </c>
      <c r="BA16" s="29" t="n">
        <v>5.299560030058217</v>
      </c>
      <c r="BB16" s="29" t="n">
        <v>0.6613052080199533</v>
      </c>
      <c r="BC16" s="29" t="n">
        <v>3.050758635076671</v>
      </c>
      <c r="BD16" s="29" t="n">
        <v>2.377945698967645</v>
      </c>
      <c r="BE16" s="29" t="n">
        <v>1.188590493245058</v>
      </c>
      <c r="BF16" s="29" t="n">
        <v>4.759796380942749</v>
      </c>
      <c r="BG16" s="29" t="n">
        <v>0.2817926518845763</v>
      </c>
      <c r="BH16" s="29" t="n">
        <v>0.3195094027482466</v>
      </c>
      <c r="BI16" s="29" t="n">
        <v>2.055966654849636</v>
      </c>
      <c r="BJ16" s="29" t="n">
        <v>0.08187287887838314</v>
      </c>
      <c r="BK16" s="29" t="n">
        <v>118.0582937010298</v>
      </c>
      <c r="BL16" s="29" t="n">
        <v>103.717393749222</v>
      </c>
      <c r="BM16" s="29" t="n">
        <v>10.52761477007136</v>
      </c>
      <c r="BN16" s="29" t="n">
        <v>48.972864693063</v>
      </c>
      <c r="BO16" s="29" t="n">
        <v>22.15321949463493</v>
      </c>
      <c r="BP16" s="29" t="n">
        <v>0.8617117096288844</v>
      </c>
      <c r="BQ16" s="29" t="n">
        <v>6.3038219984478</v>
      </c>
      <c r="BR16" s="29" t="n">
        <v>0</v>
      </c>
      <c r="BS16" s="29">
        <f>SUM(C16:BR16)</f>
        <v/>
      </c>
      <c r="BT16" s="29" t="n">
        <v>0</v>
      </c>
      <c r="BU16" s="29" t="n">
        <v>0</v>
      </c>
      <c r="BV16" s="29" t="n">
        <v>15812.21797239921</v>
      </c>
      <c r="BW16" s="29" t="n">
        <v>0</v>
      </c>
      <c r="BX16" s="29">
        <f>SUM(BT16:BW16)</f>
        <v/>
      </c>
      <c r="BY16" s="29">
        <f>BS16+BX16</f>
        <v/>
      </c>
    </row>
    <row r="17">
      <c r="A17" s="30" t="inlineStr">
        <is>
          <t>0580</t>
        </is>
      </c>
      <c r="B17" s="30" t="inlineStr">
        <is>
          <t>Extração de carvão mineral e de minerais não-metálicos</t>
        </is>
      </c>
      <c r="C17" s="31" t="n">
        <v>129.8176747253518</v>
      </c>
      <c r="D17" s="31" t="n">
        <v>448.3650983929187</v>
      </c>
      <c r="E17" s="31" t="n">
        <v>15.43958785825121</v>
      </c>
      <c r="F17" s="31" t="n">
        <v>395.3781010580257</v>
      </c>
      <c r="G17" s="31" t="n">
        <v>571.5309825896152</v>
      </c>
      <c r="H17" s="31" t="n">
        <v>0.9244490933987921</v>
      </c>
      <c r="I17" s="31" t="n">
        <v>7.68378134449911</v>
      </c>
      <c r="J17" s="31" t="n">
        <v>74.05338171610049</v>
      </c>
      <c r="K17" s="31" t="n">
        <v>17.41123586267162</v>
      </c>
      <c r="L17" s="31" t="n">
        <v>327.8505981308591</v>
      </c>
      <c r="M17" s="31" t="n">
        <v>18.24218278581244</v>
      </c>
      <c r="N17" s="31" t="n">
        <v>0.02846914730881236</v>
      </c>
      <c r="O17" s="31" t="n">
        <v>1.558536305795255</v>
      </c>
      <c r="P17" s="31" t="n">
        <v>0.3098107923497512</v>
      </c>
      <c r="Q17" s="31" t="n">
        <v>1.503709344479965</v>
      </c>
      <c r="R17" s="31" t="n">
        <v>1.372154034625622</v>
      </c>
      <c r="S17" s="31" t="n">
        <v>17.74468269006309</v>
      </c>
      <c r="T17" s="31" t="n">
        <v>0.8018754558269646</v>
      </c>
      <c r="U17" s="31" t="n">
        <v>135.1350619872337</v>
      </c>
      <c r="V17" s="31" t="n">
        <v>215.1176693746582</v>
      </c>
      <c r="W17" s="31" t="n">
        <v>3981.030625580891</v>
      </c>
      <c r="X17" s="31" t="n">
        <v>123.6605933388895</v>
      </c>
      <c r="Y17" s="31" t="n">
        <v>11.76527073582218</v>
      </c>
      <c r="Z17" s="31" t="n">
        <v>3.868857549668611</v>
      </c>
      <c r="AA17" s="31" t="n">
        <v>10.54909330424223</v>
      </c>
      <c r="AB17" s="31" t="n">
        <v>7087.93231146228</v>
      </c>
      <c r="AC17" s="31" t="n">
        <v>6150.44908495553</v>
      </c>
      <c r="AD17" s="31" t="n">
        <v>701.137797923965</v>
      </c>
      <c r="AE17" s="31" t="n">
        <v>5.352020457323161</v>
      </c>
      <c r="AF17" s="31" t="n">
        <v>0.1408988977234872</v>
      </c>
      <c r="AG17" s="31" t="n">
        <v>51.62890324160651</v>
      </c>
      <c r="AH17" s="31" t="n">
        <v>5.245937214842481</v>
      </c>
      <c r="AI17" s="31" t="n">
        <v>21.89472936428663</v>
      </c>
      <c r="AJ17" s="31" t="n">
        <v>79.57590126852155</v>
      </c>
      <c r="AK17" s="31" t="n">
        <v>3.799584442056194</v>
      </c>
      <c r="AL17" s="31" t="n">
        <v>42.04115286341366</v>
      </c>
      <c r="AM17" s="31" t="n">
        <v>4.035142949664252</v>
      </c>
      <c r="AN17" s="31" t="n">
        <v>1802.539551202833</v>
      </c>
      <c r="AO17" s="31" t="n">
        <v>419.3731915881385</v>
      </c>
      <c r="AP17" s="31" t="n">
        <v>9650.363504933212</v>
      </c>
      <c r="AQ17" s="31" t="n">
        <v>3.710711846514959</v>
      </c>
      <c r="AR17" s="31" t="n">
        <v>99.29305897351321</v>
      </c>
      <c r="AS17" s="31" t="n">
        <v>3.114761352385051</v>
      </c>
      <c r="AT17" s="31" t="n">
        <v>0.0756918570953713</v>
      </c>
      <c r="AU17" s="31" t="n">
        <v>0.0420910508195669</v>
      </c>
      <c r="AV17" s="31" t="n">
        <v>6.70648018305215</v>
      </c>
      <c r="AW17" s="31" t="n">
        <v>2.596397924536634</v>
      </c>
      <c r="AX17" s="31" t="n">
        <v>14.94308488686783</v>
      </c>
      <c r="AY17" s="31" t="n">
        <v>0.1248091940835655</v>
      </c>
      <c r="AZ17" s="31" t="n">
        <v>0.2081150224515771</v>
      </c>
      <c r="BA17" s="31" t="n">
        <v>1.13009233111116</v>
      </c>
      <c r="BB17" s="31" t="n">
        <v>0.6177747673541372</v>
      </c>
      <c r="BC17" s="31" t="n">
        <v>2.211713946447606</v>
      </c>
      <c r="BD17" s="31" t="n">
        <v>402.8752617291985</v>
      </c>
      <c r="BE17" s="31" t="n">
        <v>1.893595630978006</v>
      </c>
      <c r="BF17" s="31" t="n">
        <v>9.676672431967894</v>
      </c>
      <c r="BG17" s="31" t="n">
        <v>0.5189505655130857</v>
      </c>
      <c r="BH17" s="31" t="n">
        <v>0.6611964825297691</v>
      </c>
      <c r="BI17" s="31" t="n">
        <v>2.079081457362664</v>
      </c>
      <c r="BJ17" s="31" t="n">
        <v>0.1062660288676311</v>
      </c>
      <c r="BK17" s="31" t="n">
        <v>84.03951501577238</v>
      </c>
      <c r="BL17" s="31" t="n">
        <v>24.14266749774303</v>
      </c>
      <c r="BM17" s="31" t="n">
        <v>1.728610582961781</v>
      </c>
      <c r="BN17" s="31" t="n">
        <v>8.902760981863114</v>
      </c>
      <c r="BO17" s="31" t="n">
        <v>7.528383376266946</v>
      </c>
      <c r="BP17" s="31" t="n">
        <v>1.63887615233507</v>
      </c>
      <c r="BQ17" s="31" t="n">
        <v>4.914966255006658</v>
      </c>
      <c r="BR17" s="31" t="n">
        <v>0</v>
      </c>
      <c r="BS17" s="31">
        <f>SUM(C17:BR17)</f>
        <v/>
      </c>
      <c r="BT17" s="31" t="n">
        <v>0</v>
      </c>
      <c r="BU17" s="31" t="n">
        <v>0</v>
      </c>
      <c r="BV17" s="31" t="n">
        <v>1497.388489515888</v>
      </c>
      <c r="BW17" s="31" t="n">
        <v>0</v>
      </c>
      <c r="BX17" s="31">
        <f>SUM(BT17:BW17)</f>
        <v/>
      </c>
      <c r="BY17" s="31">
        <f>BS17+BX17</f>
        <v/>
      </c>
    </row>
    <row r="18">
      <c r="A18" s="28" t="inlineStr">
        <is>
          <t>0680</t>
        </is>
      </c>
      <c r="B18" s="28" t="inlineStr">
        <is>
          <t>Extração de petróleo e gás, inclusive as atividades de apoio</t>
        </is>
      </c>
      <c r="C18" s="29" t="n">
        <v>10.81234648740901</v>
      </c>
      <c r="D18" s="29" t="n">
        <v>9.033914243801739</v>
      </c>
      <c r="E18" s="29" t="n">
        <v>0.6894854181655853</v>
      </c>
      <c r="F18" s="29" t="n">
        <v>4.133924471312836</v>
      </c>
      <c r="G18" s="29" t="n">
        <v>10142.29435607567</v>
      </c>
      <c r="H18" s="29" t="n">
        <v>229.4484208082924</v>
      </c>
      <c r="I18" s="29" t="n">
        <v>44.55394957558618</v>
      </c>
      <c r="J18" s="29" t="n">
        <v>104.4405514401522</v>
      </c>
      <c r="K18" s="29" t="n">
        <v>0.5585882893819667</v>
      </c>
      <c r="L18" s="29" t="n">
        <v>973.0503109877802</v>
      </c>
      <c r="M18" s="29" t="n">
        <v>215.3537818220258</v>
      </c>
      <c r="N18" s="29" t="n">
        <v>0.1264015849578228</v>
      </c>
      <c r="O18" s="29" t="n">
        <v>209.2466012217904</v>
      </c>
      <c r="P18" s="29" t="n">
        <v>1.211340103063708</v>
      </c>
      <c r="Q18" s="29" t="n">
        <v>1.601685174400248</v>
      </c>
      <c r="R18" s="29" t="n">
        <v>61.92176707236339</v>
      </c>
      <c r="S18" s="29" t="n">
        <v>942.0361583765396</v>
      </c>
      <c r="T18" s="29" t="n">
        <v>0.1992505440551749</v>
      </c>
      <c r="U18" s="29" t="n">
        <v>175421.9744549431</v>
      </c>
      <c r="V18" s="29" t="n">
        <v>0.5411867212622462</v>
      </c>
      <c r="W18" s="29" t="n">
        <v>2595.081301525185</v>
      </c>
      <c r="X18" s="29" t="n">
        <v>114.9026023090593</v>
      </c>
      <c r="Y18" s="29" t="n">
        <v>43.80010813059932</v>
      </c>
      <c r="Z18" s="29" t="n">
        <v>49.89419016171993</v>
      </c>
      <c r="AA18" s="29" t="n">
        <v>147.2163823491782</v>
      </c>
      <c r="AB18" s="29" t="n">
        <v>922.5260163152818</v>
      </c>
      <c r="AC18" s="29" t="n">
        <v>456.2950482010366</v>
      </c>
      <c r="AD18" s="29" t="n">
        <v>425.0461305899146</v>
      </c>
      <c r="AE18" s="29" t="n">
        <v>545.2553803634163</v>
      </c>
      <c r="AF18" s="29" t="n">
        <v>2.451903431401358</v>
      </c>
      <c r="AG18" s="29" t="n">
        <v>51.93066469184296</v>
      </c>
      <c r="AH18" s="29" t="n">
        <v>536.6618559943327</v>
      </c>
      <c r="AI18" s="29" t="n">
        <v>174.1122638663022</v>
      </c>
      <c r="AJ18" s="29" t="n">
        <v>225.2828503268951</v>
      </c>
      <c r="AK18" s="29" t="n">
        <v>30.81445299834014</v>
      </c>
      <c r="AL18" s="29" t="n">
        <v>1.560308582503476</v>
      </c>
      <c r="AM18" s="29" t="n">
        <v>211.3937912771801</v>
      </c>
      <c r="AN18" s="29" t="n">
        <v>14857.78874943717</v>
      </c>
      <c r="AO18" s="29" t="n">
        <v>298.1198719946492</v>
      </c>
      <c r="AP18" s="29" t="n">
        <v>896.5340545036951</v>
      </c>
      <c r="AQ18" s="29" t="n">
        <v>21.46355110342753</v>
      </c>
      <c r="AR18" s="29" t="n">
        <v>168.6476303103486</v>
      </c>
      <c r="AS18" s="29" t="n">
        <v>58.78709716633905</v>
      </c>
      <c r="AT18" s="29" t="n">
        <v>4.400560171041683</v>
      </c>
      <c r="AU18" s="29" t="n">
        <v>0.3395838126460511</v>
      </c>
      <c r="AV18" s="29" t="n">
        <v>36.687506871728</v>
      </c>
      <c r="AW18" s="29" t="n">
        <v>4.011377902383834</v>
      </c>
      <c r="AX18" s="29" t="n">
        <v>32.21420563226452</v>
      </c>
      <c r="AY18" s="29" t="n">
        <v>0.9667182838177709</v>
      </c>
      <c r="AZ18" s="29" t="n">
        <v>1.533037843682171</v>
      </c>
      <c r="BA18" s="29" t="n">
        <v>81.97529033173873</v>
      </c>
      <c r="BB18" s="29" t="n">
        <v>4.837895906973197</v>
      </c>
      <c r="BC18" s="29" t="n">
        <v>16.94419519675809</v>
      </c>
      <c r="BD18" s="29" t="n">
        <v>7.260331817708856</v>
      </c>
      <c r="BE18" s="29" t="n">
        <v>14.68768454708295</v>
      </c>
      <c r="BF18" s="29" t="n">
        <v>70.35515297921864</v>
      </c>
      <c r="BG18" s="29" t="n">
        <v>3.356625047015524</v>
      </c>
      <c r="BH18" s="29" t="n">
        <v>5.71857236915932</v>
      </c>
      <c r="BI18" s="29" t="n">
        <v>44.05370257912367</v>
      </c>
      <c r="BJ18" s="29" t="n">
        <v>0.8071840009110534</v>
      </c>
      <c r="BK18" s="29" t="n">
        <v>572.2337190918373</v>
      </c>
      <c r="BL18" s="29" t="n">
        <v>3.859211490045778</v>
      </c>
      <c r="BM18" s="29" t="n">
        <v>12.5517056097055</v>
      </c>
      <c r="BN18" s="29" t="n">
        <v>4.924978351584916</v>
      </c>
      <c r="BO18" s="29" t="n">
        <v>6.209017985684483</v>
      </c>
      <c r="BP18" s="29" t="n">
        <v>12.50243225229703</v>
      </c>
      <c r="BQ18" s="29" t="n">
        <v>18.17056387114651</v>
      </c>
      <c r="BR18" s="29" t="n">
        <v>0</v>
      </c>
      <c r="BS18" s="29">
        <f>SUM(C18:BR18)</f>
        <v/>
      </c>
      <c r="BT18" s="29" t="n">
        <v>0</v>
      </c>
      <c r="BU18" s="29" t="n">
        <v>0</v>
      </c>
      <c r="BV18" s="29" t="n">
        <v>51731.65995279727</v>
      </c>
      <c r="BW18" s="29" t="n">
        <v>0</v>
      </c>
      <c r="BX18" s="29">
        <f>SUM(BT18:BW18)</f>
        <v/>
      </c>
      <c r="BY18" s="29">
        <f>BS18+BX18</f>
        <v/>
      </c>
    </row>
    <row r="19">
      <c r="A19" s="30" t="inlineStr">
        <is>
          <t>0791</t>
        </is>
      </c>
      <c r="B19" s="30" t="inlineStr">
        <is>
          <t>Extração de minério de ferro, inclusive beneficiamentos e a aglomeração</t>
        </is>
      </c>
      <c r="C19" s="31" t="n">
        <v>0.0002457562765864805</v>
      </c>
      <c r="D19" s="31" t="n">
        <v>0.0001630052429029694</v>
      </c>
      <c r="E19" s="31" t="n">
        <v>0.0001704957162951281</v>
      </c>
      <c r="F19" s="31" t="n">
        <v>0.006670487718656776</v>
      </c>
      <c r="G19" s="31" t="n">
        <v>0.01710073611962095</v>
      </c>
      <c r="H19" s="31" t="n">
        <v>1165.756256185206</v>
      </c>
      <c r="I19" s="31" t="n">
        <v>34.01814288998882</v>
      </c>
      <c r="J19" s="31" t="n">
        <v>0.5181213112141174</v>
      </c>
      <c r="K19" s="31" t="n">
        <v>0.06551006980367738</v>
      </c>
      <c r="L19" s="31" t="n">
        <v>0.2792971158221114</v>
      </c>
      <c r="M19" s="31" t="n">
        <v>0.428823005115056</v>
      </c>
      <c r="N19" s="31" t="n">
        <v>0.09877053526150202</v>
      </c>
      <c r="O19" s="31" t="n">
        <v>0.01765734933375981</v>
      </c>
      <c r="P19" s="31" t="n">
        <v>0.1049999923173404</v>
      </c>
      <c r="Q19" s="31" t="n">
        <v>0.1477225369185636</v>
      </c>
      <c r="R19" s="31" t="n">
        <v>0.05555834317560922</v>
      </c>
      <c r="S19" s="31" t="n">
        <v>0.1887898945944505</v>
      </c>
      <c r="T19" s="31" t="n">
        <v>0.008131381800215793</v>
      </c>
      <c r="U19" s="31" t="n">
        <v>0.01195947839236325</v>
      </c>
      <c r="V19" s="31" t="n">
        <v>0.009617751094299562</v>
      </c>
      <c r="W19" s="31" t="n">
        <v>0.5247225247253045</v>
      </c>
      <c r="X19" s="31" t="n">
        <v>0.1484476774523725</v>
      </c>
      <c r="Y19" s="31" t="n">
        <v>0.390171956038098</v>
      </c>
      <c r="Z19" s="31" t="n">
        <v>1.09330795191096</v>
      </c>
      <c r="AA19" s="31" t="n">
        <v>0.2273336514641898</v>
      </c>
      <c r="AB19" s="31" t="n">
        <v>194.2405362759037</v>
      </c>
      <c r="AC19" s="31" t="n">
        <v>14420.8709978458</v>
      </c>
      <c r="AD19" s="31" t="n">
        <v>2.043721033197516</v>
      </c>
      <c r="AE19" s="31" t="n">
        <v>0.07391663561626122</v>
      </c>
      <c r="AF19" s="31" t="n">
        <v>0.305287145291865</v>
      </c>
      <c r="AG19" s="31" t="n">
        <v>0.6908852310806629</v>
      </c>
      <c r="AH19" s="31" t="n">
        <v>0.7203793197302558</v>
      </c>
      <c r="AI19" s="31" t="n">
        <v>1.377711024524741</v>
      </c>
      <c r="AJ19" s="31" t="n">
        <v>0.6373331365037296</v>
      </c>
      <c r="AK19" s="31" t="n">
        <v>0.1610019817284328</v>
      </c>
      <c r="AL19" s="31" t="n">
        <v>0.1337948198119491</v>
      </c>
      <c r="AM19" s="31" t="n">
        <v>0.006919722362162008</v>
      </c>
      <c r="AN19" s="31" t="n">
        <v>0.5150158133372451</v>
      </c>
      <c r="AO19" s="31" t="n">
        <v>0.05078248534251715</v>
      </c>
      <c r="AP19" s="31" t="n">
        <v>0.1521656593858459</v>
      </c>
      <c r="AQ19" s="31" t="n">
        <v>0.08207237543156728</v>
      </c>
      <c r="AR19" s="31" t="n">
        <v>1.577760953781644</v>
      </c>
      <c r="AS19" s="31" t="n">
        <v>0.02459400707557223</v>
      </c>
      <c r="AT19" s="31" t="n">
        <v>0.001385277694897915</v>
      </c>
      <c r="AU19" s="31" t="n">
        <v>0.00232300413452112</v>
      </c>
      <c r="AV19" s="31" t="n">
        <v>0.05308810366139551</v>
      </c>
      <c r="AW19" s="31" t="n">
        <v>0.02563829333787988</v>
      </c>
      <c r="AX19" s="31" t="n">
        <v>0.1025531733515195</v>
      </c>
      <c r="AY19" s="31" t="n">
        <v>0.0276461072975592</v>
      </c>
      <c r="AZ19" s="31" t="n">
        <v>0.02067330517377236</v>
      </c>
      <c r="BA19" s="31" t="n">
        <v>0.5671219399970793</v>
      </c>
      <c r="BB19" s="31" t="n">
        <v>0.368022268428941</v>
      </c>
      <c r="BC19" s="31" t="n">
        <v>0.1570584529355452</v>
      </c>
      <c r="BD19" s="31" t="n">
        <v>0.04969950130002983</v>
      </c>
      <c r="BE19" s="31" t="n">
        <v>0.1090081037653275</v>
      </c>
      <c r="BF19" s="31" t="n">
        <v>10.08942504476393</v>
      </c>
      <c r="BG19" s="31" t="n">
        <v>0.02480756848396548</v>
      </c>
      <c r="BH19" s="31" t="n">
        <v>0.1822395813108326</v>
      </c>
      <c r="BI19" s="31" t="n">
        <v>0.08319438929748434</v>
      </c>
      <c r="BJ19" s="31" t="n">
        <v>0.006376467416188704</v>
      </c>
      <c r="BK19" s="31" t="n">
        <v>0.05843740676015516</v>
      </c>
      <c r="BL19" s="31" t="n">
        <v>0.01498231106943438</v>
      </c>
      <c r="BM19" s="31" t="n">
        <v>0.09338236248832885</v>
      </c>
      <c r="BN19" s="31" t="n">
        <v>0.01010187119048634</v>
      </c>
      <c r="BO19" s="31" t="n">
        <v>0.09146517526685774</v>
      </c>
      <c r="BP19" s="31" t="n">
        <v>0.08690038199677022</v>
      </c>
      <c r="BQ19" s="31" t="n">
        <v>0.06626906295623525</v>
      </c>
      <c r="BR19" s="31" t="n">
        <v>0</v>
      </c>
      <c r="BS19" s="31">
        <f>SUM(C19:BR19)</f>
        <v/>
      </c>
      <c r="BT19" s="31" t="n">
        <v>0</v>
      </c>
      <c r="BU19" s="31" t="n">
        <v>0</v>
      </c>
      <c r="BV19" s="31" t="n">
        <v>56878.82147615124</v>
      </c>
      <c r="BW19" s="31" t="n">
        <v>0</v>
      </c>
      <c r="BX19" s="31">
        <f>SUM(BT19:BW19)</f>
        <v/>
      </c>
      <c r="BY19" s="31">
        <f>BS19+BX19</f>
        <v/>
      </c>
    </row>
    <row r="20">
      <c r="A20" s="28" t="inlineStr">
        <is>
          <t>0792</t>
        </is>
      </c>
      <c r="B20" s="28" t="inlineStr">
        <is>
          <t>Extração de minerais metálicos não-ferrosos, inclusive beneficiamentos</t>
        </is>
      </c>
      <c r="C20" s="29" t="n">
        <v>9.453242347767016</v>
      </c>
      <c r="D20" s="29" t="n">
        <v>3.818533198213816</v>
      </c>
      <c r="E20" s="29" t="n">
        <v>0.1645423139463194</v>
      </c>
      <c r="F20" s="29" t="n">
        <v>5.052652154891263</v>
      </c>
      <c r="G20" s="29" t="n">
        <v>60.18952657710447</v>
      </c>
      <c r="H20" s="29" t="n">
        <v>7.959049694668942</v>
      </c>
      <c r="I20" s="29" t="n">
        <v>1016.158871492509</v>
      </c>
      <c r="J20" s="29" t="n">
        <v>7.3327449515222</v>
      </c>
      <c r="K20" s="29" t="n">
        <v>0.3414445525540095</v>
      </c>
      <c r="L20" s="29" t="n">
        <v>15.39147200587542</v>
      </c>
      <c r="M20" s="29" t="n">
        <v>1.346455527469518</v>
      </c>
      <c r="N20" s="29" t="n">
        <v>0.01272095249330658</v>
      </c>
      <c r="O20" s="29" t="n">
        <v>0.5820754181486254</v>
      </c>
      <c r="P20" s="29" t="n">
        <v>0.009599639999839897</v>
      </c>
      <c r="Q20" s="29" t="n">
        <v>0.5381861531276662</v>
      </c>
      <c r="R20" s="29" t="n">
        <v>0.7602832429078585</v>
      </c>
      <c r="S20" s="29" t="n">
        <v>8.887078900787653</v>
      </c>
      <c r="T20" s="29" t="n">
        <v>5.803059145171463</v>
      </c>
      <c r="U20" s="29" t="n">
        <v>0.5445246266835662</v>
      </c>
      <c r="V20" s="29" t="n">
        <v>0.8488894525634301</v>
      </c>
      <c r="W20" s="29" t="n">
        <v>47.81422261577346</v>
      </c>
      <c r="X20" s="29" t="n">
        <v>13.53383938329544</v>
      </c>
      <c r="Y20" s="29" t="n">
        <v>3.81698560944997</v>
      </c>
      <c r="Z20" s="29" t="n">
        <v>2.06775931134972</v>
      </c>
      <c r="AA20" s="29" t="n">
        <v>4.633863920578842</v>
      </c>
      <c r="AB20" s="29" t="n">
        <v>73.32235424425826</v>
      </c>
      <c r="AC20" s="29" t="n">
        <v>1730.833982065748</v>
      </c>
      <c r="AD20" s="29" t="n">
        <v>8790.140279420193</v>
      </c>
      <c r="AE20" s="29" t="n">
        <v>52.72926754278997</v>
      </c>
      <c r="AF20" s="29" t="n">
        <v>4.320026057171007</v>
      </c>
      <c r="AG20" s="29" t="n">
        <v>145.9796927461971</v>
      </c>
      <c r="AH20" s="29" t="n">
        <v>27.1731510262874</v>
      </c>
      <c r="AI20" s="29" t="n">
        <v>13.2273760973685</v>
      </c>
      <c r="AJ20" s="29" t="n">
        <v>67.77819234338622</v>
      </c>
      <c r="AK20" s="29" t="n">
        <v>18.23471181048341</v>
      </c>
      <c r="AL20" s="29" t="n">
        <v>46.31562391452876</v>
      </c>
      <c r="AM20" s="29" t="n">
        <v>7.956215781583269</v>
      </c>
      <c r="AN20" s="29" t="n">
        <v>0.6590361425201834</v>
      </c>
      <c r="AO20" s="29" t="n">
        <v>4.892458767996613</v>
      </c>
      <c r="AP20" s="29" t="n">
        <v>120.7635278223786</v>
      </c>
      <c r="AQ20" s="29" t="n">
        <v>0.2324357080666592</v>
      </c>
      <c r="AR20" s="29" t="n">
        <v>4.591841917469546</v>
      </c>
      <c r="AS20" s="29" t="n">
        <v>0.2475517769296376</v>
      </c>
      <c r="AT20" s="29" t="n">
        <v>0.001038958271173437</v>
      </c>
      <c r="AU20" s="29" t="n">
        <v>0.00174225310089084</v>
      </c>
      <c r="AV20" s="29" t="n">
        <v>0.1187491697884311</v>
      </c>
      <c r="AW20" s="29" t="n">
        <v>0.130269674520164</v>
      </c>
      <c r="AX20" s="29" t="n">
        <v>0.4078604699459265</v>
      </c>
      <c r="AY20" s="29" t="n">
        <v>0.005408079530774441</v>
      </c>
      <c r="AZ20" s="29" t="n">
        <v>0.007800179020502111</v>
      </c>
      <c r="BA20" s="29" t="n">
        <v>0.06291980553750143</v>
      </c>
      <c r="BB20" s="29" t="n">
        <v>0.03951225518947739</v>
      </c>
      <c r="BC20" s="29" t="n">
        <v>0.1333018631358409</v>
      </c>
      <c r="BD20" s="29" t="n">
        <v>2.69679206303054</v>
      </c>
      <c r="BE20" s="29" t="n">
        <v>0.07680299219982099</v>
      </c>
      <c r="BF20" s="29" t="n">
        <v>1.182124333675188</v>
      </c>
      <c r="BG20" s="29" t="n">
        <v>0.0442597426215169</v>
      </c>
      <c r="BH20" s="29" t="n">
        <v>0.02582713244111455</v>
      </c>
      <c r="BI20" s="29" t="n">
        <v>0.1941652195813631</v>
      </c>
      <c r="BJ20" s="29" t="n">
        <v>0.005416132295771844</v>
      </c>
      <c r="BK20" s="29" t="n">
        <v>0.7986588398037853</v>
      </c>
      <c r="BL20" s="29" t="n">
        <v>0.7215688820208402</v>
      </c>
      <c r="BM20" s="29" t="n">
        <v>0.06593663854634285</v>
      </c>
      <c r="BN20" s="29" t="n">
        <v>1.707324313166654</v>
      </c>
      <c r="BO20" s="29" t="n">
        <v>1.224250791139995</v>
      </c>
      <c r="BP20" s="29" t="n">
        <v>0.08228726483720687</v>
      </c>
      <c r="BQ20" s="29" t="n">
        <v>0.7207190328984039</v>
      </c>
      <c r="BR20" s="29" t="n">
        <v>0</v>
      </c>
      <c r="BS20" s="29">
        <f>SUM(C20:BR20)</f>
        <v/>
      </c>
      <c r="BT20" s="29" t="n">
        <v>0</v>
      </c>
      <c r="BU20" s="29" t="n">
        <v>0</v>
      </c>
      <c r="BV20" s="29" t="n">
        <v>3992.641586085926</v>
      </c>
      <c r="BW20" s="29" t="n">
        <v>0</v>
      </c>
      <c r="BX20" s="29">
        <f>SUM(BT20:BW20)</f>
        <v/>
      </c>
      <c r="BY20" s="29">
        <f>BS20+BX20</f>
        <v/>
      </c>
    </row>
    <row r="21">
      <c r="A21" s="30" t="inlineStr">
        <is>
          <t>1091</t>
        </is>
      </c>
      <c r="B21" s="30" t="inlineStr">
        <is>
          <t>Abate e produtos de carne, inclusive os produtos do laticínio e da pesca</t>
        </is>
      </c>
      <c r="C21" s="31" t="n">
        <v>93.87116834328337</v>
      </c>
      <c r="D21" s="31" t="n">
        <v>2659.843630043778</v>
      </c>
      <c r="E21" s="31" t="n">
        <v>81.27572037810754</v>
      </c>
      <c r="F21" s="31" t="n">
        <v>2.035754582002895</v>
      </c>
      <c r="G21" s="31" t="n">
        <v>2.544042395927846</v>
      </c>
      <c r="H21" s="31" t="n">
        <v>1.100950960679641</v>
      </c>
      <c r="I21" s="31" t="n">
        <v>0.3305927277625572</v>
      </c>
      <c r="J21" s="31" t="n">
        <v>25016.6885879771</v>
      </c>
      <c r="K21" s="31" t="n">
        <v>0.4849775528191973</v>
      </c>
      <c r="L21" s="31" t="n">
        <v>2642.114976158005</v>
      </c>
      <c r="M21" s="31" t="n">
        <v>39.33115052178137</v>
      </c>
      <c r="N21" s="31" t="n">
        <v>0.2791411274309143</v>
      </c>
      <c r="O21" s="31" t="n">
        <v>5.37674347522351</v>
      </c>
      <c r="P21" s="31" t="n">
        <v>3.623111237033079</v>
      </c>
      <c r="Q21" s="31" t="n">
        <v>3467.208963056371</v>
      </c>
      <c r="R21" s="31" t="n">
        <v>0.7638226990868535</v>
      </c>
      <c r="S21" s="31" t="n">
        <v>5.408042483226016</v>
      </c>
      <c r="T21" s="31" t="n">
        <v>0.7207440267101988</v>
      </c>
      <c r="U21" s="31" t="n">
        <v>0.7948916396749661</v>
      </c>
      <c r="V21" s="31" t="n">
        <v>810.7418784567263</v>
      </c>
      <c r="W21" s="31" t="n">
        <v>26.30410192729663</v>
      </c>
      <c r="X21" s="31" t="n">
        <v>30.25531228392804</v>
      </c>
      <c r="Y21" s="31" t="n">
        <v>1776.196529836172</v>
      </c>
      <c r="Z21" s="31" t="n">
        <v>7.661174025848808</v>
      </c>
      <c r="AA21" s="31" t="n">
        <v>11.06318664943242</v>
      </c>
      <c r="AB21" s="31" t="n">
        <v>2.617325231933599</v>
      </c>
      <c r="AC21" s="31" t="n">
        <v>2.319763595334301</v>
      </c>
      <c r="AD21" s="31" t="n">
        <v>1.216790859703085</v>
      </c>
      <c r="AE21" s="31" t="n">
        <v>60.35594559144038</v>
      </c>
      <c r="AF21" s="31" t="n">
        <v>1.694000786803462</v>
      </c>
      <c r="AG21" s="31" t="n">
        <v>2.677387373494327</v>
      </c>
      <c r="AH21" s="31" t="n">
        <v>5.625222983412527</v>
      </c>
      <c r="AI21" s="31" t="n">
        <v>2.659278007574491</v>
      </c>
      <c r="AJ21" s="31" t="n">
        <v>1.554891634327983</v>
      </c>
      <c r="AK21" s="31" t="n">
        <v>0.5306956257204734</v>
      </c>
      <c r="AL21" s="31" t="n">
        <v>3.384873499240015</v>
      </c>
      <c r="AM21" s="31" t="n">
        <v>1.110073516701406</v>
      </c>
      <c r="AN21" s="31" t="n">
        <v>0.8162199849228152</v>
      </c>
      <c r="AO21" s="31" t="n">
        <v>0.5691224495357451</v>
      </c>
      <c r="AP21" s="31" t="n">
        <v>6.310286927029365</v>
      </c>
      <c r="AQ21" s="31" t="n">
        <v>1.577540228409752</v>
      </c>
      <c r="AR21" s="31" t="n">
        <v>463.6555115811757</v>
      </c>
      <c r="AS21" s="31" t="n">
        <v>0.4500068706216396</v>
      </c>
      <c r="AT21" s="31" t="n">
        <v>0.0230630709994891</v>
      </c>
      <c r="AU21" s="31" t="n">
        <v>0.1703058931531878</v>
      </c>
      <c r="AV21" s="31" t="n">
        <v>1.028648965564231</v>
      </c>
      <c r="AW21" s="31" t="n">
        <v>577.9396675395192</v>
      </c>
      <c r="AX21" s="31" t="n">
        <v>18203.04811279462</v>
      </c>
      <c r="AY21" s="31" t="n">
        <v>0.6022499027937673</v>
      </c>
      <c r="AZ21" s="31" t="n">
        <v>0.6594884290354681</v>
      </c>
      <c r="BA21" s="31" t="n">
        <v>5.213995546066712</v>
      </c>
      <c r="BB21" s="31" t="n">
        <v>0.8854492994998822</v>
      </c>
      <c r="BC21" s="31" t="n">
        <v>2.161398968534342</v>
      </c>
      <c r="BD21" s="31" t="n">
        <v>0.5452283653175455</v>
      </c>
      <c r="BE21" s="31" t="n">
        <v>1.955762057159452</v>
      </c>
      <c r="BF21" s="31" t="n">
        <v>5.149481342227362</v>
      </c>
      <c r="BG21" s="31" t="n">
        <v>2.554580664250085</v>
      </c>
      <c r="BH21" s="31" t="n">
        <v>0.3638222731025382</v>
      </c>
      <c r="BI21" s="31" t="n">
        <v>1.156695774584666</v>
      </c>
      <c r="BJ21" s="31" t="n">
        <v>0.118284316316234</v>
      </c>
      <c r="BK21" s="31" t="n">
        <v>2521.979886712217</v>
      </c>
      <c r="BL21" s="31" t="n">
        <v>1926.095478528078</v>
      </c>
      <c r="BM21" s="31" t="n">
        <v>246.1118526832036</v>
      </c>
      <c r="BN21" s="31" t="n">
        <v>1001.680175258485</v>
      </c>
      <c r="BO21" s="31" t="n">
        <v>782.8532285291075</v>
      </c>
      <c r="BP21" s="31" t="n">
        <v>8.699536387221716</v>
      </c>
      <c r="BQ21" s="31" t="n">
        <v>310.378405082677</v>
      </c>
      <c r="BR21" s="31" t="n">
        <v>0</v>
      </c>
      <c r="BS21" s="31">
        <f>SUM(C21:BR21)</f>
        <v/>
      </c>
      <c r="BT21" s="31" t="n">
        <v>0</v>
      </c>
      <c r="BU21" s="31" t="n">
        <v>0</v>
      </c>
      <c r="BV21" s="31" t="n">
        <v>189817.4387825194</v>
      </c>
      <c r="BW21" s="31" t="n">
        <v>0</v>
      </c>
      <c r="BX21" s="31">
        <f>SUM(BT21:BW21)</f>
        <v/>
      </c>
      <c r="BY21" s="31">
        <f>BS21+BX21</f>
        <v/>
      </c>
    </row>
    <row r="22">
      <c r="A22" s="28" t="inlineStr">
        <is>
          <t>1092</t>
        </is>
      </c>
      <c r="B22" s="28" t="inlineStr">
        <is>
          <t>Fabricação e refino de açúcar</t>
        </is>
      </c>
      <c r="C22" s="29" t="n">
        <v>63.82307241095996</v>
      </c>
      <c r="D22" s="29" t="n">
        <v>109.4925734350788</v>
      </c>
      <c r="E22" s="29" t="n">
        <v>3.398863533381691</v>
      </c>
      <c r="F22" s="29" t="n">
        <v>2.319034450075073</v>
      </c>
      <c r="G22" s="29" t="n">
        <v>255.8308412223841</v>
      </c>
      <c r="H22" s="29" t="n">
        <v>11.56190891581948</v>
      </c>
      <c r="I22" s="29" t="n">
        <v>3.397815005667711</v>
      </c>
      <c r="J22" s="29" t="n">
        <v>393.9250551734926</v>
      </c>
      <c r="K22" s="29" t="n">
        <v>1683.781132941121</v>
      </c>
      <c r="L22" s="29" t="n">
        <v>5227.838220131048</v>
      </c>
      <c r="M22" s="29" t="n">
        <v>1131.877860524458</v>
      </c>
      <c r="N22" s="29" t="n">
        <v>0.03505542238718418</v>
      </c>
      <c r="O22" s="29" t="n">
        <v>0.2502756169919659</v>
      </c>
      <c r="P22" s="29" t="n">
        <v>0.2612844496015005</v>
      </c>
      <c r="Q22" s="29" t="n">
        <v>0.1896966717811406</v>
      </c>
      <c r="R22" s="29" t="n">
        <v>0.5317641280642563</v>
      </c>
      <c r="S22" s="29" t="n">
        <v>1.71018688175551</v>
      </c>
      <c r="T22" s="29" t="n">
        <v>0.1521192471638712</v>
      </c>
      <c r="U22" s="29" t="n">
        <v>9752.721197408569</v>
      </c>
      <c r="V22" s="29" t="n">
        <v>748.3329826430652</v>
      </c>
      <c r="W22" s="29" t="n">
        <v>152.6873424636536</v>
      </c>
      <c r="X22" s="29" t="n">
        <v>578.5914772671814</v>
      </c>
      <c r="Y22" s="29" t="n">
        <v>619.2243948628369</v>
      </c>
      <c r="Z22" s="29" t="n">
        <v>358.6948885664315</v>
      </c>
      <c r="AA22" s="29" t="n">
        <v>0.9372826219589874</v>
      </c>
      <c r="AB22" s="29" t="n">
        <v>0.9132475186899658</v>
      </c>
      <c r="AC22" s="29" t="n">
        <v>1.022565302486623</v>
      </c>
      <c r="AD22" s="29" t="n">
        <v>0.518767252498687</v>
      </c>
      <c r="AE22" s="29" t="n">
        <v>19.3041736735611</v>
      </c>
      <c r="AF22" s="29" t="n">
        <v>0.5873828199533011</v>
      </c>
      <c r="AG22" s="29" t="n">
        <v>4.786851271525209</v>
      </c>
      <c r="AH22" s="29" t="n">
        <v>115.4695176989751</v>
      </c>
      <c r="AI22" s="29" t="n">
        <v>16.83167272171343</v>
      </c>
      <c r="AJ22" s="29" t="n">
        <v>0.7125535274947554</v>
      </c>
      <c r="AK22" s="29" t="n">
        <v>7.142991929980076</v>
      </c>
      <c r="AL22" s="29" t="n">
        <v>1.354873444513503</v>
      </c>
      <c r="AM22" s="29" t="n">
        <v>47.96181012228744</v>
      </c>
      <c r="AN22" s="29" t="n">
        <v>3.045153008526989</v>
      </c>
      <c r="AO22" s="29" t="n">
        <v>2.329037677238261</v>
      </c>
      <c r="AP22" s="29" t="n">
        <v>210.3404717432051</v>
      </c>
      <c r="AQ22" s="29" t="n">
        <v>58.56514755684466</v>
      </c>
      <c r="AR22" s="29" t="n">
        <v>109.7345138369732</v>
      </c>
      <c r="AS22" s="29" t="n">
        <v>336.4824056273529</v>
      </c>
      <c r="AT22" s="29" t="n">
        <v>0.9328996564654075</v>
      </c>
      <c r="AU22" s="29" t="n">
        <v>0.135867368971756</v>
      </c>
      <c r="AV22" s="29" t="n">
        <v>25.21053065144776</v>
      </c>
      <c r="AW22" s="29" t="n">
        <v>2.851223902264789</v>
      </c>
      <c r="AX22" s="29" t="n">
        <v>967.5853488955551</v>
      </c>
      <c r="AY22" s="29" t="n">
        <v>0.2445373664947547</v>
      </c>
      <c r="AZ22" s="29" t="n">
        <v>0.6366302947812552</v>
      </c>
      <c r="BA22" s="29" t="n">
        <v>2.032319869198031</v>
      </c>
      <c r="BB22" s="29" t="n">
        <v>0.8732777783353133</v>
      </c>
      <c r="BC22" s="29" t="n">
        <v>4.680053534630959</v>
      </c>
      <c r="BD22" s="29" t="n">
        <v>1.137956804098163</v>
      </c>
      <c r="BE22" s="29" t="n">
        <v>2.397239445782864</v>
      </c>
      <c r="BF22" s="29" t="n">
        <v>34.8371859345245</v>
      </c>
      <c r="BG22" s="29" t="n">
        <v>9.8145471764975</v>
      </c>
      <c r="BH22" s="29" t="n">
        <v>0.6866444612058544</v>
      </c>
      <c r="BI22" s="29" t="n">
        <v>10.30975748548957</v>
      </c>
      <c r="BJ22" s="29" t="n">
        <v>33.38992470397857</v>
      </c>
      <c r="BK22" s="29" t="n">
        <v>434.2733212032706</v>
      </c>
      <c r="BL22" s="29" t="n">
        <v>134.1233198874093</v>
      </c>
      <c r="BM22" s="29" t="n">
        <v>9.394067504220734</v>
      </c>
      <c r="BN22" s="29" t="n">
        <v>60.96048677064465</v>
      </c>
      <c r="BO22" s="29" t="n">
        <v>42.94217315285307</v>
      </c>
      <c r="BP22" s="29" t="n">
        <v>2.021139268303992</v>
      </c>
      <c r="BQ22" s="29" t="n">
        <v>63.044267519253</v>
      </c>
      <c r="BR22" s="29" t="n">
        <v>0</v>
      </c>
      <c r="BS22" s="29">
        <f>SUM(C22:BR22)</f>
        <v/>
      </c>
      <c r="BT22" s="29" t="n">
        <v>0</v>
      </c>
      <c r="BU22" s="29" t="n">
        <v>0</v>
      </c>
      <c r="BV22" s="29" t="n">
        <v>30478.12270032326</v>
      </c>
      <c r="BW22" s="29" t="n">
        <v>0</v>
      </c>
      <c r="BX22" s="29">
        <f>SUM(BT22:BW22)</f>
        <v/>
      </c>
      <c r="BY22" s="29">
        <f>BS22+BX22</f>
        <v/>
      </c>
    </row>
    <row r="23">
      <c r="A23" s="30" t="inlineStr">
        <is>
          <t>1093</t>
        </is>
      </c>
      <c r="B23" s="30" t="inlineStr">
        <is>
          <t>Outros produtos alimentares</t>
        </is>
      </c>
      <c r="C23" s="31" t="n">
        <v>1596.614939507924</v>
      </c>
      <c r="D23" s="31" t="n">
        <v>12930.9055850002</v>
      </c>
      <c r="E23" s="31" t="n">
        <v>938.6953172475376</v>
      </c>
      <c r="F23" s="31" t="n">
        <v>179.2646579835871</v>
      </c>
      <c r="G23" s="31" t="n">
        <v>104.3778720321952</v>
      </c>
      <c r="H23" s="31" t="n">
        <v>28.33942350166947</v>
      </c>
      <c r="I23" s="31" t="n">
        <v>14.01257144660153</v>
      </c>
      <c r="J23" s="31" t="n">
        <v>24212.64305559382</v>
      </c>
      <c r="K23" s="31" t="n">
        <v>27.97164286064774</v>
      </c>
      <c r="L23" s="31" t="n">
        <v>30105.34809083266</v>
      </c>
      <c r="M23" s="31" t="n">
        <v>2812.476178755179</v>
      </c>
      <c r="N23" s="31" t="n">
        <v>2.032289716975914</v>
      </c>
      <c r="O23" s="31" t="n">
        <v>37.86686050460693</v>
      </c>
      <c r="P23" s="31" t="n">
        <v>11.35561277966211</v>
      </c>
      <c r="Q23" s="31" t="n">
        <v>35.77719842439734</v>
      </c>
      <c r="R23" s="31" t="n">
        <v>40.28759587780345</v>
      </c>
      <c r="S23" s="31" t="n">
        <v>674.6066053945938</v>
      </c>
      <c r="T23" s="31" t="n">
        <v>20.67029353947219</v>
      </c>
      <c r="U23" s="31" t="n">
        <v>1944.779052457783</v>
      </c>
      <c r="V23" s="31" t="n">
        <v>1697.529186639007</v>
      </c>
      <c r="W23" s="31" t="n">
        <v>412.8944676622892</v>
      </c>
      <c r="X23" s="31" t="n">
        <v>829.1514123415209</v>
      </c>
      <c r="Y23" s="31" t="n">
        <v>1143.12880819705</v>
      </c>
      <c r="Z23" s="31" t="n">
        <v>191.183079916194</v>
      </c>
      <c r="AA23" s="31" t="n">
        <v>132.5599568205221</v>
      </c>
      <c r="AB23" s="31" t="n">
        <v>44.74516233101331</v>
      </c>
      <c r="AC23" s="31" t="n">
        <v>37.31297062305241</v>
      </c>
      <c r="AD23" s="31" t="n">
        <v>9.537459245030718</v>
      </c>
      <c r="AE23" s="31" t="n">
        <v>32.32745817931705</v>
      </c>
      <c r="AF23" s="31" t="n">
        <v>4.581211083137262</v>
      </c>
      <c r="AG23" s="31" t="n">
        <v>16.19444090014173</v>
      </c>
      <c r="AH23" s="31" t="n">
        <v>98.19296400837106</v>
      </c>
      <c r="AI23" s="31" t="n">
        <v>18.26091753305182</v>
      </c>
      <c r="AJ23" s="31" t="n">
        <v>5.468409450486537</v>
      </c>
      <c r="AK23" s="31" t="n">
        <v>8.76658414259232</v>
      </c>
      <c r="AL23" s="31" t="n">
        <v>51.51735674504034</v>
      </c>
      <c r="AM23" s="31" t="n">
        <v>48.43805404715761</v>
      </c>
      <c r="AN23" s="31" t="n">
        <v>7.556332977556199</v>
      </c>
      <c r="AO23" s="31" t="n">
        <v>18.5387457113478</v>
      </c>
      <c r="AP23" s="31" t="n">
        <v>134.8279927529759</v>
      </c>
      <c r="AQ23" s="31" t="n">
        <v>127.9658919374216</v>
      </c>
      <c r="AR23" s="31" t="n">
        <v>4067.809875704295</v>
      </c>
      <c r="AS23" s="31" t="n">
        <v>81.20591525691533</v>
      </c>
      <c r="AT23" s="31" t="n">
        <v>0.8509488953065489</v>
      </c>
      <c r="AU23" s="31" t="n">
        <v>33.78328966961738</v>
      </c>
      <c r="AV23" s="31" t="n">
        <v>33.71576456903144</v>
      </c>
      <c r="AW23" s="31" t="n">
        <v>333.4361831020174</v>
      </c>
      <c r="AX23" s="31" t="n">
        <v>14088.87171870745</v>
      </c>
      <c r="AY23" s="31" t="n">
        <v>3.263601803312564</v>
      </c>
      <c r="AZ23" s="31" t="n">
        <v>3.904210787923407</v>
      </c>
      <c r="BA23" s="31" t="n">
        <v>41.33341656606464</v>
      </c>
      <c r="BB23" s="31" t="n">
        <v>7.044005014963753</v>
      </c>
      <c r="BC23" s="31" t="n">
        <v>228.8900936134262</v>
      </c>
      <c r="BD23" s="31" t="n">
        <v>29.03589436975989</v>
      </c>
      <c r="BE23" s="31" t="n">
        <v>49.77401121827475</v>
      </c>
      <c r="BF23" s="31" t="n">
        <v>24.29375104952283</v>
      </c>
      <c r="BG23" s="31" t="n">
        <v>44.54492775255542</v>
      </c>
      <c r="BH23" s="31" t="n">
        <v>5.31969607284265</v>
      </c>
      <c r="BI23" s="31" t="n">
        <v>29.45532048721953</v>
      </c>
      <c r="BJ23" s="31" t="n">
        <v>7.682249455022118</v>
      </c>
      <c r="BK23" s="31" t="n">
        <v>1913.548652077634</v>
      </c>
      <c r="BL23" s="31" t="n">
        <v>1857.785730710582</v>
      </c>
      <c r="BM23" s="31" t="n">
        <v>208.1279043595036</v>
      </c>
      <c r="BN23" s="31" t="n">
        <v>1658.394369652384</v>
      </c>
      <c r="BO23" s="31" t="n">
        <v>717.1194249128057</v>
      </c>
      <c r="BP23" s="31" t="n">
        <v>55.99709171102368</v>
      </c>
      <c r="BQ23" s="31" t="n">
        <v>850.9058870897245</v>
      </c>
      <c r="BR23" s="31" t="n">
        <v>0</v>
      </c>
      <c r="BS23" s="31">
        <f>SUM(C23:BR23)</f>
        <v/>
      </c>
      <c r="BT23" s="31" t="n">
        <v>0</v>
      </c>
      <c r="BU23" s="31" t="n">
        <v>0</v>
      </c>
      <c r="BV23" s="31" t="n">
        <v>161424.9909645019</v>
      </c>
      <c r="BW23" s="31" t="n">
        <v>0</v>
      </c>
      <c r="BX23" s="31">
        <f>SUM(BT23:BW23)</f>
        <v/>
      </c>
      <c r="BY23" s="31">
        <f>BS23+BX23</f>
        <v/>
      </c>
    </row>
    <row r="24">
      <c r="A24" s="28" t="inlineStr">
        <is>
          <t>1100</t>
        </is>
      </c>
      <c r="B24" s="28" t="inlineStr">
        <is>
          <t>Fabricação de bebidas</t>
        </is>
      </c>
      <c r="C24" s="29" t="n">
        <v>1.21510362836328</v>
      </c>
      <c r="D24" s="29" t="n">
        <v>2.219556346634899</v>
      </c>
      <c r="E24" s="29" t="n">
        <v>0.1572647805406302</v>
      </c>
      <c r="F24" s="29" t="n">
        <v>0.6996546238868816</v>
      </c>
      <c r="G24" s="29" t="n">
        <v>9.280908195713682</v>
      </c>
      <c r="H24" s="29" t="n">
        <v>5.432743275970571</v>
      </c>
      <c r="I24" s="29" t="n">
        <v>1.771493978515233</v>
      </c>
      <c r="J24" s="29" t="n">
        <v>574.466400981371</v>
      </c>
      <c r="K24" s="29" t="n">
        <v>1.232596282294912</v>
      </c>
      <c r="L24" s="29" t="n">
        <v>85.69341323963279</v>
      </c>
      <c r="M24" s="29" t="n">
        <v>12084.63085633992</v>
      </c>
      <c r="N24" s="29" t="n">
        <v>0.3613672112441737</v>
      </c>
      <c r="O24" s="29" t="n">
        <v>1.559081027976994</v>
      </c>
      <c r="P24" s="29" t="n">
        <v>1.690776980043616</v>
      </c>
      <c r="Q24" s="29" t="n">
        <v>1.802055059136386</v>
      </c>
      <c r="R24" s="29" t="n">
        <v>1.606355676010919</v>
      </c>
      <c r="S24" s="29" t="n">
        <v>4.096480806145124</v>
      </c>
      <c r="T24" s="29" t="n">
        <v>0.4273084806109901</v>
      </c>
      <c r="U24" s="29" t="n">
        <v>44.05769964081174</v>
      </c>
      <c r="V24" s="29" t="n">
        <v>1.569538154273161</v>
      </c>
      <c r="W24" s="29" t="n">
        <v>5.540449577213916</v>
      </c>
      <c r="X24" s="29" t="n">
        <v>6.324951133824413</v>
      </c>
      <c r="Y24" s="29" t="n">
        <v>5.976394745863222</v>
      </c>
      <c r="Z24" s="29" t="n">
        <v>4.44388130912397</v>
      </c>
      <c r="AA24" s="29" t="n">
        <v>4.760643717291948</v>
      </c>
      <c r="AB24" s="29" t="n">
        <v>2.733595856730322</v>
      </c>
      <c r="AC24" s="29" t="n">
        <v>7.452448811798579</v>
      </c>
      <c r="AD24" s="29" t="n">
        <v>1.144860326760359</v>
      </c>
      <c r="AE24" s="29" t="n">
        <v>22.10767423661854</v>
      </c>
      <c r="AF24" s="29" t="n">
        <v>4.215951151999956</v>
      </c>
      <c r="AG24" s="29" t="n">
        <v>8.39469583445856</v>
      </c>
      <c r="AH24" s="29" t="n">
        <v>58.5241826939349</v>
      </c>
      <c r="AI24" s="29" t="n">
        <v>13.56139136476033</v>
      </c>
      <c r="AJ24" s="29" t="n">
        <v>5.30425837517086</v>
      </c>
      <c r="AK24" s="29" t="n">
        <v>10.30032077347223</v>
      </c>
      <c r="AL24" s="29" t="n">
        <v>4.451173686554649</v>
      </c>
      <c r="AM24" s="29" t="n">
        <v>23.13814056284956</v>
      </c>
      <c r="AN24" s="29" t="n">
        <v>7.073656055135211</v>
      </c>
      <c r="AO24" s="29" t="n">
        <v>1.72943977924088</v>
      </c>
      <c r="AP24" s="29" t="n">
        <v>77.94793778040369</v>
      </c>
      <c r="AQ24" s="29" t="n">
        <v>6.609658823840959</v>
      </c>
      <c r="AR24" s="29" t="n">
        <v>68.91990724795396</v>
      </c>
      <c r="AS24" s="29" t="n">
        <v>10.5820749672684</v>
      </c>
      <c r="AT24" s="29" t="n">
        <v>0.3551243383287657</v>
      </c>
      <c r="AU24" s="29" t="n">
        <v>10.5147969206739</v>
      </c>
      <c r="AV24" s="29" t="n">
        <v>3.088681522912452</v>
      </c>
      <c r="AW24" s="29" t="n">
        <v>779.9925566400207</v>
      </c>
      <c r="AX24" s="29" t="n">
        <v>40356.7470628645</v>
      </c>
      <c r="AY24" s="29" t="n">
        <v>1.298255668460458</v>
      </c>
      <c r="AZ24" s="29" t="n">
        <v>1.393937490879711</v>
      </c>
      <c r="BA24" s="29" t="n">
        <v>8.688816718895225</v>
      </c>
      <c r="BB24" s="29" t="n">
        <v>2.13599917766525</v>
      </c>
      <c r="BC24" s="29" t="n">
        <v>184.4686431307882</v>
      </c>
      <c r="BD24" s="29" t="n">
        <v>3.25127668010412</v>
      </c>
      <c r="BE24" s="29" t="n">
        <v>7.39122448318845</v>
      </c>
      <c r="BF24" s="29" t="n">
        <v>1.87520361303994</v>
      </c>
      <c r="BG24" s="29" t="n">
        <v>1.572776476506362</v>
      </c>
      <c r="BH24" s="29" t="n">
        <v>1.263883609167044</v>
      </c>
      <c r="BI24" s="29" t="n">
        <v>7.775042924746602</v>
      </c>
      <c r="BJ24" s="29" t="n">
        <v>0.6693056774374175</v>
      </c>
      <c r="BK24" s="29" t="n">
        <v>131.9228449795938</v>
      </c>
      <c r="BL24" s="29" t="n">
        <v>115.5935805094086</v>
      </c>
      <c r="BM24" s="29" t="n">
        <v>15.47277533570114</v>
      </c>
      <c r="BN24" s="29" t="n">
        <v>60.87702886361554</v>
      </c>
      <c r="BO24" s="29" t="n">
        <v>220.83579185838</v>
      </c>
      <c r="BP24" s="29" t="n">
        <v>42.00892637555638</v>
      </c>
      <c r="BQ24" s="29" t="n">
        <v>21.92824372550693</v>
      </c>
      <c r="BR24" s="29" t="n">
        <v>0</v>
      </c>
      <c r="BS24" s="29">
        <f>SUM(C24:BR24)</f>
        <v/>
      </c>
      <c r="BT24" s="29" t="n">
        <v>0</v>
      </c>
      <c r="BU24" s="29" t="n">
        <v>0</v>
      </c>
      <c r="BV24" s="29" t="n">
        <v>39661.80327769282</v>
      </c>
      <c r="BW24" s="29" t="n">
        <v>0</v>
      </c>
      <c r="BX24" s="29">
        <f>SUM(BT24:BW24)</f>
        <v/>
      </c>
      <c r="BY24" s="29">
        <f>BS24+BX24</f>
        <v/>
      </c>
    </row>
    <row r="25">
      <c r="A25" s="30" t="inlineStr">
        <is>
          <t>1200</t>
        </is>
      </c>
      <c r="B25" s="30" t="inlineStr">
        <is>
          <t>Fabricação de produtos do fumo</t>
        </is>
      </c>
      <c r="C25" s="31" t="n">
        <v>0.1489148788473992</v>
      </c>
      <c r="D25" s="31" t="n">
        <v>0.05357140669825024</v>
      </c>
      <c r="E25" s="31" t="n">
        <v>0.007578588691221601</v>
      </c>
      <c r="F25" s="31" t="n">
        <v>0.01667629114801923</v>
      </c>
      <c r="G25" s="31" t="n">
        <v>0.3171351851201069</v>
      </c>
      <c r="H25" s="31" t="n">
        <v>0.3953322889114907</v>
      </c>
      <c r="I25" s="31" t="n">
        <v>0.08432875644910148</v>
      </c>
      <c r="J25" s="31" t="n">
        <v>1.850686572589318</v>
      </c>
      <c r="K25" s="31" t="n">
        <v>0.06806790418997621</v>
      </c>
      <c r="L25" s="31" t="n">
        <v>1.664222919434474</v>
      </c>
      <c r="M25" s="31" t="n">
        <v>0.2123332435920222</v>
      </c>
      <c r="N25" s="31" t="n">
        <v>1077.377177436209</v>
      </c>
      <c r="O25" s="31" t="n">
        <v>0.3097919326132512</v>
      </c>
      <c r="P25" s="31" t="n">
        <v>0.241482175223358</v>
      </c>
      <c r="Q25" s="31" t="n">
        <v>0.3909074345074375</v>
      </c>
      <c r="R25" s="31" t="n">
        <v>0.3110810413683709</v>
      </c>
      <c r="S25" s="31" t="n">
        <v>3.076857303028037</v>
      </c>
      <c r="T25" s="31" t="n">
        <v>0.5016876287761879</v>
      </c>
      <c r="U25" s="31" t="n">
        <v>0.1109974578526245</v>
      </c>
      <c r="V25" s="31" t="n">
        <v>0.06218363592287157</v>
      </c>
      <c r="W25" s="31" t="n">
        <v>0.2465694157669898</v>
      </c>
      <c r="X25" s="31" t="n">
        <v>0.2114994327196311</v>
      </c>
      <c r="Y25" s="31" t="n">
        <v>0.6715858451680776</v>
      </c>
      <c r="Z25" s="31" t="n">
        <v>0.7291197976036594</v>
      </c>
      <c r="AA25" s="31" t="n">
        <v>0.9983797825393173</v>
      </c>
      <c r="AB25" s="31" t="n">
        <v>0.9023424487021998</v>
      </c>
      <c r="AC25" s="31" t="n">
        <v>0.1955958669100641</v>
      </c>
      <c r="AD25" s="31" t="n">
        <v>0.1770295802122502</v>
      </c>
      <c r="AE25" s="31" t="n">
        <v>0.6407326675521219</v>
      </c>
      <c r="AF25" s="31" t="n">
        <v>0.5957338253946909</v>
      </c>
      <c r="AG25" s="31" t="n">
        <v>0.5171403750394419</v>
      </c>
      <c r="AH25" s="31" t="n">
        <v>3.045632943095742</v>
      </c>
      <c r="AI25" s="31" t="n">
        <v>0.7182993030672481</v>
      </c>
      <c r="AJ25" s="31" t="n">
        <v>0.409627425642116</v>
      </c>
      <c r="AK25" s="31" t="n">
        <v>0.235740399234916</v>
      </c>
      <c r="AL25" s="31" t="n">
        <v>0.4260677480162365</v>
      </c>
      <c r="AM25" s="31" t="n">
        <v>1.04337312615983</v>
      </c>
      <c r="AN25" s="31" t="n">
        <v>0.1996998574767504</v>
      </c>
      <c r="AO25" s="31" t="n">
        <v>0.05295762317882083</v>
      </c>
      <c r="AP25" s="31" t="n">
        <v>0.8716336248344425</v>
      </c>
      <c r="AQ25" s="31" t="n">
        <v>0.4521388836913267</v>
      </c>
      <c r="AR25" s="31" t="n">
        <v>4.290634544315976</v>
      </c>
      <c r="AS25" s="31" t="n">
        <v>0.1106755035922662</v>
      </c>
      <c r="AT25" s="31" t="n">
        <v>0.03729376570812478</v>
      </c>
      <c r="AU25" s="31" t="n">
        <v>0.01060641414429946</v>
      </c>
      <c r="AV25" s="31" t="n">
        <v>0.2263637759401411</v>
      </c>
      <c r="AW25" s="31" t="n">
        <v>0.1180279370022205</v>
      </c>
      <c r="AX25" s="31" t="n">
        <v>0.6024667383868537</v>
      </c>
      <c r="AY25" s="31" t="n">
        <v>0.5467771318662753</v>
      </c>
      <c r="AZ25" s="31" t="n">
        <v>0.1268788019185263</v>
      </c>
      <c r="BA25" s="31" t="n">
        <v>0.6850110215665959</v>
      </c>
      <c r="BB25" s="31" t="n">
        <v>0.3095052987252153</v>
      </c>
      <c r="BC25" s="31" t="n">
        <v>0.8097903468106258</v>
      </c>
      <c r="BD25" s="31" t="n">
        <v>0.1973199562649997</v>
      </c>
      <c r="BE25" s="31" t="n">
        <v>0.7708572663252367</v>
      </c>
      <c r="BF25" s="31" t="n">
        <v>1.259068972279344</v>
      </c>
      <c r="BG25" s="31" t="n">
        <v>0.2320091453296618</v>
      </c>
      <c r="BH25" s="31" t="n">
        <v>0.2475664408116974</v>
      </c>
      <c r="BI25" s="31" t="n">
        <v>0.9061746238717132</v>
      </c>
      <c r="BJ25" s="31" t="n">
        <v>0.03117082969668711</v>
      </c>
      <c r="BK25" s="31" t="n">
        <v>0.4035415687646809</v>
      </c>
      <c r="BL25" s="31" t="n">
        <v>0.2975506698381675</v>
      </c>
      <c r="BM25" s="31" t="n">
        <v>0.3180588126661238</v>
      </c>
      <c r="BN25" s="31" t="n">
        <v>0.07809130107674418</v>
      </c>
      <c r="BO25" s="31" t="n">
        <v>0.3396422467734626</v>
      </c>
      <c r="BP25" s="31" t="n">
        <v>0.1869599529236101</v>
      </c>
      <c r="BQ25" s="31" t="n">
        <v>0.3175293325834789</v>
      </c>
      <c r="BR25" s="31" t="n">
        <v>0</v>
      </c>
      <c r="BS25" s="31">
        <f>SUM(C25:BR25)</f>
        <v/>
      </c>
      <c r="BT25" s="31" t="n">
        <v>0</v>
      </c>
      <c r="BU25" s="31" t="n">
        <v>0</v>
      </c>
      <c r="BV25" s="31" t="n">
        <v>15129.85896267726</v>
      </c>
      <c r="BW25" s="31" t="n">
        <v>0</v>
      </c>
      <c r="BX25" s="31">
        <f>SUM(BT25:BW25)</f>
        <v/>
      </c>
      <c r="BY25" s="31">
        <f>BS25+BX25</f>
        <v/>
      </c>
    </row>
    <row r="26">
      <c r="A26" s="28" t="inlineStr">
        <is>
          <t>1300</t>
        </is>
      </c>
      <c r="B26" s="28" t="inlineStr">
        <is>
          <t>Fabricação de produtos têxteis</t>
        </is>
      </c>
      <c r="C26" s="29" t="n">
        <v>791.5193945554324</v>
      </c>
      <c r="D26" s="29" t="n">
        <v>20.86387403563705</v>
      </c>
      <c r="E26" s="29" t="n">
        <v>2.46463417222633</v>
      </c>
      <c r="F26" s="29" t="n">
        <v>257.5583082037021</v>
      </c>
      <c r="G26" s="29" t="n">
        <v>147.582972950216</v>
      </c>
      <c r="H26" s="29" t="n">
        <v>2.671274552198696</v>
      </c>
      <c r="I26" s="29" t="n">
        <v>8.482706866915931</v>
      </c>
      <c r="J26" s="29" t="n">
        <v>22.67817997164063</v>
      </c>
      <c r="K26" s="29" t="n">
        <v>154.4761840182351</v>
      </c>
      <c r="L26" s="29" t="n">
        <v>310.3066532156762</v>
      </c>
      <c r="M26" s="29" t="n">
        <v>25.42584113557518</v>
      </c>
      <c r="N26" s="29" t="n">
        <v>0.6589088285433937</v>
      </c>
      <c r="O26" s="29" t="n">
        <v>13508.78466901289</v>
      </c>
      <c r="P26" s="29" t="n">
        <v>21929.99943049637</v>
      </c>
      <c r="Q26" s="29" t="n">
        <v>4711.450770511819</v>
      </c>
      <c r="R26" s="29" t="n">
        <v>14.38962522782152</v>
      </c>
      <c r="S26" s="29" t="n">
        <v>181.3687482505322</v>
      </c>
      <c r="T26" s="29" t="n">
        <v>8.017484204081857</v>
      </c>
      <c r="U26" s="29" t="n">
        <v>2.173967143641852</v>
      </c>
      <c r="V26" s="29" t="n">
        <v>1.078340292779582</v>
      </c>
      <c r="W26" s="29" t="n">
        <v>36.28431814980237</v>
      </c>
      <c r="X26" s="29" t="n">
        <v>76.2023199906437</v>
      </c>
      <c r="Y26" s="29" t="n">
        <v>30.48407409263296</v>
      </c>
      <c r="Z26" s="29" t="n">
        <v>128.8423593555453</v>
      </c>
      <c r="AA26" s="29" t="n">
        <v>977.755283950767</v>
      </c>
      <c r="AB26" s="29" t="n">
        <v>75.83557488014486</v>
      </c>
      <c r="AC26" s="29" t="n">
        <v>6.233671040296701</v>
      </c>
      <c r="AD26" s="29" t="n">
        <v>3.875582103434751</v>
      </c>
      <c r="AE26" s="29" t="n">
        <v>84.34432417681705</v>
      </c>
      <c r="AF26" s="29" t="n">
        <v>13.78665487221219</v>
      </c>
      <c r="AG26" s="29" t="n">
        <v>73.94230396175573</v>
      </c>
      <c r="AH26" s="29" t="n">
        <v>43.42791961296555</v>
      </c>
      <c r="AI26" s="29" t="n">
        <v>69.11651487408258</v>
      </c>
      <c r="AJ26" s="29" t="n">
        <v>1903.70553311771</v>
      </c>
      <c r="AK26" s="29" t="n">
        <v>148.1507798555373</v>
      </c>
      <c r="AL26" s="29" t="n">
        <v>2045.763791638519</v>
      </c>
      <c r="AM26" s="29" t="n">
        <v>15.14804711500733</v>
      </c>
      <c r="AN26" s="29" t="n">
        <v>41.36708008249176</v>
      </c>
      <c r="AO26" s="29" t="n">
        <v>16.49334866778492</v>
      </c>
      <c r="AP26" s="29" t="n">
        <v>1169.353653708737</v>
      </c>
      <c r="AQ26" s="29" t="n">
        <v>26.32769671978207</v>
      </c>
      <c r="AR26" s="29" t="n">
        <v>261.0426478483345</v>
      </c>
      <c r="AS26" s="29" t="n">
        <v>65.56598901146951</v>
      </c>
      <c r="AT26" s="29" t="n">
        <v>15.60583928461541</v>
      </c>
      <c r="AU26" s="29" t="n">
        <v>2.358193568463425</v>
      </c>
      <c r="AV26" s="29" t="n">
        <v>7.133295576085675</v>
      </c>
      <c r="AW26" s="29" t="n">
        <v>418.8814065144928</v>
      </c>
      <c r="AX26" s="29" t="n">
        <v>267.2228274216445</v>
      </c>
      <c r="AY26" s="29" t="n">
        <v>1.786776594376932</v>
      </c>
      <c r="AZ26" s="29" t="n">
        <v>8.779273806988996</v>
      </c>
      <c r="BA26" s="29" t="n">
        <v>7.431792123284477</v>
      </c>
      <c r="BB26" s="29" t="n">
        <v>3.741957796634545</v>
      </c>
      <c r="BC26" s="29" t="n">
        <v>17.97064171137056</v>
      </c>
      <c r="BD26" s="29" t="n">
        <v>9.991527289742415</v>
      </c>
      <c r="BE26" s="29" t="n">
        <v>13.66753929171394</v>
      </c>
      <c r="BF26" s="29" t="n">
        <v>12.02434597142753</v>
      </c>
      <c r="BG26" s="29" t="n">
        <v>5.516086817257844</v>
      </c>
      <c r="BH26" s="29" t="n">
        <v>7.048210032703506</v>
      </c>
      <c r="BI26" s="29" t="n">
        <v>26.47982621111164</v>
      </c>
      <c r="BJ26" s="29" t="n">
        <v>2.50927216829235</v>
      </c>
      <c r="BK26" s="29" t="n">
        <v>74.67407978613284</v>
      </c>
      <c r="BL26" s="29" t="n">
        <v>79.16176965412456</v>
      </c>
      <c r="BM26" s="29" t="n">
        <v>7.153459689625783</v>
      </c>
      <c r="BN26" s="29" t="n">
        <v>52.61927296476482</v>
      </c>
      <c r="BO26" s="29" t="n">
        <v>108.3555181644555</v>
      </c>
      <c r="BP26" s="29" t="n">
        <v>9.539096766397686</v>
      </c>
      <c r="BQ26" s="29" t="n">
        <v>1128.419413839272</v>
      </c>
      <c r="BR26" s="29" t="n">
        <v>0</v>
      </c>
      <c r="BS26" s="29">
        <f>SUM(C26:BR26)</f>
        <v/>
      </c>
      <c r="BT26" s="29" t="n">
        <v>0</v>
      </c>
      <c r="BU26" s="29" t="n">
        <v>0</v>
      </c>
      <c r="BV26" s="29" t="n">
        <v>18137.20214072346</v>
      </c>
      <c r="BW26" s="29" t="n">
        <v>0</v>
      </c>
      <c r="BX26" s="29">
        <f>SUM(BT26:BW26)</f>
        <v/>
      </c>
      <c r="BY26" s="29">
        <f>BS26+BX26</f>
        <v/>
      </c>
    </row>
    <row r="27">
      <c r="A27" s="30" t="inlineStr">
        <is>
          <t>1400</t>
        </is>
      </c>
      <c r="B27" s="30" t="inlineStr">
        <is>
          <t>Confecção de artefatos do vestuário e acessórios</t>
        </is>
      </c>
      <c r="C27" s="31" t="n">
        <v>12.93090274751093</v>
      </c>
      <c r="D27" s="31" t="n">
        <v>2.228419726845749</v>
      </c>
      <c r="E27" s="31" t="n">
        <v>15.69628546697559</v>
      </c>
      <c r="F27" s="31" t="n">
        <v>10.01930273475724</v>
      </c>
      <c r="G27" s="31" t="n">
        <v>132.2701769428783</v>
      </c>
      <c r="H27" s="31" t="n">
        <v>1.137911523751225</v>
      </c>
      <c r="I27" s="31" t="n">
        <v>0.3920721666252985</v>
      </c>
      <c r="J27" s="31" t="n">
        <v>12.7478167616983</v>
      </c>
      <c r="K27" s="31" t="n">
        <v>2.415389249291235</v>
      </c>
      <c r="L27" s="31" t="n">
        <v>17.23177404786613</v>
      </c>
      <c r="M27" s="31" t="n">
        <v>1.862788505544136</v>
      </c>
      <c r="N27" s="31" t="n">
        <v>0.4205484504555146</v>
      </c>
      <c r="O27" s="31" t="n">
        <v>154.6288493234105</v>
      </c>
      <c r="P27" s="31" t="n">
        <v>3745.675473061236</v>
      </c>
      <c r="Q27" s="31" t="n">
        <v>137.3324007529848</v>
      </c>
      <c r="R27" s="31" t="n">
        <v>0.6552499503793168</v>
      </c>
      <c r="S27" s="31" t="n">
        <v>7.074520687440899</v>
      </c>
      <c r="T27" s="31" t="n">
        <v>7.75799557999299</v>
      </c>
      <c r="U27" s="31" t="n">
        <v>0.4026117920606946</v>
      </c>
      <c r="V27" s="31" t="n">
        <v>0.2934888294233322</v>
      </c>
      <c r="W27" s="31" t="n">
        <v>1.127193678620442</v>
      </c>
      <c r="X27" s="31" t="n">
        <v>9.314388631649068</v>
      </c>
      <c r="Y27" s="31" t="n">
        <v>1.135540299989274</v>
      </c>
      <c r="Z27" s="31" t="n">
        <v>2.476287663101038</v>
      </c>
      <c r="AA27" s="31" t="n">
        <v>10.4214770993085</v>
      </c>
      <c r="AB27" s="31" t="n">
        <v>26.17758061338711</v>
      </c>
      <c r="AC27" s="31" t="n">
        <v>6.690468415515824</v>
      </c>
      <c r="AD27" s="31" t="n">
        <v>0.3404434042904527</v>
      </c>
      <c r="AE27" s="31" t="n">
        <v>103.4161325028934</v>
      </c>
      <c r="AF27" s="31" t="n">
        <v>2.450282699225385</v>
      </c>
      <c r="AG27" s="31" t="n">
        <v>3.702013833847858</v>
      </c>
      <c r="AH27" s="31" t="n">
        <v>14.4059041846515</v>
      </c>
      <c r="AI27" s="31" t="n">
        <v>3.086614708500776</v>
      </c>
      <c r="AJ27" s="31" t="n">
        <v>46.64980384539727</v>
      </c>
      <c r="AK27" s="31" t="n">
        <v>2.8729285555972</v>
      </c>
      <c r="AL27" s="31" t="n">
        <v>44.20728178128255</v>
      </c>
      <c r="AM27" s="31" t="n">
        <v>4.955499687278035</v>
      </c>
      <c r="AN27" s="31" t="n">
        <v>177.9612855916078</v>
      </c>
      <c r="AO27" s="31" t="n">
        <v>169.2271138306613</v>
      </c>
      <c r="AP27" s="31" t="n">
        <v>89.51358141181214</v>
      </c>
      <c r="AQ27" s="31" t="n">
        <v>3.978804583705126</v>
      </c>
      <c r="AR27" s="31" t="n">
        <v>633.4088430033529</v>
      </c>
      <c r="AS27" s="31" t="n">
        <v>300.1307544159603</v>
      </c>
      <c r="AT27" s="31" t="n">
        <v>12.26372439896134</v>
      </c>
      <c r="AU27" s="31" t="n">
        <v>263.5803964438859</v>
      </c>
      <c r="AV27" s="31" t="n">
        <v>147.4631254007669</v>
      </c>
      <c r="AW27" s="31" t="n">
        <v>153.5199955483947</v>
      </c>
      <c r="AX27" s="31" t="n">
        <v>303.7518368645234</v>
      </c>
      <c r="AY27" s="31" t="n">
        <v>12.53160204997029</v>
      </c>
      <c r="AZ27" s="31" t="n">
        <v>227.1930551952882</v>
      </c>
      <c r="BA27" s="31" t="n">
        <v>89.25114887582993</v>
      </c>
      <c r="BB27" s="31" t="n">
        <v>5.20555714360569</v>
      </c>
      <c r="BC27" s="31" t="n">
        <v>1115.915303878949</v>
      </c>
      <c r="BD27" s="31" t="n">
        <v>70.68535556112862</v>
      </c>
      <c r="BE27" s="31" t="n">
        <v>17.37826626981872</v>
      </c>
      <c r="BF27" s="31" t="n">
        <v>298.2608197958098</v>
      </c>
      <c r="BG27" s="31" t="n">
        <v>70.87902537192662</v>
      </c>
      <c r="BH27" s="31" t="n">
        <v>3.141479917344745</v>
      </c>
      <c r="BI27" s="31" t="n">
        <v>245.6404795272518</v>
      </c>
      <c r="BJ27" s="31" t="n">
        <v>333.3078408626915</v>
      </c>
      <c r="BK27" s="31" t="n">
        <v>914.7218841658748</v>
      </c>
      <c r="BL27" s="31" t="n">
        <v>960.0280053784948</v>
      </c>
      <c r="BM27" s="31" t="n">
        <v>2.331375999039518</v>
      </c>
      <c r="BN27" s="31" t="n">
        <v>74.1196171554739</v>
      </c>
      <c r="BO27" s="31" t="n">
        <v>87.71740804178788</v>
      </c>
      <c r="BP27" s="31" t="n">
        <v>226.757282038063</v>
      </c>
      <c r="BQ27" s="31" t="n">
        <v>1537.048503490265</v>
      </c>
      <c r="BR27" s="31" t="n">
        <v>0</v>
      </c>
      <c r="BS27" s="31">
        <f>SUM(C27:BR27)</f>
        <v/>
      </c>
      <c r="BT27" s="31" t="n">
        <v>0</v>
      </c>
      <c r="BU27" s="31" t="n">
        <v>0</v>
      </c>
      <c r="BV27" s="31" t="n">
        <v>56240.50138479959</v>
      </c>
      <c r="BW27" s="31" t="n">
        <v>0</v>
      </c>
      <c r="BX27" s="31">
        <f>SUM(BT27:BW27)</f>
        <v/>
      </c>
      <c r="BY27" s="31">
        <f>BS27+BX27</f>
        <v/>
      </c>
    </row>
    <row r="28">
      <c r="A28" s="28" t="inlineStr">
        <is>
          <t>1500</t>
        </is>
      </c>
      <c r="B28" s="28" t="inlineStr">
        <is>
          <t>Fabricação de calçados e de artefatos de couro</t>
        </is>
      </c>
      <c r="C28" s="29" t="n">
        <v>4.912773118638701</v>
      </c>
      <c r="D28" s="29" t="n">
        <v>6.639246731361657</v>
      </c>
      <c r="E28" s="29" t="n">
        <v>0.3089379720491721</v>
      </c>
      <c r="F28" s="29" t="n">
        <v>9.367325299943374</v>
      </c>
      <c r="G28" s="29" t="n">
        <v>10.60883973022505</v>
      </c>
      <c r="H28" s="29" t="n">
        <v>3.87011215019632</v>
      </c>
      <c r="I28" s="29" t="n">
        <v>1.284103158762933</v>
      </c>
      <c r="J28" s="29" t="n">
        <v>30.52261266695569</v>
      </c>
      <c r="K28" s="29" t="n">
        <v>0.9224928895188023</v>
      </c>
      <c r="L28" s="29" t="n">
        <v>39.50251479822043</v>
      </c>
      <c r="M28" s="29" t="n">
        <v>9.35007528080024</v>
      </c>
      <c r="N28" s="29" t="n">
        <v>0.5572063760685102</v>
      </c>
      <c r="O28" s="29" t="n">
        <v>14.00808746400162</v>
      </c>
      <c r="P28" s="29" t="n">
        <v>20.81631195654595</v>
      </c>
      <c r="Q28" s="29" t="n">
        <v>7298.001067844319</v>
      </c>
      <c r="R28" s="29" t="n">
        <v>3.242811762905177</v>
      </c>
      <c r="S28" s="29" t="n">
        <v>124.467828539872</v>
      </c>
      <c r="T28" s="29" t="n">
        <v>3.869516528519889</v>
      </c>
      <c r="U28" s="29" t="n">
        <v>3.599839251519178</v>
      </c>
      <c r="V28" s="29" t="n">
        <v>2.865055695353785</v>
      </c>
      <c r="W28" s="29" t="n">
        <v>10.42007917372742</v>
      </c>
      <c r="X28" s="29" t="n">
        <v>18.68930857204441</v>
      </c>
      <c r="Y28" s="29" t="n">
        <v>12.84555448927785</v>
      </c>
      <c r="Z28" s="29" t="n">
        <v>6.724604560834964</v>
      </c>
      <c r="AA28" s="29" t="n">
        <v>31.10945514322558</v>
      </c>
      <c r="AB28" s="29" t="n">
        <v>7.428377859551295</v>
      </c>
      <c r="AC28" s="29" t="n">
        <v>6.205034810245035</v>
      </c>
      <c r="AD28" s="29" t="n">
        <v>1.155900270606943</v>
      </c>
      <c r="AE28" s="29" t="n">
        <v>64.94078581174328</v>
      </c>
      <c r="AF28" s="29" t="n">
        <v>4.263564788740809</v>
      </c>
      <c r="AG28" s="29" t="n">
        <v>7.37995879907598</v>
      </c>
      <c r="AH28" s="29" t="n">
        <v>20.58860634092544</v>
      </c>
      <c r="AI28" s="29" t="n">
        <v>90.42645467340324</v>
      </c>
      <c r="AJ28" s="29" t="n">
        <v>31.55694346677604</v>
      </c>
      <c r="AK28" s="29" t="n">
        <v>7.664900120317871</v>
      </c>
      <c r="AL28" s="29" t="n">
        <v>64.83111669453123</v>
      </c>
      <c r="AM28" s="29" t="n">
        <v>8.301114132784598</v>
      </c>
      <c r="AN28" s="29" t="n">
        <v>193.8906545137436</v>
      </c>
      <c r="AO28" s="29" t="n">
        <v>2.431485093052707</v>
      </c>
      <c r="AP28" s="29" t="n">
        <v>108.3977911741106</v>
      </c>
      <c r="AQ28" s="29" t="n">
        <v>22.54938574935157</v>
      </c>
      <c r="AR28" s="29" t="n">
        <v>29.65560993143581</v>
      </c>
      <c r="AS28" s="29" t="n">
        <v>33.63505365418292</v>
      </c>
      <c r="AT28" s="29" t="n">
        <v>0.4475167243055402</v>
      </c>
      <c r="AU28" s="29" t="n">
        <v>3.275779813670212</v>
      </c>
      <c r="AV28" s="29" t="n">
        <v>1.520539029096096</v>
      </c>
      <c r="AW28" s="29" t="n">
        <v>3.378574140729229</v>
      </c>
      <c r="AX28" s="29" t="n">
        <v>23.82081057832248</v>
      </c>
      <c r="AY28" s="29" t="n">
        <v>2.296169707328983</v>
      </c>
      <c r="AZ28" s="29" t="n">
        <v>43.36190319367464</v>
      </c>
      <c r="BA28" s="29" t="n">
        <v>2.800492532940854</v>
      </c>
      <c r="BB28" s="29" t="n">
        <v>4.372315674662131</v>
      </c>
      <c r="BC28" s="29" t="n">
        <v>5.226200806107176</v>
      </c>
      <c r="BD28" s="29" t="n">
        <v>1.785136895616491</v>
      </c>
      <c r="BE28" s="29" t="n">
        <v>3.079203632851207</v>
      </c>
      <c r="BF28" s="29" t="n">
        <v>5.972787113697127</v>
      </c>
      <c r="BG28" s="29" t="n">
        <v>3.481539780817513</v>
      </c>
      <c r="BH28" s="29" t="n">
        <v>3.946539746759548</v>
      </c>
      <c r="BI28" s="29" t="n">
        <v>10.61615958272705</v>
      </c>
      <c r="BJ28" s="29" t="n">
        <v>87.18134581942894</v>
      </c>
      <c r="BK28" s="29" t="n">
        <v>52.16543566842844</v>
      </c>
      <c r="BL28" s="29" t="n">
        <v>10.67236316371853</v>
      </c>
      <c r="BM28" s="29" t="n">
        <v>0.8790370526655863</v>
      </c>
      <c r="BN28" s="29" t="n">
        <v>13.51206559488629</v>
      </c>
      <c r="BO28" s="29" t="n">
        <v>40.97666222489936</v>
      </c>
      <c r="BP28" s="29" t="n">
        <v>1.69567054945857</v>
      </c>
      <c r="BQ28" s="29" t="n">
        <v>8.052865454347195</v>
      </c>
      <c r="BR28" s="29" t="n">
        <v>0</v>
      </c>
      <c r="BS28" s="29">
        <f>SUM(C28:BR28)</f>
        <v/>
      </c>
      <c r="BT28" s="29" t="n">
        <v>0</v>
      </c>
      <c r="BU28" s="29" t="n">
        <v>0</v>
      </c>
      <c r="BV28" s="29" t="n">
        <v>36059.02533746525</v>
      </c>
      <c r="BW28" s="29" t="n">
        <v>0</v>
      </c>
      <c r="BX28" s="29">
        <f>SUM(BT28:BW28)</f>
        <v/>
      </c>
      <c r="BY28" s="29">
        <f>BS28+BX28</f>
        <v/>
      </c>
    </row>
    <row r="29">
      <c r="A29" s="30" t="inlineStr">
        <is>
          <t>1600</t>
        </is>
      </c>
      <c r="B29" s="30" t="inlineStr">
        <is>
          <t>Fabricação de produtos da madeira</t>
        </is>
      </c>
      <c r="C29" s="31" t="n">
        <v>545.4319510008232</v>
      </c>
      <c r="D29" s="31" t="n">
        <v>431.3307015482393</v>
      </c>
      <c r="E29" s="31" t="n">
        <v>22.61571166302786</v>
      </c>
      <c r="F29" s="31" t="n">
        <v>7.787517857877175</v>
      </c>
      <c r="G29" s="31" t="n">
        <v>3.718687281615845</v>
      </c>
      <c r="H29" s="31" t="n">
        <v>1.388851409096143</v>
      </c>
      <c r="I29" s="31" t="n">
        <v>0.5440652879643918</v>
      </c>
      <c r="J29" s="31" t="n">
        <v>61.56344961138127</v>
      </c>
      <c r="K29" s="31" t="n">
        <v>1.164125797912675</v>
      </c>
      <c r="L29" s="31" t="n">
        <v>438.8049788179689</v>
      </c>
      <c r="M29" s="31" t="n">
        <v>135.3336607526709</v>
      </c>
      <c r="N29" s="31" t="n">
        <v>0.3425020524037516</v>
      </c>
      <c r="O29" s="31" t="n">
        <v>38.06435437620323</v>
      </c>
      <c r="P29" s="31" t="n">
        <v>4.216132327125496</v>
      </c>
      <c r="Q29" s="31" t="n">
        <v>2.182163100346032</v>
      </c>
      <c r="R29" s="31" t="n">
        <v>4868.341876489013</v>
      </c>
      <c r="S29" s="31" t="n">
        <v>486.7534374826778</v>
      </c>
      <c r="T29" s="31" t="n">
        <v>3.189606055815474</v>
      </c>
      <c r="U29" s="31" t="n">
        <v>1.16992948293272</v>
      </c>
      <c r="V29" s="31" t="n">
        <v>0.7642412487859513</v>
      </c>
      <c r="W29" s="31" t="n">
        <v>29.13061666587066</v>
      </c>
      <c r="X29" s="31" t="n">
        <v>54.56642642656382</v>
      </c>
      <c r="Y29" s="31" t="n">
        <v>5.434653787219593</v>
      </c>
      <c r="Z29" s="31" t="n">
        <v>2.677022501608179</v>
      </c>
      <c r="AA29" s="31" t="n">
        <v>31.47094313677086</v>
      </c>
      <c r="AB29" s="31" t="n">
        <v>61.71717589113408</v>
      </c>
      <c r="AC29" s="31" t="n">
        <v>24.57316194265402</v>
      </c>
      <c r="AD29" s="31" t="n">
        <v>5.760568382516314</v>
      </c>
      <c r="AE29" s="31" t="n">
        <v>341.3719009670928</v>
      </c>
      <c r="AF29" s="31" t="n">
        <v>5.656810158314788</v>
      </c>
      <c r="AG29" s="31" t="n">
        <v>15.12695055509886</v>
      </c>
      <c r="AH29" s="31" t="n">
        <v>509.5675489805072</v>
      </c>
      <c r="AI29" s="31" t="n">
        <v>289.1220795432773</v>
      </c>
      <c r="AJ29" s="31" t="n">
        <v>106.0238859904581</v>
      </c>
      <c r="AK29" s="31" t="n">
        <v>586.1389454390674</v>
      </c>
      <c r="AL29" s="31" t="n">
        <v>8310.861306369659</v>
      </c>
      <c r="AM29" s="31" t="n">
        <v>7.046866326556858</v>
      </c>
      <c r="AN29" s="31" t="n">
        <v>593.634384600485</v>
      </c>
      <c r="AO29" s="31" t="n">
        <v>9.389937667164382</v>
      </c>
      <c r="AP29" s="31" t="n">
        <v>8233.709911659791</v>
      </c>
      <c r="AQ29" s="31" t="n">
        <v>17.52355403519115</v>
      </c>
      <c r="AR29" s="31" t="n">
        <v>3076.846176500114</v>
      </c>
      <c r="AS29" s="31" t="n">
        <v>5.353484239336876</v>
      </c>
      <c r="AT29" s="31" t="n">
        <v>0.4987276257448851</v>
      </c>
      <c r="AU29" s="31" t="n">
        <v>0.4407931595194875</v>
      </c>
      <c r="AV29" s="31" t="n">
        <v>117.9400999986528</v>
      </c>
      <c r="AW29" s="31" t="n">
        <v>4.517445645450223</v>
      </c>
      <c r="AX29" s="31" t="n">
        <v>20.11853462061856</v>
      </c>
      <c r="AY29" s="31" t="n">
        <v>1.777790928910741</v>
      </c>
      <c r="AZ29" s="31" t="n">
        <v>192.9988313567654</v>
      </c>
      <c r="BA29" s="31" t="n">
        <v>10.36111496426868</v>
      </c>
      <c r="BB29" s="31" t="n">
        <v>5.956737506422263</v>
      </c>
      <c r="BC29" s="31" t="n">
        <v>20.40614028226835</v>
      </c>
      <c r="BD29" s="31" t="n">
        <v>601.1943626056495</v>
      </c>
      <c r="BE29" s="31" t="n">
        <v>18.81423182282778</v>
      </c>
      <c r="BF29" s="31" t="n">
        <v>5.622875678891184</v>
      </c>
      <c r="BG29" s="31" t="n">
        <v>4.473088106447472</v>
      </c>
      <c r="BH29" s="31" t="n">
        <v>5.490547850390142</v>
      </c>
      <c r="BI29" s="31" t="n">
        <v>163.7811343822261</v>
      </c>
      <c r="BJ29" s="31" t="n">
        <v>1.049456462429893</v>
      </c>
      <c r="BK29" s="31" t="n">
        <v>91.13541529097787</v>
      </c>
      <c r="BL29" s="31" t="n">
        <v>35.55270585251746</v>
      </c>
      <c r="BM29" s="31" t="n">
        <v>14.63068156969143</v>
      </c>
      <c r="BN29" s="31" t="n">
        <v>9.080917537094063</v>
      </c>
      <c r="BO29" s="31" t="n">
        <v>25.55746196725107</v>
      </c>
      <c r="BP29" s="31" t="n">
        <v>14.69483045716922</v>
      </c>
      <c r="BQ29" s="31" t="n">
        <v>299.2264497843325</v>
      </c>
      <c r="BR29" s="31" t="n">
        <v>0</v>
      </c>
      <c r="BS29" s="31">
        <f>SUM(C29:BR29)</f>
        <v/>
      </c>
      <c r="BT29" s="31" t="n">
        <v>0</v>
      </c>
      <c r="BU29" s="31" t="n">
        <v>0</v>
      </c>
      <c r="BV29" s="31" t="n">
        <v>6105.832420703148</v>
      </c>
      <c r="BW29" s="31" t="n">
        <v>0</v>
      </c>
      <c r="BX29" s="31">
        <f>SUM(BT29:BW29)</f>
        <v/>
      </c>
      <c r="BY29" s="31">
        <f>BS29+BX29</f>
        <v/>
      </c>
    </row>
    <row r="30">
      <c r="A30" s="28" t="inlineStr">
        <is>
          <t>1700</t>
        </is>
      </c>
      <c r="B30" s="28" t="inlineStr">
        <is>
          <t>Fabricação de celulose, papel e produtos de papel</t>
        </is>
      </c>
      <c r="C30" s="29" t="n">
        <v>509.6490711782062</v>
      </c>
      <c r="D30" s="29" t="n">
        <v>173.4759332836066</v>
      </c>
      <c r="E30" s="29" t="n">
        <v>22.1212755964456</v>
      </c>
      <c r="F30" s="29" t="n">
        <v>9.342625124763609</v>
      </c>
      <c r="G30" s="29" t="n">
        <v>81.00210192480671</v>
      </c>
      <c r="H30" s="29" t="n">
        <v>106.7058354251891</v>
      </c>
      <c r="I30" s="29" t="n">
        <v>32.24796322902437</v>
      </c>
      <c r="J30" s="29" t="n">
        <v>3536.491666259763</v>
      </c>
      <c r="K30" s="29" t="n">
        <v>31.06719393809083</v>
      </c>
      <c r="L30" s="29" t="n">
        <v>3999.612098743481</v>
      </c>
      <c r="M30" s="29" t="n">
        <v>309.573046193309</v>
      </c>
      <c r="N30" s="29" t="n">
        <v>856.5629380256019</v>
      </c>
      <c r="O30" s="29" t="n">
        <v>790.7745524943102</v>
      </c>
      <c r="P30" s="29" t="n">
        <v>424.5052864868142</v>
      </c>
      <c r="Q30" s="29" t="n">
        <v>843.9888159992691</v>
      </c>
      <c r="R30" s="29" t="n">
        <v>907.03609674154</v>
      </c>
      <c r="S30" s="29" t="n">
        <v>14785.48674330061</v>
      </c>
      <c r="T30" s="29" t="n">
        <v>1723.567241247295</v>
      </c>
      <c r="U30" s="29" t="n">
        <v>173.3357843407267</v>
      </c>
      <c r="V30" s="29" t="n">
        <v>53.63208203910921</v>
      </c>
      <c r="W30" s="29" t="n">
        <v>120.6433549285918</v>
      </c>
      <c r="X30" s="29" t="n">
        <v>211.661014005176</v>
      </c>
      <c r="Y30" s="29" t="n">
        <v>1915.367046582452</v>
      </c>
      <c r="Z30" s="29" t="n">
        <v>1049.942792215249</v>
      </c>
      <c r="AA30" s="29" t="n">
        <v>2641.088397910539</v>
      </c>
      <c r="AB30" s="29" t="n">
        <v>2471.151478781263</v>
      </c>
      <c r="AC30" s="29" t="n">
        <v>46.26017344460818</v>
      </c>
      <c r="AD30" s="29" t="n">
        <v>24.49493129798468</v>
      </c>
      <c r="AE30" s="29" t="n">
        <v>1581.021203182733</v>
      </c>
      <c r="AF30" s="29" t="n">
        <v>1398.884979254238</v>
      </c>
      <c r="AG30" s="29" t="n">
        <v>536.0506001331452</v>
      </c>
      <c r="AH30" s="29" t="n">
        <v>442.7722569208939</v>
      </c>
      <c r="AI30" s="29" t="n">
        <v>466.1819402300079</v>
      </c>
      <c r="AJ30" s="29" t="n">
        <v>823.138365211629</v>
      </c>
      <c r="AK30" s="29" t="n">
        <v>100.6035194259208</v>
      </c>
      <c r="AL30" s="29" t="n">
        <v>1136.968747202954</v>
      </c>
      <c r="AM30" s="29" t="n">
        <v>107.5483529262403</v>
      </c>
      <c r="AN30" s="29" t="n">
        <v>99.4889478422875</v>
      </c>
      <c r="AO30" s="29" t="n">
        <v>71.22959211662545</v>
      </c>
      <c r="AP30" s="29" t="n">
        <v>726.381113485216</v>
      </c>
      <c r="AQ30" s="29" t="n">
        <v>866.4390477005584</v>
      </c>
      <c r="AR30" s="29" t="n">
        <v>6968.915777547985</v>
      </c>
      <c r="AS30" s="29" t="n">
        <v>208.8167428493615</v>
      </c>
      <c r="AT30" s="29" t="n">
        <v>59.28497837108865</v>
      </c>
      <c r="AU30" s="29" t="n">
        <v>22.85181382201716</v>
      </c>
      <c r="AV30" s="29" t="n">
        <v>345.7736014348976</v>
      </c>
      <c r="AW30" s="29" t="n">
        <v>235.6241789727889</v>
      </c>
      <c r="AX30" s="29" t="n">
        <v>1403.304206705451</v>
      </c>
      <c r="AY30" s="29" t="n">
        <v>1673.533246454831</v>
      </c>
      <c r="AZ30" s="29" t="n">
        <v>155.2993392424402</v>
      </c>
      <c r="BA30" s="29" t="n">
        <v>101.2472322013844</v>
      </c>
      <c r="BB30" s="29" t="n">
        <v>462.2636070120288</v>
      </c>
      <c r="BC30" s="29" t="n">
        <v>2007.848614170036</v>
      </c>
      <c r="BD30" s="29" t="n">
        <v>367.5018605246253</v>
      </c>
      <c r="BE30" s="29" t="n">
        <v>1846.956826526912</v>
      </c>
      <c r="BF30" s="29" t="n">
        <v>594.5813450745516</v>
      </c>
      <c r="BG30" s="29" t="n">
        <v>686.3885757980372</v>
      </c>
      <c r="BH30" s="29" t="n">
        <v>546.3942276231395</v>
      </c>
      <c r="BI30" s="29" t="n">
        <v>2040.17719668204</v>
      </c>
      <c r="BJ30" s="29" t="n">
        <v>53.79930754897723</v>
      </c>
      <c r="BK30" s="29" t="n">
        <v>1007.832863450163</v>
      </c>
      <c r="BL30" s="29" t="n">
        <v>929.69022741914</v>
      </c>
      <c r="BM30" s="29" t="n">
        <v>511.5506794001262</v>
      </c>
      <c r="BN30" s="29" t="n">
        <v>167.0198236748173</v>
      </c>
      <c r="BO30" s="29" t="n">
        <v>902.1601661546014</v>
      </c>
      <c r="BP30" s="29" t="n">
        <v>83.36505170964088</v>
      </c>
      <c r="BQ30" s="29" t="n">
        <v>673.1618326949483</v>
      </c>
      <c r="BR30" s="29" t="n">
        <v>0</v>
      </c>
      <c r="BS30" s="29">
        <f>SUM(C30:BR30)</f>
        <v/>
      </c>
      <c r="BT30" s="29" t="n">
        <v>0</v>
      </c>
      <c r="BU30" s="29" t="n">
        <v>0</v>
      </c>
      <c r="BV30" s="29" t="n">
        <v>24776.16427274439</v>
      </c>
      <c r="BW30" s="29" t="n">
        <v>0</v>
      </c>
      <c r="BX30" s="29">
        <f>SUM(BT30:BW30)</f>
        <v/>
      </c>
      <c r="BY30" s="29">
        <f>BS30+BX30</f>
        <v/>
      </c>
    </row>
    <row r="31">
      <c r="A31" s="30" t="inlineStr">
        <is>
          <t>1800</t>
        </is>
      </c>
      <c r="B31" s="30" t="inlineStr">
        <is>
          <t>Impressão e reprodução de gravações</t>
        </is>
      </c>
      <c r="C31" s="31" t="n">
        <v>8.892322305622049</v>
      </c>
      <c r="D31" s="31" t="n">
        <v>1.214568199167764</v>
      </c>
      <c r="E31" s="31" t="n">
        <v>4.792158471123306</v>
      </c>
      <c r="F31" s="31" t="n">
        <v>1.787620567227158</v>
      </c>
      <c r="G31" s="31" t="n">
        <v>8.301569053725609</v>
      </c>
      <c r="H31" s="31" t="n">
        <v>14.54669651083362</v>
      </c>
      <c r="I31" s="31" t="n">
        <v>5.870035183212398</v>
      </c>
      <c r="J31" s="31" t="n">
        <v>88.12956204119601</v>
      </c>
      <c r="K31" s="31" t="n">
        <v>18.43285094223552</v>
      </c>
      <c r="L31" s="31" t="n">
        <v>131.1502455459619</v>
      </c>
      <c r="M31" s="31" t="n">
        <v>344.6082344828383</v>
      </c>
      <c r="N31" s="31" t="n">
        <v>3.95815745697356</v>
      </c>
      <c r="O31" s="31" t="n">
        <v>20.40813583001515</v>
      </c>
      <c r="P31" s="31" t="n">
        <v>33.83421565157588</v>
      </c>
      <c r="Q31" s="31" t="n">
        <v>13.2757538282622</v>
      </c>
      <c r="R31" s="31" t="n">
        <v>25.57757756270748</v>
      </c>
      <c r="S31" s="31" t="n">
        <v>235.7656469885089</v>
      </c>
      <c r="T31" s="31" t="n">
        <v>1966.358823803221</v>
      </c>
      <c r="U31" s="31" t="n">
        <v>9.207436923871031</v>
      </c>
      <c r="V31" s="31" t="n">
        <v>10.16299466296045</v>
      </c>
      <c r="W31" s="31" t="n">
        <v>5.737520665825398</v>
      </c>
      <c r="X31" s="31" t="n">
        <v>24.04033698492121</v>
      </c>
      <c r="Y31" s="31" t="n">
        <v>13.33149232168756</v>
      </c>
      <c r="Z31" s="31" t="n">
        <v>19.50331052759615</v>
      </c>
      <c r="AA31" s="31" t="n">
        <v>72.98241416265883</v>
      </c>
      <c r="AB31" s="31" t="n">
        <v>34.38096475028601</v>
      </c>
      <c r="AC31" s="31" t="n">
        <v>20.91764303187715</v>
      </c>
      <c r="AD31" s="31" t="n">
        <v>2.773672152680599</v>
      </c>
      <c r="AE31" s="31" t="n">
        <v>38.15258277946329</v>
      </c>
      <c r="AF31" s="31" t="n">
        <v>1048.149554400634</v>
      </c>
      <c r="AG31" s="31" t="n">
        <v>52.50915220004202</v>
      </c>
      <c r="AH31" s="31" t="n">
        <v>46.85101201453071</v>
      </c>
      <c r="AI31" s="31" t="n">
        <v>47.40684214634337</v>
      </c>
      <c r="AJ31" s="31" t="n">
        <v>45.28171960514319</v>
      </c>
      <c r="AK31" s="31" t="n">
        <v>9.179412840398982</v>
      </c>
      <c r="AL31" s="31" t="n">
        <v>56.80661351338316</v>
      </c>
      <c r="AM31" s="31" t="n">
        <v>27.72247295103204</v>
      </c>
      <c r="AN31" s="31" t="n">
        <v>49.15434720945463</v>
      </c>
      <c r="AO31" s="31" t="n">
        <v>14.54790996719805</v>
      </c>
      <c r="AP31" s="31" t="n">
        <v>99.5139183703119</v>
      </c>
      <c r="AQ31" s="31" t="n">
        <v>158.7946644394306</v>
      </c>
      <c r="AR31" s="31" t="n">
        <v>9057.623213290801</v>
      </c>
      <c r="AS31" s="31" t="n">
        <v>79.78052552586405</v>
      </c>
      <c r="AT31" s="31" t="n">
        <v>2.398291962522981</v>
      </c>
      <c r="AU31" s="31" t="n">
        <v>52.39521633314752</v>
      </c>
      <c r="AV31" s="31" t="n">
        <v>90.81485228614238</v>
      </c>
      <c r="AW31" s="31" t="n">
        <v>9.49691426049713</v>
      </c>
      <c r="AX31" s="31" t="n">
        <v>101.1895481639981</v>
      </c>
      <c r="AY31" s="31" t="n">
        <v>3217.945102245246</v>
      </c>
      <c r="AZ31" s="31" t="n">
        <v>487.277015005331</v>
      </c>
      <c r="BA31" s="31" t="n">
        <v>1154.785481179702</v>
      </c>
      <c r="BB31" s="31" t="n">
        <v>1078.54402226205</v>
      </c>
      <c r="BC31" s="31" t="n">
        <v>2168.296078570289</v>
      </c>
      <c r="BD31" s="31" t="n">
        <v>465.2764764633777</v>
      </c>
      <c r="BE31" s="31" t="n">
        <v>745.8488619881076</v>
      </c>
      <c r="BF31" s="31" t="n">
        <v>412.7882397323997</v>
      </c>
      <c r="BG31" s="31" t="n">
        <v>4271.012241649029</v>
      </c>
      <c r="BH31" s="31" t="n">
        <v>92.56906480728318</v>
      </c>
      <c r="BI31" s="31" t="n">
        <v>1668.479860803533</v>
      </c>
      <c r="BJ31" s="31" t="n">
        <v>3.584200196262999</v>
      </c>
      <c r="BK31" s="31" t="n">
        <v>1504.734437988283</v>
      </c>
      <c r="BL31" s="31" t="n">
        <v>422.6137036169652</v>
      </c>
      <c r="BM31" s="31" t="n">
        <v>37.95507935128367</v>
      </c>
      <c r="BN31" s="31" t="n">
        <v>185.1361462971498</v>
      </c>
      <c r="BO31" s="31" t="n">
        <v>134.3429324180424</v>
      </c>
      <c r="BP31" s="31" t="n">
        <v>509.883053593663</v>
      </c>
      <c r="BQ31" s="31" t="n">
        <v>590.356066653174</v>
      </c>
      <c r="BR31" s="31" t="n">
        <v>0</v>
      </c>
      <c r="BS31" s="31">
        <f>SUM(C31:BR31)</f>
        <v/>
      </c>
      <c r="BT31" s="31" t="n">
        <v>0</v>
      </c>
      <c r="BU31" s="31" t="n">
        <v>0</v>
      </c>
      <c r="BV31" s="31" t="n">
        <v>953.3654863138021</v>
      </c>
      <c r="BW31" s="31" t="n">
        <v>0</v>
      </c>
      <c r="BX31" s="31">
        <f>SUM(BT31:BW31)</f>
        <v/>
      </c>
      <c r="BY31" s="31">
        <f>BS31+BX31</f>
        <v/>
      </c>
    </row>
    <row r="32">
      <c r="A32" s="28" t="inlineStr">
        <is>
          <t>1991</t>
        </is>
      </c>
      <c r="B32" s="28" t="inlineStr">
        <is>
          <t>Refino de petróleo e coquerias</t>
        </is>
      </c>
      <c r="C32" s="29" t="n">
        <v>11407.85570024479</v>
      </c>
      <c r="D32" s="29" t="n">
        <v>4784.750676211223</v>
      </c>
      <c r="E32" s="29" t="n">
        <v>684.5401411660484</v>
      </c>
      <c r="F32" s="29" t="n">
        <v>1249.460711689573</v>
      </c>
      <c r="G32" s="29" t="n">
        <v>3453.623870953154</v>
      </c>
      <c r="H32" s="29" t="n">
        <v>3212.122986890398</v>
      </c>
      <c r="I32" s="29" t="n">
        <v>1437.716601474213</v>
      </c>
      <c r="J32" s="29" t="n">
        <v>3125.203104745554</v>
      </c>
      <c r="K32" s="29" t="n">
        <v>1349.216275401792</v>
      </c>
      <c r="L32" s="29" t="n">
        <v>3760.754570728121</v>
      </c>
      <c r="M32" s="29" t="n">
        <v>817.1510784273012</v>
      </c>
      <c r="N32" s="29" t="n">
        <v>23.95106663695145</v>
      </c>
      <c r="O32" s="29" t="n">
        <v>310.8401782990211</v>
      </c>
      <c r="P32" s="29" t="n">
        <v>120.1233012188807</v>
      </c>
      <c r="Q32" s="29" t="n">
        <v>274.730201743274</v>
      </c>
      <c r="R32" s="29" t="n">
        <v>296.7148123755993</v>
      </c>
      <c r="S32" s="29" t="n">
        <v>1707.867203615373</v>
      </c>
      <c r="T32" s="29" t="n">
        <v>35.91985956893069</v>
      </c>
      <c r="U32" s="29" t="n">
        <v>154533.9541265579</v>
      </c>
      <c r="V32" s="29" t="n">
        <v>898.088333916672</v>
      </c>
      <c r="W32" s="29" t="n">
        <v>24258.34955647586</v>
      </c>
      <c r="X32" s="29" t="n">
        <v>1369.226954922129</v>
      </c>
      <c r="Y32" s="29" t="n">
        <v>681.077012297125</v>
      </c>
      <c r="Z32" s="29" t="n">
        <v>206.3251722777153</v>
      </c>
      <c r="AA32" s="29" t="n">
        <v>2184.000892807276</v>
      </c>
      <c r="AB32" s="29" t="n">
        <v>5335.33710907807</v>
      </c>
      <c r="AC32" s="29" t="n">
        <v>3360.694380651667</v>
      </c>
      <c r="AD32" s="29" t="n">
        <v>2053.539839315259</v>
      </c>
      <c r="AE32" s="29" t="n">
        <v>514.8960127005006</v>
      </c>
      <c r="AF32" s="29" t="n">
        <v>236.6685317279845</v>
      </c>
      <c r="AG32" s="29" t="n">
        <v>974.4876482578965</v>
      </c>
      <c r="AH32" s="29" t="n">
        <v>683.5499407483635</v>
      </c>
      <c r="AI32" s="29" t="n">
        <v>1263.339356456177</v>
      </c>
      <c r="AJ32" s="29" t="n">
        <v>486.4392106145646</v>
      </c>
      <c r="AK32" s="29" t="n">
        <v>215.696902272048</v>
      </c>
      <c r="AL32" s="29" t="n">
        <v>336.1326021042384</v>
      </c>
      <c r="AM32" s="29" t="n">
        <v>380.9323055754317</v>
      </c>
      <c r="AN32" s="29" t="n">
        <v>9600.320594403051</v>
      </c>
      <c r="AO32" s="29" t="n">
        <v>1090.881839358928</v>
      </c>
      <c r="AP32" s="29" t="n">
        <v>12282.78172516306</v>
      </c>
      <c r="AQ32" s="29" t="n">
        <v>1366.504020872033</v>
      </c>
      <c r="AR32" s="29" t="n">
        <v>17089.96567761148</v>
      </c>
      <c r="AS32" s="29" t="n">
        <v>73033.08892578819</v>
      </c>
      <c r="AT32" s="29" t="n">
        <v>1596.729005662773</v>
      </c>
      <c r="AU32" s="29" t="n">
        <v>13665.31550115062</v>
      </c>
      <c r="AV32" s="29" t="n">
        <v>1946.883289134954</v>
      </c>
      <c r="AW32" s="29" t="n">
        <v>109.5507775008224</v>
      </c>
      <c r="AX32" s="29" t="n">
        <v>2147.681867070017</v>
      </c>
      <c r="AY32" s="29" t="n">
        <v>55.90917909895353</v>
      </c>
      <c r="AZ32" s="29" t="n">
        <v>90.22433909143675</v>
      </c>
      <c r="BA32" s="29" t="n">
        <v>179.0318570200753</v>
      </c>
      <c r="BB32" s="29" t="n">
        <v>220.5405406950404</v>
      </c>
      <c r="BC32" s="29" t="n">
        <v>967.4042355532633</v>
      </c>
      <c r="BD32" s="29" t="n">
        <v>145.0191872964386</v>
      </c>
      <c r="BE32" s="29" t="n">
        <v>811.9457204739422</v>
      </c>
      <c r="BF32" s="29" t="n">
        <v>755.4659425592838</v>
      </c>
      <c r="BG32" s="29" t="n">
        <v>181.0601508364883</v>
      </c>
      <c r="BH32" s="29" t="n">
        <v>1009.857979835781</v>
      </c>
      <c r="BI32" s="29" t="n">
        <v>809.501486414679</v>
      </c>
      <c r="BJ32" s="29" t="n">
        <v>503.7759810223494</v>
      </c>
      <c r="BK32" s="29" t="n">
        <v>3236.36834312885</v>
      </c>
      <c r="BL32" s="29" t="n">
        <v>483.188148134809</v>
      </c>
      <c r="BM32" s="29" t="n">
        <v>140.9022285226807</v>
      </c>
      <c r="BN32" s="29" t="n">
        <v>140.636943619106</v>
      </c>
      <c r="BO32" s="29" t="n">
        <v>402.5008739130359</v>
      </c>
      <c r="BP32" s="29" t="n">
        <v>202.785195326303</v>
      </c>
      <c r="BQ32" s="29" t="n">
        <v>821.8988672379483</v>
      </c>
      <c r="BR32" s="29" t="n">
        <v>0</v>
      </c>
      <c r="BS32" s="29">
        <f>SUM(C32:BR32)</f>
        <v/>
      </c>
      <c r="BT32" s="29" t="n">
        <v>0</v>
      </c>
      <c r="BU32" s="29" t="n">
        <v>0</v>
      </c>
      <c r="BV32" s="29" t="n">
        <v>106469.4171366018</v>
      </c>
      <c r="BW32" s="29" t="n">
        <v>0</v>
      </c>
      <c r="BX32" s="29">
        <f>SUM(BT32:BW32)</f>
        <v/>
      </c>
      <c r="BY32" s="29">
        <f>BS32+BX32</f>
        <v/>
      </c>
    </row>
    <row r="33">
      <c r="A33" s="30" t="inlineStr">
        <is>
          <t>1992</t>
        </is>
      </c>
      <c r="B33" s="30" t="inlineStr">
        <is>
          <t>Fabricação de biocombustíveis</t>
        </is>
      </c>
      <c r="C33" s="31" t="n">
        <v>81.41994656667129</v>
      </c>
      <c r="D33" s="31" t="n">
        <v>72.77882112969445</v>
      </c>
      <c r="E33" s="31" t="n">
        <v>4.095609532732714</v>
      </c>
      <c r="F33" s="31" t="n">
        <v>2.940578610727929</v>
      </c>
      <c r="G33" s="31" t="n">
        <v>379.8841590408073</v>
      </c>
      <c r="H33" s="31" t="n">
        <v>2.052550448384271</v>
      </c>
      <c r="I33" s="31" t="n">
        <v>0.6784183196361436</v>
      </c>
      <c r="J33" s="31" t="n">
        <v>108.7973021465009</v>
      </c>
      <c r="K33" s="31" t="n">
        <v>394.7314547537126</v>
      </c>
      <c r="L33" s="31" t="n">
        <v>1147.068121088773</v>
      </c>
      <c r="M33" s="31" t="n">
        <v>262.5677440217102</v>
      </c>
      <c r="N33" s="31" t="n">
        <v>0.03402056874265852</v>
      </c>
      <c r="O33" s="31" t="n">
        <v>2.679672105265382</v>
      </c>
      <c r="P33" s="31" t="n">
        <v>0.690941110148285</v>
      </c>
      <c r="Q33" s="31" t="n">
        <v>1.627182109523701</v>
      </c>
      <c r="R33" s="31" t="n">
        <v>0.1614739643510442</v>
      </c>
      <c r="S33" s="31" t="n">
        <v>5.773419911374651</v>
      </c>
      <c r="T33" s="31" t="n">
        <v>0.09995008838433561</v>
      </c>
      <c r="U33" s="31" t="n">
        <v>15092.20045908739</v>
      </c>
      <c r="V33" s="31" t="n">
        <v>346.0525250569249</v>
      </c>
      <c r="W33" s="31" t="n">
        <v>268.5536318753943</v>
      </c>
      <c r="X33" s="31" t="n">
        <v>309.249254962541</v>
      </c>
      <c r="Y33" s="31" t="n">
        <v>970.8771802488409</v>
      </c>
      <c r="Z33" s="31" t="n">
        <v>557.7666501545973</v>
      </c>
      <c r="AA33" s="31" t="n">
        <v>5.085053050000862</v>
      </c>
      <c r="AB33" s="31" t="n">
        <v>0.4924973642632726</v>
      </c>
      <c r="AC33" s="31" t="n">
        <v>1.593465737554478</v>
      </c>
      <c r="AD33" s="31" t="n">
        <v>0.8251247442288215</v>
      </c>
      <c r="AE33" s="31" t="n">
        <v>31.08403984104192</v>
      </c>
      <c r="AF33" s="31" t="n">
        <v>0.3302259514271841</v>
      </c>
      <c r="AG33" s="31" t="n">
        <v>2.498203111554285</v>
      </c>
      <c r="AH33" s="31" t="n">
        <v>15.12147667975245</v>
      </c>
      <c r="AI33" s="31" t="n">
        <v>10.84976839608358</v>
      </c>
      <c r="AJ33" s="31" t="n">
        <v>0.7171330848734987</v>
      </c>
      <c r="AK33" s="31" t="n">
        <v>0.9299674765690691</v>
      </c>
      <c r="AL33" s="31" t="n">
        <v>2.447436654333705</v>
      </c>
      <c r="AM33" s="31" t="n">
        <v>5.873554326893364</v>
      </c>
      <c r="AN33" s="31" t="n">
        <v>3.81370204700944</v>
      </c>
      <c r="AO33" s="31" t="n">
        <v>2.812136320286278</v>
      </c>
      <c r="AP33" s="31" t="n">
        <v>283.7598041564117</v>
      </c>
      <c r="AQ33" s="31" t="n">
        <v>85.99250443856184</v>
      </c>
      <c r="AR33" s="31" t="n">
        <v>147.3990255603141</v>
      </c>
      <c r="AS33" s="31" t="n">
        <v>520.4964186064376</v>
      </c>
      <c r="AT33" s="31" t="n">
        <v>0.1774784384904458</v>
      </c>
      <c r="AU33" s="31" t="n">
        <v>0.06732116313224332</v>
      </c>
      <c r="AV33" s="31" t="n">
        <v>36.13089528291861</v>
      </c>
      <c r="AW33" s="31" t="n">
        <v>1.781922741778168</v>
      </c>
      <c r="AX33" s="31" t="n">
        <v>247.5140068134569</v>
      </c>
      <c r="AY33" s="31" t="n">
        <v>0.2333960364454026</v>
      </c>
      <c r="AZ33" s="31" t="n">
        <v>0.896655158587387</v>
      </c>
      <c r="BA33" s="31" t="n">
        <v>1.732294090501098</v>
      </c>
      <c r="BB33" s="31" t="n">
        <v>0.5933986359922055</v>
      </c>
      <c r="BC33" s="31" t="n">
        <v>2.3161324721636</v>
      </c>
      <c r="BD33" s="31" t="n">
        <v>0.7382429823120285</v>
      </c>
      <c r="BE33" s="31" t="n">
        <v>2.124677869481979</v>
      </c>
      <c r="BF33" s="31" t="n">
        <v>50.7645067634644</v>
      </c>
      <c r="BG33" s="31" t="n">
        <v>15.26838373412567</v>
      </c>
      <c r="BH33" s="31" t="n">
        <v>0.6539005845195871</v>
      </c>
      <c r="BI33" s="31" t="n">
        <v>5.516667998948882</v>
      </c>
      <c r="BJ33" s="31" t="n">
        <v>51.5526418824937</v>
      </c>
      <c r="BK33" s="31" t="n">
        <v>550.2722277024691</v>
      </c>
      <c r="BL33" s="31" t="n">
        <v>97.09515071853889</v>
      </c>
      <c r="BM33" s="31" t="n">
        <v>3.109381595730445</v>
      </c>
      <c r="BN33" s="31" t="n">
        <v>36.5952199896462</v>
      </c>
      <c r="BO33" s="31" t="n">
        <v>36.60396088246679</v>
      </c>
      <c r="BP33" s="31" t="n">
        <v>1.770793758617544</v>
      </c>
      <c r="BQ33" s="31" t="n">
        <v>88.56267335675919</v>
      </c>
      <c r="BR33" s="31" t="n">
        <v>0</v>
      </c>
      <c r="BS33" s="31">
        <f>SUM(C33:BR33)</f>
        <v/>
      </c>
      <c r="BT33" s="31" t="n">
        <v>0</v>
      </c>
      <c r="BU33" s="31" t="n">
        <v>0</v>
      </c>
      <c r="BV33" s="31" t="n">
        <v>18680.43650768257</v>
      </c>
      <c r="BW33" s="31" t="n">
        <v>0</v>
      </c>
      <c r="BX33" s="31">
        <f>SUM(BT33:BW33)</f>
        <v/>
      </c>
      <c r="BY33" s="31">
        <f>BS33+BX33</f>
        <v/>
      </c>
    </row>
    <row r="34">
      <c r="A34" s="28" t="inlineStr">
        <is>
          <t>2091</t>
        </is>
      </c>
      <c r="B34" s="28" t="inlineStr">
        <is>
          <t>Fabricação de químicos orgânicos e inorgânicos, resinas e elastômeros</t>
        </is>
      </c>
      <c r="C34" s="29" t="n">
        <v>42107.21259586817</v>
      </c>
      <c r="D34" s="29" t="n">
        <v>4747.276884901767</v>
      </c>
      <c r="E34" s="29" t="n">
        <v>344.4042412956782</v>
      </c>
      <c r="F34" s="29" t="n">
        <v>339.6025655836409</v>
      </c>
      <c r="G34" s="29" t="n">
        <v>4770.155201520243</v>
      </c>
      <c r="H34" s="29" t="n">
        <v>323.7037527747229</v>
      </c>
      <c r="I34" s="29" t="n">
        <v>227.7413225441883</v>
      </c>
      <c r="J34" s="29" t="n">
        <v>639.3683778049804</v>
      </c>
      <c r="K34" s="29" t="n">
        <v>350.8636982256181</v>
      </c>
      <c r="L34" s="29" t="n">
        <v>1406.6438455563</v>
      </c>
      <c r="M34" s="29" t="n">
        <v>190.3300927553403</v>
      </c>
      <c r="N34" s="29" t="n">
        <v>27.36534248367224</v>
      </c>
      <c r="O34" s="29" t="n">
        <v>6180.773608512201</v>
      </c>
      <c r="P34" s="29" t="n">
        <v>261.981893949928</v>
      </c>
      <c r="Q34" s="29" t="n">
        <v>2576.177892299087</v>
      </c>
      <c r="R34" s="29" t="n">
        <v>773.7872863767464</v>
      </c>
      <c r="S34" s="29" t="n">
        <v>6045.368888443392</v>
      </c>
      <c r="T34" s="29" t="n">
        <v>116.7825706448889</v>
      </c>
      <c r="U34" s="29" t="n">
        <v>2975.606280105283</v>
      </c>
      <c r="V34" s="29" t="n">
        <v>939.8678728941157</v>
      </c>
      <c r="W34" s="29" t="n">
        <v>53106.32436613338</v>
      </c>
      <c r="X34" s="29" t="n">
        <v>19557.82390875858</v>
      </c>
      <c r="Y34" s="29" t="n">
        <v>7407.762599273277</v>
      </c>
      <c r="Z34" s="29" t="n">
        <v>2729.815171903408</v>
      </c>
      <c r="AA34" s="29" t="n">
        <v>23973.35081752868</v>
      </c>
      <c r="AB34" s="29" t="n">
        <v>4442.794635868397</v>
      </c>
      <c r="AC34" s="29" t="n">
        <v>1367.434986125625</v>
      </c>
      <c r="AD34" s="29" t="n">
        <v>1664.587381348412</v>
      </c>
      <c r="AE34" s="29" t="n">
        <v>2325.330930405672</v>
      </c>
      <c r="AF34" s="29" t="n">
        <v>252.1289743443967</v>
      </c>
      <c r="AG34" s="29" t="n">
        <v>4185.486544375668</v>
      </c>
      <c r="AH34" s="29" t="n">
        <v>442.8409988400296</v>
      </c>
      <c r="AI34" s="29" t="n">
        <v>220.3386888991542</v>
      </c>
      <c r="AJ34" s="29" t="n">
        <v>1735.291079868423</v>
      </c>
      <c r="AK34" s="29" t="n">
        <v>900.0665052559895</v>
      </c>
      <c r="AL34" s="29" t="n">
        <v>2782.379149103991</v>
      </c>
      <c r="AM34" s="29" t="n">
        <v>326.8053731305226</v>
      </c>
      <c r="AN34" s="29" t="n">
        <v>272.2464622287391</v>
      </c>
      <c r="AO34" s="29" t="n">
        <v>1189.226203682754</v>
      </c>
      <c r="AP34" s="29" t="n">
        <v>668.9890939218282</v>
      </c>
      <c r="AQ34" s="29" t="n">
        <v>85.24444302877509</v>
      </c>
      <c r="AR34" s="29" t="n">
        <v>1375.849573662497</v>
      </c>
      <c r="AS34" s="29" t="n">
        <v>113.5236449791446</v>
      </c>
      <c r="AT34" s="29" t="n">
        <v>3.775156968034071</v>
      </c>
      <c r="AU34" s="29" t="n">
        <v>1.923426163654378</v>
      </c>
      <c r="AV34" s="29" t="n">
        <v>40.97243513447576</v>
      </c>
      <c r="AW34" s="29" t="n">
        <v>23.85953279690948</v>
      </c>
      <c r="AX34" s="29" t="n">
        <v>124.2013953861487</v>
      </c>
      <c r="AY34" s="29" t="n">
        <v>7.202437109158457</v>
      </c>
      <c r="AZ34" s="29" t="n">
        <v>10.07356166408896</v>
      </c>
      <c r="BA34" s="29" t="n">
        <v>40.43018445740495</v>
      </c>
      <c r="BB34" s="29" t="n">
        <v>19.44815705182187</v>
      </c>
      <c r="BC34" s="29" t="n">
        <v>68.38412599325086</v>
      </c>
      <c r="BD34" s="29" t="n">
        <v>55.02142738667088</v>
      </c>
      <c r="BE34" s="29" t="n">
        <v>69.26788174780998</v>
      </c>
      <c r="BF34" s="29" t="n">
        <v>87.75668927767846</v>
      </c>
      <c r="BG34" s="29" t="n">
        <v>27.28449894106134</v>
      </c>
      <c r="BH34" s="29" t="n">
        <v>25.24735726140482</v>
      </c>
      <c r="BI34" s="29" t="n">
        <v>122.8850170218898</v>
      </c>
      <c r="BJ34" s="29" t="n">
        <v>3.952939480698487</v>
      </c>
      <c r="BK34" s="29" t="n">
        <v>94.38929393168793</v>
      </c>
      <c r="BL34" s="29" t="n">
        <v>124.6781578447872</v>
      </c>
      <c r="BM34" s="29" t="n">
        <v>52.30238888998427</v>
      </c>
      <c r="BN34" s="29" t="n">
        <v>465.1386042509125</v>
      </c>
      <c r="BO34" s="29" t="n">
        <v>1047.515545211352</v>
      </c>
      <c r="BP34" s="29" t="n">
        <v>55.784747705331</v>
      </c>
      <c r="BQ34" s="29" t="n">
        <v>561.3107075033372</v>
      </c>
      <c r="BR34" s="29" t="n">
        <v>0</v>
      </c>
      <c r="BS34" s="29">
        <f>SUM(C34:BR34)</f>
        <v/>
      </c>
      <c r="BT34" s="29" t="n">
        <v>0</v>
      </c>
      <c r="BU34" s="29" t="n">
        <v>0</v>
      </c>
      <c r="BV34" s="29" t="n">
        <v>16394.9780956835</v>
      </c>
      <c r="BW34" s="29" t="n">
        <v>0</v>
      </c>
      <c r="BX34" s="29">
        <f>SUM(BT34:BW34)</f>
        <v/>
      </c>
      <c r="BY34" s="29">
        <f>BS34+BX34</f>
        <v/>
      </c>
    </row>
    <row r="35">
      <c r="A35" s="30" t="inlineStr">
        <is>
          <t>2092</t>
        </is>
      </c>
      <c r="B35" s="30" t="inlineStr">
        <is>
          <t>Fabricação de defensivos, desinfestantes, tintas e químicos diversos</t>
        </is>
      </c>
      <c r="C35" s="31" t="n">
        <v>27237.81804186615</v>
      </c>
      <c r="D35" s="31" t="n">
        <v>3211.124249616857</v>
      </c>
      <c r="E35" s="31" t="n">
        <v>106.3042931820711</v>
      </c>
      <c r="F35" s="31" t="n">
        <v>2546.78052573403</v>
      </c>
      <c r="G35" s="31" t="n">
        <v>532.4539272472059</v>
      </c>
      <c r="H35" s="31" t="n">
        <v>246.4742382002996</v>
      </c>
      <c r="I35" s="31" t="n">
        <v>173.7900551051207</v>
      </c>
      <c r="J35" s="31" t="n">
        <v>1142.24366940247</v>
      </c>
      <c r="K35" s="31" t="n">
        <v>61.95693866778088</v>
      </c>
      <c r="L35" s="31" t="n">
        <v>3070.293249833419</v>
      </c>
      <c r="M35" s="31" t="n">
        <v>166.4394145438346</v>
      </c>
      <c r="N35" s="31" t="n">
        <v>9.115739419579004</v>
      </c>
      <c r="O35" s="31" t="n">
        <v>606.8887629359449</v>
      </c>
      <c r="P35" s="31" t="n">
        <v>69.77455812672885</v>
      </c>
      <c r="Q35" s="31" t="n">
        <v>373.8578048822804</v>
      </c>
      <c r="R35" s="31" t="n">
        <v>882.9404421320347</v>
      </c>
      <c r="S35" s="31" t="n">
        <v>2164.08515626471</v>
      </c>
      <c r="T35" s="31" t="n">
        <v>1258.009348628562</v>
      </c>
      <c r="U35" s="31" t="n">
        <v>800.2011348647817</v>
      </c>
      <c r="V35" s="31" t="n">
        <v>188.7939511271915</v>
      </c>
      <c r="W35" s="31" t="n">
        <v>2654.566720007781</v>
      </c>
      <c r="X35" s="31" t="n">
        <v>9836.31319898549</v>
      </c>
      <c r="Y35" s="31" t="n">
        <v>2425.381951504668</v>
      </c>
      <c r="Z35" s="31" t="n">
        <v>1170.498659109672</v>
      </c>
      <c r="AA35" s="31" t="n">
        <v>4534.232932331624</v>
      </c>
      <c r="AB35" s="31" t="n">
        <v>1683.543176454596</v>
      </c>
      <c r="AC35" s="31" t="n">
        <v>502.9767798562701</v>
      </c>
      <c r="AD35" s="31" t="n">
        <v>127.1363530519264</v>
      </c>
      <c r="AE35" s="31" t="n">
        <v>1027.16843614561</v>
      </c>
      <c r="AF35" s="31" t="n">
        <v>463.5337230932201</v>
      </c>
      <c r="AG35" s="31" t="n">
        <v>417.1075525513245</v>
      </c>
      <c r="AH35" s="31" t="n">
        <v>330.1913626953119</v>
      </c>
      <c r="AI35" s="31" t="n">
        <v>889.0648081316328</v>
      </c>
      <c r="AJ35" s="31" t="n">
        <v>373.2256149922275</v>
      </c>
      <c r="AK35" s="31" t="n">
        <v>266.3259791875836</v>
      </c>
      <c r="AL35" s="31" t="n">
        <v>868.8574667848029</v>
      </c>
      <c r="AM35" s="31" t="n">
        <v>828.6276946307328</v>
      </c>
      <c r="AN35" s="31" t="n">
        <v>187.5021922418788</v>
      </c>
      <c r="AO35" s="31" t="n">
        <v>403.1140133975216</v>
      </c>
      <c r="AP35" s="31" t="n">
        <v>10829.03247700294</v>
      </c>
      <c r="AQ35" s="31" t="n">
        <v>1458.398730610704</v>
      </c>
      <c r="AR35" s="31" t="n">
        <v>2103.980278386592</v>
      </c>
      <c r="AS35" s="31" t="n">
        <v>341.3120896528773</v>
      </c>
      <c r="AT35" s="31" t="n">
        <v>1.070126220868298</v>
      </c>
      <c r="AU35" s="31" t="n">
        <v>5.492187584879799</v>
      </c>
      <c r="AV35" s="31" t="n">
        <v>59.35367713595536</v>
      </c>
      <c r="AW35" s="31" t="n">
        <v>30.095111178241</v>
      </c>
      <c r="AX35" s="31" t="n">
        <v>52.78508055633208</v>
      </c>
      <c r="AY35" s="31" t="n">
        <v>226.8202278611552</v>
      </c>
      <c r="AZ35" s="31" t="n">
        <v>153.6127304821528</v>
      </c>
      <c r="BA35" s="31" t="n">
        <v>21.99247555735842</v>
      </c>
      <c r="BB35" s="31" t="n">
        <v>12.00840156047588</v>
      </c>
      <c r="BC35" s="31" t="n">
        <v>64.96305554416028</v>
      </c>
      <c r="BD35" s="31" t="n">
        <v>1314.94635811136</v>
      </c>
      <c r="BE35" s="31" t="n">
        <v>35.19951890811616</v>
      </c>
      <c r="BF35" s="31" t="n">
        <v>57.6127649948354</v>
      </c>
      <c r="BG35" s="31" t="n">
        <v>48.84581531069102</v>
      </c>
      <c r="BH35" s="31" t="n">
        <v>34.26660341042114</v>
      </c>
      <c r="BI35" s="31" t="n">
        <v>1925.603187094423</v>
      </c>
      <c r="BJ35" s="31" t="n">
        <v>2.446917010844372</v>
      </c>
      <c r="BK35" s="31" t="n">
        <v>283.5099423414266</v>
      </c>
      <c r="BL35" s="31" t="n">
        <v>419.4588792977453</v>
      </c>
      <c r="BM35" s="31" t="n">
        <v>25.9659052266997</v>
      </c>
      <c r="BN35" s="31" t="n">
        <v>890.3297309383238</v>
      </c>
      <c r="BO35" s="31" t="n">
        <v>85.33332488558787</v>
      </c>
      <c r="BP35" s="31" t="n">
        <v>46.91996248811548</v>
      </c>
      <c r="BQ35" s="31" t="n">
        <v>167.8095381020588</v>
      </c>
      <c r="BR35" s="31" t="n">
        <v>0</v>
      </c>
      <c r="BS35" s="31">
        <f>SUM(C35:BR35)</f>
        <v/>
      </c>
      <c r="BT35" s="31" t="n">
        <v>0</v>
      </c>
      <c r="BU35" s="31" t="n">
        <v>0</v>
      </c>
      <c r="BV35" s="31" t="n">
        <v>7923.382303971081</v>
      </c>
      <c r="BW35" s="31" t="n">
        <v>0</v>
      </c>
      <c r="BX35" s="31">
        <f>SUM(BT35:BW35)</f>
        <v/>
      </c>
      <c r="BY35" s="31">
        <f>BS35+BX35</f>
        <v/>
      </c>
    </row>
    <row r="36">
      <c r="A36" s="28" t="inlineStr">
        <is>
          <t>2093</t>
        </is>
      </c>
      <c r="B36" s="28" t="inlineStr">
        <is>
          <t>Fabricação de produtos de limpeza, cosméticos/perfumaria e higiene pessoal</t>
        </is>
      </c>
      <c r="C36" s="29" t="n">
        <v>962.6058026486332</v>
      </c>
      <c r="D36" s="29" t="n">
        <v>160.7738091968578</v>
      </c>
      <c r="E36" s="29" t="n">
        <v>4.817871694672467</v>
      </c>
      <c r="F36" s="29" t="n">
        <v>23.25308004095836</v>
      </c>
      <c r="G36" s="29" t="n">
        <v>136.2128256005532</v>
      </c>
      <c r="H36" s="29" t="n">
        <v>76.870014430778</v>
      </c>
      <c r="I36" s="29" t="n">
        <v>21.93224684880862</v>
      </c>
      <c r="J36" s="29" t="n">
        <v>150.85561765355</v>
      </c>
      <c r="K36" s="29" t="n">
        <v>23.75740626907876</v>
      </c>
      <c r="L36" s="29" t="n">
        <v>365.4623353290804</v>
      </c>
      <c r="M36" s="29" t="n">
        <v>53.32092103134184</v>
      </c>
      <c r="N36" s="29" t="n">
        <v>11.19204239508424</v>
      </c>
      <c r="O36" s="29" t="n">
        <v>87.08792605329427</v>
      </c>
      <c r="P36" s="29" t="n">
        <v>112.6751857133167</v>
      </c>
      <c r="Q36" s="29" t="n">
        <v>34.91937193856537</v>
      </c>
      <c r="R36" s="29" t="n">
        <v>42.51276627891025</v>
      </c>
      <c r="S36" s="29" t="n">
        <v>212.5665680097485</v>
      </c>
      <c r="T36" s="29" t="n">
        <v>28.94003285991612</v>
      </c>
      <c r="U36" s="29" t="n">
        <v>154.823941114995</v>
      </c>
      <c r="V36" s="29" t="n">
        <v>15.66290319792648</v>
      </c>
      <c r="W36" s="29" t="n">
        <v>487.3261227780636</v>
      </c>
      <c r="X36" s="29" t="n">
        <v>531.3423578160405</v>
      </c>
      <c r="Y36" s="29" t="n">
        <v>2115.255956814173</v>
      </c>
      <c r="Z36" s="29" t="n">
        <v>80.26086774270962</v>
      </c>
      <c r="AA36" s="29" t="n">
        <v>139.8972814441327</v>
      </c>
      <c r="AB36" s="29" t="n">
        <v>153.4708674397547</v>
      </c>
      <c r="AC36" s="29" t="n">
        <v>48.32606341318933</v>
      </c>
      <c r="AD36" s="29" t="n">
        <v>69.19513559348854</v>
      </c>
      <c r="AE36" s="29" t="n">
        <v>718.3878839671163</v>
      </c>
      <c r="AF36" s="29" t="n">
        <v>89.59729513916938</v>
      </c>
      <c r="AG36" s="29" t="n">
        <v>40.1174627669656</v>
      </c>
      <c r="AH36" s="29" t="n">
        <v>111.0273777839385</v>
      </c>
      <c r="AI36" s="29" t="n">
        <v>72.61318405105365</v>
      </c>
      <c r="AJ36" s="29" t="n">
        <v>62.01380530877292</v>
      </c>
      <c r="AK36" s="29" t="n">
        <v>25.95990780565008</v>
      </c>
      <c r="AL36" s="29" t="n">
        <v>66.06427455079337</v>
      </c>
      <c r="AM36" s="29" t="n">
        <v>27.59614950339429</v>
      </c>
      <c r="AN36" s="29" t="n">
        <v>37.71349246457203</v>
      </c>
      <c r="AO36" s="29" t="n">
        <v>78.07181439638615</v>
      </c>
      <c r="AP36" s="29" t="n">
        <v>388.7997643544223</v>
      </c>
      <c r="AQ36" s="29" t="n">
        <v>293.6138633839345</v>
      </c>
      <c r="AR36" s="29" t="n">
        <v>3180.697755220021</v>
      </c>
      <c r="AS36" s="29" t="n">
        <v>436.8223147691084</v>
      </c>
      <c r="AT36" s="29" t="n">
        <v>15.0469703140992</v>
      </c>
      <c r="AU36" s="29" t="n">
        <v>1.276796789297073</v>
      </c>
      <c r="AV36" s="29" t="n">
        <v>146.6372906102864</v>
      </c>
      <c r="AW36" s="29" t="n">
        <v>119.0702247157842</v>
      </c>
      <c r="AX36" s="29" t="n">
        <v>139.158608303622</v>
      </c>
      <c r="AY36" s="29" t="n">
        <v>37.09243153947131</v>
      </c>
      <c r="AZ36" s="29" t="n">
        <v>78.70871822264259</v>
      </c>
      <c r="BA36" s="29" t="n">
        <v>199.5477692166328</v>
      </c>
      <c r="BB36" s="29" t="n">
        <v>20.16111714819645</v>
      </c>
      <c r="BC36" s="29" t="n">
        <v>58.92620111661905</v>
      </c>
      <c r="BD36" s="29" t="n">
        <v>15.11282023773003</v>
      </c>
      <c r="BE36" s="29" t="n">
        <v>405.3994589692109</v>
      </c>
      <c r="BF36" s="29" t="n">
        <v>193.0433140378209</v>
      </c>
      <c r="BG36" s="29" t="n">
        <v>399.4324453514263</v>
      </c>
      <c r="BH36" s="29" t="n">
        <v>183.2842028106197</v>
      </c>
      <c r="BI36" s="29" t="n">
        <v>2402.253415007987</v>
      </c>
      <c r="BJ36" s="29" t="n">
        <v>3.755994899976092</v>
      </c>
      <c r="BK36" s="29" t="n">
        <v>338.5032585372234</v>
      </c>
      <c r="BL36" s="29" t="n">
        <v>311.6277314765072</v>
      </c>
      <c r="BM36" s="29" t="n">
        <v>201.8303903313155</v>
      </c>
      <c r="BN36" s="29" t="n">
        <v>170.336072157163</v>
      </c>
      <c r="BO36" s="29" t="n">
        <v>1161.299001650863</v>
      </c>
      <c r="BP36" s="29" t="n">
        <v>306.4513349290684</v>
      </c>
      <c r="BQ36" s="29" t="n">
        <v>1726.226842259965</v>
      </c>
      <c r="BR36" s="29" t="n">
        <v>0</v>
      </c>
      <c r="BS36" s="29">
        <f>SUM(C36:BR36)</f>
        <v/>
      </c>
      <c r="BT36" s="29" t="n">
        <v>0</v>
      </c>
      <c r="BU36" s="29" t="n">
        <v>0</v>
      </c>
      <c r="BV36" s="29" t="n">
        <v>30389.09653380688</v>
      </c>
      <c r="BW36" s="29" t="n">
        <v>0</v>
      </c>
      <c r="BX36" s="29">
        <f>SUM(BT36:BW36)</f>
        <v/>
      </c>
      <c r="BY36" s="29">
        <f>BS36+BX36</f>
        <v/>
      </c>
    </row>
    <row r="37">
      <c r="A37" s="30" t="inlineStr">
        <is>
          <t>2100</t>
        </is>
      </c>
      <c r="B37" s="30" t="inlineStr">
        <is>
          <t>Fabricação de produtos farmoquímicos e farmacêuticos</t>
        </is>
      </c>
      <c r="C37" s="31" t="n">
        <v>663.394831330082</v>
      </c>
      <c r="D37" s="31" t="n">
        <v>4082.029187878765</v>
      </c>
      <c r="E37" s="31" t="n">
        <v>24.51128759454597</v>
      </c>
      <c r="F37" s="31" t="n">
        <v>1.514730177221715</v>
      </c>
      <c r="G37" s="31" t="n">
        <v>397.4474441161841</v>
      </c>
      <c r="H37" s="31" t="n">
        <v>7.526275158519615</v>
      </c>
      <c r="I37" s="31" t="n">
        <v>2.104299108458846</v>
      </c>
      <c r="J37" s="31" t="n">
        <v>51.10634499737446</v>
      </c>
      <c r="K37" s="31" t="n">
        <v>1.792369187722665</v>
      </c>
      <c r="L37" s="31" t="n">
        <v>397.3923597457509</v>
      </c>
      <c r="M37" s="31" t="n">
        <v>5.298757748347772</v>
      </c>
      <c r="N37" s="31" t="n">
        <v>0.7739229968144938</v>
      </c>
      <c r="O37" s="31" t="n">
        <v>22.51023254713306</v>
      </c>
      <c r="P37" s="31" t="n">
        <v>50.83237168801814</v>
      </c>
      <c r="Q37" s="31" t="n">
        <v>20.62421035754162</v>
      </c>
      <c r="R37" s="31" t="n">
        <v>2.074752746446981</v>
      </c>
      <c r="S37" s="31" t="n">
        <v>26.36406231103823</v>
      </c>
      <c r="T37" s="31" t="n">
        <v>1.402302431863267</v>
      </c>
      <c r="U37" s="31" t="n">
        <v>2.501764222620551</v>
      </c>
      <c r="V37" s="31" t="n">
        <v>9.456184745537131</v>
      </c>
      <c r="W37" s="31" t="n">
        <v>266.3973066789793</v>
      </c>
      <c r="X37" s="31" t="n">
        <v>494.0490500049422</v>
      </c>
      <c r="Y37" s="31" t="n">
        <v>82.69769681811444</v>
      </c>
      <c r="Z37" s="31" t="n">
        <v>6160.591485377239</v>
      </c>
      <c r="AA37" s="31" t="n">
        <v>52.91172737089293</v>
      </c>
      <c r="AB37" s="31" t="n">
        <v>14.45723134917867</v>
      </c>
      <c r="AC37" s="31" t="n">
        <v>8.455645883237693</v>
      </c>
      <c r="AD37" s="31" t="n">
        <v>7.295303661055683</v>
      </c>
      <c r="AE37" s="31" t="n">
        <v>18.79208186270251</v>
      </c>
      <c r="AF37" s="31" t="n">
        <v>4.822769300534869</v>
      </c>
      <c r="AG37" s="31" t="n">
        <v>8.96615564762833</v>
      </c>
      <c r="AH37" s="31" t="n">
        <v>36.13098572771996</v>
      </c>
      <c r="AI37" s="31" t="n">
        <v>23.1166018586912</v>
      </c>
      <c r="AJ37" s="31" t="n">
        <v>7.276286236183301</v>
      </c>
      <c r="AK37" s="31" t="n">
        <v>3.399827903882835</v>
      </c>
      <c r="AL37" s="31" t="n">
        <v>32.20765557759232</v>
      </c>
      <c r="AM37" s="31" t="n">
        <v>9.360216479831323</v>
      </c>
      <c r="AN37" s="31" t="n">
        <v>6.921294366819485</v>
      </c>
      <c r="AO37" s="31" t="n">
        <v>5.980755885401777</v>
      </c>
      <c r="AP37" s="31" t="n">
        <v>45.26121572462768</v>
      </c>
      <c r="AQ37" s="31" t="n">
        <v>13.81093648317435</v>
      </c>
      <c r="AR37" s="31" t="n">
        <v>515.473565410756</v>
      </c>
      <c r="AS37" s="31" t="n">
        <v>14.71049361467415</v>
      </c>
      <c r="AT37" s="31" t="n">
        <v>3.048976154120275</v>
      </c>
      <c r="AU37" s="31" t="n">
        <v>0.8477276196709626</v>
      </c>
      <c r="AV37" s="31" t="n">
        <v>11.56159090858987</v>
      </c>
      <c r="AW37" s="31" t="n">
        <v>5.587796077463407</v>
      </c>
      <c r="AX37" s="31" t="n">
        <v>27.15641710461847</v>
      </c>
      <c r="AY37" s="31" t="n">
        <v>1.715130014792202</v>
      </c>
      <c r="AZ37" s="31" t="n">
        <v>4.114354287378651</v>
      </c>
      <c r="BA37" s="31" t="n">
        <v>11.89138682987388</v>
      </c>
      <c r="BB37" s="31" t="n">
        <v>7.30977611344793</v>
      </c>
      <c r="BC37" s="31" t="n">
        <v>20.12896605593514</v>
      </c>
      <c r="BD37" s="31" t="n">
        <v>9.417658473760156</v>
      </c>
      <c r="BE37" s="31" t="n">
        <v>23.77873123162598</v>
      </c>
      <c r="BF37" s="31" t="n">
        <v>49.16030667248573</v>
      </c>
      <c r="BG37" s="31" t="n">
        <v>82.16968630697127</v>
      </c>
      <c r="BH37" s="31" t="n">
        <v>22.54216281012034</v>
      </c>
      <c r="BI37" s="31" t="n">
        <v>53.91950748515444</v>
      </c>
      <c r="BJ37" s="31" t="n">
        <v>1.330653088045985</v>
      </c>
      <c r="BK37" s="31" t="n">
        <v>858.4721013105986</v>
      </c>
      <c r="BL37" s="31" t="n">
        <v>853.6618149038292</v>
      </c>
      <c r="BM37" s="31" t="n">
        <v>262.9972667816448</v>
      </c>
      <c r="BN37" s="31" t="n">
        <v>4712.120689793415</v>
      </c>
      <c r="BO37" s="31" t="n">
        <v>11977.34918362732</v>
      </c>
      <c r="BP37" s="31" t="n">
        <v>27.82103923377289</v>
      </c>
      <c r="BQ37" s="31" t="n">
        <v>890.2182610295605</v>
      </c>
      <c r="BR37" s="31" t="n">
        <v>0</v>
      </c>
      <c r="BS37" s="31">
        <f>SUM(C37:BR37)</f>
        <v/>
      </c>
      <c r="BT37" s="31" t="n">
        <v>0</v>
      </c>
      <c r="BU37" s="31" t="n">
        <v>0</v>
      </c>
      <c r="BV37" s="31" t="n">
        <v>41174.05006057477</v>
      </c>
      <c r="BW37" s="31" t="n">
        <v>0</v>
      </c>
      <c r="BX37" s="31">
        <f>SUM(BT37:BW37)</f>
        <v/>
      </c>
      <c r="BY37" s="31">
        <f>BS37+BX37</f>
        <v/>
      </c>
    </row>
    <row r="38">
      <c r="A38" s="28" t="inlineStr">
        <is>
          <t>2200</t>
        </is>
      </c>
      <c r="B38" s="28" t="inlineStr">
        <is>
          <t>Fabricação de produtos de borracha e de material plástico</t>
        </is>
      </c>
      <c r="C38" s="29" t="n">
        <v>737.8328662533589</v>
      </c>
      <c r="D38" s="29" t="n">
        <v>244.667417197624</v>
      </c>
      <c r="E38" s="29" t="n">
        <v>51.32565797948574</v>
      </c>
      <c r="F38" s="29" t="n">
        <v>212.7193996733349</v>
      </c>
      <c r="G38" s="29" t="n">
        <v>247.4916371812841</v>
      </c>
      <c r="H38" s="29" t="n">
        <v>611.0315238775215</v>
      </c>
      <c r="I38" s="29" t="n">
        <v>107.5084343403073</v>
      </c>
      <c r="J38" s="29" t="n">
        <v>3147.195677139007</v>
      </c>
      <c r="K38" s="29" t="n">
        <v>205.3584241125974</v>
      </c>
      <c r="L38" s="29" t="n">
        <v>8088.445228831255</v>
      </c>
      <c r="M38" s="29" t="n">
        <v>3684.024034305488</v>
      </c>
      <c r="N38" s="29" t="n">
        <v>8.231803002559323</v>
      </c>
      <c r="O38" s="29" t="n">
        <v>379.226334364032</v>
      </c>
      <c r="P38" s="29" t="n">
        <v>294.0413961044991</v>
      </c>
      <c r="Q38" s="29" t="n">
        <v>1163.33611622212</v>
      </c>
      <c r="R38" s="29" t="n">
        <v>272.6121100238104</v>
      </c>
      <c r="S38" s="29" t="n">
        <v>982.1640879979963</v>
      </c>
      <c r="T38" s="29" t="n">
        <v>1283.908229839559</v>
      </c>
      <c r="U38" s="29" t="n">
        <v>114.8445635216361</v>
      </c>
      <c r="V38" s="29" t="n">
        <v>40.46998615037469</v>
      </c>
      <c r="W38" s="29" t="n">
        <v>1522.865555476526</v>
      </c>
      <c r="X38" s="29" t="n">
        <v>788.4910421824085</v>
      </c>
      <c r="Y38" s="29" t="n">
        <v>2127.655943417359</v>
      </c>
      <c r="Z38" s="29" t="n">
        <v>537.259454446006</v>
      </c>
      <c r="AA38" s="29" t="n">
        <v>19693.87268030469</v>
      </c>
      <c r="AB38" s="29" t="n">
        <v>2929.795657817432</v>
      </c>
      <c r="AC38" s="29" t="n">
        <v>579.8930643439907</v>
      </c>
      <c r="AD38" s="29" t="n">
        <v>99.17467429985538</v>
      </c>
      <c r="AE38" s="29" t="n">
        <v>1034.834854498766</v>
      </c>
      <c r="AF38" s="29" t="n">
        <v>1807.144731053233</v>
      </c>
      <c r="AG38" s="29" t="n">
        <v>2804.731579837839</v>
      </c>
      <c r="AH38" s="29" t="n">
        <v>3505.093393368982</v>
      </c>
      <c r="AI38" s="29" t="n">
        <v>12659.46259275635</v>
      </c>
      <c r="AJ38" s="29" t="n">
        <v>4833.07328870427</v>
      </c>
      <c r="AK38" s="29" t="n">
        <v>1314.31509635713</v>
      </c>
      <c r="AL38" s="29" t="n">
        <v>3132.724086259252</v>
      </c>
      <c r="AM38" s="29" t="n">
        <v>1544.479428846213</v>
      </c>
      <c r="AN38" s="29" t="n">
        <v>302.3534966981118</v>
      </c>
      <c r="AO38" s="29" t="n">
        <v>395.6210575859752</v>
      </c>
      <c r="AP38" s="29" t="n">
        <v>16042.54400012201</v>
      </c>
      <c r="AQ38" s="29" t="n">
        <v>2327.752153062855</v>
      </c>
      <c r="AR38" s="29" t="n">
        <v>6854.739609281915</v>
      </c>
      <c r="AS38" s="29" t="n">
        <v>7289.416167571904</v>
      </c>
      <c r="AT38" s="29" t="n">
        <v>5.030226598291788</v>
      </c>
      <c r="AU38" s="29" t="n">
        <v>1008.767023746279</v>
      </c>
      <c r="AV38" s="29" t="n">
        <v>159.3341595664185</v>
      </c>
      <c r="AW38" s="29" t="n">
        <v>38.6601489150605</v>
      </c>
      <c r="AX38" s="29" t="n">
        <v>598.3170331113683</v>
      </c>
      <c r="AY38" s="29" t="n">
        <v>31.46781420583542</v>
      </c>
      <c r="AZ38" s="29" t="n">
        <v>11.63608967930306</v>
      </c>
      <c r="BA38" s="29" t="n">
        <v>40.71667552017248</v>
      </c>
      <c r="BB38" s="29" t="n">
        <v>29.81605303720031</v>
      </c>
      <c r="BC38" s="29" t="n">
        <v>115.0184276160247</v>
      </c>
      <c r="BD38" s="29" t="n">
        <v>134.1722827060894</v>
      </c>
      <c r="BE38" s="29" t="n">
        <v>638.5533712174743</v>
      </c>
      <c r="BF38" s="29" t="n">
        <v>52.5438050238903</v>
      </c>
      <c r="BG38" s="29" t="n">
        <v>41.56741947510081</v>
      </c>
      <c r="BH38" s="29" t="n">
        <v>477.8754494658659</v>
      </c>
      <c r="BI38" s="29" t="n">
        <v>652.2434722352266</v>
      </c>
      <c r="BJ38" s="29" t="n">
        <v>5.7328609230247</v>
      </c>
      <c r="BK38" s="29" t="n">
        <v>258.027101311715</v>
      </c>
      <c r="BL38" s="29" t="n">
        <v>288.358464910371</v>
      </c>
      <c r="BM38" s="29" t="n">
        <v>41.26820661665778</v>
      </c>
      <c r="BN38" s="29" t="n">
        <v>656.295868693182</v>
      </c>
      <c r="BO38" s="29" t="n">
        <v>762.8213075524317</v>
      </c>
      <c r="BP38" s="29" t="n">
        <v>44.04159964636529</v>
      </c>
      <c r="BQ38" s="29" t="n">
        <v>207.8924801605749</v>
      </c>
      <c r="BR38" s="29" t="n">
        <v>0</v>
      </c>
      <c r="BS38" s="29">
        <f>SUM(C38:BR38)</f>
        <v/>
      </c>
      <c r="BT38" s="29" t="n">
        <v>0</v>
      </c>
      <c r="BU38" s="29" t="n">
        <v>0</v>
      </c>
      <c r="BV38" s="29" t="n">
        <v>18768.11304497359</v>
      </c>
      <c r="BW38" s="29" t="n">
        <v>0</v>
      </c>
      <c r="BX38" s="29">
        <f>SUM(BT38:BW38)</f>
        <v/>
      </c>
      <c r="BY38" s="29">
        <f>BS38+BX38</f>
        <v/>
      </c>
    </row>
    <row r="39">
      <c r="A39" s="30" t="inlineStr">
        <is>
          <t>2300</t>
        </is>
      </c>
      <c r="B39" s="30" t="inlineStr">
        <is>
          <t>Fabricação de produtos de minerais não-metálicos</t>
        </is>
      </c>
      <c r="C39" s="31" t="n">
        <v>3968.137537422749</v>
      </c>
      <c r="D39" s="31" t="n">
        <v>2635.856846031455</v>
      </c>
      <c r="E39" s="31" t="n">
        <v>85.48243519527671</v>
      </c>
      <c r="F39" s="31" t="n">
        <v>118.8795432733439</v>
      </c>
      <c r="G39" s="31" t="n">
        <v>191.776103543256</v>
      </c>
      <c r="H39" s="31" t="n">
        <v>13.42470061329467</v>
      </c>
      <c r="I39" s="31" t="n">
        <v>19.67532671874389</v>
      </c>
      <c r="J39" s="31" t="n">
        <v>48.38396971200248</v>
      </c>
      <c r="K39" s="31" t="n">
        <v>178.2141689437233</v>
      </c>
      <c r="L39" s="31" t="n">
        <v>1945.832481805973</v>
      </c>
      <c r="M39" s="31" t="n">
        <v>2146.520940086452</v>
      </c>
      <c r="N39" s="31" t="n">
        <v>1.488150425434475</v>
      </c>
      <c r="O39" s="31" t="n">
        <v>25.29549333811435</v>
      </c>
      <c r="P39" s="31" t="n">
        <v>29.07765292451676</v>
      </c>
      <c r="Q39" s="31" t="n">
        <v>19.64810936709853</v>
      </c>
      <c r="R39" s="31" t="n">
        <v>20.48426740670308</v>
      </c>
      <c r="S39" s="31" t="n">
        <v>274.4107330199091</v>
      </c>
      <c r="T39" s="31" t="n">
        <v>25.14714471014594</v>
      </c>
      <c r="U39" s="31" t="n">
        <v>465.6653762449332</v>
      </c>
      <c r="V39" s="31" t="n">
        <v>12.09949359479518</v>
      </c>
      <c r="W39" s="31" t="n">
        <v>881.3587072872265</v>
      </c>
      <c r="X39" s="31" t="n">
        <v>315.339954839861</v>
      </c>
      <c r="Y39" s="31" t="n">
        <v>474.9857172403483</v>
      </c>
      <c r="Z39" s="31" t="n">
        <v>97.61106267813146</v>
      </c>
      <c r="AA39" s="31" t="n">
        <v>653.416697209268</v>
      </c>
      <c r="AB39" s="31" t="n">
        <v>12904.66999182646</v>
      </c>
      <c r="AC39" s="31" t="n">
        <v>404.4128757931877</v>
      </c>
      <c r="AD39" s="31" t="n">
        <v>30.8466932077517</v>
      </c>
      <c r="AE39" s="31" t="n">
        <v>254.1899546594801</v>
      </c>
      <c r="AF39" s="31" t="n">
        <v>26.07958141355902</v>
      </c>
      <c r="AG39" s="31" t="n">
        <v>417.0097517932687</v>
      </c>
      <c r="AH39" s="31" t="n">
        <v>506.9322231373404</v>
      </c>
      <c r="AI39" s="31" t="n">
        <v>2870.462073316303</v>
      </c>
      <c r="AJ39" s="31" t="n">
        <v>145.9419982013185</v>
      </c>
      <c r="AK39" s="31" t="n">
        <v>239.3582390641512</v>
      </c>
      <c r="AL39" s="31" t="n">
        <v>664.1935788765234</v>
      </c>
      <c r="AM39" s="31" t="n">
        <v>294.0128021836932</v>
      </c>
      <c r="AN39" s="31" t="n">
        <v>2220.634706322346</v>
      </c>
      <c r="AO39" s="31" t="n">
        <v>1020.859504060912</v>
      </c>
      <c r="AP39" s="31" t="n">
        <v>80203.1611957548</v>
      </c>
      <c r="AQ39" s="31" t="n">
        <v>315.3534104605978</v>
      </c>
      <c r="AR39" s="31" t="n">
        <v>305.6951461884894</v>
      </c>
      <c r="AS39" s="31" t="n">
        <v>42.13394483495055</v>
      </c>
      <c r="AT39" s="31" t="n">
        <v>1.868276373115509</v>
      </c>
      <c r="AU39" s="31" t="n">
        <v>0.8433395678942603</v>
      </c>
      <c r="AV39" s="31" t="n">
        <v>27.24684220500583</v>
      </c>
      <c r="AW39" s="31" t="n">
        <v>256.1498287573786</v>
      </c>
      <c r="AX39" s="31" t="n">
        <v>778.1024245959111</v>
      </c>
      <c r="AY39" s="31" t="n">
        <v>6.919365458017735</v>
      </c>
      <c r="AZ39" s="31" t="n">
        <v>5.976825543585106</v>
      </c>
      <c r="BA39" s="31" t="n">
        <v>18.72096540535007</v>
      </c>
      <c r="BB39" s="31" t="n">
        <v>10.52220602536471</v>
      </c>
      <c r="BC39" s="31" t="n">
        <v>35.61017005330067</v>
      </c>
      <c r="BD39" s="31" t="n">
        <v>2977.804352635051</v>
      </c>
      <c r="BE39" s="31" t="n">
        <v>34.05513252732505</v>
      </c>
      <c r="BF39" s="31" t="n">
        <v>20.63847329787146</v>
      </c>
      <c r="BG39" s="31" t="n">
        <v>9.901940441048417</v>
      </c>
      <c r="BH39" s="31" t="n">
        <v>13.9361237122037</v>
      </c>
      <c r="BI39" s="31" t="n">
        <v>130.7524542681132</v>
      </c>
      <c r="BJ39" s="31" t="n">
        <v>1.96248168287158</v>
      </c>
      <c r="BK39" s="31" t="n">
        <v>510.2723579140535</v>
      </c>
      <c r="BL39" s="31" t="n">
        <v>228.107867884754</v>
      </c>
      <c r="BM39" s="31" t="n">
        <v>24.07167138539558</v>
      </c>
      <c r="BN39" s="31" t="n">
        <v>211.4671863202794</v>
      </c>
      <c r="BO39" s="31" t="n">
        <v>222.7188864124722</v>
      </c>
      <c r="BP39" s="31" t="n">
        <v>25.7155332989342</v>
      </c>
      <c r="BQ39" s="31" t="n">
        <v>309.036177969924</v>
      </c>
      <c r="BR39" s="31" t="n">
        <v>0</v>
      </c>
      <c r="BS39" s="31">
        <f>SUM(C39:BR39)</f>
        <v/>
      </c>
      <c r="BT39" s="31" t="n">
        <v>0</v>
      </c>
      <c r="BU39" s="31" t="n">
        <v>0</v>
      </c>
      <c r="BV39" s="31" t="n">
        <v>8510.440250951104</v>
      </c>
      <c r="BW39" s="31" t="n">
        <v>0</v>
      </c>
      <c r="BX39" s="31">
        <f>SUM(BT39:BW39)</f>
        <v/>
      </c>
      <c r="BY39" s="31">
        <f>BS39+BX39</f>
        <v/>
      </c>
    </row>
    <row r="40">
      <c r="A40" s="28" t="inlineStr">
        <is>
          <t>2491</t>
        </is>
      </c>
      <c r="B40" s="28" t="inlineStr">
        <is>
          <t>Produção de ferro-gusa/ferroligas, siderurgia e tubos de aço sem costura</t>
        </is>
      </c>
      <c r="C40" s="29" t="n">
        <v>232.9466811396628</v>
      </c>
      <c r="D40" s="29" t="n">
        <v>390.3496061713831</v>
      </c>
      <c r="E40" s="29" t="n">
        <v>18.75730318599643</v>
      </c>
      <c r="F40" s="29" t="n">
        <v>122.7482165236214</v>
      </c>
      <c r="G40" s="29" t="n">
        <v>2393.508915127033</v>
      </c>
      <c r="H40" s="29" t="n">
        <v>56.06006558793779</v>
      </c>
      <c r="I40" s="29" t="n">
        <v>153.6309366188742</v>
      </c>
      <c r="J40" s="29" t="n">
        <v>333.9037190570523</v>
      </c>
      <c r="K40" s="29" t="n">
        <v>9.691851187882293</v>
      </c>
      <c r="L40" s="29" t="n">
        <v>167.4400878004179</v>
      </c>
      <c r="M40" s="29" t="n">
        <v>179.0066879018861</v>
      </c>
      <c r="N40" s="29" t="n">
        <v>1.310322836073703</v>
      </c>
      <c r="O40" s="29" t="n">
        <v>10.04643460651951</v>
      </c>
      <c r="P40" s="29" t="n">
        <v>9.717904589205805</v>
      </c>
      <c r="Q40" s="29" t="n">
        <v>7.597979734075841</v>
      </c>
      <c r="R40" s="29" t="n">
        <v>25.43211749477936</v>
      </c>
      <c r="S40" s="29" t="n">
        <v>180.7898882723833</v>
      </c>
      <c r="T40" s="29" t="n">
        <v>13.40528369294351</v>
      </c>
      <c r="U40" s="29" t="n">
        <v>76.53118142940841</v>
      </c>
      <c r="V40" s="29" t="n">
        <v>8.862393786821992</v>
      </c>
      <c r="W40" s="29" t="n">
        <v>80.11655854677494</v>
      </c>
      <c r="X40" s="29" t="n">
        <v>69.34885526218156</v>
      </c>
      <c r="Y40" s="29" t="n">
        <v>58.64463170352718</v>
      </c>
      <c r="Z40" s="29" t="n">
        <v>20.95224182209517</v>
      </c>
      <c r="AA40" s="29" t="n">
        <v>928.8972394269591</v>
      </c>
      <c r="AB40" s="29" t="n">
        <v>1092.073480461152</v>
      </c>
      <c r="AC40" s="29" t="n">
        <v>12037.70896434188</v>
      </c>
      <c r="AD40" s="29" t="n">
        <v>1341.579938846344</v>
      </c>
      <c r="AE40" s="29" t="n">
        <v>22440.94755127381</v>
      </c>
      <c r="AF40" s="29" t="n">
        <v>116.4536341733122</v>
      </c>
      <c r="AG40" s="29" t="n">
        <v>3688.043100480502</v>
      </c>
      <c r="AH40" s="29" t="n">
        <v>11759.25474077307</v>
      </c>
      <c r="AI40" s="29" t="n">
        <v>8630.110100558652</v>
      </c>
      <c r="AJ40" s="29" t="n">
        <v>8538.389843846862</v>
      </c>
      <c r="AK40" s="29" t="n">
        <v>2122.725508585686</v>
      </c>
      <c r="AL40" s="29" t="n">
        <v>1559.321940956958</v>
      </c>
      <c r="AM40" s="29" t="n">
        <v>1398.778489205715</v>
      </c>
      <c r="AN40" s="29" t="n">
        <v>412.5300712425359</v>
      </c>
      <c r="AO40" s="29" t="n">
        <v>141.2070956098893</v>
      </c>
      <c r="AP40" s="29" t="n">
        <v>25232.20839875426</v>
      </c>
      <c r="AQ40" s="29" t="n">
        <v>67.82448098946033</v>
      </c>
      <c r="AR40" s="29" t="n">
        <v>1747.368479895756</v>
      </c>
      <c r="AS40" s="29" t="n">
        <v>62.41665735829571</v>
      </c>
      <c r="AT40" s="29" t="n">
        <v>6.24117002064853</v>
      </c>
      <c r="AU40" s="29" t="n">
        <v>4.334467942439028</v>
      </c>
      <c r="AV40" s="29" t="n">
        <v>49.72964094413179</v>
      </c>
      <c r="AW40" s="29" t="n">
        <v>19.39700654183088</v>
      </c>
      <c r="AX40" s="29" t="n">
        <v>139.6471381193246</v>
      </c>
      <c r="AY40" s="29" t="n">
        <v>7.46379439273989</v>
      </c>
      <c r="AZ40" s="29" t="n">
        <v>6.463021042724014</v>
      </c>
      <c r="BA40" s="29" t="n">
        <v>34.37000517224483</v>
      </c>
      <c r="BB40" s="29" t="n">
        <v>40.49931259980463</v>
      </c>
      <c r="BC40" s="29" t="n">
        <v>56.75224557844169</v>
      </c>
      <c r="BD40" s="29" t="n">
        <v>42.22879587533554</v>
      </c>
      <c r="BE40" s="29" t="n">
        <v>54.63546399072978</v>
      </c>
      <c r="BF40" s="29" t="n">
        <v>48.399987941044</v>
      </c>
      <c r="BG40" s="29" t="n">
        <v>11.17906088672153</v>
      </c>
      <c r="BH40" s="29" t="n">
        <v>325.1498778692152</v>
      </c>
      <c r="BI40" s="29" t="n">
        <v>55.9714953768237</v>
      </c>
      <c r="BJ40" s="29" t="n">
        <v>7.783646237867966</v>
      </c>
      <c r="BK40" s="29" t="n">
        <v>243.7765017277459</v>
      </c>
      <c r="BL40" s="29" t="n">
        <v>58.13114756542581</v>
      </c>
      <c r="BM40" s="29" t="n">
        <v>40.70471370100948</v>
      </c>
      <c r="BN40" s="29" t="n">
        <v>29.9927211744725</v>
      </c>
      <c r="BO40" s="29" t="n">
        <v>24.35113902609035</v>
      </c>
      <c r="BP40" s="29" t="n">
        <v>44.18917533696464</v>
      </c>
      <c r="BQ40" s="29" t="n">
        <v>39.66406745520867</v>
      </c>
      <c r="BR40" s="29" t="n">
        <v>0</v>
      </c>
      <c r="BS40" s="29">
        <f>SUM(C40:BR40)</f>
        <v/>
      </c>
      <c r="BT40" s="29" t="n">
        <v>0</v>
      </c>
      <c r="BU40" s="29" t="n">
        <v>0</v>
      </c>
      <c r="BV40" s="29" t="n">
        <v>24233.74992010818</v>
      </c>
      <c r="BW40" s="29" t="n">
        <v>0</v>
      </c>
      <c r="BX40" s="29">
        <f>SUM(BT40:BW40)</f>
        <v/>
      </c>
      <c r="BY40" s="29">
        <f>BS40+BX40</f>
        <v/>
      </c>
    </row>
    <row r="41">
      <c r="A41" s="30" t="inlineStr">
        <is>
          <t>2492</t>
        </is>
      </c>
      <c r="B41" s="30" t="inlineStr">
        <is>
          <t>Metalurgia de metais não-ferrosos e a fundição de metais</t>
        </is>
      </c>
      <c r="C41" s="31" t="n">
        <v>183.1310398919859</v>
      </c>
      <c r="D41" s="31" t="n">
        <v>42.89093692112912</v>
      </c>
      <c r="E41" s="31" t="n">
        <v>2.894087467825279</v>
      </c>
      <c r="F41" s="31" t="n">
        <v>9.161647932935052</v>
      </c>
      <c r="G41" s="31" t="n">
        <v>84.60201895653815</v>
      </c>
      <c r="H41" s="31" t="n">
        <v>20.59654772719359</v>
      </c>
      <c r="I41" s="31" t="n">
        <v>115.1707560568384</v>
      </c>
      <c r="J41" s="31" t="n">
        <v>363.2382997415017</v>
      </c>
      <c r="K41" s="31" t="n">
        <v>7.743955956376162</v>
      </c>
      <c r="L41" s="31" t="n">
        <v>564.67548393428</v>
      </c>
      <c r="M41" s="31" t="n">
        <v>29.2228097179775</v>
      </c>
      <c r="N41" s="31" t="n">
        <v>0.6848867412708918</v>
      </c>
      <c r="O41" s="31" t="n">
        <v>14.04605929787152</v>
      </c>
      <c r="P41" s="31" t="n">
        <v>5.651930455411859</v>
      </c>
      <c r="Q41" s="31" t="n">
        <v>10.65532986607809</v>
      </c>
      <c r="R41" s="31" t="n">
        <v>5.005283617745297</v>
      </c>
      <c r="S41" s="31" t="n">
        <v>357.069668273323</v>
      </c>
      <c r="T41" s="31" t="n">
        <v>325.4339381702342</v>
      </c>
      <c r="U41" s="31" t="n">
        <v>4.532009667528508</v>
      </c>
      <c r="V41" s="31" t="n">
        <v>2.987560966752762</v>
      </c>
      <c r="W41" s="31" t="n">
        <v>860.8428194251833</v>
      </c>
      <c r="X41" s="31" t="n">
        <v>342.1695579357196</v>
      </c>
      <c r="Y41" s="31" t="n">
        <v>53.68906106311242</v>
      </c>
      <c r="Z41" s="31" t="n">
        <v>22.60850013176059</v>
      </c>
      <c r="AA41" s="31" t="n">
        <v>131.1106930524626</v>
      </c>
      <c r="AB41" s="31" t="n">
        <v>198.1974838809606</v>
      </c>
      <c r="AC41" s="31" t="n">
        <v>2007.508136581247</v>
      </c>
      <c r="AD41" s="31" t="n">
        <v>12270.7870342988</v>
      </c>
      <c r="AE41" s="31" t="n">
        <v>3215.865424722726</v>
      </c>
      <c r="AF41" s="31" t="n">
        <v>312.4650491768957</v>
      </c>
      <c r="AG41" s="31" t="n">
        <v>10267.99838254536</v>
      </c>
      <c r="AH41" s="31" t="n">
        <v>3025.336913735081</v>
      </c>
      <c r="AI41" s="31" t="n">
        <v>932.2544096238883</v>
      </c>
      <c r="AJ41" s="31" t="n">
        <v>6049.180523719158</v>
      </c>
      <c r="AK41" s="31" t="n">
        <v>1156.009594836926</v>
      </c>
      <c r="AL41" s="31" t="n">
        <v>2757.297969494022</v>
      </c>
      <c r="AM41" s="31" t="n">
        <v>1900.394924305896</v>
      </c>
      <c r="AN41" s="31" t="n">
        <v>164.133053658514</v>
      </c>
      <c r="AO41" s="31" t="n">
        <v>165.0548749906903</v>
      </c>
      <c r="AP41" s="31" t="n">
        <v>5595.974460963407</v>
      </c>
      <c r="AQ41" s="31" t="n">
        <v>753.6985752246062</v>
      </c>
      <c r="AR41" s="31" t="n">
        <v>499.5100001566703</v>
      </c>
      <c r="AS41" s="31" t="n">
        <v>86.90497946816933</v>
      </c>
      <c r="AT41" s="31" t="n">
        <v>2.214794101131243</v>
      </c>
      <c r="AU41" s="31" t="n">
        <v>1.398413126776342</v>
      </c>
      <c r="AV41" s="31" t="n">
        <v>31.96622745815883</v>
      </c>
      <c r="AW41" s="31" t="n">
        <v>15.38683503034854</v>
      </c>
      <c r="AX41" s="31" t="n">
        <v>67.41744395484122</v>
      </c>
      <c r="AY41" s="31" t="n">
        <v>4.170550856628232</v>
      </c>
      <c r="AZ41" s="31" t="n">
        <v>6.943210740231405</v>
      </c>
      <c r="BA41" s="31" t="n">
        <v>49.84190254635497</v>
      </c>
      <c r="BB41" s="31" t="n">
        <v>18.38039828875856</v>
      </c>
      <c r="BC41" s="31" t="n">
        <v>64.19138373183742</v>
      </c>
      <c r="BD41" s="31" t="n">
        <v>99.16434969109204</v>
      </c>
      <c r="BE41" s="31" t="n">
        <v>67.67527910136347</v>
      </c>
      <c r="BF41" s="31" t="n">
        <v>15.92190026261747</v>
      </c>
      <c r="BG41" s="31" t="n">
        <v>12.72211050716322</v>
      </c>
      <c r="BH41" s="31" t="n">
        <v>15.76978166565231</v>
      </c>
      <c r="BI41" s="31" t="n">
        <v>56.39021913189846</v>
      </c>
      <c r="BJ41" s="31" t="n">
        <v>3.584092944812639</v>
      </c>
      <c r="BK41" s="31" t="n">
        <v>61.47738897980948</v>
      </c>
      <c r="BL41" s="31" t="n">
        <v>16.68493739586618</v>
      </c>
      <c r="BM41" s="31" t="n">
        <v>46.90929931397816</v>
      </c>
      <c r="BN41" s="31" t="n">
        <v>18.67145828875642</v>
      </c>
      <c r="BO41" s="31" t="n">
        <v>52.44384528523128</v>
      </c>
      <c r="BP41" s="31" t="n">
        <v>47.61911415225089</v>
      </c>
      <c r="BQ41" s="31" t="n">
        <v>61.74522888278871</v>
      </c>
      <c r="BR41" s="31" t="n">
        <v>0</v>
      </c>
      <c r="BS41" s="31">
        <f>SUM(C41:BR41)</f>
        <v/>
      </c>
      <c r="BT41" s="31" t="n">
        <v>0</v>
      </c>
      <c r="BU41" s="31" t="n">
        <v>0</v>
      </c>
      <c r="BV41" s="31" t="n">
        <v>13920.22821825353</v>
      </c>
      <c r="BW41" s="31" t="n">
        <v>0</v>
      </c>
      <c r="BX41" s="31">
        <f>SUM(BT41:BW41)</f>
        <v/>
      </c>
      <c r="BY41" s="31">
        <f>BS41+BX41</f>
        <v/>
      </c>
    </row>
    <row r="42">
      <c r="A42" s="28" t="inlineStr">
        <is>
          <t>2500</t>
        </is>
      </c>
      <c r="B42" s="28" t="inlineStr">
        <is>
          <t>Fabricação de produtos de metal, exceto máquinas e equipamentos</t>
        </is>
      </c>
      <c r="C42" s="29" t="n">
        <v>461.6295981738571</v>
      </c>
      <c r="D42" s="29" t="n">
        <v>686.3885768168147</v>
      </c>
      <c r="E42" s="29" t="n">
        <v>58.38501180649106</v>
      </c>
      <c r="F42" s="29" t="n">
        <v>81.56235431768255</v>
      </c>
      <c r="G42" s="29" t="n">
        <v>1641.970565530147</v>
      </c>
      <c r="H42" s="29" t="n">
        <v>684.1433958358348</v>
      </c>
      <c r="I42" s="29" t="n">
        <v>279.0327083087178</v>
      </c>
      <c r="J42" s="29" t="n">
        <v>2594.14658635608</v>
      </c>
      <c r="K42" s="29" t="n">
        <v>103.789765615237</v>
      </c>
      <c r="L42" s="29" t="n">
        <v>2421.494844373516</v>
      </c>
      <c r="M42" s="29" t="n">
        <v>4307.252500296022</v>
      </c>
      <c r="N42" s="29" t="n">
        <v>22.53389804134095</v>
      </c>
      <c r="O42" s="29" t="n">
        <v>94.57816013845525</v>
      </c>
      <c r="P42" s="29" t="n">
        <v>111.1190645378608</v>
      </c>
      <c r="Q42" s="29" t="n">
        <v>80.05993202609741</v>
      </c>
      <c r="R42" s="29" t="n">
        <v>493.143901801579</v>
      </c>
      <c r="S42" s="29" t="n">
        <v>159.2738795165845</v>
      </c>
      <c r="T42" s="29" t="n">
        <v>61.45141380617996</v>
      </c>
      <c r="U42" s="29" t="n">
        <v>381.1428096669193</v>
      </c>
      <c r="V42" s="29" t="n">
        <v>62.65925921234624</v>
      </c>
      <c r="W42" s="29" t="n">
        <v>482.2173774584106</v>
      </c>
      <c r="X42" s="29" t="n">
        <v>908.3198993132297</v>
      </c>
      <c r="Y42" s="29" t="n">
        <v>1096.558474060893</v>
      </c>
      <c r="Z42" s="29" t="n">
        <v>166.3121028940806</v>
      </c>
      <c r="AA42" s="29" t="n">
        <v>314.1429619030426</v>
      </c>
      <c r="AB42" s="29" t="n">
        <v>323.4741043432064</v>
      </c>
      <c r="AC42" s="29" t="n">
        <v>2734.986432445771</v>
      </c>
      <c r="AD42" s="29" t="n">
        <v>344.151148233328</v>
      </c>
      <c r="AE42" s="29" t="n">
        <v>9904.200273910265</v>
      </c>
      <c r="AF42" s="29" t="n">
        <v>1340.528989106297</v>
      </c>
      <c r="AG42" s="29" t="n">
        <v>2902.965860943596</v>
      </c>
      <c r="AH42" s="29" t="n">
        <v>7790.167979209232</v>
      </c>
      <c r="AI42" s="29" t="n">
        <v>4960.522745223412</v>
      </c>
      <c r="AJ42" s="29" t="n">
        <v>2597.424893884198</v>
      </c>
      <c r="AK42" s="29" t="n">
        <v>3849.022118224607</v>
      </c>
      <c r="AL42" s="29" t="n">
        <v>1600.11707925021</v>
      </c>
      <c r="AM42" s="29" t="n">
        <v>3479.555587178603</v>
      </c>
      <c r="AN42" s="29" t="n">
        <v>2970.033083425546</v>
      </c>
      <c r="AO42" s="29" t="n">
        <v>607.1141129778819</v>
      </c>
      <c r="AP42" s="29" t="n">
        <v>32577.22970129186</v>
      </c>
      <c r="AQ42" s="29" t="n">
        <v>467.1562442511228</v>
      </c>
      <c r="AR42" s="29" t="n">
        <v>1889.306602998595</v>
      </c>
      <c r="AS42" s="29" t="n">
        <v>179.5541753207288</v>
      </c>
      <c r="AT42" s="29" t="n">
        <v>10.50349399773106</v>
      </c>
      <c r="AU42" s="29" t="n">
        <v>4.439230334235569</v>
      </c>
      <c r="AV42" s="29" t="n">
        <v>55.05315166558539</v>
      </c>
      <c r="AW42" s="29" t="n">
        <v>194.0579401386421</v>
      </c>
      <c r="AX42" s="29" t="n">
        <v>2280.396645698972</v>
      </c>
      <c r="AY42" s="29" t="n">
        <v>31.46350234917692</v>
      </c>
      <c r="AZ42" s="29" t="n">
        <v>23.75635326370639</v>
      </c>
      <c r="BA42" s="29" t="n">
        <v>74.70544138601556</v>
      </c>
      <c r="BB42" s="29" t="n">
        <v>38.74074697312196</v>
      </c>
      <c r="BC42" s="29" t="n">
        <v>65.81220350903399</v>
      </c>
      <c r="BD42" s="29" t="n">
        <v>460.0148236574068</v>
      </c>
      <c r="BE42" s="29" t="n">
        <v>66.43381674750572</v>
      </c>
      <c r="BF42" s="29" t="n">
        <v>51.76082385289634</v>
      </c>
      <c r="BG42" s="29" t="n">
        <v>43.84053484613786</v>
      </c>
      <c r="BH42" s="29" t="n">
        <v>28.01023342157767</v>
      </c>
      <c r="BI42" s="29" t="n">
        <v>353.9121517422455</v>
      </c>
      <c r="BJ42" s="29" t="n">
        <v>101.5818569437606</v>
      </c>
      <c r="BK42" s="29" t="n">
        <v>1287.614639135748</v>
      </c>
      <c r="BL42" s="29" t="n">
        <v>140.1789380084324</v>
      </c>
      <c r="BM42" s="29" t="n">
        <v>33.4575179756156</v>
      </c>
      <c r="BN42" s="29" t="n">
        <v>263.0922543737374</v>
      </c>
      <c r="BO42" s="29" t="n">
        <v>114.673157328986</v>
      </c>
      <c r="BP42" s="29" t="n">
        <v>43.30496579586661</v>
      </c>
      <c r="BQ42" s="29" t="n">
        <v>148.5569538153749</v>
      </c>
      <c r="BR42" s="29" t="n">
        <v>0</v>
      </c>
      <c r="BS42" s="29">
        <f>SUM(C42:BR42)</f>
        <v/>
      </c>
      <c r="BT42" s="29" t="n">
        <v>0</v>
      </c>
      <c r="BU42" s="29" t="n">
        <v>0</v>
      </c>
      <c r="BV42" s="29" t="n">
        <v>24198.6953728871</v>
      </c>
      <c r="BW42" s="29" t="n">
        <v>0</v>
      </c>
      <c r="BX42" s="29">
        <f>SUM(BT42:BW42)</f>
        <v/>
      </c>
      <c r="BY42" s="29">
        <f>BS42+BX42</f>
        <v/>
      </c>
    </row>
    <row r="43">
      <c r="A43" s="30" t="inlineStr">
        <is>
          <t>2600</t>
        </is>
      </c>
      <c r="B43" s="30" t="inlineStr">
        <is>
          <t>Fabricação de equipamentos de informática, produtos eletrônicos e ópticos</t>
        </is>
      </c>
      <c r="C43" s="31" t="n">
        <v>4.361073396694866</v>
      </c>
      <c r="D43" s="31" t="n">
        <v>5.552146992852432</v>
      </c>
      <c r="E43" s="31" t="n">
        <v>1.2608364835285</v>
      </c>
      <c r="F43" s="31" t="n">
        <v>10.37981749147853</v>
      </c>
      <c r="G43" s="31" t="n">
        <v>602.5401180734875</v>
      </c>
      <c r="H43" s="31" t="n">
        <v>91.77260606828386</v>
      </c>
      <c r="I43" s="31" t="n">
        <v>28.65160913593547</v>
      </c>
      <c r="J43" s="31" t="n">
        <v>47.10113100676706</v>
      </c>
      <c r="K43" s="31" t="n">
        <v>4.290646495307507</v>
      </c>
      <c r="L43" s="31" t="n">
        <v>18.47394589513975</v>
      </c>
      <c r="M43" s="31" t="n">
        <v>11.74804796595749</v>
      </c>
      <c r="N43" s="31" t="n">
        <v>0.5971166812522859</v>
      </c>
      <c r="O43" s="31" t="n">
        <v>4.237263032735866</v>
      </c>
      <c r="P43" s="31" t="n">
        <v>21.10279218500591</v>
      </c>
      <c r="Q43" s="31" t="n">
        <v>7.7242315469442</v>
      </c>
      <c r="R43" s="31" t="n">
        <v>8.327274532580827</v>
      </c>
      <c r="S43" s="31" t="n">
        <v>16.53569504425575</v>
      </c>
      <c r="T43" s="31" t="n">
        <v>611.279099187473</v>
      </c>
      <c r="U43" s="31" t="n">
        <v>3.734143737083239</v>
      </c>
      <c r="V43" s="31" t="n">
        <v>3.322641987215403</v>
      </c>
      <c r="W43" s="31" t="n">
        <v>13.71357958292598</v>
      </c>
      <c r="X43" s="31" t="n">
        <v>8.815284889491993</v>
      </c>
      <c r="Y43" s="31" t="n">
        <v>6.529721802119231</v>
      </c>
      <c r="Z43" s="31" t="n">
        <v>9.6211750194073</v>
      </c>
      <c r="AA43" s="31" t="n">
        <v>25.60530983248702</v>
      </c>
      <c r="AB43" s="31" t="n">
        <v>23.99961076278347</v>
      </c>
      <c r="AC43" s="31" t="n">
        <v>38.79240161600231</v>
      </c>
      <c r="AD43" s="31" t="n">
        <v>14.51759016737819</v>
      </c>
      <c r="AE43" s="31" t="n">
        <v>20.21484687861741</v>
      </c>
      <c r="AF43" s="31" t="n">
        <v>46469.11440028244</v>
      </c>
      <c r="AG43" s="31" t="n">
        <v>1180.543252580644</v>
      </c>
      <c r="AH43" s="31" t="n">
        <v>2005.687258902114</v>
      </c>
      <c r="AI43" s="31" t="n">
        <v>798.0735309586005</v>
      </c>
      <c r="AJ43" s="31" t="n">
        <v>449.0685749343883</v>
      </c>
      <c r="AK43" s="31" t="n">
        <v>218.2659581904489</v>
      </c>
      <c r="AL43" s="31" t="n">
        <v>159.1881739223924</v>
      </c>
      <c r="AM43" s="31" t="n">
        <v>1610.03156565707</v>
      </c>
      <c r="AN43" s="31" t="n">
        <v>522.1188190756541</v>
      </c>
      <c r="AO43" s="31" t="n">
        <v>37.49910239473383</v>
      </c>
      <c r="AP43" s="31" t="n">
        <v>1626.324391975466</v>
      </c>
      <c r="AQ43" s="31" t="n">
        <v>89.19257870785839</v>
      </c>
      <c r="AR43" s="31" t="n">
        <v>513.5891010330348</v>
      </c>
      <c r="AS43" s="31" t="n">
        <v>88.54590537507886</v>
      </c>
      <c r="AT43" s="31" t="n">
        <v>11.17900171660154</v>
      </c>
      <c r="AU43" s="31" t="n">
        <v>12.76911019733282</v>
      </c>
      <c r="AV43" s="31" t="n">
        <v>444.6674147157469</v>
      </c>
      <c r="AW43" s="31" t="n">
        <v>3.623253738052417</v>
      </c>
      <c r="AX43" s="31" t="n">
        <v>7.253132186216003</v>
      </c>
      <c r="AY43" s="31" t="n">
        <v>11.05684431195433</v>
      </c>
      <c r="AZ43" s="31" t="n">
        <v>678.877563155391</v>
      </c>
      <c r="BA43" s="31" t="n">
        <v>547.8503078516501</v>
      </c>
      <c r="BB43" s="31" t="n">
        <v>4342.608574733687</v>
      </c>
      <c r="BC43" s="31" t="n">
        <v>756.1315925617828</v>
      </c>
      <c r="BD43" s="31" t="n">
        <v>24.0023297798019</v>
      </c>
      <c r="BE43" s="31" t="n">
        <v>706.2358558048826</v>
      </c>
      <c r="BF43" s="31" t="n">
        <v>2477.61550845802</v>
      </c>
      <c r="BG43" s="31" t="n">
        <v>254.4879041839352</v>
      </c>
      <c r="BH43" s="31" t="n">
        <v>98.74809028297062</v>
      </c>
      <c r="BI43" s="31" t="n">
        <v>2193.71850624273</v>
      </c>
      <c r="BJ43" s="31" t="n">
        <v>298.9529980740836</v>
      </c>
      <c r="BK43" s="31" t="n">
        <v>817.9824404983818</v>
      </c>
      <c r="BL43" s="31" t="n">
        <v>1564.584952798893</v>
      </c>
      <c r="BM43" s="31" t="n">
        <v>228.0263779801947</v>
      </c>
      <c r="BN43" s="31" t="n">
        <v>622.9935984586415</v>
      </c>
      <c r="BO43" s="31" t="n">
        <v>523.9680683394254</v>
      </c>
      <c r="BP43" s="31" t="n">
        <v>135.7043702975085</v>
      </c>
      <c r="BQ43" s="31" t="n">
        <v>1657.596718377388</v>
      </c>
      <c r="BR43" s="31" t="n">
        <v>0</v>
      </c>
      <c r="BS43" s="31">
        <f>SUM(C43:BR43)</f>
        <v/>
      </c>
      <c r="BT43" s="31" t="n">
        <v>0</v>
      </c>
      <c r="BU43" s="31" t="n">
        <v>0</v>
      </c>
      <c r="BV43" s="31" t="n">
        <v>64536.62707836895</v>
      </c>
      <c r="BW43" s="31" t="n">
        <v>0</v>
      </c>
      <c r="BX43" s="31">
        <f>SUM(BT43:BW43)</f>
        <v/>
      </c>
      <c r="BY43" s="31">
        <f>BS43+BX43</f>
        <v/>
      </c>
    </row>
    <row r="44">
      <c r="A44" s="28" t="inlineStr">
        <is>
          <t>2700</t>
        </is>
      </c>
      <c r="B44" s="28" t="inlineStr">
        <is>
          <t>Fabricação de máquinas e equipamentos elétricos</t>
        </is>
      </c>
      <c r="C44" s="29" t="n">
        <v>62.87528694565623</v>
      </c>
      <c r="D44" s="29" t="n">
        <v>130.0895556922368</v>
      </c>
      <c r="E44" s="29" t="n">
        <v>8.175787139358263</v>
      </c>
      <c r="F44" s="29" t="n">
        <v>33.8358551092835</v>
      </c>
      <c r="G44" s="29" t="n">
        <v>327.2845955215649</v>
      </c>
      <c r="H44" s="29" t="n">
        <v>81.72513837407004</v>
      </c>
      <c r="I44" s="29" t="n">
        <v>36.29046800435015</v>
      </c>
      <c r="J44" s="29" t="n">
        <v>110.5602343154633</v>
      </c>
      <c r="K44" s="29" t="n">
        <v>33.63312112300918</v>
      </c>
      <c r="L44" s="29" t="n">
        <v>156.087239876032</v>
      </c>
      <c r="M44" s="29" t="n">
        <v>83.09681912622312</v>
      </c>
      <c r="N44" s="29" t="n">
        <v>3.508189811424086</v>
      </c>
      <c r="O44" s="29" t="n">
        <v>59.71089384381773</v>
      </c>
      <c r="P44" s="29" t="n">
        <v>12.6283790989128</v>
      </c>
      <c r="Q44" s="29" t="n">
        <v>16.56681899873625</v>
      </c>
      <c r="R44" s="29" t="n">
        <v>35.97636546764725</v>
      </c>
      <c r="S44" s="29" t="n">
        <v>85.83681542283303</v>
      </c>
      <c r="T44" s="29" t="n">
        <v>27.38526437697012</v>
      </c>
      <c r="U44" s="29" t="n">
        <v>10.84594448545944</v>
      </c>
      <c r="V44" s="29" t="n">
        <v>10.22609684762536</v>
      </c>
      <c r="W44" s="29" t="n">
        <v>140.8329537406503</v>
      </c>
      <c r="X44" s="29" t="n">
        <v>37.81975326435852</v>
      </c>
      <c r="Y44" s="29" t="n">
        <v>36.07705139126608</v>
      </c>
      <c r="Z44" s="29" t="n">
        <v>22.0232750109577</v>
      </c>
      <c r="AA44" s="29" t="n">
        <v>176.3587676821848</v>
      </c>
      <c r="AB44" s="29" t="n">
        <v>210.0539426810234</v>
      </c>
      <c r="AC44" s="29" t="n">
        <v>88.42722670212012</v>
      </c>
      <c r="AD44" s="29" t="n">
        <v>200.6610846084243</v>
      </c>
      <c r="AE44" s="29" t="n">
        <v>202.6005507438899</v>
      </c>
      <c r="AF44" s="29" t="n">
        <v>3285.087798018849</v>
      </c>
      <c r="AG44" s="29" t="n">
        <v>11763.38292892557</v>
      </c>
      <c r="AH44" s="29" t="n">
        <v>4637.107033224534</v>
      </c>
      <c r="AI44" s="29" t="n">
        <v>1878.100127877393</v>
      </c>
      <c r="AJ44" s="29" t="n">
        <v>1407.053008801119</v>
      </c>
      <c r="AK44" s="29" t="n">
        <v>700.1689737920124</v>
      </c>
      <c r="AL44" s="29" t="n">
        <v>392.2203334781185</v>
      </c>
      <c r="AM44" s="29" t="n">
        <v>3140.065850753555</v>
      </c>
      <c r="AN44" s="29" t="n">
        <v>8089.708603773719</v>
      </c>
      <c r="AO44" s="29" t="n">
        <v>263.654716866884</v>
      </c>
      <c r="AP44" s="29" t="n">
        <v>15541.37343691363</v>
      </c>
      <c r="AQ44" s="29" t="n">
        <v>698.2966074366619</v>
      </c>
      <c r="AR44" s="29" t="n">
        <v>1446.447833796291</v>
      </c>
      <c r="AS44" s="29" t="n">
        <v>1569.843133962447</v>
      </c>
      <c r="AT44" s="29" t="n">
        <v>24.71423122576843</v>
      </c>
      <c r="AU44" s="29" t="n">
        <v>2.005477859630972</v>
      </c>
      <c r="AV44" s="29" t="n">
        <v>121.6393229155314</v>
      </c>
      <c r="AW44" s="29" t="n">
        <v>52.19293482569924</v>
      </c>
      <c r="AX44" s="29" t="n">
        <v>72.51901602028551</v>
      </c>
      <c r="AY44" s="29" t="n">
        <v>14.58190743857744</v>
      </c>
      <c r="AZ44" s="29" t="n">
        <v>89.44770592222852</v>
      </c>
      <c r="BA44" s="29" t="n">
        <v>1237.211000113432</v>
      </c>
      <c r="BB44" s="29" t="n">
        <v>37.89797667646038</v>
      </c>
      <c r="BC44" s="29" t="n">
        <v>88.34176676887263</v>
      </c>
      <c r="BD44" s="29" t="n">
        <v>652.3549563423519</v>
      </c>
      <c r="BE44" s="29" t="n">
        <v>868.1081276306866</v>
      </c>
      <c r="BF44" s="29" t="n">
        <v>120.5591841693613</v>
      </c>
      <c r="BG44" s="29" t="n">
        <v>63.08271652726575</v>
      </c>
      <c r="BH44" s="29" t="n">
        <v>52.40865350495275</v>
      </c>
      <c r="BI44" s="29" t="n">
        <v>840.3469146362534</v>
      </c>
      <c r="BJ44" s="29" t="n">
        <v>6.273523920062988</v>
      </c>
      <c r="BK44" s="29" t="n">
        <v>166.8655311337218</v>
      </c>
      <c r="BL44" s="29" t="n">
        <v>96.67474332666742</v>
      </c>
      <c r="BM44" s="29" t="n">
        <v>19.86849201369189</v>
      </c>
      <c r="BN44" s="29" t="n">
        <v>31.72579750350367</v>
      </c>
      <c r="BO44" s="29" t="n">
        <v>28.18427911097347</v>
      </c>
      <c r="BP44" s="29" t="n">
        <v>107.5981150675478</v>
      </c>
      <c r="BQ44" s="29" t="n">
        <v>1302.851311505454</v>
      </c>
      <c r="BR44" s="29" t="n">
        <v>0</v>
      </c>
      <c r="BS44" s="29">
        <f>SUM(C44:BR44)</f>
        <v/>
      </c>
      <c r="BT44" s="29" t="n">
        <v>0</v>
      </c>
      <c r="BU44" s="29" t="n">
        <v>0</v>
      </c>
      <c r="BV44" s="29" t="n">
        <v>35568.37921114361</v>
      </c>
      <c r="BW44" s="29" t="n">
        <v>0</v>
      </c>
      <c r="BX44" s="29">
        <f>SUM(BT44:BW44)</f>
        <v/>
      </c>
      <c r="BY44" s="29">
        <f>BS44+BX44</f>
        <v/>
      </c>
    </row>
    <row r="45">
      <c r="A45" s="30" t="inlineStr">
        <is>
          <t>2800</t>
        </is>
      </c>
      <c r="B45" s="30" t="inlineStr">
        <is>
          <t>Fabricação de máquinas e equipamentos mecânicos</t>
        </is>
      </c>
      <c r="C45" s="31" t="n">
        <v>39.2905878563036</v>
      </c>
      <c r="D45" s="31" t="n">
        <v>59.94092443414328</v>
      </c>
      <c r="E45" s="31" t="n">
        <v>12.73928787102867</v>
      </c>
      <c r="F45" s="31" t="n">
        <v>292.2856663728701</v>
      </c>
      <c r="G45" s="31" t="n">
        <v>4710.744693281051</v>
      </c>
      <c r="H45" s="31" t="n">
        <v>3426.197631250235</v>
      </c>
      <c r="I45" s="31" t="n">
        <v>1162.903890479965</v>
      </c>
      <c r="J45" s="31" t="n">
        <v>109.5475677077572</v>
      </c>
      <c r="K45" s="31" t="n">
        <v>15.2826376868428</v>
      </c>
      <c r="L45" s="31" t="n">
        <v>116.0540456272817</v>
      </c>
      <c r="M45" s="31" t="n">
        <v>132.406261331543</v>
      </c>
      <c r="N45" s="31" t="n">
        <v>2.151019819693089</v>
      </c>
      <c r="O45" s="31" t="n">
        <v>11.7480662508874</v>
      </c>
      <c r="P45" s="31" t="n">
        <v>13.5436712691935</v>
      </c>
      <c r="Q45" s="31" t="n">
        <v>14.66498322151413</v>
      </c>
      <c r="R45" s="31" t="n">
        <v>116.6341511465474</v>
      </c>
      <c r="S45" s="31" t="n">
        <v>58.93543033225046</v>
      </c>
      <c r="T45" s="31" t="n">
        <v>40.22064272172646</v>
      </c>
      <c r="U45" s="31" t="n">
        <v>30.90017432157317</v>
      </c>
      <c r="V45" s="31" t="n">
        <v>12.41204165868534</v>
      </c>
      <c r="W45" s="31" t="n">
        <v>70.0677452803799</v>
      </c>
      <c r="X45" s="31" t="n">
        <v>48.30259467103203</v>
      </c>
      <c r="Y45" s="31" t="n">
        <v>46.51946531172547</v>
      </c>
      <c r="Z45" s="31" t="n">
        <v>28.64823729159687</v>
      </c>
      <c r="AA45" s="31" t="n">
        <v>200.5119897403251</v>
      </c>
      <c r="AB45" s="31" t="n">
        <v>89.42911604673162</v>
      </c>
      <c r="AC45" s="31" t="n">
        <v>218.7629583820157</v>
      </c>
      <c r="AD45" s="31" t="n">
        <v>112.0210597166206</v>
      </c>
      <c r="AE45" s="31" t="n">
        <v>399.7381482999903</v>
      </c>
      <c r="AF45" s="31" t="n">
        <v>311.9794922193659</v>
      </c>
      <c r="AG45" s="31" t="n">
        <v>1136.535691470122</v>
      </c>
      <c r="AH45" s="31" t="n">
        <v>29831.57634728586</v>
      </c>
      <c r="AI45" s="31" t="n">
        <v>3665.293829364133</v>
      </c>
      <c r="AJ45" s="31" t="n">
        <v>520.6027433962884</v>
      </c>
      <c r="AK45" s="31" t="n">
        <v>1577.75267273336</v>
      </c>
      <c r="AL45" s="31" t="n">
        <v>110.7027852186256</v>
      </c>
      <c r="AM45" s="31" t="n">
        <v>12114.27785418627</v>
      </c>
      <c r="AN45" s="31" t="n">
        <v>322.5199023876434</v>
      </c>
      <c r="AO45" s="31" t="n">
        <v>133.0112414076754</v>
      </c>
      <c r="AP45" s="31" t="n">
        <v>7183.044797052231</v>
      </c>
      <c r="AQ45" s="31" t="n">
        <v>921.399713174397</v>
      </c>
      <c r="AR45" s="31" t="n">
        <v>745.8443489098552</v>
      </c>
      <c r="AS45" s="31" t="n">
        <v>447.0713808096313</v>
      </c>
      <c r="AT45" s="31" t="n">
        <v>179.4752738548212</v>
      </c>
      <c r="AU45" s="31" t="n">
        <v>12.38630563429997</v>
      </c>
      <c r="AV45" s="31" t="n">
        <v>303.6994750199619</v>
      </c>
      <c r="AW45" s="31" t="n">
        <v>15.90151942047828</v>
      </c>
      <c r="AX45" s="31" t="n">
        <v>67.91852291790913</v>
      </c>
      <c r="AY45" s="31" t="n">
        <v>14.49840920017807</v>
      </c>
      <c r="AZ45" s="31" t="n">
        <v>10.10258634681678</v>
      </c>
      <c r="BA45" s="31" t="n">
        <v>131.5704206632318</v>
      </c>
      <c r="BB45" s="31" t="n">
        <v>31.01532828928106</v>
      </c>
      <c r="BC45" s="31" t="n">
        <v>21.07779437086489</v>
      </c>
      <c r="BD45" s="31" t="n">
        <v>33.54897881157846</v>
      </c>
      <c r="BE45" s="31" t="n">
        <v>44.20979874592943</v>
      </c>
      <c r="BF45" s="31" t="n">
        <v>122.0659816644961</v>
      </c>
      <c r="BG45" s="31" t="n">
        <v>9.69025917766735</v>
      </c>
      <c r="BH45" s="31" t="n">
        <v>29.82409054445898</v>
      </c>
      <c r="BI45" s="31" t="n">
        <v>1651.880562960752</v>
      </c>
      <c r="BJ45" s="31" t="n">
        <v>6.424331805870484</v>
      </c>
      <c r="BK45" s="31" t="n">
        <v>185.8162561643736</v>
      </c>
      <c r="BL45" s="31" t="n">
        <v>42.56162719597453</v>
      </c>
      <c r="BM45" s="31" t="n">
        <v>5.363917015959423</v>
      </c>
      <c r="BN45" s="31" t="n">
        <v>199.8428219330324</v>
      </c>
      <c r="BO45" s="31" t="n">
        <v>40.47712507083914</v>
      </c>
      <c r="BP45" s="31" t="n">
        <v>20.55700767451812</v>
      </c>
      <c r="BQ45" s="31" t="n">
        <v>64.30866599044478</v>
      </c>
      <c r="BR45" s="31" t="n">
        <v>0</v>
      </c>
      <c r="BS45" s="31">
        <f>SUM(C45:BR45)</f>
        <v/>
      </c>
      <c r="BT45" s="31" t="n">
        <v>0</v>
      </c>
      <c r="BU45" s="31" t="n">
        <v>0</v>
      </c>
      <c r="BV45" s="31" t="n">
        <v>93740.95486573287</v>
      </c>
      <c r="BW45" s="31" t="n">
        <v>0</v>
      </c>
      <c r="BX45" s="31">
        <f>SUM(BT45:BW45)</f>
        <v/>
      </c>
      <c r="BY45" s="31">
        <f>BS45+BX45</f>
        <v/>
      </c>
    </row>
    <row r="46">
      <c r="A46" s="28" t="inlineStr">
        <is>
          <t>2991</t>
        </is>
      </c>
      <c r="B46" s="28" t="inlineStr">
        <is>
          <t>Fabricação de automóveis, caminhões e ônibus, exceto peças</t>
        </is>
      </c>
      <c r="C46" s="29" t="n">
        <v>9.636419597489546</v>
      </c>
      <c r="D46" s="29" t="n">
        <v>7.065408247001892</v>
      </c>
      <c r="E46" s="29" t="n">
        <v>0.809540327351102</v>
      </c>
      <c r="F46" s="29" t="n">
        <v>3.869255458508318</v>
      </c>
      <c r="G46" s="29" t="n">
        <v>31.00609832063778</v>
      </c>
      <c r="H46" s="29" t="n">
        <v>31.74644590478735</v>
      </c>
      <c r="I46" s="29" t="n">
        <v>7.788542711247886</v>
      </c>
      <c r="J46" s="29" t="n">
        <v>7.605190704228548</v>
      </c>
      <c r="K46" s="29" t="n">
        <v>65.98219724530695</v>
      </c>
      <c r="L46" s="29" t="n">
        <v>9.319386209721543</v>
      </c>
      <c r="M46" s="29" t="n">
        <v>11.62062578130807</v>
      </c>
      <c r="N46" s="29" t="n">
        <v>0.5554290326603279</v>
      </c>
      <c r="O46" s="29" t="n">
        <v>1.592935876145377</v>
      </c>
      <c r="P46" s="29" t="n">
        <v>0.941180848762355</v>
      </c>
      <c r="Q46" s="29" t="n">
        <v>1.134174639940223</v>
      </c>
      <c r="R46" s="29" t="n">
        <v>2.181426351636783</v>
      </c>
      <c r="S46" s="29" t="n">
        <v>3.393920409013921</v>
      </c>
      <c r="T46" s="29" t="n">
        <v>0.6843508709902356</v>
      </c>
      <c r="U46" s="29" t="n">
        <v>0.8113738592103732</v>
      </c>
      <c r="V46" s="29" t="n">
        <v>0.5388016276808825</v>
      </c>
      <c r="W46" s="29" t="n">
        <v>6.812338154862319</v>
      </c>
      <c r="X46" s="29" t="n">
        <v>27.3131439385883</v>
      </c>
      <c r="Y46" s="29" t="n">
        <v>4.22235533135628</v>
      </c>
      <c r="Z46" s="29" t="n">
        <v>6.621199402326184</v>
      </c>
      <c r="AA46" s="29" t="n">
        <v>9.269783168288942</v>
      </c>
      <c r="AB46" s="29" t="n">
        <v>16.65098343274693</v>
      </c>
      <c r="AC46" s="29" t="n">
        <v>6.941932391246453</v>
      </c>
      <c r="AD46" s="29" t="n">
        <v>6.279823264994607</v>
      </c>
      <c r="AE46" s="29" t="n">
        <v>15.59655389690834</v>
      </c>
      <c r="AF46" s="29" t="n">
        <v>75.69477804713233</v>
      </c>
      <c r="AG46" s="29" t="n">
        <v>247.5776206907549</v>
      </c>
      <c r="AH46" s="29" t="n">
        <v>314.116390627173</v>
      </c>
      <c r="AI46" s="29" t="n">
        <v>9280.698475796191</v>
      </c>
      <c r="AJ46" s="29" t="n">
        <v>267.7129849603461</v>
      </c>
      <c r="AK46" s="29" t="n">
        <v>132.6633455377425</v>
      </c>
      <c r="AL46" s="29" t="n">
        <v>11.88113060530977</v>
      </c>
      <c r="AM46" s="29" t="n">
        <v>150.4063129860202</v>
      </c>
      <c r="AN46" s="29" t="n">
        <v>192.5648763928435</v>
      </c>
      <c r="AO46" s="29" t="n">
        <v>19.09668663757848</v>
      </c>
      <c r="AP46" s="29" t="n">
        <v>462.2251915446075</v>
      </c>
      <c r="AQ46" s="29" t="n">
        <v>728.8314925837601</v>
      </c>
      <c r="AR46" s="29" t="n">
        <v>112.5093059752213</v>
      </c>
      <c r="AS46" s="29" t="n">
        <v>1003.756915486503</v>
      </c>
      <c r="AT46" s="29" t="n">
        <v>1.653337487225133</v>
      </c>
      <c r="AU46" s="29" t="n">
        <v>0.1572459283818098</v>
      </c>
      <c r="AV46" s="29" t="n">
        <v>12.47915937575578</v>
      </c>
      <c r="AW46" s="29" t="n">
        <v>2.099187552840407</v>
      </c>
      <c r="AX46" s="29" t="n">
        <v>8.626023840205169</v>
      </c>
      <c r="AY46" s="29" t="n">
        <v>0.6765170489050335</v>
      </c>
      <c r="AZ46" s="29" t="n">
        <v>3.133891207306523</v>
      </c>
      <c r="BA46" s="29" t="n">
        <v>31.59111830035506</v>
      </c>
      <c r="BB46" s="29" t="n">
        <v>2.945127188626405</v>
      </c>
      <c r="BC46" s="29" t="n">
        <v>6.172730011167546</v>
      </c>
      <c r="BD46" s="29" t="n">
        <v>17.6830451941089</v>
      </c>
      <c r="BE46" s="29" t="n">
        <v>21.34525404001029</v>
      </c>
      <c r="BF46" s="29" t="n">
        <v>47.65284122421306</v>
      </c>
      <c r="BG46" s="29" t="n">
        <v>2.011970586990105</v>
      </c>
      <c r="BH46" s="29" t="n">
        <v>21.30298302441147</v>
      </c>
      <c r="BI46" s="29" t="n">
        <v>30.31731097189015</v>
      </c>
      <c r="BJ46" s="29" t="n">
        <v>3.04088402060704</v>
      </c>
      <c r="BK46" s="29" t="n">
        <v>80.84885430706052</v>
      </c>
      <c r="BL46" s="29" t="n">
        <v>13.7920462062595</v>
      </c>
      <c r="BM46" s="29" t="n">
        <v>2.10736477856939</v>
      </c>
      <c r="BN46" s="29" t="n">
        <v>23.69383704259674</v>
      </c>
      <c r="BO46" s="29" t="n">
        <v>12.42667882207392</v>
      </c>
      <c r="BP46" s="29" t="n">
        <v>4.953526011743304</v>
      </c>
      <c r="BQ46" s="29" t="n">
        <v>18.86390685415298</v>
      </c>
      <c r="BR46" s="29" t="n">
        <v>0</v>
      </c>
      <c r="BS46" s="29">
        <f>SUM(C46:BR46)</f>
        <v/>
      </c>
      <c r="BT46" s="29" t="n">
        <v>0</v>
      </c>
      <c r="BU46" s="29" t="n">
        <v>0</v>
      </c>
      <c r="BV46" s="29" t="n">
        <v>163210.2794502652</v>
      </c>
      <c r="BW46" s="29" t="n">
        <v>0</v>
      </c>
      <c r="BX46" s="29">
        <f>SUM(BT46:BW46)</f>
        <v/>
      </c>
      <c r="BY46" s="29">
        <f>BS46+BX46</f>
        <v/>
      </c>
    </row>
    <row r="47">
      <c r="A47" s="30" t="inlineStr">
        <is>
          <t>2992</t>
        </is>
      </c>
      <c r="B47" s="30" t="inlineStr">
        <is>
          <t>Fabricação de peças e acessórios para veículos automotores</t>
        </is>
      </c>
      <c r="C47" s="31" t="n">
        <v>21.79261000938871</v>
      </c>
      <c r="D47" s="31" t="n">
        <v>16.43141147928241</v>
      </c>
      <c r="E47" s="31" t="n">
        <v>1.225970358482908</v>
      </c>
      <c r="F47" s="31" t="n">
        <v>6.618235749761985</v>
      </c>
      <c r="G47" s="31" t="n">
        <v>79.11744646716281</v>
      </c>
      <c r="H47" s="31" t="n">
        <v>53.39357232406877</v>
      </c>
      <c r="I47" s="31" t="n">
        <v>16.15688852184443</v>
      </c>
      <c r="J47" s="31" t="n">
        <v>37.53022104973177</v>
      </c>
      <c r="K47" s="31" t="n">
        <v>4.313463339774122</v>
      </c>
      <c r="L47" s="31" t="n">
        <v>55.46881934113069</v>
      </c>
      <c r="M47" s="31" t="n">
        <v>55.44685093950232</v>
      </c>
      <c r="N47" s="31" t="n">
        <v>0.6368589972823758</v>
      </c>
      <c r="O47" s="31" t="n">
        <v>35.54979044452303</v>
      </c>
      <c r="P47" s="31" t="n">
        <v>8.370713112408849</v>
      </c>
      <c r="Q47" s="31" t="n">
        <v>19.23365617652847</v>
      </c>
      <c r="R47" s="31" t="n">
        <v>8.012649845348376</v>
      </c>
      <c r="S47" s="31" t="n">
        <v>11.73331165865586</v>
      </c>
      <c r="T47" s="31" t="n">
        <v>6.654376999862514</v>
      </c>
      <c r="U47" s="31" t="n">
        <v>5.559421376174655</v>
      </c>
      <c r="V47" s="31" t="n">
        <v>1.4985519860864</v>
      </c>
      <c r="W47" s="31" t="n">
        <v>16.07656293406793</v>
      </c>
      <c r="X47" s="31" t="n">
        <v>15.93568834877527</v>
      </c>
      <c r="Y47" s="31" t="n">
        <v>20.10146558932891</v>
      </c>
      <c r="Z47" s="31" t="n">
        <v>6.722262555676323</v>
      </c>
      <c r="AA47" s="31" t="n">
        <v>100.6480767893451</v>
      </c>
      <c r="AB47" s="31" t="n">
        <v>34.28535784577321</v>
      </c>
      <c r="AC47" s="31" t="n">
        <v>65.85716295947047</v>
      </c>
      <c r="AD47" s="31" t="n">
        <v>14.77318085328279</v>
      </c>
      <c r="AE47" s="31" t="n">
        <v>186.9180635688253</v>
      </c>
      <c r="AF47" s="31" t="n">
        <v>102.6210583811095</v>
      </c>
      <c r="AG47" s="31" t="n">
        <v>181.6723592977515</v>
      </c>
      <c r="AH47" s="31" t="n">
        <v>614.6873249752782</v>
      </c>
      <c r="AI47" s="31" t="n">
        <v>60649.0877135339</v>
      </c>
      <c r="AJ47" s="31" t="n">
        <v>14300.05813496006</v>
      </c>
      <c r="AK47" s="31" t="n">
        <v>205.7707537664464</v>
      </c>
      <c r="AL47" s="31" t="n">
        <v>42.58160380879239</v>
      </c>
      <c r="AM47" s="31" t="n">
        <v>266.2981296329845</v>
      </c>
      <c r="AN47" s="31" t="n">
        <v>114.6002299711767</v>
      </c>
      <c r="AO47" s="31" t="n">
        <v>14.09048685038149</v>
      </c>
      <c r="AP47" s="31" t="n">
        <v>793.7851865605853</v>
      </c>
      <c r="AQ47" s="31" t="n">
        <v>20084.93025041496</v>
      </c>
      <c r="AR47" s="31" t="n">
        <v>206.8797142427427</v>
      </c>
      <c r="AS47" s="31" t="n">
        <v>14668.77664933539</v>
      </c>
      <c r="AT47" s="31" t="n">
        <v>3.635306512878342</v>
      </c>
      <c r="AU47" s="31" t="n">
        <v>9.871104307078804</v>
      </c>
      <c r="AV47" s="31" t="n">
        <v>16.71866542422303</v>
      </c>
      <c r="AW47" s="31" t="n">
        <v>10.50912855502546</v>
      </c>
      <c r="AX47" s="31" t="n">
        <v>43.56862922802163</v>
      </c>
      <c r="AY47" s="31" t="n">
        <v>1.700209988771246</v>
      </c>
      <c r="AZ47" s="31" t="n">
        <v>3.511929286468278</v>
      </c>
      <c r="BA47" s="31" t="n">
        <v>25.4326894045763</v>
      </c>
      <c r="BB47" s="31" t="n">
        <v>7.078754981628015</v>
      </c>
      <c r="BC47" s="31" t="n">
        <v>21.91462401774556</v>
      </c>
      <c r="BD47" s="31" t="n">
        <v>22.15929910833557</v>
      </c>
      <c r="BE47" s="31" t="n">
        <v>28.31232377586259</v>
      </c>
      <c r="BF47" s="31" t="n">
        <v>68.21169963776308</v>
      </c>
      <c r="BG47" s="31" t="n">
        <v>4.541006380349232</v>
      </c>
      <c r="BH47" s="31" t="n">
        <v>266.4088064267919</v>
      </c>
      <c r="BI47" s="31" t="n">
        <v>53.69768685848128</v>
      </c>
      <c r="BJ47" s="31" t="n">
        <v>2.683179224349769</v>
      </c>
      <c r="BK47" s="31" t="n">
        <v>1308.687244816203</v>
      </c>
      <c r="BL47" s="31" t="n">
        <v>401.2811350935843</v>
      </c>
      <c r="BM47" s="31" t="n">
        <v>15.08799603846478</v>
      </c>
      <c r="BN47" s="31" t="n">
        <v>180.3903025369773</v>
      </c>
      <c r="BO47" s="31" t="n">
        <v>13.4450543827902</v>
      </c>
      <c r="BP47" s="31" t="n">
        <v>16.19320551422015</v>
      </c>
      <c r="BQ47" s="31" t="n">
        <v>31.87635857096319</v>
      </c>
      <c r="BR47" s="31" t="n">
        <v>0</v>
      </c>
      <c r="BS47" s="31">
        <f>SUM(C47:BR47)</f>
        <v/>
      </c>
      <c r="BT47" s="31" t="n">
        <v>0</v>
      </c>
      <c r="BU47" s="31" t="n">
        <v>0</v>
      </c>
      <c r="BV47" s="31" t="n">
        <v>11263.74656811417</v>
      </c>
      <c r="BW47" s="31" t="n">
        <v>0</v>
      </c>
      <c r="BX47" s="31">
        <f>SUM(BT47:BW47)</f>
        <v/>
      </c>
      <c r="BY47" s="31">
        <f>BS47+BX47</f>
        <v/>
      </c>
    </row>
    <row r="48">
      <c r="A48" s="28" t="inlineStr">
        <is>
          <t>3000</t>
        </is>
      </c>
      <c r="B48" s="28" t="inlineStr">
        <is>
          <t>Fabricação de outros equipamentos de transporte, exceto veículos automotores</t>
        </is>
      </c>
      <c r="C48" s="29" t="n">
        <v>2.036120575238797</v>
      </c>
      <c r="D48" s="29" t="n">
        <v>2.663973897090802</v>
      </c>
      <c r="E48" s="29" t="n">
        <v>0.6338080786748631</v>
      </c>
      <c r="F48" s="29" t="n">
        <v>4.072012388906632</v>
      </c>
      <c r="G48" s="29" t="n">
        <v>37.85078811643825</v>
      </c>
      <c r="H48" s="29" t="n">
        <v>21.58929657890321</v>
      </c>
      <c r="I48" s="29" t="n">
        <v>8.340380637364557</v>
      </c>
      <c r="J48" s="29" t="n">
        <v>14.83417610925861</v>
      </c>
      <c r="K48" s="29" t="n">
        <v>2.671402403440092</v>
      </c>
      <c r="L48" s="29" t="n">
        <v>13.81583160919879</v>
      </c>
      <c r="M48" s="29" t="n">
        <v>16.49458755973181</v>
      </c>
      <c r="N48" s="29" t="n">
        <v>0.2891335847053041</v>
      </c>
      <c r="O48" s="29" t="n">
        <v>1.306018114763579</v>
      </c>
      <c r="P48" s="29" t="n">
        <v>8.622319483331029</v>
      </c>
      <c r="Q48" s="29" t="n">
        <v>2.684905042189694</v>
      </c>
      <c r="R48" s="29" t="n">
        <v>4.032612531166441</v>
      </c>
      <c r="S48" s="29" t="n">
        <v>9.833314861369411</v>
      </c>
      <c r="T48" s="29" t="n">
        <v>4.944299746053529</v>
      </c>
      <c r="U48" s="29" t="n">
        <v>80.00012191147557</v>
      </c>
      <c r="V48" s="29" t="n">
        <v>2.33153914642712</v>
      </c>
      <c r="W48" s="29" t="n">
        <v>8.038809822535129</v>
      </c>
      <c r="X48" s="29" t="n">
        <v>5.409487822181481</v>
      </c>
      <c r="Y48" s="29" t="n">
        <v>5.127020846099028</v>
      </c>
      <c r="Z48" s="29" t="n">
        <v>4.653152761484456</v>
      </c>
      <c r="AA48" s="29" t="n">
        <v>9.481321811417942</v>
      </c>
      <c r="AB48" s="29" t="n">
        <v>12.99171835411421</v>
      </c>
      <c r="AC48" s="29" t="n">
        <v>33.11263721867129</v>
      </c>
      <c r="AD48" s="29" t="n">
        <v>7.942212050581266</v>
      </c>
      <c r="AE48" s="29" t="n">
        <v>33.71737735480074</v>
      </c>
      <c r="AF48" s="29" t="n">
        <v>11.72617817131123</v>
      </c>
      <c r="AG48" s="29" t="n">
        <v>36.62672301768074</v>
      </c>
      <c r="AH48" s="29" t="n">
        <v>164.5876165336969</v>
      </c>
      <c r="AI48" s="29" t="n">
        <v>49.20529000772326</v>
      </c>
      <c r="AJ48" s="29" t="n">
        <v>18.44819983576602</v>
      </c>
      <c r="AK48" s="29" t="n">
        <v>15481.10689084733</v>
      </c>
      <c r="AL48" s="29" t="n">
        <v>16.48239456520514</v>
      </c>
      <c r="AM48" s="29" t="n">
        <v>2125.585384340407</v>
      </c>
      <c r="AN48" s="29" t="n">
        <v>37.0535647868373</v>
      </c>
      <c r="AO48" s="29" t="n">
        <v>6.805551140083065</v>
      </c>
      <c r="AP48" s="29" t="n">
        <v>173.4452102905112</v>
      </c>
      <c r="AQ48" s="29" t="n">
        <v>210.5287896860446</v>
      </c>
      <c r="AR48" s="29" t="n">
        <v>40.95375085876127</v>
      </c>
      <c r="AS48" s="29" t="n">
        <v>1512.543063860006</v>
      </c>
      <c r="AT48" s="29" t="n">
        <v>3.792494670900608</v>
      </c>
      <c r="AU48" s="29" t="n">
        <v>1.320319965460254</v>
      </c>
      <c r="AV48" s="29" t="n">
        <v>12.38071662840193</v>
      </c>
      <c r="AW48" s="29" t="n">
        <v>1.123924999936815</v>
      </c>
      <c r="AX48" s="29" t="n">
        <v>9.519717546626271</v>
      </c>
      <c r="AY48" s="29" t="n">
        <v>2.67995843233895</v>
      </c>
      <c r="AZ48" s="29" t="n">
        <v>1.313828643190344</v>
      </c>
      <c r="BA48" s="29" t="n">
        <v>7.006409573869281</v>
      </c>
      <c r="BB48" s="29" t="n">
        <v>4.238682048166257</v>
      </c>
      <c r="BC48" s="29" t="n">
        <v>4.119287777994612</v>
      </c>
      <c r="BD48" s="29" t="n">
        <v>4.276911141677698</v>
      </c>
      <c r="BE48" s="29" t="n">
        <v>7.363074050123916</v>
      </c>
      <c r="BF48" s="29" t="n">
        <v>8.370905545948965</v>
      </c>
      <c r="BG48" s="29" t="n">
        <v>2.391901892321862</v>
      </c>
      <c r="BH48" s="29" t="n">
        <v>6.679593573170452</v>
      </c>
      <c r="BI48" s="29" t="n">
        <v>15.13570204762648</v>
      </c>
      <c r="BJ48" s="29" t="n">
        <v>1.217469189399321</v>
      </c>
      <c r="BK48" s="29" t="n">
        <v>399.1498689376956</v>
      </c>
      <c r="BL48" s="29" t="n">
        <v>7.023781082655441</v>
      </c>
      <c r="BM48" s="29" t="n">
        <v>1.479389595255272</v>
      </c>
      <c r="BN48" s="29" t="n">
        <v>16.28751078964589</v>
      </c>
      <c r="BO48" s="29" t="n">
        <v>54.32291254068375</v>
      </c>
      <c r="BP48" s="29" t="n">
        <v>4.445962505152516</v>
      </c>
      <c r="BQ48" s="29" t="n">
        <v>117.9207766089757</v>
      </c>
      <c r="BR48" s="29" t="n">
        <v>0</v>
      </c>
      <c r="BS48" s="29">
        <f>SUM(C48:BR48)</f>
        <v/>
      </c>
      <c r="BT48" s="29" t="n">
        <v>0</v>
      </c>
      <c r="BU48" s="29" t="n">
        <v>0</v>
      </c>
      <c r="BV48" s="29" t="n">
        <v>36351.80859780298</v>
      </c>
      <c r="BW48" s="29" t="n">
        <v>0</v>
      </c>
      <c r="BX48" s="29">
        <f>SUM(BT48:BW48)</f>
        <v/>
      </c>
      <c r="BY48" s="29">
        <f>BS48+BX48</f>
        <v/>
      </c>
    </row>
    <row r="49">
      <c r="A49" s="30" t="inlineStr">
        <is>
          <t>3180</t>
        </is>
      </c>
      <c r="B49" s="30" t="inlineStr">
        <is>
          <t>Fabricação de móveis e de produtos de indústrias diversas</t>
        </is>
      </c>
      <c r="C49" s="31" t="n">
        <v>54.74284641639318</v>
      </c>
      <c r="D49" s="31" t="n">
        <v>39.17485581590183</v>
      </c>
      <c r="E49" s="31" t="n">
        <v>17.81913340931714</v>
      </c>
      <c r="F49" s="31" t="n">
        <v>9.571051562100909</v>
      </c>
      <c r="G49" s="31" t="n">
        <v>115.7837791374744</v>
      </c>
      <c r="H49" s="31" t="n">
        <v>52.01478963382031</v>
      </c>
      <c r="I49" s="31" t="n">
        <v>13.23880869685765</v>
      </c>
      <c r="J49" s="31" t="n">
        <v>78.64051791090218</v>
      </c>
      <c r="K49" s="31" t="n">
        <v>14.28095845151914</v>
      </c>
      <c r="L49" s="31" t="n">
        <v>152.8841593878111</v>
      </c>
      <c r="M49" s="31" t="n">
        <v>96.7296821296747</v>
      </c>
      <c r="N49" s="31" t="n">
        <v>0.9785917885906106</v>
      </c>
      <c r="O49" s="31" t="n">
        <v>107.7299091376604</v>
      </c>
      <c r="P49" s="31" t="n">
        <v>2166.231126283595</v>
      </c>
      <c r="Q49" s="31" t="n">
        <v>465.6845487927221</v>
      </c>
      <c r="R49" s="31" t="n">
        <v>46.38247583462271</v>
      </c>
      <c r="S49" s="31" t="n">
        <v>40.98539841355218</v>
      </c>
      <c r="T49" s="31" t="n">
        <v>23.33654123516298</v>
      </c>
      <c r="U49" s="31" t="n">
        <v>11.20560300864821</v>
      </c>
      <c r="V49" s="31" t="n">
        <v>4.061669772196802</v>
      </c>
      <c r="W49" s="31" t="n">
        <v>181.533908877752</v>
      </c>
      <c r="X49" s="31" t="n">
        <v>95.92902634051617</v>
      </c>
      <c r="Y49" s="31" t="n">
        <v>50.00107532233579</v>
      </c>
      <c r="Z49" s="31" t="n">
        <v>112.5310161101806</v>
      </c>
      <c r="AA49" s="31" t="n">
        <v>305.34549439307</v>
      </c>
      <c r="AB49" s="31" t="n">
        <v>278.9095424713208</v>
      </c>
      <c r="AC49" s="31" t="n">
        <v>44.69730907395813</v>
      </c>
      <c r="AD49" s="31" t="n">
        <v>10.42491598551937</v>
      </c>
      <c r="AE49" s="31" t="n">
        <v>125.0495851550601</v>
      </c>
      <c r="AF49" s="31" t="n">
        <v>130.2842229184023</v>
      </c>
      <c r="AG49" s="31" t="n">
        <v>98.612079060748</v>
      </c>
      <c r="AH49" s="31" t="n">
        <v>1082.111136451728</v>
      </c>
      <c r="AI49" s="31" t="n">
        <v>647.3851890761239</v>
      </c>
      <c r="AJ49" s="31" t="n">
        <v>693.439812387894</v>
      </c>
      <c r="AK49" s="31" t="n">
        <v>104.2366192326098</v>
      </c>
      <c r="AL49" s="31" t="n">
        <v>4200.070823706665</v>
      </c>
      <c r="AM49" s="31" t="n">
        <v>261.5804699358298</v>
      </c>
      <c r="AN49" s="31" t="n">
        <v>141.8584017215745</v>
      </c>
      <c r="AO49" s="31" t="n">
        <v>63.3230314379548</v>
      </c>
      <c r="AP49" s="31" t="n">
        <v>2116.323307693426</v>
      </c>
      <c r="AQ49" s="31" t="n">
        <v>81.55197944365278</v>
      </c>
      <c r="AR49" s="31" t="n">
        <v>773.8776864888516</v>
      </c>
      <c r="AS49" s="31" t="n">
        <v>170.9957003236473</v>
      </c>
      <c r="AT49" s="31" t="n">
        <v>128.2141736660284</v>
      </c>
      <c r="AU49" s="31" t="n">
        <v>4.066769334667046</v>
      </c>
      <c r="AV49" s="31" t="n">
        <v>250.6282176723357</v>
      </c>
      <c r="AW49" s="31" t="n">
        <v>18.40371818149441</v>
      </c>
      <c r="AX49" s="31" t="n">
        <v>50.96750293565972</v>
      </c>
      <c r="AY49" s="31" t="n">
        <v>4.635385619854855</v>
      </c>
      <c r="AZ49" s="31" t="n">
        <v>85.47286666164088</v>
      </c>
      <c r="BA49" s="31" t="n">
        <v>10.93912186354625</v>
      </c>
      <c r="BB49" s="31" t="n">
        <v>120.6442764395593</v>
      </c>
      <c r="BC49" s="31" t="n">
        <v>343.5407890619697</v>
      </c>
      <c r="BD49" s="31" t="n">
        <v>226.9457727748905</v>
      </c>
      <c r="BE49" s="31" t="n">
        <v>380.0912775650857</v>
      </c>
      <c r="BF49" s="31" t="n">
        <v>645.7957073410691</v>
      </c>
      <c r="BG49" s="31" t="n">
        <v>443.4119262901835</v>
      </c>
      <c r="BH49" s="31" t="n">
        <v>817.3029776075482</v>
      </c>
      <c r="BI49" s="31" t="n">
        <v>310.0718361909228</v>
      </c>
      <c r="BJ49" s="31" t="n">
        <v>30.04357236958473</v>
      </c>
      <c r="BK49" s="31" t="n">
        <v>1319.09382553145</v>
      </c>
      <c r="BL49" s="31" t="n">
        <v>1516.246277348172</v>
      </c>
      <c r="BM49" s="31" t="n">
        <v>47.92060769264734</v>
      </c>
      <c r="BN49" s="31" t="n">
        <v>3455.680191585765</v>
      </c>
      <c r="BO49" s="31" t="n">
        <v>16085.10093648932</v>
      </c>
      <c r="BP49" s="31" t="n">
        <v>276.0849452498548</v>
      </c>
      <c r="BQ49" s="31" t="n">
        <v>191.2143483173642</v>
      </c>
      <c r="BR49" s="31" t="n">
        <v>0</v>
      </c>
      <c r="BS49" s="31">
        <f>SUM(C49:BR49)</f>
        <v/>
      </c>
      <c r="BT49" s="31" t="n">
        <v>0</v>
      </c>
      <c r="BU49" s="31" t="n">
        <v>0</v>
      </c>
      <c r="BV49" s="31" t="n">
        <v>55097.30929146715</v>
      </c>
      <c r="BW49" s="31" t="n">
        <v>0</v>
      </c>
      <c r="BX49" s="31">
        <f>SUM(BT49:BW49)</f>
        <v/>
      </c>
      <c r="BY49" s="31">
        <f>BS49+BX49</f>
        <v/>
      </c>
    </row>
    <row r="50">
      <c r="A50" s="28" t="inlineStr">
        <is>
          <t>3300</t>
        </is>
      </c>
      <c r="B50" s="28" t="inlineStr">
        <is>
          <t>Manutenção, reparação e instalação de máquinas e equipamentos</t>
        </is>
      </c>
      <c r="C50" s="29" t="n">
        <v>78.08384193072027</v>
      </c>
      <c r="D50" s="29" t="n">
        <v>35.18819178126285</v>
      </c>
      <c r="E50" s="29" t="n">
        <v>100.3059940984126</v>
      </c>
      <c r="F50" s="29" t="n">
        <v>813.3102297497112</v>
      </c>
      <c r="G50" s="29" t="n">
        <v>2452.132292733434</v>
      </c>
      <c r="H50" s="29" t="n">
        <v>1124.122506615591</v>
      </c>
      <c r="I50" s="29" t="n">
        <v>767.7092146711074</v>
      </c>
      <c r="J50" s="29" t="n">
        <v>1049.401509185908</v>
      </c>
      <c r="K50" s="29" t="n">
        <v>613.7896020780402</v>
      </c>
      <c r="L50" s="29" t="n">
        <v>564.7488064538929</v>
      </c>
      <c r="M50" s="29" t="n">
        <v>414.4804993231808</v>
      </c>
      <c r="N50" s="29" t="n">
        <v>12.61010134294203</v>
      </c>
      <c r="O50" s="29" t="n">
        <v>166.8611750279198</v>
      </c>
      <c r="P50" s="29" t="n">
        <v>295.4593009747416</v>
      </c>
      <c r="Q50" s="29" t="n">
        <v>187.4703398821089</v>
      </c>
      <c r="R50" s="29" t="n">
        <v>551.0635998484518</v>
      </c>
      <c r="S50" s="29" t="n">
        <v>2419.820659800715</v>
      </c>
      <c r="T50" s="29" t="n">
        <v>1342.919776185925</v>
      </c>
      <c r="U50" s="29" t="n">
        <v>585.4686051947834</v>
      </c>
      <c r="V50" s="29" t="n">
        <v>603.4539151030206</v>
      </c>
      <c r="W50" s="29" t="n">
        <v>1081.34341723512</v>
      </c>
      <c r="X50" s="29" t="n">
        <v>529.2523680432138</v>
      </c>
      <c r="Y50" s="29" t="n">
        <v>162.8397049173214</v>
      </c>
      <c r="Z50" s="29" t="n">
        <v>607.1674850702705</v>
      </c>
      <c r="AA50" s="29" t="n">
        <v>549.8485439492428</v>
      </c>
      <c r="AB50" s="29" t="n">
        <v>2844.414873332382</v>
      </c>
      <c r="AC50" s="29" t="n">
        <v>7388.631274789296</v>
      </c>
      <c r="AD50" s="29" t="n">
        <v>1862.312096682084</v>
      </c>
      <c r="AE50" s="29" t="n">
        <v>786.9365383663634</v>
      </c>
      <c r="AF50" s="29" t="n">
        <v>149.188166686026</v>
      </c>
      <c r="AG50" s="29" t="n">
        <v>587.7679254221285</v>
      </c>
      <c r="AH50" s="29" t="n">
        <v>1886.11584377345</v>
      </c>
      <c r="AI50" s="29" t="n">
        <v>305.7949511735285</v>
      </c>
      <c r="AJ50" s="29" t="n">
        <v>658.2575703513824</v>
      </c>
      <c r="AK50" s="29" t="n">
        <v>604.832664468958</v>
      </c>
      <c r="AL50" s="29" t="n">
        <v>733.3393153501675</v>
      </c>
      <c r="AM50" s="29" t="n">
        <v>877.9770868101705</v>
      </c>
      <c r="AN50" s="29" t="n">
        <v>1612.441084963337</v>
      </c>
      <c r="AO50" s="29" t="n">
        <v>1114.3534386677</v>
      </c>
      <c r="AP50" s="29" t="n">
        <v>2871.704045559811</v>
      </c>
      <c r="AQ50" s="29" t="n">
        <v>845.1814961794914</v>
      </c>
      <c r="AR50" s="29" t="n">
        <v>4202.330111127927</v>
      </c>
      <c r="AS50" s="29" t="n">
        <v>670.5088214044318</v>
      </c>
      <c r="AT50" s="29" t="n">
        <v>757.0386972695242</v>
      </c>
      <c r="AU50" s="29" t="n">
        <v>390.0289535409784</v>
      </c>
      <c r="AV50" s="29" t="n">
        <v>2860.564618373821</v>
      </c>
      <c r="AW50" s="29" t="n">
        <v>7.57483598173231</v>
      </c>
      <c r="AX50" s="29" t="n">
        <v>251.5743855595796</v>
      </c>
      <c r="AY50" s="29" t="n">
        <v>730.546400209211</v>
      </c>
      <c r="AZ50" s="29" t="n">
        <v>166.210267562769</v>
      </c>
      <c r="BA50" s="29" t="n">
        <v>550.0380015900055</v>
      </c>
      <c r="BB50" s="29" t="n">
        <v>868.7396799129193</v>
      </c>
      <c r="BC50" s="29" t="n">
        <v>319.8959744495945</v>
      </c>
      <c r="BD50" s="29" t="n">
        <v>107.5843756372795</v>
      </c>
      <c r="BE50" s="29" t="n">
        <v>843.0941576582734</v>
      </c>
      <c r="BF50" s="29" t="n">
        <v>233.3727720263606</v>
      </c>
      <c r="BG50" s="29" t="n">
        <v>147.008297985902</v>
      </c>
      <c r="BH50" s="29" t="n">
        <v>1004.523192372191</v>
      </c>
      <c r="BI50" s="29" t="n">
        <v>814.1470570062419</v>
      </c>
      <c r="BJ50" s="29" t="n">
        <v>218.5895924289323</v>
      </c>
      <c r="BK50" s="29" t="n">
        <v>1150.108791763933</v>
      </c>
      <c r="BL50" s="29" t="n">
        <v>130.2291908039568</v>
      </c>
      <c r="BM50" s="29" t="n">
        <v>1.759891459012943</v>
      </c>
      <c r="BN50" s="29" t="n">
        <v>1047.917324454869</v>
      </c>
      <c r="BO50" s="29" t="n">
        <v>431.9342780907401</v>
      </c>
      <c r="BP50" s="29" t="n">
        <v>638.942836754534</v>
      </c>
      <c r="BQ50" s="29" t="n">
        <v>531.732756686631</v>
      </c>
      <c r="BR50" s="29" t="n">
        <v>0</v>
      </c>
      <c r="BS50" s="29">
        <f>SUM(C50:BR50)</f>
        <v/>
      </c>
      <c r="BT50" s="29" t="n">
        <v>0</v>
      </c>
      <c r="BU50" s="29" t="n">
        <v>0</v>
      </c>
      <c r="BV50" s="29" t="n">
        <v>10546.31162636045</v>
      </c>
      <c r="BW50" s="29" t="n">
        <v>0</v>
      </c>
      <c r="BX50" s="29">
        <f>SUM(BT50:BW50)</f>
        <v/>
      </c>
      <c r="BY50" s="29">
        <f>BS50+BX50</f>
        <v/>
      </c>
    </row>
    <row r="51">
      <c r="A51" s="30" t="inlineStr">
        <is>
          <t>3500</t>
        </is>
      </c>
      <c r="B51" s="30" t="inlineStr">
        <is>
          <t>Energia elétrica, gás natural e outras utilidades</t>
        </is>
      </c>
      <c r="C51" s="31" t="n">
        <v>4959.623257920828</v>
      </c>
      <c r="D51" s="31" t="n">
        <v>3385.273802758241</v>
      </c>
      <c r="E51" s="31" t="n">
        <v>279.6671683312868</v>
      </c>
      <c r="F51" s="31" t="n">
        <v>522.5125849935439</v>
      </c>
      <c r="G51" s="31" t="n">
        <v>169.0324403935</v>
      </c>
      <c r="H51" s="31" t="n">
        <v>910.2123401849195</v>
      </c>
      <c r="I51" s="31" t="n">
        <v>297.8392421760209</v>
      </c>
      <c r="J51" s="31" t="n">
        <v>1155.484424093777</v>
      </c>
      <c r="K51" s="31" t="n">
        <v>55.10643660072204</v>
      </c>
      <c r="L51" s="31" t="n">
        <v>2316.574127312074</v>
      </c>
      <c r="M51" s="31" t="n">
        <v>551.6359930927416</v>
      </c>
      <c r="N51" s="31" t="n">
        <v>48.42942536905016</v>
      </c>
      <c r="O51" s="31" t="n">
        <v>1180.884709796701</v>
      </c>
      <c r="P51" s="31" t="n">
        <v>195.895479996904</v>
      </c>
      <c r="Q51" s="31" t="n">
        <v>229.5471765056822</v>
      </c>
      <c r="R51" s="31" t="n">
        <v>648.5318016042492</v>
      </c>
      <c r="S51" s="31" t="n">
        <v>1616.10840089397</v>
      </c>
      <c r="T51" s="31" t="n">
        <v>131.8309778281013</v>
      </c>
      <c r="U51" s="31" t="n">
        <v>73.88566039257289</v>
      </c>
      <c r="V51" s="31" t="n">
        <v>104.6295098391971</v>
      </c>
      <c r="W51" s="31" t="n">
        <v>3610.085033445278</v>
      </c>
      <c r="X51" s="31" t="n">
        <v>523.838041236359</v>
      </c>
      <c r="Y51" s="31" t="n">
        <v>175.0660845011836</v>
      </c>
      <c r="Z51" s="31" t="n">
        <v>232.7933909337487</v>
      </c>
      <c r="AA51" s="31" t="n">
        <v>1696.854906381757</v>
      </c>
      <c r="AB51" s="31" t="n">
        <v>3875.629408817509</v>
      </c>
      <c r="AC51" s="31" t="n">
        <v>2435.472565409188</v>
      </c>
      <c r="AD51" s="31" t="n">
        <v>1979.177594575022</v>
      </c>
      <c r="AE51" s="31" t="n">
        <v>985.0340004776386</v>
      </c>
      <c r="AF51" s="31" t="n">
        <v>145.0794994887106</v>
      </c>
      <c r="AG51" s="31" t="n">
        <v>483.8369784806349</v>
      </c>
      <c r="AH51" s="31" t="n">
        <v>593.177089727478</v>
      </c>
      <c r="AI51" s="31" t="n">
        <v>467.6909735667957</v>
      </c>
      <c r="AJ51" s="31" t="n">
        <v>989.3443390985801</v>
      </c>
      <c r="AK51" s="31" t="n">
        <v>242.2314904585753</v>
      </c>
      <c r="AL51" s="31" t="n">
        <v>297.0660016656738</v>
      </c>
      <c r="AM51" s="31" t="n">
        <v>168.7121388339274</v>
      </c>
      <c r="AN51" s="31" t="n">
        <v>82288.65725533296</v>
      </c>
      <c r="AO51" s="31" t="n">
        <v>2309.238503456465</v>
      </c>
      <c r="AP51" s="31" t="n">
        <v>532.4814870313973</v>
      </c>
      <c r="AQ51" s="31" t="n">
        <v>1103.279968892419</v>
      </c>
      <c r="AR51" s="31" t="n">
        <v>14198.94715298981</v>
      </c>
      <c r="AS51" s="31" t="n">
        <v>1155.343054666145</v>
      </c>
      <c r="AT51" s="31" t="n">
        <v>41.13067011648707</v>
      </c>
      <c r="AU51" s="31" t="n">
        <v>26.9682445495424</v>
      </c>
      <c r="AV51" s="31" t="n">
        <v>850.5780496802563</v>
      </c>
      <c r="AW51" s="31" t="n">
        <v>987.5371243499928</v>
      </c>
      <c r="AX51" s="31" t="n">
        <v>1346.623437321148</v>
      </c>
      <c r="AY51" s="31" t="n">
        <v>141.4945162333671</v>
      </c>
      <c r="AZ51" s="31" t="n">
        <v>324.4617976711535</v>
      </c>
      <c r="BA51" s="31" t="n">
        <v>1593.243234085618</v>
      </c>
      <c r="BB51" s="31" t="n">
        <v>425.3414603967364</v>
      </c>
      <c r="BC51" s="31" t="n">
        <v>1744.868198259387</v>
      </c>
      <c r="BD51" s="31" t="n">
        <v>360.481702569928</v>
      </c>
      <c r="BE51" s="31" t="n">
        <v>830.3813765567932</v>
      </c>
      <c r="BF51" s="31" t="n">
        <v>259.1308839994246</v>
      </c>
      <c r="BG51" s="31" t="n">
        <v>164.587786522339</v>
      </c>
      <c r="BH51" s="31" t="n">
        <v>141.4009709308972</v>
      </c>
      <c r="BI51" s="31" t="n">
        <v>4604.420258968824</v>
      </c>
      <c r="BJ51" s="31" t="n">
        <v>75.73074372235423</v>
      </c>
      <c r="BK51" s="31" t="n">
        <v>5187.762414644024</v>
      </c>
      <c r="BL51" s="31" t="n">
        <v>1773.94417429726</v>
      </c>
      <c r="BM51" s="31" t="n">
        <v>1790.907600168163</v>
      </c>
      <c r="BN51" s="31" t="n">
        <v>1305.516804278559</v>
      </c>
      <c r="BO51" s="31" t="n">
        <v>1085.933798504392</v>
      </c>
      <c r="BP51" s="31" t="n">
        <v>803.6393609821823</v>
      </c>
      <c r="BQ51" s="31" t="n">
        <v>2645.7114794034</v>
      </c>
      <c r="BR51" s="31" t="n">
        <v>0</v>
      </c>
      <c r="BS51" s="31">
        <f>SUM(C51:BR51)</f>
        <v/>
      </c>
      <c r="BT51" s="31" t="n">
        <v>0</v>
      </c>
      <c r="BU51" s="31" t="n">
        <v>0</v>
      </c>
      <c r="BV51" s="31" t="n">
        <v>64082.9515462687</v>
      </c>
      <c r="BW51" s="31" t="n">
        <v>0</v>
      </c>
      <c r="BX51" s="31">
        <f>SUM(BT51:BW51)</f>
        <v/>
      </c>
      <c r="BY51" s="31">
        <f>BS51+BX51</f>
        <v/>
      </c>
    </row>
    <row r="52">
      <c r="A52" s="28" t="inlineStr">
        <is>
          <t>3680</t>
        </is>
      </c>
      <c r="B52" s="28" t="inlineStr">
        <is>
          <t>Água, esgoto e gestão de resíduos</t>
        </is>
      </c>
      <c r="C52" s="29" t="n">
        <v>3.579100466121857</v>
      </c>
      <c r="D52" s="29" t="n">
        <v>1.090356169842718</v>
      </c>
      <c r="E52" s="29" t="n">
        <v>1.058826452797887</v>
      </c>
      <c r="F52" s="29" t="n">
        <v>32.11996396322065</v>
      </c>
      <c r="G52" s="29" t="n">
        <v>39.28262593753232</v>
      </c>
      <c r="H52" s="29" t="n">
        <v>165.7726572653022</v>
      </c>
      <c r="I52" s="29" t="n">
        <v>57.21749565239624</v>
      </c>
      <c r="J52" s="29" t="n">
        <v>135.6228222800952</v>
      </c>
      <c r="K52" s="29" t="n">
        <v>62.69837983664819</v>
      </c>
      <c r="L52" s="29" t="n">
        <v>259.4149482276151</v>
      </c>
      <c r="M52" s="29" t="n">
        <v>492.896207620316</v>
      </c>
      <c r="N52" s="29" t="n">
        <v>1.062392314845976</v>
      </c>
      <c r="O52" s="29" t="n">
        <v>61.00755590333897</v>
      </c>
      <c r="P52" s="29" t="n">
        <v>29.23151878625386</v>
      </c>
      <c r="Q52" s="29" t="n">
        <v>22.67242371459702</v>
      </c>
      <c r="R52" s="29" t="n">
        <v>203.2706171623728</v>
      </c>
      <c r="S52" s="29" t="n">
        <v>327.7053982166891</v>
      </c>
      <c r="T52" s="29" t="n">
        <v>9.885379662540494</v>
      </c>
      <c r="U52" s="29" t="n">
        <v>375.3215891950764</v>
      </c>
      <c r="V52" s="29" t="n">
        <v>22.79540016251807</v>
      </c>
      <c r="W52" s="29" t="n">
        <v>592.1243252057151</v>
      </c>
      <c r="X52" s="29" t="n">
        <v>337.0822093749501</v>
      </c>
      <c r="Y52" s="29" t="n">
        <v>125.4686361019681</v>
      </c>
      <c r="Z52" s="29" t="n">
        <v>67.84039281942901</v>
      </c>
      <c r="AA52" s="29" t="n">
        <v>523.8206496680895</v>
      </c>
      <c r="AB52" s="29" t="n">
        <v>765.1103013680665</v>
      </c>
      <c r="AC52" s="29" t="n">
        <v>4059.476158996686</v>
      </c>
      <c r="AD52" s="29" t="n">
        <v>2191.692486390283</v>
      </c>
      <c r="AE52" s="29" t="n">
        <v>167.4023694964259</v>
      </c>
      <c r="AF52" s="29" t="n">
        <v>26.97670532781081</v>
      </c>
      <c r="AG52" s="29" t="n">
        <v>60.52276929848304</v>
      </c>
      <c r="AH52" s="29" t="n">
        <v>106.4484151639106</v>
      </c>
      <c r="AI52" s="29" t="n">
        <v>103.6321888302753</v>
      </c>
      <c r="AJ52" s="29" t="n">
        <v>270.6108021402794</v>
      </c>
      <c r="AK52" s="29" t="n">
        <v>135.7412196250129</v>
      </c>
      <c r="AL52" s="29" t="n">
        <v>71.49578152558765</v>
      </c>
      <c r="AM52" s="29" t="n">
        <v>24.33806494680482</v>
      </c>
      <c r="AN52" s="29" t="n">
        <v>68.51611296670075</v>
      </c>
      <c r="AO52" s="29" t="n">
        <v>933.164221692286</v>
      </c>
      <c r="AP52" s="29" t="n">
        <v>302.8480931249725</v>
      </c>
      <c r="AQ52" s="29" t="n">
        <v>354.3341611458707</v>
      </c>
      <c r="AR52" s="29" t="n">
        <v>3535.732225721611</v>
      </c>
      <c r="AS52" s="29" t="n">
        <v>261.0721173018258</v>
      </c>
      <c r="AT52" s="29" t="n">
        <v>8.905577508410198</v>
      </c>
      <c r="AU52" s="29" t="n">
        <v>5.152476809341493</v>
      </c>
      <c r="AV52" s="29" t="n">
        <v>649.9249796136572</v>
      </c>
      <c r="AW52" s="29" t="n">
        <v>309.9665683151898</v>
      </c>
      <c r="AX52" s="29" t="n">
        <v>1037.840979989899</v>
      </c>
      <c r="AY52" s="29" t="n">
        <v>35.76897954424533</v>
      </c>
      <c r="AZ52" s="29" t="n">
        <v>52.65054186644064</v>
      </c>
      <c r="BA52" s="29" t="n">
        <v>51.27597999225603</v>
      </c>
      <c r="BB52" s="29" t="n">
        <v>92.42967875623116</v>
      </c>
      <c r="BC52" s="29" t="n">
        <v>457.5354508099712</v>
      </c>
      <c r="BD52" s="29" t="n">
        <v>363.4270161564205</v>
      </c>
      <c r="BE52" s="29" t="n">
        <v>449.7584922698378</v>
      </c>
      <c r="BF52" s="29" t="n">
        <v>68.82863472504991</v>
      </c>
      <c r="BG52" s="29" t="n">
        <v>30.92247164180605</v>
      </c>
      <c r="BH52" s="29" t="n">
        <v>45.07831497495817</v>
      </c>
      <c r="BI52" s="29" t="n">
        <v>3988.895931011032</v>
      </c>
      <c r="BJ52" s="29" t="n">
        <v>28.79692407370039</v>
      </c>
      <c r="BK52" s="29" t="n">
        <v>9510.159821598392</v>
      </c>
      <c r="BL52" s="29" t="n">
        <v>1405.321676430312</v>
      </c>
      <c r="BM52" s="29" t="n">
        <v>205.9400912363105</v>
      </c>
      <c r="BN52" s="29" t="n">
        <v>1608.784409311846</v>
      </c>
      <c r="BO52" s="29" t="n">
        <v>1550.935287597177</v>
      </c>
      <c r="BP52" s="29" t="n">
        <v>116.8291634803876</v>
      </c>
      <c r="BQ52" s="29" t="n">
        <v>1599.672522269486</v>
      </c>
      <c r="BR52" s="29" t="n">
        <v>0</v>
      </c>
      <c r="BS52" s="29">
        <f>SUM(C52:BR52)</f>
        <v/>
      </c>
      <c r="BT52" s="29" t="n">
        <v>0</v>
      </c>
      <c r="BU52" s="29" t="n">
        <v>0</v>
      </c>
      <c r="BV52" s="29" t="n">
        <v>22974.0270167118</v>
      </c>
      <c r="BW52" s="29" t="n">
        <v>0</v>
      </c>
      <c r="BX52" s="29">
        <f>SUM(BT52:BW52)</f>
        <v/>
      </c>
      <c r="BY52" s="29">
        <f>BS52+BX52</f>
        <v/>
      </c>
    </row>
    <row r="53">
      <c r="A53" s="30" t="inlineStr">
        <is>
          <t>4180</t>
        </is>
      </c>
      <c r="B53" s="30" t="inlineStr">
        <is>
          <t>Construção</t>
        </is>
      </c>
      <c r="C53" s="31" t="n">
        <v>79.90351763926823</v>
      </c>
      <c r="D53" s="31" t="n">
        <v>166.5632200166454</v>
      </c>
      <c r="E53" s="31" t="n">
        <v>10.94465871485649</v>
      </c>
      <c r="F53" s="31" t="n">
        <v>7.665369310639823</v>
      </c>
      <c r="G53" s="31" t="n">
        <v>2410.562423503373</v>
      </c>
      <c r="H53" s="31" t="n">
        <v>1129.117241673393</v>
      </c>
      <c r="I53" s="31" t="n">
        <v>298.5572237319669</v>
      </c>
      <c r="J53" s="31" t="n">
        <v>9.390438996322583</v>
      </c>
      <c r="K53" s="31" t="n">
        <v>11.49605684427248</v>
      </c>
      <c r="L53" s="31" t="n">
        <v>26.39357229365084</v>
      </c>
      <c r="M53" s="31" t="n">
        <v>6.148931941818186</v>
      </c>
      <c r="N53" s="31" t="n">
        <v>0.810982038085859</v>
      </c>
      <c r="O53" s="31" t="n">
        <v>26.5732185627891</v>
      </c>
      <c r="P53" s="31" t="n">
        <v>4.573926369637304</v>
      </c>
      <c r="Q53" s="31" t="n">
        <v>1.81376539811205</v>
      </c>
      <c r="R53" s="31" t="n">
        <v>1.859972528150977</v>
      </c>
      <c r="S53" s="31" t="n">
        <v>28.50729107487472</v>
      </c>
      <c r="T53" s="31" t="n">
        <v>20.99223478349593</v>
      </c>
      <c r="U53" s="31" t="n">
        <v>27.44915898738517</v>
      </c>
      <c r="V53" s="31" t="n">
        <v>24.87581053816362</v>
      </c>
      <c r="W53" s="31" t="n">
        <v>82.27977738803918</v>
      </c>
      <c r="X53" s="31" t="n">
        <v>8.678083649469277</v>
      </c>
      <c r="Y53" s="31" t="n">
        <v>2.736837931013539</v>
      </c>
      <c r="Z53" s="31" t="n">
        <v>4.69031620225272</v>
      </c>
      <c r="AA53" s="31" t="n">
        <v>11.23031944135444</v>
      </c>
      <c r="AB53" s="31" t="n">
        <v>34.20299772177751</v>
      </c>
      <c r="AC53" s="31" t="n">
        <v>107.05773440159</v>
      </c>
      <c r="AD53" s="31" t="n">
        <v>1469.558543603583</v>
      </c>
      <c r="AE53" s="31" t="n">
        <v>67.22795201985068</v>
      </c>
      <c r="AF53" s="31" t="n">
        <v>92.35691316635872</v>
      </c>
      <c r="AG53" s="31" t="n">
        <v>15.78364197896816</v>
      </c>
      <c r="AH53" s="31" t="n">
        <v>106.2959380468184</v>
      </c>
      <c r="AI53" s="31" t="n">
        <v>294.2145425752314</v>
      </c>
      <c r="AJ53" s="31" t="n">
        <v>33.43212727940251</v>
      </c>
      <c r="AK53" s="31" t="n">
        <v>250.567918835788</v>
      </c>
      <c r="AL53" s="31" t="n">
        <v>20.03261764518805</v>
      </c>
      <c r="AM53" s="31" t="n">
        <v>9.231051686966996</v>
      </c>
      <c r="AN53" s="31" t="n">
        <v>19.96974105750595</v>
      </c>
      <c r="AO53" s="31" t="n">
        <v>4035.696093590005</v>
      </c>
      <c r="AP53" s="31" t="n">
        <v>68059.53389094082</v>
      </c>
      <c r="AQ53" s="31" t="n">
        <v>571.470486195685</v>
      </c>
      <c r="AR53" s="31" t="n">
        <v>1025.409059261533</v>
      </c>
      <c r="AS53" s="31" t="n">
        <v>328.5664808619549</v>
      </c>
      <c r="AT53" s="31" t="n">
        <v>17.75714684419944</v>
      </c>
      <c r="AU53" s="31" t="n">
        <v>38.52556449927679</v>
      </c>
      <c r="AV53" s="31" t="n">
        <v>1333.727718601908</v>
      </c>
      <c r="AW53" s="31" t="n">
        <v>290.6566899072761</v>
      </c>
      <c r="AX53" s="31" t="n">
        <v>408.0150585042019</v>
      </c>
      <c r="AY53" s="31" t="n">
        <v>26.33107075254856</v>
      </c>
      <c r="AZ53" s="31" t="n">
        <v>264.4702576234927</v>
      </c>
      <c r="BA53" s="31" t="n">
        <v>5123.67037842393</v>
      </c>
      <c r="BB53" s="31" t="n">
        <v>846.4072487382531</v>
      </c>
      <c r="BC53" s="31" t="n">
        <v>1618.196325463206</v>
      </c>
      <c r="BD53" s="31" t="n">
        <v>1578.983631929906</v>
      </c>
      <c r="BE53" s="31" t="n">
        <v>287.880589915973</v>
      </c>
      <c r="BF53" s="31" t="n">
        <v>807.4131254255207</v>
      </c>
      <c r="BG53" s="31" t="n">
        <v>14.74488184718924</v>
      </c>
      <c r="BH53" s="31" t="n">
        <v>221.6455223546511</v>
      </c>
      <c r="BI53" s="31" t="n">
        <v>2736.009257188271</v>
      </c>
      <c r="BJ53" s="31" t="n">
        <v>14.09449195016992</v>
      </c>
      <c r="BK53" s="31" t="n">
        <v>13083.58347446432</v>
      </c>
      <c r="BL53" s="31" t="n">
        <v>1428.566202469108</v>
      </c>
      <c r="BM53" s="31" t="n">
        <v>419.0912519795166</v>
      </c>
      <c r="BN53" s="31" t="n">
        <v>3512.836078676289</v>
      </c>
      <c r="BO53" s="31" t="n">
        <v>25.33425058060927</v>
      </c>
      <c r="BP53" s="31" t="n">
        <v>155.100089089391</v>
      </c>
      <c r="BQ53" s="31" t="n">
        <v>401.7258495830594</v>
      </c>
      <c r="BR53" s="31" t="n">
        <v>0</v>
      </c>
      <c r="BS53" s="31">
        <f>SUM(C53:BR53)</f>
        <v/>
      </c>
      <c r="BT53" s="31" t="n">
        <v>0</v>
      </c>
      <c r="BU53" s="31" t="n">
        <v>0</v>
      </c>
      <c r="BV53" s="31" t="n">
        <v>553374.4383509848</v>
      </c>
      <c r="BW53" s="31" t="n">
        <v>0</v>
      </c>
      <c r="BX53" s="31">
        <f>SUM(BT53:BW53)</f>
        <v/>
      </c>
      <c r="BY53" s="31">
        <f>BS53+BX53</f>
        <v/>
      </c>
    </row>
    <row r="54">
      <c r="A54" s="28" t="inlineStr">
        <is>
          <t>4500</t>
        </is>
      </c>
      <c r="B54" s="28" t="inlineStr">
        <is>
          <t>Comércio e reparação de veículos automotores e motocicletas</t>
        </is>
      </c>
      <c r="C54" s="29" t="n">
        <v>200.3308211418193</v>
      </c>
      <c r="D54" s="29" t="n">
        <v>43.4238199699715</v>
      </c>
      <c r="E54" s="29" t="n">
        <v>24.54933718078453</v>
      </c>
      <c r="F54" s="29" t="n">
        <v>96.11307217207874</v>
      </c>
      <c r="G54" s="29" t="n">
        <v>317.9095992665104</v>
      </c>
      <c r="H54" s="29" t="n">
        <v>588.5668826142486</v>
      </c>
      <c r="I54" s="29" t="n">
        <v>82.2663980347823</v>
      </c>
      <c r="J54" s="29" t="n">
        <v>26.62816602960394</v>
      </c>
      <c r="K54" s="29" t="n">
        <v>22.91421404600925</v>
      </c>
      <c r="L54" s="29" t="n">
        <v>55.95067661756445</v>
      </c>
      <c r="M54" s="29" t="n">
        <v>47.72127427191438</v>
      </c>
      <c r="N54" s="29" t="n">
        <v>1.208154431491011</v>
      </c>
      <c r="O54" s="29" t="n">
        <v>5.693401025618314</v>
      </c>
      <c r="P54" s="29" t="n">
        <v>5.373795185471149</v>
      </c>
      <c r="Q54" s="29" t="n">
        <v>5.593885103966576</v>
      </c>
      <c r="R54" s="29" t="n">
        <v>3.950568515895769</v>
      </c>
      <c r="S54" s="29" t="n">
        <v>19.92930464929575</v>
      </c>
      <c r="T54" s="29" t="n">
        <v>4.594692897479997</v>
      </c>
      <c r="U54" s="29" t="n">
        <v>13.86132270705404</v>
      </c>
      <c r="V54" s="29" t="n">
        <v>8.53037775429941</v>
      </c>
      <c r="W54" s="29" t="n">
        <v>14.41399037988237</v>
      </c>
      <c r="X54" s="29" t="n">
        <v>21.43028564248644</v>
      </c>
      <c r="Y54" s="29" t="n">
        <v>4.356059032431491</v>
      </c>
      <c r="Z54" s="29" t="n">
        <v>43.33907148791544</v>
      </c>
      <c r="AA54" s="29" t="n">
        <v>182.2411456643961</v>
      </c>
      <c r="AB54" s="29" t="n">
        <v>302.0471912881566</v>
      </c>
      <c r="AC54" s="29" t="n">
        <v>25.39001737415315</v>
      </c>
      <c r="AD54" s="29" t="n">
        <v>47.47957969297205</v>
      </c>
      <c r="AE54" s="29" t="n">
        <v>23.54808451435697</v>
      </c>
      <c r="AF54" s="29" t="n">
        <v>476.1445355722732</v>
      </c>
      <c r="AG54" s="29" t="n">
        <v>37.00699396140607</v>
      </c>
      <c r="AH54" s="29" t="n">
        <v>2454.274887440105</v>
      </c>
      <c r="AI54" s="29" t="n">
        <v>1103.788931339826</v>
      </c>
      <c r="AJ54" s="29" t="n">
        <v>183.3536021506235</v>
      </c>
      <c r="AK54" s="29" t="n">
        <v>18.68774791098891</v>
      </c>
      <c r="AL54" s="29" t="n">
        <v>42.454251554836</v>
      </c>
      <c r="AM54" s="29" t="n">
        <v>61.27524412850468</v>
      </c>
      <c r="AN54" s="29" t="n">
        <v>311.0073530186637</v>
      </c>
      <c r="AO54" s="29" t="n">
        <v>611.9576023964478</v>
      </c>
      <c r="AP54" s="29" t="n">
        <v>683.9659687615438</v>
      </c>
      <c r="AQ54" s="29" t="n">
        <v>1605.908233715087</v>
      </c>
      <c r="AR54" s="29" t="n">
        <v>3136.837750815191</v>
      </c>
      <c r="AS54" s="29" t="n">
        <v>5577.526317437929</v>
      </c>
      <c r="AT54" s="29" t="n">
        <v>37.33711110715111</v>
      </c>
      <c r="AU54" s="29" t="n">
        <v>85.95160783213746</v>
      </c>
      <c r="AV54" s="29" t="n">
        <v>411.5254295774361</v>
      </c>
      <c r="AW54" s="29" t="n">
        <v>3.353069509168692</v>
      </c>
      <c r="AX54" s="29" t="n">
        <v>111.0062791330398</v>
      </c>
      <c r="AY54" s="29" t="n">
        <v>28.31818743462958</v>
      </c>
      <c r="AZ54" s="29" t="n">
        <v>76.98022372098097</v>
      </c>
      <c r="BA54" s="29" t="n">
        <v>159.8175161410989</v>
      </c>
      <c r="BB54" s="29" t="n">
        <v>57.27613768821578</v>
      </c>
      <c r="BC54" s="29" t="n">
        <v>133.0194203493399</v>
      </c>
      <c r="BD54" s="29" t="n">
        <v>34.58379647365479</v>
      </c>
      <c r="BE54" s="29" t="n">
        <v>17.49328159108738</v>
      </c>
      <c r="BF54" s="29" t="n">
        <v>116.7670848816513</v>
      </c>
      <c r="BG54" s="29" t="n">
        <v>24.49288861826127</v>
      </c>
      <c r="BH54" s="29" t="n">
        <v>811.9438521158955</v>
      </c>
      <c r="BI54" s="29" t="n">
        <v>83.18069971096952</v>
      </c>
      <c r="BJ54" s="29" t="n">
        <v>143.6423979845736</v>
      </c>
      <c r="BK54" s="29" t="n">
        <v>1630.086857599434</v>
      </c>
      <c r="BL54" s="29" t="n">
        <v>319.5528553778425</v>
      </c>
      <c r="BM54" s="29" t="n">
        <v>49.80986276857967</v>
      </c>
      <c r="BN54" s="29" t="n">
        <v>1011.849278569768</v>
      </c>
      <c r="BO54" s="29" t="n">
        <v>585.9147460714127</v>
      </c>
      <c r="BP54" s="29" t="n">
        <v>54.95114033849882</v>
      </c>
      <c r="BQ54" s="29" t="n">
        <v>41.53962567900849</v>
      </c>
      <c r="BR54" s="29" t="n">
        <v>0</v>
      </c>
      <c r="BS54" s="29">
        <f>SUM(C54:BR54)</f>
        <v/>
      </c>
      <c r="BT54" s="29" t="n">
        <v>0</v>
      </c>
      <c r="BU54" s="29" t="n">
        <v>0</v>
      </c>
      <c r="BV54" s="29" t="n">
        <v>100964.7506232543</v>
      </c>
      <c r="BW54" s="29" t="n">
        <v>0</v>
      </c>
      <c r="BX54" s="29">
        <f>SUM(BT54:BW54)</f>
        <v/>
      </c>
      <c r="BY54" s="29">
        <f>BS54+BX54</f>
        <v/>
      </c>
    </row>
    <row r="55">
      <c r="A55" s="30" t="inlineStr">
        <is>
          <t>4680</t>
        </is>
      </c>
      <c r="B55" s="30" t="inlineStr">
        <is>
          <t>Comércio por atacado e a varejo, exceto veículos automotores</t>
        </is>
      </c>
      <c r="C55" s="31" t="n">
        <v>540.8566247627683</v>
      </c>
      <c r="D55" s="31" t="n">
        <v>808.2659898977574</v>
      </c>
      <c r="E55" s="31" t="n">
        <v>40.44790463972554</v>
      </c>
      <c r="F55" s="31" t="n">
        <v>159.6189183318037</v>
      </c>
      <c r="G55" s="31" t="n">
        <v>1410.729909651018</v>
      </c>
      <c r="H55" s="31" t="n">
        <v>372.6391542215548</v>
      </c>
      <c r="I55" s="31" t="n">
        <v>177.3010823666235</v>
      </c>
      <c r="J55" s="31" t="n">
        <v>8864.540188560073</v>
      </c>
      <c r="K55" s="31" t="n">
        <v>470.701381581659</v>
      </c>
      <c r="L55" s="31" t="n">
        <v>6665.155346797634</v>
      </c>
      <c r="M55" s="31" t="n">
        <v>690.7071200549435</v>
      </c>
      <c r="N55" s="31" t="n">
        <v>190.6535891746262</v>
      </c>
      <c r="O55" s="31" t="n">
        <v>617.7727820025884</v>
      </c>
      <c r="P55" s="31" t="n">
        <v>805.5855855145692</v>
      </c>
      <c r="Q55" s="31" t="n">
        <v>996.5039550632955</v>
      </c>
      <c r="R55" s="31" t="n">
        <v>367.0087911779656</v>
      </c>
      <c r="S55" s="31" t="n">
        <v>1968.184849815883</v>
      </c>
      <c r="T55" s="31" t="n">
        <v>306.6068820258661</v>
      </c>
      <c r="U55" s="31" t="n">
        <v>4180.969480297626</v>
      </c>
      <c r="V55" s="31" t="n">
        <v>559.8769005247113</v>
      </c>
      <c r="W55" s="31" t="n">
        <v>1026.432607985373</v>
      </c>
      <c r="X55" s="31" t="n">
        <v>1175.544853748004</v>
      </c>
      <c r="Y55" s="31" t="n">
        <v>257.7761799501332</v>
      </c>
      <c r="Z55" s="31" t="n">
        <v>2036.739204551126</v>
      </c>
      <c r="AA55" s="31" t="n">
        <v>1782.011001422346</v>
      </c>
      <c r="AB55" s="31" t="n">
        <v>1661.903613438746</v>
      </c>
      <c r="AC55" s="31" t="n">
        <v>2222.340723856971</v>
      </c>
      <c r="AD55" s="31" t="n">
        <v>665.2249625425266</v>
      </c>
      <c r="AE55" s="31" t="n">
        <v>1545.244162311807</v>
      </c>
      <c r="AF55" s="31" t="n">
        <v>1438.730394020371</v>
      </c>
      <c r="AG55" s="31" t="n">
        <v>1236.98885027428</v>
      </c>
      <c r="AH55" s="31" t="n">
        <v>3349.824750977903</v>
      </c>
      <c r="AI55" s="31" t="n">
        <v>499.7485586672246</v>
      </c>
      <c r="AJ55" s="31" t="n">
        <v>238.9810059980333</v>
      </c>
      <c r="AK55" s="31" t="n">
        <v>342.7000892003525</v>
      </c>
      <c r="AL55" s="31" t="n">
        <v>908.5808915501511</v>
      </c>
      <c r="AM55" s="31" t="n">
        <v>307.428556080319</v>
      </c>
      <c r="AN55" s="31" t="n">
        <v>564.8807709144901</v>
      </c>
      <c r="AO55" s="31" t="n">
        <v>284.5943203230673</v>
      </c>
      <c r="AP55" s="31" t="n">
        <v>1866.575872437675</v>
      </c>
      <c r="AQ55" s="31" t="n">
        <v>305.8478629321887</v>
      </c>
      <c r="AR55" s="31" t="n">
        <v>8481.259544254688</v>
      </c>
      <c r="AS55" s="31" t="n">
        <v>890.5613982211918</v>
      </c>
      <c r="AT55" s="31" t="n">
        <v>208.8719435745206</v>
      </c>
      <c r="AU55" s="31" t="n">
        <v>337.9560440594149</v>
      </c>
      <c r="AV55" s="31" t="n">
        <v>664.3911808867024</v>
      </c>
      <c r="AW55" s="31" t="n">
        <v>142.0215218188011</v>
      </c>
      <c r="AX55" s="31" t="n">
        <v>2584.137660265475</v>
      </c>
      <c r="AY55" s="31" t="n">
        <v>760.3905604096926</v>
      </c>
      <c r="AZ55" s="31" t="n">
        <v>769.6511390603628</v>
      </c>
      <c r="BA55" s="31" t="n">
        <v>5489.277993670956</v>
      </c>
      <c r="BB55" s="31" t="n">
        <v>1177.821804067717</v>
      </c>
      <c r="BC55" s="31" t="n">
        <v>1094.955496949602</v>
      </c>
      <c r="BD55" s="31" t="n">
        <v>147.7960917820541</v>
      </c>
      <c r="BE55" s="31" t="n">
        <v>855.7019904629833</v>
      </c>
      <c r="BF55" s="31" t="n">
        <v>330.5392908060295</v>
      </c>
      <c r="BG55" s="31" t="n">
        <v>375.8363671005741</v>
      </c>
      <c r="BH55" s="31" t="n">
        <v>312.9580302587218</v>
      </c>
      <c r="BI55" s="31" t="n">
        <v>893.8927114019161</v>
      </c>
      <c r="BJ55" s="31" t="n">
        <v>117.1133736138041</v>
      </c>
      <c r="BK55" s="31" t="n">
        <v>1482.584367917582</v>
      </c>
      <c r="BL55" s="31" t="n">
        <v>727.5077144064949</v>
      </c>
      <c r="BM55" s="31" t="n">
        <v>465.3794235781456</v>
      </c>
      <c r="BN55" s="31" t="n">
        <v>1413.481846241315</v>
      </c>
      <c r="BO55" s="31" t="n">
        <v>2034.071405867961</v>
      </c>
      <c r="BP55" s="31" t="n">
        <v>217.36473302806</v>
      </c>
      <c r="BQ55" s="31" t="n">
        <v>584.1265249550145</v>
      </c>
      <c r="BR55" s="31" t="n">
        <v>0</v>
      </c>
      <c r="BS55" s="31">
        <f>SUM(C55:BR55)</f>
        <v/>
      </c>
      <c r="BT55" s="31" t="n">
        <v>0</v>
      </c>
      <c r="BU55" s="31" t="n">
        <v>0</v>
      </c>
      <c r="BV55" s="31" t="n">
        <v>154394.025992684</v>
      </c>
      <c r="BW55" s="31" t="n">
        <v>0</v>
      </c>
      <c r="BX55" s="31">
        <f>SUM(BT55:BW55)</f>
        <v/>
      </c>
      <c r="BY55" s="31">
        <f>BS55+BX55</f>
        <v/>
      </c>
    </row>
    <row r="56">
      <c r="A56" s="28" t="inlineStr">
        <is>
          <t>4900</t>
        </is>
      </c>
      <c r="B56" s="28" t="inlineStr">
        <is>
          <t>Transporte terrestre</t>
        </is>
      </c>
      <c r="C56" s="29" t="n">
        <v>3744.651905632336</v>
      </c>
      <c r="D56" s="29" t="n">
        <v>673.1537605026731</v>
      </c>
      <c r="E56" s="29" t="n">
        <v>433.1056024034329</v>
      </c>
      <c r="F56" s="29" t="n">
        <v>825.4449873618544</v>
      </c>
      <c r="G56" s="29" t="n">
        <v>5263.630035972752</v>
      </c>
      <c r="H56" s="29" t="n">
        <v>2053.059923196</v>
      </c>
      <c r="I56" s="29" t="n">
        <v>704.4825578131445</v>
      </c>
      <c r="J56" s="29" t="n">
        <v>8503.207173918197</v>
      </c>
      <c r="K56" s="29" t="n">
        <v>1919.817875717948</v>
      </c>
      <c r="L56" s="29" t="n">
        <v>11024.66856146067</v>
      </c>
      <c r="M56" s="29" t="n">
        <v>2970.406668007161</v>
      </c>
      <c r="N56" s="29" t="n">
        <v>168.9071132877597</v>
      </c>
      <c r="O56" s="29" t="n">
        <v>848.535165409251</v>
      </c>
      <c r="P56" s="29" t="n">
        <v>695.3555694076532</v>
      </c>
      <c r="Q56" s="29" t="n">
        <v>920.2428778561307</v>
      </c>
      <c r="R56" s="29" t="n">
        <v>986.1940551331394</v>
      </c>
      <c r="S56" s="29" t="n">
        <v>2373.285971466946</v>
      </c>
      <c r="T56" s="29" t="n">
        <v>319.352444417096</v>
      </c>
      <c r="U56" s="29" t="n">
        <v>3334.825554960776</v>
      </c>
      <c r="V56" s="29" t="n">
        <v>774.8948029371803</v>
      </c>
      <c r="W56" s="29" t="n">
        <v>4431.1833039484</v>
      </c>
      <c r="X56" s="29" t="n">
        <v>1666.972337701763</v>
      </c>
      <c r="Y56" s="29" t="n">
        <v>1442.303799547112</v>
      </c>
      <c r="Z56" s="29" t="n">
        <v>2553.640101694142</v>
      </c>
      <c r="AA56" s="29" t="n">
        <v>2508.994996720075</v>
      </c>
      <c r="AB56" s="29" t="n">
        <v>2760.096622457719</v>
      </c>
      <c r="AC56" s="29" t="n">
        <v>3765.519091332832</v>
      </c>
      <c r="AD56" s="29" t="n">
        <v>491.197418541562</v>
      </c>
      <c r="AE56" s="29" t="n">
        <v>2363.533389606155</v>
      </c>
      <c r="AF56" s="29" t="n">
        <v>1501.570840599008</v>
      </c>
      <c r="AG56" s="29" t="n">
        <v>1288.637431158793</v>
      </c>
      <c r="AH56" s="29" t="n">
        <v>2221.71069506661</v>
      </c>
      <c r="AI56" s="29" t="n">
        <v>4527.336394495905</v>
      </c>
      <c r="AJ56" s="29" t="n">
        <v>1458.121350393557</v>
      </c>
      <c r="AK56" s="29" t="n">
        <v>641.498076693383</v>
      </c>
      <c r="AL56" s="29" t="n">
        <v>1240.451526524257</v>
      </c>
      <c r="AM56" s="29" t="n">
        <v>118.2029840813833</v>
      </c>
      <c r="AN56" s="29" t="n">
        <v>3464.844246103406</v>
      </c>
      <c r="AO56" s="29" t="n">
        <v>297.5136336957816</v>
      </c>
      <c r="AP56" s="29" t="n">
        <v>2401.141486711109</v>
      </c>
      <c r="AQ56" s="29" t="n">
        <v>1409.244678952334</v>
      </c>
      <c r="AR56" s="29" t="n">
        <v>35137.98230421459</v>
      </c>
      <c r="AS56" s="29" t="n">
        <v>31144.96064974315</v>
      </c>
      <c r="AT56" s="29" t="n">
        <v>282.8996181248265</v>
      </c>
      <c r="AU56" s="29" t="n">
        <v>170.1431373174656</v>
      </c>
      <c r="AV56" s="29" t="n">
        <v>4481.166269415363</v>
      </c>
      <c r="AW56" s="29" t="n">
        <v>85.0700423153618</v>
      </c>
      <c r="AX56" s="29" t="n">
        <v>873.3009721696631</v>
      </c>
      <c r="AY56" s="29" t="n">
        <v>596.1838030823329</v>
      </c>
      <c r="AZ56" s="29" t="n">
        <v>465.4058218139544</v>
      </c>
      <c r="BA56" s="29" t="n">
        <v>773.9798775648317</v>
      </c>
      <c r="BB56" s="29" t="n">
        <v>503.3056043229252</v>
      </c>
      <c r="BC56" s="29" t="n">
        <v>2091.205955199318</v>
      </c>
      <c r="BD56" s="29" t="n">
        <v>168.9256923285447</v>
      </c>
      <c r="BE56" s="29" t="n">
        <v>1010.915394583708</v>
      </c>
      <c r="BF56" s="29" t="n">
        <v>1182.252479165327</v>
      </c>
      <c r="BG56" s="29" t="n">
        <v>304.6860408201727</v>
      </c>
      <c r="BH56" s="29" t="n">
        <v>502.9437167452167</v>
      </c>
      <c r="BI56" s="29" t="n">
        <v>570.2665973879624</v>
      </c>
      <c r="BJ56" s="29" t="n">
        <v>115.7771677459546</v>
      </c>
      <c r="BK56" s="29" t="n">
        <v>4235.64304568485</v>
      </c>
      <c r="BL56" s="29" t="n">
        <v>2340.06180058773</v>
      </c>
      <c r="BM56" s="29" t="n">
        <v>1361.803324133198</v>
      </c>
      <c r="BN56" s="29" t="n">
        <v>1296.694863701896</v>
      </c>
      <c r="BO56" s="29" t="n">
        <v>20.77302850102862</v>
      </c>
      <c r="BP56" s="29" t="n">
        <v>303.4721420314504</v>
      </c>
      <c r="BQ56" s="29" t="n">
        <v>2405.099844849766</v>
      </c>
      <c r="BR56" s="29" t="n">
        <v>0</v>
      </c>
      <c r="BS56" s="29">
        <f>SUM(C56:BR56)</f>
        <v/>
      </c>
      <c r="BT56" s="29" t="n">
        <v>0</v>
      </c>
      <c r="BU56" s="29" t="n">
        <v>0</v>
      </c>
      <c r="BV56" s="29" t="n">
        <v>79579.14844985472</v>
      </c>
      <c r="BW56" s="29" t="n">
        <v>0</v>
      </c>
      <c r="BX56" s="29">
        <f>SUM(BT56:BW56)</f>
        <v/>
      </c>
      <c r="BY56" s="29">
        <f>BS56+BX56</f>
        <v/>
      </c>
    </row>
    <row r="57">
      <c r="A57" s="30" t="inlineStr">
        <is>
          <t>5000</t>
        </is>
      </c>
      <c r="B57" s="30" t="inlineStr">
        <is>
          <t>Transporte aquaviário</t>
        </is>
      </c>
      <c r="C57" s="31" t="n">
        <v>0.01575587281051503</v>
      </c>
      <c r="D57" s="31" t="n">
        <v>0.009861531861626518</v>
      </c>
      <c r="E57" s="31" t="n">
        <v>0.015642981970078</v>
      </c>
      <c r="F57" s="31" t="n">
        <v>0.04394954985131998</v>
      </c>
      <c r="G57" s="31" t="n">
        <v>6117.146340275178</v>
      </c>
      <c r="H57" s="31" t="n">
        <v>0.04853764038646166</v>
      </c>
      <c r="I57" s="31" t="n">
        <v>12.62211420918887</v>
      </c>
      <c r="J57" s="31" t="n">
        <v>1591.10409128832</v>
      </c>
      <c r="K57" s="31" t="n">
        <v>116.1147220634368</v>
      </c>
      <c r="L57" s="31" t="n">
        <v>437.2322872924833</v>
      </c>
      <c r="M57" s="31" t="n">
        <v>1.817591232068015</v>
      </c>
      <c r="N57" s="31" t="n">
        <v>0.8909312483036047</v>
      </c>
      <c r="O57" s="31" t="n">
        <v>12.38688656385792</v>
      </c>
      <c r="P57" s="31" t="n">
        <v>19.23450346156589</v>
      </c>
      <c r="Q57" s="31" t="n">
        <v>7.771689208249394</v>
      </c>
      <c r="R57" s="31" t="n">
        <v>173.7283685040703</v>
      </c>
      <c r="S57" s="31" t="n">
        <v>1358.552370511827</v>
      </c>
      <c r="T57" s="31" t="n">
        <v>26.9589709253131</v>
      </c>
      <c r="U57" s="31" t="n">
        <v>68.28415358036968</v>
      </c>
      <c r="V57" s="31" t="n">
        <v>10.37385073104297</v>
      </c>
      <c r="W57" s="31" t="n">
        <v>887.9089158187468</v>
      </c>
      <c r="X57" s="31" t="n">
        <v>14.46299718284575</v>
      </c>
      <c r="Y57" s="31" t="n">
        <v>56.53664988729254</v>
      </c>
      <c r="Z57" s="31" t="n">
        <v>3.017544641556663</v>
      </c>
      <c r="AA57" s="31" t="n">
        <v>54.54177142338953</v>
      </c>
      <c r="AB57" s="31" t="n">
        <v>157.3521189148103</v>
      </c>
      <c r="AC57" s="31" t="n">
        <v>374.6758697932283</v>
      </c>
      <c r="AD57" s="31" t="n">
        <v>14.29578208241928</v>
      </c>
      <c r="AE57" s="31" t="n">
        <v>40.80071737350632</v>
      </c>
      <c r="AF57" s="31" t="n">
        <v>79.31861270509657</v>
      </c>
      <c r="AG57" s="31" t="n">
        <v>57.30546972620904</v>
      </c>
      <c r="AH57" s="31" t="n">
        <v>373.8952632983098</v>
      </c>
      <c r="AI57" s="31" t="n">
        <v>288.0172583040871</v>
      </c>
      <c r="AJ57" s="31" t="n">
        <v>95.17834279548603</v>
      </c>
      <c r="AK57" s="31" t="n">
        <v>234.2260529922004</v>
      </c>
      <c r="AL57" s="31" t="n">
        <v>1.331208976951143</v>
      </c>
      <c r="AM57" s="31" t="n">
        <v>7.656172286562459</v>
      </c>
      <c r="AN57" s="31" t="n">
        <v>2.19392822130344</v>
      </c>
      <c r="AO57" s="31" t="n">
        <v>0.5477583733437134</v>
      </c>
      <c r="AP57" s="31" t="n">
        <v>9.07929502859203</v>
      </c>
      <c r="AQ57" s="31" t="n">
        <v>10.04690708956741</v>
      </c>
      <c r="AR57" s="31" t="n">
        <v>1397.464372572858</v>
      </c>
      <c r="AS57" s="31" t="n">
        <v>842.8565591520355</v>
      </c>
      <c r="AT57" s="31" t="n">
        <v>1328.979887113254</v>
      </c>
      <c r="AU57" s="31" t="n">
        <v>0.2131356293423127</v>
      </c>
      <c r="AV57" s="31" t="n">
        <v>71.98461067682939</v>
      </c>
      <c r="AW57" s="31" t="n">
        <v>2.352313413750479</v>
      </c>
      <c r="AX57" s="31" t="n">
        <v>29.54338680477083</v>
      </c>
      <c r="AY57" s="31" t="n">
        <v>0.6209824741478825</v>
      </c>
      <c r="AZ57" s="31" t="n">
        <v>3.486398143615525</v>
      </c>
      <c r="BA57" s="31" t="n">
        <v>5.461419567441848</v>
      </c>
      <c r="BB57" s="31" t="n">
        <v>20.67601724427502</v>
      </c>
      <c r="BC57" s="31" t="n">
        <v>10.7749505131945</v>
      </c>
      <c r="BD57" s="31" t="n">
        <v>4.559929244277737</v>
      </c>
      <c r="BE57" s="31" t="n">
        <v>10.24439443160015</v>
      </c>
      <c r="BF57" s="31" t="n">
        <v>4.48505698028301</v>
      </c>
      <c r="BG57" s="31" t="n">
        <v>2.001007652968905</v>
      </c>
      <c r="BH57" s="31" t="n">
        <v>2.383599377690635</v>
      </c>
      <c r="BI57" s="31" t="n">
        <v>333.6672870667466</v>
      </c>
      <c r="BJ57" s="31" t="n">
        <v>1.354342377954498</v>
      </c>
      <c r="BK57" s="31" t="n">
        <v>5.361632070244235</v>
      </c>
      <c r="BL57" s="31" t="n">
        <v>1.374627040620604</v>
      </c>
      <c r="BM57" s="31" t="n">
        <v>8.038819586974926</v>
      </c>
      <c r="BN57" s="31" t="n">
        <v>0.9268466817271216</v>
      </c>
      <c r="BO57" s="31" t="n">
        <v>3.783646264012617</v>
      </c>
      <c r="BP57" s="31" t="n">
        <v>8.776372868554324</v>
      </c>
      <c r="BQ57" s="31" t="n">
        <v>6.058111663144126</v>
      </c>
      <c r="BR57" s="31" t="n">
        <v>0</v>
      </c>
      <c r="BS57" s="31">
        <f>SUM(C57:BR57)</f>
        <v/>
      </c>
      <c r="BT57" s="31" t="n">
        <v>0</v>
      </c>
      <c r="BU57" s="31" t="n">
        <v>0</v>
      </c>
      <c r="BV57" s="31" t="n">
        <v>4355.299945395542</v>
      </c>
      <c r="BW57" s="31" t="n">
        <v>0</v>
      </c>
      <c r="BX57" s="31">
        <f>SUM(BT57:BW57)</f>
        <v/>
      </c>
      <c r="BY57" s="31">
        <f>BS57+BX57</f>
        <v/>
      </c>
    </row>
    <row r="58">
      <c r="A58" s="28" t="inlineStr">
        <is>
          <t>5100</t>
        </is>
      </c>
      <c r="B58" s="28" t="inlineStr">
        <is>
          <t>Transporte aéreo</t>
        </is>
      </c>
      <c r="C58" s="29" t="n">
        <v>1.018499443130995</v>
      </c>
      <c r="D58" s="29" t="n">
        <v>0.01169774371860786</v>
      </c>
      <c r="E58" s="29" t="n">
        <v>5.017602492388772</v>
      </c>
      <c r="F58" s="29" t="n">
        <v>10.05031403465627</v>
      </c>
      <c r="G58" s="29" t="n">
        <v>1786.333823016916</v>
      </c>
      <c r="H58" s="29" t="n">
        <v>10.05582429095643</v>
      </c>
      <c r="I58" s="29" t="n">
        <v>30.03986051953005</v>
      </c>
      <c r="J58" s="29" t="n">
        <v>295.558165717591</v>
      </c>
      <c r="K58" s="29" t="n">
        <v>10.40618308251545</v>
      </c>
      <c r="L58" s="29" t="n">
        <v>241.142569413878</v>
      </c>
      <c r="M58" s="29" t="n">
        <v>52.15638861070252</v>
      </c>
      <c r="N58" s="29" t="n">
        <v>29.05674029034342</v>
      </c>
      <c r="O58" s="29" t="n">
        <v>36.75589386154517</v>
      </c>
      <c r="P58" s="29" t="n">
        <v>37.91753675867518</v>
      </c>
      <c r="Q58" s="29" t="n">
        <v>54.25501948319307</v>
      </c>
      <c r="R58" s="29" t="n">
        <v>46.07681304469241</v>
      </c>
      <c r="S58" s="29" t="n">
        <v>101.3855176095262</v>
      </c>
      <c r="T58" s="29" t="n">
        <v>23.13037678079104</v>
      </c>
      <c r="U58" s="29" t="n">
        <v>43.38614743183538</v>
      </c>
      <c r="V58" s="29" t="n">
        <v>4.363893659577241</v>
      </c>
      <c r="W58" s="29" t="n">
        <v>255.3444822877144</v>
      </c>
      <c r="X58" s="29" t="n">
        <v>245.1955175964763</v>
      </c>
      <c r="Y58" s="29" t="n">
        <v>12.38778777110471</v>
      </c>
      <c r="Z58" s="29" t="n">
        <v>137.5713966647524</v>
      </c>
      <c r="AA58" s="29" t="n">
        <v>47.00433734389564</v>
      </c>
      <c r="AB58" s="29" t="n">
        <v>149.5368262146349</v>
      </c>
      <c r="AC58" s="29" t="n">
        <v>84.60007286320717</v>
      </c>
      <c r="AD58" s="29" t="n">
        <v>14.03892643067429</v>
      </c>
      <c r="AE58" s="29" t="n">
        <v>58.62402240139767</v>
      </c>
      <c r="AF58" s="29" t="n">
        <v>329.4859014237495</v>
      </c>
      <c r="AG58" s="29" t="n">
        <v>176.2766350685806</v>
      </c>
      <c r="AH58" s="29" t="n">
        <v>255.641622272063</v>
      </c>
      <c r="AI58" s="29" t="n">
        <v>287.262820162488</v>
      </c>
      <c r="AJ58" s="29" t="n">
        <v>88.43412495821953</v>
      </c>
      <c r="AK58" s="29" t="n">
        <v>49.18892552042435</v>
      </c>
      <c r="AL58" s="29" t="n">
        <v>40.57781174944834</v>
      </c>
      <c r="AM58" s="29" t="n">
        <v>60.11425205398194</v>
      </c>
      <c r="AN58" s="29" t="n">
        <v>560.4956495226513</v>
      </c>
      <c r="AO58" s="29" t="n">
        <v>50.63988824157013</v>
      </c>
      <c r="AP58" s="29" t="n">
        <v>1783.466770963526</v>
      </c>
      <c r="AQ58" s="29" t="n">
        <v>244.8810539571901</v>
      </c>
      <c r="AR58" s="29" t="n">
        <v>3352.697644576435</v>
      </c>
      <c r="AS58" s="29" t="n">
        <v>227.632347015344</v>
      </c>
      <c r="AT58" s="29" t="n">
        <v>90.13374844767034</v>
      </c>
      <c r="AU58" s="29" t="n">
        <v>11.25056108276086</v>
      </c>
      <c r="AV58" s="29" t="n">
        <v>766.63042814256</v>
      </c>
      <c r="AW58" s="29" t="n">
        <v>78.77389286576792</v>
      </c>
      <c r="AX58" s="29" t="n">
        <v>66.1423295176362</v>
      </c>
      <c r="AY58" s="29" t="n">
        <v>24.73311132930283</v>
      </c>
      <c r="AZ58" s="29" t="n">
        <v>186.1161901042194</v>
      </c>
      <c r="BA58" s="29" t="n">
        <v>240.4402268784115</v>
      </c>
      <c r="BB58" s="29" t="n">
        <v>686.4979998743268</v>
      </c>
      <c r="BC58" s="29" t="n">
        <v>2752.256962796517</v>
      </c>
      <c r="BD58" s="29" t="n">
        <v>71.39242706516838</v>
      </c>
      <c r="BE58" s="29" t="n">
        <v>933.9759053065834</v>
      </c>
      <c r="BF58" s="29" t="n">
        <v>379.2623189586931</v>
      </c>
      <c r="BG58" s="29" t="n">
        <v>639.2526349494781</v>
      </c>
      <c r="BH58" s="29" t="n">
        <v>102.8064688836222</v>
      </c>
      <c r="BI58" s="29" t="n">
        <v>366.6285176112193</v>
      </c>
      <c r="BJ58" s="29" t="n">
        <v>28.60578551955369</v>
      </c>
      <c r="BK58" s="29" t="n">
        <v>1270.117709828663</v>
      </c>
      <c r="BL58" s="29" t="n">
        <v>433.5482039208819</v>
      </c>
      <c r="BM58" s="29" t="n">
        <v>2109.133986130307</v>
      </c>
      <c r="BN58" s="29" t="n">
        <v>474.0097569666281</v>
      </c>
      <c r="BO58" s="29" t="n">
        <v>4.484703337453646</v>
      </c>
      <c r="BP58" s="29" t="n">
        <v>114.3884957550943</v>
      </c>
      <c r="BQ58" s="29" t="n">
        <v>9043.483448666208</v>
      </c>
      <c r="BR58" s="29" t="n">
        <v>0</v>
      </c>
      <c r="BS58" s="29">
        <f>SUM(C58:BR58)</f>
        <v/>
      </c>
      <c r="BT58" s="29" t="n">
        <v>0</v>
      </c>
      <c r="BU58" s="29" t="n">
        <v>0</v>
      </c>
      <c r="BV58" s="29" t="n">
        <v>12852.59580888446</v>
      </c>
      <c r="BW58" s="29" t="n">
        <v>0</v>
      </c>
      <c r="BX58" s="29">
        <f>SUM(BT58:BW58)</f>
        <v/>
      </c>
      <c r="BY58" s="29">
        <f>BS58+BX58</f>
        <v/>
      </c>
    </row>
    <row r="59">
      <c r="A59" s="30" t="inlineStr">
        <is>
          <t>5280</t>
        </is>
      </c>
      <c r="B59" s="30" t="inlineStr">
        <is>
          <t>Armazenamento, atividades auxiliares dos transportes e correio</t>
        </is>
      </c>
      <c r="C59" s="31" t="n">
        <v>751.8081895796321</v>
      </c>
      <c r="D59" s="31" t="n">
        <v>47.70761089971754</v>
      </c>
      <c r="E59" s="31" t="n">
        <v>193.6686075338097</v>
      </c>
      <c r="F59" s="31" t="n">
        <v>28.32115185350958</v>
      </c>
      <c r="G59" s="31" t="n">
        <v>3987.486170123554</v>
      </c>
      <c r="H59" s="31" t="n">
        <v>2457.090676925062</v>
      </c>
      <c r="I59" s="31" t="n">
        <v>770.2745024836182</v>
      </c>
      <c r="J59" s="31" t="n">
        <v>2812.110417631871</v>
      </c>
      <c r="K59" s="31" t="n">
        <v>2040.488817042638</v>
      </c>
      <c r="L59" s="31" t="n">
        <v>3294.092818971246</v>
      </c>
      <c r="M59" s="31" t="n">
        <v>1973.20078373553</v>
      </c>
      <c r="N59" s="31" t="n">
        <v>32.43462740160258</v>
      </c>
      <c r="O59" s="31" t="n">
        <v>184.9447797783765</v>
      </c>
      <c r="P59" s="31" t="n">
        <v>118.7531549363093</v>
      </c>
      <c r="Q59" s="31" t="n">
        <v>177.6808895490519</v>
      </c>
      <c r="R59" s="31" t="n">
        <v>239.415625879106</v>
      </c>
      <c r="S59" s="31" t="n">
        <v>1107.613174171279</v>
      </c>
      <c r="T59" s="31" t="n">
        <v>209.8410270622668</v>
      </c>
      <c r="U59" s="31" t="n">
        <v>690.5654630229901</v>
      </c>
      <c r="V59" s="31" t="n">
        <v>636.4881917121076</v>
      </c>
      <c r="W59" s="31" t="n">
        <v>1064.813652111598</v>
      </c>
      <c r="X59" s="31" t="n">
        <v>649.9788355043054</v>
      </c>
      <c r="Y59" s="31" t="n">
        <v>409.5103619227352</v>
      </c>
      <c r="Z59" s="31" t="n">
        <v>595.1360212806319</v>
      </c>
      <c r="AA59" s="31" t="n">
        <v>260.585137503537</v>
      </c>
      <c r="AB59" s="31" t="n">
        <v>379.7465535059148</v>
      </c>
      <c r="AC59" s="31" t="n">
        <v>2385.434253786148</v>
      </c>
      <c r="AD59" s="31" t="n">
        <v>131.7528831383259</v>
      </c>
      <c r="AE59" s="31" t="n">
        <v>985.1151897494298</v>
      </c>
      <c r="AF59" s="31" t="n">
        <v>849.406753832116</v>
      </c>
      <c r="AG59" s="31" t="n">
        <v>895.9024851253819</v>
      </c>
      <c r="AH59" s="31" t="n">
        <v>420.9611115965673</v>
      </c>
      <c r="AI59" s="31" t="n">
        <v>4149.524894728564</v>
      </c>
      <c r="AJ59" s="31" t="n">
        <v>656.2812528457342</v>
      </c>
      <c r="AK59" s="31" t="n">
        <v>679.6038068651668</v>
      </c>
      <c r="AL59" s="31" t="n">
        <v>327.4939322628548</v>
      </c>
      <c r="AM59" s="31" t="n">
        <v>184.6585120883599</v>
      </c>
      <c r="AN59" s="31" t="n">
        <v>610.2974257394702</v>
      </c>
      <c r="AO59" s="31" t="n">
        <v>23.7834636987861</v>
      </c>
      <c r="AP59" s="31" t="n">
        <v>675.209885496066</v>
      </c>
      <c r="AQ59" s="31" t="n">
        <v>738.1131348952401</v>
      </c>
      <c r="AR59" s="31" t="n">
        <v>14016.30475179309</v>
      </c>
      <c r="AS59" s="31" t="n">
        <v>7605.621784690666</v>
      </c>
      <c r="AT59" s="31" t="n">
        <v>2948.350749231149</v>
      </c>
      <c r="AU59" s="31" t="n">
        <v>4021.063216353821</v>
      </c>
      <c r="AV59" s="31" t="n">
        <v>4486.738653873078</v>
      </c>
      <c r="AW59" s="31" t="n">
        <v>61.45448603323516</v>
      </c>
      <c r="AX59" s="31" t="n">
        <v>242.7435372787407</v>
      </c>
      <c r="AY59" s="31" t="n">
        <v>89.70456412446862</v>
      </c>
      <c r="AZ59" s="31" t="n">
        <v>88.63702251342278</v>
      </c>
      <c r="BA59" s="31" t="n">
        <v>667.4845906790683</v>
      </c>
      <c r="BB59" s="31" t="n">
        <v>145.0966025188346</v>
      </c>
      <c r="BC59" s="31" t="n">
        <v>4497.636933928373</v>
      </c>
      <c r="BD59" s="31" t="n">
        <v>210.0693908130235</v>
      </c>
      <c r="BE59" s="31" t="n">
        <v>551.595921203504</v>
      </c>
      <c r="BF59" s="31" t="n">
        <v>250.5086811797512</v>
      </c>
      <c r="BG59" s="31" t="n">
        <v>276.5411404108324</v>
      </c>
      <c r="BH59" s="31" t="n">
        <v>219.9779195603449</v>
      </c>
      <c r="BI59" s="31" t="n">
        <v>668.1308056200987</v>
      </c>
      <c r="BJ59" s="31" t="n">
        <v>72.89304542223977</v>
      </c>
      <c r="BK59" s="31" t="n">
        <v>3593.640541521831</v>
      </c>
      <c r="BL59" s="31" t="n">
        <v>333.1207222144693</v>
      </c>
      <c r="BM59" s="31" t="n">
        <v>414.1276315467728</v>
      </c>
      <c r="BN59" s="31" t="n">
        <v>487.3754890567867</v>
      </c>
      <c r="BO59" s="31" t="n">
        <v>239.9465680661561</v>
      </c>
      <c r="BP59" s="31" t="n">
        <v>76.92723573256706</v>
      </c>
      <c r="BQ59" s="31" t="n">
        <v>1461.71673157805</v>
      </c>
      <c r="BR59" s="31" t="n">
        <v>0</v>
      </c>
      <c r="BS59" s="31">
        <f>SUM(C59:BR59)</f>
        <v/>
      </c>
      <c r="BT59" s="31" t="n">
        <v>0</v>
      </c>
      <c r="BU59" s="31" t="n">
        <v>0</v>
      </c>
      <c r="BV59" s="31" t="n">
        <v>30142.49366445287</v>
      </c>
      <c r="BW59" s="31" t="n">
        <v>0</v>
      </c>
      <c r="BX59" s="31">
        <f>SUM(BT59:BW59)</f>
        <v/>
      </c>
      <c r="BY59" s="31">
        <f>BS59+BX59</f>
        <v/>
      </c>
    </row>
    <row r="60">
      <c r="A60" s="28" t="inlineStr">
        <is>
          <t>5500</t>
        </is>
      </c>
      <c r="B60" s="28" t="inlineStr">
        <is>
          <t>Alojamento</t>
        </is>
      </c>
      <c r="C60" s="29" t="n">
        <v>3.904447952361616</v>
      </c>
      <c r="D60" s="29" t="n">
        <v>0.9805520098511309</v>
      </c>
      <c r="E60" s="29" t="n">
        <v>3.903591863488301</v>
      </c>
      <c r="F60" s="29" t="n">
        <v>13.66161030076576</v>
      </c>
      <c r="G60" s="29" t="n">
        <v>301.121212993085</v>
      </c>
      <c r="H60" s="29" t="n">
        <v>82.7682768024664</v>
      </c>
      <c r="I60" s="29" t="n">
        <v>22.41810630787425</v>
      </c>
      <c r="J60" s="29" t="n">
        <v>396.2043551051563</v>
      </c>
      <c r="K60" s="29" t="n">
        <v>46.03909363494044</v>
      </c>
      <c r="L60" s="29" t="n">
        <v>379.9737476181299</v>
      </c>
      <c r="M60" s="29" t="n">
        <v>77.01351510928072</v>
      </c>
      <c r="N60" s="29" t="n">
        <v>40.9459990194449</v>
      </c>
      <c r="O60" s="29" t="n">
        <v>41.42660024721121</v>
      </c>
      <c r="P60" s="29" t="n">
        <v>35.70302509128007</v>
      </c>
      <c r="Q60" s="29" t="n">
        <v>45.09804938830192</v>
      </c>
      <c r="R60" s="29" t="n">
        <v>11.77546098814593</v>
      </c>
      <c r="S60" s="29" t="n">
        <v>111.481717337365</v>
      </c>
      <c r="T60" s="29" t="n">
        <v>16.63621949014447</v>
      </c>
      <c r="U60" s="29" t="n">
        <v>40.21666400897114</v>
      </c>
      <c r="V60" s="29" t="n">
        <v>16.82062339325206</v>
      </c>
      <c r="W60" s="29" t="n">
        <v>179.4380552605369</v>
      </c>
      <c r="X60" s="29" t="n">
        <v>174.5329547428336</v>
      </c>
      <c r="Y60" s="29" t="n">
        <v>55.71461214266979</v>
      </c>
      <c r="Z60" s="29" t="n">
        <v>276.9686584565156</v>
      </c>
      <c r="AA60" s="29" t="n">
        <v>147.8364900017166</v>
      </c>
      <c r="AB60" s="29" t="n">
        <v>128.0352647969726</v>
      </c>
      <c r="AC60" s="29" t="n">
        <v>220.5334749430885</v>
      </c>
      <c r="AD60" s="29" t="n">
        <v>38.05244354419126</v>
      </c>
      <c r="AE60" s="29" t="n">
        <v>249.7562293862218</v>
      </c>
      <c r="AF60" s="29" t="n">
        <v>245.7315616537811</v>
      </c>
      <c r="AG60" s="29" t="n">
        <v>179.4434183395896</v>
      </c>
      <c r="AH60" s="29" t="n">
        <v>506.9954295542713</v>
      </c>
      <c r="AI60" s="29" t="n">
        <v>206.5263539489192</v>
      </c>
      <c r="AJ60" s="29" t="n">
        <v>121.91834811274</v>
      </c>
      <c r="AK60" s="29" t="n">
        <v>106.226154810969</v>
      </c>
      <c r="AL60" s="29" t="n">
        <v>156.1706119414063</v>
      </c>
      <c r="AM60" s="29" t="n">
        <v>85.71800747441372</v>
      </c>
      <c r="AN60" s="29" t="n">
        <v>295.413920444656</v>
      </c>
      <c r="AO60" s="29" t="n">
        <v>19.84084370333204</v>
      </c>
      <c r="AP60" s="29" t="n">
        <v>2078.078757743019</v>
      </c>
      <c r="AQ60" s="29" t="n">
        <v>549.1818742647176</v>
      </c>
      <c r="AR60" s="29" t="n">
        <v>3857.04055546902</v>
      </c>
      <c r="AS60" s="29" t="n">
        <v>267.233238754088</v>
      </c>
      <c r="AT60" s="29" t="n">
        <v>6.899489375613712</v>
      </c>
      <c r="AU60" s="29" t="n">
        <v>98.44132325603344</v>
      </c>
      <c r="AV60" s="29" t="n">
        <v>276.80702982943</v>
      </c>
      <c r="AW60" s="29" t="n">
        <v>1.608802906951963</v>
      </c>
      <c r="AX60" s="29" t="n">
        <v>47.31059082936106</v>
      </c>
      <c r="AY60" s="29" t="n">
        <v>142.6175365458899</v>
      </c>
      <c r="AZ60" s="29" t="n">
        <v>217.7982702032172</v>
      </c>
      <c r="BA60" s="29" t="n">
        <v>166.9654535373895</v>
      </c>
      <c r="BB60" s="29" t="n">
        <v>642.52987754282</v>
      </c>
      <c r="BC60" s="29" t="n">
        <v>1365.021609165251</v>
      </c>
      <c r="BD60" s="29" t="n">
        <v>82.92295548103792</v>
      </c>
      <c r="BE60" s="29" t="n">
        <v>421.0941040474866</v>
      </c>
      <c r="BF60" s="29" t="n">
        <v>440.2780534220435</v>
      </c>
      <c r="BG60" s="29" t="n">
        <v>202.8573072801256</v>
      </c>
      <c r="BH60" s="29" t="n">
        <v>212.8196593273719</v>
      </c>
      <c r="BI60" s="29" t="n">
        <v>198.5593495901582</v>
      </c>
      <c r="BJ60" s="29" t="n">
        <v>64.59323033499281</v>
      </c>
      <c r="BK60" s="29" t="n">
        <v>2885.381180983701</v>
      </c>
      <c r="BL60" s="29" t="n">
        <v>401.9081455205575</v>
      </c>
      <c r="BM60" s="29" t="n">
        <v>467.7809607852139</v>
      </c>
      <c r="BN60" s="29" t="n">
        <v>455.1291802059019</v>
      </c>
      <c r="BO60" s="29" t="n">
        <v>2.587725374024978</v>
      </c>
      <c r="BP60" s="29" t="n">
        <v>208.8363724794946</v>
      </c>
      <c r="BQ60" s="29" t="n">
        <v>9069.720990454736</v>
      </c>
      <c r="BR60" s="29" t="n">
        <v>0</v>
      </c>
      <c r="BS60" s="29">
        <f>SUM(C60:BR60)</f>
        <v/>
      </c>
      <c r="BT60" s="29" t="n">
        <v>0</v>
      </c>
      <c r="BU60" s="29" t="n">
        <v>0</v>
      </c>
      <c r="BV60" s="29" t="n">
        <v>9083.764794882987</v>
      </c>
      <c r="BW60" s="29" t="n">
        <v>0</v>
      </c>
      <c r="BX60" s="29">
        <f>SUM(BT60:BW60)</f>
        <v/>
      </c>
      <c r="BY60" s="29">
        <f>BS60+BX60</f>
        <v/>
      </c>
    </row>
    <row r="61">
      <c r="A61" s="30" t="inlineStr">
        <is>
          <t>5600</t>
        </is>
      </c>
      <c r="B61" s="30" t="inlineStr">
        <is>
          <t>Alimentação</t>
        </is>
      </c>
      <c r="C61" s="31" t="n">
        <v>5.334572663170974</v>
      </c>
      <c r="D61" s="31" t="n">
        <v>0.7581780249674464</v>
      </c>
      <c r="E61" s="31" t="n">
        <v>3.300642687642101</v>
      </c>
      <c r="F61" s="31" t="n">
        <v>4.38966036811976</v>
      </c>
      <c r="G61" s="31" t="n">
        <v>321.7395038040635</v>
      </c>
      <c r="H61" s="31" t="n">
        <v>16.94502802253253</v>
      </c>
      <c r="I61" s="31" t="n">
        <v>10.76515569206948</v>
      </c>
      <c r="J61" s="31" t="n">
        <v>10.33431532936113</v>
      </c>
      <c r="K61" s="31" t="n">
        <v>7.004999873439774</v>
      </c>
      <c r="L61" s="31" t="n">
        <v>128.0017161981036</v>
      </c>
      <c r="M61" s="31" t="n">
        <v>7.762130252671592</v>
      </c>
      <c r="N61" s="31" t="n">
        <v>0.8195567201352442</v>
      </c>
      <c r="O61" s="31" t="n">
        <v>11.2534051565729</v>
      </c>
      <c r="P61" s="31" t="n">
        <v>5.529224366469844</v>
      </c>
      <c r="Q61" s="31" t="n">
        <v>1.668046336960844</v>
      </c>
      <c r="R61" s="31" t="n">
        <v>2.027734878580977</v>
      </c>
      <c r="S61" s="31" t="n">
        <v>14.82863606454026</v>
      </c>
      <c r="T61" s="31" t="n">
        <v>15.54440296356257</v>
      </c>
      <c r="U61" s="31" t="n">
        <v>7.572793129987469</v>
      </c>
      <c r="V61" s="31" t="n">
        <v>2.590389628539049</v>
      </c>
      <c r="W61" s="31" t="n">
        <v>85.62705662408726</v>
      </c>
      <c r="X61" s="31" t="n">
        <v>103.0399658668257</v>
      </c>
      <c r="Y61" s="31" t="n">
        <v>3.298129483162294</v>
      </c>
      <c r="Z61" s="31" t="n">
        <v>241.4595127324328</v>
      </c>
      <c r="AA61" s="31" t="n">
        <v>22.10887284485747</v>
      </c>
      <c r="AB61" s="31" t="n">
        <v>7.094676273739543</v>
      </c>
      <c r="AC61" s="31" t="n">
        <v>30.38049348587202</v>
      </c>
      <c r="AD61" s="31" t="n">
        <v>50.46963721584019</v>
      </c>
      <c r="AE61" s="31" t="n">
        <v>41.46926465782083</v>
      </c>
      <c r="AF61" s="31" t="n">
        <v>12.4137299508165</v>
      </c>
      <c r="AG61" s="31" t="n">
        <v>4.059683188630155</v>
      </c>
      <c r="AH61" s="31" t="n">
        <v>114.4160456175763</v>
      </c>
      <c r="AI61" s="31" t="n">
        <v>426.6168178604997</v>
      </c>
      <c r="AJ61" s="31" t="n">
        <v>18.04755612805561</v>
      </c>
      <c r="AK61" s="31" t="n">
        <v>10.67521970432258</v>
      </c>
      <c r="AL61" s="31" t="n">
        <v>4.922625132638823</v>
      </c>
      <c r="AM61" s="31" t="n">
        <v>75.545318361385</v>
      </c>
      <c r="AN61" s="31" t="n">
        <v>259.3235373344293</v>
      </c>
      <c r="AO61" s="31" t="n">
        <v>23.91233146580081</v>
      </c>
      <c r="AP61" s="31" t="n">
        <v>87.82720629587553</v>
      </c>
      <c r="AQ61" s="31" t="n">
        <v>173.9991939856701</v>
      </c>
      <c r="AR61" s="31" t="n">
        <v>801.9478529813344</v>
      </c>
      <c r="AS61" s="31" t="n">
        <v>73.68515075549354</v>
      </c>
      <c r="AT61" s="31" t="n">
        <v>14.71025231432667</v>
      </c>
      <c r="AU61" s="31" t="n">
        <v>916.9693355983061</v>
      </c>
      <c r="AV61" s="31" t="n">
        <v>64.43465322622225</v>
      </c>
      <c r="AW61" s="31" t="n">
        <v>232.6987478270329</v>
      </c>
      <c r="AX61" s="31" t="n">
        <v>40.71035854891377</v>
      </c>
      <c r="AY61" s="31" t="n">
        <v>15.46086452441716</v>
      </c>
      <c r="AZ61" s="31" t="n">
        <v>721.7041987790786</v>
      </c>
      <c r="BA61" s="31" t="n">
        <v>156.2172423403238</v>
      </c>
      <c r="BB61" s="31" t="n">
        <v>51.3946534751611</v>
      </c>
      <c r="BC61" s="31" t="n">
        <v>3043.543110302934</v>
      </c>
      <c r="BD61" s="31" t="n">
        <v>85.3993697468935</v>
      </c>
      <c r="BE61" s="31" t="n">
        <v>1302.259857613374</v>
      </c>
      <c r="BF61" s="31" t="n">
        <v>22.23290457444817</v>
      </c>
      <c r="BG61" s="31" t="n">
        <v>234.642903111065</v>
      </c>
      <c r="BH61" s="31" t="n">
        <v>32.2851956198935</v>
      </c>
      <c r="BI61" s="31" t="n">
        <v>1395.569828582375</v>
      </c>
      <c r="BJ61" s="31" t="n">
        <v>10.14772377939699</v>
      </c>
      <c r="BK61" s="31" t="n">
        <v>10158.53801894134</v>
      </c>
      <c r="BL61" s="31" t="n">
        <v>1822.185460025189</v>
      </c>
      <c r="BM61" s="31" t="n">
        <v>248.8047766995334</v>
      </c>
      <c r="BN61" s="31" t="n">
        <v>5028.4016923852</v>
      </c>
      <c r="BO61" s="31" t="n">
        <v>3117.005817320509</v>
      </c>
      <c r="BP61" s="31" t="n">
        <v>65.79049927975996</v>
      </c>
      <c r="BQ61" s="31" t="n">
        <v>8929.909035939634</v>
      </c>
      <c r="BR61" s="31" t="n">
        <v>0</v>
      </c>
      <c r="BS61" s="31">
        <f>SUM(C61:BR61)</f>
        <v/>
      </c>
      <c r="BT61" s="31" t="n">
        <v>0</v>
      </c>
      <c r="BU61" s="31" t="n">
        <v>0</v>
      </c>
      <c r="BV61" s="31" t="n">
        <v>185491.4542020496</v>
      </c>
      <c r="BW61" s="31" t="n">
        <v>0</v>
      </c>
      <c r="BX61" s="31">
        <f>SUM(BT61:BW61)</f>
        <v/>
      </c>
      <c r="BY61" s="31">
        <f>BS61+BX61</f>
        <v/>
      </c>
    </row>
    <row r="62">
      <c r="A62" s="28" t="inlineStr">
        <is>
          <t>5800</t>
        </is>
      </c>
      <c r="B62" s="28" t="inlineStr">
        <is>
          <t>Edição e edição integrada à impressão</t>
        </is>
      </c>
      <c r="C62" s="29" t="n">
        <v>0.3306705068273869</v>
      </c>
      <c r="D62" s="29" t="n">
        <v>0.005704611787270665</v>
      </c>
      <c r="E62" s="29" t="n">
        <v>0.2767446056276295</v>
      </c>
      <c r="F62" s="29" t="n">
        <v>0.02736584822015643</v>
      </c>
      <c r="G62" s="29" t="n">
        <v>0.6399862304690297</v>
      </c>
      <c r="H62" s="29" t="n">
        <v>0.8888950573241188</v>
      </c>
      <c r="I62" s="29" t="n">
        <v>0.3456061773313672</v>
      </c>
      <c r="J62" s="29" t="n">
        <v>4.983332431238363</v>
      </c>
      <c r="K62" s="29" t="n">
        <v>1.2379151495623</v>
      </c>
      <c r="L62" s="29" t="n">
        <v>6.605879530158357</v>
      </c>
      <c r="M62" s="29" t="n">
        <v>20.40062832943726</v>
      </c>
      <c r="N62" s="29" t="n">
        <v>0.05202160477624929</v>
      </c>
      <c r="O62" s="29" t="n">
        <v>1.253874466881956</v>
      </c>
      <c r="P62" s="29" t="n">
        <v>1.401044955895899</v>
      </c>
      <c r="Q62" s="29" t="n">
        <v>0.5203128729388091</v>
      </c>
      <c r="R62" s="29" t="n">
        <v>1.294765999767073</v>
      </c>
      <c r="S62" s="29" t="n">
        <v>11.67226892935747</v>
      </c>
      <c r="T62" s="29" t="n">
        <v>116.973200128753</v>
      </c>
      <c r="U62" s="29" t="n">
        <v>0.6434398155134761</v>
      </c>
      <c r="V62" s="29" t="n">
        <v>0.7295401629176241</v>
      </c>
      <c r="W62" s="29" t="n">
        <v>185.2162221398888</v>
      </c>
      <c r="X62" s="29" t="n">
        <v>1.37005784833692</v>
      </c>
      <c r="Y62" s="29" t="n">
        <v>0.2345268026289004</v>
      </c>
      <c r="Z62" s="29" t="n">
        <v>1.179878500950675</v>
      </c>
      <c r="AA62" s="29" t="n">
        <v>2.366488508406258</v>
      </c>
      <c r="AB62" s="29" t="n">
        <v>1.267802838157173</v>
      </c>
      <c r="AC62" s="29" t="n">
        <v>1.399921746092689</v>
      </c>
      <c r="AD62" s="29" t="n">
        <v>0.2088895434981128</v>
      </c>
      <c r="AE62" s="29" t="n">
        <v>2.04722775776637</v>
      </c>
      <c r="AF62" s="29" t="n">
        <v>18.83828402066503</v>
      </c>
      <c r="AG62" s="29" t="n">
        <v>1.199756625613054</v>
      </c>
      <c r="AH62" s="29" t="n">
        <v>2.398625816887089</v>
      </c>
      <c r="AI62" s="29" t="n">
        <v>2.354931537993106</v>
      </c>
      <c r="AJ62" s="29" t="n">
        <v>4.52514513244622</v>
      </c>
      <c r="AK62" s="29" t="n">
        <v>0.5507380558134263</v>
      </c>
      <c r="AL62" s="29" t="n">
        <v>2.526159526951375</v>
      </c>
      <c r="AM62" s="29" t="n">
        <v>17.76094478036996</v>
      </c>
      <c r="AN62" s="29" t="n">
        <v>137.9871539690708</v>
      </c>
      <c r="AO62" s="29" t="n">
        <v>6.908810715167967</v>
      </c>
      <c r="AP62" s="29" t="n">
        <v>4.806865351740417</v>
      </c>
      <c r="AQ62" s="29" t="n">
        <v>12.24641024589295</v>
      </c>
      <c r="AR62" s="29" t="n">
        <v>875.6761955215283</v>
      </c>
      <c r="AS62" s="29" t="n">
        <v>5.602151405336645</v>
      </c>
      <c r="AT62" s="29" t="n">
        <v>0.124596821897019</v>
      </c>
      <c r="AU62" s="29" t="n">
        <v>3.227931683837256</v>
      </c>
      <c r="AV62" s="29" t="n">
        <v>6.633663135092082</v>
      </c>
      <c r="AW62" s="29" t="n">
        <v>79.16026596612278</v>
      </c>
      <c r="AX62" s="29" t="n">
        <v>9.543957336945443</v>
      </c>
      <c r="AY62" s="29" t="n">
        <v>223.0089611492131</v>
      </c>
      <c r="AZ62" s="29" t="n">
        <v>32.63292472662182</v>
      </c>
      <c r="BA62" s="29" t="n">
        <v>255.8901721348988</v>
      </c>
      <c r="BB62" s="29" t="n">
        <v>65.73148069798117</v>
      </c>
      <c r="BC62" s="29" t="n">
        <v>2339.971453007172</v>
      </c>
      <c r="BD62" s="29" t="n">
        <v>91.62110487813143</v>
      </c>
      <c r="BE62" s="29" t="n">
        <v>412.9309944090199</v>
      </c>
      <c r="BF62" s="29" t="n">
        <v>202.7114281691505</v>
      </c>
      <c r="BG62" s="29" t="n">
        <v>3725.870503134788</v>
      </c>
      <c r="BH62" s="29" t="n">
        <v>31.68778856126417</v>
      </c>
      <c r="BI62" s="29" t="n">
        <v>105.9488191592814</v>
      </c>
      <c r="BJ62" s="29" t="n">
        <v>0.3977880740227501</v>
      </c>
      <c r="BK62" s="29" t="n">
        <v>1026.988412737609</v>
      </c>
      <c r="BL62" s="29" t="n">
        <v>3208.241606224099</v>
      </c>
      <c r="BM62" s="29" t="n">
        <v>2263.252772391928</v>
      </c>
      <c r="BN62" s="29" t="n">
        <v>49.50039218679875</v>
      </c>
      <c r="BO62" s="29" t="n">
        <v>179.641823829451</v>
      </c>
      <c r="BP62" s="29" t="n">
        <v>33.80863306731239</v>
      </c>
      <c r="BQ62" s="29" t="n">
        <v>258.5706261671208</v>
      </c>
      <c r="BR62" s="29" t="n">
        <v>0</v>
      </c>
      <c r="BS62" s="29">
        <f>SUM(C62:BR62)</f>
        <v/>
      </c>
      <c r="BT62" s="29" t="n">
        <v>0</v>
      </c>
      <c r="BU62" s="29" t="n">
        <v>0</v>
      </c>
      <c r="BV62" s="29" t="n">
        <v>12551.86850549139</v>
      </c>
      <c r="BW62" s="29" t="n">
        <v>0</v>
      </c>
      <c r="BX62" s="29">
        <f>SUM(BT62:BW62)</f>
        <v/>
      </c>
      <c r="BY62" s="29">
        <f>BS62+BX62</f>
        <v/>
      </c>
    </row>
    <row r="63">
      <c r="A63" s="30" t="inlineStr">
        <is>
          <t>5980</t>
        </is>
      </c>
      <c r="B63" s="30" t="inlineStr">
        <is>
          <t>Atividades de televisão, rádio, cinema e  gravação/edição de som e imagem</t>
        </is>
      </c>
      <c r="C63" s="31" t="n">
        <v>0.001973168306387604</v>
      </c>
      <c r="D63" s="31" t="n">
        <v>0.001258046604407551</v>
      </c>
      <c r="E63" s="31" t="n">
        <v>0.001756599729038451</v>
      </c>
      <c r="F63" s="31" t="n">
        <v>0.006634249962386367</v>
      </c>
      <c r="G63" s="31" t="n">
        <v>0.06623207555027952</v>
      </c>
      <c r="H63" s="31" t="n">
        <v>0.008393103292021024</v>
      </c>
      <c r="I63" s="31" t="n">
        <v>0.006392849281664864</v>
      </c>
      <c r="J63" s="31" t="n">
        <v>0.4523459013946383</v>
      </c>
      <c r="K63" s="31" t="n">
        <v>0.05515131645843147</v>
      </c>
      <c r="L63" s="31" t="n">
        <v>0.3016785490870859</v>
      </c>
      <c r="M63" s="31" t="n">
        <v>0.02452847628506041</v>
      </c>
      <c r="N63" s="31" t="n">
        <v>0.0151912485895884</v>
      </c>
      <c r="O63" s="31" t="n">
        <v>0.1017790445508047</v>
      </c>
      <c r="P63" s="31" t="n">
        <v>0.1230131775832904</v>
      </c>
      <c r="Q63" s="31" t="n">
        <v>0.07247160180130241</v>
      </c>
      <c r="R63" s="31" t="n">
        <v>0.02080506259973811</v>
      </c>
      <c r="S63" s="31" t="n">
        <v>0.1189502926593136</v>
      </c>
      <c r="T63" s="31" t="n">
        <v>0.01643426907270687</v>
      </c>
      <c r="U63" s="31" t="n">
        <v>0.06053349750775744</v>
      </c>
      <c r="V63" s="31" t="n">
        <v>0.05194490174076605</v>
      </c>
      <c r="W63" s="31" t="n">
        <v>0.07455895435415527</v>
      </c>
      <c r="X63" s="31" t="n">
        <v>0.07332482486707914</v>
      </c>
      <c r="Y63" s="31" t="n">
        <v>0.04101736147957473</v>
      </c>
      <c r="Z63" s="31" t="n">
        <v>0.1187900575316565</v>
      </c>
      <c r="AA63" s="31" t="n">
        <v>0.1748307715442292</v>
      </c>
      <c r="AB63" s="31" t="n">
        <v>0.1115473240591653</v>
      </c>
      <c r="AC63" s="31" t="n">
        <v>0.1198309545590421</v>
      </c>
      <c r="AD63" s="31" t="n">
        <v>0.02367441061077258</v>
      </c>
      <c r="AE63" s="31" t="n">
        <v>0.1256981628947942</v>
      </c>
      <c r="AF63" s="31" t="n">
        <v>0.09547630723221712</v>
      </c>
      <c r="AG63" s="31" t="n">
        <v>0.08065940875358391</v>
      </c>
      <c r="AH63" s="31" t="n">
        <v>0.205506725765114</v>
      </c>
      <c r="AI63" s="31" t="n">
        <v>0.03711098105233665</v>
      </c>
      <c r="AJ63" s="31" t="n">
        <v>0.04396697061915896</v>
      </c>
      <c r="AK63" s="31" t="n">
        <v>0.02686373071606599</v>
      </c>
      <c r="AL63" s="31" t="n">
        <v>0.08663134636638603</v>
      </c>
      <c r="AM63" s="31" t="n">
        <v>0.01266902872478407</v>
      </c>
      <c r="AN63" s="31" t="n">
        <v>0.2462030311906551</v>
      </c>
      <c r="AO63" s="31" t="n">
        <v>0.06166727280505955</v>
      </c>
      <c r="AP63" s="31" t="n">
        <v>0.3583093933391019</v>
      </c>
      <c r="AQ63" s="31" t="n">
        <v>0.8418911900385286</v>
      </c>
      <c r="AR63" s="31" t="n">
        <v>8.395631553019221</v>
      </c>
      <c r="AS63" s="31" t="n">
        <v>1.250257211914168</v>
      </c>
      <c r="AT63" s="31" t="n">
        <v>0.01419909637270363</v>
      </c>
      <c r="AU63" s="31" t="n">
        <v>0.02781506721278582</v>
      </c>
      <c r="AV63" s="31" t="n">
        <v>0.544256776854958</v>
      </c>
      <c r="AW63" s="31" t="n">
        <v>4.256350890698789</v>
      </c>
      <c r="AX63" s="31" t="n">
        <v>1.051170026853075</v>
      </c>
      <c r="AY63" s="31" t="n">
        <v>15.06872371376953</v>
      </c>
      <c r="AZ63" s="31" t="n">
        <v>5828.236036323686</v>
      </c>
      <c r="BA63" s="31" t="n">
        <v>5728.082916498332</v>
      </c>
      <c r="BB63" s="31" t="n">
        <v>1.355140908205881</v>
      </c>
      <c r="BC63" s="31" t="n">
        <v>3.215264491339008</v>
      </c>
      <c r="BD63" s="31" t="n">
        <v>0.5097400499392811</v>
      </c>
      <c r="BE63" s="31" t="n">
        <v>1.074843971677019</v>
      </c>
      <c r="BF63" s="31" t="n">
        <v>0.2220841495471448</v>
      </c>
      <c r="BG63" s="31" t="n">
        <v>34270.1165025936</v>
      </c>
      <c r="BH63" s="31" t="n">
        <v>0.266287668897319</v>
      </c>
      <c r="BI63" s="31" t="n">
        <v>18.61745316435379</v>
      </c>
      <c r="BJ63" s="31" t="n">
        <v>3.054133508631368</v>
      </c>
      <c r="BK63" s="31" t="n">
        <v>0.6451994246666979</v>
      </c>
      <c r="BL63" s="31" t="n">
        <v>0.1617981947364191</v>
      </c>
      <c r="BM63" s="31" t="n">
        <v>0.8994882827868509</v>
      </c>
      <c r="BN63" s="31" t="n">
        <v>0.1264424990794775</v>
      </c>
      <c r="BO63" s="31" t="n">
        <v>0.4368734740186083</v>
      </c>
      <c r="BP63" s="31" t="n">
        <v>113.6769907967121</v>
      </c>
      <c r="BQ63" s="31" t="n">
        <v>0.7182695948968052</v>
      </c>
      <c r="BR63" s="31" t="n">
        <v>0</v>
      </c>
      <c r="BS63" s="31">
        <f>SUM(C63:BR63)</f>
        <v/>
      </c>
      <c r="BT63" s="31" t="n">
        <v>0</v>
      </c>
      <c r="BU63" s="31" t="n">
        <v>0</v>
      </c>
      <c r="BV63" s="31" t="n">
        <v>2832.81013195215</v>
      </c>
      <c r="BW63" s="31" t="n">
        <v>0</v>
      </c>
      <c r="BX63" s="31">
        <f>SUM(BT63:BW63)</f>
        <v/>
      </c>
      <c r="BY63" s="31">
        <f>BS63+BX63</f>
        <v/>
      </c>
    </row>
    <row r="64">
      <c r="A64" s="28" t="inlineStr">
        <is>
          <t>6100</t>
        </is>
      </c>
      <c r="B64" s="28" t="inlineStr">
        <is>
          <t>Telecomunicações</t>
        </is>
      </c>
      <c r="C64" s="29" t="n">
        <v>7.033508703521358</v>
      </c>
      <c r="D64" s="29" t="n">
        <v>4.021084174790127</v>
      </c>
      <c r="E64" s="29" t="n">
        <v>8.033132076616614</v>
      </c>
      <c r="F64" s="29" t="n">
        <v>33.09240688805487</v>
      </c>
      <c r="G64" s="29" t="n">
        <v>609.07223414868</v>
      </c>
      <c r="H64" s="29" t="n">
        <v>72.52711714995424</v>
      </c>
      <c r="I64" s="29" t="n">
        <v>28.07529903982176</v>
      </c>
      <c r="J64" s="29" t="n">
        <v>713.8516875473356</v>
      </c>
      <c r="K64" s="29" t="n">
        <v>204.7501351829372</v>
      </c>
      <c r="L64" s="29" t="n">
        <v>1328.751684835843</v>
      </c>
      <c r="M64" s="29" t="n">
        <v>405.5723970924882</v>
      </c>
      <c r="N64" s="29" t="n">
        <v>19.1937011106668</v>
      </c>
      <c r="O64" s="29" t="n">
        <v>242.3550365901393</v>
      </c>
      <c r="P64" s="29" t="n">
        <v>623.6003236198661</v>
      </c>
      <c r="Q64" s="29" t="n">
        <v>192.5045424686326</v>
      </c>
      <c r="R64" s="29" t="n">
        <v>93.16300136156117</v>
      </c>
      <c r="S64" s="29" t="n">
        <v>360.6943588392834</v>
      </c>
      <c r="T64" s="29" t="n">
        <v>401.1119429639727</v>
      </c>
      <c r="U64" s="29" t="n">
        <v>230.6498320584456</v>
      </c>
      <c r="V64" s="29" t="n">
        <v>121.6411848897627</v>
      </c>
      <c r="W64" s="29" t="n">
        <v>284.1020083214195</v>
      </c>
      <c r="X64" s="29" t="n">
        <v>246.4345051144764</v>
      </c>
      <c r="Y64" s="29" t="n">
        <v>34.11722366309188</v>
      </c>
      <c r="Z64" s="29" t="n">
        <v>252.0240633954403</v>
      </c>
      <c r="AA64" s="29" t="n">
        <v>350.9193910698228</v>
      </c>
      <c r="AB64" s="29" t="n">
        <v>559.9627884578578</v>
      </c>
      <c r="AC64" s="29" t="n">
        <v>176.175111188841</v>
      </c>
      <c r="AD64" s="29" t="n">
        <v>69.50664883275483</v>
      </c>
      <c r="AE64" s="29" t="n">
        <v>461.0178508766911</v>
      </c>
      <c r="AF64" s="29" t="n">
        <v>945.9288972493424</v>
      </c>
      <c r="AG64" s="29" t="n">
        <v>480.0051246148464</v>
      </c>
      <c r="AH64" s="29" t="n">
        <v>583.5798801683559</v>
      </c>
      <c r="AI64" s="29" t="n">
        <v>1553.362820503479</v>
      </c>
      <c r="AJ64" s="29" t="n">
        <v>1257.017807869299</v>
      </c>
      <c r="AK64" s="29" t="n">
        <v>295.4161244438099</v>
      </c>
      <c r="AL64" s="29" t="n">
        <v>496.0256448867727</v>
      </c>
      <c r="AM64" s="29" t="n">
        <v>113.2068571030936</v>
      </c>
      <c r="AN64" s="29" t="n">
        <v>473.371506192583</v>
      </c>
      <c r="AO64" s="29" t="n">
        <v>170.2449208544991</v>
      </c>
      <c r="AP64" s="29" t="n">
        <v>1515.955581870466</v>
      </c>
      <c r="AQ64" s="29" t="n">
        <v>1315.91010524223</v>
      </c>
      <c r="AR64" s="29" t="n">
        <v>7182.934332037447</v>
      </c>
      <c r="AS64" s="29" t="n">
        <v>949.858017075038</v>
      </c>
      <c r="AT64" s="29" t="n">
        <v>32.28162681036654</v>
      </c>
      <c r="AU64" s="29" t="n">
        <v>69.46648962009112</v>
      </c>
      <c r="AV64" s="29" t="n">
        <v>832.9450906605161</v>
      </c>
      <c r="AW64" s="29" t="n">
        <v>253.3419147152539</v>
      </c>
      <c r="AX64" s="29" t="n">
        <v>690.4893093512483</v>
      </c>
      <c r="AY64" s="29" t="n">
        <v>196.338053209562</v>
      </c>
      <c r="AZ64" s="29" t="n">
        <v>378.0632388869447</v>
      </c>
      <c r="BA64" s="29" t="n">
        <v>25687.14041596682</v>
      </c>
      <c r="BB64" s="29" t="n">
        <v>1553.786408915372</v>
      </c>
      <c r="BC64" s="29" t="n">
        <v>9667.300044904849</v>
      </c>
      <c r="BD64" s="29" t="n">
        <v>715.2707723077617</v>
      </c>
      <c r="BE64" s="29" t="n">
        <v>2738.685973868054</v>
      </c>
      <c r="BF64" s="29" t="n">
        <v>464.3639482426921</v>
      </c>
      <c r="BG64" s="29" t="n">
        <v>2728.586709032511</v>
      </c>
      <c r="BH64" s="29" t="n">
        <v>145.6071046573938</v>
      </c>
      <c r="BI64" s="29" t="n">
        <v>1690.419153523826</v>
      </c>
      <c r="BJ64" s="29" t="n">
        <v>309.0722688080576</v>
      </c>
      <c r="BK64" s="29" t="n">
        <v>5455.33799673682</v>
      </c>
      <c r="BL64" s="29" t="n">
        <v>1100.762713605311</v>
      </c>
      <c r="BM64" s="29" t="n">
        <v>1277.105322377004</v>
      </c>
      <c r="BN64" s="29" t="n">
        <v>534.9408545521544</v>
      </c>
      <c r="BO64" s="29" t="n">
        <v>1076.389285717859</v>
      </c>
      <c r="BP64" s="29" t="n">
        <v>316.2268811620973</v>
      </c>
      <c r="BQ64" s="29" t="n">
        <v>1839.309466092618</v>
      </c>
      <c r="BR64" s="29" t="n">
        <v>0</v>
      </c>
      <c r="BS64" s="29">
        <f>SUM(C64:BR64)</f>
        <v/>
      </c>
      <c r="BT64" s="29" t="n">
        <v>0</v>
      </c>
      <c r="BU64" s="29" t="n">
        <v>0</v>
      </c>
      <c r="BV64" s="29" t="n">
        <v>94311.82865779361</v>
      </c>
      <c r="BW64" s="29" t="n">
        <v>0</v>
      </c>
      <c r="BX64" s="29">
        <f>SUM(BT64:BW64)</f>
        <v/>
      </c>
      <c r="BY64" s="29">
        <f>BS64+BX64</f>
        <v/>
      </c>
    </row>
    <row r="65">
      <c r="A65" s="30" t="inlineStr">
        <is>
          <t>6280</t>
        </is>
      </c>
      <c r="B65" s="30" t="inlineStr">
        <is>
          <t>Desenvolvimento de sistemas e outros serviços de informação</t>
        </is>
      </c>
      <c r="C65" s="31" t="n">
        <v>17.52997523550423</v>
      </c>
      <c r="D65" s="31" t="n">
        <v>9.753072109772695</v>
      </c>
      <c r="E65" s="31" t="n">
        <v>0.9836827409164646</v>
      </c>
      <c r="F65" s="31" t="n">
        <v>1.065564344464601</v>
      </c>
      <c r="G65" s="31" t="n">
        <v>50.11394091702605</v>
      </c>
      <c r="H65" s="31" t="n">
        <v>162.6888693318683</v>
      </c>
      <c r="I65" s="31" t="n">
        <v>26.7057947583032</v>
      </c>
      <c r="J65" s="31" t="n">
        <v>388.3673127737347</v>
      </c>
      <c r="K65" s="31" t="n">
        <v>11.0742367450664</v>
      </c>
      <c r="L65" s="31" t="n">
        <v>670.1713737936759</v>
      </c>
      <c r="M65" s="31" t="n">
        <v>63.88736838454498</v>
      </c>
      <c r="N65" s="31" t="n">
        <v>30.55922186240365</v>
      </c>
      <c r="O65" s="31" t="n">
        <v>38.25283387943129</v>
      </c>
      <c r="P65" s="31" t="n">
        <v>47.37704987232036</v>
      </c>
      <c r="Q65" s="31" t="n">
        <v>13.38294392307263</v>
      </c>
      <c r="R65" s="31" t="n">
        <v>11.01656500321945</v>
      </c>
      <c r="S65" s="31" t="n">
        <v>126.5107034662554</v>
      </c>
      <c r="T65" s="31" t="n">
        <v>4.764327590887379</v>
      </c>
      <c r="U65" s="31" t="n">
        <v>37.16266139266674</v>
      </c>
      <c r="V65" s="31" t="n">
        <v>2.108435049413943</v>
      </c>
      <c r="W65" s="31" t="n">
        <v>287.1489118293914</v>
      </c>
      <c r="X65" s="31" t="n">
        <v>172.9341730746376</v>
      </c>
      <c r="Y65" s="31" t="n">
        <v>20.0007562026021</v>
      </c>
      <c r="Z65" s="31" t="n">
        <v>329.2250138002198</v>
      </c>
      <c r="AA65" s="31" t="n">
        <v>123.9096382847318</v>
      </c>
      <c r="AB65" s="31" t="n">
        <v>92.40421952688995</v>
      </c>
      <c r="AC65" s="31" t="n">
        <v>134.16203060411</v>
      </c>
      <c r="AD65" s="31" t="n">
        <v>22.32627622530455</v>
      </c>
      <c r="AE65" s="31" t="n">
        <v>102.7931807516124</v>
      </c>
      <c r="AF65" s="31" t="n">
        <v>302.5936330023102</v>
      </c>
      <c r="AG65" s="31" t="n">
        <v>311.4560809760685</v>
      </c>
      <c r="AH65" s="31" t="n">
        <v>206.9760074611261</v>
      </c>
      <c r="AI65" s="31" t="n">
        <v>808.1728625252209</v>
      </c>
      <c r="AJ65" s="31" t="n">
        <v>102.5346238609725</v>
      </c>
      <c r="AK65" s="31" t="n">
        <v>73.76844338523895</v>
      </c>
      <c r="AL65" s="31" t="n">
        <v>104.908308126073</v>
      </c>
      <c r="AM65" s="31" t="n">
        <v>72.88915568443241</v>
      </c>
      <c r="AN65" s="31" t="n">
        <v>1117.200247856763</v>
      </c>
      <c r="AO65" s="31" t="n">
        <v>263.1445556770003</v>
      </c>
      <c r="AP65" s="31" t="n">
        <v>505.0518021529084</v>
      </c>
      <c r="AQ65" s="31" t="n">
        <v>388.659748000502</v>
      </c>
      <c r="AR65" s="31" t="n">
        <v>7067.499914703725</v>
      </c>
      <c r="AS65" s="31" t="n">
        <v>709.9101620134064</v>
      </c>
      <c r="AT65" s="31" t="n">
        <v>1.115310097459246</v>
      </c>
      <c r="AU65" s="31" t="n">
        <v>613.9215899123285</v>
      </c>
      <c r="AV65" s="31" t="n">
        <v>1002.625540112172</v>
      </c>
      <c r="AW65" s="31" t="n">
        <v>61.97192856770335</v>
      </c>
      <c r="AX65" s="31" t="n">
        <v>78.56228285877424</v>
      </c>
      <c r="AY65" s="31" t="n">
        <v>616.147442729618</v>
      </c>
      <c r="AZ65" s="31" t="n">
        <v>1023.618736211508</v>
      </c>
      <c r="BA65" s="31" t="n">
        <v>2972.757872725048</v>
      </c>
      <c r="BB65" s="31" t="n">
        <v>7163.200477186256</v>
      </c>
      <c r="BC65" s="31" t="n">
        <v>14616.71449007733</v>
      </c>
      <c r="BD65" s="31" t="n">
        <v>329.159737591577</v>
      </c>
      <c r="BE65" s="31" t="n">
        <v>2160.753858611856</v>
      </c>
      <c r="BF65" s="31" t="n">
        <v>55.20211273278274</v>
      </c>
      <c r="BG65" s="31" t="n">
        <v>4214.341342479823</v>
      </c>
      <c r="BH65" s="31" t="n">
        <v>342.2393817211572</v>
      </c>
      <c r="BI65" s="31" t="n">
        <v>723.1866097426399</v>
      </c>
      <c r="BJ65" s="31" t="n">
        <v>157.0791243548813</v>
      </c>
      <c r="BK65" s="31" t="n">
        <v>8844.136340533751</v>
      </c>
      <c r="BL65" s="31" t="n">
        <v>1444.274011879765</v>
      </c>
      <c r="BM65" s="31" t="n">
        <v>329.5490606805382</v>
      </c>
      <c r="BN65" s="31" t="n">
        <v>2412.131694277768</v>
      </c>
      <c r="BO65" s="31" t="n">
        <v>2.161783241473506</v>
      </c>
      <c r="BP65" s="31" t="n">
        <v>156.049105532581</v>
      </c>
      <c r="BQ65" s="31" t="n">
        <v>1346.144204399457</v>
      </c>
      <c r="BR65" s="31" t="n">
        <v>0</v>
      </c>
      <c r="BS65" s="31">
        <f>SUM(C65:BR65)</f>
        <v/>
      </c>
      <c r="BT65" s="31" t="n">
        <v>0</v>
      </c>
      <c r="BU65" s="31" t="n">
        <v>0</v>
      </c>
      <c r="BV65" s="31" t="n">
        <v>56993.96007184607</v>
      </c>
      <c r="BW65" s="31" t="n">
        <v>0</v>
      </c>
      <c r="BX65" s="31">
        <f>SUM(BT65:BW65)</f>
        <v/>
      </c>
      <c r="BY65" s="31">
        <f>BS65+BX65</f>
        <v/>
      </c>
    </row>
    <row r="66">
      <c r="A66" s="28" t="inlineStr">
        <is>
          <t>6480</t>
        </is>
      </c>
      <c r="B66" s="28" t="inlineStr">
        <is>
          <t>Intermediação financeira, seguros e previdência complementar</t>
        </is>
      </c>
      <c r="C66" s="29" t="n">
        <v>5598.767314672159</v>
      </c>
      <c r="D66" s="29" t="n">
        <v>1997.028600792061</v>
      </c>
      <c r="E66" s="29" t="n">
        <v>470.0158396186288</v>
      </c>
      <c r="F66" s="29" t="n">
        <v>669.1616361416627</v>
      </c>
      <c r="G66" s="29" t="n">
        <v>4694.368488570458</v>
      </c>
      <c r="H66" s="29" t="n">
        <v>1990.603284070824</v>
      </c>
      <c r="I66" s="29" t="n">
        <v>434.8432323771919</v>
      </c>
      <c r="J66" s="29" t="n">
        <v>4871.158589509587</v>
      </c>
      <c r="K66" s="29" t="n">
        <v>1601.943972743354</v>
      </c>
      <c r="L66" s="29" t="n">
        <v>4785.294159158877</v>
      </c>
      <c r="M66" s="29" t="n">
        <v>1455.893064922076</v>
      </c>
      <c r="N66" s="29" t="n">
        <v>338.6854048631542</v>
      </c>
      <c r="O66" s="29" t="n">
        <v>898.6120452269164</v>
      </c>
      <c r="P66" s="29" t="n">
        <v>1095.498550787392</v>
      </c>
      <c r="Q66" s="29" t="n">
        <v>801.1532554465022</v>
      </c>
      <c r="R66" s="29" t="n">
        <v>536.7204275931978</v>
      </c>
      <c r="S66" s="29" t="n">
        <v>1984.775203886632</v>
      </c>
      <c r="T66" s="29" t="n">
        <v>429.4175121100214</v>
      </c>
      <c r="U66" s="29" t="n">
        <v>3251.684853479425</v>
      </c>
      <c r="V66" s="29" t="n">
        <v>909.2104543649083</v>
      </c>
      <c r="W66" s="29" t="n">
        <v>3474.806073115033</v>
      </c>
      <c r="X66" s="29" t="n">
        <v>1361.27056722484</v>
      </c>
      <c r="Y66" s="29" t="n">
        <v>786.8242159793081</v>
      </c>
      <c r="Z66" s="29" t="n">
        <v>991.9622268348429</v>
      </c>
      <c r="AA66" s="29" t="n">
        <v>1915.820215016348</v>
      </c>
      <c r="AB66" s="29" t="n">
        <v>2283.467245978042</v>
      </c>
      <c r="AC66" s="29" t="n">
        <v>2748.815224968343</v>
      </c>
      <c r="AD66" s="29" t="n">
        <v>1129.379237361215</v>
      </c>
      <c r="AE66" s="29" t="n">
        <v>1806.022014470842</v>
      </c>
      <c r="AF66" s="29" t="n">
        <v>1719.538075424818</v>
      </c>
      <c r="AG66" s="29" t="n">
        <v>1469.846915024551</v>
      </c>
      <c r="AH66" s="29" t="n">
        <v>2633.147360806463</v>
      </c>
      <c r="AI66" s="29" t="n">
        <v>3475.197190360799</v>
      </c>
      <c r="AJ66" s="29" t="n">
        <v>1328.914992856819</v>
      </c>
      <c r="AK66" s="29" t="n">
        <v>1086.098779784402</v>
      </c>
      <c r="AL66" s="29" t="n">
        <v>1106.662584809117</v>
      </c>
      <c r="AM66" s="29" t="n">
        <v>699.9058925243751</v>
      </c>
      <c r="AN66" s="29" t="n">
        <v>5650.627421137809</v>
      </c>
      <c r="AO66" s="29" t="n">
        <v>1271.338697941344</v>
      </c>
      <c r="AP66" s="29" t="n">
        <v>10649.38962158037</v>
      </c>
      <c r="AQ66" s="29" t="n">
        <v>3084.779262904036</v>
      </c>
      <c r="AR66" s="29" t="n">
        <v>28201.22924533543</v>
      </c>
      <c r="AS66" s="29" t="n">
        <v>8819.051570751431</v>
      </c>
      <c r="AT66" s="29" t="n">
        <v>516.5579390425355</v>
      </c>
      <c r="AU66" s="29" t="n">
        <v>1342.673609487406</v>
      </c>
      <c r="AV66" s="29" t="n">
        <v>3212.275175682244</v>
      </c>
      <c r="AW66" s="29" t="n">
        <v>625.619194397833</v>
      </c>
      <c r="AX66" s="29" t="n">
        <v>3357.671400367002</v>
      </c>
      <c r="AY66" s="29" t="n">
        <v>585.0284921505986</v>
      </c>
      <c r="AZ66" s="29" t="n">
        <v>1123.492607435421</v>
      </c>
      <c r="BA66" s="29" t="n">
        <v>6586.053032646989</v>
      </c>
      <c r="BB66" s="29" t="n">
        <v>2456.681123836587</v>
      </c>
      <c r="BC66" s="29" t="n">
        <v>70839.87538951177</v>
      </c>
      <c r="BD66" s="29" t="n">
        <v>22517.57994954085</v>
      </c>
      <c r="BE66" s="29" t="n">
        <v>4297.647202595605</v>
      </c>
      <c r="BF66" s="29" t="n">
        <v>1675.973059083637</v>
      </c>
      <c r="BG66" s="29" t="n">
        <v>878.3048565455689</v>
      </c>
      <c r="BH66" s="29" t="n">
        <v>1457.245642795992</v>
      </c>
      <c r="BI66" s="29" t="n">
        <v>4772.698482425545</v>
      </c>
      <c r="BJ66" s="29" t="n">
        <v>1023.118533058337</v>
      </c>
      <c r="BK66" s="29" t="n">
        <v>54428.87680765892</v>
      </c>
      <c r="BL66" s="29" t="n">
        <v>442.524070639471</v>
      </c>
      <c r="BM66" s="29" t="n">
        <v>1903.004787183871</v>
      </c>
      <c r="BN66" s="29" t="n">
        <v>476.5146821168459</v>
      </c>
      <c r="BO66" s="29" t="n">
        <v>4530.664637755617</v>
      </c>
      <c r="BP66" s="29" t="n">
        <v>1036.832352938507</v>
      </c>
      <c r="BQ66" s="29" t="n">
        <v>2586.595986179326</v>
      </c>
      <c r="BR66" s="29" t="n">
        <v>0</v>
      </c>
      <c r="BS66" s="29">
        <f>SUM(C66:BR66)</f>
        <v/>
      </c>
      <c r="BT66" s="29" t="n">
        <v>0</v>
      </c>
      <c r="BU66" s="29" t="n">
        <v>0</v>
      </c>
      <c r="BV66" s="29" t="n">
        <v>231049.6258490658</v>
      </c>
      <c r="BW66" s="29" t="n">
        <v>0</v>
      </c>
      <c r="BX66" s="29">
        <f>SUM(BT66:BW66)</f>
        <v/>
      </c>
      <c r="BY66" s="29">
        <f>BS66+BX66</f>
        <v/>
      </c>
    </row>
    <row r="67">
      <c r="A67" s="30" t="inlineStr">
        <is>
          <t>6800</t>
        </is>
      </c>
      <c r="B67" s="30" t="inlineStr">
        <is>
          <t>Atividades imobiliárias</t>
        </is>
      </c>
      <c r="C67" s="31" t="n">
        <v>5.903840416009547</v>
      </c>
      <c r="D67" s="31" t="n">
        <v>3.689900260005967</v>
      </c>
      <c r="E67" s="31" t="n">
        <v>5.903840416009547</v>
      </c>
      <c r="F67" s="31" t="n">
        <v>16.23556114402626</v>
      </c>
      <c r="G67" s="31" t="n">
        <v>212.5382549763438</v>
      </c>
      <c r="H67" s="31" t="n">
        <v>17.71152124802864</v>
      </c>
      <c r="I67" s="31" t="n">
        <v>14.02162098802267</v>
      </c>
      <c r="J67" s="31" t="n">
        <v>446.4779314607221</v>
      </c>
      <c r="K67" s="31" t="n">
        <v>126.1945888922041</v>
      </c>
      <c r="L67" s="31" t="n">
        <v>335.780923660543</v>
      </c>
      <c r="M67" s="31" t="n">
        <v>50.92062358808234</v>
      </c>
      <c r="N67" s="31" t="n">
        <v>17.71152124802864</v>
      </c>
      <c r="O67" s="31" t="n">
        <v>236.1536166403819</v>
      </c>
      <c r="P67" s="31" t="n">
        <v>286.3362601764631</v>
      </c>
      <c r="Q67" s="31" t="n">
        <v>73.79800520011935</v>
      </c>
      <c r="R67" s="31" t="n">
        <v>24.35334171603938</v>
      </c>
      <c r="S67" s="31" t="n">
        <v>110.697007800179</v>
      </c>
      <c r="T67" s="31" t="n">
        <v>42.06486296406803</v>
      </c>
      <c r="U67" s="31" t="n">
        <v>120.2907484761945</v>
      </c>
      <c r="V67" s="31" t="n">
        <v>112.1729679041814</v>
      </c>
      <c r="W67" s="31" t="n">
        <v>116.6008482161886</v>
      </c>
      <c r="X67" s="31" t="n">
        <v>65.68022462810622</v>
      </c>
      <c r="Y67" s="31" t="n">
        <v>123.2426686841993</v>
      </c>
      <c r="Z67" s="31" t="n">
        <v>176.3772324282853</v>
      </c>
      <c r="AA67" s="31" t="n">
        <v>304.7857614764928</v>
      </c>
      <c r="AB67" s="31" t="n">
        <v>166.7834917522697</v>
      </c>
      <c r="AC67" s="31" t="n">
        <v>182.2810728442948</v>
      </c>
      <c r="AD67" s="31" t="n">
        <v>8.855760624014319</v>
      </c>
      <c r="AE67" s="31" t="n">
        <v>187.4469332083032</v>
      </c>
      <c r="AF67" s="31" t="n">
        <v>164.5695515962661</v>
      </c>
      <c r="AG67" s="31" t="n">
        <v>87.08164613614083</v>
      </c>
      <c r="AH67" s="31" t="n">
        <v>188.1849132603043</v>
      </c>
      <c r="AI67" s="31" t="n">
        <v>99.62730702016111</v>
      </c>
      <c r="AJ67" s="31" t="n">
        <v>143.1681300882315</v>
      </c>
      <c r="AK67" s="31" t="n">
        <v>61.25234431609906</v>
      </c>
      <c r="AL67" s="31" t="n">
        <v>179.32915263629</v>
      </c>
      <c r="AM67" s="31" t="n">
        <v>39.85092280806445</v>
      </c>
      <c r="AN67" s="31" t="n">
        <v>828.0136183453391</v>
      </c>
      <c r="AO67" s="31" t="n">
        <v>206.6344145603341</v>
      </c>
      <c r="AP67" s="31" t="n">
        <v>1210.287285281958</v>
      </c>
      <c r="AQ67" s="31" t="n">
        <v>2841.961180256596</v>
      </c>
      <c r="AR67" s="31" t="n">
        <v>27424.81469246835</v>
      </c>
      <c r="AS67" s="31" t="n">
        <v>851.6289800093772</v>
      </c>
      <c r="AT67" s="31" t="n">
        <v>47.96870338007757</v>
      </c>
      <c r="AU67" s="31" t="n">
        <v>80.43982566813008</v>
      </c>
      <c r="AV67" s="31" t="n">
        <v>1838.308309534973</v>
      </c>
      <c r="AW67" s="31" t="n">
        <v>887.7900025574356</v>
      </c>
      <c r="AX67" s="31" t="n">
        <v>3551.160010229742</v>
      </c>
      <c r="AY67" s="31" t="n">
        <v>228.77381612037</v>
      </c>
      <c r="AZ67" s="31" t="n">
        <v>360.1342653765824</v>
      </c>
      <c r="BA67" s="31" t="n">
        <v>2022.803322535271</v>
      </c>
      <c r="BB67" s="31" t="n">
        <v>1151.248881121861</v>
      </c>
      <c r="BC67" s="31" t="n">
        <v>4066.270086526576</v>
      </c>
      <c r="BD67" s="31" t="n">
        <v>1720.969481266783</v>
      </c>
      <c r="BE67" s="31" t="n">
        <v>3545.994149865734</v>
      </c>
      <c r="BF67" s="31" t="n">
        <v>742.4079323132006</v>
      </c>
      <c r="BG67" s="31" t="n">
        <v>753.4776330932185</v>
      </c>
      <c r="BH67" s="31" t="n">
        <v>899.5976833894548</v>
      </c>
      <c r="BI67" s="31" t="n">
        <v>2129.072450023443</v>
      </c>
      <c r="BJ67" s="31" t="n">
        <v>194.0887536763139</v>
      </c>
      <c r="BK67" s="31" t="n">
        <v>2023.541302587272</v>
      </c>
      <c r="BL67" s="31" t="n">
        <v>518.7999765568389</v>
      </c>
      <c r="BM67" s="31" t="n">
        <v>3033.835993776906</v>
      </c>
      <c r="BN67" s="31" t="n">
        <v>349.8025446485657</v>
      </c>
      <c r="BO67" s="31" t="n">
        <v>1427.991400622309</v>
      </c>
      <c r="BP67" s="31" t="n">
        <v>2995.461031072844</v>
      </c>
      <c r="BQ67" s="31" t="n">
        <v>2286.262201099697</v>
      </c>
      <c r="BR67" s="31" t="n">
        <v>0</v>
      </c>
      <c r="BS67" s="31">
        <f>SUM(C67:BR67)</f>
        <v/>
      </c>
      <c r="BT67" s="31" t="n">
        <v>0</v>
      </c>
      <c r="BU67" s="31" t="n">
        <v>0</v>
      </c>
      <c r="BV67" s="31" t="n">
        <v>433430.5016939713</v>
      </c>
      <c r="BW67" s="31" t="n">
        <v>0</v>
      </c>
      <c r="BX67" s="31">
        <f>SUM(BT67:BW67)</f>
        <v/>
      </c>
      <c r="BY67" s="31">
        <f>BS67+BX67</f>
        <v/>
      </c>
    </row>
    <row r="68">
      <c r="A68" s="28" t="inlineStr">
        <is>
          <t>6980</t>
        </is>
      </c>
      <c r="B68" s="28" t="inlineStr">
        <is>
          <t>Atividades jurídicas, contábeis, consultoria e sedes de empresas</t>
        </is>
      </c>
      <c r="C68" s="29" t="n">
        <v>20.20575456054023</v>
      </c>
      <c r="D68" s="29" t="n">
        <v>10.58435971789527</v>
      </c>
      <c r="E68" s="29" t="n">
        <v>41.36966994348651</v>
      </c>
      <c r="F68" s="29" t="n">
        <v>461.7729985734803</v>
      </c>
      <c r="G68" s="29" t="n">
        <v>7131.464002292772</v>
      </c>
      <c r="H68" s="29" t="n">
        <v>2290.544643563741</v>
      </c>
      <c r="I68" s="29" t="n">
        <v>206.8409153171562</v>
      </c>
      <c r="J68" s="29" t="n">
        <v>4072.679580932905</v>
      </c>
      <c r="K68" s="29" t="n">
        <v>782.1980239013818</v>
      </c>
      <c r="L68" s="29" t="n">
        <v>6314.952322969963</v>
      </c>
      <c r="M68" s="29" t="n">
        <v>1719.138849571546</v>
      </c>
      <c r="N68" s="29" t="n">
        <v>715.7493414116083</v>
      </c>
      <c r="O68" s="29" t="n">
        <v>328.2082543103145</v>
      </c>
      <c r="P68" s="29" t="n">
        <v>299.3828884097598</v>
      </c>
      <c r="Q68" s="29" t="n">
        <v>209.8004307983166</v>
      </c>
      <c r="R68" s="29" t="n">
        <v>222.2480599482337</v>
      </c>
      <c r="S68" s="29" t="n">
        <v>1732.702686890049</v>
      </c>
      <c r="T68" s="29" t="n">
        <v>150.1006263316787</v>
      </c>
      <c r="U68" s="29" t="n">
        <v>4567.686136052187</v>
      </c>
      <c r="V68" s="29" t="n">
        <v>443.5650317935175</v>
      </c>
      <c r="W68" s="29" t="n">
        <v>2651.383471903418</v>
      </c>
      <c r="X68" s="29" t="n">
        <v>2973.635521790709</v>
      </c>
      <c r="Y68" s="29" t="n">
        <v>1253.567825611461</v>
      </c>
      <c r="Z68" s="29" t="n">
        <v>3452.788565475513</v>
      </c>
      <c r="AA68" s="29" t="n">
        <v>1497.125332709562</v>
      </c>
      <c r="AB68" s="29" t="n">
        <v>2381.10774718114</v>
      </c>
      <c r="AC68" s="29" t="n">
        <v>1355.623417182187</v>
      </c>
      <c r="AD68" s="29" t="n">
        <v>726.3347148520777</v>
      </c>
      <c r="AE68" s="29" t="n">
        <v>835.1856702373231</v>
      </c>
      <c r="AF68" s="29" t="n">
        <v>2773.591955592168</v>
      </c>
      <c r="AG68" s="29" t="n">
        <v>2046.277404661003</v>
      </c>
      <c r="AH68" s="29" t="n">
        <v>1935.781150484552</v>
      </c>
      <c r="AI68" s="29" t="n">
        <v>2495.502093196743</v>
      </c>
      <c r="AJ68" s="29" t="n">
        <v>971.7100812915502</v>
      </c>
      <c r="AK68" s="29" t="n">
        <v>396.3888115382222</v>
      </c>
      <c r="AL68" s="29" t="n">
        <v>358.9600922544533</v>
      </c>
      <c r="AM68" s="29" t="n">
        <v>589.732519094587</v>
      </c>
      <c r="AN68" s="29" t="n">
        <v>959.6082489837214</v>
      </c>
      <c r="AO68" s="29" t="n">
        <v>1051.593164963372</v>
      </c>
      <c r="AP68" s="29" t="n">
        <v>4969.467545837444</v>
      </c>
      <c r="AQ68" s="29" t="n">
        <v>6252.784895996427</v>
      </c>
      <c r="AR68" s="29" t="n">
        <v>20347.44661550018</v>
      </c>
      <c r="AS68" s="29" t="n">
        <v>2055.344859304633</v>
      </c>
      <c r="AT68" s="29" t="n">
        <v>100.0768209196165</v>
      </c>
      <c r="AU68" s="29" t="n">
        <v>418.5193897211896</v>
      </c>
      <c r="AV68" s="29" t="n">
        <v>1592.243029108181</v>
      </c>
      <c r="AW68" s="29" t="n">
        <v>198.6984223378058</v>
      </c>
      <c r="AX68" s="29" t="n">
        <v>829.4258356797554</v>
      </c>
      <c r="AY68" s="29" t="n">
        <v>500.400393924982</v>
      </c>
      <c r="AZ68" s="29" t="n">
        <v>2347.526879182206</v>
      </c>
      <c r="BA68" s="29" t="n">
        <v>3230.80202867011</v>
      </c>
      <c r="BB68" s="29" t="n">
        <v>2403.780458633505</v>
      </c>
      <c r="BC68" s="29" t="n">
        <v>14543.10003591476</v>
      </c>
      <c r="BD68" s="29" t="n">
        <v>2090.491668264766</v>
      </c>
      <c r="BE68" s="29" t="n">
        <v>14381.18930859447</v>
      </c>
      <c r="BF68" s="29" t="n">
        <v>4561.302614719892</v>
      </c>
      <c r="BG68" s="29" t="n">
        <v>338.1165453987791</v>
      </c>
      <c r="BH68" s="29" t="n">
        <v>774.9458474063641</v>
      </c>
      <c r="BI68" s="29" t="n">
        <v>3110.469066556093</v>
      </c>
      <c r="BJ68" s="29" t="n">
        <v>1154.521564985012</v>
      </c>
      <c r="BK68" s="29" t="n">
        <v>4534.161119617589</v>
      </c>
      <c r="BL68" s="29" t="n">
        <v>173.4678690195849</v>
      </c>
      <c r="BM68" s="29" t="n">
        <v>1756.491925546413</v>
      </c>
      <c r="BN68" s="29" t="n">
        <v>345.5665475800466</v>
      </c>
      <c r="BO68" s="29" t="n">
        <v>1865.209269705922</v>
      </c>
      <c r="BP68" s="29" t="n">
        <v>1027.270604573801</v>
      </c>
      <c r="BQ68" s="29" t="n">
        <v>2993.186708345239</v>
      </c>
      <c r="BR68" s="29" t="n">
        <v>0</v>
      </c>
      <c r="BS68" s="29">
        <f>SUM(C68:BR68)</f>
        <v/>
      </c>
      <c r="BT68" s="29" t="n">
        <v>0</v>
      </c>
      <c r="BU68" s="29" t="n">
        <v>0</v>
      </c>
      <c r="BV68" s="29" t="n">
        <v>24062.35986185554</v>
      </c>
      <c r="BW68" s="29" t="n">
        <v>0</v>
      </c>
      <c r="BX68" s="29">
        <f>SUM(BT68:BW68)</f>
        <v/>
      </c>
      <c r="BY68" s="29">
        <f>BS68+BX68</f>
        <v/>
      </c>
    </row>
    <row r="69">
      <c r="A69" s="30" t="inlineStr">
        <is>
          <t>7180</t>
        </is>
      </c>
      <c r="B69" s="30" t="inlineStr">
        <is>
          <t>Serviços de arquitetura, engenharia, testes/análises técnicas e P &amp; D</t>
        </is>
      </c>
      <c r="C69" s="31" t="n">
        <v>699.3406529184143</v>
      </c>
      <c r="D69" s="31" t="n">
        <v>27.21115150521213</v>
      </c>
      <c r="E69" s="31" t="n">
        <v>0.1405817200789083</v>
      </c>
      <c r="F69" s="31" t="n">
        <v>92.0485329615812</v>
      </c>
      <c r="G69" s="31" t="n">
        <v>2492.865187634054</v>
      </c>
      <c r="H69" s="31" t="n">
        <v>397.7352221089827</v>
      </c>
      <c r="I69" s="31" t="n">
        <v>183.3772665850464</v>
      </c>
      <c r="J69" s="31" t="n">
        <v>1450.044746203494</v>
      </c>
      <c r="K69" s="31" t="n">
        <v>451.3468340395266</v>
      </c>
      <c r="L69" s="31" t="n">
        <v>1358.491251035003</v>
      </c>
      <c r="M69" s="31" t="n">
        <v>303.6548604639891</v>
      </c>
      <c r="N69" s="31" t="n">
        <v>169.4715129906951</v>
      </c>
      <c r="O69" s="31" t="n">
        <v>97.51886682841443</v>
      </c>
      <c r="P69" s="31" t="n">
        <v>244.6255506313401</v>
      </c>
      <c r="Q69" s="31" t="n">
        <v>167.835196936932</v>
      </c>
      <c r="R69" s="31" t="n">
        <v>57.37252792642826</v>
      </c>
      <c r="S69" s="31" t="n">
        <v>622.8784259528566</v>
      </c>
      <c r="T69" s="31" t="n">
        <v>62.31680705348849</v>
      </c>
      <c r="U69" s="31" t="n">
        <v>222.5663352177272</v>
      </c>
      <c r="V69" s="31" t="n">
        <v>281.5693224173495</v>
      </c>
      <c r="W69" s="31" t="n">
        <v>915.3432438507782</v>
      </c>
      <c r="X69" s="31" t="n">
        <v>717.2924783635409</v>
      </c>
      <c r="Y69" s="31" t="n">
        <v>584.799474395024</v>
      </c>
      <c r="Z69" s="31" t="n">
        <v>1211.778104521866</v>
      </c>
      <c r="AA69" s="31" t="n">
        <v>1166.222659903019</v>
      </c>
      <c r="AB69" s="31" t="n">
        <v>868.6900667099758</v>
      </c>
      <c r="AC69" s="31" t="n">
        <v>482.2221320508314</v>
      </c>
      <c r="AD69" s="31" t="n">
        <v>349.2954376162122</v>
      </c>
      <c r="AE69" s="31" t="n">
        <v>647.6991149281415</v>
      </c>
      <c r="AF69" s="31" t="n">
        <v>1075.351314499763</v>
      </c>
      <c r="AG69" s="31" t="n">
        <v>535.8805253359707</v>
      </c>
      <c r="AH69" s="31" t="n">
        <v>2526.319910837834</v>
      </c>
      <c r="AI69" s="31" t="n">
        <v>2726.474448280298</v>
      </c>
      <c r="AJ69" s="31" t="n">
        <v>903.842506530625</v>
      </c>
      <c r="AK69" s="31" t="n">
        <v>379.4711170567508</v>
      </c>
      <c r="AL69" s="31" t="n">
        <v>343.4218760828836</v>
      </c>
      <c r="AM69" s="31" t="n">
        <v>253.5232360851312</v>
      </c>
      <c r="AN69" s="31" t="n">
        <v>4175.016576337943</v>
      </c>
      <c r="AO69" s="31" t="n">
        <v>594.7420189166949</v>
      </c>
      <c r="AP69" s="31" t="n">
        <v>6632.200685230848</v>
      </c>
      <c r="AQ69" s="31" t="n">
        <v>144.1231133017122</v>
      </c>
      <c r="AR69" s="31" t="n">
        <v>2171.069141406434</v>
      </c>
      <c r="AS69" s="31" t="n">
        <v>497.070153654638</v>
      </c>
      <c r="AT69" s="31" t="n">
        <v>19.09887653280213</v>
      </c>
      <c r="AU69" s="31" t="n">
        <v>0.6512959038471304</v>
      </c>
      <c r="AV69" s="31" t="n">
        <v>5919.030877466128</v>
      </c>
      <c r="AW69" s="31" t="n">
        <v>15.16581808252931</v>
      </c>
      <c r="AX69" s="31" t="n">
        <v>31.3102257257624</v>
      </c>
      <c r="AY69" s="31" t="n">
        <v>2.061095746027002</v>
      </c>
      <c r="AZ69" s="31" t="n">
        <v>2.929281549019108</v>
      </c>
      <c r="BA69" s="31" t="n">
        <v>34.30326516756416</v>
      </c>
      <c r="BB69" s="31" t="n">
        <v>445.9065724491504</v>
      </c>
      <c r="BC69" s="31" t="n">
        <v>1013.574996638345</v>
      </c>
      <c r="BD69" s="31" t="n">
        <v>39.70199331779595</v>
      </c>
      <c r="BE69" s="31" t="n">
        <v>28.79311578360085</v>
      </c>
      <c r="BF69" s="31" t="n">
        <v>4673.296138659188</v>
      </c>
      <c r="BG69" s="31" t="n">
        <v>6.077295783244226</v>
      </c>
      <c r="BH69" s="31" t="n">
        <v>109.4709352605833</v>
      </c>
      <c r="BI69" s="31" t="n">
        <v>49.14000965772681</v>
      </c>
      <c r="BJ69" s="31" t="n">
        <v>1.673625880375499</v>
      </c>
      <c r="BK69" s="31" t="n">
        <v>5861.311263549554</v>
      </c>
      <c r="BL69" s="31" t="n">
        <v>1994.771653274365</v>
      </c>
      <c r="BM69" s="31" t="n">
        <v>159.9649150250039</v>
      </c>
      <c r="BN69" s="31" t="n">
        <v>1908.08934432668</v>
      </c>
      <c r="BO69" s="31" t="n">
        <v>12.5952573885347</v>
      </c>
      <c r="BP69" s="31" t="n">
        <v>24.13955525642413</v>
      </c>
      <c r="BQ69" s="31" t="n">
        <v>18.56519493775109</v>
      </c>
      <c r="BR69" s="31" t="n">
        <v>0</v>
      </c>
      <c r="BS69" s="31">
        <f>SUM(C69:BR69)</f>
        <v/>
      </c>
      <c r="BT69" s="31" t="n">
        <v>0</v>
      </c>
      <c r="BU69" s="31" t="n">
        <v>0</v>
      </c>
      <c r="BV69" s="31" t="n">
        <v>17167.97091203571</v>
      </c>
      <c r="BW69" s="31" t="n">
        <v>0</v>
      </c>
      <c r="BX69" s="31">
        <f>SUM(BT69:BW69)</f>
        <v/>
      </c>
      <c r="BY69" s="31">
        <f>BS69+BX69</f>
        <v/>
      </c>
    </row>
    <row r="70">
      <c r="A70" s="28" t="inlineStr">
        <is>
          <t>7380</t>
        </is>
      </c>
      <c r="B70" s="28" t="inlineStr">
        <is>
          <t>Outras atividades profissionais, científicas e técnicas</t>
        </is>
      </c>
      <c r="C70" s="29" t="n">
        <v>13.8139519108174</v>
      </c>
      <c r="D70" s="29" t="n">
        <v>366.3315346391896</v>
      </c>
      <c r="E70" s="29" t="n">
        <v>86.1047274773603</v>
      </c>
      <c r="F70" s="29" t="n">
        <v>34.94307559832482</v>
      </c>
      <c r="G70" s="29" t="n">
        <v>459.9354682014232</v>
      </c>
      <c r="H70" s="29" t="n">
        <v>6.516168576165568</v>
      </c>
      <c r="I70" s="29" t="n">
        <v>0.8264379379246628</v>
      </c>
      <c r="J70" s="29" t="n">
        <v>2009.301970216848</v>
      </c>
      <c r="K70" s="29" t="n">
        <v>153.6430898950922</v>
      </c>
      <c r="L70" s="29" t="n">
        <v>3227.520101060511</v>
      </c>
      <c r="M70" s="29" t="n">
        <v>4946.699116508072</v>
      </c>
      <c r="N70" s="29" t="n">
        <v>273.7525741688007</v>
      </c>
      <c r="O70" s="29" t="n">
        <v>96.89446173436427</v>
      </c>
      <c r="P70" s="29" t="n">
        <v>408.8511785055958</v>
      </c>
      <c r="Q70" s="29" t="n">
        <v>872.460522678246</v>
      </c>
      <c r="R70" s="29" t="n">
        <v>30.89580340329202</v>
      </c>
      <c r="S70" s="29" t="n">
        <v>530.5539666713777</v>
      </c>
      <c r="T70" s="29" t="n">
        <v>72.33194168505457</v>
      </c>
      <c r="U70" s="29" t="n">
        <v>159.327379111579</v>
      </c>
      <c r="V70" s="29" t="n">
        <v>69.15589493322244</v>
      </c>
      <c r="W70" s="29" t="n">
        <v>108.1599240151179</v>
      </c>
      <c r="X70" s="29" t="n">
        <v>432.2111347466903</v>
      </c>
      <c r="Y70" s="29" t="n">
        <v>1290.793215193101</v>
      </c>
      <c r="Z70" s="29" t="n">
        <v>1841.586477166738</v>
      </c>
      <c r="AA70" s="29" t="n">
        <v>479.5602329004099</v>
      </c>
      <c r="AB70" s="29" t="n">
        <v>301.5359752060124</v>
      </c>
      <c r="AC70" s="29" t="n">
        <v>177.2769204499821</v>
      </c>
      <c r="AD70" s="29" t="n">
        <v>17.07711328658076</v>
      </c>
      <c r="AE70" s="29" t="n">
        <v>507.8727918573126</v>
      </c>
      <c r="AF70" s="29" t="n">
        <v>1613.320905144407</v>
      </c>
      <c r="AG70" s="29" t="n">
        <v>694.5908084296727</v>
      </c>
      <c r="AH70" s="29" t="n">
        <v>512.7908614966215</v>
      </c>
      <c r="AI70" s="29" t="n">
        <v>4763.984221592564</v>
      </c>
      <c r="AJ70" s="29" t="n">
        <v>145.5272137740066</v>
      </c>
      <c r="AK70" s="29" t="n">
        <v>298.9721141774151</v>
      </c>
      <c r="AL70" s="29" t="n">
        <v>425.8070950159335</v>
      </c>
      <c r="AM70" s="29" t="n">
        <v>91.00994811147378</v>
      </c>
      <c r="AN70" s="29" t="n">
        <v>2911.083016798642</v>
      </c>
      <c r="AO70" s="29" t="n">
        <v>174.8265454406963</v>
      </c>
      <c r="AP70" s="29" t="n">
        <v>2172.282190260245</v>
      </c>
      <c r="AQ70" s="29" t="n">
        <v>2635.152158489247</v>
      </c>
      <c r="AR70" s="29" t="n">
        <v>15918.12212885908</v>
      </c>
      <c r="AS70" s="29" t="n">
        <v>596.1715940130568</v>
      </c>
      <c r="AT70" s="29" t="n">
        <v>34.15913462025967</v>
      </c>
      <c r="AU70" s="29" t="n">
        <v>191.7670540663383</v>
      </c>
      <c r="AV70" s="29" t="n">
        <v>1004.024302073934</v>
      </c>
      <c r="AW70" s="29" t="n">
        <v>302.9801333167296</v>
      </c>
      <c r="AX70" s="29" t="n">
        <v>701.8229618153374</v>
      </c>
      <c r="AY70" s="29" t="n">
        <v>1091.088992563933</v>
      </c>
      <c r="AZ70" s="29" t="n">
        <v>1949.766971886835</v>
      </c>
      <c r="BA70" s="29" t="n">
        <v>4120.936200219478</v>
      </c>
      <c r="BB70" s="29" t="n">
        <v>1496.438502969587</v>
      </c>
      <c r="BC70" s="29" t="n">
        <v>10606.15291059193</v>
      </c>
      <c r="BD70" s="29" t="n">
        <v>916.1920806251684</v>
      </c>
      <c r="BE70" s="29" t="n">
        <v>3937.861920676691</v>
      </c>
      <c r="BF70" s="29" t="n">
        <v>398.6934257926159</v>
      </c>
      <c r="BG70" s="29" t="n">
        <v>1678.824796793149</v>
      </c>
      <c r="BH70" s="29" t="n">
        <v>985.2871597230314</v>
      </c>
      <c r="BI70" s="29" t="n">
        <v>1400.682627356077</v>
      </c>
      <c r="BJ70" s="29" t="n">
        <v>168.31787188422</v>
      </c>
      <c r="BK70" s="29" t="n">
        <v>3942.130059295975</v>
      </c>
      <c r="BL70" s="29" t="n">
        <v>723.3884126037557</v>
      </c>
      <c r="BM70" s="29" t="n">
        <v>2360.786819349273</v>
      </c>
      <c r="BN70" s="29" t="n">
        <v>1115.552504468893</v>
      </c>
      <c r="BO70" s="29" t="n">
        <v>33.80992801938424</v>
      </c>
      <c r="BP70" s="29" t="n">
        <v>1483.513830828894</v>
      </c>
      <c r="BQ70" s="29" t="n">
        <v>1534.842666579051</v>
      </c>
      <c r="BR70" s="29" t="n">
        <v>0</v>
      </c>
      <c r="BS70" s="29">
        <f>SUM(C70:BR70)</f>
        <v/>
      </c>
      <c r="BT70" s="29" t="n">
        <v>0</v>
      </c>
      <c r="BU70" s="29" t="n">
        <v>0</v>
      </c>
      <c r="BV70" s="29" t="n">
        <v>3329.796392045604</v>
      </c>
      <c r="BW70" s="29" t="n">
        <v>0</v>
      </c>
      <c r="BX70" s="29">
        <f>SUM(BT70:BW70)</f>
        <v/>
      </c>
      <c r="BY70" s="29">
        <f>BS70+BX70</f>
        <v/>
      </c>
    </row>
    <row r="71">
      <c r="A71" s="30" t="inlineStr">
        <is>
          <t>7700</t>
        </is>
      </c>
      <c r="B71" s="30" t="inlineStr">
        <is>
          <t>Aluguéis não-imobiliários e gestão de ativos de propriedade intelectual</t>
        </is>
      </c>
      <c r="C71" s="31" t="n">
        <v>359.9057414419397</v>
      </c>
      <c r="D71" s="31" t="n">
        <v>62.19503791191232</v>
      </c>
      <c r="E71" s="31" t="n">
        <v>111.7253122454343</v>
      </c>
      <c r="F71" s="31" t="n">
        <v>314.5696539687348</v>
      </c>
      <c r="G71" s="31" t="n">
        <v>13537.00521480768</v>
      </c>
      <c r="H71" s="31" t="n">
        <v>1445.132112723582</v>
      </c>
      <c r="I71" s="31" t="n">
        <v>351.4588463736424</v>
      </c>
      <c r="J71" s="31" t="n">
        <v>472.6527002483788</v>
      </c>
      <c r="K71" s="31" t="n">
        <v>538.6274614130754</v>
      </c>
      <c r="L71" s="31" t="n">
        <v>1448.888825366467</v>
      </c>
      <c r="M71" s="31" t="n">
        <v>551.3713282256315</v>
      </c>
      <c r="N71" s="31" t="n">
        <v>57.63685492662573</v>
      </c>
      <c r="O71" s="31" t="n">
        <v>77.22758573283124</v>
      </c>
      <c r="P71" s="31" t="n">
        <v>147.5994011473398</v>
      </c>
      <c r="Q71" s="31" t="n">
        <v>104.099098355355</v>
      </c>
      <c r="R71" s="31" t="n">
        <v>181.6588123031374</v>
      </c>
      <c r="S71" s="31" t="n">
        <v>957.6741458298475</v>
      </c>
      <c r="T71" s="31" t="n">
        <v>273.2904700420556</v>
      </c>
      <c r="U71" s="31" t="n">
        <v>585.799162026512</v>
      </c>
      <c r="V71" s="31" t="n">
        <v>100.6499984107984</v>
      </c>
      <c r="W71" s="31" t="n">
        <v>553.1938649356317</v>
      </c>
      <c r="X71" s="31" t="n">
        <v>606.1911080846236</v>
      </c>
      <c r="Y71" s="31" t="n">
        <v>130.5269696460268</v>
      </c>
      <c r="Z71" s="31" t="n">
        <v>268.4758747298793</v>
      </c>
      <c r="AA71" s="31" t="n">
        <v>782.5607911158631</v>
      </c>
      <c r="AB71" s="31" t="n">
        <v>638.0928474966822</v>
      </c>
      <c r="AC71" s="31" t="n">
        <v>922.2877961502029</v>
      </c>
      <c r="AD71" s="31" t="n">
        <v>355.7303577844649</v>
      </c>
      <c r="AE71" s="31" t="n">
        <v>995.3030545947452</v>
      </c>
      <c r="AF71" s="31" t="n">
        <v>851.692651142316</v>
      </c>
      <c r="AG71" s="31" t="n">
        <v>307.09477669689</v>
      </c>
      <c r="AH71" s="31" t="n">
        <v>1042.325562346376</v>
      </c>
      <c r="AI71" s="31" t="n">
        <v>2411.458740475008</v>
      </c>
      <c r="AJ71" s="31" t="n">
        <v>710.6017547472936</v>
      </c>
      <c r="AK71" s="31" t="n">
        <v>872.8245280539645</v>
      </c>
      <c r="AL71" s="31" t="n">
        <v>342.5971901690648</v>
      </c>
      <c r="AM71" s="31" t="n">
        <v>481.2586971826255</v>
      </c>
      <c r="AN71" s="31" t="n">
        <v>1108.732787891155</v>
      </c>
      <c r="AO71" s="31" t="n">
        <v>1833.731798206217</v>
      </c>
      <c r="AP71" s="31" t="n">
        <v>6706.089336813104</v>
      </c>
      <c r="AQ71" s="31" t="n">
        <v>1120.544171107802</v>
      </c>
      <c r="AR71" s="31" t="n">
        <v>10177.88771099865</v>
      </c>
      <c r="AS71" s="31" t="n">
        <v>4987.974881720934</v>
      </c>
      <c r="AT71" s="31" t="n">
        <v>1225.54514792507</v>
      </c>
      <c r="AU71" s="31" t="n">
        <v>3471.826669420434</v>
      </c>
      <c r="AV71" s="31" t="n">
        <v>2575.36997734198</v>
      </c>
      <c r="AW71" s="31" t="n">
        <v>180.603070707345</v>
      </c>
      <c r="AX71" s="31" t="n">
        <v>1399.124999367769</v>
      </c>
      <c r="AY71" s="31" t="n">
        <v>1183.584118009502</v>
      </c>
      <c r="AZ71" s="31" t="n">
        <v>1495.499540748535</v>
      </c>
      <c r="BA71" s="31" t="n">
        <v>7302.197088739264</v>
      </c>
      <c r="BB71" s="31" t="n">
        <v>2992.248610661792</v>
      </c>
      <c r="BC71" s="31" t="n">
        <v>2094.63338247509</v>
      </c>
      <c r="BD71" s="31" t="n">
        <v>326.313565821556</v>
      </c>
      <c r="BE71" s="31" t="n">
        <v>941.3316298583457</v>
      </c>
      <c r="BF71" s="31" t="n">
        <v>1351.670958062384</v>
      </c>
      <c r="BG71" s="31" t="n">
        <v>340.2419003953512</v>
      </c>
      <c r="BH71" s="31" t="n">
        <v>2215.075175773257</v>
      </c>
      <c r="BI71" s="31" t="n">
        <v>1299.068956123681</v>
      </c>
      <c r="BJ71" s="31" t="n">
        <v>415.4179840323953</v>
      </c>
      <c r="BK71" s="31" t="n">
        <v>4284.911231572429</v>
      </c>
      <c r="BL71" s="31" t="n">
        <v>1766.336891581999</v>
      </c>
      <c r="BM71" s="31" t="n">
        <v>2670.352696516657</v>
      </c>
      <c r="BN71" s="31" t="n">
        <v>2116.58241195289</v>
      </c>
      <c r="BO71" s="31" t="n">
        <v>933.5920835159209</v>
      </c>
      <c r="BP71" s="31" t="n">
        <v>710.2152946463075</v>
      </c>
      <c r="BQ71" s="31" t="n">
        <v>330.2889340379015</v>
      </c>
      <c r="BR71" s="31" t="n">
        <v>0</v>
      </c>
      <c r="BS71" s="31">
        <f>SUM(C71:BR71)</f>
        <v/>
      </c>
      <c r="BT71" s="31" t="n">
        <v>0</v>
      </c>
      <c r="BU71" s="31" t="n">
        <v>0</v>
      </c>
      <c r="BV71" s="31" t="n">
        <v>3776.854008606233</v>
      </c>
      <c r="BW71" s="31" t="n">
        <v>0</v>
      </c>
      <c r="BX71" s="31">
        <f>SUM(BT71:BW71)</f>
        <v/>
      </c>
      <c r="BY71" s="31">
        <f>BS71+BX71</f>
        <v/>
      </c>
    </row>
    <row r="72">
      <c r="A72" s="28" t="inlineStr">
        <is>
          <t>7880</t>
        </is>
      </c>
      <c r="B72" s="28" t="inlineStr">
        <is>
          <t>Outras atividades administrativas e serviços complementares</t>
        </is>
      </c>
      <c r="C72" s="29" t="n">
        <v>29.02217412795387</v>
      </c>
      <c r="D72" s="29" t="n">
        <v>17.05128395301789</v>
      </c>
      <c r="E72" s="29" t="n">
        <v>31.84934393608038</v>
      </c>
      <c r="F72" s="29" t="n">
        <v>458.4388495817373</v>
      </c>
      <c r="G72" s="29" t="n">
        <v>608.4847311281604</v>
      </c>
      <c r="H72" s="29" t="n">
        <v>362.9876779956857</v>
      </c>
      <c r="I72" s="29" t="n">
        <v>151.9171567723091</v>
      </c>
      <c r="J72" s="29" t="n">
        <v>661.9012487302685</v>
      </c>
      <c r="K72" s="29" t="n">
        <v>468.5352382865601</v>
      </c>
      <c r="L72" s="29" t="n">
        <v>1065.455841556112</v>
      </c>
      <c r="M72" s="29" t="n">
        <v>939.6221073682393</v>
      </c>
      <c r="N72" s="29" t="n">
        <v>130.2240094024793</v>
      </c>
      <c r="O72" s="29" t="n">
        <v>211.4343178884571</v>
      </c>
      <c r="P72" s="29" t="n">
        <v>160.0754329655221</v>
      </c>
      <c r="Q72" s="29" t="n">
        <v>233.8903248369223</v>
      </c>
      <c r="R72" s="29" t="n">
        <v>45.10456496675991</v>
      </c>
      <c r="S72" s="29" t="n">
        <v>586.3848682937332</v>
      </c>
      <c r="T72" s="29" t="n">
        <v>38.23562144960564</v>
      </c>
      <c r="U72" s="29" t="n">
        <v>226.6925680487837</v>
      </c>
      <c r="V72" s="29" t="n">
        <v>347.7458642716831</v>
      </c>
      <c r="W72" s="29" t="n">
        <v>497.2838725179046</v>
      </c>
      <c r="X72" s="29" t="n">
        <v>720.3399929657801</v>
      </c>
      <c r="Y72" s="29" t="n">
        <v>386.6984315671835</v>
      </c>
      <c r="Z72" s="29" t="n">
        <v>1181.446490158922</v>
      </c>
      <c r="AA72" s="29" t="n">
        <v>669.7437711973274</v>
      </c>
      <c r="AB72" s="29" t="n">
        <v>837.7670053451981</v>
      </c>
      <c r="AC72" s="29" t="n">
        <v>433.051217332325</v>
      </c>
      <c r="AD72" s="29" t="n">
        <v>436.6227256972704</v>
      </c>
      <c r="AE72" s="29" t="n">
        <v>658.9680123184685</v>
      </c>
      <c r="AF72" s="29" t="n">
        <v>986.1338812730205</v>
      </c>
      <c r="AG72" s="29" t="n">
        <v>647.2676225752517</v>
      </c>
      <c r="AH72" s="29" t="n">
        <v>1997.772525999378</v>
      </c>
      <c r="AI72" s="29" t="n">
        <v>1573.097164079964</v>
      </c>
      <c r="AJ72" s="29" t="n">
        <v>341.5577774568922</v>
      </c>
      <c r="AK72" s="29" t="n">
        <v>248.7575404308662</v>
      </c>
      <c r="AL72" s="29" t="n">
        <v>266.3621764029119</v>
      </c>
      <c r="AM72" s="29" t="n">
        <v>326.4252449838132</v>
      </c>
      <c r="AN72" s="29" t="n">
        <v>2645.984718562759</v>
      </c>
      <c r="AO72" s="29" t="n">
        <v>337.922039598429</v>
      </c>
      <c r="AP72" s="29" t="n">
        <v>2550.843654644261</v>
      </c>
      <c r="AQ72" s="29" t="n">
        <v>1889.454863119425</v>
      </c>
      <c r="AR72" s="29" t="n">
        <v>24936.07428322045</v>
      </c>
      <c r="AS72" s="29" t="n">
        <v>1640.093820493544</v>
      </c>
      <c r="AT72" s="29" t="n">
        <v>93.4547799966949</v>
      </c>
      <c r="AU72" s="29" t="n">
        <v>809.1848784279589</v>
      </c>
      <c r="AV72" s="29" t="n">
        <v>2659.71411331144</v>
      </c>
      <c r="AW72" s="29" t="n">
        <v>814.7858658996022</v>
      </c>
      <c r="AX72" s="29" t="n">
        <v>1565.999896422638</v>
      </c>
      <c r="AY72" s="29" t="n">
        <v>322.6774653506921</v>
      </c>
      <c r="AZ72" s="29" t="n">
        <v>890.7510147447501</v>
      </c>
      <c r="BA72" s="29" t="n">
        <v>16340.96131668698</v>
      </c>
      <c r="BB72" s="29" t="n">
        <v>4767.252054634809</v>
      </c>
      <c r="BC72" s="29" t="n">
        <v>18435.60572398935</v>
      </c>
      <c r="BD72" s="29" t="n">
        <v>1253.233244296804</v>
      </c>
      <c r="BE72" s="29" t="n">
        <v>3346.367595189105</v>
      </c>
      <c r="BF72" s="29" t="n">
        <v>604.8332547672636</v>
      </c>
      <c r="BG72" s="29" t="n">
        <v>616.6964005690435</v>
      </c>
      <c r="BH72" s="29" t="n">
        <v>587.1273427162567</v>
      </c>
      <c r="BI72" s="29" t="n">
        <v>4781.636945156973</v>
      </c>
      <c r="BJ72" s="29" t="n">
        <v>355.5885681339565</v>
      </c>
      <c r="BK72" s="29" t="n">
        <v>23001.64080336361</v>
      </c>
      <c r="BL72" s="29" t="n">
        <v>11269.06899861023</v>
      </c>
      <c r="BM72" s="29" t="n">
        <v>3129.496297650027</v>
      </c>
      <c r="BN72" s="29" t="n">
        <v>10149.18873163666</v>
      </c>
      <c r="BO72" s="29" t="n">
        <v>2727.081149923547</v>
      </c>
      <c r="BP72" s="29" t="n">
        <v>993.0231571413502</v>
      </c>
      <c r="BQ72" s="29" t="n">
        <v>5658.000163072431</v>
      </c>
      <c r="BR72" s="29" t="n">
        <v>0</v>
      </c>
      <c r="BS72" s="29">
        <f>SUM(C72:BR72)</f>
        <v/>
      </c>
      <c r="BT72" s="29" t="n">
        <v>0</v>
      </c>
      <c r="BU72" s="29" t="n">
        <v>0</v>
      </c>
      <c r="BV72" s="29" t="n">
        <v>44288.17545404736</v>
      </c>
      <c r="BW72" s="29" t="n">
        <v>0</v>
      </c>
      <c r="BX72" s="29">
        <f>SUM(BT72:BW72)</f>
        <v/>
      </c>
      <c r="BY72" s="29">
        <f>BS72+BX72</f>
        <v/>
      </c>
    </row>
    <row r="73">
      <c r="A73" s="30" t="inlineStr">
        <is>
          <t>8000</t>
        </is>
      </c>
      <c r="B73" s="30" t="inlineStr">
        <is>
          <t>Atividades de vigilância, segurança e investigação</t>
        </is>
      </c>
      <c r="C73" s="31" t="n">
        <v>1.001899617494617</v>
      </c>
      <c r="D73" s="31" t="n">
        <v>0.001264873386936156</v>
      </c>
      <c r="E73" s="31" t="n">
        <v>3.001278717872213</v>
      </c>
      <c r="F73" s="31" t="n">
        <v>7.008638896033417</v>
      </c>
      <c r="G73" s="31" t="n">
        <v>92.05332941396293</v>
      </c>
      <c r="H73" s="31" t="n">
        <v>51.01268397323589</v>
      </c>
      <c r="I73" s="31" t="n">
        <v>16.00924595117054</v>
      </c>
      <c r="J73" s="31" t="n">
        <v>313.9959209172322</v>
      </c>
      <c r="K73" s="31" t="n">
        <v>125.0773150141221</v>
      </c>
      <c r="L73" s="31" t="n">
        <v>269.6394532093311</v>
      </c>
      <c r="M73" s="31" t="n">
        <v>118.0375724005056</v>
      </c>
      <c r="N73" s="31" t="n">
        <v>131.0317766366248</v>
      </c>
      <c r="O73" s="31" t="n">
        <v>34.14055826051467</v>
      </c>
      <c r="P73" s="31" t="n">
        <v>34.16943345147818</v>
      </c>
      <c r="Q73" s="31" t="n">
        <v>44.15816998693311</v>
      </c>
      <c r="R73" s="31" t="n">
        <v>48.0434600380007</v>
      </c>
      <c r="S73" s="31" t="n">
        <v>341.2659715879358</v>
      </c>
      <c r="T73" s="31" t="n">
        <v>20.02013183313719</v>
      </c>
      <c r="U73" s="31" t="n">
        <v>112.0960603090723</v>
      </c>
      <c r="V73" s="31" t="n">
        <v>1.076916882570765</v>
      </c>
      <c r="W73" s="31" t="n">
        <v>226.1367061601977</v>
      </c>
      <c r="X73" s="31" t="n">
        <v>159.1643282200444</v>
      </c>
      <c r="Y73" s="31" t="n">
        <v>36.03942167784172</v>
      </c>
      <c r="Z73" s="31" t="n">
        <v>215.2221432095694</v>
      </c>
      <c r="AA73" s="31" t="n">
        <v>199.3035079157224</v>
      </c>
      <c r="AB73" s="31" t="n">
        <v>499.210751798691</v>
      </c>
      <c r="AC73" s="31" t="n">
        <v>66.22419805196968</v>
      </c>
      <c r="AD73" s="31" t="n">
        <v>59.06043786621987</v>
      </c>
      <c r="AE73" s="31" t="n">
        <v>223.2374244727447</v>
      </c>
      <c r="AF73" s="31" t="n">
        <v>182.1669645308263</v>
      </c>
      <c r="AG73" s="31" t="n">
        <v>97.17299941987686</v>
      </c>
      <c r="AH73" s="31" t="n">
        <v>294.4601768271104</v>
      </c>
      <c r="AI73" s="31" t="n">
        <v>649.0378769791818</v>
      </c>
      <c r="AJ73" s="31" t="n">
        <v>256.035355205758</v>
      </c>
      <c r="AK73" s="31" t="n">
        <v>141.0377922330091</v>
      </c>
      <c r="AL73" s="31" t="n">
        <v>57.13306257306824</v>
      </c>
      <c r="AM73" s="31" t="n">
        <v>163.0101835946934</v>
      </c>
      <c r="AN73" s="31" t="n">
        <v>312.179340181578</v>
      </c>
      <c r="AO73" s="31" t="n">
        <v>440.0461521496779</v>
      </c>
      <c r="AP73" s="31" t="n">
        <v>840.2622923887094</v>
      </c>
      <c r="AQ73" s="31" t="n">
        <v>740.6155428157368</v>
      </c>
      <c r="AR73" s="31" t="n">
        <v>4779.713449900509</v>
      </c>
      <c r="AS73" s="31" t="n">
        <v>1314.184455053067</v>
      </c>
      <c r="AT73" s="31" t="n">
        <v>20.01038958271174</v>
      </c>
      <c r="AU73" s="31" t="n">
        <v>192.0174225310089</v>
      </c>
      <c r="AV73" s="31" t="n">
        <v>2629.39816077746</v>
      </c>
      <c r="AW73" s="31" t="n">
        <v>100.1922872000341</v>
      </c>
      <c r="AX73" s="31" t="n">
        <v>543.7691488001365</v>
      </c>
      <c r="AY73" s="31" t="n">
        <v>49.13104339298875</v>
      </c>
      <c r="AZ73" s="31" t="n">
        <v>305.1627545886632</v>
      </c>
      <c r="BA73" s="31" t="n">
        <v>728.9977064956585</v>
      </c>
      <c r="BB73" s="31" t="n">
        <v>440.2948308824227</v>
      </c>
      <c r="BC73" s="31" t="n">
        <v>5572.885373681655</v>
      </c>
      <c r="BD73" s="31" t="n">
        <v>200.3727462597502</v>
      </c>
      <c r="BE73" s="31" t="n">
        <v>794.8225138638641</v>
      </c>
      <c r="BF73" s="31" t="n">
        <v>14.16731821846608</v>
      </c>
      <c r="BG73" s="31" t="n">
        <v>188.1883428031485</v>
      </c>
      <c r="BH73" s="31" t="n">
        <v>124.1948446357785</v>
      </c>
      <c r="BI73" s="31" t="n">
        <v>607.5021170077457</v>
      </c>
      <c r="BJ73" s="31" t="n">
        <v>47.04840207117866</v>
      </c>
      <c r="BK73" s="31" t="n">
        <v>6835.438280550701</v>
      </c>
      <c r="BL73" s="31" t="n">
        <v>2952.11236733302</v>
      </c>
      <c r="BM73" s="31" t="n">
        <v>1290.65865339564</v>
      </c>
      <c r="BN73" s="31" t="n">
        <v>1304.075764033929</v>
      </c>
      <c r="BO73" s="31" t="n">
        <v>0.3092898853416308</v>
      </c>
      <c r="BP73" s="31" t="n">
        <v>168.6520492034319</v>
      </c>
      <c r="BQ73" s="31" t="n">
        <v>3.497201419787475</v>
      </c>
      <c r="BR73" s="31" t="n">
        <v>0</v>
      </c>
      <c r="BS73" s="31">
        <f>SUM(C73:BR73)</f>
        <v/>
      </c>
      <c r="BT73" s="31" t="n">
        <v>0</v>
      </c>
      <c r="BU73" s="31" t="n">
        <v>0</v>
      </c>
      <c r="BV73" s="31" t="n">
        <v>425.980176712754</v>
      </c>
      <c r="BW73" s="31" t="n">
        <v>0</v>
      </c>
      <c r="BX73" s="31">
        <f>SUM(BT73:BW73)</f>
        <v/>
      </c>
      <c r="BY73" s="31">
        <f>BS73+BX73</f>
        <v/>
      </c>
    </row>
    <row r="74">
      <c r="A74" s="28" t="inlineStr">
        <is>
          <t>8400</t>
        </is>
      </c>
      <c r="B74" s="28" t="inlineStr">
        <is>
          <t>Administração pública, defesa e seguridade social</t>
        </is>
      </c>
      <c r="C74" s="29" t="n">
        <v>190.4386512124196</v>
      </c>
      <c r="D74" s="29" t="n">
        <v>124.4225590198767</v>
      </c>
      <c r="E74" s="29" t="n">
        <v>18.16663799177177</v>
      </c>
      <c r="F74" s="29" t="n">
        <v>30.19159581154518</v>
      </c>
      <c r="G74" s="29" t="n">
        <v>512.1252098738839</v>
      </c>
      <c r="H74" s="29" t="n">
        <v>213.1302324862945</v>
      </c>
      <c r="I74" s="29" t="n">
        <v>47.73802094773298</v>
      </c>
      <c r="J74" s="29" t="n">
        <v>479.620546179442</v>
      </c>
      <c r="K74" s="29" t="n">
        <v>125.6414032276843</v>
      </c>
      <c r="L74" s="29" t="n">
        <v>1240.447449858965</v>
      </c>
      <c r="M74" s="29" t="n">
        <v>573.6345258443431</v>
      </c>
      <c r="N74" s="29" t="n">
        <v>82.2584265090867</v>
      </c>
      <c r="O74" s="29" t="n">
        <v>38.28327709570895</v>
      </c>
      <c r="P74" s="29" t="n">
        <v>61.92857533653537</v>
      </c>
      <c r="Q74" s="29" t="n">
        <v>95.99906584371504</v>
      </c>
      <c r="R74" s="29" t="n">
        <v>44.76033092440802</v>
      </c>
      <c r="S74" s="29" t="n">
        <v>216.9051246545269</v>
      </c>
      <c r="T74" s="29" t="n">
        <v>19.90296816138656</v>
      </c>
      <c r="U74" s="29" t="n">
        <v>206.9800165815953</v>
      </c>
      <c r="V74" s="29" t="n">
        <v>53.41721767256718</v>
      </c>
      <c r="W74" s="29" t="n">
        <v>662.6479235336546</v>
      </c>
      <c r="X74" s="29" t="n">
        <v>259.4176601436297</v>
      </c>
      <c r="Y74" s="29" t="n">
        <v>217.5540074173435</v>
      </c>
      <c r="Z74" s="29" t="n">
        <v>407.9053008459965</v>
      </c>
      <c r="AA74" s="29" t="n">
        <v>175.2727410510017</v>
      </c>
      <c r="AB74" s="29" t="n">
        <v>223.6341129192705</v>
      </c>
      <c r="AC74" s="29" t="n">
        <v>328.3561488098524</v>
      </c>
      <c r="AD74" s="29" t="n">
        <v>154.7592116646476</v>
      </c>
      <c r="AE74" s="29" t="n">
        <v>160.1908975984</v>
      </c>
      <c r="AF74" s="29" t="n">
        <v>291.4771914138695</v>
      </c>
      <c r="AG74" s="29" t="n">
        <v>209.1722827225427</v>
      </c>
      <c r="AH74" s="29" t="n">
        <v>306.1126476515661</v>
      </c>
      <c r="AI74" s="29" t="n">
        <v>739.7828615429499</v>
      </c>
      <c r="AJ74" s="29" t="n">
        <v>132.8528939499484</v>
      </c>
      <c r="AK74" s="29" t="n">
        <v>91.91351783819501</v>
      </c>
      <c r="AL74" s="29" t="n">
        <v>80.9233958608806</v>
      </c>
      <c r="AM74" s="29" t="n">
        <v>76.87182678692054</v>
      </c>
      <c r="AN74" s="29" t="n">
        <v>578.2850537272933</v>
      </c>
      <c r="AO74" s="29" t="n">
        <v>125.3503700742597</v>
      </c>
      <c r="AP74" s="29" t="n">
        <v>633.0216795285057</v>
      </c>
      <c r="AQ74" s="29" t="n">
        <v>492.2931081053738</v>
      </c>
      <c r="AR74" s="29" t="n">
        <v>3083.096827764356</v>
      </c>
      <c r="AS74" s="29" t="n">
        <v>444.6924722343762</v>
      </c>
      <c r="AT74" s="29" t="n">
        <v>105.7876313847329</v>
      </c>
      <c r="AU74" s="29" t="n">
        <v>176.6056046101621</v>
      </c>
      <c r="AV74" s="29" t="n">
        <v>447.814603812186</v>
      </c>
      <c r="AW74" s="29" t="n">
        <v>59.95154278183818</v>
      </c>
      <c r="AX74" s="29" t="n">
        <v>181.5645463785748</v>
      </c>
      <c r="AY74" s="29" t="n">
        <v>119.9544874647476</v>
      </c>
      <c r="AZ74" s="29" t="n">
        <v>327.6826005470284</v>
      </c>
      <c r="BA74" s="29" t="n">
        <v>609.9303794080361</v>
      </c>
      <c r="BB74" s="29" t="n">
        <v>359.6788026658385</v>
      </c>
      <c r="BC74" s="29" t="n">
        <v>1838.525343524731</v>
      </c>
      <c r="BD74" s="29" t="n">
        <v>202.8482473562985</v>
      </c>
      <c r="BE74" s="29" t="n">
        <v>956.3980649610646</v>
      </c>
      <c r="BF74" s="29" t="n">
        <v>499.4012821236344</v>
      </c>
      <c r="BG74" s="29" t="n">
        <v>360.6596130023527</v>
      </c>
      <c r="BH74" s="29" t="n">
        <v>137.7998373152339</v>
      </c>
      <c r="BI74" s="29" t="n">
        <v>458.2992341073589</v>
      </c>
      <c r="BJ74" s="29" t="n">
        <v>65.09681320827501</v>
      </c>
      <c r="BK74" s="29" t="n">
        <v>1437.820202673095</v>
      </c>
      <c r="BL74" s="29" t="n">
        <v>368.3128368680466</v>
      </c>
      <c r="BM74" s="29" t="n">
        <v>379.2040093570948</v>
      </c>
      <c r="BN74" s="29" t="n">
        <v>367.9702685002026</v>
      </c>
      <c r="BO74" s="29" t="n">
        <v>293.0242867797825</v>
      </c>
      <c r="BP74" s="29" t="n">
        <v>216.0703293897132</v>
      </c>
      <c r="BQ74" s="29" t="n">
        <v>682.8219169230335</v>
      </c>
      <c r="BR74" s="29" t="n">
        <v>0</v>
      </c>
      <c r="BS74" s="29">
        <f>SUM(C74:BR74)</f>
        <v/>
      </c>
      <c r="BT74" s="29" t="n">
        <v>0</v>
      </c>
      <c r="BU74" s="29" t="n">
        <v>0</v>
      </c>
      <c r="BV74" s="29" t="n">
        <v>653556.4691692082</v>
      </c>
      <c r="BW74" s="29" t="n">
        <v>0</v>
      </c>
      <c r="BX74" s="29">
        <f>SUM(BT74:BW74)</f>
        <v/>
      </c>
      <c r="BY74" s="29">
        <f>BS74+BX74</f>
        <v/>
      </c>
    </row>
    <row r="75">
      <c r="A75" s="30" t="inlineStr">
        <is>
          <t>8591</t>
        </is>
      </c>
      <c r="B75" s="30" t="inlineStr">
        <is>
          <t>Educação pública</t>
        </is>
      </c>
      <c r="C75" s="31" t="n">
        <v>2.001465220729179</v>
      </c>
      <c r="D75" s="31" t="n">
        <v>0.4383968846636016</v>
      </c>
      <c r="E75" s="31" t="n">
        <v>0.1256545043881491</v>
      </c>
      <c r="F75" s="31" t="n">
        <v>2.352782923991187</v>
      </c>
      <c r="G75" s="31" t="n">
        <v>13.93545393424897</v>
      </c>
      <c r="H75" s="31" t="n">
        <v>33.64233355740642</v>
      </c>
      <c r="I75" s="31" t="n">
        <v>1.198364816095019</v>
      </c>
      <c r="J75" s="31" t="n">
        <v>40.54665789617756</v>
      </c>
      <c r="K75" s="31" t="n">
        <v>5.996370497630889</v>
      </c>
      <c r="L75" s="31" t="n">
        <v>25.26840617633252</v>
      </c>
      <c r="M75" s="31" t="n">
        <v>32.94866528905932</v>
      </c>
      <c r="N75" s="31" t="n">
        <v>7.607561583085729</v>
      </c>
      <c r="O75" s="31" t="n">
        <v>1.205051104018606</v>
      </c>
      <c r="P75" s="31" t="n">
        <v>6.944988707284549</v>
      </c>
      <c r="Q75" s="31" t="n">
        <v>9.645134692725541</v>
      </c>
      <c r="R75" s="31" t="n">
        <v>3.607608184767803</v>
      </c>
      <c r="S75" s="31" t="n">
        <v>13.86045085507348</v>
      </c>
      <c r="T75" s="31" t="n">
        <v>0.7411205998104388</v>
      </c>
      <c r="U75" s="31" t="n">
        <v>4.730806297395154</v>
      </c>
      <c r="V75" s="31" t="n">
        <v>1.279723336111025</v>
      </c>
      <c r="W75" s="31" t="n">
        <v>38.15720121691157</v>
      </c>
      <c r="X75" s="31" t="n">
        <v>13.71038741154145</v>
      </c>
      <c r="Y75" s="31" t="n">
        <v>28.27419593572154</v>
      </c>
      <c r="Z75" s="31" t="n">
        <v>77.23492400501205</v>
      </c>
      <c r="AA75" s="31" t="n">
        <v>17.13635238421546</v>
      </c>
      <c r="AB75" s="31" t="n">
        <v>16.44642704213249</v>
      </c>
      <c r="AC75" s="31" t="n">
        <v>13.00961465978159</v>
      </c>
      <c r="AD75" s="31" t="n">
        <v>34.35504726383093</v>
      </c>
      <c r="AE75" s="31" t="n">
        <v>7.557655197253925</v>
      </c>
      <c r="AF75" s="31" t="n">
        <v>26.44031112174349</v>
      </c>
      <c r="AG75" s="31" t="n">
        <v>47.5304175055681</v>
      </c>
      <c r="AH75" s="31" t="n">
        <v>56.02038851651194</v>
      </c>
      <c r="AI75" s="31" t="n">
        <v>100.4320552937958</v>
      </c>
      <c r="AJ75" s="31" t="n">
        <v>44.11621974637949</v>
      </c>
      <c r="AK75" s="31" t="n">
        <v>11.72116150917811</v>
      </c>
      <c r="AL75" s="31" t="n">
        <v>9.396027502135183</v>
      </c>
      <c r="AM75" s="31" t="n">
        <v>2.490437726327372</v>
      </c>
      <c r="AN75" s="31" t="n">
        <v>51.12389634085717</v>
      </c>
      <c r="AO75" s="31" t="n">
        <v>5.709017955722839</v>
      </c>
      <c r="AP75" s="31" t="n">
        <v>35.56093784019294</v>
      </c>
      <c r="AQ75" s="31" t="n">
        <v>12.07429821940606</v>
      </c>
      <c r="AR75" s="31" t="n">
        <v>151.2803080924786</v>
      </c>
      <c r="AS75" s="31" t="n">
        <v>13.35889150673846</v>
      </c>
      <c r="AT75" s="31" t="n">
        <v>0.962824223040688</v>
      </c>
      <c r="AU75" s="31" t="n">
        <v>1.935571047778618</v>
      </c>
      <c r="AV75" s="31" t="n">
        <v>23.60458433635046</v>
      </c>
      <c r="AW75" s="31" t="n">
        <v>2.734952211601712</v>
      </c>
      <c r="AX75" s="31" t="n">
        <v>5.418634349217518</v>
      </c>
      <c r="AY75" s="31" t="n">
        <v>2.387050181157766</v>
      </c>
      <c r="AZ75" s="31" t="n">
        <v>3.779552030546641</v>
      </c>
      <c r="BA75" s="31" t="n">
        <v>78.21330208849113</v>
      </c>
      <c r="BB75" s="31" t="n">
        <v>36.34123573978685</v>
      </c>
      <c r="BC75" s="31" t="n">
        <v>83.43277860832998</v>
      </c>
      <c r="BD75" s="31" t="n">
        <v>4.439733849629151</v>
      </c>
      <c r="BE75" s="31" t="n">
        <v>40.58271054678531</v>
      </c>
      <c r="BF75" s="31" t="n">
        <v>280.5397946639596</v>
      </c>
      <c r="BG75" s="31" t="n">
        <v>7.481736542238915</v>
      </c>
      <c r="BH75" s="31" t="n">
        <v>13.67881192346254</v>
      </c>
      <c r="BI75" s="31" t="n">
        <v>21.75466977246176</v>
      </c>
      <c r="BJ75" s="31" t="n">
        <v>3.138005463209059</v>
      </c>
      <c r="BK75" s="31" t="n">
        <v>78.38526343226889</v>
      </c>
      <c r="BL75" s="31" t="n">
        <v>32.70658785427261</v>
      </c>
      <c r="BM75" s="31" t="n">
        <v>10.25854150064393</v>
      </c>
      <c r="BN75" s="31" t="n">
        <v>33.19541201777633</v>
      </c>
      <c r="BO75" s="31" t="n">
        <v>19.94842712030415</v>
      </c>
      <c r="BP75" s="31" t="n">
        <v>4.873632445135944</v>
      </c>
      <c r="BQ75" s="31" t="n">
        <v>29.22940998141943</v>
      </c>
      <c r="BR75" s="31" t="n">
        <v>0</v>
      </c>
      <c r="BS75" s="31">
        <f>SUM(C75:BR75)</f>
        <v/>
      </c>
      <c r="BT75" s="31" t="n">
        <v>0</v>
      </c>
      <c r="BU75" s="31" t="n">
        <v>0</v>
      </c>
      <c r="BV75" s="31" t="n">
        <v>282001.7030403323</v>
      </c>
      <c r="BW75" s="31" t="n">
        <v>0</v>
      </c>
      <c r="BX75" s="31">
        <f>SUM(BT75:BW75)</f>
        <v/>
      </c>
      <c r="BY75" s="31">
        <f>BS75+BX75</f>
        <v/>
      </c>
    </row>
    <row r="76">
      <c r="A76" s="28" t="inlineStr">
        <is>
          <t>8592</t>
        </is>
      </c>
      <c r="B76" s="28" t="inlineStr">
        <is>
          <t>Educação privada</t>
        </is>
      </c>
      <c r="C76" s="29" t="n">
        <v>2.903213867206837</v>
      </c>
      <c r="D76" s="29" t="n">
        <v>0.9700885990200672</v>
      </c>
      <c r="E76" s="29" t="n">
        <v>0.007373939729764289</v>
      </c>
      <c r="F76" s="29" t="n">
        <v>1.013388741690677</v>
      </c>
      <c r="G76" s="29" t="n">
        <v>32.1200608720732</v>
      </c>
      <c r="H76" s="29" t="n">
        <v>102.372077939647</v>
      </c>
      <c r="I76" s="29" t="n">
        <v>22.22007205168341</v>
      </c>
      <c r="J76" s="29" t="n">
        <v>5.854145401657162</v>
      </c>
      <c r="K76" s="29" t="n">
        <v>0.4365619925675379</v>
      </c>
      <c r="L76" s="29" t="n">
        <v>20.05975496219802</v>
      </c>
      <c r="M76" s="29" t="n">
        <v>1.910552600391861</v>
      </c>
      <c r="N76" s="29" t="n">
        <v>0.4522583209236984</v>
      </c>
      <c r="O76" s="29" t="n">
        <v>1.329166830673104</v>
      </c>
      <c r="P76" s="29" t="n">
        <v>0.8011209454138553</v>
      </c>
      <c r="Q76" s="29" t="n">
        <v>0.7547841368137997</v>
      </c>
      <c r="R76" s="29" t="n">
        <v>0.2762134716578835</v>
      </c>
      <c r="S76" s="29" t="n">
        <v>37.67271928833826</v>
      </c>
      <c r="T76" s="29" t="n">
        <v>0.08508764855596965</v>
      </c>
      <c r="U76" s="29" t="n">
        <v>7.925300278676438</v>
      </c>
      <c r="V76" s="29" t="n">
        <v>0.1807667244554337</v>
      </c>
      <c r="W76" s="29" t="n">
        <v>12.06988077465166</v>
      </c>
      <c r="X76" s="29" t="n">
        <v>21.98340327907313</v>
      </c>
      <c r="Y76" s="29" t="n">
        <v>1.821983245541131</v>
      </c>
      <c r="Z76" s="29" t="n">
        <v>4.952568987547239</v>
      </c>
      <c r="AA76" s="29" t="n">
        <v>3.311530162306317</v>
      </c>
      <c r="AB76" s="29" t="n">
        <v>1.01615313584179</v>
      </c>
      <c r="AC76" s="29" t="n">
        <v>164.9935536382326</v>
      </c>
      <c r="AD76" s="29" t="n">
        <v>62.97367073449862</v>
      </c>
      <c r="AE76" s="29" t="n">
        <v>62.34615478949083</v>
      </c>
      <c r="AF76" s="29" t="n">
        <v>2.497781756802556</v>
      </c>
      <c r="AG76" s="29" t="n">
        <v>3.111727528064313</v>
      </c>
      <c r="AH76" s="29" t="n">
        <v>31.40744408684873</v>
      </c>
      <c r="AI76" s="29" t="n">
        <v>104.4911772257623</v>
      </c>
      <c r="AJ76" s="29" t="n">
        <v>5.793166830625181</v>
      </c>
      <c r="AK76" s="29" t="n">
        <v>0.7683556803007333</v>
      </c>
      <c r="AL76" s="29" t="n">
        <v>0.8014655850204933</v>
      </c>
      <c r="AM76" s="29" t="n">
        <v>6.830846013506984</v>
      </c>
      <c r="AN76" s="29" t="n">
        <v>111.2424673443493</v>
      </c>
      <c r="AO76" s="29" t="n">
        <v>1.416544457985947</v>
      </c>
      <c r="AP76" s="29" t="n">
        <v>3.946692314714333</v>
      </c>
      <c r="AQ76" s="29" t="n">
        <v>27.67763141579208</v>
      </c>
      <c r="AR76" s="29" t="n">
        <v>698.9387028417632</v>
      </c>
      <c r="AS76" s="29" t="n">
        <v>889.9392542174194</v>
      </c>
      <c r="AT76" s="29" t="n">
        <v>64.72295641835412</v>
      </c>
      <c r="AU76" s="29" t="n">
        <v>12.64703054157397</v>
      </c>
      <c r="AV76" s="29" t="n">
        <v>235.8551118900427</v>
      </c>
      <c r="AW76" s="29" t="n">
        <v>2.073976233998377</v>
      </c>
      <c r="AX76" s="29" t="n">
        <v>4.43542474745322</v>
      </c>
      <c r="AY76" s="29" t="n">
        <v>0.3967763368715083</v>
      </c>
      <c r="AZ76" s="29" t="n">
        <v>0.5153011223241528</v>
      </c>
      <c r="BA76" s="29" t="n">
        <v>64.69488411081491</v>
      </c>
      <c r="BB76" s="29" t="n">
        <v>2.890957964217507</v>
      </c>
      <c r="BC76" s="29" t="n">
        <v>1665.257105333179</v>
      </c>
      <c r="BD76" s="29" t="n">
        <v>2.14950343122629</v>
      </c>
      <c r="BE76" s="29" t="n">
        <v>2413.410711427133</v>
      </c>
      <c r="BF76" s="29" t="n">
        <v>187.467898824563</v>
      </c>
      <c r="BG76" s="29" t="n">
        <v>547.2184770723718</v>
      </c>
      <c r="BH76" s="29" t="n">
        <v>61.63394649446333</v>
      </c>
      <c r="BI76" s="29" t="n">
        <v>1226.535209038678</v>
      </c>
      <c r="BJ76" s="29" t="n">
        <v>134.3990226276275</v>
      </c>
      <c r="BK76" s="29" t="n">
        <v>476.4013609856968</v>
      </c>
      <c r="BL76" s="29" t="n">
        <v>637.6272160629002</v>
      </c>
      <c r="BM76" s="29" t="n">
        <v>3.814514869018199</v>
      </c>
      <c r="BN76" s="29" t="n">
        <v>580.4740542571665</v>
      </c>
      <c r="BO76" s="29" t="n">
        <v>1.999860798990114</v>
      </c>
      <c r="BP76" s="29" t="n">
        <v>3.743871547266407</v>
      </c>
      <c r="BQ76" s="29" t="n">
        <v>382.1492959891679</v>
      </c>
      <c r="BR76" s="29" t="n">
        <v>0</v>
      </c>
      <c r="BS76" s="29">
        <f>SUM(C76:BR76)</f>
        <v/>
      </c>
      <c r="BT76" s="29" t="n">
        <v>0</v>
      </c>
      <c r="BU76" s="29" t="n">
        <v>0</v>
      </c>
      <c r="BV76" s="29" t="n">
        <v>88760.92767197172</v>
      </c>
      <c r="BW76" s="29" t="n">
        <v>0</v>
      </c>
      <c r="BX76" s="29">
        <f>SUM(BT76:BW76)</f>
        <v/>
      </c>
      <c r="BY76" s="29">
        <f>BS76+BX76</f>
        <v/>
      </c>
    </row>
    <row r="77">
      <c r="A77" s="30" t="inlineStr">
        <is>
          <t>8691</t>
        </is>
      </c>
      <c r="B77" s="30" t="inlineStr">
        <is>
          <t>Saúde pública</t>
        </is>
      </c>
      <c r="C77" s="31" t="n">
        <v>0.02140964297127212</v>
      </c>
      <c r="D77" s="31" t="n">
        <v>0.004957902118837239</v>
      </c>
      <c r="E77" s="31" t="n">
        <v>0.001599131507820014</v>
      </c>
      <c r="F77" s="31" t="n">
        <v>0.04830046891448851</v>
      </c>
      <c r="G77" s="31" t="n">
        <v>0.1274926555887707</v>
      </c>
      <c r="H77" s="31" t="n">
        <v>2.857264931259385</v>
      </c>
      <c r="I77" s="31" t="n">
        <v>0.008861593364578103</v>
      </c>
      <c r="J77" s="31" t="n">
        <v>2.549003639010007</v>
      </c>
      <c r="K77" s="31" t="n">
        <v>0.3689275337200641</v>
      </c>
      <c r="L77" s="31" t="n">
        <v>1.36965059911786</v>
      </c>
      <c r="M77" s="31" t="n">
        <v>2.708362867251395</v>
      </c>
      <c r="N77" s="31" t="n">
        <v>0.6003773294036563</v>
      </c>
      <c r="O77" s="31" t="n">
        <v>0.01167949316025994</v>
      </c>
      <c r="P77" s="31" t="n">
        <v>0.537078236504042</v>
      </c>
      <c r="Q77" s="31" t="n">
        <v>0.8131303002914513</v>
      </c>
      <c r="R77" s="31" t="n">
        <v>0.3142677586022612</v>
      </c>
      <c r="S77" s="31" t="n">
        <v>1.00284119380567</v>
      </c>
      <c r="T77" s="31" t="n">
        <v>0.03877689243928351</v>
      </c>
      <c r="U77" s="31" t="n">
        <v>0.03684557617409152</v>
      </c>
      <c r="V77" s="31" t="n">
        <v>0.01363934541203466</v>
      </c>
      <c r="W77" s="31" t="n">
        <v>3.188805403318715</v>
      </c>
      <c r="X77" s="31" t="n">
        <v>0.8413339705112675</v>
      </c>
      <c r="Y77" s="31" t="n">
        <v>2.424441183858681</v>
      </c>
      <c r="Z77" s="31" t="n">
        <v>6.680361245233845</v>
      </c>
      <c r="AA77" s="31" t="n">
        <v>1.227080990170539</v>
      </c>
      <c r="AB77" s="31" t="n">
        <v>1.022212465707989</v>
      </c>
      <c r="AC77" s="31" t="n">
        <v>0.8241504369292227</v>
      </c>
      <c r="AD77" s="31" t="n">
        <v>3.056048862185655</v>
      </c>
      <c r="AE77" s="31" t="n">
        <v>0.3157564512586338</v>
      </c>
      <c r="AF77" s="31" t="n">
        <v>1.841048430662673</v>
      </c>
      <c r="AG77" s="31" t="n">
        <v>4.183111459699512</v>
      </c>
      <c r="AH77" s="31" t="n">
        <v>4.225235878989366</v>
      </c>
      <c r="AI77" s="31" t="n">
        <v>8.642815935822263</v>
      </c>
      <c r="AJ77" s="31" t="n">
        <v>3.936520267966433</v>
      </c>
      <c r="AK77" s="31" t="n">
        <v>0.9846773964794269</v>
      </c>
      <c r="AL77" s="31" t="n">
        <v>0.7456997541805909</v>
      </c>
      <c r="AM77" s="31" t="n">
        <v>0.05140206489303727</v>
      </c>
      <c r="AN77" s="31" t="n">
        <v>3.242567888532298</v>
      </c>
      <c r="AO77" s="31" t="n">
        <v>0.3058812145981599</v>
      </c>
      <c r="AP77" s="31" t="n">
        <v>1.009801052374851</v>
      </c>
      <c r="AQ77" s="31" t="n">
        <v>0.1263014785299553</v>
      </c>
      <c r="AR77" s="31" t="n">
        <v>5.318585874027386</v>
      </c>
      <c r="AS77" s="31" t="n">
        <v>0.05810681576026386</v>
      </c>
      <c r="AT77" s="31" t="n">
        <v>0.003735366029398455</v>
      </c>
      <c r="AU77" s="31" t="n">
        <v>0.01306195719221791</v>
      </c>
      <c r="AV77" s="31" t="n">
        <v>0.2423000444204205</v>
      </c>
      <c r="AW77" s="31" t="n">
        <v>0.02790907783349886</v>
      </c>
      <c r="AX77" s="31" t="n">
        <v>0.07400716824811839</v>
      </c>
      <c r="AY77" s="31" t="n">
        <v>0.09078629625909698</v>
      </c>
      <c r="AZ77" s="31" t="n">
        <v>0.04370625869857044</v>
      </c>
      <c r="BA77" s="31" t="n">
        <v>3.076140855589304</v>
      </c>
      <c r="BB77" s="31" t="n">
        <v>2.154612254721687</v>
      </c>
      <c r="BC77" s="31" t="n">
        <v>0.7947527351628574</v>
      </c>
      <c r="BD77" s="31" t="n">
        <v>0.05337740711374261</v>
      </c>
      <c r="BE77" s="31" t="n">
        <v>0.2066397318930695</v>
      </c>
      <c r="BF77" s="31" t="n">
        <v>25.50398444224784</v>
      </c>
      <c r="BG77" s="31" t="n">
        <v>0.03843269578077301</v>
      </c>
      <c r="BH77" s="31" t="n">
        <v>1.003797477260657</v>
      </c>
      <c r="BI77" s="31" t="n">
        <v>0.2036690327810025</v>
      </c>
      <c r="BJ77" s="31" t="n">
        <v>0.01618320346285683</v>
      </c>
      <c r="BK77" s="31" t="n">
        <v>1.202710838881782</v>
      </c>
      <c r="BL77" s="31" t="n">
        <v>0.2402287842379187</v>
      </c>
      <c r="BM77" s="31" t="n">
        <v>0.144291559154579</v>
      </c>
      <c r="BN77" s="31" t="n">
        <v>0.340574084964446</v>
      </c>
      <c r="BO77" s="31" t="n">
        <v>200.4984197576257</v>
      </c>
      <c r="BP77" s="31" t="n">
        <v>0.07169971162182792</v>
      </c>
      <c r="BQ77" s="31" t="n">
        <v>0.1353274020685603</v>
      </c>
      <c r="BR77" s="31" t="n">
        <v>0</v>
      </c>
      <c r="BS77" s="31">
        <f>SUM(C77:BR77)</f>
        <v/>
      </c>
      <c r="BT77" s="31" t="n">
        <v>0</v>
      </c>
      <c r="BU77" s="31" t="n">
        <v>0</v>
      </c>
      <c r="BV77" s="31" t="n">
        <v>166625.9550630725</v>
      </c>
      <c r="BW77" s="31" t="n">
        <v>0</v>
      </c>
      <c r="BX77" s="31">
        <f>SUM(BT77:BW77)</f>
        <v/>
      </c>
      <c r="BY77" s="31">
        <f>BS77+BX77</f>
        <v/>
      </c>
    </row>
    <row r="78">
      <c r="A78" s="28" t="inlineStr">
        <is>
          <t>8692</t>
        </is>
      </c>
      <c r="B78" s="28" t="inlineStr">
        <is>
          <t>Saúde privada</t>
        </is>
      </c>
      <c r="C78" s="29" t="n">
        <v>0.02224969097651422</v>
      </c>
      <c r="D78" s="29" t="n">
        <v>0.01390605686032138</v>
      </c>
      <c r="E78" s="29" t="n">
        <v>0.02224969097651422</v>
      </c>
      <c r="F78" s="29" t="n">
        <v>0.06285468972412908</v>
      </c>
      <c r="G78" s="29" t="n">
        <v>0.8009888751545118</v>
      </c>
      <c r="H78" s="29" t="n">
        <v>0.2035283151041719</v>
      </c>
      <c r="I78" s="29" t="n">
        <v>0.05284301606922127</v>
      </c>
      <c r="J78" s="29" t="n">
        <v>1.801063687347652</v>
      </c>
      <c r="K78" s="29" t="n">
        <v>0.4922675400101413</v>
      </c>
      <c r="L78" s="29" t="n">
        <v>1.325500597682986</v>
      </c>
      <c r="M78" s="29" t="n">
        <v>0.3186745896147745</v>
      </c>
      <c r="N78" s="29" t="n">
        <v>0.09510574508769752</v>
      </c>
      <c r="O78" s="29" t="n">
        <v>0.8899876390605687</v>
      </c>
      <c r="P78" s="29" t="n">
        <v>1.104130605441665</v>
      </c>
      <c r="Q78" s="29" t="n">
        <v>0.3164860465968725</v>
      </c>
      <c r="R78" s="29" t="n">
        <v>0.106792331126556</v>
      </c>
      <c r="S78" s="29" t="n">
        <v>0.4638868128936613</v>
      </c>
      <c r="T78" s="29" t="n">
        <v>0.1601970877463788</v>
      </c>
      <c r="U78" s="29" t="n">
        <v>0.4533374536464771</v>
      </c>
      <c r="V78" s="29" t="n">
        <v>0.4227441285537701</v>
      </c>
      <c r="W78" s="29" t="n">
        <v>0.59122299480922</v>
      </c>
      <c r="X78" s="29" t="n">
        <v>0.2858927215041654</v>
      </c>
      <c r="Y78" s="29" t="n">
        <v>0.5795570273060687</v>
      </c>
      <c r="Z78" s="29" t="n">
        <v>0.9833050698179256</v>
      </c>
      <c r="AA78" s="29" t="n">
        <v>1.205353640978856</v>
      </c>
      <c r="AB78" s="29" t="n">
        <v>0.6752588771705464</v>
      </c>
      <c r="AC78" s="29" t="n">
        <v>0.7253241182903213</v>
      </c>
      <c r="AD78" s="29" t="n">
        <v>0.1801620158716906</v>
      </c>
      <c r="AE78" s="29" t="n">
        <v>0.7197720048140462</v>
      </c>
      <c r="AF78" s="29" t="n">
        <v>0.7052801524447984</v>
      </c>
      <c r="AG78" s="29" t="n">
        <v>0.5283476865493837</v>
      </c>
      <c r="AH78" s="29" t="n">
        <v>0.9077056049834746</v>
      </c>
      <c r="AI78" s="29" t="n">
        <v>0.7858012617525654</v>
      </c>
      <c r="AJ78" s="29" t="n">
        <v>0.7280434740552638</v>
      </c>
      <c r="AK78" s="29" t="n">
        <v>0.2775456509653548</v>
      </c>
      <c r="AL78" s="29" t="n">
        <v>0.7108631937246341</v>
      </c>
      <c r="AM78" s="29" t="n">
        <v>0.1518534536301859</v>
      </c>
      <c r="AN78" s="29" t="n">
        <v>3.267306638863038</v>
      </c>
      <c r="AO78" s="29" t="n">
        <v>0.7920835004877175</v>
      </c>
      <c r="AP78" s="29" t="n">
        <v>4.596215480498429</v>
      </c>
      <c r="AQ78" s="29" t="n">
        <v>10.71044499381953</v>
      </c>
      <c r="AR78" s="29" t="n">
        <v>103.5622139114533</v>
      </c>
      <c r="AS78" s="29" t="n">
        <v>3.209517923362176</v>
      </c>
      <c r="AT78" s="29" t="n">
        <v>0.180778739184178</v>
      </c>
      <c r="AU78" s="29" t="n">
        <v>0.3031520395550061</v>
      </c>
      <c r="AV78" s="29" t="n">
        <v>6.927997527812114</v>
      </c>
      <c r="AW78" s="29" t="n">
        <v>3.345797280593326</v>
      </c>
      <c r="AX78" s="29" t="n">
        <v>13.3831891223733</v>
      </c>
      <c r="AY78" s="29" t="n">
        <v>0.8655116044173559</v>
      </c>
      <c r="AZ78" s="29" t="n">
        <v>1.357231149567367</v>
      </c>
      <c r="BA78" s="29" t="n">
        <v>7.755075494386668</v>
      </c>
      <c r="BB78" s="29" t="n">
        <v>4.437104073204456</v>
      </c>
      <c r="BC78" s="29" t="n">
        <v>15.33615093684518</v>
      </c>
      <c r="BD78" s="29" t="n">
        <v>6.485784919653894</v>
      </c>
      <c r="BE78" s="29" t="n">
        <v>13.36372064276885</v>
      </c>
      <c r="BF78" s="29" t="n">
        <v>4.022239661713467</v>
      </c>
      <c r="BG78" s="29" t="n">
        <v>2.839616810877627</v>
      </c>
      <c r="BH78" s="29" t="n">
        <v>3.437001769630374</v>
      </c>
      <c r="BI78" s="29" t="n">
        <v>8.028798927021585</v>
      </c>
      <c r="BJ78" s="29" t="n">
        <v>0.7314585908529048</v>
      </c>
      <c r="BK78" s="29" t="n">
        <v>68.79036127891465</v>
      </c>
      <c r="BL78" s="29" t="n">
        <v>5.901274155639535</v>
      </c>
      <c r="BM78" s="29" t="n">
        <v>11.43522799009495</v>
      </c>
      <c r="BN78" s="29" t="n">
        <v>14.1430625138631</v>
      </c>
      <c r="BO78" s="29" t="n">
        <v>19209.99396048885</v>
      </c>
      <c r="BP78" s="29" t="n">
        <v>11.2889369592089</v>
      </c>
      <c r="BQ78" s="29" t="n">
        <v>8.61619283065513</v>
      </c>
      <c r="BR78" s="29" t="n">
        <v>0</v>
      </c>
      <c r="BS78" s="29">
        <f>SUM(C78:BR78)</f>
        <v/>
      </c>
      <c r="BT78" s="29" t="n">
        <v>0</v>
      </c>
      <c r="BU78" s="29" t="n">
        <v>0</v>
      </c>
      <c r="BV78" s="29" t="n">
        <v>182953.38926634</v>
      </c>
      <c r="BW78" s="29" t="n">
        <v>0</v>
      </c>
      <c r="BX78" s="29">
        <f>SUM(BT78:BW78)</f>
        <v/>
      </c>
      <c r="BY78" s="29">
        <f>BS78+BX78</f>
        <v/>
      </c>
    </row>
    <row r="79">
      <c r="A79" s="30" t="inlineStr">
        <is>
          <t>9080</t>
        </is>
      </c>
      <c r="B79" s="30" t="inlineStr">
        <is>
          <t>Atividades artísticas, criativas e de espetáculos</t>
        </is>
      </c>
      <c r="C79" s="31" t="n">
        <v>0.3889014400287543</v>
      </c>
      <c r="D79" s="31" t="n">
        <v>9.933006885651729</v>
      </c>
      <c r="E79" s="31" t="n">
        <v>2.346669803146673</v>
      </c>
      <c r="F79" s="31" t="n">
        <v>0.9900437623649911</v>
      </c>
      <c r="G79" s="31" t="n">
        <v>12.97470830664791</v>
      </c>
      <c r="H79" s="31" t="n">
        <v>0.2268429855152481</v>
      </c>
      <c r="I79" s="31" t="n">
        <v>0.06151385440993065</v>
      </c>
      <c r="J79" s="31" t="n">
        <v>56.30562627706327</v>
      </c>
      <c r="K79" s="31" t="n">
        <v>4.508970661134329</v>
      </c>
      <c r="L79" s="31" t="n">
        <v>88.74367837757602</v>
      </c>
      <c r="M79" s="31" t="n">
        <v>134.1495376592068</v>
      </c>
      <c r="N79" s="31" t="n">
        <v>7.483268224922269</v>
      </c>
      <c r="O79" s="31" t="n">
        <v>3.270203423263809</v>
      </c>
      <c r="P79" s="31" t="n">
        <v>11.85722350426972</v>
      </c>
      <c r="Q79" s="31" t="n">
        <v>23.93863003096232</v>
      </c>
      <c r="R79" s="31" t="n">
        <v>0.9294656860640739</v>
      </c>
      <c r="S79" s="31" t="n">
        <v>14.85430167439911</v>
      </c>
      <c r="T79" s="31" t="n">
        <v>2.070001674147782</v>
      </c>
      <c r="U79" s="31" t="n">
        <v>4.666769402530782</v>
      </c>
      <c r="V79" s="31" t="n">
        <v>2.189053523268871</v>
      </c>
      <c r="W79" s="31" t="n">
        <v>3.308976097584037</v>
      </c>
      <c r="X79" s="31" t="n">
        <v>12.00013502688961</v>
      </c>
      <c r="Y79" s="31" t="n">
        <v>35.27340746449143</v>
      </c>
      <c r="Z79" s="31" t="n">
        <v>50.4747693497196</v>
      </c>
      <c r="AA79" s="31" t="n">
        <v>13.93343388261253</v>
      </c>
      <c r="AB79" s="31" t="n">
        <v>8.724179767774556</v>
      </c>
      <c r="AC79" s="31" t="n">
        <v>5.404194069335937</v>
      </c>
      <c r="AD79" s="31" t="n">
        <v>0.5362524212251634</v>
      </c>
      <c r="AE79" s="31" t="n">
        <v>14.3831038159364</v>
      </c>
      <c r="AF79" s="31" t="n">
        <v>44.21573651541495</v>
      </c>
      <c r="AG79" s="31" t="n">
        <v>19.1627256325357</v>
      </c>
      <c r="AH79" s="31" t="n">
        <v>14.71758133753431</v>
      </c>
      <c r="AI79" s="31" t="n">
        <v>129.3072741607912</v>
      </c>
      <c r="AJ79" s="31" t="n">
        <v>4.288844310472411</v>
      </c>
      <c r="AK79" s="31" t="n">
        <v>8.267611629132704</v>
      </c>
      <c r="AL79" s="31" t="n">
        <v>12.04859905860767</v>
      </c>
      <c r="AM79" s="31" t="n">
        <v>2.562195642581564</v>
      </c>
      <c r="AN79" s="31" t="n">
        <v>80.84184136240921</v>
      </c>
      <c r="AO79" s="31" t="n">
        <v>5.231817640649433</v>
      </c>
      <c r="AP79" s="31" t="n">
        <v>61.74319273280565</v>
      </c>
      <c r="AQ79" s="31" t="n">
        <v>78.18750993640739</v>
      </c>
      <c r="AR79" s="31" t="n">
        <v>498.4902302436698</v>
      </c>
      <c r="AS79" s="31" t="n">
        <v>18.18845042090746</v>
      </c>
      <c r="AT79" s="31" t="n">
        <v>1.04017184704291</v>
      </c>
      <c r="AU79" s="31" t="n">
        <v>5.387421650134462</v>
      </c>
      <c r="AV79" s="31" t="n">
        <v>31.59867803110587</v>
      </c>
      <c r="AW79" s="31" t="n">
        <v>24.42039265166629</v>
      </c>
      <c r="AX79" s="31" t="n">
        <v>27.51199880347261</v>
      </c>
      <c r="AY79" s="31" t="n">
        <v>30.17773031791995</v>
      </c>
      <c r="AZ79" s="31" t="n">
        <v>2409.238798767282</v>
      </c>
      <c r="BA79" s="31" t="n">
        <v>509.5579389073126</v>
      </c>
      <c r="BB79" s="31" t="n">
        <v>43.33419704230895</v>
      </c>
      <c r="BC79" s="31" t="n">
        <v>297.0529926528235</v>
      </c>
      <c r="BD79" s="31" t="n">
        <v>28.93848442309667</v>
      </c>
      <c r="BE79" s="31" t="n">
        <v>115.2113104524005</v>
      </c>
      <c r="BF79" s="31" t="n">
        <v>12.5832701393021</v>
      </c>
      <c r="BG79" s="31" t="n">
        <v>112.1085910588735</v>
      </c>
      <c r="BH79" s="31" t="n">
        <v>28.84423334227433</v>
      </c>
      <c r="BI79" s="31" t="n">
        <v>63.73878961375537</v>
      </c>
      <c r="BJ79" s="31" t="n">
        <v>5.029923241125901</v>
      </c>
      <c r="BK79" s="31" t="n">
        <v>791.6058461867271</v>
      </c>
      <c r="BL79" s="31" t="n">
        <v>104.4257469404844</v>
      </c>
      <c r="BM79" s="31" t="n">
        <v>71.21573124614157</v>
      </c>
      <c r="BN79" s="31" t="n">
        <v>92.10428813167647</v>
      </c>
      <c r="BO79" s="31" t="n">
        <v>4.333884519738886</v>
      </c>
      <c r="BP79" s="31" t="n">
        <v>834.3996921840442</v>
      </c>
      <c r="BQ79" s="31" t="n">
        <v>1150.597766234383</v>
      </c>
      <c r="BR79" s="31" t="n">
        <v>0</v>
      </c>
      <c r="BS79" s="31">
        <f>SUM(C79:BR79)</f>
        <v/>
      </c>
      <c r="BT79" s="31" t="n">
        <v>0</v>
      </c>
      <c r="BU79" s="31" t="n">
        <v>0</v>
      </c>
      <c r="BV79" s="31" t="n">
        <v>28147.01967088051</v>
      </c>
      <c r="BW79" s="31" t="n">
        <v>0</v>
      </c>
      <c r="BX79" s="31">
        <f>SUM(BT79:BW79)</f>
        <v/>
      </c>
      <c r="BY79" s="31">
        <f>BS79+BX79</f>
        <v/>
      </c>
    </row>
    <row r="80">
      <c r="A80" s="28" t="inlineStr">
        <is>
          <t>9480</t>
        </is>
      </c>
      <c r="B80" s="28" t="inlineStr">
        <is>
          <t>Organizações associativas e outros serviços pessoais</t>
        </is>
      </c>
      <c r="C80" s="29" t="n">
        <v>104.0335291051151</v>
      </c>
      <c r="D80" s="29" t="n">
        <v>30.02039870647526</v>
      </c>
      <c r="E80" s="29" t="n">
        <v>17.58804736710209</v>
      </c>
      <c r="F80" s="29" t="n">
        <v>30.07346806391078</v>
      </c>
      <c r="G80" s="29" t="n">
        <v>382.4600883270098</v>
      </c>
      <c r="H80" s="29" t="n">
        <v>144.247981590511</v>
      </c>
      <c r="I80" s="29" t="n">
        <v>40.52897663036492</v>
      </c>
      <c r="J80" s="29" t="n">
        <v>155.7478854163683</v>
      </c>
      <c r="K80" s="29" t="n">
        <v>62.64631522424496</v>
      </c>
      <c r="L80" s="29" t="n">
        <v>162.8219338050625</v>
      </c>
      <c r="M80" s="29" t="n">
        <v>101.3590676313619</v>
      </c>
      <c r="N80" s="29" t="n">
        <v>12.26587465497568</v>
      </c>
      <c r="O80" s="29" t="n">
        <v>49.77412861891555</v>
      </c>
      <c r="P80" s="29" t="n">
        <v>88.44425744428084</v>
      </c>
      <c r="Q80" s="29" t="n">
        <v>48.18817955115178</v>
      </c>
      <c r="R80" s="29" t="n">
        <v>46.33584468865072</v>
      </c>
      <c r="S80" s="29" t="n">
        <v>97.08397425740773</v>
      </c>
      <c r="T80" s="29" t="n">
        <v>42.32727878090372</v>
      </c>
      <c r="U80" s="29" t="n">
        <v>104.7997513624823</v>
      </c>
      <c r="V80" s="29" t="n">
        <v>32.62593775275358</v>
      </c>
      <c r="W80" s="29" t="n">
        <v>85.31305975521653</v>
      </c>
      <c r="X80" s="29" t="n">
        <v>41.37209306036014</v>
      </c>
      <c r="Y80" s="29" t="n">
        <v>38.38155960949315</v>
      </c>
      <c r="Z80" s="29" t="n">
        <v>80.99859683478847</v>
      </c>
      <c r="AA80" s="29" t="n">
        <v>142.4808433268381</v>
      </c>
      <c r="AB80" s="29" t="n">
        <v>143.1274944104643</v>
      </c>
      <c r="AC80" s="29" t="n">
        <v>93.42368607238987</v>
      </c>
      <c r="AD80" s="29" t="n">
        <v>39.59948556773785</v>
      </c>
      <c r="AE80" s="29" t="n">
        <v>198.7854675990722</v>
      </c>
      <c r="AF80" s="29" t="n">
        <v>343.400613802931</v>
      </c>
      <c r="AG80" s="29" t="n">
        <v>124.4629528415933</v>
      </c>
      <c r="AH80" s="29" t="n">
        <v>208.1624085311414</v>
      </c>
      <c r="AI80" s="29" t="n">
        <v>220.4987167195122</v>
      </c>
      <c r="AJ80" s="29" t="n">
        <v>107.4398588349173</v>
      </c>
      <c r="AK80" s="29" t="n">
        <v>54.37654929759274</v>
      </c>
      <c r="AL80" s="29" t="n">
        <v>91.02395326448564</v>
      </c>
      <c r="AM80" s="29" t="n">
        <v>1.587872674007279</v>
      </c>
      <c r="AN80" s="29" t="n">
        <v>497.5036449957033</v>
      </c>
      <c r="AO80" s="29" t="n">
        <v>0.7091251163784296</v>
      </c>
      <c r="AP80" s="29" t="n">
        <v>121.8065245255403</v>
      </c>
      <c r="AQ80" s="29" t="n">
        <v>65.9899969732032</v>
      </c>
      <c r="AR80" s="29" t="n">
        <v>2407.264607344729</v>
      </c>
      <c r="AS80" s="29" t="n">
        <v>335.8966762341368</v>
      </c>
      <c r="AT80" s="29" t="n">
        <v>4.251972997943185</v>
      </c>
      <c r="AU80" s="29" t="n">
        <v>6.453843548798464</v>
      </c>
      <c r="AV80" s="29" t="n">
        <v>1040.80264709744</v>
      </c>
      <c r="AW80" s="29" t="n">
        <v>113.893707820851</v>
      </c>
      <c r="AX80" s="29" t="n">
        <v>138.0032784577989</v>
      </c>
      <c r="AY80" s="29" t="n">
        <v>47.39494606921251</v>
      </c>
      <c r="AZ80" s="29" t="n">
        <v>142.7155422462557</v>
      </c>
      <c r="BA80" s="29" t="n">
        <v>3429.495845623252</v>
      </c>
      <c r="BB80" s="29" t="n">
        <v>952.9160394795254</v>
      </c>
      <c r="BC80" s="29" t="n">
        <v>1796.462105006715</v>
      </c>
      <c r="BD80" s="29" t="n">
        <v>112.900689845115</v>
      </c>
      <c r="BE80" s="29" t="n">
        <v>379.1838305399048</v>
      </c>
      <c r="BF80" s="29" t="n">
        <v>64.7592925346589</v>
      </c>
      <c r="BG80" s="29" t="n">
        <v>355.2568439797113</v>
      </c>
      <c r="BH80" s="29" t="n">
        <v>83.3584874952664</v>
      </c>
      <c r="BI80" s="29" t="n">
        <v>797.3325357710067</v>
      </c>
      <c r="BJ80" s="29" t="n">
        <v>29.77154315555387</v>
      </c>
      <c r="BK80" s="29" t="n">
        <v>537.0844212149982</v>
      </c>
      <c r="BL80" s="29" t="n">
        <v>102.9949032280893</v>
      </c>
      <c r="BM80" s="29" t="n">
        <v>392.3352770119909</v>
      </c>
      <c r="BN80" s="29" t="n">
        <v>1417.838627889085</v>
      </c>
      <c r="BO80" s="29" t="n">
        <v>1866.617935271212</v>
      </c>
      <c r="BP80" s="29" t="n">
        <v>20.40570145638933</v>
      </c>
      <c r="BQ80" s="29" t="n">
        <v>376.7196826966295</v>
      </c>
      <c r="BR80" s="29" t="n">
        <v>0</v>
      </c>
      <c r="BS80" s="29">
        <f>SUM(C80:BR80)</f>
        <v/>
      </c>
      <c r="BT80" s="29" t="n">
        <v>0</v>
      </c>
      <c r="BU80" s="29" t="n">
        <v>0</v>
      </c>
      <c r="BV80" s="29" t="n">
        <v>122534.4434678215</v>
      </c>
      <c r="BW80" s="29" t="n">
        <v>0</v>
      </c>
      <c r="BX80" s="29">
        <f>SUM(BT80:BW80)</f>
        <v/>
      </c>
      <c r="BY80" s="29">
        <f>BS80+BX80</f>
        <v/>
      </c>
    </row>
    <row r="81">
      <c r="A81" s="30" t="inlineStr">
        <is>
          <t>9700</t>
        </is>
      </c>
      <c r="B81" s="30" t="inlineStr">
        <is>
          <t>Serviços domésticos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0</v>
      </c>
      <c r="J81" s="31" t="n">
        <v>0</v>
      </c>
      <c r="K81" s="31" t="n">
        <v>0</v>
      </c>
      <c r="L81" s="31" t="n">
        <v>0</v>
      </c>
      <c r="M81" s="31" t="n">
        <v>0</v>
      </c>
      <c r="N81" s="31" t="n">
        <v>0</v>
      </c>
      <c r="O81" s="31" t="n">
        <v>0</v>
      </c>
      <c r="P81" s="31" t="n">
        <v>0</v>
      </c>
      <c r="Q81" s="31" t="n">
        <v>0</v>
      </c>
      <c r="R81" s="31" t="n">
        <v>0</v>
      </c>
      <c r="S81" s="31" t="n">
        <v>0</v>
      </c>
      <c r="T81" s="31" t="n">
        <v>0</v>
      </c>
      <c r="U81" s="31" t="n">
        <v>0</v>
      </c>
      <c r="V81" s="31" t="n">
        <v>0</v>
      </c>
      <c r="W81" s="31" t="n">
        <v>0</v>
      </c>
      <c r="X81" s="31" t="n">
        <v>0</v>
      </c>
      <c r="Y81" s="31" t="n">
        <v>0</v>
      </c>
      <c r="Z81" s="31" t="n">
        <v>0</v>
      </c>
      <c r="AA81" s="31" t="n">
        <v>0</v>
      </c>
      <c r="AB81" s="31" t="n">
        <v>0</v>
      </c>
      <c r="AC81" s="31" t="n">
        <v>0</v>
      </c>
      <c r="AD81" s="31" t="n">
        <v>0</v>
      </c>
      <c r="AE81" s="31" t="n">
        <v>0</v>
      </c>
      <c r="AF81" s="31" t="n">
        <v>0</v>
      </c>
      <c r="AG81" s="31" t="n">
        <v>0</v>
      </c>
      <c r="AH81" s="31" t="n">
        <v>0</v>
      </c>
      <c r="AI81" s="31" t="n">
        <v>0</v>
      </c>
      <c r="AJ81" s="31" t="n">
        <v>0</v>
      </c>
      <c r="AK81" s="31" t="n">
        <v>0</v>
      </c>
      <c r="AL81" s="31" t="n">
        <v>0</v>
      </c>
      <c r="AM81" s="31" t="n">
        <v>0</v>
      </c>
      <c r="AN81" s="31" t="n">
        <v>0</v>
      </c>
      <c r="AO81" s="31" t="n">
        <v>0</v>
      </c>
      <c r="AP81" s="31" t="n">
        <v>0</v>
      </c>
      <c r="AQ81" s="31" t="n">
        <v>0</v>
      </c>
      <c r="AR81" s="31" t="n">
        <v>0</v>
      </c>
      <c r="AS81" s="31" t="n">
        <v>0</v>
      </c>
      <c r="AT81" s="31" t="n">
        <v>0</v>
      </c>
      <c r="AU81" s="31" t="n">
        <v>0</v>
      </c>
      <c r="AV81" s="31" t="n">
        <v>0</v>
      </c>
      <c r="AW81" s="31" t="n">
        <v>0</v>
      </c>
      <c r="AX81" s="31" t="n">
        <v>0</v>
      </c>
      <c r="AY81" s="31" t="n">
        <v>0</v>
      </c>
      <c r="AZ81" s="31" t="n">
        <v>0</v>
      </c>
      <c r="BA81" s="31" t="n">
        <v>0</v>
      </c>
      <c r="BB81" s="31" t="n">
        <v>0</v>
      </c>
      <c r="BC81" s="31" t="n">
        <v>0</v>
      </c>
      <c r="BD81" s="31" t="n">
        <v>0</v>
      </c>
      <c r="BE81" s="31" t="n">
        <v>0</v>
      </c>
      <c r="BF81" s="31" t="n">
        <v>0</v>
      </c>
      <c r="BG81" s="31" t="n">
        <v>0</v>
      </c>
      <c r="BH81" s="31" t="n">
        <v>0</v>
      </c>
      <c r="BI81" s="31" t="n">
        <v>0</v>
      </c>
      <c r="BJ81" s="31" t="n">
        <v>0</v>
      </c>
      <c r="BK81" s="31" t="n">
        <v>0</v>
      </c>
      <c r="BL81" s="31" t="n">
        <v>0</v>
      </c>
      <c r="BM81" s="31" t="n">
        <v>0</v>
      </c>
      <c r="BN81" s="31" t="n">
        <v>0</v>
      </c>
      <c r="BO81" s="31" t="n">
        <v>0</v>
      </c>
      <c r="BP81" s="31" t="n">
        <v>0</v>
      </c>
      <c r="BQ81" s="31" t="n">
        <v>0</v>
      </c>
      <c r="BR81" s="31" t="n">
        <v>0</v>
      </c>
      <c r="BS81" s="31">
        <f>SUM(C81:BR81)</f>
        <v/>
      </c>
      <c r="BT81" s="31" t="n">
        <v>0</v>
      </c>
      <c r="BU81" s="31" t="n">
        <v>0</v>
      </c>
      <c r="BV81" s="31" t="n">
        <v>58164</v>
      </c>
      <c r="BW81" s="31" t="n">
        <v>0</v>
      </c>
      <c r="BX81" s="31">
        <f>SUM(BT81:BW81)</f>
        <v/>
      </c>
      <c r="BY81" s="31">
        <f>BS81+BX81</f>
        <v/>
      </c>
    </row>
    <row r="82">
      <c r="B82" s="32" t="inlineStr">
        <is>
          <t>Total consumo intermedio</t>
        </is>
      </c>
      <c r="C82" s="33">
        <f>SUM(C14:C81)</f>
        <v/>
      </c>
      <c r="D82" s="33">
        <f>SUM(D14:D81)</f>
        <v/>
      </c>
      <c r="E82" s="33">
        <f>SUM(E14:E81)</f>
        <v/>
      </c>
      <c r="F82" s="33">
        <f>SUM(F14:F81)</f>
        <v/>
      </c>
      <c r="G82" s="33">
        <f>SUM(G14:G81)</f>
        <v/>
      </c>
      <c r="H82" s="33">
        <f>SUM(H14:H81)</f>
        <v/>
      </c>
      <c r="I82" s="33">
        <f>SUM(I14:I81)</f>
        <v/>
      </c>
      <c r="J82" s="33">
        <f>SUM(J14:J81)</f>
        <v/>
      </c>
      <c r="K82" s="33">
        <f>SUM(K14:K81)</f>
        <v/>
      </c>
      <c r="L82" s="33">
        <f>SUM(L14:L81)</f>
        <v/>
      </c>
      <c r="M82" s="33">
        <f>SUM(M14:M81)</f>
        <v/>
      </c>
      <c r="N82" s="33">
        <f>SUM(N14:N81)</f>
        <v/>
      </c>
      <c r="O82" s="33">
        <f>SUM(O14:O81)</f>
        <v/>
      </c>
      <c r="P82" s="33">
        <f>SUM(P14:P81)</f>
        <v/>
      </c>
      <c r="Q82" s="33">
        <f>SUM(Q14:Q81)</f>
        <v/>
      </c>
      <c r="R82" s="33">
        <f>SUM(R14:R81)</f>
        <v/>
      </c>
      <c r="S82" s="33">
        <f>SUM(S14:S81)</f>
        <v/>
      </c>
      <c r="T82" s="33">
        <f>SUM(T14:T81)</f>
        <v/>
      </c>
      <c r="U82" s="33">
        <f>SUM(U14:U81)</f>
        <v/>
      </c>
      <c r="V82" s="33">
        <f>SUM(V14:V81)</f>
        <v/>
      </c>
      <c r="W82" s="33">
        <f>SUM(W14:W81)</f>
        <v/>
      </c>
      <c r="X82" s="33">
        <f>SUM(X14:X81)</f>
        <v/>
      </c>
      <c r="Y82" s="33">
        <f>SUM(Y14:Y81)</f>
        <v/>
      </c>
      <c r="Z82" s="33">
        <f>SUM(Z14:Z81)</f>
        <v/>
      </c>
      <c r="AA82" s="33">
        <f>SUM(AA14:AA81)</f>
        <v/>
      </c>
      <c r="AB82" s="33">
        <f>SUM(AB14:AB81)</f>
        <v/>
      </c>
      <c r="AC82" s="33">
        <f>SUM(AC14:AC81)</f>
        <v/>
      </c>
      <c r="AD82" s="33">
        <f>SUM(AD14:AD81)</f>
        <v/>
      </c>
      <c r="AE82" s="33">
        <f>SUM(AE14:AE81)</f>
        <v/>
      </c>
      <c r="AF82" s="33">
        <f>SUM(AF14:AF81)</f>
        <v/>
      </c>
      <c r="AG82" s="33">
        <f>SUM(AG14:AG81)</f>
        <v/>
      </c>
      <c r="AH82" s="33">
        <f>SUM(AH14:AH81)</f>
        <v/>
      </c>
      <c r="AI82" s="33">
        <f>SUM(AI14:AI81)</f>
        <v/>
      </c>
      <c r="AJ82" s="33">
        <f>SUM(AJ14:AJ81)</f>
        <v/>
      </c>
      <c r="AK82" s="33">
        <f>SUM(AK14:AK81)</f>
        <v/>
      </c>
      <c r="AL82" s="33">
        <f>SUM(AL14:AL81)</f>
        <v/>
      </c>
      <c r="AM82" s="33">
        <f>SUM(AM14:AM81)</f>
        <v/>
      </c>
      <c r="AN82" s="33">
        <f>SUM(AN14:AN81)</f>
        <v/>
      </c>
      <c r="AO82" s="33">
        <f>SUM(AO14:AO81)</f>
        <v/>
      </c>
      <c r="AP82" s="33">
        <f>SUM(AP14:AP81)</f>
        <v/>
      </c>
      <c r="AQ82" s="33">
        <f>SUM(AQ14:AQ81)</f>
        <v/>
      </c>
      <c r="AR82" s="33">
        <f>SUM(AR14:AR81)</f>
        <v/>
      </c>
      <c r="AS82" s="33">
        <f>SUM(AS14:AS81)</f>
        <v/>
      </c>
      <c r="AT82" s="33">
        <f>SUM(AT14:AT81)</f>
        <v/>
      </c>
      <c r="AU82" s="33">
        <f>SUM(AU14:AU81)</f>
        <v/>
      </c>
      <c r="AV82" s="33">
        <f>SUM(AV14:AV81)</f>
        <v/>
      </c>
      <c r="AW82" s="33">
        <f>SUM(AW14:AW81)</f>
        <v/>
      </c>
      <c r="AX82" s="33">
        <f>SUM(AX14:AX81)</f>
        <v/>
      </c>
      <c r="AY82" s="33">
        <f>SUM(AY14:AY81)</f>
        <v/>
      </c>
      <c r="AZ82" s="33">
        <f>SUM(AZ14:AZ81)</f>
        <v/>
      </c>
      <c r="BA82" s="33">
        <f>SUM(BA14:BA81)</f>
        <v/>
      </c>
      <c r="BB82" s="33">
        <f>SUM(BB14:BB81)</f>
        <v/>
      </c>
      <c r="BC82" s="33">
        <f>SUM(BC14:BC81)</f>
        <v/>
      </c>
      <c r="BD82" s="33">
        <f>SUM(BD14:BD81)</f>
        <v/>
      </c>
      <c r="BE82" s="33">
        <f>SUM(BE14:BE81)</f>
        <v/>
      </c>
      <c r="BF82" s="33">
        <f>SUM(BF14:BF81)</f>
        <v/>
      </c>
      <c r="BG82" s="33">
        <f>SUM(BG14:BG81)</f>
        <v/>
      </c>
      <c r="BH82" s="33">
        <f>SUM(BH14:BH81)</f>
        <v/>
      </c>
      <c r="BI82" s="33">
        <f>SUM(BI14:BI81)</f>
        <v/>
      </c>
      <c r="BJ82" s="33">
        <f>SUM(BJ14:BJ81)</f>
        <v/>
      </c>
      <c r="BK82" s="33">
        <f>SUM(BK14:BK81)</f>
        <v/>
      </c>
      <c r="BL82" s="33">
        <f>SUM(BL14:BL81)</f>
        <v/>
      </c>
      <c r="BM82" s="33">
        <f>SUM(BM14:BM81)</f>
        <v/>
      </c>
      <c r="BN82" s="33">
        <f>SUM(BN14:BN81)</f>
        <v/>
      </c>
      <c r="BO82" s="33">
        <f>SUM(BO14:BO81)</f>
        <v/>
      </c>
      <c r="BP82" s="33">
        <f>SUM(BP14:BP81)</f>
        <v/>
      </c>
      <c r="BQ82" s="33">
        <f>SUM(BQ14:BQ81)</f>
        <v/>
      </c>
      <c r="BR82" s="33">
        <f>SUM(BR14:BR81)</f>
        <v/>
      </c>
      <c r="BS82" s="33">
        <f>SUM(BS14:BS81)</f>
        <v/>
      </c>
      <c r="BT82" s="33">
        <f>SUM(BT14:BT81)</f>
        <v/>
      </c>
      <c r="BU82" s="33">
        <f>SUM(BU14:BU81)</f>
        <v/>
      </c>
      <c r="BV82" s="33">
        <f>SUM(BV14:BV81)</f>
        <v/>
      </c>
      <c r="BW82" s="33">
        <f>SUM(BW14:BW81)</f>
        <v/>
      </c>
      <c r="BX82" s="33">
        <f>SUM(BX14:BX81)</f>
        <v/>
      </c>
      <c r="BY82" s="33">
        <f>SUM(BY14:BY81)</f>
        <v/>
      </c>
    </row>
    <row r="83"/>
    <row r="84">
      <c r="B84" s="32" t="inlineStr">
        <is>
          <t>Ajuste intermedio no asignado a matriz</t>
        </is>
      </c>
      <c r="C84" s="33" t="n">
        <v>0</v>
      </c>
      <c r="D84" s="33" t="n">
        <v>5.456968210637569e-12</v>
      </c>
      <c r="E84" s="33" t="n">
        <v>-9.094947017729282e-13</v>
      </c>
      <c r="F84" s="33" t="n">
        <v>6.821210263296962e-13</v>
      </c>
      <c r="G84" s="33" t="n">
        <v>7.275957614183426e-12</v>
      </c>
      <c r="H84" s="33" t="n">
        <v>-1.364242052659392e-12</v>
      </c>
      <c r="I84" s="33" t="n">
        <v>-2.273736754432321e-13</v>
      </c>
      <c r="J84" s="33" t="n">
        <v>2.91038304567337e-11</v>
      </c>
      <c r="K84" s="33" t="n">
        <v>-2.273736754432321e-13</v>
      </c>
      <c r="L84" s="33" t="n">
        <v>-1.091393642127514e-11</v>
      </c>
      <c r="M84" s="33" t="n">
        <v>7.275957614183426e-12</v>
      </c>
      <c r="N84" s="33" t="n">
        <v>1.13686837721616e-12</v>
      </c>
      <c r="O84" s="33" t="n">
        <v>3.240074875066057e-12</v>
      </c>
      <c r="P84" s="33" t="n">
        <v>1.818989403545856e-12</v>
      </c>
      <c r="Q84" s="33" t="n">
        <v>0</v>
      </c>
      <c r="R84" s="33" t="n">
        <v>-1.506350599811412e-12</v>
      </c>
      <c r="S84" s="33" t="n">
        <v>-5.456968210637569e-12</v>
      </c>
      <c r="T84" s="33" t="n">
        <v>9.094947017729282e-13</v>
      </c>
      <c r="U84" s="33" t="n">
        <v>2.91038304567337e-11</v>
      </c>
      <c r="V84" s="33" t="n">
        <v>-1.818989403545856e-12</v>
      </c>
      <c r="W84" s="33" t="n">
        <v>-1.455191522836685e-11</v>
      </c>
      <c r="X84" s="33" t="n">
        <v>1.449507180950604e-12</v>
      </c>
      <c r="Y84" s="33" t="n">
        <v>-3.637978807091713e-12</v>
      </c>
      <c r="Z84" s="33" t="n">
        <v>1.818989403545856e-12</v>
      </c>
      <c r="AA84" s="33" t="n">
        <v>-9.094947017729282e-12</v>
      </c>
      <c r="AB84" s="33" t="n">
        <v>7.275957614183426e-12</v>
      </c>
      <c r="AC84" s="33" t="n">
        <v>9.094947017729282e-12</v>
      </c>
      <c r="AD84" s="33" t="n">
        <v>0</v>
      </c>
      <c r="AE84" s="33" t="n">
        <v>2.728484105318785e-12</v>
      </c>
      <c r="AF84" s="33" t="n">
        <v>-2.182787284255028e-11</v>
      </c>
      <c r="AG84" s="33" t="n">
        <v>3.410605131648481e-13</v>
      </c>
      <c r="AH84" s="33" t="n">
        <v>0</v>
      </c>
      <c r="AI84" s="33" t="n">
        <v>-7.275957614183426e-12</v>
      </c>
      <c r="AJ84" s="33" t="n">
        <v>7.275957614183426e-12</v>
      </c>
      <c r="AK84" s="33" t="n">
        <v>-1.818989403545856e-12</v>
      </c>
      <c r="AL84" s="33" t="n">
        <v>1.591615728102624e-12</v>
      </c>
      <c r="AM84" s="33" t="n">
        <v>-3.637978807091713e-12</v>
      </c>
      <c r="AN84" s="33" t="n">
        <v>-7.275957614183426e-12</v>
      </c>
      <c r="AO84" s="33" t="n">
        <v>-1.364242052659392e-12</v>
      </c>
      <c r="AP84" s="33" t="n">
        <v>0</v>
      </c>
      <c r="AQ84" s="33" t="n">
        <v>0</v>
      </c>
      <c r="AR84" s="33" t="n">
        <v>1.455191522836685e-11</v>
      </c>
      <c r="AS84" s="33" t="n">
        <v>-1.818989403545856e-12</v>
      </c>
      <c r="AT84" s="33" t="n">
        <v>1.818989403545856e-12</v>
      </c>
      <c r="AU84" s="33" t="n">
        <v>1.818989403545856e-12</v>
      </c>
      <c r="AV84" s="33" t="n">
        <v>1.818989403545856e-12</v>
      </c>
      <c r="AW84" s="33" t="n">
        <v>4.547473508864641e-13</v>
      </c>
      <c r="AX84" s="33" t="n">
        <v>0</v>
      </c>
      <c r="AY84" s="33" t="n">
        <v>-9.094947017729282e-13</v>
      </c>
      <c r="AZ84" s="33" t="n">
        <v>-9.094947017729282e-13</v>
      </c>
      <c r="BA84" s="33" t="n">
        <v>0</v>
      </c>
      <c r="BB84" s="33" t="n">
        <v>1.364242052659392e-12</v>
      </c>
      <c r="BC84" s="33" t="n">
        <v>3.637978807091713e-12</v>
      </c>
      <c r="BD84" s="33" t="n">
        <v>1.818989403545856e-12</v>
      </c>
      <c r="BE84" s="33" t="n">
        <v>2.273736754432321e-13</v>
      </c>
      <c r="BF84" s="33" t="n">
        <v>2.728484105318785e-12</v>
      </c>
      <c r="BG84" s="33" t="n">
        <v>9.094947017729282e-13</v>
      </c>
      <c r="BH84" s="33" t="n">
        <v>-9.094947017729282e-13</v>
      </c>
      <c r="BI84" s="33" t="n">
        <v>0</v>
      </c>
      <c r="BJ84" s="33" t="n">
        <v>5.684341886080801e-14</v>
      </c>
      <c r="BK84" s="33" t="n">
        <v>3.637978807091713e-12</v>
      </c>
      <c r="BL84" s="33" t="n">
        <v>0</v>
      </c>
      <c r="BM84" s="33" t="n">
        <v>0</v>
      </c>
      <c r="BN84" s="33" t="n">
        <v>0</v>
      </c>
      <c r="BO84" s="33" t="n">
        <v>3.637978807091713e-12</v>
      </c>
      <c r="BP84" s="33" t="n">
        <v>-4.547473508864641e-13</v>
      </c>
      <c r="BQ84" s="33" t="n">
        <v>-3.637978807091713e-12</v>
      </c>
      <c r="BR84" s="33" t="n">
        <v>0</v>
      </c>
      <c r="BY84" s="33">
        <f>SUM(C84:BR84)</f>
        <v/>
      </c>
    </row>
    <row r="85"/>
    <row r="86">
      <c r="B86" s="32" t="inlineStr">
        <is>
          <t>Valor agregado</t>
        </is>
      </c>
      <c r="C86" s="33" t="n">
        <v>159111</v>
      </c>
      <c r="D86" s="33" t="n">
        <v>67178</v>
      </c>
      <c r="E86" s="33" t="n">
        <v>23686</v>
      </c>
      <c r="F86" s="33" t="n">
        <v>8845</v>
      </c>
      <c r="G86" s="33" t="n">
        <v>129598</v>
      </c>
      <c r="H86" s="33" t="n">
        <v>44174</v>
      </c>
      <c r="I86" s="33" t="n">
        <v>2180</v>
      </c>
      <c r="J86" s="33" t="n">
        <v>34403</v>
      </c>
      <c r="K86" s="33" t="n">
        <v>6829</v>
      </c>
      <c r="L86" s="33" t="n">
        <v>46921</v>
      </c>
      <c r="M86" s="33" t="n">
        <v>20923</v>
      </c>
      <c r="N86" s="33" t="n">
        <v>5105</v>
      </c>
      <c r="O86" s="33" t="n">
        <v>15156</v>
      </c>
      <c r="P86" s="33" t="n">
        <v>25914</v>
      </c>
      <c r="Q86" s="33" t="n">
        <v>14042</v>
      </c>
      <c r="R86" s="33" t="n">
        <v>11364</v>
      </c>
      <c r="S86" s="33" t="n">
        <v>19316</v>
      </c>
      <c r="T86" s="33" t="n">
        <v>9140</v>
      </c>
      <c r="U86" s="34" t="n">
        <v>-16729</v>
      </c>
      <c r="V86" s="33" t="n">
        <v>7305</v>
      </c>
      <c r="W86" s="33" t="n">
        <v>18734</v>
      </c>
      <c r="X86" s="33" t="n">
        <v>14877</v>
      </c>
      <c r="Y86" s="33" t="n">
        <v>7975</v>
      </c>
      <c r="Z86" s="33" t="n">
        <v>25412</v>
      </c>
      <c r="AA86" s="33" t="n">
        <v>27998</v>
      </c>
      <c r="AB86" s="33" t="n">
        <v>30994</v>
      </c>
      <c r="AC86" s="33" t="n">
        <v>30190</v>
      </c>
      <c r="AD86" s="33" t="n">
        <v>10281</v>
      </c>
      <c r="AE86" s="33" t="n">
        <v>35496</v>
      </c>
      <c r="AF86" s="33" t="n">
        <v>16311</v>
      </c>
      <c r="AG86" s="33" t="n">
        <v>18036</v>
      </c>
      <c r="AH86" s="33" t="n">
        <v>41801</v>
      </c>
      <c r="AI86" s="33" t="n">
        <v>27371</v>
      </c>
      <c r="AJ86" s="33" t="n">
        <v>23138</v>
      </c>
      <c r="AK86" s="33" t="n">
        <v>11968</v>
      </c>
      <c r="AL86" s="33" t="n">
        <v>32956</v>
      </c>
      <c r="AM86" s="33" t="n">
        <v>24149</v>
      </c>
      <c r="AN86" s="33" t="n">
        <v>56222</v>
      </c>
      <c r="AO86" s="33" t="n">
        <v>37753</v>
      </c>
      <c r="AP86" s="33" t="n">
        <v>306946</v>
      </c>
      <c r="AQ86" s="33" t="n">
        <v>89526</v>
      </c>
      <c r="AR86" s="33" t="n">
        <v>587036</v>
      </c>
      <c r="AS86" s="33" t="n">
        <v>148027</v>
      </c>
      <c r="AT86" s="33" t="n">
        <v>7347</v>
      </c>
      <c r="AU86" s="33" t="n">
        <v>9108</v>
      </c>
      <c r="AV86" s="33" t="n">
        <v>63275</v>
      </c>
      <c r="AW86" s="33" t="n">
        <v>14435</v>
      </c>
      <c r="AX86" s="33" t="n">
        <v>110497</v>
      </c>
      <c r="AY86" s="33" t="n">
        <v>9194</v>
      </c>
      <c r="AZ86" s="33" t="n">
        <v>19032</v>
      </c>
      <c r="BA86" s="33" t="n">
        <v>63318</v>
      </c>
      <c r="BB86" s="33" t="n">
        <v>77066</v>
      </c>
      <c r="BC86" s="33" t="n">
        <v>318680</v>
      </c>
      <c r="BD86" s="33" t="n">
        <v>463781</v>
      </c>
      <c r="BE86" s="33" t="n">
        <v>119287</v>
      </c>
      <c r="BF86" s="33" t="n">
        <v>46499</v>
      </c>
      <c r="BG86" s="33" t="n">
        <v>30620</v>
      </c>
      <c r="BH86" s="33" t="n">
        <v>31428</v>
      </c>
      <c r="BI86" s="33" t="n">
        <v>142777</v>
      </c>
      <c r="BJ86" s="33" t="n">
        <v>31180</v>
      </c>
      <c r="BK86" s="33" t="n">
        <v>474773</v>
      </c>
      <c r="BL86" s="33" t="n">
        <v>231854</v>
      </c>
      <c r="BM86" s="33" t="n">
        <v>68794</v>
      </c>
      <c r="BN86" s="33" t="n">
        <v>110181</v>
      </c>
      <c r="BO86" s="33" t="n">
        <v>122447</v>
      </c>
      <c r="BP86" s="33" t="n">
        <v>19749</v>
      </c>
      <c r="BQ86" s="33" t="n">
        <v>71590</v>
      </c>
      <c r="BR86" s="33" t="n">
        <v>58164</v>
      </c>
      <c r="BY86" s="33">
        <f>SUM(C86:BR86)</f>
        <v/>
      </c>
    </row>
    <row r="87"/>
    <row r="88">
      <c r="B88" s="32" t="inlineStr">
        <is>
          <t>Produccion total</t>
        </is>
      </c>
      <c r="C88" s="33">
        <f>C82+C84+C86</f>
        <v/>
      </c>
      <c r="D88" s="33">
        <f>D82+D84+D86</f>
        <v/>
      </c>
      <c r="E88" s="33">
        <f>E82+E84+E86</f>
        <v/>
      </c>
      <c r="F88" s="33">
        <f>F82+F84+F86</f>
        <v/>
      </c>
      <c r="G88" s="33">
        <f>G82+G84+G86</f>
        <v/>
      </c>
      <c r="H88" s="33">
        <f>H82+H84+H86</f>
        <v/>
      </c>
      <c r="I88" s="33">
        <f>I82+I84+I86</f>
        <v/>
      </c>
      <c r="J88" s="33">
        <f>J82+J84+J86</f>
        <v/>
      </c>
      <c r="K88" s="33">
        <f>K82+K84+K86</f>
        <v/>
      </c>
      <c r="L88" s="33">
        <f>L82+L84+L86</f>
        <v/>
      </c>
      <c r="M88" s="33">
        <f>M82+M84+M86</f>
        <v/>
      </c>
      <c r="N88" s="33">
        <f>N82+N84+N86</f>
        <v/>
      </c>
      <c r="O88" s="33">
        <f>O82+O84+O86</f>
        <v/>
      </c>
      <c r="P88" s="33">
        <f>P82+P84+P86</f>
        <v/>
      </c>
      <c r="Q88" s="33">
        <f>Q82+Q84+Q86</f>
        <v/>
      </c>
      <c r="R88" s="33">
        <f>R82+R84+R86</f>
        <v/>
      </c>
      <c r="S88" s="33">
        <f>S82+S84+S86</f>
        <v/>
      </c>
      <c r="T88" s="33">
        <f>T82+T84+T86</f>
        <v/>
      </c>
      <c r="U88" s="33">
        <f>U82+U84+U86</f>
        <v/>
      </c>
      <c r="V88" s="33">
        <f>V82+V84+V86</f>
        <v/>
      </c>
      <c r="W88" s="33">
        <f>W82+W84+W86</f>
        <v/>
      </c>
      <c r="X88" s="33">
        <f>X82+X84+X86</f>
        <v/>
      </c>
      <c r="Y88" s="33">
        <f>Y82+Y84+Y86</f>
        <v/>
      </c>
      <c r="Z88" s="33">
        <f>Z82+Z84+Z86</f>
        <v/>
      </c>
      <c r="AA88" s="33">
        <f>AA82+AA84+AA86</f>
        <v/>
      </c>
      <c r="AB88" s="33">
        <f>AB82+AB84+AB86</f>
        <v/>
      </c>
      <c r="AC88" s="33">
        <f>AC82+AC84+AC86</f>
        <v/>
      </c>
      <c r="AD88" s="33">
        <f>AD82+AD84+AD86</f>
        <v/>
      </c>
      <c r="AE88" s="33">
        <f>AE82+AE84+AE86</f>
        <v/>
      </c>
      <c r="AF88" s="33">
        <f>AF82+AF84+AF86</f>
        <v/>
      </c>
      <c r="AG88" s="33">
        <f>AG82+AG84+AG86</f>
        <v/>
      </c>
      <c r="AH88" s="33">
        <f>AH82+AH84+AH86</f>
        <v/>
      </c>
      <c r="AI88" s="33">
        <f>AI82+AI84+AI86</f>
        <v/>
      </c>
      <c r="AJ88" s="33">
        <f>AJ82+AJ84+AJ86</f>
        <v/>
      </c>
      <c r="AK88" s="33">
        <f>AK82+AK84+AK86</f>
        <v/>
      </c>
      <c r="AL88" s="33">
        <f>AL82+AL84+AL86</f>
        <v/>
      </c>
      <c r="AM88" s="33">
        <f>AM82+AM84+AM86</f>
        <v/>
      </c>
      <c r="AN88" s="33">
        <f>AN82+AN84+AN86</f>
        <v/>
      </c>
      <c r="AO88" s="33">
        <f>AO82+AO84+AO86</f>
        <v/>
      </c>
      <c r="AP88" s="33">
        <f>AP82+AP84+AP86</f>
        <v/>
      </c>
      <c r="AQ88" s="33">
        <f>AQ82+AQ84+AQ86</f>
        <v/>
      </c>
      <c r="AR88" s="33">
        <f>AR82+AR84+AR86</f>
        <v/>
      </c>
      <c r="AS88" s="33">
        <f>AS82+AS84+AS86</f>
        <v/>
      </c>
      <c r="AT88" s="33">
        <f>AT82+AT84+AT86</f>
        <v/>
      </c>
      <c r="AU88" s="33">
        <f>AU82+AU84+AU86</f>
        <v/>
      </c>
      <c r="AV88" s="33">
        <f>AV82+AV84+AV86</f>
        <v/>
      </c>
      <c r="AW88" s="33">
        <f>AW82+AW84+AW86</f>
        <v/>
      </c>
      <c r="AX88" s="33">
        <f>AX82+AX84+AX86</f>
        <v/>
      </c>
      <c r="AY88" s="33">
        <f>AY82+AY84+AY86</f>
        <v/>
      </c>
      <c r="AZ88" s="33">
        <f>AZ82+AZ84+AZ86</f>
        <v/>
      </c>
      <c r="BA88" s="33">
        <f>BA82+BA84+BA86</f>
        <v/>
      </c>
      <c r="BB88" s="33">
        <f>BB82+BB84+BB86</f>
        <v/>
      </c>
      <c r="BC88" s="33">
        <f>BC82+BC84+BC86</f>
        <v/>
      </c>
      <c r="BD88" s="33">
        <f>BD82+BD84+BD86</f>
        <v/>
      </c>
      <c r="BE88" s="33">
        <f>BE82+BE84+BE86</f>
        <v/>
      </c>
      <c r="BF88" s="33">
        <f>BF82+BF84+BF86</f>
        <v/>
      </c>
      <c r="BG88" s="33">
        <f>BG82+BG84+BG86</f>
        <v/>
      </c>
      <c r="BH88" s="33">
        <f>BH82+BH84+BH86</f>
        <v/>
      </c>
      <c r="BI88" s="33">
        <f>BI82+BI84+BI86</f>
        <v/>
      </c>
      <c r="BJ88" s="33">
        <f>BJ82+BJ84+BJ86</f>
        <v/>
      </c>
      <c r="BK88" s="33">
        <f>BK82+BK84+BK86</f>
        <v/>
      </c>
      <c r="BL88" s="33">
        <f>BL82+BL84+BL86</f>
        <v/>
      </c>
      <c r="BM88" s="33">
        <f>BM82+BM84+BM86</f>
        <v/>
      </c>
      <c r="BN88" s="33">
        <f>BN82+BN84+BN86</f>
        <v/>
      </c>
      <c r="BO88" s="33">
        <f>BO82+BO84+BO86</f>
        <v/>
      </c>
      <c r="BP88" s="33">
        <f>BP82+BP84+BP86</f>
        <v/>
      </c>
      <c r="BQ88" s="33">
        <f>BQ82+BQ84+BQ86</f>
        <v/>
      </c>
      <c r="BR88" s="33">
        <f>BR82+BR84+BR86</f>
        <v/>
      </c>
      <c r="BY88" s="33">
        <f>SUM(C88:BR88)</f>
        <v/>
      </c>
    </row>
    <row r="89">
      <c r="B89" s="32" t="inlineStr">
        <is>
          <t>Produccion fuente</t>
        </is>
      </c>
      <c r="C89" s="33" t="n">
        <v>278711</v>
      </c>
      <c r="D89" s="33" t="n">
        <v>125218</v>
      </c>
      <c r="E89" s="33" t="n">
        <v>31135</v>
      </c>
      <c r="F89" s="33" t="n">
        <v>19479</v>
      </c>
      <c r="G89" s="33" t="n">
        <v>216706</v>
      </c>
      <c r="H89" s="33" t="n">
        <v>70975</v>
      </c>
      <c r="I89" s="33" t="n">
        <v>11925</v>
      </c>
      <c r="J89" s="33" t="n">
        <v>235142</v>
      </c>
      <c r="K89" s="33" t="n">
        <v>48692</v>
      </c>
      <c r="L89" s="33" t="n">
        <v>237388</v>
      </c>
      <c r="M89" s="33" t="n">
        <v>71456</v>
      </c>
      <c r="N89" s="33" t="n">
        <v>15786</v>
      </c>
      <c r="O89" s="33" t="n">
        <v>48755</v>
      </c>
      <c r="P89" s="33" t="n">
        <v>62341</v>
      </c>
      <c r="Q89" s="33" t="n">
        <v>41241</v>
      </c>
      <c r="R89" s="33" t="n">
        <v>28694</v>
      </c>
      <c r="S89" s="33" t="n">
        <v>72783</v>
      </c>
      <c r="T89" s="33" t="n">
        <v>20852</v>
      </c>
      <c r="U89" s="33" t="n">
        <v>364803</v>
      </c>
      <c r="V89" s="33" t="n">
        <v>35434</v>
      </c>
      <c r="W89" s="33" t="n">
        <v>135209</v>
      </c>
      <c r="X89" s="33" t="n">
        <v>65030</v>
      </c>
      <c r="Y89" s="33" t="n">
        <v>38909</v>
      </c>
      <c r="Z89" s="33" t="n">
        <v>56561</v>
      </c>
      <c r="AA89" s="33" t="n">
        <v>102769</v>
      </c>
      <c r="AB89" s="33" t="n">
        <v>94114</v>
      </c>
      <c r="AC89" s="33" t="n">
        <v>108146</v>
      </c>
      <c r="AD89" s="33" t="n">
        <v>51102</v>
      </c>
      <c r="AE89" s="33" t="n">
        <v>95125</v>
      </c>
      <c r="AF89" s="33" t="n">
        <v>90532</v>
      </c>
      <c r="AG89" s="33" t="n">
        <v>71474</v>
      </c>
      <c r="AH89" s="33" t="n">
        <v>135525</v>
      </c>
      <c r="AI89" s="33" t="n">
        <v>172624</v>
      </c>
      <c r="AJ89" s="33" t="n">
        <v>80245</v>
      </c>
      <c r="AK89" s="33" t="n">
        <v>48758</v>
      </c>
      <c r="AL89" s="33" t="n">
        <v>71259</v>
      </c>
      <c r="AM89" s="33" t="n">
        <v>59450</v>
      </c>
      <c r="AN89" s="33" t="n">
        <v>211363</v>
      </c>
      <c r="AO89" s="33" t="n">
        <v>60661</v>
      </c>
      <c r="AP89" s="33" t="n">
        <v>662329</v>
      </c>
      <c r="AQ89" s="33" t="n">
        <v>149926</v>
      </c>
      <c r="AR89" s="33" t="n">
        <v>913319</v>
      </c>
      <c r="AS89" s="33" t="n">
        <v>323975</v>
      </c>
      <c r="AT89" s="33" t="n">
        <v>17453</v>
      </c>
      <c r="AU89" s="33" t="n">
        <v>37736</v>
      </c>
      <c r="AV89" s="33" t="n">
        <v>109868</v>
      </c>
      <c r="AW89" s="33" t="n">
        <v>24494</v>
      </c>
      <c r="AX89" s="33" t="n">
        <v>219910</v>
      </c>
      <c r="AY89" s="33" t="n">
        <v>22379</v>
      </c>
      <c r="AZ89" s="33" t="n">
        <v>43383</v>
      </c>
      <c r="BA89" s="33" t="n">
        <v>163015</v>
      </c>
      <c r="BB89" s="33" t="n">
        <v>115472</v>
      </c>
      <c r="BC89" s="33" t="n">
        <v>505894</v>
      </c>
      <c r="BD89" s="33" t="n">
        <v>505800</v>
      </c>
      <c r="BE89" s="33" t="n">
        <v>174311</v>
      </c>
      <c r="BF89" s="33" t="n">
        <v>72807</v>
      </c>
      <c r="BG89" s="33" t="n">
        <v>90927</v>
      </c>
      <c r="BH89" s="33" t="n">
        <v>47146</v>
      </c>
      <c r="BI89" s="33" t="n">
        <v>198781</v>
      </c>
      <c r="BJ89" s="33" t="n">
        <v>37700</v>
      </c>
      <c r="BK89" s="33" t="n">
        <v>675619</v>
      </c>
      <c r="BL89" s="33" t="n">
        <v>283767</v>
      </c>
      <c r="BM89" s="33" t="n">
        <v>99725</v>
      </c>
      <c r="BN89" s="33" t="n">
        <v>166924</v>
      </c>
      <c r="BO89" s="33" t="n">
        <v>202015</v>
      </c>
      <c r="BP89" s="33" t="n">
        <v>35052</v>
      </c>
      <c r="BQ89" s="33" t="n">
        <v>144093</v>
      </c>
      <c r="BR89" s="33" t="n">
        <v>58164</v>
      </c>
      <c r="BY89" s="33">
        <f>SUM(C89:BR89)</f>
        <v/>
      </c>
    </row>
    <row r="90">
      <c r="B90" s="35" t="inlineStr">
        <is>
          <t>Check produccion total - fuente</t>
        </is>
      </c>
      <c r="C90" s="36">
        <f>C88-C89</f>
        <v/>
      </c>
      <c r="D90" s="36">
        <f>D88-D89</f>
        <v/>
      </c>
      <c r="E90" s="36">
        <f>E88-E89</f>
        <v/>
      </c>
      <c r="F90" s="36">
        <f>F88-F89</f>
        <v/>
      </c>
      <c r="G90" s="36">
        <f>G88-G89</f>
        <v/>
      </c>
      <c r="H90" s="36">
        <f>H88-H89</f>
        <v/>
      </c>
      <c r="I90" s="36">
        <f>I88-I89</f>
        <v/>
      </c>
      <c r="J90" s="36">
        <f>J88-J89</f>
        <v/>
      </c>
      <c r="K90" s="36">
        <f>K88-K89</f>
        <v/>
      </c>
      <c r="L90" s="36">
        <f>L88-L89</f>
        <v/>
      </c>
      <c r="M90" s="36">
        <f>M88-M89</f>
        <v/>
      </c>
      <c r="N90" s="36">
        <f>N88-N89</f>
        <v/>
      </c>
      <c r="O90" s="36">
        <f>O88-O89</f>
        <v/>
      </c>
      <c r="P90" s="36">
        <f>P88-P89</f>
        <v/>
      </c>
      <c r="Q90" s="36">
        <f>Q88-Q89</f>
        <v/>
      </c>
      <c r="R90" s="36">
        <f>R88-R89</f>
        <v/>
      </c>
      <c r="S90" s="36">
        <f>S88-S89</f>
        <v/>
      </c>
      <c r="T90" s="36">
        <f>T88-T89</f>
        <v/>
      </c>
      <c r="U90" s="36">
        <f>U88-U89</f>
        <v/>
      </c>
      <c r="V90" s="36">
        <f>V88-V89</f>
        <v/>
      </c>
      <c r="W90" s="36">
        <f>W88-W89</f>
        <v/>
      </c>
      <c r="X90" s="36">
        <f>X88-X89</f>
        <v/>
      </c>
      <c r="Y90" s="36">
        <f>Y88-Y89</f>
        <v/>
      </c>
      <c r="Z90" s="36">
        <f>Z88-Z89</f>
        <v/>
      </c>
      <c r="AA90" s="36">
        <f>AA88-AA89</f>
        <v/>
      </c>
      <c r="AB90" s="36">
        <f>AB88-AB89</f>
        <v/>
      </c>
      <c r="AC90" s="36">
        <f>AC88-AC89</f>
        <v/>
      </c>
      <c r="AD90" s="36">
        <f>AD88-AD89</f>
        <v/>
      </c>
      <c r="AE90" s="36">
        <f>AE88-AE89</f>
        <v/>
      </c>
      <c r="AF90" s="36">
        <f>AF88-AF89</f>
        <v/>
      </c>
      <c r="AG90" s="36">
        <f>AG88-AG89</f>
        <v/>
      </c>
      <c r="AH90" s="36">
        <f>AH88-AH89</f>
        <v/>
      </c>
      <c r="AI90" s="36">
        <f>AI88-AI89</f>
        <v/>
      </c>
      <c r="AJ90" s="36">
        <f>AJ88-AJ89</f>
        <v/>
      </c>
      <c r="AK90" s="36">
        <f>AK88-AK89</f>
        <v/>
      </c>
      <c r="AL90" s="36">
        <f>AL88-AL89</f>
        <v/>
      </c>
      <c r="AM90" s="36">
        <f>AM88-AM89</f>
        <v/>
      </c>
      <c r="AN90" s="36">
        <f>AN88-AN89</f>
        <v/>
      </c>
      <c r="AO90" s="36">
        <f>AO88-AO89</f>
        <v/>
      </c>
      <c r="AP90" s="36">
        <f>AP88-AP89</f>
        <v/>
      </c>
      <c r="AQ90" s="36">
        <f>AQ88-AQ89</f>
        <v/>
      </c>
      <c r="AR90" s="36">
        <f>AR88-AR89</f>
        <v/>
      </c>
      <c r="AS90" s="36">
        <f>AS88-AS89</f>
        <v/>
      </c>
      <c r="AT90" s="36">
        <f>AT88-AT89</f>
        <v/>
      </c>
      <c r="AU90" s="36">
        <f>AU88-AU89</f>
        <v/>
      </c>
      <c r="AV90" s="36">
        <f>AV88-AV89</f>
        <v/>
      </c>
      <c r="AW90" s="36">
        <f>AW88-AW89</f>
        <v/>
      </c>
      <c r="AX90" s="36">
        <f>AX88-AX89</f>
        <v/>
      </c>
      <c r="AY90" s="36">
        <f>AY88-AY89</f>
        <v/>
      </c>
      <c r="AZ90" s="36">
        <f>AZ88-AZ89</f>
        <v/>
      </c>
      <c r="BA90" s="36">
        <f>BA88-BA89</f>
        <v/>
      </c>
      <c r="BB90" s="36">
        <f>BB88-BB89</f>
        <v/>
      </c>
      <c r="BC90" s="36">
        <f>BC88-BC89</f>
        <v/>
      </c>
      <c r="BD90" s="36">
        <f>BD88-BD89</f>
        <v/>
      </c>
      <c r="BE90" s="36">
        <f>BE88-BE89</f>
        <v/>
      </c>
      <c r="BF90" s="36">
        <f>BF88-BF89</f>
        <v/>
      </c>
      <c r="BG90" s="36">
        <f>BG88-BG89</f>
        <v/>
      </c>
      <c r="BH90" s="36">
        <f>BH88-BH89</f>
        <v/>
      </c>
      <c r="BI90" s="36">
        <f>BI88-BI89</f>
        <v/>
      </c>
      <c r="BJ90" s="36">
        <f>BJ88-BJ89</f>
        <v/>
      </c>
      <c r="BK90" s="36">
        <f>BK88-BK89</f>
        <v/>
      </c>
      <c r="BL90" s="36">
        <f>BL88-BL89</f>
        <v/>
      </c>
      <c r="BM90" s="36">
        <f>BM88-BM89</f>
        <v/>
      </c>
      <c r="BN90" s="36">
        <f>BN88-BN89</f>
        <v/>
      </c>
      <c r="BO90" s="36">
        <f>BO88-BO89</f>
        <v/>
      </c>
      <c r="BP90" s="36">
        <f>BP88-BP89</f>
        <v/>
      </c>
      <c r="BQ90" s="36">
        <f>BQ88-BQ89</f>
        <v/>
      </c>
      <c r="BR90" s="36">
        <f>BR88-BR89</f>
        <v/>
      </c>
      <c r="BY90" s="36">
        <f>SUM(C90:BR90)</f>
        <v/>
      </c>
    </row>
    <row r="91"/>
    <row r="92">
      <c r="B92" s="28" t="inlineStr">
        <is>
          <t>Nota</t>
        </is>
      </c>
      <c r="C92" s="28" t="inlineStr">
        <is>
          <t>Z total = Z nacional + matriz importada/ajuste asignada. El residuo de ajuste no asignado queda como fila firmada.</t>
        </is>
      </c>
    </row>
  </sheetData>
  <mergeCells count="9">
    <mergeCell ref="BY10:BY12"/>
    <mergeCell ref="BX10:BX12"/>
    <mergeCell ref="A3:H4"/>
    <mergeCell ref="B10:B12"/>
    <mergeCell ref="A10:A12"/>
    <mergeCell ref="A1:H1"/>
    <mergeCell ref="C10:BR10"/>
    <mergeCell ref="BS10:BS12"/>
    <mergeCell ref="BT10:BW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8"/>
  <sheetViews>
    <sheetView showGridLines="0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6" t="inlineStr">
        <is>
          <t>Matriz de multiplicadores y validacion</t>
        </is>
      </c>
      <c r="B1" s="16" t="inlineStr"/>
      <c r="C1" s="16" t="inlineStr"/>
      <c r="D1" s="16" t="inlineStr"/>
      <c r="E1" s="16" t="inlineStr"/>
      <c r="F1" s="16" t="inlineStr"/>
      <c r="G1" s="16" t="inlineStr"/>
      <c r="H1" s="16" t="inlineStr"/>
    </row>
    <row r="2"/>
    <row r="3">
      <c r="A3" s="37" t="inlineStr">
        <is>
          <t>Codigo</t>
        </is>
      </c>
      <c r="B3" s="37" t="inlineStr">
        <is>
          <t>Actividad economica</t>
        </is>
      </c>
      <c r="C3" s="37" t="inlineStr">
        <is>
          <t>Produccion</t>
        </is>
      </c>
      <c r="D3" s="37" t="inlineStr">
        <is>
          <t>Valor agregado</t>
        </is>
      </c>
      <c r="E3" s="37" t="inlineStr">
        <is>
          <t>Multiplicador Leontief</t>
        </is>
      </c>
      <c r="F3" s="37" t="inlineStr">
        <is>
          <t>Indice atras Leontief</t>
        </is>
      </c>
      <c r="G3" s="37" t="inlineStr">
        <is>
          <t>Encadenamiento adelante Ghosh</t>
        </is>
      </c>
      <c r="H3" s="37" t="inlineStr">
        <is>
          <t>Indice adelante Ghosh</t>
        </is>
      </c>
    </row>
    <row r="4">
      <c r="A4" s="10" t="inlineStr">
        <is>
          <t>0191</t>
        </is>
      </c>
      <c r="B4" s="10" t="inlineStr">
        <is>
          <t>Agricultura, inclusive o apoio à agricultura e a pós-colheita</t>
        </is>
      </c>
      <c r="C4" s="11" t="n">
        <v>278711</v>
      </c>
      <c r="D4" s="11" t="n">
        <v>159111</v>
      </c>
      <c r="E4" s="11" t="n">
        <v>1.689144001719131</v>
      </c>
      <c r="F4" s="11" t="n">
        <v>0.8298110357840894</v>
      </c>
      <c r="G4" s="11" t="n">
        <v>1.858662503942641</v>
      </c>
      <c r="H4" s="11" t="n">
        <v>0.9215030256107071</v>
      </c>
    </row>
    <row r="5">
      <c r="A5" s="10" t="inlineStr">
        <is>
          <t>0192</t>
        </is>
      </c>
      <c r="B5" s="10" t="inlineStr">
        <is>
          <t>Pecuária, inclusive o apoio à pecuária</t>
        </is>
      </c>
      <c r="C5" s="11" t="n">
        <v>125218</v>
      </c>
      <c r="D5" s="11" t="n">
        <v>67178</v>
      </c>
      <c r="E5" s="11" t="n">
        <v>1.778580501728929</v>
      </c>
      <c r="F5" s="11" t="n">
        <v>0.8737477248020189</v>
      </c>
      <c r="G5" s="11" t="n">
        <v>1.927680421686568</v>
      </c>
      <c r="H5" s="11" t="n">
        <v>0.9557212980982994</v>
      </c>
    </row>
    <row r="6">
      <c r="A6" s="10" t="inlineStr">
        <is>
          <t>0280</t>
        </is>
      </c>
      <c r="B6" s="10" t="inlineStr">
        <is>
          <t>Produção florestal; pesca e aquicultura</t>
        </is>
      </c>
      <c r="C6" s="11" t="n">
        <v>31135</v>
      </c>
      <c r="D6" s="11" t="n">
        <v>23686</v>
      </c>
      <c r="E6" s="11" t="n">
        <v>1.363809975458613</v>
      </c>
      <c r="F6" s="11" t="n">
        <v>0.6699870272730983</v>
      </c>
      <c r="G6" s="11" t="n">
        <v>2.007555358677636</v>
      </c>
      <c r="H6" s="11" t="n">
        <v>0.9953223531320134</v>
      </c>
    </row>
    <row r="7">
      <c r="A7" s="10" t="inlineStr">
        <is>
          <t>0580</t>
        </is>
      </c>
      <c r="B7" s="10" t="inlineStr">
        <is>
          <t>Extração de carvão mineral e de minerais não-metálicos</t>
        </is>
      </c>
      <c r="C7" s="11" t="n">
        <v>19479</v>
      </c>
      <c r="D7" s="11" t="n">
        <v>8845</v>
      </c>
      <c r="E7" s="11" t="n">
        <v>1.986979977820904</v>
      </c>
      <c r="F7" s="11" t="n">
        <v>0.9761263171166712</v>
      </c>
      <c r="G7" s="11" t="n">
        <v>2.889188675807294</v>
      </c>
      <c r="H7" s="11" t="n">
        <v>1.432425790410617</v>
      </c>
    </row>
    <row r="8">
      <c r="A8" s="10" t="inlineStr">
        <is>
          <t>0680</t>
        </is>
      </c>
      <c r="B8" s="10" t="inlineStr">
        <is>
          <t>Extração de petróleo e gás, inclusive as atividades de apoio</t>
        </is>
      </c>
      <c r="C8" s="11" t="n">
        <v>216706</v>
      </c>
      <c r="D8" s="11" t="n">
        <v>129598</v>
      </c>
      <c r="E8" s="11" t="n">
        <v>1.554507769118515</v>
      </c>
      <c r="F8" s="11" t="n">
        <v>0.7636694685081921</v>
      </c>
      <c r="G8" s="11" t="n">
        <v>3.09723959844883</v>
      </c>
      <c r="H8" s="11" t="n">
        <v>1.535574992747563</v>
      </c>
    </row>
    <row r="9">
      <c r="A9" s="10" t="inlineStr">
        <is>
          <t>0791</t>
        </is>
      </c>
      <c r="B9" s="10" t="inlineStr">
        <is>
          <t>Extração de minério de ferro, inclusive beneficiamentos e a aglomeração</t>
        </is>
      </c>
      <c r="C9" s="11" t="n">
        <v>70975</v>
      </c>
      <c r="D9" s="11" t="n">
        <v>44174</v>
      </c>
      <c r="E9" s="11" t="n">
        <v>1.649662291372439</v>
      </c>
      <c r="F9" s="11" t="n">
        <v>0.8104152004237107</v>
      </c>
      <c r="G9" s="11" t="n">
        <v>1.473943255544971</v>
      </c>
      <c r="H9" s="11" t="n">
        <v>0.7307637436500967</v>
      </c>
    </row>
    <row r="10">
      <c r="A10" s="10" t="inlineStr">
        <is>
          <t>0792</t>
        </is>
      </c>
      <c r="B10" s="10" t="inlineStr">
        <is>
          <t>Extração de minerais metálicos não-ferrosos, inclusive beneficiamentos</t>
        </is>
      </c>
      <c r="C10" s="11" t="n">
        <v>11925</v>
      </c>
      <c r="D10" s="11" t="n">
        <v>2180</v>
      </c>
      <c r="E10" s="11" t="n">
        <v>2.476554794702083</v>
      </c>
      <c r="F10" s="11" t="n">
        <v>1.216635465819512</v>
      </c>
      <c r="G10" s="11" t="n">
        <v>2.644117729986491</v>
      </c>
      <c r="H10" s="11" t="n">
        <v>1.310922495657479</v>
      </c>
    </row>
    <row r="11">
      <c r="A11" s="10" t="inlineStr">
        <is>
          <t>1091</t>
        </is>
      </c>
      <c r="B11" s="10" t="inlineStr">
        <is>
          <t>Abate e produtos de carne, inclusive os produtos do laticínio e da pesca</t>
        </is>
      </c>
      <c r="C11" s="11" t="n">
        <v>235142</v>
      </c>
      <c r="D11" s="11" t="n">
        <v>34403</v>
      </c>
      <c r="E11" s="11" t="n">
        <v>3.276075602144319</v>
      </c>
      <c r="F11" s="11" t="n">
        <v>1.60940907699733</v>
      </c>
      <c r="G11" s="11" t="n">
        <v>1.252696328542356</v>
      </c>
      <c r="H11" s="11" t="n">
        <v>0.6210721174363506</v>
      </c>
    </row>
    <row r="12">
      <c r="A12" s="10" t="inlineStr">
        <is>
          <t>1092</t>
        </is>
      </c>
      <c r="B12" s="10" t="inlineStr">
        <is>
          <t>Fabricação e refino de açúcar</t>
        </is>
      </c>
      <c r="C12" s="11" t="n">
        <v>48692</v>
      </c>
      <c r="D12" s="11" t="n">
        <v>6829</v>
      </c>
      <c r="E12" s="11" t="n">
        <v>2.610865825669804</v>
      </c>
      <c r="F12" s="11" t="n">
        <v>1.282617274126632</v>
      </c>
      <c r="G12" s="11" t="n">
        <v>1.791478564101727</v>
      </c>
      <c r="H12" s="11" t="n">
        <v>0.8881940178136892</v>
      </c>
    </row>
    <row r="13">
      <c r="A13" s="10" t="inlineStr">
        <is>
          <t>1093</t>
        </is>
      </c>
      <c r="B13" s="10" t="inlineStr">
        <is>
          <t>Outros produtos alimentares</t>
        </is>
      </c>
      <c r="C13" s="11" t="n">
        <v>237388</v>
      </c>
      <c r="D13" s="11" t="n">
        <v>46921</v>
      </c>
      <c r="E13" s="11" t="n">
        <v>2.798548189745652</v>
      </c>
      <c r="F13" s="11" t="n">
        <v>1.374818351579875</v>
      </c>
      <c r="G13" s="11" t="n">
        <v>1.503170481511553</v>
      </c>
      <c r="H13" s="11" t="n">
        <v>0.7452542587927232</v>
      </c>
    </row>
    <row r="14">
      <c r="A14" s="10" t="inlineStr">
        <is>
          <t>1100</t>
        </is>
      </c>
      <c r="B14" s="10" t="inlineStr">
        <is>
          <t>Fabricação de bebidas</t>
        </is>
      </c>
      <c r="C14" s="11" t="n">
        <v>71456</v>
      </c>
      <c r="D14" s="11" t="n">
        <v>20923</v>
      </c>
      <c r="E14" s="11" t="n">
        <v>2.226157425902497</v>
      </c>
      <c r="F14" s="11" t="n">
        <v>1.09362493518996</v>
      </c>
      <c r="G14" s="11" t="n">
        <v>1.60311857230989</v>
      </c>
      <c r="H14" s="11" t="n">
        <v>0.7948073475752808</v>
      </c>
    </row>
    <row r="15">
      <c r="A15" s="10" t="inlineStr">
        <is>
          <t>1200</t>
        </is>
      </c>
      <c r="B15" s="10" t="inlineStr">
        <is>
          <t>Fabricação de produtos do fumo</t>
        </is>
      </c>
      <c r="C15" s="11" t="n">
        <v>15786</v>
      </c>
      <c r="D15" s="11" t="n">
        <v>5105</v>
      </c>
      <c r="E15" s="11" t="n">
        <v>2.270232239216306</v>
      </c>
      <c r="F15" s="11" t="n">
        <v>1.115277184169738</v>
      </c>
      <c r="G15" s="11" t="n">
        <v>1.050124909222305</v>
      </c>
      <c r="H15" s="11" t="n">
        <v>0.5206395884485903</v>
      </c>
    </row>
    <row r="16">
      <c r="A16" s="10" t="inlineStr">
        <is>
          <t>1300</t>
        </is>
      </c>
      <c r="B16" s="10" t="inlineStr">
        <is>
          <t>Fabricação de produtos têxteis</t>
        </is>
      </c>
      <c r="C16" s="11" t="n">
        <v>48755</v>
      </c>
      <c r="D16" s="11" t="n">
        <v>15156</v>
      </c>
      <c r="E16" s="11" t="n">
        <v>2.378847803681646</v>
      </c>
      <c r="F16" s="11" t="n">
        <v>1.168635804843599</v>
      </c>
      <c r="G16" s="11" t="n">
        <v>1.952933087255191</v>
      </c>
      <c r="H16" s="11" t="n">
        <v>0.968241272906453</v>
      </c>
    </row>
    <row r="17">
      <c r="A17" s="10" t="inlineStr">
        <is>
          <t>1400</t>
        </is>
      </c>
      <c r="B17" s="10" t="inlineStr">
        <is>
          <t>Confecção de artefatos do vestuário e acessórios</t>
        </is>
      </c>
      <c r="C17" s="11" t="n">
        <v>62341</v>
      </c>
      <c r="D17" s="11" t="n">
        <v>25914</v>
      </c>
      <c r="E17" s="11" t="n">
        <v>2.152882525964486</v>
      </c>
      <c r="F17" s="11" t="n">
        <v>1.057627814427815</v>
      </c>
      <c r="G17" s="11" t="n">
        <v>1.161841165313927</v>
      </c>
      <c r="H17" s="11" t="n">
        <v>0.5760271952787477</v>
      </c>
    </row>
    <row r="18">
      <c r="A18" s="10" t="inlineStr">
        <is>
          <t>1500</t>
        </is>
      </c>
      <c r="B18" s="10" t="inlineStr">
        <is>
          <t>Fabricação de calçados e de artefatos de couro</t>
        </is>
      </c>
      <c r="C18" s="11" t="n">
        <v>41241</v>
      </c>
      <c r="D18" s="11" t="n">
        <v>14042</v>
      </c>
      <c r="E18" s="11" t="n">
        <v>2.77485039817962</v>
      </c>
      <c r="F18" s="11" t="n">
        <v>1.363176544282693</v>
      </c>
      <c r="G18" s="11" t="n">
        <v>1.169695866189958</v>
      </c>
      <c r="H18" s="11" t="n">
        <v>0.5799214636610797</v>
      </c>
    </row>
    <row r="19">
      <c r="A19" s="10" t="inlineStr">
        <is>
          <t>1600</t>
        </is>
      </c>
      <c r="B19" s="10" t="inlineStr">
        <is>
          <t>Fabricação de produtos da madeira</t>
        </is>
      </c>
      <c r="C19" s="11" t="n">
        <v>28694</v>
      </c>
      <c r="D19" s="11" t="n">
        <v>11364</v>
      </c>
      <c r="E19" s="11" t="n">
        <v>2.179392183242737</v>
      </c>
      <c r="F19" s="11" t="n">
        <v>1.070650982459645</v>
      </c>
      <c r="G19" s="11" t="n">
        <v>2.347600887142332</v>
      </c>
      <c r="H19" s="11" t="n">
        <v>1.163912929775658</v>
      </c>
    </row>
    <row r="20">
      <c r="A20" s="10" t="inlineStr">
        <is>
          <t>1700</t>
        </is>
      </c>
      <c r="B20" s="10" t="inlineStr">
        <is>
          <t>Fabricação de celulose, papel e produtos de papel</t>
        </is>
      </c>
      <c r="C20" s="11" t="n">
        <v>72783</v>
      </c>
      <c r="D20" s="11" t="n">
        <v>19316</v>
      </c>
      <c r="E20" s="11" t="n">
        <v>2.90145173332369</v>
      </c>
      <c r="F20" s="11" t="n">
        <v>1.42537087759035</v>
      </c>
      <c r="G20" s="11" t="n">
        <v>2.355297332150407</v>
      </c>
      <c r="H20" s="11" t="n">
        <v>1.167728736758552</v>
      </c>
    </row>
    <row r="21">
      <c r="A21" s="10" t="inlineStr">
        <is>
          <t>1800</t>
        </is>
      </c>
      <c r="B21" s="10" t="inlineStr">
        <is>
          <t>Impressão e reprodução de gravações</t>
        </is>
      </c>
      <c r="C21" s="11" t="n">
        <v>20852</v>
      </c>
      <c r="D21" s="11" t="n">
        <v>9140</v>
      </c>
      <c r="E21" s="11" t="n">
        <v>1.986461576965421</v>
      </c>
      <c r="F21" s="11" t="n">
        <v>0.9758716468514944</v>
      </c>
      <c r="G21" s="11" t="n">
        <v>3.190743582341041</v>
      </c>
      <c r="H21" s="11" t="n">
        <v>1.581933169060129</v>
      </c>
    </row>
    <row r="22">
      <c r="A22" s="10" t="inlineStr">
        <is>
          <t>1991</t>
        </is>
      </c>
      <c r="B22" s="10" t="inlineStr">
        <is>
          <t>Refino de petróleo e coquerias</t>
        </is>
      </c>
      <c r="C22" s="11" t="n">
        <v>364803</v>
      </c>
      <c r="D22" s="11" t="n">
        <v>-16729</v>
      </c>
      <c r="E22" s="11" t="n">
        <v>2.538977156696101</v>
      </c>
      <c r="F22" s="11" t="n">
        <v>1.247301154955327</v>
      </c>
      <c r="G22" s="11" t="n">
        <v>2.785129789752226</v>
      </c>
      <c r="H22" s="11" t="n">
        <v>1.3808346176517</v>
      </c>
    </row>
    <row r="23">
      <c r="A23" s="10" t="inlineStr">
        <is>
          <t>1992</t>
        </is>
      </c>
      <c r="B23" s="10" t="inlineStr">
        <is>
          <t>Fabricação de biocombustíveis</t>
        </is>
      </c>
      <c r="C23" s="11" t="n">
        <v>35434</v>
      </c>
      <c r="D23" s="11" t="n">
        <v>7305</v>
      </c>
      <c r="E23" s="11" t="n">
        <v>2.621597278827501</v>
      </c>
      <c r="F23" s="11" t="n">
        <v>1.287889221486474</v>
      </c>
      <c r="G23" s="11" t="n">
        <v>2.163184458608697</v>
      </c>
      <c r="H23" s="11" t="n">
        <v>1.072481431854123</v>
      </c>
    </row>
    <row r="24">
      <c r="A24" s="10" t="inlineStr">
        <is>
          <t>2091</t>
        </is>
      </c>
      <c r="B24" s="10" t="inlineStr">
        <is>
          <t>Fabricação de químicos orgânicos e inorgânicos, resinas e elastômeros</t>
        </is>
      </c>
      <c r="C24" s="11" t="n">
        <v>135209</v>
      </c>
      <c r="D24" s="11" t="n">
        <v>18734</v>
      </c>
      <c r="E24" s="11" t="n">
        <v>2.326365263187516</v>
      </c>
      <c r="F24" s="11" t="n">
        <v>1.142853165090155</v>
      </c>
      <c r="G24" s="11" t="n">
        <v>3.050273816683485</v>
      </c>
      <c r="H24" s="11" t="n">
        <v>1.512289910111456</v>
      </c>
    </row>
    <row r="25">
      <c r="A25" s="10" t="inlineStr">
        <is>
          <t>2092</t>
        </is>
      </c>
      <c r="B25" s="10" t="inlineStr">
        <is>
          <t>Fabricação de defensivos, desinfestantes, tintas e químicos diversos</t>
        </is>
      </c>
      <c r="C25" s="11" t="n">
        <v>65030</v>
      </c>
      <c r="D25" s="11" t="n">
        <v>14877</v>
      </c>
      <c r="E25" s="11" t="n">
        <v>2.585428946647456</v>
      </c>
      <c r="F25" s="11" t="n">
        <v>1.270121120508487</v>
      </c>
      <c r="G25" s="11" t="n">
        <v>2.759543771904222</v>
      </c>
      <c r="H25" s="11" t="n">
        <v>1.368149370701137</v>
      </c>
    </row>
    <row r="26">
      <c r="A26" s="10" t="inlineStr">
        <is>
          <t>2093</t>
        </is>
      </c>
      <c r="B26" s="10" t="inlineStr">
        <is>
          <t>Fabricação de produtos de limpeza, cosméticos/perfumaria e higiene pessoal</t>
        </is>
      </c>
      <c r="C26" s="11" t="n">
        <v>38909</v>
      </c>
      <c r="D26" s="11" t="n">
        <v>7975</v>
      </c>
      <c r="E26" s="11" t="n">
        <v>2.361787054244667</v>
      </c>
      <c r="F26" s="11" t="n">
        <v>1.160254519324339</v>
      </c>
      <c r="G26" s="11" t="n">
        <v>1.441655659888944</v>
      </c>
      <c r="H26" s="11" t="n">
        <v>0.7147559331822946</v>
      </c>
    </row>
    <row r="27">
      <c r="A27" s="10" t="inlineStr">
        <is>
          <t>2100</t>
        </is>
      </c>
      <c r="B27" s="10" t="inlineStr">
        <is>
          <t>Fabricação de produtos farmoquímicos e farmacêuticos</t>
        </is>
      </c>
      <c r="C27" s="11" t="n">
        <v>56561</v>
      </c>
      <c r="D27" s="11" t="n">
        <v>25412</v>
      </c>
      <c r="E27" s="11" t="n">
        <v>2.502236981551321</v>
      </c>
      <c r="F27" s="11" t="n">
        <v>1.229252129673438</v>
      </c>
      <c r="G27" s="11" t="n">
        <v>1.381528710611989</v>
      </c>
      <c r="H27" s="11" t="n">
        <v>0.6849456983699366</v>
      </c>
    </row>
    <row r="28">
      <c r="A28" s="10" t="inlineStr">
        <is>
          <t>2200</t>
        </is>
      </c>
      <c r="B28" s="10" t="inlineStr">
        <is>
          <t>Fabricação de produtos de borracha e de material plástico</t>
        </is>
      </c>
      <c r="C28" s="11" t="n">
        <v>102769</v>
      </c>
      <c r="D28" s="11" t="n">
        <v>27998</v>
      </c>
      <c r="E28" s="11" t="n">
        <v>2.621508732012928</v>
      </c>
      <c r="F28" s="11" t="n">
        <v>1.287845721865458</v>
      </c>
      <c r="G28" s="11" t="n">
        <v>2.552520770616566</v>
      </c>
      <c r="H28" s="11" t="n">
        <v>1.265509799690847</v>
      </c>
    </row>
    <row r="29">
      <c r="A29" s="10" t="inlineStr">
        <is>
          <t>2300</t>
        </is>
      </c>
      <c r="B29" s="10" t="inlineStr">
        <is>
          <t>Fabricação de produtos de minerais não-metálicos</t>
        </is>
      </c>
      <c r="C29" s="11" t="n">
        <v>94114</v>
      </c>
      <c r="D29" s="11" t="n">
        <v>30994</v>
      </c>
      <c r="E29" s="11" t="n">
        <v>2.481399735565345</v>
      </c>
      <c r="F29" s="11" t="n">
        <v>1.219015597644841</v>
      </c>
      <c r="G29" s="11" t="n">
        <v>2.360221495890955</v>
      </c>
      <c r="H29" s="11" t="n">
        <v>1.170170079270112</v>
      </c>
    </row>
    <row r="30">
      <c r="A30" s="10" t="inlineStr">
        <is>
          <t>2491</t>
        </is>
      </c>
      <c r="B30" s="10" t="inlineStr">
        <is>
          <t>Produção de ferro-gusa/ferroligas, siderurgia e tubos de aço sem costura</t>
        </is>
      </c>
      <c r="C30" s="11" t="n">
        <v>108146</v>
      </c>
      <c r="D30" s="11" t="n">
        <v>30190</v>
      </c>
      <c r="E30" s="11" t="n">
        <v>2.470369095020459</v>
      </c>
      <c r="F30" s="11" t="n">
        <v>1.213596671107732</v>
      </c>
      <c r="G30" s="11" t="n">
        <v>2.460740679587558</v>
      </c>
      <c r="H30" s="11" t="n">
        <v>1.220006309199887</v>
      </c>
    </row>
    <row r="31">
      <c r="A31" s="10" t="inlineStr">
        <is>
          <t>2492</t>
        </is>
      </c>
      <c r="B31" s="10" t="inlineStr">
        <is>
          <t>Metalurgia de metais não-ferrosos e a fundição de metais</t>
        </is>
      </c>
      <c r="C31" s="11" t="n">
        <v>51102</v>
      </c>
      <c r="D31" s="11" t="n">
        <v>10281</v>
      </c>
      <c r="E31" s="11" t="n">
        <v>2.52963118353941</v>
      </c>
      <c r="F31" s="11" t="n">
        <v>1.242709840267135</v>
      </c>
      <c r="G31" s="11" t="n">
        <v>2.495627796747723</v>
      </c>
      <c r="H31" s="11" t="n">
        <v>1.237302931878686</v>
      </c>
    </row>
    <row r="32">
      <c r="A32" s="10" t="inlineStr">
        <is>
          <t>2500</t>
        </is>
      </c>
      <c r="B32" s="10" t="inlineStr">
        <is>
          <t>Fabricação de produtos de metal, exceto máquinas e equipamentos</t>
        </is>
      </c>
      <c r="C32" s="11" t="n">
        <v>95125</v>
      </c>
      <c r="D32" s="11" t="n">
        <v>35496</v>
      </c>
      <c r="E32" s="11" t="n">
        <v>2.50239069612174</v>
      </c>
      <c r="F32" s="11" t="n">
        <v>1.229327643689274</v>
      </c>
      <c r="G32" s="11" t="n">
        <v>2.269032299126023</v>
      </c>
      <c r="H32" s="11" t="n">
        <v>1.124959547210824</v>
      </c>
    </row>
    <row r="33">
      <c r="A33" s="10" t="inlineStr">
        <is>
          <t>2600</t>
        </is>
      </c>
      <c r="B33" s="10" t="inlineStr">
        <is>
          <t>Fabricação de equipamentos de informática, produtos eletrônicos e ópticos</t>
        </is>
      </c>
      <c r="C33" s="11" t="n">
        <v>90532</v>
      </c>
      <c r="D33" s="11" t="n">
        <v>16311</v>
      </c>
      <c r="E33" s="11" t="n">
        <v>2.112353539333796</v>
      </c>
      <c r="F33" s="11" t="n">
        <v>1.03771749278498</v>
      </c>
      <c r="G33" s="11" t="n">
        <v>1.490832607021538</v>
      </c>
      <c r="H33" s="11" t="n">
        <v>0.7391372856208661</v>
      </c>
    </row>
    <row r="34">
      <c r="A34" s="10" t="inlineStr">
        <is>
          <t>2700</t>
        </is>
      </c>
      <c r="B34" s="10" t="inlineStr">
        <is>
          <t>Fabricação de máquinas e equipamentos elétricos</t>
        </is>
      </c>
      <c r="C34" s="11" t="n">
        <v>71474</v>
      </c>
      <c r="D34" s="11" t="n">
        <v>18036</v>
      </c>
      <c r="E34" s="11" t="n">
        <v>2.607594678624248</v>
      </c>
      <c r="F34" s="11" t="n">
        <v>1.281010286258627</v>
      </c>
      <c r="G34" s="11" t="n">
        <v>1.939920965161452</v>
      </c>
      <c r="H34" s="11" t="n">
        <v>0.9617900156967325</v>
      </c>
    </row>
    <row r="35">
      <c r="A35" s="10" t="inlineStr">
        <is>
          <t>2800</t>
        </is>
      </c>
      <c r="B35" s="10" t="inlineStr">
        <is>
          <t>Fabricação de máquinas e equipamentos mecânicos</t>
        </is>
      </c>
      <c r="C35" s="11" t="n">
        <v>135525</v>
      </c>
      <c r="D35" s="11" t="n">
        <v>41801</v>
      </c>
      <c r="E35" s="11" t="n">
        <v>2.73312675494413</v>
      </c>
      <c r="F35" s="11" t="n">
        <v>1.34267933411311</v>
      </c>
      <c r="G35" s="11" t="n">
        <v>1.593787444206605</v>
      </c>
      <c r="H35" s="11" t="n">
        <v>0.7901810839253185</v>
      </c>
    </row>
    <row r="36">
      <c r="A36" s="10" t="inlineStr">
        <is>
          <t>2991</t>
        </is>
      </c>
      <c r="B36" s="10" t="inlineStr">
        <is>
          <t>Fabricação de automóveis, caminhões e ônibus, exceto peças</t>
        </is>
      </c>
      <c r="C36" s="11" t="n">
        <v>172624</v>
      </c>
      <c r="D36" s="11" t="n">
        <v>27371</v>
      </c>
      <c r="E36" s="11" t="n">
        <v>2.266815765698705</v>
      </c>
      <c r="F36" s="11" t="n">
        <v>1.1135988030338</v>
      </c>
      <c r="G36" s="11" t="n">
        <v>1.078008252535305</v>
      </c>
      <c r="H36" s="11" t="n">
        <v>0.5344638223654891</v>
      </c>
    </row>
    <row r="37">
      <c r="A37" s="10" t="inlineStr">
        <is>
          <t>2992</t>
        </is>
      </c>
      <c r="B37" s="10" t="inlineStr">
        <is>
          <t>Fabricação de peças e acessórios para veículos automotores</t>
        </is>
      </c>
      <c r="C37" s="11" t="n">
        <v>80245</v>
      </c>
      <c r="D37" s="11" t="n">
        <v>23138</v>
      </c>
      <c r="E37" s="11" t="n">
        <v>2.127044997147034</v>
      </c>
      <c r="F37" s="11" t="n">
        <v>1.044934837080537</v>
      </c>
      <c r="G37" s="11" t="n">
        <v>2.350301445313509</v>
      </c>
      <c r="H37" s="11" t="n">
        <v>1.165251834778744</v>
      </c>
    </row>
    <row r="38">
      <c r="A38" s="10" t="inlineStr">
        <is>
          <t>3000</t>
        </is>
      </c>
      <c r="B38" s="10" t="inlineStr">
        <is>
          <t>Fabricação de outros equipamentos de transporte, exceto veículos automotores</t>
        </is>
      </c>
      <c r="C38" s="11" t="n">
        <v>48758</v>
      </c>
      <c r="D38" s="11" t="n">
        <v>11968</v>
      </c>
      <c r="E38" s="11" t="n">
        <v>2.188446680764322</v>
      </c>
      <c r="F38" s="11" t="n">
        <v>1.07509910645573</v>
      </c>
      <c r="G38" s="11" t="n">
        <v>1.429444823805349</v>
      </c>
      <c r="H38" s="11" t="n">
        <v>0.7087019441593276</v>
      </c>
    </row>
    <row r="39">
      <c r="A39" s="10" t="inlineStr">
        <is>
          <t>3180</t>
        </is>
      </c>
      <c r="B39" s="10" t="inlineStr">
        <is>
          <t>Fabricação de móveis e de produtos de indústrias diversas</t>
        </is>
      </c>
      <c r="C39" s="11" t="n">
        <v>71259</v>
      </c>
      <c r="D39" s="11" t="n">
        <v>32956</v>
      </c>
      <c r="E39" s="11" t="n">
        <v>2.102157246830302</v>
      </c>
      <c r="F39" s="11" t="n">
        <v>1.032708449130401</v>
      </c>
      <c r="G39" s="11" t="n">
        <v>1.329420253288562</v>
      </c>
      <c r="H39" s="11" t="n">
        <v>0.6591109376311864</v>
      </c>
    </row>
    <row r="40">
      <c r="A40" s="10" t="inlineStr">
        <is>
          <t>3300</t>
        </is>
      </c>
      <c r="B40" s="10" t="inlineStr">
        <is>
          <t>Manutenção, reparação e instalação de máquinas e equipamentos</t>
        </is>
      </c>
      <c r="C40" s="11" t="n">
        <v>59450</v>
      </c>
      <c r="D40" s="11" t="n">
        <v>24149</v>
      </c>
      <c r="E40" s="11" t="n">
        <v>1.875080626623151</v>
      </c>
      <c r="F40" s="11" t="n">
        <v>0.9211544991861272</v>
      </c>
      <c r="G40" s="11" t="n">
        <v>2.82855388654191</v>
      </c>
      <c r="H40" s="11" t="n">
        <v>1.402363774500361</v>
      </c>
    </row>
    <row r="41">
      <c r="A41" s="10" t="inlineStr">
        <is>
          <t>3500</t>
        </is>
      </c>
      <c r="B41" s="10" t="inlineStr">
        <is>
          <t>Energia elétrica, gás natural e outras utilidades</t>
        </is>
      </c>
      <c r="C41" s="11" t="n">
        <v>211363</v>
      </c>
      <c r="D41" s="11" t="n">
        <v>56222</v>
      </c>
      <c r="E41" s="11" t="n">
        <v>2.323205513329394</v>
      </c>
      <c r="F41" s="11" t="n">
        <v>1.14130090234647</v>
      </c>
      <c r="G41" s="11" t="n">
        <v>2.628396714661833</v>
      </c>
      <c r="H41" s="11" t="n">
        <v>1.30312820102001</v>
      </c>
    </row>
    <row r="42">
      <c r="A42" s="10" t="inlineStr">
        <is>
          <t>3680</t>
        </is>
      </c>
      <c r="B42" s="10" t="inlineStr">
        <is>
          <t>Água, esgoto e gestão de resíduos</t>
        </is>
      </c>
      <c r="C42" s="11" t="n">
        <v>60661</v>
      </c>
      <c r="D42" s="11" t="n">
        <v>37753</v>
      </c>
      <c r="E42" s="11" t="n">
        <v>1.605607861671716</v>
      </c>
      <c r="F42" s="11" t="n">
        <v>0.7887729651236841</v>
      </c>
      <c r="G42" s="11" t="n">
        <v>2.141089502468002</v>
      </c>
      <c r="H42" s="11" t="n">
        <v>1.061527012269504</v>
      </c>
    </row>
    <row r="43">
      <c r="A43" s="10" t="inlineStr">
        <is>
          <t>4180</t>
        </is>
      </c>
      <c r="B43" s="10" t="inlineStr">
        <is>
          <t>Construção</t>
        </is>
      </c>
      <c r="C43" s="11" t="n">
        <v>662329</v>
      </c>
      <c r="D43" s="11" t="n">
        <v>306946</v>
      </c>
      <c r="E43" s="11" t="n">
        <v>1.892141672246523</v>
      </c>
      <c r="F43" s="11" t="n">
        <v>0.9295359302102917</v>
      </c>
      <c r="G43" s="11" t="n">
        <v>1.235682169449248</v>
      </c>
      <c r="H43" s="11" t="n">
        <v>0.6126366973160957</v>
      </c>
    </row>
    <row r="44">
      <c r="A44" s="10" t="inlineStr">
        <is>
          <t>4500</t>
        </is>
      </c>
      <c r="B44" s="10" t="inlineStr">
        <is>
          <t>Comércio e reparação de veículos automotores e motocicletas</t>
        </is>
      </c>
      <c r="C44" s="11" t="n">
        <v>149926</v>
      </c>
      <c r="D44" s="11" t="n">
        <v>89526</v>
      </c>
      <c r="E44" s="11" t="n">
        <v>1.606104636142797</v>
      </c>
      <c r="F44" s="11" t="n">
        <v>0.7890170111836876</v>
      </c>
      <c r="G44" s="11" t="n">
        <v>1.66834408070076</v>
      </c>
      <c r="H44" s="11" t="n">
        <v>0.8271453880757411</v>
      </c>
    </row>
    <row r="45">
      <c r="A45" s="10" t="inlineStr">
        <is>
          <t>4680</t>
        </is>
      </c>
      <c r="B45" s="10" t="inlineStr">
        <is>
          <t>Comércio por atacado e a varejo, exceto veículos automotores</t>
        </is>
      </c>
      <c r="C45" s="11" t="n">
        <v>913319</v>
      </c>
      <c r="D45" s="11" t="n">
        <v>587036</v>
      </c>
      <c r="E45" s="11" t="n">
        <v>1.762467688418579</v>
      </c>
      <c r="F45" s="11" t="n">
        <v>0.8658321235928568</v>
      </c>
      <c r="G45" s="11" t="n">
        <v>2.619781182921247</v>
      </c>
      <c r="H45" s="11" t="n">
        <v>1.298856721636661</v>
      </c>
    </row>
    <row r="46">
      <c r="A46" s="10" t="inlineStr">
        <is>
          <t>4900</t>
        </is>
      </c>
      <c r="B46" s="10" t="inlineStr">
        <is>
          <t>Transporte terrestre</t>
        </is>
      </c>
      <c r="C46" s="11" t="n">
        <v>323975</v>
      </c>
      <c r="D46" s="11" t="n">
        <v>148027</v>
      </c>
      <c r="E46" s="11" t="n">
        <v>2.073317756924815</v>
      </c>
      <c r="F46" s="11" t="n">
        <v>1.018540724551797</v>
      </c>
      <c r="G46" s="11" t="n">
        <v>2.663556966370248</v>
      </c>
      <c r="H46" s="11" t="n">
        <v>1.320560240597831</v>
      </c>
    </row>
    <row r="47">
      <c r="A47" s="10" t="inlineStr">
        <is>
          <t>5000</t>
        </is>
      </c>
      <c r="B47" s="10" t="inlineStr">
        <is>
          <t>Transporte aquaviário</t>
        </is>
      </c>
      <c r="C47" s="11" t="n">
        <v>17453</v>
      </c>
      <c r="D47" s="11" t="n">
        <v>7347</v>
      </c>
      <c r="E47" s="11" t="n">
        <v>1.847015809400224</v>
      </c>
      <c r="F47" s="11" t="n">
        <v>0.9073673412971929</v>
      </c>
      <c r="G47" s="11" t="n">
        <v>2.914143932489711</v>
      </c>
      <c r="H47" s="11" t="n">
        <v>1.444798313388274</v>
      </c>
    </row>
    <row r="48">
      <c r="A48" s="10" t="inlineStr">
        <is>
          <t>5100</t>
        </is>
      </c>
      <c r="B48" s="10" t="inlineStr">
        <is>
          <t>Transporte aéreo</t>
        </is>
      </c>
      <c r="C48" s="11" t="n">
        <v>37736</v>
      </c>
      <c r="D48" s="11" t="n">
        <v>9108</v>
      </c>
      <c r="E48" s="11" t="n">
        <v>1.934969896456743</v>
      </c>
      <c r="F48" s="11" t="n">
        <v>0.9505757782377574</v>
      </c>
      <c r="G48" s="11" t="n">
        <v>2.218675026554091</v>
      </c>
      <c r="H48" s="11" t="n">
        <v>1.099993003291148</v>
      </c>
    </row>
    <row r="49">
      <c r="A49" s="10" t="inlineStr">
        <is>
          <t>5280</t>
        </is>
      </c>
      <c r="B49" s="10" t="inlineStr">
        <is>
          <t>Armazenamento, atividades auxiliares dos transportes e correio</t>
        </is>
      </c>
      <c r="C49" s="11" t="n">
        <v>109868</v>
      </c>
      <c r="D49" s="11" t="n">
        <v>63275</v>
      </c>
      <c r="E49" s="11" t="n">
        <v>1.668972584127166</v>
      </c>
      <c r="F49" s="11" t="n">
        <v>0.819901599461203</v>
      </c>
      <c r="G49" s="11" t="n">
        <v>2.553763626159793</v>
      </c>
      <c r="H49" s="11" t="n">
        <v>1.266125992862577</v>
      </c>
    </row>
    <row r="50">
      <c r="A50" s="10" t="inlineStr">
        <is>
          <t>5500</t>
        </is>
      </c>
      <c r="B50" s="10" t="inlineStr">
        <is>
          <t>Alojamento</t>
        </is>
      </c>
      <c r="C50" s="11" t="n">
        <v>24494</v>
      </c>
      <c r="D50" s="11" t="n">
        <v>14435</v>
      </c>
      <c r="E50" s="11" t="n">
        <v>1.626609754902841</v>
      </c>
      <c r="F50" s="11" t="n">
        <v>0.7990903819678427</v>
      </c>
      <c r="G50" s="11" t="n">
        <v>2.084885011143781</v>
      </c>
      <c r="H50" s="11" t="n">
        <v>1.033661486011608</v>
      </c>
    </row>
    <row r="51">
      <c r="A51" s="10" t="inlineStr">
        <is>
          <t>5600</t>
        </is>
      </c>
      <c r="B51" s="10" t="inlineStr">
        <is>
          <t>Alimentação</t>
        </is>
      </c>
      <c r="C51" s="11" t="n">
        <v>219910</v>
      </c>
      <c r="D51" s="11" t="n">
        <v>110497</v>
      </c>
      <c r="E51" s="11" t="n">
        <v>1.776326162677074</v>
      </c>
      <c r="F51" s="11" t="n">
        <v>0.8726402553253345</v>
      </c>
      <c r="G51" s="11" t="n">
        <v>1.228402325023147</v>
      </c>
      <c r="H51" s="11" t="n">
        <v>0.6090274360056659</v>
      </c>
    </row>
    <row r="52">
      <c r="A52" s="10" t="inlineStr">
        <is>
          <t>5800</t>
        </is>
      </c>
      <c r="B52" s="10" t="inlineStr">
        <is>
          <t>Edição e edição integrada à impressão</t>
        </is>
      </c>
      <c r="C52" s="11" t="n">
        <v>22379</v>
      </c>
      <c r="D52" s="11" t="n">
        <v>9194</v>
      </c>
      <c r="E52" s="11" t="n">
        <v>2.606060062711233</v>
      </c>
      <c r="F52" s="11" t="n">
        <v>1.280256388888709</v>
      </c>
      <c r="G52" s="11" t="n">
        <v>1.83702122130989</v>
      </c>
      <c r="H52" s="11" t="n">
        <v>0.9107735320195502</v>
      </c>
    </row>
    <row r="53">
      <c r="A53" s="10" t="inlineStr">
        <is>
          <t>5980</t>
        </is>
      </c>
      <c r="B53" s="10" t="inlineStr">
        <is>
          <t>Atividades de televisão, rádio, cinema e  gravação/edição de som e imagem</t>
        </is>
      </c>
      <c r="C53" s="11" t="n">
        <v>43383</v>
      </c>
      <c r="D53" s="11" t="n">
        <v>19032</v>
      </c>
      <c r="E53" s="11" t="n">
        <v>2.261496550049218</v>
      </c>
      <c r="F53" s="11" t="n">
        <v>1.110985678372334</v>
      </c>
      <c r="G53" s="11" t="n">
        <v>3.664348732234133</v>
      </c>
      <c r="H53" s="11" t="n">
        <v>1.816741036354774</v>
      </c>
    </row>
    <row r="54">
      <c r="A54" s="10" t="inlineStr">
        <is>
          <t>6100</t>
        </is>
      </c>
      <c r="B54" s="10" t="inlineStr">
        <is>
          <t>Telecomunicações</t>
        </is>
      </c>
      <c r="C54" s="11" t="n">
        <v>163015</v>
      </c>
      <c r="D54" s="11" t="n">
        <v>63318</v>
      </c>
      <c r="E54" s="11" t="n">
        <v>2.67507398513861</v>
      </c>
      <c r="F54" s="11" t="n">
        <v>1.314160256406635</v>
      </c>
      <c r="G54" s="11" t="n">
        <v>1.809398903917173</v>
      </c>
      <c r="H54" s="11" t="n">
        <v>0.8970787116862327</v>
      </c>
    </row>
    <row r="55">
      <c r="A55" s="10" t="inlineStr">
        <is>
          <t>6280</t>
        </is>
      </c>
      <c r="B55" s="10" t="inlineStr">
        <is>
          <t>Desenvolvimento de sistemas e outros serviços de informação</t>
        </is>
      </c>
      <c r="C55" s="11" t="n">
        <v>115472</v>
      </c>
      <c r="D55" s="11" t="n">
        <v>77066</v>
      </c>
      <c r="E55" s="11" t="n">
        <v>1.519400861426889</v>
      </c>
      <c r="F55" s="11" t="n">
        <v>0.7464228042776023</v>
      </c>
      <c r="G55" s="11" t="n">
        <v>2.000468777487997</v>
      </c>
      <c r="H55" s="11" t="n">
        <v>0.9918089094629043</v>
      </c>
    </row>
    <row r="56">
      <c r="A56" s="10" t="inlineStr">
        <is>
          <t>6480</t>
        </is>
      </c>
      <c r="B56" s="10" t="inlineStr">
        <is>
          <t>Intermediação financeira, seguros e previdência complementar</t>
        </is>
      </c>
      <c r="C56" s="11" t="n">
        <v>505894</v>
      </c>
      <c r="D56" s="11" t="n">
        <v>318680</v>
      </c>
      <c r="E56" s="11" t="n">
        <v>1.536709436036653</v>
      </c>
      <c r="F56" s="11" t="n">
        <v>0.7549258367071976</v>
      </c>
      <c r="G56" s="11" t="n">
        <v>2.009345995845664</v>
      </c>
      <c r="H56" s="11" t="n">
        <v>0.9962101299955424</v>
      </c>
    </row>
    <row r="57">
      <c r="A57" s="10" t="inlineStr">
        <is>
          <t>6800</t>
        </is>
      </c>
      <c r="B57" s="10" t="inlineStr">
        <is>
          <t>Atividades imobiliárias</t>
        </is>
      </c>
      <c r="C57" s="11" t="n">
        <v>505800</v>
      </c>
      <c r="D57" s="11" t="n">
        <v>463781</v>
      </c>
      <c r="E57" s="11" t="n">
        <v>1.119649308256055</v>
      </c>
      <c r="F57" s="11" t="n">
        <v>0.5500403466213093</v>
      </c>
      <c r="G57" s="11" t="n">
        <v>1.304415931854903</v>
      </c>
      <c r="H57" s="11" t="n">
        <v>0.6467140889264951</v>
      </c>
    </row>
    <row r="58">
      <c r="A58" s="10" t="inlineStr">
        <is>
          <t>6980</t>
        </is>
      </c>
      <c r="B58" s="10" t="inlineStr">
        <is>
          <t>Atividades jurídicas, contábeis, consultoria e sedes de empresas</t>
        </is>
      </c>
      <c r="C58" s="11" t="n">
        <v>174311</v>
      </c>
      <c r="D58" s="11" t="n">
        <v>119287</v>
      </c>
      <c r="E58" s="11" t="n">
        <v>1.536984310708899</v>
      </c>
      <c r="F58" s="11" t="n">
        <v>0.7550608719891245</v>
      </c>
      <c r="G58" s="11" t="n">
        <v>2.844506195178406</v>
      </c>
      <c r="H58" s="11" t="n">
        <v>1.410272741643576</v>
      </c>
    </row>
    <row r="59">
      <c r="A59" s="10" t="inlineStr">
        <is>
          <t>7180</t>
        </is>
      </c>
      <c r="B59" s="10" t="inlineStr">
        <is>
          <t>Serviços de arquitetura, engenharia, testes/análises técnicas e P &amp; D</t>
        </is>
      </c>
      <c r="C59" s="11" t="n">
        <v>72807</v>
      </c>
      <c r="D59" s="11" t="n">
        <v>46499</v>
      </c>
      <c r="E59" s="11" t="n">
        <v>1.502809269854467</v>
      </c>
      <c r="F59" s="11" t="n">
        <v>0.7382719978490173</v>
      </c>
      <c r="G59" s="11" t="n">
        <v>2.452773716731576</v>
      </c>
      <c r="H59" s="11" t="n">
        <v>1.21605638264725</v>
      </c>
    </row>
    <row r="60">
      <c r="A60" s="10" t="inlineStr">
        <is>
          <t>7380</t>
        </is>
      </c>
      <c r="B60" s="10" t="inlineStr">
        <is>
          <t>Outras atividades profissionais, científicas e técnicas</t>
        </is>
      </c>
      <c r="C60" s="11" t="n">
        <v>90927</v>
      </c>
      <c r="D60" s="11" t="n">
        <v>30620</v>
      </c>
      <c r="E60" s="11" t="n">
        <v>2.232859021376961</v>
      </c>
      <c r="F60" s="11" t="n">
        <v>1.096917169526648</v>
      </c>
      <c r="G60" s="11" t="n">
        <v>2.893309177411165</v>
      </c>
      <c r="H60" s="11" t="n">
        <v>1.434468686679814</v>
      </c>
    </row>
    <row r="61">
      <c r="A61" s="10" t="inlineStr">
        <is>
          <t>7700</t>
        </is>
      </c>
      <c r="B61" s="10" t="inlineStr">
        <is>
          <t>Aluguéis não-imobiliários e gestão de ativos de propriedade intelectual</t>
        </is>
      </c>
      <c r="C61" s="11" t="n">
        <v>47146</v>
      </c>
      <c r="D61" s="11" t="n">
        <v>31428</v>
      </c>
      <c r="E61" s="11" t="n">
        <v>1.488328379573668</v>
      </c>
      <c r="F61" s="11" t="n">
        <v>0.7311580972279004</v>
      </c>
      <c r="G61" s="11" t="n">
        <v>2.971893475186759</v>
      </c>
      <c r="H61" s="11" t="n">
        <v>1.473429857958673</v>
      </c>
    </row>
    <row r="62">
      <c r="A62" s="10" t="inlineStr">
        <is>
          <t>7880</t>
        </is>
      </c>
      <c r="B62" s="10" t="inlineStr">
        <is>
          <t>Outras atividades administrativas e serviços complementares</t>
        </is>
      </c>
      <c r="C62" s="11" t="n">
        <v>198781</v>
      </c>
      <c r="D62" s="11" t="n">
        <v>142777</v>
      </c>
      <c r="E62" s="11" t="n">
        <v>1.456494087579271</v>
      </c>
      <c r="F62" s="11" t="n">
        <v>0.7155191423570081</v>
      </c>
      <c r="G62" s="11" t="n">
        <v>2.399484114464575</v>
      </c>
      <c r="H62" s="11" t="n">
        <v>1.189636024126826</v>
      </c>
    </row>
    <row r="63">
      <c r="A63" s="10" t="inlineStr">
        <is>
          <t>8000</t>
        </is>
      </c>
      <c r="B63" s="10" t="inlineStr">
        <is>
          <t>Atividades de vigilância, segurança e investigação</t>
        </is>
      </c>
      <c r="C63" s="11" t="n">
        <v>37700</v>
      </c>
      <c r="D63" s="11" t="n">
        <v>31180</v>
      </c>
      <c r="E63" s="11" t="n">
        <v>1.286541420110877</v>
      </c>
      <c r="F63" s="11" t="n">
        <v>0.6320279782628371</v>
      </c>
      <c r="G63" s="11" t="n">
        <v>2.819044221885514</v>
      </c>
      <c r="H63" s="11" t="n">
        <v>1.397648994525609</v>
      </c>
    </row>
    <row r="64">
      <c r="A64" s="10" t="inlineStr">
        <is>
          <t>8400</t>
        </is>
      </c>
      <c r="B64" s="10" t="inlineStr">
        <is>
          <t>Administração pública, defesa e seguridade social</t>
        </is>
      </c>
      <c r="C64" s="11" t="n">
        <v>675619</v>
      </c>
      <c r="D64" s="11" t="n">
        <v>474773</v>
      </c>
      <c r="E64" s="11" t="n">
        <v>1.436012605560744</v>
      </c>
      <c r="F64" s="11" t="n">
        <v>0.7054573833886256</v>
      </c>
      <c r="G64" s="11" t="n">
        <v>1.065678971685967</v>
      </c>
      <c r="H64" s="11" t="n">
        <v>0.5283511098196833</v>
      </c>
    </row>
    <row r="65">
      <c r="A65" s="10" t="inlineStr">
        <is>
          <t>8591</t>
        </is>
      </c>
      <c r="B65" s="10" t="inlineStr">
        <is>
          <t>Educação pública</t>
        </is>
      </c>
      <c r="C65" s="11" t="n">
        <v>283767</v>
      </c>
      <c r="D65" s="11" t="n">
        <v>231854</v>
      </c>
      <c r="E65" s="11" t="n">
        <v>1.264854751880148</v>
      </c>
      <c r="F65" s="11" t="n">
        <v>0.6213741579793491</v>
      </c>
      <c r="G65" s="11" t="n">
        <v>1.012276081465224</v>
      </c>
      <c r="H65" s="11" t="n">
        <v>0.5018745844632058</v>
      </c>
    </row>
    <row r="66">
      <c r="A66" s="10" t="inlineStr">
        <is>
          <t>8592</t>
        </is>
      </c>
      <c r="B66" s="10" t="inlineStr">
        <is>
          <t>Educação privada</t>
        </is>
      </c>
      <c r="C66" s="11" t="n">
        <v>99725</v>
      </c>
      <c r="D66" s="11" t="n">
        <v>68794</v>
      </c>
      <c r="E66" s="11" t="n">
        <v>1.457250735304538</v>
      </c>
      <c r="F66" s="11" t="n">
        <v>0.7158908540831774</v>
      </c>
      <c r="G66" s="11" t="n">
        <v>1.245805779092386</v>
      </c>
      <c r="H66" s="11" t="n">
        <v>0.6176558639999155</v>
      </c>
    </row>
    <row r="67">
      <c r="A67" s="10" t="inlineStr">
        <is>
          <t>8691</t>
        </is>
      </c>
      <c r="B67" s="10" t="inlineStr">
        <is>
          <t>Saúde pública</t>
        </is>
      </c>
      <c r="C67" s="11" t="n">
        <v>166924</v>
      </c>
      <c r="D67" s="11" t="n">
        <v>110181</v>
      </c>
      <c r="E67" s="11" t="n">
        <v>1.484208298018291</v>
      </c>
      <c r="F67" s="11" t="n">
        <v>0.7291340607102899</v>
      </c>
      <c r="G67" s="11" t="n">
        <v>1.002523888539074</v>
      </c>
      <c r="H67" s="11" t="n">
        <v>0.4970395618226113</v>
      </c>
    </row>
    <row r="68">
      <c r="A68" s="10" t="inlineStr">
        <is>
          <t>8692</t>
        </is>
      </c>
      <c r="B68" s="10" t="inlineStr">
        <is>
          <t>Saúde privada</t>
        </is>
      </c>
      <c r="C68" s="11" t="n">
        <v>202015</v>
      </c>
      <c r="D68" s="11" t="n">
        <v>122447</v>
      </c>
      <c r="E68" s="11" t="n">
        <v>1.487967007859966</v>
      </c>
      <c r="F68" s="11" t="n">
        <v>0.7309805692991125</v>
      </c>
      <c r="G68" s="11" t="n">
        <v>1.105712543552158</v>
      </c>
      <c r="H68" s="11" t="n">
        <v>0.5481992842582617</v>
      </c>
    </row>
    <row r="69">
      <c r="A69" s="10" t="inlineStr">
        <is>
          <t>9080</t>
        </is>
      </c>
      <c r="B69" s="10" t="inlineStr">
        <is>
          <t>Atividades artísticas, criativas e de espetáculos</t>
        </is>
      </c>
      <c r="C69" s="11" t="n">
        <v>35052</v>
      </c>
      <c r="D69" s="11" t="n">
        <v>19749</v>
      </c>
      <c r="E69" s="11" t="n">
        <v>1.64117844714419</v>
      </c>
      <c r="F69" s="11" t="n">
        <v>0.8062474162920386</v>
      </c>
      <c r="G69" s="11" t="n">
        <v>1.433702380675689</v>
      </c>
      <c r="H69" s="11" t="n">
        <v>0.7108127908189045</v>
      </c>
    </row>
    <row r="70">
      <c r="A70" s="10" t="inlineStr">
        <is>
          <t>9480</t>
        </is>
      </c>
      <c r="B70" s="10" t="inlineStr">
        <is>
          <t>Organizações associativas e outros serviços pessoais</t>
        </is>
      </c>
      <c r="C70" s="11" t="n">
        <v>144093</v>
      </c>
      <c r="D70" s="11" t="n">
        <v>71590</v>
      </c>
      <c r="E70" s="11" t="n">
        <v>1.699279829892415</v>
      </c>
      <c r="F70" s="11" t="n">
        <v>0.8347903756547239</v>
      </c>
      <c r="G70" s="11" t="n">
        <v>1.29008068932649</v>
      </c>
      <c r="H70" s="11" t="n">
        <v>0.6396068441551745</v>
      </c>
    </row>
    <row r="71">
      <c r="A71" s="10" t="inlineStr">
        <is>
          <t>9700</t>
        </is>
      </c>
      <c r="B71" s="10" t="inlineStr">
        <is>
          <t>Serviços domésticos</t>
        </is>
      </c>
      <c r="C71" s="11" t="n">
        <v>58164</v>
      </c>
      <c r="D71" s="11" t="n">
        <v>58164</v>
      </c>
      <c r="E71" s="11" t="n">
        <v>1</v>
      </c>
      <c r="F71" s="11" t="n">
        <v>0.4912612749058382</v>
      </c>
      <c r="G71" s="11" t="n">
        <v>1</v>
      </c>
      <c r="H71" s="11" t="n">
        <v>0.4957882475468204</v>
      </c>
    </row>
    <row r="72"/>
    <row r="73"/>
    <row r="74">
      <c r="A74" s="10" t="inlineStr">
        <is>
          <t>Validacion contable y matematica</t>
        </is>
      </c>
    </row>
    <row r="75">
      <c r="A75" s="10" t="inlineStr">
        <is>
          <t>prueba</t>
        </is>
      </c>
      <c r="B75" s="10" t="inlineStr">
        <is>
          <t>resultado</t>
        </is>
      </c>
      <c r="C75" s="10" t="inlineStr">
        <is>
          <t>lectura</t>
        </is>
      </c>
    </row>
    <row r="76">
      <c r="A76" s="10" t="inlineStr">
        <is>
          <t>sectores</t>
        </is>
      </c>
      <c r="B76" s="11" t="n">
        <v>68</v>
      </c>
      <c r="C76" s="10" t="inlineStr">
        <is>
          <t>Cantidad de sectores de la MIP.</t>
        </is>
      </c>
    </row>
    <row r="77">
      <c r="A77" s="10" t="inlineStr">
        <is>
          <t>cuadrada_Z_A_L</t>
        </is>
      </c>
      <c r="B77" s="38" t="b">
        <v>1</v>
      </c>
      <c r="C77" s="10" t="inlineStr">
        <is>
          <t>Z, A y L son matrices cuadradas.</t>
        </is>
      </c>
    </row>
    <row r="78">
      <c r="A78" s="10" t="inlineStr">
        <is>
          <t>max_abs_A_menos_Z_sobre_x</t>
        </is>
      </c>
      <c r="B78" s="11" t="n">
        <v>1.665334536937735e-16</v>
      </c>
      <c r="C78" s="10" t="inlineStr">
        <is>
          <t>Consistencia de coeficientes tecnicos.</t>
        </is>
      </c>
    </row>
    <row r="79">
      <c r="A79" s="10" t="inlineStr">
        <is>
          <t>max_abs_Leontief</t>
        </is>
      </c>
      <c r="B79" s="11" t="n">
        <v>1.554312234475219e-15</v>
      </c>
      <c r="C79" s="10" t="inlineStr">
        <is>
          <t>Residual (I-A)L - I.</t>
        </is>
      </c>
    </row>
    <row r="80">
      <c r="A80" s="10" t="inlineStr">
        <is>
          <t>max_abs_fila_x_menos_Z_menos_y</t>
        </is>
      </c>
      <c r="B80" s="11" t="n">
        <v>694.8371658105752</v>
      </c>
      <c r="C80" s="10" t="inlineStr">
        <is>
          <t>Cierre por filas: x = ventas intermedias + demanda final.</t>
        </is>
      </c>
    </row>
    <row r="81">
      <c r="A81" s="10" t="inlineStr">
        <is>
          <t>max_abs_columna_x_menos_Z_menos_ajuste_menos_v</t>
        </is>
      </c>
      <c r="B81" s="11" t="n">
        <v>706.9999999999563</v>
      </c>
      <c r="C81" s="10" t="inlineStr">
        <is>
          <t>Cierre por columnas con ajuste procesado.</t>
        </is>
      </c>
    </row>
    <row r="82">
      <c r="A82" s="10" t="inlineStr">
        <is>
          <t>max_abs_total_x_menos_Ztotal_menos_ajuste_no_asignado_menos_v</t>
        </is>
      </c>
      <c r="B82" s="11" t="n">
        <v>706.9999999999563</v>
      </c>
      <c r="C82" s="10" t="inlineStr">
        <is>
          <t>Cierre Cuadro 3.</t>
        </is>
      </c>
    </row>
    <row r="83">
      <c r="A83" s="10" t="inlineStr">
        <is>
          <t>sectores_y_negativa</t>
        </is>
      </c>
      <c r="B83" s="11" t="n">
        <v>0</v>
      </c>
      <c r="C83" s="10" t="inlineStr">
        <is>
          <t>Demanda final total negativa.</t>
        </is>
      </c>
    </row>
    <row r="84">
      <c r="A84" s="10" t="inlineStr">
        <is>
          <t>min_y</t>
        </is>
      </c>
      <c r="B84" s="11" t="n">
        <v>425.980176712754</v>
      </c>
      <c r="C84" s="10" t="inlineStr">
        <is>
          <t>Minimo de demanda final total.</t>
        </is>
      </c>
    </row>
    <row r="85">
      <c r="A85" s="10" t="inlineStr">
        <is>
          <t>sectores_va_negativo</t>
        </is>
      </c>
      <c r="B85" s="11" t="n">
        <v>1</v>
      </c>
      <c r="C85" s="10" t="inlineStr">
        <is>
          <t>Valor agregado negativo.</t>
        </is>
      </c>
    </row>
    <row r="86">
      <c r="A86" s="10" t="inlineStr">
        <is>
          <t>min_va</t>
        </is>
      </c>
      <c r="B86" s="11" t="n">
        <v>-16729</v>
      </c>
      <c r="C86" s="10" t="inlineStr">
        <is>
          <t>Minimo de valor agregado.</t>
        </is>
      </c>
    </row>
    <row r="87">
      <c r="A87" s="10" t="inlineStr">
        <is>
          <t>sectores_ajuste_negativo</t>
        </is>
      </c>
      <c r="B87" s="11" t="n">
        <v>20</v>
      </c>
      <c r="C87" s="10" t="inlineStr">
        <is>
          <t>Ajuste intermedio/importado con signo negativo.</t>
        </is>
      </c>
    </row>
    <row r="88">
      <c r="A88" s="10" t="inlineStr">
        <is>
          <t>min_ajuste</t>
        </is>
      </c>
      <c r="B88" s="11" t="n">
        <v>-69598.87814064437</v>
      </c>
      <c r="C88" s="10" t="inlineStr">
        <is>
          <t>Minimo de ajuste intermedio/importado.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</cols>
  <sheetData>
    <row r="1">
      <c r="A1" s="16" t="inlineStr">
        <is>
          <t>Principio</t>
        </is>
      </c>
      <c r="B1" s="16" t="inlineStr">
        <is>
          <t>La matriz no fuerza balances: muestra el cierre y sus diferencias.</t>
        </is>
      </c>
    </row>
    <row r="2">
      <c r="A2" s="10" t="inlineStr">
        <is>
          <t>Diseno</t>
        </is>
      </c>
      <c r="B2" s="10" t="inlineStr">
        <is>
          <t>Estructura inspirada en el anexo MIP de Colombia: cuadros con Z, demanda final, valor agregado y produccion en una misma hoja.</t>
        </is>
      </c>
    </row>
    <row r="3">
      <c r="A3" s="37" t="inlineStr">
        <is>
          <t>Colores</t>
        </is>
      </c>
      <c r="B3" s="37" t="inlineStr">
        <is>
          <t>Paleta CEPAL: azul institucional, celeste y grises tecnicos.</t>
        </is>
      </c>
    </row>
    <row r="4">
      <c r="A4" s="10" t="inlineStr">
        <is>
          <t>Fuente</t>
        </is>
      </c>
      <c r="B4" s="10" t="inlineStr">
        <is>
          <t>COU IBGE nivel 68</t>
        </is>
      </c>
    </row>
    <row r="5">
      <c r="A5" s="10" t="inlineStr">
        <is>
          <t>Ano</t>
        </is>
      </c>
      <c r="B5" s="10" t="inlineStr">
        <is>
          <t>2014</t>
        </is>
      </c>
    </row>
    <row r="6">
      <c r="A6" s="10" t="inlineStr">
        <is>
          <t>Archivo fuente COU/referencia</t>
        </is>
      </c>
      <c r="B6" s="10" t="inlineStr">
        <is>
          <t>data\processed\brasil\cou_brasil_2014.xlsx</t>
        </is>
      </c>
    </row>
    <row r="7">
      <c r="A7" s="10" t="inlineStr">
        <is>
          <t>Ajuste intermedio</t>
        </is>
      </c>
      <c r="B7" s="10" t="inlineStr">
        <is>
          <t>U_importada/ajuste transformado a industrias con D = V * diag(q)^-1.</t>
        </is>
      </c>
    </row>
    <row r="8">
      <c r="A8" s="10" t="inlineStr">
        <is>
          <t>Convencion</t>
        </is>
      </c>
      <c r="B8" s="10" t="inlineStr">
        <is>
          <t>Demanda final se presenta como Gasto de consumo final, Formacion bruta de capital, Exportaciones netas, Sin desglose fuente y Total.</t>
        </is>
      </c>
    </row>
    <row r="9">
      <c r="A9" s="10" t="inlineStr">
        <is>
          <t>Convencion</t>
        </is>
      </c>
      <c r="B9" s="10" t="inlineStr">
        <is>
          <t>Exportaciones netas se calcula como residuo frente al total MIP para evitar ambiguedad de signo en importaciones.</t>
        </is>
      </c>
    </row>
    <row r="10">
      <c r="A10" s="10" t="inlineStr">
        <is>
          <t>Alerta</t>
        </is>
      </c>
      <c r="B10" s="10" t="inlineStr">
        <is>
          <t>Un valor agregado negativo o ajuste negativo se conserva y se marca; no se maquilla.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2026-07-07T00:54:51Z</dcterms:created>
  <dcterms:modified xmlns:dcterms="http://purl.org/dc/terms/" xmlns:xsi="http://www.w3.org/2001/XMLSchema-instance" xsi:type="dcterms:W3CDTF">2026-07-07T00:54:54Z</dcterms:modified>
</cp:coreProperties>
</file>