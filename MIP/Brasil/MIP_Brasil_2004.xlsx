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ce" sheetId="1" state="visible" r:id="rId1"/>
    <sheet xmlns:r="http://schemas.openxmlformats.org/officeDocument/2006/relationships" name="Cuadro 1" sheetId="2" state="visible" r:id="rId2"/>
    <sheet xmlns:r="http://schemas.openxmlformats.org/officeDocument/2006/relationships" name="Cuadro 2" sheetId="3" state="visible" r:id="rId3"/>
    <sheet xmlns:r="http://schemas.openxmlformats.org/officeDocument/2006/relationships" name="Cuadro 3" sheetId="4" state="visible" r:id="rId4"/>
    <sheet xmlns:r="http://schemas.openxmlformats.org/officeDocument/2006/relationships" name="Cuadro 4" sheetId="5" state="visible" r:id="rId5"/>
    <sheet xmlns:r="http://schemas.openxmlformats.org/officeDocument/2006/relationships" name="Nota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;[Red]-#,##0.0000;&quot;-&quot;"/>
    <numFmt numFmtId="165" formatCode="#,##0.0;[Red]-#,##0.0;&quot;-&quot;"/>
  </numFmts>
  <fonts count="15">
    <font>
      <name val="Calibri"/>
      <family val="2"/>
      <color theme="1"/>
      <sz val="11"/>
      <scheme val="minor"/>
    </font>
    <font>
      <name val="Segoe UI"/>
      <color rgb="0017324D"/>
      <sz val="10"/>
    </font>
    <font>
      <name val="Segoe UI"/>
      <b val="1"/>
      <color rgb="00FFFFFF"/>
      <sz val="14"/>
    </font>
    <font>
      <name val="Segoe UI"/>
      <b val="1"/>
      <color rgb="0017324D"/>
      <sz val="12"/>
    </font>
    <font>
      <name val="Segoe UI"/>
      <b val="1"/>
      <color rgb="0017324D"/>
      <sz val="10"/>
    </font>
    <font>
      <name val="Segoe UI"/>
      <b val="1"/>
      <color rgb="00FFFFFF"/>
      <sz val="10"/>
    </font>
    <font>
      <name val="Segoe UI"/>
      <b val="1"/>
      <color rgb="000072BC"/>
      <sz val="10"/>
    </font>
    <font>
      <name val="Segoe UI"/>
      <b val="1"/>
      <color rgb="000072BC"/>
      <sz val="10"/>
      <u val="single"/>
    </font>
    <font>
      <name val="Segoe UI"/>
      <b val="1"/>
      <color rgb="0000558C"/>
      <sz val="9"/>
    </font>
    <font>
      <name val="Segoe UI"/>
      <color rgb="0017324D"/>
      <sz val="9"/>
    </font>
    <font>
      <name val="Segoe UI"/>
      <b val="1"/>
      <color rgb="0017324D"/>
      <sz val="9"/>
    </font>
    <font>
      <name val="Segoe UI"/>
      <color rgb="0017324D"/>
      <sz val="8"/>
    </font>
    <font>
      <name val="Segoe UI"/>
      <color rgb="000072BC"/>
      <sz val="8"/>
      <u val="single"/>
    </font>
    <font>
      <name val="Segoe UI"/>
      <b val="1"/>
      <color rgb="0017324D"/>
      <sz val="7.5"/>
    </font>
    <font>
      <name val="Segoe UI"/>
      <b val="1"/>
      <color rgb="0017324D"/>
      <sz val="8"/>
    </font>
  </fonts>
  <fills count="9">
    <fill>
      <patternFill/>
    </fill>
    <fill>
      <patternFill patternType="gray125"/>
    </fill>
    <fill>
      <patternFill patternType="solid">
        <fgColor rgb="000072BC"/>
      </patternFill>
    </fill>
    <fill>
      <patternFill patternType="solid">
        <fgColor rgb="00F2F2F2"/>
      </patternFill>
    </fill>
    <fill>
      <patternFill patternType="solid">
        <fgColor rgb="0000558C"/>
      </patternFill>
    </fill>
    <fill>
      <patternFill patternType="solid">
        <fgColor rgb="00FAFBFC"/>
      </patternFill>
    </fill>
    <fill>
      <patternFill patternType="solid">
        <fgColor rgb="00EEF3F8"/>
      </patternFill>
    </fill>
    <fill>
      <patternFill patternType="solid">
        <fgColor rgb="00FFF3CD"/>
      </patternFill>
    </fill>
    <fill>
      <patternFill patternType="solid">
        <fgColor rgb="00D4EFDF"/>
      </patternFill>
    </fill>
  </fills>
  <borders count="7">
    <border>
      <left/>
      <right/>
      <top/>
      <bottom/>
      <diagonal/>
    </border>
    <border/>
    <border>
      <bottom style="thin">
        <color rgb="00D7DEE8"/>
      </bottom>
    </border>
    <border>
      <top style="thin">
        <color rgb="00D7DEE8"/>
      </top>
      <bottom style="thin">
        <color rgb="00D7DEE8"/>
      </bottom>
    </border>
    <border>
      <bottom style="hair">
        <color rgb="00E8EDF3"/>
      </bottom>
    </border>
    <border>
      <top style="thin">
        <color rgb="00D7DEE8"/>
      </top>
      <bottom style="hair">
        <color rgb="00E8EDF3"/>
      </bottom>
    </border>
    <border>
      <top style="medium">
        <color rgb="008B96A6"/>
      </top>
      <bottom style="thin">
        <color rgb="00D7DEE8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1" fillId="0" borderId="2" applyAlignment="1" pivotButton="0" quotePrefix="0" xfId="0">
      <alignment vertical="center" wrapText="1"/>
    </xf>
    <xf numFmtId="0" fontId="4" fillId="3" borderId="3" applyAlignment="1" pivotButton="0" quotePrefix="0" xfId="0">
      <alignment vertical="center" wrapText="1"/>
    </xf>
    <xf numFmtId="0" fontId="7" fillId="0" borderId="4" applyAlignment="1" pivotButton="0" quotePrefix="0" xfId="0">
      <alignment vertical="center" wrapText="1"/>
    </xf>
    <xf numFmtId="0" fontId="1" fillId="0" borderId="4" applyAlignment="1" pivotButton="0" quotePrefix="0" xfId="0">
      <alignment vertical="center" wrapText="1"/>
    </xf>
    <xf numFmtId="0" fontId="8" fillId="0" borderId="4" applyAlignment="1" pivotButton="0" quotePrefix="0" xfId="0">
      <alignment vertical="center" wrapText="1"/>
    </xf>
    <xf numFmtId="0" fontId="9" fillId="0" borderId="4" applyAlignment="1" pivotButton="0" quotePrefix="0" xfId="0">
      <alignment vertical="center" wrapText="1"/>
    </xf>
    <xf numFmtId="164" fontId="9" fillId="0" borderId="4" applyAlignment="1" pivotButton="0" quotePrefix="0" xfId="0">
      <alignment vertical="center" wrapText="1"/>
    </xf>
    <xf numFmtId="0" fontId="6" fillId="0" borderId="4" applyAlignment="1" pivotButton="0" quotePrefix="0" xfId="0">
      <alignment vertical="center" wrapText="1"/>
    </xf>
    <xf numFmtId="0" fontId="6" fillId="3" borderId="4" applyAlignment="1" pivotButton="0" quotePrefix="0" xfId="0">
      <alignment vertical="center" wrapText="1"/>
    </xf>
    <xf numFmtId="0" fontId="8" fillId="3" borderId="4" applyAlignment="1" pivotButton="0" quotePrefix="0" xfId="0">
      <alignment vertical="center" wrapText="1"/>
    </xf>
    <xf numFmtId="0" fontId="9" fillId="3" borderId="4" applyAlignment="1" pivotButton="0" quotePrefix="0" xfId="0">
      <alignment vertical="center" wrapText="1"/>
    </xf>
    <xf numFmtId="0" fontId="5" fillId="4" borderId="3" applyAlignment="1" pivotButton="0" quotePrefix="0" xfId="0">
      <alignment vertical="center" wrapText="1"/>
    </xf>
    <xf numFmtId="0" fontId="10" fillId="0" borderId="4" applyAlignment="1" pivotButton="0" quotePrefix="0" xfId="0">
      <alignment vertical="center" wrapText="1"/>
    </xf>
    <xf numFmtId="164" fontId="9" fillId="0" borderId="4" applyAlignment="1" pivotButton="0" quotePrefix="0" xfId="0">
      <alignment horizontal="right" vertical="center"/>
    </xf>
    <xf numFmtId="0" fontId="5" fillId="2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horizontal="center" vertical="center"/>
    </xf>
    <xf numFmtId="0" fontId="13" fillId="3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13" fillId="3" borderId="3" applyAlignment="1" pivotButton="0" quotePrefix="0" xfId="0">
      <alignment horizontal="center" vertical="center" wrapText="1"/>
    </xf>
    <xf numFmtId="0" fontId="0" fillId="0" borderId="2" pivotButton="0" quotePrefix="0" xfId="0"/>
    <xf numFmtId="0" fontId="13" fillId="3" borderId="2" applyAlignment="1" pivotButton="0" quotePrefix="0" xfId="0">
      <alignment horizontal="center" vertical="center" wrapText="1"/>
    </xf>
    <xf numFmtId="165" fontId="11" fillId="5" borderId="4" applyAlignment="1" pivotButton="0" quotePrefix="0" xfId="0">
      <alignment horizontal="right" vertical="center"/>
    </xf>
    <xf numFmtId="0" fontId="11" fillId="5" borderId="4" applyAlignment="1" pivotButton="0" quotePrefix="0" xfId="0">
      <alignment vertical="center"/>
    </xf>
    <xf numFmtId="165" fontId="11" fillId="0" borderId="4" applyAlignment="1" pivotButton="0" quotePrefix="0" xfId="0">
      <alignment horizontal="right" vertical="center"/>
    </xf>
    <xf numFmtId="0" fontId="11" fillId="0" borderId="4" applyAlignment="1" pivotButton="0" quotePrefix="0" xfId="0">
      <alignment vertical="center"/>
    </xf>
    <xf numFmtId="0" fontId="14" fillId="6" borderId="6" applyAlignment="1" pivotButton="0" quotePrefix="0" xfId="0">
      <alignment vertical="center"/>
    </xf>
    <xf numFmtId="165" fontId="14" fillId="6" borderId="6" applyAlignment="1" pivotButton="0" quotePrefix="0" xfId="0">
      <alignment horizontal="right" vertical="center"/>
    </xf>
    <xf numFmtId="0" fontId="14" fillId="7" borderId="6" applyAlignment="1" pivotButton="0" quotePrefix="0" xfId="0">
      <alignment vertical="center"/>
    </xf>
    <xf numFmtId="165" fontId="14" fillId="7" borderId="6" applyAlignment="1" pivotButton="0" quotePrefix="0" xfId="0">
      <alignment horizontal="right" vertical="center"/>
    </xf>
    <xf numFmtId="0" fontId="10" fillId="3" borderId="3" applyAlignment="1" pivotButton="0" quotePrefix="0" xfId="0">
      <alignment vertical="center" wrapText="1"/>
    </xf>
    <xf numFmtId="164" fontId="9" fillId="8" borderId="4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Cuadro 1'!A1" TargetMode="External" Id="rId1"/><Relationship Type="http://schemas.openxmlformats.org/officeDocument/2006/relationships/hyperlink" Target="#'Cuadro 2'!A1" TargetMode="External" Id="rId2"/><Relationship Type="http://schemas.openxmlformats.org/officeDocument/2006/relationships/hyperlink" Target="#'Cuadro 3'!A1" TargetMode="External" Id="rId3"/><Relationship Type="http://schemas.openxmlformats.org/officeDocument/2006/relationships/hyperlink" Target="#'Cuadro 4'!A1" TargetMode="External" Id="rId4"/><Relationship Type="http://schemas.openxmlformats.org/officeDocument/2006/relationships/hyperlink" Target="#'Notas'!A1" TargetMode="External" Id="rId5"/></Relationships>
</file>

<file path=xl/worksheets/_rels/sheet2.xml.rels><Relationships xmlns="http://schemas.openxmlformats.org/package/2006/relationships"><Relationship Type="http://schemas.openxmlformats.org/officeDocument/2006/relationships/hyperlink" Target="#'Indice'!A1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#'Indice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Indice'!A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5"/>
  <sheetViews>
    <sheetView showGridLines="0" zoomScale="85" workbookViewId="0">
      <pane ySplit="21" topLeftCell="A22" activePane="bottomLeft" state="frozen"/>
      <selection pane="bottomLeft" activeCell="A1" sqref="A1"/>
    </sheetView>
  </sheetViews>
  <sheetFormatPr baseColWidth="8" defaultRowHeight="15"/>
  <cols>
    <col width="3" customWidth="1" min="1" max="1"/>
    <col width="28" customWidth="1" min="2" max="2"/>
    <col width="24" customWidth="1" min="3" max="3"/>
    <col width="86" customWidth="1" min="4" max="4"/>
    <col width="4" customWidth="1" min="5" max="5"/>
    <col width="24" customWidth="1" min="6" max="6"/>
    <col width="28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 ht="54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17" customHeight="1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</row>
    <row r="3" ht="18" customHeight="1">
      <c r="A3" s="2" t="inlineStr">
        <is>
          <t>CEPAL | MATRICES INSUMO-PRODUCTO AUDITABLES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</row>
    <row r="4" ht="18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</row>
    <row r="5" ht="18" customHeight="1">
      <c r="A5" s="3" t="inlineStr">
        <is>
          <t>Matriz insumo producto
Brasil 2004</t>
        </is>
      </c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</row>
    <row r="6" ht="18" customHeight="1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</row>
    <row r="7" ht="18" customHeight="1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 ht="17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</row>
    <row r="9" ht="17" customHeight="1">
      <c r="A9" s="1" t="n"/>
      <c r="B9" s="6" t="inlineStr">
        <is>
          <t>Matrices insumo-producto, actividad por actividad</t>
        </is>
      </c>
      <c r="C9" s="1" t="n"/>
      <c r="D9" s="1" t="n"/>
      <c r="E9" s="1" t="n"/>
      <c r="F9" s="6" t="inlineStr">
        <is>
          <t>Ficha tecnica</t>
        </is>
      </c>
      <c r="G9" s="1" t="n"/>
      <c r="H9" s="1" t="n"/>
      <c r="I9" s="1" t="n"/>
      <c r="J9" s="1" t="n"/>
      <c r="K9" s="1" t="n"/>
      <c r="L9" s="1" t="n"/>
      <c r="M9" s="1" t="n"/>
    </row>
    <row r="10" ht="22" customHeight="1">
      <c r="A10" s="1" t="n"/>
      <c r="B10" s="7" t="inlineStr">
        <is>
          <t>Cuadro 1</t>
        </is>
      </c>
      <c r="C10" s="8" t="inlineStr">
        <is>
          <t>Nacional / domestica</t>
        </is>
      </c>
      <c r="D10" s="1" t="n"/>
      <c r="E10" s="1" t="n"/>
      <c r="F10" s="9" t="inlineStr">
        <is>
          <t>Pais</t>
        </is>
      </c>
      <c r="G10" s="10" t="inlineStr">
        <is>
          <t>Brasil</t>
        </is>
      </c>
      <c r="H10" s="1" t="n"/>
      <c r="I10" s="1" t="n"/>
      <c r="J10" s="1" t="n"/>
      <c r="K10" s="1" t="n"/>
      <c r="L10" s="1" t="n"/>
      <c r="M10" s="1" t="n"/>
    </row>
    <row r="11" ht="22" customHeight="1">
      <c r="A11" s="1" t="n"/>
      <c r="B11" s="7" t="inlineStr">
        <is>
          <t>Cuadro 2</t>
        </is>
      </c>
      <c r="C11" s="8" t="inlineStr">
        <is>
          <t>Importada / ajuste intermedio</t>
        </is>
      </c>
      <c r="D11" s="1" t="n"/>
      <c r="E11" s="1" t="n"/>
      <c r="F11" s="9" t="inlineStr">
        <is>
          <t>Ano</t>
        </is>
      </c>
      <c r="G11" s="11" t="n">
        <v>2004</v>
      </c>
      <c r="H11" s="1" t="n"/>
      <c r="I11" s="1" t="n"/>
      <c r="J11" s="1" t="n"/>
      <c r="K11" s="1" t="n"/>
      <c r="L11" s="1" t="n"/>
      <c r="M11" s="1" t="n"/>
    </row>
    <row r="12" ht="22" customHeight="1">
      <c r="A12" s="1" t="n"/>
      <c r="B12" s="7" t="inlineStr">
        <is>
          <t>Cuadro 3</t>
        </is>
      </c>
      <c r="C12" s="8" t="inlineStr">
        <is>
          <t>Nacional e importada - total auditable</t>
        </is>
      </c>
      <c r="D12" s="1" t="n"/>
      <c r="E12" s="1" t="n"/>
      <c r="F12" s="9" t="inlineStr">
        <is>
          <t>Fuente metodologica</t>
        </is>
      </c>
      <c r="G12" s="10" t="inlineStr">
        <is>
          <t>COU CEPAL Brasil base 2000</t>
        </is>
      </c>
      <c r="H12" s="1" t="n"/>
      <c r="I12" s="1" t="n"/>
      <c r="J12" s="1" t="n"/>
      <c r="K12" s="1" t="n"/>
      <c r="L12" s="1" t="n"/>
      <c r="M12" s="1" t="n"/>
    </row>
    <row r="13" ht="17" customHeight="1">
      <c r="A13" s="1" t="n"/>
      <c r="B13" s="12" t="inlineStr"/>
      <c r="C13" s="8" t="inlineStr"/>
      <c r="D13" s="1" t="n"/>
      <c r="E13" s="1" t="n"/>
      <c r="F13" s="9" t="inlineStr">
        <is>
          <t>Tipo</t>
        </is>
      </c>
      <c r="G13" s="10" t="inlineStr">
        <is>
          <t>Reconstruida desde COU</t>
        </is>
      </c>
      <c r="H13" s="1" t="n"/>
      <c r="I13" s="1" t="n"/>
      <c r="J13" s="1" t="n"/>
      <c r="K13" s="1" t="n"/>
      <c r="L13" s="1" t="n"/>
      <c r="M13" s="1" t="n"/>
    </row>
    <row r="14" ht="17" customHeight="1">
      <c r="A14" s="1" t="n"/>
      <c r="B14" s="13" t="inlineStr">
        <is>
          <t>Auditoria, multiplicadores y notas</t>
        </is>
      </c>
      <c r="C14" s="1" t="n"/>
      <c r="D14" s="1" t="n"/>
      <c r="E14" s="1" t="n"/>
      <c r="F14" s="14" t="inlineStr">
        <is>
          <t>Ajuste intermedio</t>
        </is>
      </c>
      <c r="G14" s="15" t="inlineStr">
        <is>
          <t>U_importada/ajuste transformado a industrias con D = V * diag(q)^-1.</t>
        </is>
      </c>
      <c r="H14" s="1" t="n"/>
      <c r="I14" s="1" t="n"/>
      <c r="J14" s="1" t="n"/>
      <c r="K14" s="1" t="n"/>
      <c r="L14" s="1" t="n"/>
      <c r="M14" s="1" t="n"/>
    </row>
    <row r="15" ht="22" customHeight="1">
      <c r="A15" s="1" t="n"/>
      <c r="B15" s="7" t="inlineStr">
        <is>
          <t>Cuadro 4</t>
        </is>
      </c>
      <c r="C15" s="8" t="inlineStr">
        <is>
          <t>Multiplicadores y validaciones</t>
        </is>
      </c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</row>
    <row r="16" ht="22" customHeight="1">
      <c r="A16" s="1" t="n"/>
      <c r="B16" s="7" t="inlineStr">
        <is>
          <t>Notas</t>
        </is>
      </c>
      <c r="C16" s="8" t="inlineStr">
        <is>
          <t>Fuente, convenciones y lectura contable</t>
        </is>
      </c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</row>
    <row r="17" ht="17" customHeight="1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</row>
    <row r="18" ht="17" customHeight="1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</row>
    <row r="19" ht="17" customHeight="1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</row>
    <row r="20" ht="17" customHeight="1">
      <c r="A20" s="16" t="inlineStr">
        <is>
          <t>Validacion contable y matematica</t>
        </is>
      </c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</row>
    <row r="21" ht="17" customHeight="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</row>
    <row r="22" ht="17" customHeight="1">
      <c r="A22" s="1" t="n"/>
      <c r="B22" s="6" t="inlineStr">
        <is>
          <t>prueba</t>
        </is>
      </c>
      <c r="C22" s="6" t="inlineStr">
        <is>
          <t>resultado</t>
        </is>
      </c>
      <c r="D22" s="6" t="inlineStr">
        <is>
          <t>lectura</t>
        </is>
      </c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</row>
    <row r="23" ht="17" customHeight="1">
      <c r="A23" s="1" t="n"/>
      <c r="B23" s="17" t="inlineStr">
        <is>
          <t>sectores</t>
        </is>
      </c>
      <c r="C23" s="18" t="n">
        <v>51</v>
      </c>
      <c r="D23" s="10" t="inlineStr">
        <is>
          <t>Cantidad de sectores de la MIP.</t>
        </is>
      </c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</row>
    <row r="24" ht="17" customHeight="1">
      <c r="A24" s="1" t="n"/>
      <c r="B24" s="17" t="inlineStr">
        <is>
          <t>cuadrada_Z_A_L</t>
        </is>
      </c>
      <c r="C24" s="18" t="b">
        <v>1</v>
      </c>
      <c r="D24" s="10" t="inlineStr">
        <is>
          <t>Z, A y L son matrices cuadradas.</t>
        </is>
      </c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</row>
    <row r="25" ht="17" customHeight="1">
      <c r="A25" s="1" t="n"/>
      <c r="B25" s="17" t="inlineStr">
        <is>
          <t>max_abs_A_menos_Z_sobre_x</t>
        </is>
      </c>
      <c r="C25" s="18" t="n">
        <v>1.110223024625157e-16</v>
      </c>
      <c r="D25" s="10" t="inlineStr">
        <is>
          <t>Consistencia de coeficientes tecnicos.</t>
        </is>
      </c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</row>
    <row r="26" ht="17" customHeight="1">
      <c r="A26" s="1" t="n"/>
      <c r="B26" s="17" t="inlineStr">
        <is>
          <t>max_abs_Leontief</t>
        </is>
      </c>
      <c r="C26" s="18" t="n">
        <v>1.110223024625157e-15</v>
      </c>
      <c r="D26" s="10" t="inlineStr">
        <is>
          <t>Residual (I-A)L - I.</t>
        </is>
      </c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</row>
    <row r="27" ht="17" customHeight="1">
      <c r="A27" s="1" t="n"/>
      <c r="B27" s="17" t="inlineStr">
        <is>
          <t>max_abs_fila_x_menos_Z_menos_y</t>
        </is>
      </c>
      <c r="C27" s="18" t="n">
        <v>603.9112367413763</v>
      </c>
      <c r="D27" s="10" t="inlineStr">
        <is>
          <t>Cierre por filas: x = ventas intermedias + demanda final.</t>
        </is>
      </c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</row>
    <row r="28" ht="17" customHeight="1">
      <c r="A28" s="1" t="n"/>
      <c r="B28" s="17" t="inlineStr">
        <is>
          <t>max_abs_columna_x_menos_Z_menos_ajuste_menos_v</t>
        </is>
      </c>
      <c r="C28" s="18" t="n">
        <v>603.9112367260823</v>
      </c>
      <c r="D28" s="10" t="inlineStr">
        <is>
          <t>Cierre por columnas con ajuste procesado.</t>
        </is>
      </c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</row>
    <row r="29" ht="17" customHeight="1">
      <c r="A29" s="1" t="n"/>
      <c r="B29" s="17" t="inlineStr">
        <is>
          <t>max_abs_total_x_menos_Ztotal_menos_ajuste_no_asignado_menos_v</t>
        </is>
      </c>
      <c r="C29" s="18" t="n">
        <v>603.9112367260823</v>
      </c>
      <c r="D29" s="10" t="inlineStr">
        <is>
          <t>Cierre Cuadro 3.</t>
        </is>
      </c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</row>
    <row r="30" ht="17" customHeight="1">
      <c r="A30" s="1" t="n"/>
      <c r="B30" s="17" t="inlineStr">
        <is>
          <t>sectores_y_negativa</t>
        </is>
      </c>
      <c r="C30" s="18" t="n">
        <v>0</v>
      </c>
      <c r="D30" s="10" t="inlineStr">
        <is>
          <t>Demanda final total negativa.</t>
        </is>
      </c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</row>
    <row r="31" ht="17" customHeight="1">
      <c r="A31" s="1" t="n"/>
      <c r="B31" s="17" t="inlineStr">
        <is>
          <t>min_y</t>
        </is>
      </c>
      <c r="C31" s="18" t="n">
        <v>0</v>
      </c>
      <c r="D31" s="10" t="inlineStr">
        <is>
          <t>Minimo de demanda final total.</t>
        </is>
      </c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</row>
    <row r="32" ht="17" customHeight="1">
      <c r="A32" s="1" t="n"/>
      <c r="B32" s="17" t="inlineStr">
        <is>
          <t>sectores_va_negativo</t>
        </is>
      </c>
      <c r="C32" s="18" t="n">
        <v>0</v>
      </c>
      <c r="D32" s="10" t="inlineStr">
        <is>
          <t>Valor agregado negativo.</t>
        </is>
      </c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</row>
    <row r="33" ht="17" customHeight="1">
      <c r="A33" s="1" t="n"/>
      <c r="B33" s="17" t="inlineStr">
        <is>
          <t>min_va</t>
        </is>
      </c>
      <c r="C33" s="18" t="n">
        <v>1009.95926338168</v>
      </c>
      <c r="D33" s="10" t="inlineStr">
        <is>
          <t>Minimo de valor agregado.</t>
        </is>
      </c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</row>
    <row r="34" ht="17" customHeight="1">
      <c r="A34" s="1" t="n"/>
      <c r="B34" s="17" t="inlineStr">
        <is>
          <t>sectores_ajuste_negativo</t>
        </is>
      </c>
      <c r="C34" s="18" t="n">
        <v>0</v>
      </c>
      <c r="D34" s="10" t="inlineStr">
        <is>
          <t>Ajuste intermedio/importado con signo negativo.</t>
        </is>
      </c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</row>
    <row r="35" ht="17" customHeight="1">
      <c r="A35" s="1" t="n"/>
      <c r="B35" s="17" t="inlineStr">
        <is>
          <t>min_ajuste</t>
        </is>
      </c>
      <c r="C35" s="18" t="n">
        <v>0</v>
      </c>
      <c r="D35" s="10" t="inlineStr">
        <is>
          <t>Minimo de ajuste intermedio/importado.</t>
        </is>
      </c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</row>
  </sheetData>
  <mergeCells count="17">
    <mergeCell ref="C12:D12"/>
    <mergeCell ref="G14:M14"/>
    <mergeCell ref="B14:D14"/>
    <mergeCell ref="A1:M1"/>
    <mergeCell ref="C10:D10"/>
    <mergeCell ref="C16:D16"/>
    <mergeCell ref="C15:D15"/>
    <mergeCell ref="G13:M13"/>
    <mergeCell ref="C11:D11"/>
    <mergeCell ref="F9:M9"/>
    <mergeCell ref="B9:D9"/>
    <mergeCell ref="G12:M12"/>
    <mergeCell ref="A3:M4"/>
    <mergeCell ref="A20:M20"/>
    <mergeCell ref="G10:M10"/>
    <mergeCell ref="G11:M11"/>
    <mergeCell ref="A5:M7"/>
  </mergeCells>
  <hyperlinks>
    <hyperlink xmlns:r="http://schemas.openxmlformats.org/officeDocument/2006/relationships" ref="B10" r:id="rId1"/>
    <hyperlink xmlns:r="http://schemas.openxmlformats.org/officeDocument/2006/relationships" ref="B11" r:id="rId2"/>
    <hyperlink xmlns:r="http://schemas.openxmlformats.org/officeDocument/2006/relationships" ref="B12" r:id="rId3"/>
    <hyperlink xmlns:r="http://schemas.openxmlformats.org/officeDocument/2006/relationships" ref="B15" r:id="rId4"/>
    <hyperlink xmlns:r="http://schemas.openxmlformats.org/officeDocument/2006/relationships" ref="B16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H75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7" customWidth="1" min="1" max="1"/>
    <col width="77.7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</cols>
  <sheetData>
    <row r="1" ht="44" customHeight="1"/>
    <row r="2"/>
    <row r="3" ht="16" customHeight="1">
      <c r="A3" s="19" t="inlineStr">
        <is>
          <t>Matriz insumo producto, actividad por actividad - Nacional</t>
        </is>
      </c>
      <c r="B3" s="19" t="n"/>
      <c r="C3" s="19" t="n"/>
      <c r="D3" s="19" t="n"/>
      <c r="E3" s="19" t="n"/>
      <c r="F3" s="19" t="n"/>
      <c r="G3" s="19" t="n"/>
      <c r="H3" s="19" t="n"/>
      <c r="I3" s="19" t="n"/>
      <c r="J3" s="19" t="n"/>
      <c r="K3" s="19" t="n"/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</row>
    <row r="4" ht="16" customHeight="1"/>
    <row r="5">
      <c r="A5" s="20" t="inlineStr">
        <is>
          <t>Valores a precios corrientes</t>
        </is>
      </c>
    </row>
    <row r="6" ht="16.5" customHeight="1">
      <c r="A6" s="20" t="inlineStr">
        <is>
          <t>Ano 2004</t>
        </is>
      </c>
      <c r="J6" s="21" t="inlineStr">
        <is>
          <t>Indice</t>
        </is>
      </c>
    </row>
    <row r="7">
      <c r="A7" s="20" t="inlineStr">
        <is>
          <t>Base / fuente original</t>
        </is>
      </c>
    </row>
    <row r="8">
      <c r="A8" s="20" t="inlineStr">
        <is>
          <t>Unidades monetarias de la fuente</t>
        </is>
      </c>
    </row>
    <row r="9"/>
    <row r="10" ht="16" customHeight="1">
      <c r="A10" s="22" t="inlineStr">
        <is>
          <t>Codigo</t>
        </is>
      </c>
      <c r="B10" s="22" t="inlineStr">
        <is>
          <t>Actividad economica</t>
        </is>
      </c>
      <c r="C10" s="22" t="inlineStr">
        <is>
          <t>Consumo intermedio por actividades economicas</t>
        </is>
      </c>
      <c r="D10" s="23" t="n"/>
      <c r="E10" s="23" t="n"/>
      <c r="F10" s="23" t="n"/>
      <c r="G10" s="23" t="n"/>
      <c r="H10" s="23" t="n"/>
      <c r="I10" s="23" t="n"/>
      <c r="J10" s="23" t="n"/>
      <c r="K10" s="23" t="n"/>
      <c r="L10" s="23" t="n"/>
      <c r="M10" s="23" t="n"/>
      <c r="N10" s="23" t="n"/>
      <c r="O10" s="23" t="n"/>
      <c r="P10" s="23" t="n"/>
      <c r="Q10" s="23" t="n"/>
      <c r="R10" s="23" t="n"/>
      <c r="S10" s="23" t="n"/>
      <c r="T10" s="23" t="n"/>
      <c r="U10" s="23" t="n"/>
      <c r="V10" s="23" t="n"/>
      <c r="W10" s="23" t="n"/>
      <c r="X10" s="23" t="n"/>
      <c r="Y10" s="23" t="n"/>
      <c r="Z10" s="23" t="n"/>
      <c r="AA10" s="23" t="n"/>
      <c r="AB10" s="23" t="n"/>
      <c r="AC10" s="23" t="n"/>
      <c r="AD10" s="23" t="n"/>
      <c r="AE10" s="23" t="n"/>
      <c r="AF10" s="23" t="n"/>
      <c r="AG10" s="23" t="n"/>
      <c r="AH10" s="23" t="n"/>
      <c r="AI10" s="23" t="n"/>
      <c r="AJ10" s="23" t="n"/>
      <c r="AK10" s="23" t="n"/>
      <c r="AL10" s="23" t="n"/>
      <c r="AM10" s="23" t="n"/>
      <c r="AN10" s="23" t="n"/>
      <c r="AO10" s="23" t="n"/>
      <c r="AP10" s="23" t="n"/>
      <c r="AQ10" s="23" t="n"/>
      <c r="AR10" s="23" t="n"/>
      <c r="AS10" s="23" t="n"/>
      <c r="AT10" s="23" t="n"/>
      <c r="AU10" s="23" t="n"/>
      <c r="AV10" s="23" t="n"/>
      <c r="AW10" s="23" t="n"/>
      <c r="AX10" s="23" t="n"/>
      <c r="AY10" s="23" t="n"/>
      <c r="AZ10" s="23" t="n"/>
      <c r="BA10" s="23" t="n"/>
      <c r="BB10" s="22" t="inlineStr">
        <is>
          <t>Total consumo intermedio</t>
        </is>
      </c>
      <c r="BC10" s="22" t="inlineStr">
        <is>
          <t>Demanda final</t>
        </is>
      </c>
      <c r="BD10" s="23" t="n"/>
      <c r="BE10" s="23" t="n"/>
      <c r="BF10" s="23" t="n"/>
      <c r="BG10" s="22" t="inlineStr">
        <is>
          <t>Total demanda final</t>
        </is>
      </c>
      <c r="BH10" s="22" t="inlineStr">
        <is>
          <t>Total</t>
        </is>
      </c>
    </row>
    <row r="11" ht="15" customHeight="1">
      <c r="C11" s="24" t="n">
        <v>1</v>
      </c>
      <c r="D11" s="24" t="n">
        <v>2</v>
      </c>
      <c r="E11" s="24" t="n">
        <v>3</v>
      </c>
      <c r="F11" s="24" t="n">
        <v>4</v>
      </c>
      <c r="G11" s="24" t="n">
        <v>5</v>
      </c>
      <c r="H11" s="24" t="n">
        <v>6</v>
      </c>
      <c r="I11" s="24" t="n">
        <v>7</v>
      </c>
      <c r="J11" s="24" t="n">
        <v>8</v>
      </c>
      <c r="K11" s="24" t="n">
        <v>9</v>
      </c>
      <c r="L11" s="24" t="n">
        <v>10</v>
      </c>
      <c r="M11" s="24" t="inlineStr">
        <is>
          <t>Produtos de madeira</t>
        </is>
      </c>
      <c r="N11" s="24" t="n">
        <v>12</v>
      </c>
      <c r="O11" s="24" t="n">
        <v>13</v>
      </c>
      <c r="P11" s="24" t="n">
        <v>14</v>
      </c>
      <c r="Q11" s="24" t="n">
        <v>15</v>
      </c>
      <c r="R11" s="24" t="n">
        <v>16</v>
      </c>
      <c r="S11" s="24" t="n">
        <v>17</v>
      </c>
      <c r="T11" s="24" t="n">
        <v>18</v>
      </c>
      <c r="U11" s="24" t="n">
        <v>19</v>
      </c>
      <c r="V11" s="24" t="n">
        <v>20</v>
      </c>
      <c r="W11" s="24" t="n">
        <v>21</v>
      </c>
      <c r="X11" s="24" t="n">
        <v>22</v>
      </c>
      <c r="Y11" s="24" t="n">
        <v>23</v>
      </c>
      <c r="Z11" s="24" t="n">
        <v>24</v>
      </c>
      <c r="AA11" s="24" t="n">
        <v>25</v>
      </c>
      <c r="AB11" s="24" t="n">
        <v>26</v>
      </c>
      <c r="AC11" s="24" t="inlineStr">
        <is>
          <t>Produtos de metal</t>
        </is>
      </c>
      <c r="AD11" s="24" t="n">
        <v>28</v>
      </c>
      <c r="AE11" s="24" t="n">
        <v>29</v>
      </c>
      <c r="AF11" s="24" t="n">
        <v>30</v>
      </c>
      <c r="AG11" s="24" t="n">
        <v>31</v>
      </c>
      <c r="AH11" s="24" t="n">
        <v>32</v>
      </c>
      <c r="AI11" s="24" t="n">
        <v>33</v>
      </c>
      <c r="AJ11" s="24" t="n">
        <v>34</v>
      </c>
      <c r="AK11" s="24" t="n">
        <v>35</v>
      </c>
      <c r="AL11" s="24" t="n">
        <v>36</v>
      </c>
      <c r="AM11" s="24" t="n">
        <v>37</v>
      </c>
      <c r="AN11" s="24" t="n">
        <v>38</v>
      </c>
      <c r="AO11" s="24" t="n">
        <v>39</v>
      </c>
      <c r="AP11" s="24" t="n">
        <v>40</v>
      </c>
      <c r="AQ11" s="24" t="n">
        <v>41</v>
      </c>
      <c r="AR11" s="24" t="n">
        <v>42</v>
      </c>
      <c r="AS11" s="24" t="n">
        <v>43</v>
      </c>
      <c r="AT11" s="24" t="n">
        <v>44</v>
      </c>
      <c r="AU11" s="24" t="n">
        <v>45</v>
      </c>
      <c r="AV11" s="24" t="n">
        <v>46</v>
      </c>
      <c r="AW11" s="24" t="n">
        <v>47</v>
      </c>
      <c r="AX11" s="24" t="n">
        <v>48</v>
      </c>
      <c r="AY11" s="24" t="n">
        <v>49</v>
      </c>
      <c r="AZ11" s="24" t="n">
        <v>50</v>
      </c>
      <c r="BA11" s="24" t="n">
        <v>51</v>
      </c>
      <c r="BC11" s="24" t="inlineStr"/>
      <c r="BD11" s="24" t="inlineStr"/>
      <c r="BE11" s="24" t="inlineStr"/>
      <c r="BF11" s="24" t="inlineStr"/>
    </row>
    <row r="12" ht="90" customHeight="1">
      <c r="A12" s="25" t="n"/>
      <c r="B12" s="25" t="n"/>
      <c r="C12" s="26" t="inlineStr">
        <is>
          <t>Agricultura silvicultura exploração florestal</t>
        </is>
      </c>
      <c r="D12" s="26" t="inlineStr">
        <is>
          <t>Pecuária e pesca</t>
        </is>
      </c>
      <c r="E12" s="26" t="inlineStr">
        <is>
          <t>Petróleo e gás natural</t>
        </is>
      </c>
      <c r="F12" s="26" t="inlineStr">
        <is>
          <t>Minério de ferro</t>
        </is>
      </c>
      <c r="G12" s="26" t="inlineStr">
        <is>
          <t>Outros da indústria extrativa</t>
        </is>
      </c>
      <c r="H12" s="26" t="inlineStr">
        <is>
          <t>Alimentos e Bebidas</t>
        </is>
      </c>
      <c r="I12" s="26" t="inlineStr">
        <is>
          <t>Produtos do fumo</t>
        </is>
      </c>
      <c r="J12" s="26" t="inlineStr">
        <is>
          <t>Têxteis</t>
        </is>
      </c>
      <c r="K12" s="26" t="inlineStr">
        <is>
          <t>Artigos do vestuário e acessórios</t>
        </is>
      </c>
      <c r="L12" s="26" t="inlineStr">
        <is>
          <t>Artefatos de couro e calçados</t>
        </is>
      </c>
      <c r="M12" s="26" t="inlineStr">
        <is>
          <t>exclusive móveis</t>
        </is>
      </c>
      <c r="N12" s="26" t="inlineStr">
        <is>
          <t>Celulose e produtos de papel</t>
        </is>
      </c>
      <c r="O12" s="26" t="inlineStr">
        <is>
          <t>Jornais revistas discos</t>
        </is>
      </c>
      <c r="P12" s="26" t="inlineStr">
        <is>
          <t>Refino de petróleo e coque</t>
        </is>
      </c>
      <c r="Q12" s="26" t="inlineStr">
        <is>
          <t>Álcool</t>
        </is>
      </c>
      <c r="R12" s="26" t="inlineStr">
        <is>
          <t>Produtos  químicos</t>
        </is>
      </c>
      <c r="S12" s="26" t="inlineStr">
        <is>
          <t>Fabricação de resina e elastômeros</t>
        </is>
      </c>
      <c r="T12" s="26" t="inlineStr">
        <is>
          <t>Produtos farmacêuticos</t>
        </is>
      </c>
      <c r="U12" s="26" t="inlineStr">
        <is>
          <t>Defensivos agrícolas</t>
        </is>
      </c>
      <c r="V12" s="26" t="inlineStr">
        <is>
          <t>Perfumaria higiene e limpeza</t>
        </is>
      </c>
      <c r="W12" s="26" t="inlineStr">
        <is>
          <t>Tintas vernizes esmaltes e lacas</t>
        </is>
      </c>
      <c r="X12" s="26" t="inlineStr">
        <is>
          <t>Produtos e preparados químicos diversos</t>
        </is>
      </c>
      <c r="Y12" s="26" t="inlineStr">
        <is>
          <t>Artigos de borracha e plástico</t>
        </is>
      </c>
      <c r="Z12" s="26" t="inlineStr">
        <is>
          <t>Cimento e outros produtos de minerais não-metálicos</t>
        </is>
      </c>
      <c r="AA12" s="26" t="inlineStr">
        <is>
          <t>Fabricação de aço e derivados</t>
        </is>
      </c>
      <c r="AB12" s="26" t="inlineStr">
        <is>
          <t>Metalurgia de metais não-ferrosos</t>
        </is>
      </c>
      <c r="AC12" s="26" t="inlineStr">
        <is>
          <t>exclusive máquinas e equipamentos</t>
        </is>
      </c>
      <c r="AD12" s="26" t="inlineStr">
        <is>
          <t>Máquinas e equipamentos inclusive manutenção e reparos</t>
        </is>
      </c>
      <c r="AE12" s="26" t="inlineStr">
        <is>
          <t>Eletrodomésticos e material eletronico</t>
        </is>
      </c>
      <c r="AF12" s="26" t="inlineStr">
        <is>
          <t>Máquinas para escritório aparelhos e e material eletronico</t>
        </is>
      </c>
      <c r="AG12" s="26" t="inlineStr">
        <is>
          <t>Automóveis camionetas caminhões e ônibus</t>
        </is>
      </c>
      <c r="AH12" s="26" t="inlineStr">
        <is>
          <t>Peças e acessórios para veículos automotores</t>
        </is>
      </c>
      <c r="AI12" s="26" t="inlineStr">
        <is>
          <t>Outros equipamentos de transporte</t>
        </is>
      </c>
      <c r="AJ12" s="26" t="inlineStr">
        <is>
          <t>Móveis e produtos das indústrias diversas</t>
        </is>
      </c>
      <c r="AK12" s="26" t="inlineStr">
        <is>
          <t>Produção e distribuição de eletricidade gás água esgoto e limpeza urbana</t>
        </is>
      </c>
      <c r="AL12" s="26" t="inlineStr">
        <is>
          <t>Construção civil</t>
        </is>
      </c>
      <c r="AM12" s="26" t="inlineStr">
        <is>
          <t>Comércio</t>
        </is>
      </c>
      <c r="AN12" s="26" t="inlineStr">
        <is>
          <t>Transporte armazenagem e correio</t>
        </is>
      </c>
      <c r="AO12" s="26" t="inlineStr">
        <is>
          <t>Serviços de informação</t>
        </is>
      </c>
      <c r="AP12" s="26" t="inlineStr">
        <is>
          <t>Intermediação financeira seguros e previdência complementar e serviços relacionados</t>
        </is>
      </c>
      <c r="AQ12" s="26" t="inlineStr">
        <is>
          <t>Atividades imobiliárias e aluguéis</t>
        </is>
      </c>
      <c r="AR12" s="26" t="inlineStr">
        <is>
          <t>Serviços de manutenção e reparação</t>
        </is>
      </c>
      <c r="AS12" s="26" t="inlineStr">
        <is>
          <t>Serviços de alojamento e alimentação</t>
        </is>
      </c>
      <c r="AT12" s="26" t="inlineStr">
        <is>
          <t>Serviços prestados às empresas</t>
        </is>
      </c>
      <c r="AU12" s="26" t="inlineStr">
        <is>
          <t>Educação mercantil</t>
        </is>
      </c>
      <c r="AV12" s="26" t="inlineStr">
        <is>
          <t>Saúde mercantil</t>
        </is>
      </c>
      <c r="AW12" s="26" t="inlineStr">
        <is>
          <t>Serviços prestados às famílias e associativas</t>
        </is>
      </c>
      <c r="AX12" s="26" t="inlineStr">
        <is>
          <t>Serviços domésticos</t>
        </is>
      </c>
      <c r="AY12" s="26" t="inlineStr">
        <is>
          <t>Educação pública</t>
        </is>
      </c>
      <c r="AZ12" s="26" t="inlineStr">
        <is>
          <t>Saúde pública</t>
        </is>
      </c>
      <c r="BA12" s="26" t="inlineStr">
        <is>
          <t>Administração pública e seguridade social</t>
        </is>
      </c>
      <c r="BB12" s="25" t="n"/>
      <c r="BC12" s="26" t="inlineStr">
        <is>
          <t>Gasto de consumo final</t>
        </is>
      </c>
      <c r="BD12" s="26" t="inlineStr">
        <is>
          <t>Formacion bruta de capital</t>
        </is>
      </c>
      <c r="BE12" s="26" t="inlineStr">
        <is>
          <t>Exportaciones netas</t>
        </is>
      </c>
      <c r="BF12" s="26" t="inlineStr">
        <is>
          <t>Sin desglose fuente</t>
        </is>
      </c>
      <c r="BG12" s="25" t="n"/>
      <c r="BH12" s="25" t="n"/>
    </row>
    <row r="13"/>
    <row r="14">
      <c r="A14" s="27" t="n">
        <v>1</v>
      </c>
      <c r="B14" s="28" t="inlineStr">
        <is>
          <t>Agricultura silvicultura exploração florestal</t>
        </is>
      </c>
      <c r="C14" s="27" t="n">
        <v>4706.366026714844</v>
      </c>
      <c r="D14" s="27" t="n">
        <v>3369.817170419932</v>
      </c>
      <c r="E14" s="27" t="n">
        <v>20.17723755373317</v>
      </c>
      <c r="F14" s="27" t="n">
        <v>4.389959864971007</v>
      </c>
      <c r="G14" s="27" t="n">
        <v>3.17401258563725</v>
      </c>
      <c r="H14" s="27" t="n">
        <v>52470.78027945758</v>
      </c>
      <c r="I14" s="27" t="n">
        <v>4326.724577198625</v>
      </c>
      <c r="J14" s="27" t="n">
        <v>3866.284833901173</v>
      </c>
      <c r="K14" s="27" t="n">
        <v>137.610361521662</v>
      </c>
      <c r="L14" s="27" t="n">
        <v>22.80374569840198</v>
      </c>
      <c r="M14" s="27" t="n">
        <v>1466.718104609389</v>
      </c>
      <c r="N14" s="27" t="n">
        <v>918.1393448706664</v>
      </c>
      <c r="O14" s="27" t="n">
        <v>0.611632049599742</v>
      </c>
      <c r="P14" s="27" t="n">
        <v>0.9633401736317373</v>
      </c>
      <c r="Q14" s="27" t="n">
        <v>4171.60483091429</v>
      </c>
      <c r="R14" s="27" t="n">
        <v>154.470321580491</v>
      </c>
      <c r="S14" s="27" t="n">
        <v>210.742098726875</v>
      </c>
      <c r="T14" s="27" t="n">
        <v>21.09926964175195</v>
      </c>
      <c r="U14" s="27" t="n">
        <v>58.74933953617534</v>
      </c>
      <c r="V14" s="27" t="n">
        <v>45.25871987297965</v>
      </c>
      <c r="W14" s="27" t="n">
        <v>30.00555506379371</v>
      </c>
      <c r="X14" s="27" t="n">
        <v>54.89455997223697</v>
      </c>
      <c r="Y14" s="27" t="n">
        <v>475.6904967698298</v>
      </c>
      <c r="Z14" s="27" t="n">
        <v>25.99463774963102</v>
      </c>
      <c r="AA14" s="27" t="n">
        <v>243.0664609087227</v>
      </c>
      <c r="AB14" s="27" t="n">
        <v>6.166945941528297</v>
      </c>
      <c r="AC14" s="27" t="n">
        <v>8.487836709941096</v>
      </c>
      <c r="AD14" s="27" t="n">
        <v>0.3794513697192526</v>
      </c>
      <c r="AE14" s="27" t="n">
        <v>1.437492591185651</v>
      </c>
      <c r="AF14" s="27" t="n">
        <v>1.643732025958091</v>
      </c>
      <c r="AG14" s="27" t="n">
        <v>0.7357821331507164</v>
      </c>
      <c r="AH14" s="27" t="n">
        <v>0.1665510124902146</v>
      </c>
      <c r="AI14" s="27" t="n">
        <v>0.4127476183712299</v>
      </c>
      <c r="AJ14" s="27" t="n">
        <v>7.16586490336024</v>
      </c>
      <c r="AK14" s="27" t="n">
        <v>16.99313329562957</v>
      </c>
      <c r="AL14" s="27" t="n">
        <v>202.7794164789998</v>
      </c>
      <c r="AM14" s="27" t="n">
        <v>4132.058265768617</v>
      </c>
      <c r="AN14" s="27" t="n">
        <v>2.386918391581272</v>
      </c>
      <c r="AO14" s="27" t="n">
        <v>9.095413226598648</v>
      </c>
      <c r="AP14" s="27" t="n">
        <v>2.182499152484187</v>
      </c>
      <c r="AQ14" s="27" t="n">
        <v>2.605161877182821</v>
      </c>
      <c r="AR14" s="27" t="n">
        <v>0.01369966102861395</v>
      </c>
      <c r="AS14" s="27" t="n">
        <v>1287.849858273533</v>
      </c>
      <c r="AT14" s="27" t="n">
        <v>14.8857011980543</v>
      </c>
      <c r="AU14" s="27" t="n">
        <v>19.0405561352554</v>
      </c>
      <c r="AV14" s="27" t="n">
        <v>69.83035177622234</v>
      </c>
      <c r="AW14" s="27" t="n">
        <v>90.70933785988223</v>
      </c>
      <c r="AX14" s="27" t="n">
        <v>0</v>
      </c>
      <c r="AY14" s="27" t="n">
        <v>185.227237696773</v>
      </c>
      <c r="AZ14" s="27" t="n">
        <v>60.37064803999831</v>
      </c>
      <c r="BA14" s="27" t="n">
        <v>580.5053027508125</v>
      </c>
      <c r="BB14" s="27">
        <f>SUM(C14:BA14)</f>
        <v/>
      </c>
      <c r="BC14" s="27" t="n">
        <v>0</v>
      </c>
      <c r="BD14" s="27" t="n">
        <v>0</v>
      </c>
      <c r="BE14" s="27" t="n">
        <v>51152.99837800397</v>
      </c>
      <c r="BF14" s="27" t="n">
        <v>0</v>
      </c>
      <c r="BG14" s="27">
        <f>SUM(BC14:BF14)</f>
        <v/>
      </c>
      <c r="BH14" s="27">
        <f>BB14+BG14</f>
        <v/>
      </c>
    </row>
    <row r="15">
      <c r="A15" s="29" t="n">
        <v>2</v>
      </c>
      <c r="B15" s="30" t="inlineStr">
        <is>
          <t>Pecuária e pesca</t>
        </is>
      </c>
      <c r="C15" s="29" t="n">
        <v>411.7027134515893</v>
      </c>
      <c r="D15" s="29" t="n">
        <v>2231.934972016749</v>
      </c>
      <c r="E15" s="29" t="n">
        <v>8.476635078590171</v>
      </c>
      <c r="F15" s="29" t="n">
        <v>2.632615761636719</v>
      </c>
      <c r="G15" s="29" t="n">
        <v>3.058254160693424</v>
      </c>
      <c r="H15" s="29" t="n">
        <v>32775.41573738709</v>
      </c>
      <c r="I15" s="29" t="n">
        <v>153.2436320916966</v>
      </c>
      <c r="J15" s="29" t="n">
        <v>82.16246876289497</v>
      </c>
      <c r="K15" s="29" t="n">
        <v>44.09484090355888</v>
      </c>
      <c r="L15" s="29" t="n">
        <v>5.94025826817585</v>
      </c>
      <c r="M15" s="29" t="n">
        <v>82.81675236059949</v>
      </c>
      <c r="N15" s="29" t="n">
        <v>51.39138070976495</v>
      </c>
      <c r="O15" s="29" t="n">
        <v>0.04896798848030159</v>
      </c>
      <c r="P15" s="29" t="n">
        <v>0.04051816159666987</v>
      </c>
      <c r="Q15" s="29" t="n">
        <v>33.63215324478962</v>
      </c>
      <c r="R15" s="29" t="n">
        <v>27.87470769994109</v>
      </c>
      <c r="S15" s="29" t="n">
        <v>5.406139636062388</v>
      </c>
      <c r="T15" s="29" t="n">
        <v>1.299967103389153</v>
      </c>
      <c r="U15" s="29" t="n">
        <v>1.601102943757619</v>
      </c>
      <c r="V15" s="29" t="n">
        <v>2.462721402896445</v>
      </c>
      <c r="W15" s="29" t="n">
        <v>1.261320355829024</v>
      </c>
      <c r="X15" s="29" t="n">
        <v>1.365754218211526</v>
      </c>
      <c r="Y15" s="29" t="n">
        <v>26.45679192323282</v>
      </c>
      <c r="Z15" s="29" t="n">
        <v>27.03343021078826</v>
      </c>
      <c r="AA15" s="29" t="n">
        <v>17.28407735679682</v>
      </c>
      <c r="AB15" s="29" t="n">
        <v>4.850738490802515</v>
      </c>
      <c r="AC15" s="29" t="n">
        <v>0.5903789133641919</v>
      </c>
      <c r="AD15" s="29" t="n">
        <v>0.1949746796115703</v>
      </c>
      <c r="AE15" s="29" t="n">
        <v>0.337135549424543</v>
      </c>
      <c r="AF15" s="29" t="n">
        <v>0.2431888179479091</v>
      </c>
      <c r="AG15" s="29" t="n">
        <v>0.5696943104481923</v>
      </c>
      <c r="AH15" s="29" t="n">
        <v>0.2825448323495178</v>
      </c>
      <c r="AI15" s="29" t="n">
        <v>0.5360809178110933</v>
      </c>
      <c r="AJ15" s="29" t="n">
        <v>0.9714389887936468</v>
      </c>
      <c r="AK15" s="29" t="n">
        <v>13.39612759344343</v>
      </c>
      <c r="AL15" s="29" t="n">
        <v>155.2459222866316</v>
      </c>
      <c r="AM15" s="29" t="n">
        <v>134.7159874259039</v>
      </c>
      <c r="AN15" s="29" t="n">
        <v>3.392956264275617</v>
      </c>
      <c r="AO15" s="29" t="n">
        <v>12.60843463244102</v>
      </c>
      <c r="AP15" s="29" t="n">
        <v>2.202270145144998</v>
      </c>
      <c r="AQ15" s="29" t="n">
        <v>4.489702755820806</v>
      </c>
      <c r="AR15" s="29" t="n">
        <v>0.001767196532241819</v>
      </c>
      <c r="AS15" s="29" t="n">
        <v>636.126415251459</v>
      </c>
      <c r="AT15" s="29" t="n">
        <v>5.081148595016578</v>
      </c>
      <c r="AU15" s="29" t="n">
        <v>9.64413167147079</v>
      </c>
      <c r="AV15" s="29" t="n">
        <v>54.19516693948391</v>
      </c>
      <c r="AW15" s="29" t="n">
        <v>14.73988912101772</v>
      </c>
      <c r="AX15" s="29" t="n">
        <v>0</v>
      </c>
      <c r="AY15" s="29" t="n">
        <v>79.72400233877393</v>
      </c>
      <c r="AZ15" s="29" t="n">
        <v>29.96585312001645</v>
      </c>
      <c r="BA15" s="29" t="n">
        <v>133.9205477242397</v>
      </c>
      <c r="BB15" s="29">
        <f>SUM(C15:BA15)</f>
        <v/>
      </c>
      <c r="BC15" s="29" t="n">
        <v>0</v>
      </c>
      <c r="BD15" s="29" t="n">
        <v>0</v>
      </c>
      <c r="BE15" s="29" t="n">
        <v>19971.2007352176</v>
      </c>
      <c r="BF15" s="29" t="n">
        <v>0</v>
      </c>
      <c r="BG15" s="29">
        <f>SUM(BC15:BF15)</f>
        <v/>
      </c>
      <c r="BH15" s="29">
        <f>BB15+BG15</f>
        <v/>
      </c>
    </row>
    <row r="16">
      <c r="A16" s="27" t="n">
        <v>3</v>
      </c>
      <c r="B16" s="28" t="inlineStr">
        <is>
          <t>Petróleo e gás natural</t>
        </is>
      </c>
      <c r="C16" s="27" t="n">
        <v>38.41877571351658</v>
      </c>
      <c r="D16" s="27" t="n">
        <v>50.77336354807196</v>
      </c>
      <c r="E16" s="27" t="n">
        <v>2961.820137980147</v>
      </c>
      <c r="F16" s="27" t="n">
        <v>78.15770766668456</v>
      </c>
      <c r="G16" s="27" t="n">
        <v>9.30198025203638</v>
      </c>
      <c r="H16" s="27" t="n">
        <v>318.1545513414927</v>
      </c>
      <c r="I16" s="27" t="n">
        <v>0.6667963291313401</v>
      </c>
      <c r="J16" s="27" t="n">
        <v>93.05478174925102</v>
      </c>
      <c r="K16" s="27" t="n">
        <v>0.717868059048369</v>
      </c>
      <c r="L16" s="27" t="n">
        <v>0.2261660360163386</v>
      </c>
      <c r="M16" s="27" t="n">
        <v>20.86837110484019</v>
      </c>
      <c r="N16" s="27" t="n">
        <v>226.6607897986364</v>
      </c>
      <c r="O16" s="27" t="n">
        <v>0.5321801296658193</v>
      </c>
      <c r="P16" s="27" t="n">
        <v>34790.83281815935</v>
      </c>
      <c r="Q16" s="27" t="n">
        <v>0.3532548647552506</v>
      </c>
      <c r="R16" s="27" t="n">
        <v>433.8692490645483</v>
      </c>
      <c r="S16" s="27" t="n">
        <v>250.6587852474952</v>
      </c>
      <c r="T16" s="27" t="n">
        <v>11.97500716903658</v>
      </c>
      <c r="U16" s="27" t="n">
        <v>14.48664975295321</v>
      </c>
      <c r="V16" s="27" t="n">
        <v>10.25323784012347</v>
      </c>
      <c r="W16" s="27" t="n">
        <v>8.896265119796608</v>
      </c>
      <c r="X16" s="27" t="n">
        <v>18.98412539635758</v>
      </c>
      <c r="Y16" s="27" t="n">
        <v>40.64672811770006</v>
      </c>
      <c r="Z16" s="27" t="n">
        <v>133.1382187831087</v>
      </c>
      <c r="AA16" s="27" t="n">
        <v>210.3002916266202</v>
      </c>
      <c r="AB16" s="27" t="n">
        <v>129.1707396393256</v>
      </c>
      <c r="AC16" s="27" t="n">
        <v>117.7436020514669</v>
      </c>
      <c r="AD16" s="27" t="n">
        <v>19.0177574988187</v>
      </c>
      <c r="AE16" s="27" t="n">
        <v>11.30633756850202</v>
      </c>
      <c r="AF16" s="27" t="n">
        <v>2.355314862617322</v>
      </c>
      <c r="AG16" s="27" t="n">
        <v>34.2041363758542</v>
      </c>
      <c r="AH16" s="27" t="n">
        <v>89.90831207796326</v>
      </c>
      <c r="AI16" s="27" t="n">
        <v>2.487532886089281</v>
      </c>
      <c r="AJ16" s="27" t="n">
        <v>1.069444818862126</v>
      </c>
      <c r="AK16" s="27" t="n">
        <v>3030.442150283904</v>
      </c>
      <c r="AL16" s="27" t="n">
        <v>314.5664401143836</v>
      </c>
      <c r="AM16" s="27" t="n">
        <v>68.03205517056927</v>
      </c>
      <c r="AN16" s="27" t="n">
        <v>14.42948701459744</v>
      </c>
      <c r="AO16" s="27" t="n">
        <v>41.44825753874449</v>
      </c>
      <c r="AP16" s="27" t="n">
        <v>11.10955670422103</v>
      </c>
      <c r="AQ16" s="27" t="n">
        <v>11.34300211738716</v>
      </c>
      <c r="AR16" s="27" t="n">
        <v>1.517245495394834</v>
      </c>
      <c r="AS16" s="27" t="n">
        <v>104.02668310464</v>
      </c>
      <c r="AT16" s="27" t="n">
        <v>72.3096554149449</v>
      </c>
      <c r="AU16" s="27" t="n">
        <v>8.077898842392047</v>
      </c>
      <c r="AV16" s="27" t="n">
        <v>4.505635847752593</v>
      </c>
      <c r="AW16" s="27" t="n">
        <v>34.51824010425995</v>
      </c>
      <c r="AX16" s="27" t="n">
        <v>0</v>
      </c>
      <c r="AY16" s="27" t="n">
        <v>7.402763774967137</v>
      </c>
      <c r="AZ16" s="27" t="n">
        <v>18.40954891715457</v>
      </c>
      <c r="BA16" s="27" t="n">
        <v>71.68655635276346</v>
      </c>
      <c r="BB16" s="27">
        <f>SUM(C16:BA16)</f>
        <v/>
      </c>
      <c r="BC16" s="27" t="n">
        <v>0</v>
      </c>
      <c r="BD16" s="27" t="n">
        <v>0</v>
      </c>
      <c r="BE16" s="27" t="n">
        <v>14729.38636888518</v>
      </c>
      <c r="BF16" s="27" t="n">
        <v>0</v>
      </c>
      <c r="BG16" s="27">
        <f>SUM(BC16:BF16)</f>
        <v/>
      </c>
      <c r="BH16" s="27">
        <f>BB16+BG16</f>
        <v/>
      </c>
    </row>
    <row r="17">
      <c r="A17" s="29" t="n">
        <v>4</v>
      </c>
      <c r="B17" s="30" t="inlineStr">
        <is>
          <t>Minério de ferro</t>
        </is>
      </c>
      <c r="C17" s="29" t="n">
        <v>0.242302709294249</v>
      </c>
      <c r="D17" s="29" t="n">
        <v>0.1308383387887279</v>
      </c>
      <c r="E17" s="29" t="n">
        <v>3.607561411233986</v>
      </c>
      <c r="F17" s="29" t="n">
        <v>246.7539371655881</v>
      </c>
      <c r="G17" s="29" t="n">
        <v>12.88546658163506</v>
      </c>
      <c r="H17" s="29" t="n">
        <v>6.374075572066589</v>
      </c>
      <c r="I17" s="29" t="n">
        <v>0.5645341118877096</v>
      </c>
      <c r="J17" s="29" t="n">
        <v>0.2798620593545111</v>
      </c>
      <c r="K17" s="29" t="n">
        <v>0.2602819296325949</v>
      </c>
      <c r="L17" s="29" t="n">
        <v>0.42018064556276</v>
      </c>
      <c r="M17" s="29" t="n">
        <v>0.1358416870060217</v>
      </c>
      <c r="N17" s="29" t="n">
        <v>0.790551919554054</v>
      </c>
      <c r="O17" s="29" t="n">
        <v>0.1109604758739325</v>
      </c>
      <c r="P17" s="29" t="n">
        <v>1.079186615103965</v>
      </c>
      <c r="Q17" s="29" t="n">
        <v>0.1499874814862261</v>
      </c>
      <c r="R17" s="29" t="n">
        <v>1.093811296121566</v>
      </c>
      <c r="S17" s="29" t="n">
        <v>0.2602008782888712</v>
      </c>
      <c r="T17" s="29" t="n">
        <v>1.374795324477345</v>
      </c>
      <c r="U17" s="29" t="n">
        <v>0.4932504845582812</v>
      </c>
      <c r="V17" s="29" t="n">
        <v>0.7163082498712721</v>
      </c>
      <c r="W17" s="29" t="n">
        <v>0.3290587475580258</v>
      </c>
      <c r="X17" s="29" t="n">
        <v>0.3530136078456966</v>
      </c>
      <c r="Y17" s="29" t="n">
        <v>0.8332625966998134</v>
      </c>
      <c r="Z17" s="29" t="n">
        <v>36.48500714420605</v>
      </c>
      <c r="AA17" s="29" t="n">
        <v>5400.354160179385</v>
      </c>
      <c r="AB17" s="29" t="n">
        <v>39.81487113933034</v>
      </c>
      <c r="AC17" s="29" t="n">
        <v>0.6485327765765146</v>
      </c>
      <c r="AD17" s="29" t="n">
        <v>1.357538083520101</v>
      </c>
      <c r="AE17" s="29" t="n">
        <v>1.030853319699889</v>
      </c>
      <c r="AF17" s="29" t="n">
        <v>1.557222719966323</v>
      </c>
      <c r="AG17" s="29" t="n">
        <v>2.259205828213396</v>
      </c>
      <c r="AH17" s="29" t="n">
        <v>0.8697986587693639</v>
      </c>
      <c r="AI17" s="29" t="n">
        <v>0.2490491203394606</v>
      </c>
      <c r="AJ17" s="29" t="n">
        <v>0.28917745201564</v>
      </c>
      <c r="AK17" s="29" t="n">
        <v>2.561059896875092</v>
      </c>
      <c r="AL17" s="29" t="n">
        <v>4.63108957144738</v>
      </c>
      <c r="AM17" s="29" t="n">
        <v>13.08412475989369</v>
      </c>
      <c r="AN17" s="29" t="n">
        <v>5.389425551899834</v>
      </c>
      <c r="AO17" s="29" t="n">
        <v>8.529377719819902</v>
      </c>
      <c r="AP17" s="29" t="n">
        <v>7.129793418714646</v>
      </c>
      <c r="AQ17" s="29" t="n">
        <v>0.7332193359459239</v>
      </c>
      <c r="AR17" s="29" t="n">
        <v>0.06418144968680468</v>
      </c>
      <c r="AS17" s="29" t="n">
        <v>1.008865470742623</v>
      </c>
      <c r="AT17" s="29" t="n">
        <v>12.05849819584648</v>
      </c>
      <c r="AU17" s="29" t="n">
        <v>2.015146646928716</v>
      </c>
      <c r="AV17" s="29" t="n">
        <v>0.6950650770535611</v>
      </c>
      <c r="AW17" s="29" t="n">
        <v>3.317201855032542</v>
      </c>
      <c r="AX17" s="29" t="n">
        <v>0</v>
      </c>
      <c r="AY17" s="29" t="n">
        <v>1.464426516496648</v>
      </c>
      <c r="AZ17" s="29" t="n">
        <v>2.152207823211759</v>
      </c>
      <c r="BA17" s="29" t="n">
        <v>7.13153296162899</v>
      </c>
      <c r="BB17" s="29">
        <f>SUM(C17:BA17)</f>
        <v/>
      </c>
      <c r="BC17" s="29" t="n">
        <v>0</v>
      </c>
      <c r="BD17" s="29" t="n">
        <v>0</v>
      </c>
      <c r="BE17" s="29" t="n">
        <v>11515.69522804318</v>
      </c>
      <c r="BF17" s="29" t="n">
        <v>0</v>
      </c>
      <c r="BG17" s="29">
        <f>SUM(BC17:BF17)</f>
        <v/>
      </c>
      <c r="BH17" s="29">
        <f>BB17+BG17</f>
        <v/>
      </c>
    </row>
    <row r="18">
      <c r="A18" s="27" t="n">
        <v>5</v>
      </c>
      <c r="B18" s="28" t="inlineStr">
        <is>
          <t>Outros da indústria extrativa</t>
        </is>
      </c>
      <c r="C18" s="27" t="n">
        <v>333.8715388688167</v>
      </c>
      <c r="D18" s="27" t="n">
        <v>149.6300515776098</v>
      </c>
      <c r="E18" s="27" t="n">
        <v>141.8855348044683</v>
      </c>
      <c r="F18" s="27" t="n">
        <v>3.511415193857218</v>
      </c>
      <c r="G18" s="27" t="n">
        <v>532.1637307812772</v>
      </c>
      <c r="H18" s="27" t="n">
        <v>145.2768542954955</v>
      </c>
      <c r="I18" s="27" t="n">
        <v>0.1029606229664195</v>
      </c>
      <c r="J18" s="27" t="n">
        <v>3.732461153368149</v>
      </c>
      <c r="K18" s="27" t="n">
        <v>0.367481728168301</v>
      </c>
      <c r="L18" s="27" t="n">
        <v>3.756076229194749</v>
      </c>
      <c r="M18" s="27" t="n">
        <v>0.1922633255953551</v>
      </c>
      <c r="N18" s="27" t="n">
        <v>30.85440035343608</v>
      </c>
      <c r="O18" s="27" t="n">
        <v>1.240741882665118</v>
      </c>
      <c r="P18" s="27" t="n">
        <v>2.690253571555493</v>
      </c>
      <c r="Q18" s="27" t="n">
        <v>45.18902660665609</v>
      </c>
      <c r="R18" s="27" t="n">
        <v>1528.74573098665</v>
      </c>
      <c r="S18" s="27" t="n">
        <v>16.34146412976097</v>
      </c>
      <c r="T18" s="27" t="n">
        <v>2.381219214873064</v>
      </c>
      <c r="U18" s="27" t="n">
        <v>1.985818769532765</v>
      </c>
      <c r="V18" s="27" t="n">
        <v>14.56020658509289</v>
      </c>
      <c r="W18" s="27" t="n">
        <v>45.67036669722923</v>
      </c>
      <c r="X18" s="27" t="n">
        <v>18.40727000768667</v>
      </c>
      <c r="Y18" s="27" t="n">
        <v>9.822933388241321</v>
      </c>
      <c r="Z18" s="27" t="n">
        <v>1491.252701794165</v>
      </c>
      <c r="AA18" s="27" t="n">
        <v>1595.460378238956</v>
      </c>
      <c r="AB18" s="27" t="n">
        <v>3535.099080706945</v>
      </c>
      <c r="AC18" s="27" t="n">
        <v>10.80368033225227</v>
      </c>
      <c r="AD18" s="27" t="n">
        <v>15.58024300076376</v>
      </c>
      <c r="AE18" s="27" t="n">
        <v>32.872158685116</v>
      </c>
      <c r="AF18" s="27" t="n">
        <v>1.297793637176581</v>
      </c>
      <c r="AG18" s="27" t="n">
        <v>11.35325228703938</v>
      </c>
      <c r="AH18" s="27" t="n">
        <v>31.9397194202948</v>
      </c>
      <c r="AI18" s="27" t="n">
        <v>4.221855744519541</v>
      </c>
      <c r="AJ18" s="27" t="n">
        <v>19.32597701980823</v>
      </c>
      <c r="AK18" s="27" t="n">
        <v>172.5636796951881</v>
      </c>
      <c r="AL18" s="27" t="n">
        <v>2005.839561770984</v>
      </c>
      <c r="AM18" s="27" t="n">
        <v>32.48508931856201</v>
      </c>
      <c r="AN18" s="27" t="n">
        <v>4.404816243269345</v>
      </c>
      <c r="AO18" s="27" t="n">
        <v>3.532248377537147</v>
      </c>
      <c r="AP18" s="27" t="n">
        <v>2.492250014078772</v>
      </c>
      <c r="AQ18" s="27" t="n">
        <v>70.05997920793013</v>
      </c>
      <c r="AR18" s="27" t="n">
        <v>0.1450265049274957</v>
      </c>
      <c r="AS18" s="27" t="n">
        <v>13.96553336402684</v>
      </c>
      <c r="AT18" s="27" t="n">
        <v>8.346307895963605</v>
      </c>
      <c r="AU18" s="27" t="n">
        <v>2.076869317381756</v>
      </c>
      <c r="AV18" s="27" t="n">
        <v>15.00323216037552</v>
      </c>
      <c r="AW18" s="27" t="n">
        <v>7.812260461063722</v>
      </c>
      <c r="AX18" s="27" t="n">
        <v>0</v>
      </c>
      <c r="AY18" s="27" t="n">
        <v>13.26331528897324</v>
      </c>
      <c r="AZ18" s="27" t="n">
        <v>7.245093976575067</v>
      </c>
      <c r="BA18" s="27" t="n">
        <v>18.49695268960797</v>
      </c>
      <c r="BB18" s="27">
        <f>SUM(C18:BA18)</f>
        <v/>
      </c>
      <c r="BC18" s="27" t="n">
        <v>0</v>
      </c>
      <c r="BD18" s="27" t="n">
        <v>0</v>
      </c>
      <c r="BE18" s="27" t="n">
        <v>1998.409042166965</v>
      </c>
      <c r="BF18" s="27" t="n">
        <v>0</v>
      </c>
      <c r="BG18" s="27">
        <f>SUM(BC18:BF18)</f>
        <v/>
      </c>
      <c r="BH18" s="27">
        <f>BB18+BG18</f>
        <v/>
      </c>
    </row>
    <row r="19">
      <c r="A19" s="29" t="n">
        <v>6</v>
      </c>
      <c r="B19" s="30" t="inlineStr">
        <is>
          <t>Alimentos e Bebidas</t>
        </is>
      </c>
      <c r="C19" s="29" t="n">
        <v>672.7057044439539</v>
      </c>
      <c r="D19" s="29" t="n">
        <v>4764.946609789893</v>
      </c>
      <c r="E19" s="29" t="n">
        <v>173.1867789999246</v>
      </c>
      <c r="F19" s="29" t="n">
        <v>33.58314216664556</v>
      </c>
      <c r="G19" s="29" t="n">
        <v>90.51666593922801</v>
      </c>
      <c r="H19" s="29" t="n">
        <v>31810.40587848586</v>
      </c>
      <c r="I19" s="29" t="n">
        <v>10.14154583696323</v>
      </c>
      <c r="J19" s="29" t="n">
        <v>47.68617305265801</v>
      </c>
      <c r="K19" s="29" t="n">
        <v>24.64529386172191</v>
      </c>
      <c r="L19" s="29" t="n">
        <v>1284.54473793023</v>
      </c>
      <c r="M19" s="29" t="n">
        <v>23.9681126624223</v>
      </c>
      <c r="N19" s="29" t="n">
        <v>311.3873039146328</v>
      </c>
      <c r="O19" s="29" t="n">
        <v>12.17796644790315</v>
      </c>
      <c r="P19" s="29" t="n">
        <v>1003.876332225162</v>
      </c>
      <c r="Q19" s="29" t="n">
        <v>1129.884442892861</v>
      </c>
      <c r="R19" s="29" t="n">
        <v>356.4803088970866</v>
      </c>
      <c r="S19" s="29" t="n">
        <v>165.9199422978805</v>
      </c>
      <c r="T19" s="29" t="n">
        <v>250.6908268749313</v>
      </c>
      <c r="U19" s="29" t="n">
        <v>102.808918477202</v>
      </c>
      <c r="V19" s="29" t="n">
        <v>1060.805731193327</v>
      </c>
      <c r="W19" s="29" t="n">
        <v>160.4738481785918</v>
      </c>
      <c r="X19" s="29" t="n">
        <v>689.7184082523218</v>
      </c>
      <c r="Y19" s="29" t="n">
        <v>98.06292500636518</v>
      </c>
      <c r="Z19" s="29" t="n">
        <v>62.69624291303803</v>
      </c>
      <c r="AA19" s="29" t="n">
        <v>119.994201073016</v>
      </c>
      <c r="AB19" s="29" t="n">
        <v>34.67241365247325</v>
      </c>
      <c r="AC19" s="29" t="n">
        <v>91.67486568753255</v>
      </c>
      <c r="AD19" s="29" t="n">
        <v>188.7913185064128</v>
      </c>
      <c r="AE19" s="29" t="n">
        <v>43.85507849399264</v>
      </c>
      <c r="AF19" s="29" t="n">
        <v>43.48644151492568</v>
      </c>
      <c r="AG19" s="29" t="n">
        <v>37.84100890455302</v>
      </c>
      <c r="AH19" s="29" t="n">
        <v>22.74331626651917</v>
      </c>
      <c r="AI19" s="29" t="n">
        <v>12.68721522684227</v>
      </c>
      <c r="AJ19" s="29" t="n">
        <v>30.62934245168925</v>
      </c>
      <c r="AK19" s="29" t="n">
        <v>164.229187040457</v>
      </c>
      <c r="AL19" s="29" t="n">
        <v>247.5618583522263</v>
      </c>
      <c r="AM19" s="29" t="n">
        <v>1495.688116003453</v>
      </c>
      <c r="AN19" s="29" t="n">
        <v>380.6052207109338</v>
      </c>
      <c r="AO19" s="29" t="n">
        <v>178.5630736671245</v>
      </c>
      <c r="AP19" s="29" t="n">
        <v>111.0467872072253</v>
      </c>
      <c r="AQ19" s="29" t="n">
        <v>17.28190351269839</v>
      </c>
      <c r="AR19" s="29" t="n">
        <v>11.94841860625696</v>
      </c>
      <c r="AS19" s="29" t="n">
        <v>14777.36264651922</v>
      </c>
      <c r="AT19" s="29" t="n">
        <v>169.6550891089871</v>
      </c>
      <c r="AU19" s="29" t="n">
        <v>164.6316156013664</v>
      </c>
      <c r="AV19" s="29" t="n">
        <v>563.9870845650956</v>
      </c>
      <c r="AW19" s="29" t="n">
        <v>473.3915421194208</v>
      </c>
      <c r="AX19" s="29" t="n">
        <v>0</v>
      </c>
      <c r="AY19" s="29" t="n">
        <v>1161.663550866468</v>
      </c>
      <c r="AZ19" s="29" t="n">
        <v>824.6521474347085</v>
      </c>
      <c r="BA19" s="29" t="n">
        <v>1456.927369821702</v>
      </c>
      <c r="BB19" s="29">
        <f>SUM(C19:BA19)</f>
        <v/>
      </c>
      <c r="BC19" s="29" t="n">
        <v>0</v>
      </c>
      <c r="BD19" s="29" t="n">
        <v>0</v>
      </c>
      <c r="BE19" s="29" t="n">
        <v>175380.3451529988</v>
      </c>
      <c r="BF19" s="29" t="n">
        <v>0</v>
      </c>
      <c r="BG19" s="29">
        <f>SUM(BC19:BF19)</f>
        <v/>
      </c>
      <c r="BH19" s="29">
        <f>BB19+BG19</f>
        <v/>
      </c>
    </row>
    <row r="20">
      <c r="A20" s="27" t="n">
        <v>7</v>
      </c>
      <c r="B20" s="28" t="inlineStr">
        <is>
          <t>Produtos do fumo</t>
        </is>
      </c>
      <c r="C20" s="27" t="n">
        <v>0.07301570219348315</v>
      </c>
      <c r="D20" s="27" t="n">
        <v>0.03866686994411841</v>
      </c>
      <c r="E20" s="27" t="n">
        <v>1.006913952959673</v>
      </c>
      <c r="F20" s="27" t="n">
        <v>0.1529731654961317</v>
      </c>
      <c r="G20" s="27" t="n">
        <v>0.1483554801963039</v>
      </c>
      <c r="H20" s="27" t="n">
        <v>1.916982468181466</v>
      </c>
      <c r="I20" s="27" t="n">
        <v>288.1634796500863</v>
      </c>
      <c r="J20" s="27" t="n">
        <v>0.07726359980180179</v>
      </c>
      <c r="K20" s="27" t="n">
        <v>0.07040456752383104</v>
      </c>
      <c r="L20" s="27" t="n">
        <v>0.1252267229269886</v>
      </c>
      <c r="M20" s="27" t="n">
        <v>0.04047292309028985</v>
      </c>
      <c r="N20" s="27" t="n">
        <v>0.2375624463409432</v>
      </c>
      <c r="O20" s="27" t="n">
        <v>0.03244133211188155</v>
      </c>
      <c r="P20" s="27" t="n">
        <v>0.3253970318269056</v>
      </c>
      <c r="Q20" s="27" t="n">
        <v>0.04342917648658702</v>
      </c>
      <c r="R20" s="27" t="n">
        <v>0.3293792729156949</v>
      </c>
      <c r="S20" s="27" t="n">
        <v>0.07830180286317388</v>
      </c>
      <c r="T20" s="27" t="n">
        <v>0.4146818959198519</v>
      </c>
      <c r="U20" s="27" t="n">
        <v>0.1493846576369594</v>
      </c>
      <c r="V20" s="27" t="n">
        <v>0.2150014513655777</v>
      </c>
      <c r="W20" s="27" t="n">
        <v>0.0996853853627816</v>
      </c>
      <c r="X20" s="27" t="n">
        <v>0.106429871018641</v>
      </c>
      <c r="Y20" s="27" t="n">
        <v>0.246203906900671</v>
      </c>
      <c r="Z20" s="27" t="n">
        <v>0.2436390529434762</v>
      </c>
      <c r="AA20" s="27" t="n">
        <v>0.2694714918216655</v>
      </c>
      <c r="AB20" s="27" t="n">
        <v>0.1066323118176537</v>
      </c>
      <c r="AC20" s="27" t="n">
        <v>0.1929915412129624</v>
      </c>
      <c r="AD20" s="27" t="n">
        <v>0.40766271092929</v>
      </c>
      <c r="AE20" s="27" t="n">
        <v>0.3111731615599779</v>
      </c>
      <c r="AF20" s="27" t="n">
        <v>0.468504119241122</v>
      </c>
      <c r="AG20" s="27" t="n">
        <v>0.6834650599334333</v>
      </c>
      <c r="AH20" s="27" t="n">
        <v>0.2409438443924277</v>
      </c>
      <c r="AI20" s="27" t="n">
        <v>0.07345688263956085</v>
      </c>
      <c r="AJ20" s="27" t="n">
        <v>0.0840824179525623</v>
      </c>
      <c r="AK20" s="27" t="n">
        <v>0.7300919037756018</v>
      </c>
      <c r="AL20" s="27" t="n">
        <v>1.08087798210951</v>
      </c>
      <c r="AM20" s="27" t="n">
        <v>3.478045210421448</v>
      </c>
      <c r="AN20" s="27" t="n">
        <v>1.572385722932962</v>
      </c>
      <c r="AO20" s="27" t="n">
        <v>2.477638652190522</v>
      </c>
      <c r="AP20" s="27" t="n">
        <v>2.085195195390836</v>
      </c>
      <c r="AQ20" s="27" t="n">
        <v>0.1817392866997294</v>
      </c>
      <c r="AR20" s="27" t="n">
        <v>0.01364570490582915</v>
      </c>
      <c r="AS20" s="27" t="n">
        <v>0.224773777981295</v>
      </c>
      <c r="AT20" s="27" t="n">
        <v>2.413792343372063</v>
      </c>
      <c r="AU20" s="27" t="n">
        <v>0.5407797244029099</v>
      </c>
      <c r="AV20" s="27" t="n">
        <v>0.1823158288908909</v>
      </c>
      <c r="AW20" s="27" t="n">
        <v>0.8759299020662286</v>
      </c>
      <c r="AX20" s="27" t="n">
        <v>0</v>
      </c>
      <c r="AY20" s="27" t="n">
        <v>0.4332248761102742</v>
      </c>
      <c r="AZ20" s="27" t="n">
        <v>0.6321784578257199</v>
      </c>
      <c r="BA20" s="27" t="n">
        <v>2.066873071405493</v>
      </c>
      <c r="BB20" s="27">
        <f>SUM(C20:BA20)</f>
        <v/>
      </c>
      <c r="BC20" s="27" t="n">
        <v>0</v>
      </c>
      <c r="BD20" s="27" t="n">
        <v>0</v>
      </c>
      <c r="BE20" s="27" t="n">
        <v>8853.885506811788</v>
      </c>
      <c r="BF20" s="27" t="n">
        <v>0</v>
      </c>
      <c r="BG20" s="27">
        <f>SUM(BC20:BF20)</f>
        <v/>
      </c>
      <c r="BH20" s="27">
        <f>BB20+BG20</f>
        <v/>
      </c>
    </row>
    <row r="21">
      <c r="A21" s="29" t="n">
        <v>8</v>
      </c>
      <c r="B21" s="30" t="inlineStr">
        <is>
          <t>Têxteis</t>
        </is>
      </c>
      <c r="C21" s="29" t="n">
        <v>295.3797788411943</v>
      </c>
      <c r="D21" s="29" t="n">
        <v>6.360427668200668</v>
      </c>
      <c r="E21" s="29" t="n">
        <v>46.06448981455775</v>
      </c>
      <c r="F21" s="29" t="n">
        <v>1.140476594208039</v>
      </c>
      <c r="G21" s="29" t="n">
        <v>112.5636616886523</v>
      </c>
      <c r="H21" s="29" t="n">
        <v>183.9306512547972</v>
      </c>
      <c r="I21" s="29" t="n">
        <v>1.064154764780175</v>
      </c>
      <c r="J21" s="29" t="n">
        <v>6891.689827962535</v>
      </c>
      <c r="K21" s="29" t="n">
        <v>7361.193958115088</v>
      </c>
      <c r="L21" s="29" t="n">
        <v>1841.792050776746</v>
      </c>
      <c r="M21" s="29" t="n">
        <v>6.279610671261965</v>
      </c>
      <c r="N21" s="29" t="n">
        <v>68.08133405348063</v>
      </c>
      <c r="O21" s="29" t="n">
        <v>2.619369307011133</v>
      </c>
      <c r="P21" s="29" t="n">
        <v>1.460436938230515</v>
      </c>
      <c r="Q21" s="29" t="n">
        <v>0.7060601359455009</v>
      </c>
      <c r="R21" s="29" t="n">
        <v>5.833151438084735</v>
      </c>
      <c r="S21" s="29" t="n">
        <v>19.8873826100787</v>
      </c>
      <c r="T21" s="29" t="n">
        <v>46.79676835976779</v>
      </c>
      <c r="U21" s="29" t="n">
        <v>2.840984107933441</v>
      </c>
      <c r="V21" s="29" t="n">
        <v>10.8056174427417</v>
      </c>
      <c r="W21" s="29" t="n">
        <v>6.737404631567773</v>
      </c>
      <c r="X21" s="29" t="n">
        <v>25.48751950149199</v>
      </c>
      <c r="Y21" s="29" t="n">
        <v>394.6777501390274</v>
      </c>
      <c r="Z21" s="29" t="n">
        <v>23.58493497394327</v>
      </c>
      <c r="AA21" s="29" t="n">
        <v>4.504754633685872</v>
      </c>
      <c r="AB21" s="29" t="n">
        <v>2.46060562095113</v>
      </c>
      <c r="AC21" s="29" t="n">
        <v>29.75544023278895</v>
      </c>
      <c r="AD21" s="29" t="n">
        <v>13.95961237658119</v>
      </c>
      <c r="AE21" s="29" t="n">
        <v>30.45103963127195</v>
      </c>
      <c r="AF21" s="29" t="n">
        <v>16.75943738616298</v>
      </c>
      <c r="AG21" s="29" t="n">
        <v>61.43012258616795</v>
      </c>
      <c r="AH21" s="29" t="n">
        <v>945.2647776103935</v>
      </c>
      <c r="AI21" s="29" t="n">
        <v>37.23042953140584</v>
      </c>
      <c r="AJ21" s="29" t="n">
        <v>704.4665890045908</v>
      </c>
      <c r="AK21" s="29" t="n">
        <v>17.37709510677395</v>
      </c>
      <c r="AL21" s="29" t="n">
        <v>300.4914521538422</v>
      </c>
      <c r="AM21" s="29" t="n">
        <v>134.0284595740607</v>
      </c>
      <c r="AN21" s="29" t="n">
        <v>52.17938314627742</v>
      </c>
      <c r="AO21" s="29" t="n">
        <v>22.04275409788517</v>
      </c>
      <c r="AP21" s="29" t="n">
        <v>13.99097765862506</v>
      </c>
      <c r="AQ21" s="29" t="n">
        <v>4.647706182448683</v>
      </c>
      <c r="AR21" s="29" t="n">
        <v>12.97432821778337</v>
      </c>
      <c r="AS21" s="29" t="n">
        <v>200.3328854350241</v>
      </c>
      <c r="AT21" s="29" t="n">
        <v>30.41591643765632</v>
      </c>
      <c r="AU21" s="29" t="n">
        <v>9.327187733724962</v>
      </c>
      <c r="AV21" s="29" t="n">
        <v>12.35273649361953</v>
      </c>
      <c r="AW21" s="29" t="n">
        <v>291.1491832983953</v>
      </c>
      <c r="AX21" s="29" t="n">
        <v>0</v>
      </c>
      <c r="AY21" s="29" t="n">
        <v>25.40612939355967</v>
      </c>
      <c r="AZ21" s="29" t="n">
        <v>15.09028768999115</v>
      </c>
      <c r="BA21" s="29" t="n">
        <v>32.16712015283276</v>
      </c>
      <c r="BB21" s="29">
        <f>SUM(C21:BA21)</f>
        <v/>
      </c>
      <c r="BC21" s="29" t="n">
        <v>0</v>
      </c>
      <c r="BD21" s="29" t="n">
        <v>0</v>
      </c>
      <c r="BE21" s="29" t="n">
        <v>12724.61181954545</v>
      </c>
      <c r="BF21" s="29" t="n">
        <v>0</v>
      </c>
      <c r="BG21" s="29">
        <f>SUM(BC21:BF21)</f>
        <v/>
      </c>
      <c r="BH21" s="29">
        <f>BB21+BG21</f>
        <v/>
      </c>
    </row>
    <row r="22">
      <c r="A22" s="27" t="n">
        <v>9</v>
      </c>
      <c r="B22" s="28" t="inlineStr">
        <is>
          <t>Artigos do vestuário e acessórios</t>
        </is>
      </c>
      <c r="C22" s="27" t="n">
        <v>8.769297831547968</v>
      </c>
      <c r="D22" s="27" t="n">
        <v>0.5626148127179096</v>
      </c>
      <c r="E22" s="27" t="n">
        <v>26.67715945633264</v>
      </c>
      <c r="F22" s="27" t="n">
        <v>2.102283095780221</v>
      </c>
      <c r="G22" s="27" t="n">
        <v>4.221913980297299</v>
      </c>
      <c r="H22" s="27" t="n">
        <v>22.28719048471682</v>
      </c>
      <c r="I22" s="27" t="n">
        <v>0.958564553163097</v>
      </c>
      <c r="J22" s="27" t="n">
        <v>71.57970859856785</v>
      </c>
      <c r="K22" s="27" t="n">
        <v>709.7124475160257</v>
      </c>
      <c r="L22" s="27" t="n">
        <v>29.8219372482511</v>
      </c>
      <c r="M22" s="27" t="n">
        <v>0.6369273994503138</v>
      </c>
      <c r="N22" s="27" t="n">
        <v>3.740708499568199</v>
      </c>
      <c r="O22" s="27" t="n">
        <v>0.4771988366737071</v>
      </c>
      <c r="P22" s="27" t="n">
        <v>1.700074438776183</v>
      </c>
      <c r="Q22" s="27" t="n">
        <v>0.5111907864196558</v>
      </c>
      <c r="R22" s="27" t="n">
        <v>1.82335844558422</v>
      </c>
      <c r="S22" s="27" t="n">
        <v>0.9262358806629305</v>
      </c>
      <c r="T22" s="27" t="n">
        <v>2.79165438081641</v>
      </c>
      <c r="U22" s="27" t="n">
        <v>2.081662508012868</v>
      </c>
      <c r="V22" s="27" t="n">
        <v>0.9093923437928102</v>
      </c>
      <c r="W22" s="27" t="n">
        <v>0.7903877856925964</v>
      </c>
      <c r="X22" s="27" t="n">
        <v>1.421188267286841</v>
      </c>
      <c r="Y22" s="27" t="n">
        <v>6.520996657421518</v>
      </c>
      <c r="Z22" s="27" t="n">
        <v>7.340918115524587</v>
      </c>
      <c r="AA22" s="27" t="n">
        <v>7.205115631277299</v>
      </c>
      <c r="AB22" s="27" t="n">
        <v>1.336572836311191</v>
      </c>
      <c r="AC22" s="27" t="n">
        <v>19.07948166923464</v>
      </c>
      <c r="AD22" s="27" t="n">
        <v>14.1093153378355</v>
      </c>
      <c r="AE22" s="27" t="n">
        <v>2.916958388079499</v>
      </c>
      <c r="AF22" s="27" t="n">
        <v>3.230385689769668</v>
      </c>
      <c r="AG22" s="27" t="n">
        <v>3.324108688761278</v>
      </c>
      <c r="AH22" s="27" t="n">
        <v>15.28422845756565</v>
      </c>
      <c r="AI22" s="27" t="n">
        <v>1.483529863665181</v>
      </c>
      <c r="AJ22" s="27" t="n">
        <v>11.24594767335423</v>
      </c>
      <c r="AK22" s="27" t="n">
        <v>63.6420381242516</v>
      </c>
      <c r="AL22" s="27" t="n">
        <v>23.00036679496798</v>
      </c>
      <c r="AM22" s="27" t="n">
        <v>105.1445663196323</v>
      </c>
      <c r="AN22" s="27" t="n">
        <v>157.8848435997804</v>
      </c>
      <c r="AO22" s="27" t="n">
        <v>67.09633741969087</v>
      </c>
      <c r="AP22" s="27" t="n">
        <v>166.638681343645</v>
      </c>
      <c r="AQ22" s="27" t="n">
        <v>10.91290491041417</v>
      </c>
      <c r="AR22" s="27" t="n">
        <v>0.3502809579343963</v>
      </c>
      <c r="AS22" s="27" t="n">
        <v>72.07607477939163</v>
      </c>
      <c r="AT22" s="27" t="n">
        <v>120.2298049005935</v>
      </c>
      <c r="AU22" s="27" t="n">
        <v>3.042084142668993</v>
      </c>
      <c r="AV22" s="27" t="n">
        <v>11.464396347056</v>
      </c>
      <c r="AW22" s="27" t="n">
        <v>389.2033191794303</v>
      </c>
      <c r="AX22" s="27" t="n">
        <v>0</v>
      </c>
      <c r="AY22" s="27" t="n">
        <v>202.3241249144074</v>
      </c>
      <c r="AZ22" s="27" t="n">
        <v>18.66370047203388</v>
      </c>
      <c r="BA22" s="27" t="n">
        <v>185.5751856494006</v>
      </c>
      <c r="BB22" s="27">
        <f>SUM(C22:BA22)</f>
        <v/>
      </c>
      <c r="BC22" s="27" t="n">
        <v>0</v>
      </c>
      <c r="BD22" s="27" t="n">
        <v>0</v>
      </c>
      <c r="BE22" s="27" t="n">
        <v>24064.67734294837</v>
      </c>
      <c r="BF22" s="27" t="n">
        <v>0</v>
      </c>
      <c r="BG22" s="27">
        <f>SUM(BC22:BF22)</f>
        <v/>
      </c>
      <c r="BH22" s="27">
        <f>BB22+BG22</f>
        <v/>
      </c>
    </row>
    <row r="23">
      <c r="A23" s="29" t="n">
        <v>10</v>
      </c>
      <c r="B23" s="30" t="inlineStr">
        <is>
          <t>Artefatos de couro e calçados</t>
        </is>
      </c>
      <c r="C23" s="29" t="n">
        <v>1.129421092376209</v>
      </c>
      <c r="D23" s="29" t="n">
        <v>0.5559137246131064</v>
      </c>
      <c r="E23" s="29" t="n">
        <v>4.195776965477577</v>
      </c>
      <c r="F23" s="29" t="n">
        <v>1.300775318460314</v>
      </c>
      <c r="G23" s="29" t="n">
        <v>0.768665343698849</v>
      </c>
      <c r="H23" s="29" t="n">
        <v>18.63407334836274</v>
      </c>
      <c r="I23" s="29" t="n">
        <v>0.7911328706442764</v>
      </c>
      <c r="J23" s="29" t="n">
        <v>1.12749770563166</v>
      </c>
      <c r="K23" s="29" t="n">
        <v>3.662373781056414</v>
      </c>
      <c r="L23" s="29" t="n">
        <v>3914.840333260755</v>
      </c>
      <c r="M23" s="29" t="n">
        <v>0.4726853376840534</v>
      </c>
      <c r="N23" s="29" t="n">
        <v>62.08016934421119</v>
      </c>
      <c r="O23" s="29" t="n">
        <v>0.2435195390774772</v>
      </c>
      <c r="P23" s="29" t="n">
        <v>1.294873409248032</v>
      </c>
      <c r="Q23" s="29" t="n">
        <v>0.3946322793507209</v>
      </c>
      <c r="R23" s="29" t="n">
        <v>1.369053250190374</v>
      </c>
      <c r="S23" s="29" t="n">
        <v>0.7844729861642982</v>
      </c>
      <c r="T23" s="29" t="n">
        <v>2.061808307154275</v>
      </c>
      <c r="U23" s="29" t="n">
        <v>1.365902710445051</v>
      </c>
      <c r="V23" s="29" t="n">
        <v>0.8585170802966037</v>
      </c>
      <c r="W23" s="29" t="n">
        <v>0.7433596485965325</v>
      </c>
      <c r="X23" s="29" t="n">
        <v>0.9998277043385511</v>
      </c>
      <c r="Y23" s="29" t="n">
        <v>2.351813209726144</v>
      </c>
      <c r="Z23" s="29" t="n">
        <v>2.076102047834202</v>
      </c>
      <c r="AA23" s="29" t="n">
        <v>3.299658181617255</v>
      </c>
      <c r="AB23" s="29" t="n">
        <v>0.9432858065989741</v>
      </c>
      <c r="AC23" s="29" t="n">
        <v>13.57268897784713</v>
      </c>
      <c r="AD23" s="29" t="n">
        <v>7.364980445495662</v>
      </c>
      <c r="AE23" s="29" t="n">
        <v>1.916666113812183</v>
      </c>
      <c r="AF23" s="29" t="n">
        <v>24.18445831854734</v>
      </c>
      <c r="AG23" s="29" t="n">
        <v>3.407908359572258</v>
      </c>
      <c r="AH23" s="29" t="n">
        <v>4.552684699314744</v>
      </c>
      <c r="AI23" s="29" t="n">
        <v>0.3602866829634601</v>
      </c>
      <c r="AJ23" s="29" t="n">
        <v>1.386737165170597</v>
      </c>
      <c r="AK23" s="29" t="n">
        <v>38.3012047442469</v>
      </c>
      <c r="AL23" s="29" t="n">
        <v>14.80474090486755</v>
      </c>
      <c r="AM23" s="29" t="n">
        <v>18.4933865588468</v>
      </c>
      <c r="AN23" s="29" t="n">
        <v>10.84118715467042</v>
      </c>
      <c r="AO23" s="29" t="n">
        <v>25.11870168657438</v>
      </c>
      <c r="AP23" s="29" t="n">
        <v>6.529165908043691</v>
      </c>
      <c r="AQ23" s="29" t="n">
        <v>0.6647890795820217</v>
      </c>
      <c r="AR23" s="29" t="n">
        <v>0.06704417685964432</v>
      </c>
      <c r="AS23" s="29" t="n">
        <v>1.61799388413805</v>
      </c>
      <c r="AT23" s="29" t="n">
        <v>26.25023205606307</v>
      </c>
      <c r="AU23" s="29" t="n">
        <v>1.716537178962963</v>
      </c>
      <c r="AV23" s="29" t="n">
        <v>1.30935786814859</v>
      </c>
      <c r="AW23" s="29" t="n">
        <v>6.412784245073708</v>
      </c>
      <c r="AX23" s="29" t="n">
        <v>0</v>
      </c>
      <c r="AY23" s="29" t="n">
        <v>3.169418210488176</v>
      </c>
      <c r="AZ23" s="29" t="n">
        <v>2.59476790240896</v>
      </c>
      <c r="BA23" s="29" t="n">
        <v>19.88261844049429</v>
      </c>
      <c r="BB23" s="29">
        <f>SUM(C23:BA23)</f>
        <v/>
      </c>
      <c r="BC23" s="29" t="n">
        <v>0</v>
      </c>
      <c r="BD23" s="29" t="n">
        <v>0</v>
      </c>
      <c r="BE23" s="29" t="n">
        <v>18585.97978756002</v>
      </c>
      <c r="BF23" s="29" t="n">
        <v>0</v>
      </c>
      <c r="BG23" s="29">
        <f>SUM(BC23:BF23)</f>
        <v/>
      </c>
      <c r="BH23" s="29">
        <f>BB23+BG23</f>
        <v/>
      </c>
    </row>
    <row r="24">
      <c r="A24" s="28" t="inlineStr">
        <is>
          <t>Produtos de madeira</t>
        </is>
      </c>
      <c r="B24" s="28" t="inlineStr">
        <is>
          <t>exclusive móveis</t>
        </is>
      </c>
      <c r="C24" s="27" t="n">
        <v>195.4706558318696</v>
      </c>
      <c r="D24" s="27" t="n">
        <v>133.6069343040757</v>
      </c>
      <c r="E24" s="27" t="n">
        <v>2.693228790453615</v>
      </c>
      <c r="F24" s="27" t="n">
        <v>0.7009857928664623</v>
      </c>
      <c r="G24" s="27" t="n">
        <v>3.577572484032339</v>
      </c>
      <c r="H24" s="27" t="n">
        <v>207.5700755254836</v>
      </c>
      <c r="I24" s="27" t="n">
        <v>0.2951173885821387</v>
      </c>
      <c r="J24" s="27" t="n">
        <v>18.40516557909715</v>
      </c>
      <c r="K24" s="27" t="n">
        <v>1.251891567120431</v>
      </c>
      <c r="L24" s="27" t="n">
        <v>0.6428659744411084</v>
      </c>
      <c r="M24" s="27" t="n">
        <v>2539.826329812116</v>
      </c>
      <c r="N24" s="27" t="n">
        <v>220.5280272598207</v>
      </c>
      <c r="O24" s="27" t="n">
        <v>0.2853185263812943</v>
      </c>
      <c r="P24" s="27" t="n">
        <v>0.6642378837123419</v>
      </c>
      <c r="Q24" s="27" t="n">
        <v>0.3484683546980029</v>
      </c>
      <c r="R24" s="27" t="n">
        <v>10.76860692904691</v>
      </c>
      <c r="S24" s="27" t="n">
        <v>0.3044573451080597</v>
      </c>
      <c r="T24" s="27" t="n">
        <v>0.9127985604645298</v>
      </c>
      <c r="U24" s="27" t="n">
        <v>4.788943033559721</v>
      </c>
      <c r="V24" s="27" t="n">
        <v>0.4988137818314733</v>
      </c>
      <c r="W24" s="27" t="n">
        <v>1.282198913465521</v>
      </c>
      <c r="X24" s="27" t="n">
        <v>17.66835036453348</v>
      </c>
      <c r="Y24" s="27" t="n">
        <v>1.396731079964999</v>
      </c>
      <c r="Z24" s="27" t="n">
        <v>17.14291535669363</v>
      </c>
      <c r="AA24" s="27" t="n">
        <v>12.8737276765471</v>
      </c>
      <c r="AB24" s="27" t="n">
        <v>0.4112904757061956</v>
      </c>
      <c r="AC24" s="27" t="n">
        <v>109.8970854308774</v>
      </c>
      <c r="AD24" s="27" t="n">
        <v>172.5040187753955</v>
      </c>
      <c r="AE24" s="27" t="n">
        <v>2.274676435188845</v>
      </c>
      <c r="AF24" s="27" t="n">
        <v>1.156590397729439</v>
      </c>
      <c r="AG24" s="27" t="n">
        <v>102.3912409917272</v>
      </c>
      <c r="AH24" s="27" t="n">
        <v>43.82933238504123</v>
      </c>
      <c r="AI24" s="27" t="n">
        <v>70.99697666524696</v>
      </c>
      <c r="AJ24" s="27" t="n">
        <v>3087.983223321382</v>
      </c>
      <c r="AK24" s="27" t="n">
        <v>170.7238075938304</v>
      </c>
      <c r="AL24" s="27" t="n">
        <v>2453.939891220103</v>
      </c>
      <c r="AM24" s="27" t="n">
        <v>762.3615179531034</v>
      </c>
      <c r="AN24" s="27" t="n">
        <v>38.90626697316988</v>
      </c>
      <c r="AO24" s="27" t="n">
        <v>101.650183367793</v>
      </c>
      <c r="AP24" s="27" t="n">
        <v>10.20552275188944</v>
      </c>
      <c r="AQ24" s="27" t="n">
        <v>171.5258922911811</v>
      </c>
      <c r="AR24" s="27" t="n">
        <v>1.135117976703548</v>
      </c>
      <c r="AS24" s="27" t="n">
        <v>9.129029783803647</v>
      </c>
      <c r="AT24" s="27" t="n">
        <v>17.32324284754079</v>
      </c>
      <c r="AU24" s="27" t="n">
        <v>8.239207490918336</v>
      </c>
      <c r="AV24" s="27" t="n">
        <v>3.572428856697121</v>
      </c>
      <c r="AW24" s="27" t="n">
        <v>150.9859311386518</v>
      </c>
      <c r="AX24" s="27" t="n">
        <v>0</v>
      </c>
      <c r="AY24" s="27" t="n">
        <v>15.40437975283701</v>
      </c>
      <c r="AZ24" s="27" t="n">
        <v>2.800980760220912</v>
      </c>
      <c r="BA24" s="27" t="n">
        <v>35.22325356314443</v>
      </c>
      <c r="BB24" s="27">
        <f>SUM(C24:BA24)</f>
        <v/>
      </c>
      <c r="BC24" s="27" t="n">
        <v>0</v>
      </c>
      <c r="BD24" s="27" t="n">
        <v>0</v>
      </c>
      <c r="BE24" s="27" t="n">
        <v>7296.327020209427</v>
      </c>
      <c r="BF24" s="27" t="n">
        <v>0</v>
      </c>
      <c r="BG24" s="27">
        <f>SUM(BC24:BF24)</f>
        <v/>
      </c>
      <c r="BH24" s="27">
        <f>BB24+BG24</f>
        <v/>
      </c>
    </row>
    <row r="25">
      <c r="A25" s="29" t="n">
        <v>12</v>
      </c>
      <c r="B25" s="30" t="inlineStr">
        <is>
          <t>Celulose e produtos de papel</t>
        </is>
      </c>
      <c r="C25" s="29" t="n">
        <v>177.414947601212</v>
      </c>
      <c r="D25" s="29" t="n">
        <v>66.06880260041372</v>
      </c>
      <c r="E25" s="29" t="n">
        <v>27.14292935878412</v>
      </c>
      <c r="F25" s="29" t="n">
        <v>37.00077977461038</v>
      </c>
      <c r="G25" s="29" t="n">
        <v>15.63798721354059</v>
      </c>
      <c r="H25" s="29" t="n">
        <v>2653.788114842894</v>
      </c>
      <c r="I25" s="29" t="n">
        <v>666.2702432935619</v>
      </c>
      <c r="J25" s="29" t="n">
        <v>418.2958334158635</v>
      </c>
      <c r="K25" s="29" t="n">
        <v>315.4308799982639</v>
      </c>
      <c r="L25" s="29" t="n">
        <v>392.88464005484</v>
      </c>
      <c r="M25" s="29" t="n">
        <v>393.1998157818155</v>
      </c>
      <c r="N25" s="29" t="n">
        <v>6369.841095114582</v>
      </c>
      <c r="O25" s="29" t="n">
        <v>752.7666348294239</v>
      </c>
      <c r="P25" s="29" t="n">
        <v>61.84964426027638</v>
      </c>
      <c r="Q25" s="29" t="n">
        <v>15.23972134194651</v>
      </c>
      <c r="R25" s="29" t="n">
        <v>48.75157842815188</v>
      </c>
      <c r="S25" s="29" t="n">
        <v>13.34593391357408</v>
      </c>
      <c r="T25" s="29" t="n">
        <v>314.5414220656197</v>
      </c>
      <c r="U25" s="29" t="n">
        <v>48.82168023755782</v>
      </c>
      <c r="V25" s="29" t="n">
        <v>690.3917989008537</v>
      </c>
      <c r="W25" s="29" t="n">
        <v>6.726073762101227</v>
      </c>
      <c r="X25" s="29" t="n">
        <v>34.08741764762853</v>
      </c>
      <c r="Y25" s="29" t="n">
        <v>899.2630220901793</v>
      </c>
      <c r="Z25" s="29" t="n">
        <v>714.163543173511</v>
      </c>
      <c r="AA25" s="29" t="n">
        <v>37.2413197557929</v>
      </c>
      <c r="AB25" s="29" t="n">
        <v>9.751114617841845</v>
      </c>
      <c r="AC25" s="29" t="n">
        <v>510.9215339920607</v>
      </c>
      <c r="AD25" s="29" t="n">
        <v>127.284257530397</v>
      </c>
      <c r="AE25" s="29" t="n">
        <v>210.8321759528067</v>
      </c>
      <c r="AF25" s="29" t="n">
        <v>872.6110192604873</v>
      </c>
      <c r="AG25" s="29" t="n">
        <v>150.15274142749</v>
      </c>
      <c r="AH25" s="29" t="n">
        <v>421.7723190560289</v>
      </c>
      <c r="AI25" s="29" t="n">
        <v>26.1178895223796</v>
      </c>
      <c r="AJ25" s="29" t="n">
        <v>314.0167546943328</v>
      </c>
      <c r="AK25" s="29" t="n">
        <v>70.95519252301587</v>
      </c>
      <c r="AL25" s="29" t="n">
        <v>233.5067983218044</v>
      </c>
      <c r="AM25" s="29" t="n">
        <v>2081.523127846527</v>
      </c>
      <c r="AN25" s="29" t="n">
        <v>239.4661061811652</v>
      </c>
      <c r="AO25" s="29" t="n">
        <v>1196.580445377138</v>
      </c>
      <c r="AP25" s="29" t="n">
        <v>549.5635689710249</v>
      </c>
      <c r="AQ25" s="29" t="n">
        <v>111.4043658994902</v>
      </c>
      <c r="AR25" s="29" t="n">
        <v>17.37162160068467</v>
      </c>
      <c r="AS25" s="29" t="n">
        <v>474.1603815337905</v>
      </c>
      <c r="AT25" s="29" t="n">
        <v>1737.4689541728</v>
      </c>
      <c r="AU25" s="29" t="n">
        <v>198.2171940510714</v>
      </c>
      <c r="AV25" s="29" t="n">
        <v>360.6160620556788</v>
      </c>
      <c r="AW25" s="29" t="n">
        <v>353.0839399768098</v>
      </c>
      <c r="AX25" s="29" t="n">
        <v>0</v>
      </c>
      <c r="AY25" s="29" t="n">
        <v>319.9745208288913</v>
      </c>
      <c r="AZ25" s="29" t="n">
        <v>61.86265892025129</v>
      </c>
      <c r="BA25" s="29" t="n">
        <v>401.9390399612358</v>
      </c>
      <c r="BB25" s="29">
        <f>SUM(C25:BA25)</f>
        <v/>
      </c>
      <c r="BC25" s="29" t="n">
        <v>0</v>
      </c>
      <c r="BD25" s="29" t="n">
        <v>0</v>
      </c>
      <c r="BE25" s="29" t="n">
        <v>10731.64395844131</v>
      </c>
      <c r="BF25" s="29" t="n">
        <v>0</v>
      </c>
      <c r="BG25" s="29">
        <f>SUM(BC25:BF25)</f>
        <v/>
      </c>
      <c r="BH25" s="29">
        <f>BB25+BG25</f>
        <v/>
      </c>
    </row>
    <row r="26">
      <c r="A26" s="27" t="n">
        <v>13</v>
      </c>
      <c r="B26" s="28" t="inlineStr">
        <is>
          <t>Jornais revistas discos</t>
        </is>
      </c>
      <c r="C26" s="27" t="n">
        <v>4.616675782891321</v>
      </c>
      <c r="D26" s="27" t="n">
        <v>1.343894768141488</v>
      </c>
      <c r="E26" s="27" t="n">
        <v>5.006791528698008</v>
      </c>
      <c r="F26" s="27" t="n">
        <v>6.306113781581341</v>
      </c>
      <c r="G26" s="27" t="n">
        <v>4.928650337311901</v>
      </c>
      <c r="H26" s="27" t="n">
        <v>246.5288852229095</v>
      </c>
      <c r="I26" s="27" t="n">
        <v>7.497663545330925</v>
      </c>
      <c r="J26" s="27" t="n">
        <v>14.97922996334526</v>
      </c>
      <c r="K26" s="27" t="n">
        <v>19.08744919700636</v>
      </c>
      <c r="L26" s="27" t="n">
        <v>11.142403379993</v>
      </c>
      <c r="M26" s="27" t="n">
        <v>14.77711206301547</v>
      </c>
      <c r="N26" s="27" t="n">
        <v>117.1083920627959</v>
      </c>
      <c r="O26" s="27" t="n">
        <v>963.8709950625097</v>
      </c>
      <c r="P26" s="27" t="n">
        <v>3.770595819601188</v>
      </c>
      <c r="Q26" s="27" t="n">
        <v>3.028494940523948</v>
      </c>
      <c r="R26" s="27" t="n">
        <v>2.389936965224332</v>
      </c>
      <c r="S26" s="27" t="n">
        <v>0.9743624090748748</v>
      </c>
      <c r="T26" s="27" t="n">
        <v>8.436552856688339</v>
      </c>
      <c r="U26" s="27" t="n">
        <v>7.445028612853463</v>
      </c>
      <c r="V26" s="27" t="n">
        <v>8.490833598683912</v>
      </c>
      <c r="W26" s="27" t="n">
        <v>1.950413082435825</v>
      </c>
      <c r="X26" s="27" t="n">
        <v>3.610170646743074</v>
      </c>
      <c r="Y26" s="27" t="n">
        <v>23.82646742144539</v>
      </c>
      <c r="Z26" s="27" t="n">
        <v>14.23855775993091</v>
      </c>
      <c r="AA26" s="27" t="n">
        <v>15.04539408094442</v>
      </c>
      <c r="AB26" s="27" t="n">
        <v>1.534927989096734</v>
      </c>
      <c r="AC26" s="27" t="n">
        <v>17.4249239950632</v>
      </c>
      <c r="AD26" s="27" t="n">
        <v>17.83926705638598</v>
      </c>
      <c r="AE26" s="27" t="n">
        <v>9.848230212597663</v>
      </c>
      <c r="AF26" s="27" t="n">
        <v>109.3751034191752</v>
      </c>
      <c r="AG26" s="27" t="n">
        <v>15.71877910990742</v>
      </c>
      <c r="AH26" s="27" t="n">
        <v>19.26104174567785</v>
      </c>
      <c r="AI26" s="27" t="n">
        <v>2.841653505032053</v>
      </c>
      <c r="AJ26" s="27" t="n">
        <v>27.02777348956241</v>
      </c>
      <c r="AK26" s="27" t="n">
        <v>18.37116578498201</v>
      </c>
      <c r="AL26" s="27" t="n">
        <v>27.23062258797506</v>
      </c>
      <c r="AM26" s="27" t="n">
        <v>2677.490431674124</v>
      </c>
      <c r="AN26" s="27" t="n">
        <v>89.39728708204701</v>
      </c>
      <c r="AO26" s="27" t="n">
        <v>2796.675211284139</v>
      </c>
      <c r="AP26" s="27" t="n">
        <v>779.0318558757506</v>
      </c>
      <c r="AQ26" s="27" t="n">
        <v>147.1952764892598</v>
      </c>
      <c r="AR26" s="27" t="n">
        <v>0.9872331901128529</v>
      </c>
      <c r="AS26" s="27" t="n">
        <v>39.12522377690146</v>
      </c>
      <c r="AT26" s="27" t="n">
        <v>2632.828408353213</v>
      </c>
      <c r="AU26" s="27" t="n">
        <v>19.94585110513214</v>
      </c>
      <c r="AV26" s="27" t="n">
        <v>18.34638825784539</v>
      </c>
      <c r="AW26" s="27" t="n">
        <v>540.7531205929198</v>
      </c>
      <c r="AX26" s="27" t="n">
        <v>0</v>
      </c>
      <c r="AY26" s="27" t="n">
        <v>60.98115887001921</v>
      </c>
      <c r="AZ26" s="27" t="n">
        <v>31.31836272625373</v>
      </c>
      <c r="BA26" s="27" t="n">
        <v>483.4006668477022</v>
      </c>
      <c r="BB26" s="27">
        <f>SUM(C26:BA26)</f>
        <v/>
      </c>
      <c r="BC26" s="27" t="n">
        <v>0</v>
      </c>
      <c r="BD26" s="27" t="n">
        <v>0</v>
      </c>
      <c r="BE26" s="27" t="n">
        <v>343.8505156637356</v>
      </c>
      <c r="BF26" s="27" t="n">
        <v>0</v>
      </c>
      <c r="BG26" s="27">
        <f>SUM(BC26:BF26)</f>
        <v/>
      </c>
      <c r="BH26" s="27">
        <f>BB26+BG26</f>
        <v/>
      </c>
    </row>
    <row r="27">
      <c r="A27" s="29" t="n">
        <v>14</v>
      </c>
      <c r="B27" s="30" t="inlineStr">
        <is>
          <t>Refino de petróleo e coque</t>
        </is>
      </c>
      <c r="C27" s="29" t="n">
        <v>3445.281667606431</v>
      </c>
      <c r="D27" s="29" t="n">
        <v>1611.596343913764</v>
      </c>
      <c r="E27" s="29" t="n">
        <v>624.993987488111</v>
      </c>
      <c r="F27" s="29" t="n">
        <v>714.2089872607758</v>
      </c>
      <c r="G27" s="29" t="n">
        <v>879.2101062096781</v>
      </c>
      <c r="H27" s="29" t="n">
        <v>2752.726539988403</v>
      </c>
      <c r="I27" s="29" t="n">
        <v>15.40562487942025</v>
      </c>
      <c r="J27" s="29" t="n">
        <v>149.5726693189519</v>
      </c>
      <c r="K27" s="29" t="n">
        <v>47.3857579794312</v>
      </c>
      <c r="L27" s="29" t="n">
        <v>112.4417689790396</v>
      </c>
      <c r="M27" s="29" t="n">
        <v>103.2551989110293</v>
      </c>
      <c r="N27" s="29" t="n">
        <v>553.2930931543644</v>
      </c>
      <c r="O27" s="29" t="n">
        <v>13.94268937914321</v>
      </c>
      <c r="P27" s="29" t="n">
        <v>38809.98574667663</v>
      </c>
      <c r="Q27" s="29" t="n">
        <v>188.642710149504</v>
      </c>
      <c r="R27" s="29" t="n">
        <v>6053.579216310292</v>
      </c>
      <c r="S27" s="29" t="n">
        <v>185.924289001772</v>
      </c>
      <c r="T27" s="29" t="n">
        <v>57.0402469225357</v>
      </c>
      <c r="U27" s="29" t="n">
        <v>94.57894328268169</v>
      </c>
      <c r="V27" s="29" t="n">
        <v>206.8690710130751</v>
      </c>
      <c r="W27" s="29" t="n">
        <v>189.2573283537785</v>
      </c>
      <c r="X27" s="29" t="n">
        <v>255.4555856164726</v>
      </c>
      <c r="Y27" s="29" t="n">
        <v>761.925663086157</v>
      </c>
      <c r="Z27" s="29" t="n">
        <v>1342.421309467678</v>
      </c>
      <c r="AA27" s="29" t="n">
        <v>1550.448577571635</v>
      </c>
      <c r="AB27" s="29" t="n">
        <v>728.9821065706439</v>
      </c>
      <c r="AC27" s="29" t="n">
        <v>152.6099987195168</v>
      </c>
      <c r="AD27" s="29" t="n">
        <v>312.5933153560129</v>
      </c>
      <c r="AE27" s="29" t="n">
        <v>322.965747430384</v>
      </c>
      <c r="AF27" s="29" t="n">
        <v>83.29913619552543</v>
      </c>
      <c r="AG27" s="29" t="n">
        <v>333.137401391638</v>
      </c>
      <c r="AH27" s="29" t="n">
        <v>209.7766144629195</v>
      </c>
      <c r="AI27" s="29" t="n">
        <v>38.4548647734846</v>
      </c>
      <c r="AJ27" s="29" t="n">
        <v>98.91906297378381</v>
      </c>
      <c r="AK27" s="29" t="n">
        <v>1840.337191237199</v>
      </c>
      <c r="AL27" s="29" t="n">
        <v>3126.635597939426</v>
      </c>
      <c r="AM27" s="29" t="n">
        <v>3896.987420756997</v>
      </c>
      <c r="AN27" s="29" t="n">
        <v>24437.53433182978</v>
      </c>
      <c r="AO27" s="29" t="n">
        <v>129.8031937555808</v>
      </c>
      <c r="AP27" s="29" t="n">
        <v>178.768885152571</v>
      </c>
      <c r="AQ27" s="29" t="n">
        <v>32.49064211390242</v>
      </c>
      <c r="AR27" s="29" t="n">
        <v>33.05388413545712</v>
      </c>
      <c r="AS27" s="29" t="n">
        <v>534.1324578605013</v>
      </c>
      <c r="AT27" s="29" t="n">
        <v>731.4208174102994</v>
      </c>
      <c r="AU27" s="29" t="n">
        <v>44.10188349036435</v>
      </c>
      <c r="AV27" s="29" t="n">
        <v>112.6180387566064</v>
      </c>
      <c r="AW27" s="29" t="n">
        <v>355.7586809602187</v>
      </c>
      <c r="AX27" s="29" t="n">
        <v>0</v>
      </c>
      <c r="AY27" s="29" t="n">
        <v>105.6395597098417</v>
      </c>
      <c r="AZ27" s="29" t="n">
        <v>39.14354200906324</v>
      </c>
      <c r="BA27" s="29" t="n">
        <v>822.4518191373786</v>
      </c>
      <c r="BB27" s="29">
        <f>SUM(C27:BA27)</f>
        <v/>
      </c>
      <c r="BC27" s="29" t="n">
        <v>0</v>
      </c>
      <c r="BD27" s="29" t="n">
        <v>0</v>
      </c>
      <c r="BE27" s="29" t="n">
        <v>41277.46600715811</v>
      </c>
      <c r="BF27" s="29" t="n">
        <v>0</v>
      </c>
      <c r="BG27" s="29">
        <f>SUM(BC27:BF27)</f>
        <v/>
      </c>
      <c r="BH27" s="29">
        <f>BB27+BG27</f>
        <v/>
      </c>
    </row>
    <row r="28">
      <c r="A28" s="27" t="n">
        <v>15</v>
      </c>
      <c r="B28" s="28" t="inlineStr">
        <is>
          <t>Álcool</t>
        </is>
      </c>
      <c r="C28" s="27" t="n">
        <v>52.23607576795023</v>
      </c>
      <c r="D28" s="27" t="n">
        <v>60.42466856531408</v>
      </c>
      <c r="E28" s="27" t="n">
        <v>144.2901347279906</v>
      </c>
      <c r="F28" s="27" t="n">
        <v>1.174983736948574</v>
      </c>
      <c r="G28" s="27" t="n">
        <v>2.667642998077269</v>
      </c>
      <c r="H28" s="27" t="n">
        <v>805.5658821882766</v>
      </c>
      <c r="I28" s="27" t="n">
        <v>0.1281831039689528</v>
      </c>
      <c r="J28" s="27" t="n">
        <v>1.225160659226236</v>
      </c>
      <c r="K28" s="27" t="n">
        <v>0.3303149985613257</v>
      </c>
      <c r="L28" s="27" t="n">
        <v>0.2948565376930489</v>
      </c>
      <c r="M28" s="27" t="n">
        <v>0.708298807747904</v>
      </c>
      <c r="N28" s="27" t="n">
        <v>2.129057548539624</v>
      </c>
      <c r="O28" s="27" t="n">
        <v>0.2704474610683936</v>
      </c>
      <c r="P28" s="27" t="n">
        <v>1112.63143357735</v>
      </c>
      <c r="Q28" s="27" t="n">
        <v>132.4499118104679</v>
      </c>
      <c r="R28" s="27" t="n">
        <v>137.4299295328101</v>
      </c>
      <c r="S28" s="27" t="n">
        <v>1.13373196836305</v>
      </c>
      <c r="T28" s="27" t="n">
        <v>215.2345812590809</v>
      </c>
      <c r="U28" s="27" t="n">
        <v>51.18004304093601</v>
      </c>
      <c r="V28" s="27" t="n">
        <v>339.7169184533265</v>
      </c>
      <c r="W28" s="27" t="n">
        <v>61.69884267767747</v>
      </c>
      <c r="X28" s="27" t="n">
        <v>52.39280936588967</v>
      </c>
      <c r="Y28" s="27" t="n">
        <v>1.492395709891665</v>
      </c>
      <c r="Z28" s="27" t="n">
        <v>2.424439948699147</v>
      </c>
      <c r="AA28" s="27" t="n">
        <v>6.288004489171279</v>
      </c>
      <c r="AB28" s="27" t="n">
        <v>2.545907546913246</v>
      </c>
      <c r="AC28" s="27" t="n">
        <v>12.98086827404486</v>
      </c>
      <c r="AD28" s="27" t="n">
        <v>5.538804245260097</v>
      </c>
      <c r="AE28" s="27" t="n">
        <v>1.694042828969462</v>
      </c>
      <c r="AF28" s="27" t="n">
        <v>0.4095623888807862</v>
      </c>
      <c r="AG28" s="27" t="n">
        <v>4.745327097315626</v>
      </c>
      <c r="AH28" s="27" t="n">
        <v>1.728810119689189</v>
      </c>
      <c r="AI28" s="27" t="n">
        <v>0.3036151842718813</v>
      </c>
      <c r="AJ28" s="27" t="n">
        <v>1.375528799160619</v>
      </c>
      <c r="AK28" s="27" t="n">
        <v>31.10631158245273</v>
      </c>
      <c r="AL28" s="27" t="n">
        <v>132.8998791824152</v>
      </c>
      <c r="AM28" s="27" t="n">
        <v>94.66475797343981</v>
      </c>
      <c r="AN28" s="27" t="n">
        <v>215.6328915644864</v>
      </c>
      <c r="AO28" s="27" t="n">
        <v>4.773767030180955</v>
      </c>
      <c r="AP28" s="27" t="n">
        <v>2.744781581445424</v>
      </c>
      <c r="AQ28" s="27" t="n">
        <v>0.9003362033303727</v>
      </c>
      <c r="AR28" s="27" t="n">
        <v>11.09449071061445</v>
      </c>
      <c r="AS28" s="27" t="n">
        <v>45.25695977070861</v>
      </c>
      <c r="AT28" s="27" t="n">
        <v>51.44464413079033</v>
      </c>
      <c r="AU28" s="27" t="n">
        <v>2.6287938204033</v>
      </c>
      <c r="AV28" s="27" t="n">
        <v>19.28816562475769</v>
      </c>
      <c r="AW28" s="27" t="n">
        <v>29.39130961289946</v>
      </c>
      <c r="AX28" s="27" t="n">
        <v>0</v>
      </c>
      <c r="AY28" s="27" t="n">
        <v>19.13635674677446</v>
      </c>
      <c r="AZ28" s="27" t="n">
        <v>10.47786254816954</v>
      </c>
      <c r="BA28" s="27" t="n">
        <v>170.3186460796053</v>
      </c>
      <c r="BB28" s="27">
        <f>SUM(C28:BA28)</f>
        <v/>
      </c>
      <c r="BC28" s="27" t="n">
        <v>0</v>
      </c>
      <c r="BD28" s="27" t="n">
        <v>0</v>
      </c>
      <c r="BE28" s="27" t="n">
        <v>6819.076112102453</v>
      </c>
      <c r="BF28" s="27" t="n">
        <v>0</v>
      </c>
      <c r="BG28" s="27">
        <f>SUM(BC28:BF28)</f>
        <v/>
      </c>
      <c r="BH28" s="27">
        <f>BB28+BG28</f>
        <v/>
      </c>
    </row>
    <row r="29">
      <c r="A29" s="29" t="n">
        <v>16</v>
      </c>
      <c r="B29" s="30" t="inlineStr">
        <is>
          <t>Produtos  químicos</t>
        </is>
      </c>
      <c r="C29" s="29" t="n">
        <v>10543.51053878167</v>
      </c>
      <c r="D29" s="29" t="n">
        <v>1448.287825552631</v>
      </c>
      <c r="E29" s="29" t="n">
        <v>1026.086260858428</v>
      </c>
      <c r="F29" s="29" t="n">
        <v>117.0546606032863</v>
      </c>
      <c r="G29" s="29" t="n">
        <v>202.0407657165425</v>
      </c>
      <c r="H29" s="29" t="n">
        <v>897.2136787585065</v>
      </c>
      <c r="I29" s="29" t="n">
        <v>3.152067098076089</v>
      </c>
      <c r="J29" s="29" t="n">
        <v>996.3789779567054</v>
      </c>
      <c r="K29" s="29" t="n">
        <v>100.7906582302166</v>
      </c>
      <c r="L29" s="29" t="n">
        <v>556.2733804173959</v>
      </c>
      <c r="M29" s="29" t="n">
        <v>26.15847074782814</v>
      </c>
      <c r="N29" s="29" t="n">
        <v>1632.932241323512</v>
      </c>
      <c r="O29" s="29" t="n">
        <v>16.64317597456795</v>
      </c>
      <c r="P29" s="29" t="n">
        <v>538.3400525436572</v>
      </c>
      <c r="Q29" s="29" t="n">
        <v>203.4720611331051</v>
      </c>
      <c r="R29" s="29" t="n">
        <v>13450.50433444878</v>
      </c>
      <c r="S29" s="29" t="n">
        <v>8200.361931931278</v>
      </c>
      <c r="T29" s="29" t="n">
        <v>758.1057903388808</v>
      </c>
      <c r="U29" s="29" t="n">
        <v>2186.084755987742</v>
      </c>
      <c r="V29" s="29" t="n">
        <v>2088.171980156691</v>
      </c>
      <c r="W29" s="29" t="n">
        <v>1721.782067186477</v>
      </c>
      <c r="X29" s="29" t="n">
        <v>2562.31968188158</v>
      </c>
      <c r="Y29" s="29" t="n">
        <v>1545.251730827938</v>
      </c>
      <c r="Z29" s="29" t="n">
        <v>754.4114922297534</v>
      </c>
      <c r="AA29" s="29" t="n">
        <v>889.7850418075612</v>
      </c>
      <c r="AB29" s="29" t="n">
        <v>544.7622429660111</v>
      </c>
      <c r="AC29" s="29" t="n">
        <v>366.5309313728317</v>
      </c>
      <c r="AD29" s="29" t="n">
        <v>141.418304440638</v>
      </c>
      <c r="AE29" s="29" t="n">
        <v>186.2984825495824</v>
      </c>
      <c r="AF29" s="29" t="n">
        <v>76.29764120693605</v>
      </c>
      <c r="AG29" s="29" t="n">
        <v>24.85061280140594</v>
      </c>
      <c r="AH29" s="29" t="n">
        <v>39.09751202694815</v>
      </c>
      <c r="AI29" s="29" t="n">
        <v>66.35632089681242</v>
      </c>
      <c r="AJ29" s="29" t="n">
        <v>171.4880873092033</v>
      </c>
      <c r="AK29" s="29" t="n">
        <v>576.4992105080464</v>
      </c>
      <c r="AL29" s="29" t="n">
        <v>51.97064475057519</v>
      </c>
      <c r="AM29" s="29" t="n">
        <v>403.2157812535814</v>
      </c>
      <c r="AN29" s="29" t="n">
        <v>49.50808325067396</v>
      </c>
      <c r="AO29" s="29" t="n">
        <v>57.53289709006995</v>
      </c>
      <c r="AP29" s="29" t="n">
        <v>38.58081319854067</v>
      </c>
      <c r="AQ29" s="29" t="n">
        <v>13.01359591327956</v>
      </c>
      <c r="AR29" s="29" t="n">
        <v>2.115898187041328</v>
      </c>
      <c r="AS29" s="29" t="n">
        <v>34.26164965436897</v>
      </c>
      <c r="AT29" s="29" t="n">
        <v>133.9569363480163</v>
      </c>
      <c r="AU29" s="29" t="n">
        <v>27.3463207647528</v>
      </c>
      <c r="AV29" s="29" t="n">
        <v>470.7683548157927</v>
      </c>
      <c r="AW29" s="29" t="n">
        <v>183.8768670535631</v>
      </c>
      <c r="AX29" s="29" t="n">
        <v>0</v>
      </c>
      <c r="AY29" s="29" t="n">
        <v>44.63289215366122</v>
      </c>
      <c r="AZ29" s="29" t="n">
        <v>141.7411918869158</v>
      </c>
      <c r="BA29" s="29" t="n">
        <v>39.24932797046724</v>
      </c>
      <c r="BB29" s="29">
        <f>SUM(C29:BA29)</f>
        <v/>
      </c>
      <c r="BC29" s="29" t="n">
        <v>0</v>
      </c>
      <c r="BD29" s="29" t="n">
        <v>0</v>
      </c>
      <c r="BE29" s="29" t="n">
        <v>7722.005582862129</v>
      </c>
      <c r="BF29" s="29" t="n">
        <v>0</v>
      </c>
      <c r="BG29" s="29">
        <f>SUM(BC29:BF29)</f>
        <v/>
      </c>
      <c r="BH29" s="29">
        <f>BB29+BG29</f>
        <v/>
      </c>
    </row>
    <row r="30">
      <c r="A30" s="27" t="n">
        <v>17</v>
      </c>
      <c r="B30" s="28" t="inlineStr">
        <is>
          <t>Fabricação de resina e elastômeros</t>
        </is>
      </c>
      <c r="C30" s="27" t="n">
        <v>175.0692573136275</v>
      </c>
      <c r="D30" s="27" t="n">
        <v>18.01904366284986</v>
      </c>
      <c r="E30" s="27" t="n">
        <v>403.0861648721618</v>
      </c>
      <c r="F30" s="27" t="n">
        <v>3.803163024009919</v>
      </c>
      <c r="G30" s="27" t="n">
        <v>7.61386854103992</v>
      </c>
      <c r="H30" s="27" t="n">
        <v>42.47379783500047</v>
      </c>
      <c r="I30" s="27" t="n">
        <v>21.23836520983138</v>
      </c>
      <c r="J30" s="27" t="n">
        <v>2577.96703001033</v>
      </c>
      <c r="K30" s="27" t="n">
        <v>25.89871041916955</v>
      </c>
      <c r="L30" s="27" t="n">
        <v>730.3204895075039</v>
      </c>
      <c r="M30" s="27" t="n">
        <v>367.6056735173821</v>
      </c>
      <c r="N30" s="27" t="n">
        <v>739.9158519575446</v>
      </c>
      <c r="O30" s="27" t="n">
        <v>31.00105054805096</v>
      </c>
      <c r="P30" s="27" t="n">
        <v>1.614260593669634</v>
      </c>
      <c r="Q30" s="27" t="n">
        <v>2.808121429570171</v>
      </c>
      <c r="R30" s="27" t="n">
        <v>224.4332956993594</v>
      </c>
      <c r="S30" s="27" t="n">
        <v>1349.583375935478</v>
      </c>
      <c r="T30" s="27" t="n">
        <v>36.97015546807912</v>
      </c>
      <c r="U30" s="27" t="n">
        <v>65.24694912680049</v>
      </c>
      <c r="V30" s="27" t="n">
        <v>500.7796754520151</v>
      </c>
      <c r="W30" s="27" t="n">
        <v>432.859915503557</v>
      </c>
      <c r="X30" s="27" t="n">
        <v>510.7666203240321</v>
      </c>
      <c r="Y30" s="27" t="n">
        <v>7464.672007584119</v>
      </c>
      <c r="Z30" s="27" t="n">
        <v>764.7813532357756</v>
      </c>
      <c r="AA30" s="27" t="n">
        <v>14.3578047669013</v>
      </c>
      <c r="AB30" s="27" t="n">
        <v>113.0467630143854</v>
      </c>
      <c r="AC30" s="27" t="n">
        <v>444.3623468304269</v>
      </c>
      <c r="AD30" s="27" t="n">
        <v>103.7793471903002</v>
      </c>
      <c r="AE30" s="27" t="n">
        <v>1500.907230058205</v>
      </c>
      <c r="AF30" s="27" t="n">
        <v>343.119373121747</v>
      </c>
      <c r="AG30" s="27" t="n">
        <v>40.41051270174609</v>
      </c>
      <c r="AH30" s="27" t="n">
        <v>919.8698542374939</v>
      </c>
      <c r="AI30" s="27" t="n">
        <v>127.3148388226331</v>
      </c>
      <c r="AJ30" s="27" t="n">
        <v>581.2922489288208</v>
      </c>
      <c r="AK30" s="27" t="n">
        <v>8.707656967940569</v>
      </c>
      <c r="AL30" s="27" t="n">
        <v>53.37038243806436</v>
      </c>
      <c r="AM30" s="27" t="n">
        <v>58.14466058816497</v>
      </c>
      <c r="AN30" s="27" t="n">
        <v>10.48378730889136</v>
      </c>
      <c r="AO30" s="27" t="n">
        <v>13.10861626902883</v>
      </c>
      <c r="AP30" s="27" t="n">
        <v>9.361835915819681</v>
      </c>
      <c r="AQ30" s="27" t="n">
        <v>6.208368363730199</v>
      </c>
      <c r="AR30" s="27" t="n">
        <v>0.6213394478513303</v>
      </c>
      <c r="AS30" s="27" t="n">
        <v>7.682015722201233</v>
      </c>
      <c r="AT30" s="27" t="n">
        <v>31.73983428904409</v>
      </c>
      <c r="AU30" s="27" t="n">
        <v>6.02795356273828</v>
      </c>
      <c r="AV30" s="27" t="n">
        <v>5.78049082931487</v>
      </c>
      <c r="AW30" s="27" t="n">
        <v>18.61806739293139</v>
      </c>
      <c r="AX30" s="27" t="n">
        <v>0</v>
      </c>
      <c r="AY30" s="27" t="n">
        <v>2.841144654506619</v>
      </c>
      <c r="AZ30" s="27" t="n">
        <v>4.764733025679163</v>
      </c>
      <c r="BA30" s="27" t="n">
        <v>8.141179634441386</v>
      </c>
      <c r="BB30" s="27">
        <f>SUM(C30:BA30)</f>
        <v/>
      </c>
      <c r="BC30" s="27" t="n">
        <v>0</v>
      </c>
      <c r="BD30" s="27" t="n">
        <v>0</v>
      </c>
      <c r="BE30" s="27" t="n">
        <v>3901.458874602336</v>
      </c>
      <c r="BF30" s="27" t="n">
        <v>0</v>
      </c>
      <c r="BG30" s="27">
        <f>SUM(BC30:BF30)</f>
        <v/>
      </c>
      <c r="BH30" s="27">
        <f>BB30+BG30</f>
        <v/>
      </c>
    </row>
    <row r="31">
      <c r="A31" s="29" t="n">
        <v>18</v>
      </c>
      <c r="B31" s="30" t="inlineStr">
        <is>
          <t>Produtos farmacêuticos</t>
        </is>
      </c>
      <c r="C31" s="29" t="n">
        <v>233.5902630556687</v>
      </c>
      <c r="D31" s="29" t="n">
        <v>1174.773639371129</v>
      </c>
      <c r="E31" s="29" t="n">
        <v>86.6312986202837</v>
      </c>
      <c r="F31" s="29" t="n">
        <v>4.228479087987493</v>
      </c>
      <c r="G31" s="29" t="n">
        <v>2.838199849597155</v>
      </c>
      <c r="H31" s="29" t="n">
        <v>90.45628871267459</v>
      </c>
      <c r="I31" s="29" t="n">
        <v>2.4107214054906</v>
      </c>
      <c r="J31" s="29" t="n">
        <v>29.62339946033174</v>
      </c>
      <c r="K31" s="29" t="n">
        <v>2.961515694642987</v>
      </c>
      <c r="L31" s="29" t="n">
        <v>11.44611851325818</v>
      </c>
      <c r="M31" s="29" t="n">
        <v>4.599311110557125</v>
      </c>
      <c r="N31" s="29" t="n">
        <v>15.13908566421486</v>
      </c>
      <c r="O31" s="29" t="n">
        <v>1.052990681020315</v>
      </c>
      <c r="P31" s="29" t="n">
        <v>4.109128213661863</v>
      </c>
      <c r="Q31" s="29" t="n">
        <v>1.789906109130124</v>
      </c>
      <c r="R31" s="29" t="n">
        <v>20.34182988775009</v>
      </c>
      <c r="S31" s="29" t="n">
        <v>43.72637714115076</v>
      </c>
      <c r="T31" s="29" t="n">
        <v>1160.640862752271</v>
      </c>
      <c r="U31" s="29" t="n">
        <v>101.2634563489603</v>
      </c>
      <c r="V31" s="29" t="n">
        <v>20.07453197034035</v>
      </c>
      <c r="W31" s="29" t="n">
        <v>9.896276589729883</v>
      </c>
      <c r="X31" s="29" t="n">
        <v>16.72670891524325</v>
      </c>
      <c r="Y31" s="29" t="n">
        <v>79.6251969847624</v>
      </c>
      <c r="Z31" s="29" t="n">
        <v>18.08370581879308</v>
      </c>
      <c r="AA31" s="29" t="n">
        <v>11.08516816205913</v>
      </c>
      <c r="AB31" s="29" t="n">
        <v>4.117813002431199</v>
      </c>
      <c r="AC31" s="29" t="n">
        <v>10.51589075870737</v>
      </c>
      <c r="AD31" s="29" t="n">
        <v>22.19814061959904</v>
      </c>
      <c r="AE31" s="29" t="n">
        <v>19.72589860209458</v>
      </c>
      <c r="AF31" s="29" t="n">
        <v>10.60007178412186</v>
      </c>
      <c r="AG31" s="29" t="n">
        <v>11.52760536843101</v>
      </c>
      <c r="AH31" s="29" t="n">
        <v>11.64320773291847</v>
      </c>
      <c r="AI31" s="29" t="n">
        <v>2.525191971370837</v>
      </c>
      <c r="AJ31" s="29" t="n">
        <v>8.114563696137605</v>
      </c>
      <c r="AK31" s="29" t="n">
        <v>12.4042568132668</v>
      </c>
      <c r="AL31" s="29" t="n">
        <v>82.93842839468687</v>
      </c>
      <c r="AM31" s="29" t="n">
        <v>135.8563650381056</v>
      </c>
      <c r="AN31" s="29" t="n">
        <v>28.99962406320643</v>
      </c>
      <c r="AO31" s="29" t="n">
        <v>37.27832818098503</v>
      </c>
      <c r="AP31" s="29" t="n">
        <v>24.05311079847208</v>
      </c>
      <c r="AQ31" s="29" t="n">
        <v>5.420423060280109</v>
      </c>
      <c r="AR31" s="29" t="n">
        <v>0.4475858102562265</v>
      </c>
      <c r="AS31" s="29" t="n">
        <v>7.69077504891469</v>
      </c>
      <c r="AT31" s="29" t="n">
        <v>50.84604793334824</v>
      </c>
      <c r="AU31" s="29" t="n">
        <v>61.45409546981013</v>
      </c>
      <c r="AV31" s="29" t="n">
        <v>2552.542458549202</v>
      </c>
      <c r="AW31" s="29" t="n">
        <v>216.8726405912679</v>
      </c>
      <c r="AX31" s="29" t="n">
        <v>0</v>
      </c>
      <c r="AY31" s="29" t="n">
        <v>127.6195449130575</v>
      </c>
      <c r="AZ31" s="29" t="n">
        <v>828.1076801979731</v>
      </c>
      <c r="BA31" s="29" t="n">
        <v>142.1546369939651</v>
      </c>
      <c r="BB31" s="29">
        <f>SUM(C31:BA31)</f>
        <v/>
      </c>
      <c r="BC31" s="29" t="n">
        <v>0</v>
      </c>
      <c r="BD31" s="29" t="n">
        <v>0</v>
      </c>
      <c r="BE31" s="29" t="n">
        <v>15108.07009336005</v>
      </c>
      <c r="BF31" s="29" t="n">
        <v>0</v>
      </c>
      <c r="BG31" s="29">
        <f>SUM(BC31:BF31)</f>
        <v/>
      </c>
      <c r="BH31" s="29">
        <f>BB31+BG31</f>
        <v/>
      </c>
    </row>
    <row r="32">
      <c r="A32" s="27" t="n">
        <v>19</v>
      </c>
      <c r="B32" s="28" t="inlineStr">
        <is>
          <t>Defensivos agrícolas</t>
        </is>
      </c>
      <c r="C32" s="27" t="n">
        <v>6948.749614316479</v>
      </c>
      <c r="D32" s="27" t="n">
        <v>677.2858308559605</v>
      </c>
      <c r="E32" s="27" t="n">
        <v>48.03313107862914</v>
      </c>
      <c r="F32" s="27" t="n">
        <v>8.906437069792842</v>
      </c>
      <c r="G32" s="27" t="n">
        <v>42.66696550415597</v>
      </c>
      <c r="H32" s="27" t="n">
        <v>106.0546368764695</v>
      </c>
      <c r="I32" s="27" t="n">
        <v>2.701005040527785</v>
      </c>
      <c r="J32" s="27" t="n">
        <v>156.9189508420717</v>
      </c>
      <c r="K32" s="27" t="n">
        <v>4.686531592771358</v>
      </c>
      <c r="L32" s="27" t="n">
        <v>53.24964375186419</v>
      </c>
      <c r="M32" s="27" t="n">
        <v>25.56942393321017</v>
      </c>
      <c r="N32" s="27" t="n">
        <v>69.53969436544503</v>
      </c>
      <c r="O32" s="27" t="n">
        <v>6.320370869651</v>
      </c>
      <c r="P32" s="27" t="n">
        <v>6.799900725211414</v>
      </c>
      <c r="Q32" s="27" t="n">
        <v>8.322296206281509</v>
      </c>
      <c r="R32" s="27" t="n">
        <v>136.5635346640477</v>
      </c>
      <c r="S32" s="27" t="n">
        <v>316.2725088087208</v>
      </c>
      <c r="T32" s="27" t="n">
        <v>37.78422627135473</v>
      </c>
      <c r="U32" s="27" t="n">
        <v>1574.166972476883</v>
      </c>
      <c r="V32" s="27" t="n">
        <v>329.7614858351421</v>
      </c>
      <c r="W32" s="27" t="n">
        <v>95.55674637641349</v>
      </c>
      <c r="X32" s="27" t="n">
        <v>127.4506531461495</v>
      </c>
      <c r="Y32" s="27" t="n">
        <v>422.9431525248466</v>
      </c>
      <c r="Z32" s="27" t="n">
        <v>47.25538594948907</v>
      </c>
      <c r="AA32" s="27" t="n">
        <v>26.490457118203</v>
      </c>
      <c r="AB32" s="27" t="n">
        <v>12.86815626830004</v>
      </c>
      <c r="AC32" s="27" t="n">
        <v>49.37330907061991</v>
      </c>
      <c r="AD32" s="27" t="n">
        <v>23.64902589463081</v>
      </c>
      <c r="AE32" s="27" t="n">
        <v>80.82818909626386</v>
      </c>
      <c r="AF32" s="27" t="n">
        <v>23.2529012707647</v>
      </c>
      <c r="AG32" s="27" t="n">
        <v>7.604605928235897</v>
      </c>
      <c r="AH32" s="27" t="n">
        <v>46.75764072820987</v>
      </c>
      <c r="AI32" s="27" t="n">
        <v>7.294336041957119</v>
      </c>
      <c r="AJ32" s="27" t="n">
        <v>36.11996743102176</v>
      </c>
      <c r="AK32" s="27" t="n">
        <v>12.01575968946671</v>
      </c>
      <c r="AL32" s="27" t="n">
        <v>17.12890088472053</v>
      </c>
      <c r="AM32" s="27" t="n">
        <v>51.16469291847469</v>
      </c>
      <c r="AN32" s="27" t="n">
        <v>18.50702930041052</v>
      </c>
      <c r="AO32" s="27" t="n">
        <v>22.03535060391225</v>
      </c>
      <c r="AP32" s="27" t="n">
        <v>11.97597150463736</v>
      </c>
      <c r="AQ32" s="27" t="n">
        <v>1.405680138153543</v>
      </c>
      <c r="AR32" s="27" t="n">
        <v>0.09008244484437269</v>
      </c>
      <c r="AS32" s="27" t="n">
        <v>4.027271031248771</v>
      </c>
      <c r="AT32" s="27" t="n">
        <v>68.21832919677742</v>
      </c>
      <c r="AU32" s="27" t="n">
        <v>3.011383086907804</v>
      </c>
      <c r="AV32" s="27" t="n">
        <v>5.040700357413374</v>
      </c>
      <c r="AW32" s="27" t="n">
        <v>364.2852763099803</v>
      </c>
      <c r="AX32" s="27" t="n">
        <v>0</v>
      </c>
      <c r="AY32" s="27" t="n">
        <v>8.343020538262804</v>
      </c>
      <c r="AZ32" s="27" t="n">
        <v>19.81826328572805</v>
      </c>
      <c r="BA32" s="27" t="n">
        <v>15.12123597107022</v>
      </c>
      <c r="BB32" s="27">
        <f>SUM(C32:BA32)</f>
        <v/>
      </c>
      <c r="BC32" s="27" t="n">
        <v>0</v>
      </c>
      <c r="BD32" s="27" t="n">
        <v>0</v>
      </c>
      <c r="BE32" s="27" t="n">
        <v>367.2585067478892</v>
      </c>
      <c r="BF32" s="27" t="n">
        <v>0</v>
      </c>
      <c r="BG32" s="27">
        <f>SUM(BC32:BF32)</f>
        <v/>
      </c>
      <c r="BH32" s="27">
        <f>BB32+BG32</f>
        <v/>
      </c>
    </row>
    <row r="33">
      <c r="A33" s="29" t="n">
        <v>20</v>
      </c>
      <c r="B33" s="30" t="inlineStr">
        <is>
          <t>Perfumaria higiene e limpeza</t>
        </is>
      </c>
      <c r="C33" s="29" t="n">
        <v>214.3663846707365</v>
      </c>
      <c r="D33" s="29" t="n">
        <v>44.85542828976437</v>
      </c>
      <c r="E33" s="29" t="n">
        <v>39.70674481642182</v>
      </c>
      <c r="F33" s="29" t="n">
        <v>23.56390631896288</v>
      </c>
      <c r="G33" s="29" t="n">
        <v>32.10358194942408</v>
      </c>
      <c r="H33" s="29" t="n">
        <v>186.6062255481324</v>
      </c>
      <c r="I33" s="29" t="n">
        <v>5.323139213049888</v>
      </c>
      <c r="J33" s="29" t="n">
        <v>28.33578058208616</v>
      </c>
      <c r="K33" s="29" t="n">
        <v>20.60242996123588</v>
      </c>
      <c r="L33" s="29" t="n">
        <v>10.27629387119667</v>
      </c>
      <c r="M33" s="29" t="n">
        <v>14.78216926045095</v>
      </c>
      <c r="N33" s="29" t="n">
        <v>35.39680801330567</v>
      </c>
      <c r="O33" s="29" t="n">
        <v>4.868665551124768</v>
      </c>
      <c r="P33" s="29" t="n">
        <v>18.69835447216925</v>
      </c>
      <c r="Q33" s="29" t="n">
        <v>5.35694519113913</v>
      </c>
      <c r="R33" s="29" t="n">
        <v>96.1474210926725</v>
      </c>
      <c r="S33" s="29" t="n">
        <v>7.728502724076129</v>
      </c>
      <c r="T33" s="29" t="n">
        <v>30.25082137030702</v>
      </c>
      <c r="U33" s="29" t="n">
        <v>69.87937193365296</v>
      </c>
      <c r="V33" s="29" t="n">
        <v>458.5526216220007</v>
      </c>
      <c r="W33" s="29" t="n">
        <v>14.8249702187536</v>
      </c>
      <c r="X33" s="29" t="n">
        <v>39.64002999458001</v>
      </c>
      <c r="Y33" s="29" t="n">
        <v>32.5098636135034</v>
      </c>
      <c r="Z33" s="29" t="n">
        <v>111.619318854696</v>
      </c>
      <c r="AA33" s="29" t="n">
        <v>39.38346653904601</v>
      </c>
      <c r="AB33" s="29" t="n">
        <v>25.84529003509796</v>
      </c>
      <c r="AC33" s="29" t="n">
        <v>153.0303063910365</v>
      </c>
      <c r="AD33" s="29" t="n">
        <v>50.21628225579843</v>
      </c>
      <c r="AE33" s="29" t="n">
        <v>15.89187186165707</v>
      </c>
      <c r="AF33" s="29" t="n">
        <v>50.09961477478448</v>
      </c>
      <c r="AG33" s="29" t="n">
        <v>17.86023118157617</v>
      </c>
      <c r="AH33" s="29" t="n">
        <v>16.92290357239637</v>
      </c>
      <c r="AI33" s="29" t="n">
        <v>2.684360980928144</v>
      </c>
      <c r="AJ33" s="29" t="n">
        <v>8.15375374979164</v>
      </c>
      <c r="AK33" s="29" t="n">
        <v>39.54104526827717</v>
      </c>
      <c r="AL33" s="29" t="n">
        <v>154.1607686478945</v>
      </c>
      <c r="AM33" s="29" t="n">
        <v>632.560878839842</v>
      </c>
      <c r="AN33" s="29" t="n">
        <v>175.1895931223677</v>
      </c>
      <c r="AO33" s="29" t="n">
        <v>127.3938968153068</v>
      </c>
      <c r="AP33" s="29" t="n">
        <v>31.44910283641183</v>
      </c>
      <c r="AQ33" s="29" t="n">
        <v>5.971381988894117</v>
      </c>
      <c r="AR33" s="29" t="n">
        <v>0.226096277293578</v>
      </c>
      <c r="AS33" s="29" t="n">
        <v>46.38627632156487</v>
      </c>
      <c r="AT33" s="29" t="n">
        <v>266.0066003983995</v>
      </c>
      <c r="AU33" s="29" t="n">
        <v>51.40708953688561</v>
      </c>
      <c r="AV33" s="29" t="n">
        <v>213.7000112375426</v>
      </c>
      <c r="AW33" s="29" t="n">
        <v>848.3919968672731</v>
      </c>
      <c r="AX33" s="29" t="n">
        <v>0</v>
      </c>
      <c r="AY33" s="29" t="n">
        <v>104.8643723315273</v>
      </c>
      <c r="AZ33" s="29" t="n">
        <v>57.24075598718683</v>
      </c>
      <c r="BA33" s="29" t="n">
        <v>93.48658393398375</v>
      </c>
      <c r="BB33" s="29">
        <f>SUM(C33:BA33)</f>
        <v/>
      </c>
      <c r="BC33" s="29" t="n">
        <v>0</v>
      </c>
      <c r="BD33" s="29" t="n">
        <v>0</v>
      </c>
      <c r="BE33" s="29" t="n">
        <v>11751.11464738703</v>
      </c>
      <c r="BF33" s="29" t="n">
        <v>0</v>
      </c>
      <c r="BG33" s="29">
        <f>SUM(BC33:BF33)</f>
        <v/>
      </c>
      <c r="BH33" s="29">
        <f>BB33+BG33</f>
        <v/>
      </c>
    </row>
    <row r="34">
      <c r="A34" s="27" t="n">
        <v>21</v>
      </c>
      <c r="B34" s="28" t="inlineStr">
        <is>
          <t>Tintas vernizes esmaltes e lacas</t>
        </is>
      </c>
      <c r="C34" s="27" t="n">
        <v>8.491475944255676</v>
      </c>
      <c r="D34" s="27" t="n">
        <v>16.80058986041497</v>
      </c>
      <c r="E34" s="27" t="n">
        <v>9.371046355440965</v>
      </c>
      <c r="F34" s="27" t="n">
        <v>2.571364627619724</v>
      </c>
      <c r="G34" s="27" t="n">
        <v>19.53743126394682</v>
      </c>
      <c r="H34" s="27" t="n">
        <v>60.09384748830931</v>
      </c>
      <c r="I34" s="27" t="n">
        <v>0.8434972992750658</v>
      </c>
      <c r="J34" s="27" t="n">
        <v>69.47061575843618</v>
      </c>
      <c r="K34" s="27" t="n">
        <v>28.44866235663498</v>
      </c>
      <c r="L34" s="27" t="n">
        <v>69.63619003742592</v>
      </c>
      <c r="M34" s="27" t="n">
        <v>184.7822594551627</v>
      </c>
      <c r="N34" s="27" t="n">
        <v>557.6060189348973</v>
      </c>
      <c r="O34" s="27" t="n">
        <v>475.7508350935026</v>
      </c>
      <c r="P34" s="27" t="n">
        <v>3.038380672636786</v>
      </c>
      <c r="Q34" s="27" t="n">
        <v>1.674315479913898</v>
      </c>
      <c r="R34" s="27" t="n">
        <v>16.53416836765423</v>
      </c>
      <c r="S34" s="27" t="n">
        <v>41.69431418666662</v>
      </c>
      <c r="T34" s="27" t="n">
        <v>9.535141916827065</v>
      </c>
      <c r="U34" s="27" t="n">
        <v>9.499496413822824</v>
      </c>
      <c r="V34" s="27" t="n">
        <v>24.24426828453342</v>
      </c>
      <c r="W34" s="27" t="n">
        <v>63.21174972900064</v>
      </c>
      <c r="X34" s="27" t="n">
        <v>37.41572021303934</v>
      </c>
      <c r="Y34" s="27" t="n">
        <v>769.4907778225468</v>
      </c>
      <c r="Z34" s="27" t="n">
        <v>380.3899424983009</v>
      </c>
      <c r="AA34" s="27" t="n">
        <v>7.912118569077376</v>
      </c>
      <c r="AB34" s="27" t="n">
        <v>2.295739719116764</v>
      </c>
      <c r="AC34" s="27" t="n">
        <v>244.8547811417115</v>
      </c>
      <c r="AD34" s="27" t="n">
        <v>267.3362354027536</v>
      </c>
      <c r="AE34" s="27" t="n">
        <v>27.67519951269257</v>
      </c>
      <c r="AF34" s="27" t="n">
        <v>170.0407315717302</v>
      </c>
      <c r="AG34" s="27" t="n">
        <v>241.48725556422</v>
      </c>
      <c r="AH34" s="27" t="n">
        <v>146.9771664632343</v>
      </c>
      <c r="AI34" s="27" t="n">
        <v>51.98728840087728</v>
      </c>
      <c r="AJ34" s="27" t="n">
        <v>118.3073003878182</v>
      </c>
      <c r="AK34" s="27" t="n">
        <v>73.81840738994684</v>
      </c>
      <c r="AL34" s="27" t="n">
        <v>2533.436280671403</v>
      </c>
      <c r="AM34" s="27" t="n">
        <v>478.6867401467044</v>
      </c>
      <c r="AN34" s="27" t="n">
        <v>119.8209041563795</v>
      </c>
      <c r="AO34" s="27" t="n">
        <v>188.1393359680087</v>
      </c>
      <c r="AP34" s="27" t="n">
        <v>8.062564545294011</v>
      </c>
      <c r="AQ34" s="27" t="n">
        <v>314.0696491073198</v>
      </c>
      <c r="AR34" s="27" t="n">
        <v>0.3123898333708766</v>
      </c>
      <c r="AS34" s="27" t="n">
        <v>7.028463616464526</v>
      </c>
      <c r="AT34" s="27" t="n">
        <v>22.97856181495682</v>
      </c>
      <c r="AU34" s="27" t="n">
        <v>4.329533075143897</v>
      </c>
      <c r="AV34" s="27" t="n">
        <v>2.258176727033481</v>
      </c>
      <c r="AW34" s="27" t="n">
        <v>162.1990727244435</v>
      </c>
      <c r="AX34" s="27" t="n">
        <v>0</v>
      </c>
      <c r="AY34" s="27" t="n">
        <v>22.94574147868378</v>
      </c>
      <c r="AZ34" s="27" t="n">
        <v>9.512114169161398</v>
      </c>
      <c r="BA34" s="27" t="n">
        <v>83.93694323661563</v>
      </c>
      <c r="BB34" s="27">
        <f>SUM(C34:BA34)</f>
        <v/>
      </c>
      <c r="BC34" s="27" t="n">
        <v>0</v>
      </c>
      <c r="BD34" s="27" t="n">
        <v>0</v>
      </c>
      <c r="BE34" s="27" t="n">
        <v>0</v>
      </c>
      <c r="BF34" s="27" t="n">
        <v>0</v>
      </c>
      <c r="BG34" s="27">
        <f>SUM(BC34:BF34)</f>
        <v/>
      </c>
      <c r="BH34" s="27">
        <f>BB34+BG34</f>
        <v/>
      </c>
    </row>
    <row r="35">
      <c r="A35" s="29" t="n">
        <v>22</v>
      </c>
      <c r="B35" s="30" t="inlineStr">
        <is>
          <t>Produtos e preparados químicos diversos</t>
        </is>
      </c>
      <c r="C35" s="29" t="n">
        <v>118.4300978740638</v>
      </c>
      <c r="D35" s="29" t="n">
        <v>27.77779095847235</v>
      </c>
      <c r="E35" s="29" t="n">
        <v>118.2323740930858</v>
      </c>
      <c r="F35" s="29" t="n">
        <v>87.39713494874164</v>
      </c>
      <c r="G35" s="29" t="n">
        <v>1072.430579464994</v>
      </c>
      <c r="H35" s="29" t="n">
        <v>1454.372839950566</v>
      </c>
      <c r="I35" s="29" t="n">
        <v>6.933961038302496</v>
      </c>
      <c r="J35" s="29" t="n">
        <v>192.1982503136629</v>
      </c>
      <c r="K35" s="29" t="n">
        <v>4.795766647331863</v>
      </c>
      <c r="L35" s="29" t="n">
        <v>94.95477259129207</v>
      </c>
      <c r="M35" s="29" t="n">
        <v>201.7420337475327</v>
      </c>
      <c r="N35" s="29" t="n">
        <v>273.4218819413493</v>
      </c>
      <c r="O35" s="29" t="n">
        <v>146.0370451075542</v>
      </c>
      <c r="P35" s="29" t="n">
        <v>118.3925195068579</v>
      </c>
      <c r="Q35" s="29" t="n">
        <v>41.31489583713999</v>
      </c>
      <c r="R35" s="29" t="n">
        <v>335.5545637939787</v>
      </c>
      <c r="S35" s="29" t="n">
        <v>410.4819820634897</v>
      </c>
      <c r="T35" s="29" t="n">
        <v>304.3770019255888</v>
      </c>
      <c r="U35" s="29" t="n">
        <v>120.9847054513405</v>
      </c>
      <c r="V35" s="29" t="n">
        <v>444.7429759437879</v>
      </c>
      <c r="W35" s="29" t="n">
        <v>284.9383484101337</v>
      </c>
      <c r="X35" s="29" t="n">
        <v>1112.432156956018</v>
      </c>
      <c r="Y35" s="29" t="n">
        <v>776.2564350964337</v>
      </c>
      <c r="Z35" s="29" t="n">
        <v>188.5150393453324</v>
      </c>
      <c r="AA35" s="29" t="n">
        <v>255.2614750760168</v>
      </c>
      <c r="AB35" s="29" t="n">
        <v>30.44226436133161</v>
      </c>
      <c r="AC35" s="29" t="n">
        <v>97.27490659257454</v>
      </c>
      <c r="AD35" s="29" t="n">
        <v>174.3076093328083</v>
      </c>
      <c r="AE35" s="29" t="n">
        <v>101.115305103631</v>
      </c>
      <c r="AF35" s="29" t="n">
        <v>26.66387356159736</v>
      </c>
      <c r="AG35" s="29" t="n">
        <v>39.44094131653036</v>
      </c>
      <c r="AH35" s="29" t="n">
        <v>44.32446828224573</v>
      </c>
      <c r="AI35" s="29" t="n">
        <v>13.96702359009598</v>
      </c>
      <c r="AJ35" s="29" t="n">
        <v>153.9920749784253</v>
      </c>
      <c r="AK35" s="29" t="n">
        <v>100.0868829040974</v>
      </c>
      <c r="AL35" s="29" t="n">
        <v>355.4614140419218</v>
      </c>
      <c r="AM35" s="29" t="n">
        <v>641.224311725568</v>
      </c>
      <c r="AN35" s="29" t="n">
        <v>36.69677732542736</v>
      </c>
      <c r="AO35" s="29" t="n">
        <v>28.30055138684116</v>
      </c>
      <c r="AP35" s="29" t="n">
        <v>24.0352093786569</v>
      </c>
      <c r="AQ35" s="29" t="n">
        <v>25.98658343186205</v>
      </c>
      <c r="AR35" s="29" t="n">
        <v>0.6979148630386298</v>
      </c>
      <c r="AS35" s="29" t="n">
        <v>9.910970064470197</v>
      </c>
      <c r="AT35" s="29" t="n">
        <v>68.0885812243578</v>
      </c>
      <c r="AU35" s="29" t="n">
        <v>9.671528281420374</v>
      </c>
      <c r="AV35" s="29" t="n">
        <v>11.06457350899092</v>
      </c>
      <c r="AW35" s="29" t="n">
        <v>39.75356840210304</v>
      </c>
      <c r="AX35" s="29" t="n">
        <v>0</v>
      </c>
      <c r="AY35" s="29" t="n">
        <v>114.1054601699689</v>
      </c>
      <c r="AZ35" s="29" t="n">
        <v>289.8630672601872</v>
      </c>
      <c r="BA35" s="29" t="n">
        <v>40.11744394803919</v>
      </c>
      <c r="BB35" s="29">
        <f>SUM(C35:BA35)</f>
        <v/>
      </c>
      <c r="BC35" s="29" t="n">
        <v>0</v>
      </c>
      <c r="BD35" s="29" t="n">
        <v>0</v>
      </c>
      <c r="BE35" s="29" t="n">
        <v>3033.452723022909</v>
      </c>
      <c r="BF35" s="29" t="n">
        <v>0</v>
      </c>
      <c r="BG35" s="29">
        <f>SUM(BC35:BF35)</f>
        <v/>
      </c>
      <c r="BH35" s="29">
        <f>BB35+BG35</f>
        <v/>
      </c>
    </row>
    <row r="36">
      <c r="A36" s="27" t="n">
        <v>23</v>
      </c>
      <c r="B36" s="28" t="inlineStr">
        <is>
          <t>Artigos de borracha e plástico</t>
        </is>
      </c>
      <c r="C36" s="27" t="n">
        <v>227.7243155391089</v>
      </c>
      <c r="D36" s="27" t="n">
        <v>92.78860355565422</v>
      </c>
      <c r="E36" s="27" t="n">
        <v>89.27212477850082</v>
      </c>
      <c r="F36" s="27" t="n">
        <v>208.9692517042274</v>
      </c>
      <c r="G36" s="27" t="n">
        <v>135.5839391144435</v>
      </c>
      <c r="H36" s="27" t="n">
        <v>4793.156319626309</v>
      </c>
      <c r="I36" s="27" t="n">
        <v>6.091392546308547</v>
      </c>
      <c r="J36" s="27" t="n">
        <v>193.3996384629532</v>
      </c>
      <c r="K36" s="27" t="n">
        <v>181.8418797950227</v>
      </c>
      <c r="L36" s="27" t="n">
        <v>509.3231527179234</v>
      </c>
      <c r="M36" s="27" t="n">
        <v>118.7396508551492</v>
      </c>
      <c r="N36" s="27" t="n">
        <v>329.0426060676501</v>
      </c>
      <c r="O36" s="27" t="n">
        <v>486.0067301918742</v>
      </c>
      <c r="P36" s="27" t="n">
        <v>41.06864072803528</v>
      </c>
      <c r="Q36" s="27" t="n">
        <v>12.37726561222938</v>
      </c>
      <c r="R36" s="27" t="n">
        <v>454.0591347435553</v>
      </c>
      <c r="S36" s="27" t="n">
        <v>174.8537961460388</v>
      </c>
      <c r="T36" s="27" t="n">
        <v>149.516607275385</v>
      </c>
      <c r="U36" s="27" t="n">
        <v>129.4859395751283</v>
      </c>
      <c r="V36" s="27" t="n">
        <v>672.6362850723732</v>
      </c>
      <c r="W36" s="27" t="n">
        <v>64.62318422863598</v>
      </c>
      <c r="X36" s="27" t="n">
        <v>108.0065574228001</v>
      </c>
      <c r="Y36" s="27" t="n">
        <v>6257.649175467412</v>
      </c>
      <c r="Z36" s="27" t="n">
        <v>857.4531672746081</v>
      </c>
      <c r="AA36" s="27" t="n">
        <v>335.2522342478208</v>
      </c>
      <c r="AB36" s="27" t="n">
        <v>14.89673793351425</v>
      </c>
      <c r="AC36" s="27" t="n">
        <v>310.1275385799835</v>
      </c>
      <c r="AD36" s="27" t="n">
        <v>1400.964956954626</v>
      </c>
      <c r="AE36" s="27" t="n">
        <v>943.584731651983</v>
      </c>
      <c r="AF36" s="27" t="n">
        <v>804.9775975969312</v>
      </c>
      <c r="AG36" s="27" t="n">
        <v>3497.857581743556</v>
      </c>
      <c r="AH36" s="27" t="n">
        <v>2173.295343344963</v>
      </c>
      <c r="AI36" s="27" t="n">
        <v>331.9069044523048</v>
      </c>
      <c r="AJ36" s="27" t="n">
        <v>835.4427025142112</v>
      </c>
      <c r="AK36" s="27" t="n">
        <v>206.2142317195423</v>
      </c>
      <c r="AL36" s="27" t="n">
        <v>4284.483975805882</v>
      </c>
      <c r="AM36" s="27" t="n">
        <v>2195.705505152583</v>
      </c>
      <c r="AN36" s="27" t="n">
        <v>2666.233418706223</v>
      </c>
      <c r="AO36" s="27" t="n">
        <v>59.33665930037728</v>
      </c>
      <c r="AP36" s="27" t="n">
        <v>50.20598358683224</v>
      </c>
      <c r="AQ36" s="27" t="n">
        <v>43.38212766264969</v>
      </c>
      <c r="AR36" s="27" t="n">
        <v>32.62295288923598</v>
      </c>
      <c r="AS36" s="27" t="n">
        <v>164.9774280910678</v>
      </c>
      <c r="AT36" s="27" t="n">
        <v>427.7706385222313</v>
      </c>
      <c r="AU36" s="27" t="n">
        <v>23.9753105699939</v>
      </c>
      <c r="AV36" s="27" t="n">
        <v>168.9956183925693</v>
      </c>
      <c r="AW36" s="27" t="n">
        <v>154.0391528542831</v>
      </c>
      <c r="AX36" s="27" t="n">
        <v>0</v>
      </c>
      <c r="AY36" s="27" t="n">
        <v>122.8359771381231</v>
      </c>
      <c r="AZ36" s="27" t="n">
        <v>229.0985243341724</v>
      </c>
      <c r="BA36" s="27" t="n">
        <v>92.57762470389589</v>
      </c>
      <c r="BB36" s="27">
        <f>SUM(C36:BA36)</f>
        <v/>
      </c>
      <c r="BC36" s="27" t="n">
        <v>0</v>
      </c>
      <c r="BD36" s="27" t="n">
        <v>0</v>
      </c>
      <c r="BE36" s="27" t="n">
        <v>8589.494970569347</v>
      </c>
      <c r="BF36" s="27" t="n">
        <v>0</v>
      </c>
      <c r="BG36" s="27">
        <f>SUM(BC36:BF36)</f>
        <v/>
      </c>
      <c r="BH36" s="27">
        <f>BB36+BG36</f>
        <v/>
      </c>
    </row>
    <row r="37">
      <c r="A37" s="29" t="n">
        <v>24</v>
      </c>
      <c r="B37" s="30" t="inlineStr">
        <is>
          <t>Cimento e outros produtos de minerais não-metálicos</t>
        </is>
      </c>
      <c r="C37" s="29" t="n">
        <v>1078.315344586635</v>
      </c>
      <c r="D37" s="29" t="n">
        <v>855.3216676343829</v>
      </c>
      <c r="E37" s="29" t="n">
        <v>66.91800759044706</v>
      </c>
      <c r="F37" s="29" t="n">
        <v>3.190412179709458</v>
      </c>
      <c r="G37" s="29" t="n">
        <v>40.22916913916407</v>
      </c>
      <c r="H37" s="29" t="n">
        <v>1202.58665966931</v>
      </c>
      <c r="I37" s="29" t="n">
        <v>0.6612663710625679</v>
      </c>
      <c r="J37" s="29" t="n">
        <v>14.33342714148809</v>
      </c>
      <c r="K37" s="29" t="n">
        <v>16.33376717111605</v>
      </c>
      <c r="L37" s="29" t="n">
        <v>8.560970251191787</v>
      </c>
      <c r="M37" s="29" t="n">
        <v>8.29281587843629</v>
      </c>
      <c r="N37" s="29" t="n">
        <v>88.18355465555301</v>
      </c>
      <c r="O37" s="29" t="n">
        <v>16.23170707874889</v>
      </c>
      <c r="P37" s="29" t="n">
        <v>2.797370617303671</v>
      </c>
      <c r="Q37" s="29" t="n">
        <v>1.150684873050654</v>
      </c>
      <c r="R37" s="29" t="n">
        <v>187.8843270931883</v>
      </c>
      <c r="S37" s="29" t="n">
        <v>4.021674581352967</v>
      </c>
      <c r="T37" s="29" t="n">
        <v>19.02182534171487</v>
      </c>
      <c r="U37" s="29" t="n">
        <v>1.814347190848566</v>
      </c>
      <c r="V37" s="29" t="n">
        <v>124.3823980793956</v>
      </c>
      <c r="W37" s="29" t="n">
        <v>21.59272884256217</v>
      </c>
      <c r="X37" s="29" t="n">
        <v>82.20232287658655</v>
      </c>
      <c r="Y37" s="29" t="n">
        <v>213.6808110352395</v>
      </c>
      <c r="Z37" s="29" t="n">
        <v>3623.02183004372</v>
      </c>
      <c r="AA37" s="29" t="n">
        <v>192.0891279139178</v>
      </c>
      <c r="AB37" s="29" t="n">
        <v>4.269311635974249</v>
      </c>
      <c r="AC37" s="29" t="n">
        <v>66.26901083781385</v>
      </c>
      <c r="AD37" s="29" t="n">
        <v>207.9773115015504</v>
      </c>
      <c r="AE37" s="29" t="n">
        <v>126.9058124011568</v>
      </c>
      <c r="AF37" s="29" t="n">
        <v>17.41884363888343</v>
      </c>
      <c r="AG37" s="29" t="n">
        <v>705.5051063097189</v>
      </c>
      <c r="AH37" s="29" t="n">
        <v>55.17878905176658</v>
      </c>
      <c r="AI37" s="29" t="n">
        <v>47.64211474952693</v>
      </c>
      <c r="AJ37" s="29" t="n">
        <v>183.7143635697559</v>
      </c>
      <c r="AK37" s="29" t="n">
        <v>736.1826041060885</v>
      </c>
      <c r="AL37" s="29" t="n">
        <v>19032.14879469131</v>
      </c>
      <c r="AM37" s="29" t="n">
        <v>180.906906644643</v>
      </c>
      <c r="AN37" s="29" t="n">
        <v>22.39460293390106</v>
      </c>
      <c r="AO37" s="29" t="n">
        <v>28.20169915415286</v>
      </c>
      <c r="AP37" s="29" t="n">
        <v>19.09444492250318</v>
      </c>
      <c r="AQ37" s="29" t="n">
        <v>713.8257400389034</v>
      </c>
      <c r="AR37" s="29" t="n">
        <v>1.218314493772539</v>
      </c>
      <c r="AS37" s="29" t="n">
        <v>231.7852070778875</v>
      </c>
      <c r="AT37" s="29" t="n">
        <v>35.29667078673975</v>
      </c>
      <c r="AU37" s="29" t="n">
        <v>14.37692531699926</v>
      </c>
      <c r="AV37" s="29" t="n">
        <v>32.90037281042742</v>
      </c>
      <c r="AW37" s="29" t="n">
        <v>110.4231658622757</v>
      </c>
      <c r="AX37" s="29" t="n">
        <v>0</v>
      </c>
      <c r="AY37" s="29" t="n">
        <v>71.88891469378996</v>
      </c>
      <c r="AZ37" s="29" t="n">
        <v>58.66420371322512</v>
      </c>
      <c r="BA37" s="29" t="n">
        <v>170.3155804982582</v>
      </c>
      <c r="BB37" s="29">
        <f>SUM(C37:BA37)</f>
        <v/>
      </c>
      <c r="BC37" s="29" t="n">
        <v>0</v>
      </c>
      <c r="BD37" s="29" t="n">
        <v>0</v>
      </c>
      <c r="BE37" s="29" t="n">
        <v>2679.542728189825</v>
      </c>
      <c r="BF37" s="29" t="n">
        <v>0</v>
      </c>
      <c r="BG37" s="29">
        <f>SUM(BC37:BF37)</f>
        <v/>
      </c>
      <c r="BH37" s="29">
        <f>BB37+BG37</f>
        <v/>
      </c>
    </row>
    <row r="38">
      <c r="A38" s="27" t="n">
        <v>25</v>
      </c>
      <c r="B38" s="28" t="inlineStr">
        <is>
          <t>Fabricação de aço e derivados</t>
        </is>
      </c>
      <c r="C38" s="27" t="n">
        <v>78.81853070200556</v>
      </c>
      <c r="D38" s="27" t="n">
        <v>155.644859689102</v>
      </c>
      <c r="E38" s="27" t="n">
        <v>981.3792911483531</v>
      </c>
      <c r="F38" s="27" t="n">
        <v>13.94656718383431</v>
      </c>
      <c r="G38" s="27" t="n">
        <v>125.1233413201359</v>
      </c>
      <c r="H38" s="27" t="n">
        <v>253.2864758883404</v>
      </c>
      <c r="I38" s="27" t="n">
        <v>2.5832726450684</v>
      </c>
      <c r="J38" s="27" t="n">
        <v>5.725467094070066</v>
      </c>
      <c r="K38" s="27" t="n">
        <v>5.036793065586965</v>
      </c>
      <c r="L38" s="27" t="n">
        <v>3.955374924517918</v>
      </c>
      <c r="M38" s="27" t="n">
        <v>9.885811203636038</v>
      </c>
      <c r="N38" s="27" t="n">
        <v>87.75172306575223</v>
      </c>
      <c r="O38" s="27" t="n">
        <v>3.938040307970015</v>
      </c>
      <c r="P38" s="27" t="n">
        <v>9.682996892894012</v>
      </c>
      <c r="Q38" s="27" t="n">
        <v>2.349199000939328</v>
      </c>
      <c r="R38" s="27" t="n">
        <v>11.38394963294865</v>
      </c>
      <c r="S38" s="27" t="n">
        <v>6.041476809253818</v>
      </c>
      <c r="T38" s="27" t="n">
        <v>11.09280808451825</v>
      </c>
      <c r="U38" s="27" t="n">
        <v>3.338166480355991</v>
      </c>
      <c r="V38" s="27" t="n">
        <v>18.41190702026354</v>
      </c>
      <c r="W38" s="27" t="n">
        <v>12.84199709343893</v>
      </c>
      <c r="X38" s="27" t="n">
        <v>15.80269915215202</v>
      </c>
      <c r="Y38" s="27" t="n">
        <v>484.1559461002157</v>
      </c>
      <c r="Z38" s="27" t="n">
        <v>292.9750764680992</v>
      </c>
      <c r="AA38" s="27" t="n">
        <v>7723.167088230404</v>
      </c>
      <c r="AB38" s="27" t="n">
        <v>579.7587463252214</v>
      </c>
      <c r="AC38" s="27" t="n">
        <v>10921.33233252347</v>
      </c>
      <c r="AD38" s="27" t="n">
        <v>5265.050525417924</v>
      </c>
      <c r="AE38" s="27" t="n">
        <v>1916.611840290095</v>
      </c>
      <c r="AF38" s="27" t="n">
        <v>113.5735800637888</v>
      </c>
      <c r="AG38" s="27" t="n">
        <v>3448.799118640281</v>
      </c>
      <c r="AH38" s="27" t="n">
        <v>5533.709588442129</v>
      </c>
      <c r="AI38" s="27" t="n">
        <v>451.3618955826273</v>
      </c>
      <c r="AJ38" s="27" t="n">
        <v>727.5979227177525</v>
      </c>
      <c r="AK38" s="27" t="n">
        <v>169.7950896627108</v>
      </c>
      <c r="AL38" s="27" t="n">
        <v>8320.285676672935</v>
      </c>
      <c r="AM38" s="27" t="n">
        <v>593.1414559384189</v>
      </c>
      <c r="AN38" s="27" t="n">
        <v>55.5735743575594</v>
      </c>
      <c r="AO38" s="27" t="n">
        <v>58.08381383219731</v>
      </c>
      <c r="AP38" s="27" t="n">
        <v>44.03240992154575</v>
      </c>
      <c r="AQ38" s="27" t="n">
        <v>15.67611069274081</v>
      </c>
      <c r="AR38" s="27" t="n">
        <v>1.864407957823403</v>
      </c>
      <c r="AS38" s="27" t="n">
        <v>43.10182055433234</v>
      </c>
      <c r="AT38" s="27" t="n">
        <v>176.3351004556471</v>
      </c>
      <c r="AU38" s="27" t="n">
        <v>25.45251933525029</v>
      </c>
      <c r="AV38" s="27" t="n">
        <v>10.70001154879039</v>
      </c>
      <c r="AW38" s="27" t="n">
        <v>47.60634282361589</v>
      </c>
      <c r="AX38" s="27" t="n">
        <v>0</v>
      </c>
      <c r="AY38" s="27" t="n">
        <v>27.51092509185009</v>
      </c>
      <c r="AZ38" s="27" t="n">
        <v>15.67506801404187</v>
      </c>
      <c r="BA38" s="27" t="n">
        <v>106.5146302862997</v>
      </c>
      <c r="BB38" s="27">
        <f>SUM(C38:BA38)</f>
        <v/>
      </c>
      <c r="BC38" s="27" t="n">
        <v>0</v>
      </c>
      <c r="BD38" s="27" t="n">
        <v>0</v>
      </c>
      <c r="BE38" s="27" t="n">
        <v>18595.93122248315</v>
      </c>
      <c r="BF38" s="27" t="n">
        <v>0</v>
      </c>
      <c r="BG38" s="27">
        <f>SUM(BC38:BF38)</f>
        <v/>
      </c>
      <c r="BH38" s="27">
        <f>BB38+BG38</f>
        <v/>
      </c>
    </row>
    <row r="39">
      <c r="A39" s="29" t="n">
        <v>26</v>
      </c>
      <c r="B39" s="30" t="inlineStr">
        <is>
          <t>Metalurgia de metais não-ferrosos</t>
        </is>
      </c>
      <c r="C39" s="29" t="n">
        <v>268.9869708940919</v>
      </c>
      <c r="D39" s="29" t="n">
        <v>38.69202494736827</v>
      </c>
      <c r="E39" s="29" t="n">
        <v>27.44410396414674</v>
      </c>
      <c r="F39" s="29" t="n">
        <v>6.706294448662267</v>
      </c>
      <c r="G39" s="29" t="n">
        <v>33.77809832018588</v>
      </c>
      <c r="H39" s="29" t="n">
        <v>334.4028200868543</v>
      </c>
      <c r="I39" s="29" t="n">
        <v>0.8387127865080046</v>
      </c>
      <c r="J39" s="29" t="n">
        <v>7.122088983441441</v>
      </c>
      <c r="K39" s="29" t="n">
        <v>7.073309409976742</v>
      </c>
      <c r="L39" s="29" t="n">
        <v>5.822709138602448</v>
      </c>
      <c r="M39" s="29" t="n">
        <v>3.572041015359727</v>
      </c>
      <c r="N39" s="29" t="n">
        <v>129.0390063554022</v>
      </c>
      <c r="O39" s="29" t="n">
        <v>137.0960460598089</v>
      </c>
      <c r="P39" s="29" t="n">
        <v>3.569385166871021</v>
      </c>
      <c r="Q39" s="29" t="n">
        <v>1.507948467981417</v>
      </c>
      <c r="R39" s="29" t="n">
        <v>276.2136924374356</v>
      </c>
      <c r="S39" s="29" t="n">
        <v>19.37627896249401</v>
      </c>
      <c r="T39" s="29" t="n">
        <v>8.373608061378079</v>
      </c>
      <c r="U39" s="29" t="n">
        <v>8.607555541454039</v>
      </c>
      <c r="V39" s="29" t="n">
        <v>17.81349877967566</v>
      </c>
      <c r="W39" s="29" t="n">
        <v>19.95940486982771</v>
      </c>
      <c r="X39" s="29" t="n">
        <v>124.1779037052038</v>
      </c>
      <c r="Y39" s="29" t="n">
        <v>45.49574355419657</v>
      </c>
      <c r="Z39" s="29" t="n">
        <v>61.59970366881479</v>
      </c>
      <c r="AA39" s="29" t="n">
        <v>705.0007439275181</v>
      </c>
      <c r="AB39" s="29" t="n">
        <v>3191.16150883569</v>
      </c>
      <c r="AC39" s="29" t="n">
        <v>793.0378343302613</v>
      </c>
      <c r="AD39" s="29" t="n">
        <v>1121.365491096924</v>
      </c>
      <c r="AE39" s="29" t="n">
        <v>2481.183461912052</v>
      </c>
      <c r="AF39" s="29" t="n">
        <v>108.6473186220488</v>
      </c>
      <c r="AG39" s="29" t="n">
        <v>243.8062170341556</v>
      </c>
      <c r="AH39" s="29" t="n">
        <v>2327.681622316385</v>
      </c>
      <c r="AI39" s="29" t="n">
        <v>293.8638825437698</v>
      </c>
      <c r="AJ39" s="29" t="n">
        <v>852.8595819353435</v>
      </c>
      <c r="AK39" s="29" t="n">
        <v>91.60997471056899</v>
      </c>
      <c r="AL39" s="29" t="n">
        <v>1452.840696857456</v>
      </c>
      <c r="AM39" s="29" t="n">
        <v>268.6864709566195</v>
      </c>
      <c r="AN39" s="29" t="n">
        <v>32.71562503443039</v>
      </c>
      <c r="AO39" s="29" t="n">
        <v>33.67511153096133</v>
      </c>
      <c r="AP39" s="29" t="n">
        <v>28.81336566148795</v>
      </c>
      <c r="AQ39" s="29" t="n">
        <v>32.59752752287399</v>
      </c>
      <c r="AR39" s="29" t="n">
        <v>1.88196611386791</v>
      </c>
      <c r="AS39" s="29" t="n">
        <v>29.16030599967171</v>
      </c>
      <c r="AT39" s="29" t="n">
        <v>51.82520208773091</v>
      </c>
      <c r="AU39" s="29" t="n">
        <v>22.32020169528699</v>
      </c>
      <c r="AV39" s="29" t="n">
        <v>20.37283046000949</v>
      </c>
      <c r="AW39" s="29" t="n">
        <v>43.99107529671085</v>
      </c>
      <c r="AX39" s="29" t="n">
        <v>0</v>
      </c>
      <c r="AY39" s="29" t="n">
        <v>6.522565623863755</v>
      </c>
      <c r="AZ39" s="29" t="n">
        <v>7.446820814386416</v>
      </c>
      <c r="BA39" s="29" t="n">
        <v>27.45340637132756</v>
      </c>
      <c r="BB39" s="29">
        <f>SUM(C39:BA39)</f>
        <v/>
      </c>
      <c r="BC39" s="29" t="n">
        <v>0</v>
      </c>
      <c r="BD39" s="29" t="n">
        <v>0</v>
      </c>
      <c r="BE39" s="29" t="n">
        <v>6460.084087832458</v>
      </c>
      <c r="BF39" s="29" t="n">
        <v>0</v>
      </c>
      <c r="BG39" s="29">
        <f>SUM(BC39:BF39)</f>
        <v/>
      </c>
      <c r="BH39" s="29">
        <f>BB39+BG39</f>
        <v/>
      </c>
    </row>
    <row r="40">
      <c r="A40" s="28" t="inlineStr">
        <is>
          <t>Produtos de metal</t>
        </is>
      </c>
      <c r="B40" s="28" t="inlineStr">
        <is>
          <t>exclusive máquinas e equipamentos</t>
        </is>
      </c>
      <c r="C40" s="27" t="n">
        <v>150.1013736852883</v>
      </c>
      <c r="D40" s="27" t="n">
        <v>240.6818146517789</v>
      </c>
      <c r="E40" s="27" t="n">
        <v>523.3894143005716</v>
      </c>
      <c r="F40" s="27" t="n">
        <v>243.1467909044137</v>
      </c>
      <c r="G40" s="27" t="n">
        <v>132.1975544199427</v>
      </c>
      <c r="H40" s="27" t="n">
        <v>3139.091493995656</v>
      </c>
      <c r="I40" s="27" t="n">
        <v>17.81420530028017</v>
      </c>
      <c r="J40" s="27" t="n">
        <v>51.15118219229809</v>
      </c>
      <c r="K40" s="27" t="n">
        <v>58.04709874382122</v>
      </c>
      <c r="L40" s="27" t="n">
        <v>41.48894490816478</v>
      </c>
      <c r="M40" s="27" t="n">
        <v>213.9665081617745</v>
      </c>
      <c r="N40" s="27" t="n">
        <v>66.274637986854</v>
      </c>
      <c r="O40" s="27" t="n">
        <v>21.79846300313292</v>
      </c>
      <c r="P40" s="27" t="n">
        <v>124.724987631123</v>
      </c>
      <c r="Q40" s="27" t="n">
        <v>19.40662350743171</v>
      </c>
      <c r="R40" s="27" t="n">
        <v>158.5255347943657</v>
      </c>
      <c r="S40" s="27" t="n">
        <v>69.0352003940252</v>
      </c>
      <c r="T40" s="27" t="n">
        <v>52.2418349689171</v>
      </c>
      <c r="U40" s="27" t="n">
        <v>20.62604509945262</v>
      </c>
      <c r="V40" s="27" t="n">
        <v>369.8431030731701</v>
      </c>
      <c r="W40" s="27" t="n">
        <v>291.8313850717595</v>
      </c>
      <c r="X40" s="27" t="n">
        <v>29.33624913470758</v>
      </c>
      <c r="Y40" s="27" t="n">
        <v>114.3063928823848</v>
      </c>
      <c r="Z40" s="27" t="n">
        <v>99.05141789280668</v>
      </c>
      <c r="AA40" s="27" t="n">
        <v>1263.319986445525</v>
      </c>
      <c r="AB40" s="27" t="n">
        <v>135.5122263368582</v>
      </c>
      <c r="AC40" s="27" t="n">
        <v>3174.821556460741</v>
      </c>
      <c r="AD40" s="27" t="n">
        <v>3348.656525684583</v>
      </c>
      <c r="AE40" s="27" t="n">
        <v>1010.559313564651</v>
      </c>
      <c r="AF40" s="27" t="n">
        <v>552.4148725825511</v>
      </c>
      <c r="AG40" s="27" t="n">
        <v>1591.894780919063</v>
      </c>
      <c r="AH40" s="27" t="n">
        <v>1432.041819988922</v>
      </c>
      <c r="AI40" s="27" t="n">
        <v>729.3971460598246</v>
      </c>
      <c r="AJ40" s="27" t="n">
        <v>488.361309388192</v>
      </c>
      <c r="AK40" s="27" t="n">
        <v>999.3168686102547</v>
      </c>
      <c r="AL40" s="27" t="n">
        <v>8767.163223154928</v>
      </c>
      <c r="AM40" s="27" t="n">
        <v>646.0917914297705</v>
      </c>
      <c r="AN40" s="27" t="n">
        <v>122.2694514105188</v>
      </c>
      <c r="AO40" s="27" t="n">
        <v>67.31079720780716</v>
      </c>
      <c r="AP40" s="27" t="n">
        <v>30.78557018093687</v>
      </c>
      <c r="AQ40" s="27" t="n">
        <v>158.4914067689145</v>
      </c>
      <c r="AR40" s="27" t="n">
        <v>2.280746523092268</v>
      </c>
      <c r="AS40" s="27" t="n">
        <v>646.0330699723771</v>
      </c>
      <c r="AT40" s="27" t="n">
        <v>120.4014569974847</v>
      </c>
      <c r="AU40" s="27" t="n">
        <v>22.59415942392252</v>
      </c>
      <c r="AV40" s="27" t="n">
        <v>17.61650174492435</v>
      </c>
      <c r="AW40" s="27" t="n">
        <v>167.0175189101365</v>
      </c>
      <c r="AX40" s="27" t="n">
        <v>0</v>
      </c>
      <c r="AY40" s="27" t="n">
        <v>29.49995284054089</v>
      </c>
      <c r="AZ40" s="27" t="n">
        <v>34.52721685579606</v>
      </c>
      <c r="BA40" s="27" t="n">
        <v>422.3089472559786</v>
      </c>
      <c r="BB40" s="27">
        <f>SUM(C40:BA40)</f>
        <v/>
      </c>
      <c r="BC40" s="27" t="n">
        <v>0</v>
      </c>
      <c r="BD40" s="27" t="n">
        <v>0</v>
      </c>
      <c r="BE40" s="27" t="n">
        <v>10622.18864853378</v>
      </c>
      <c r="BF40" s="27" t="n">
        <v>0</v>
      </c>
      <c r="BG40" s="27">
        <f>SUM(BC40:BF40)</f>
        <v/>
      </c>
      <c r="BH40" s="27">
        <f>BB40+BG40</f>
        <v/>
      </c>
    </row>
    <row r="41">
      <c r="A41" s="29" t="n">
        <v>28</v>
      </c>
      <c r="B41" s="30" t="inlineStr">
        <is>
          <t>Máquinas e equipamentos inclusive manutenção e reparos</t>
        </is>
      </c>
      <c r="C41" s="29" t="n">
        <v>78.0069100946245</v>
      </c>
      <c r="D41" s="29" t="n">
        <v>37.1096699035735</v>
      </c>
      <c r="E41" s="29" t="n">
        <v>2348.582836690572</v>
      </c>
      <c r="F41" s="29" t="n">
        <v>1543.435440196715</v>
      </c>
      <c r="G41" s="29" t="n">
        <v>908.5036036800843</v>
      </c>
      <c r="H41" s="29" t="n">
        <v>996.8491288514692</v>
      </c>
      <c r="I41" s="29" t="n">
        <v>10.00875719516693</v>
      </c>
      <c r="J41" s="29" t="n">
        <v>124.5992756195423</v>
      </c>
      <c r="K41" s="29" t="n">
        <v>214.7579562365416</v>
      </c>
      <c r="L41" s="29" t="n">
        <v>81.4516953548427</v>
      </c>
      <c r="M41" s="29" t="n">
        <v>293.1110999121772</v>
      </c>
      <c r="N41" s="29" t="n">
        <v>747.9341589287307</v>
      </c>
      <c r="O41" s="29" t="n">
        <v>454.2261909838213</v>
      </c>
      <c r="P41" s="29" t="n">
        <v>208.3030048119499</v>
      </c>
      <c r="Q41" s="29" t="n">
        <v>123.3748599046481</v>
      </c>
      <c r="R41" s="29" t="n">
        <v>328.7900989149134</v>
      </c>
      <c r="S41" s="29" t="n">
        <v>147.4590858412137</v>
      </c>
      <c r="T41" s="29" t="n">
        <v>160.4768623598866</v>
      </c>
      <c r="U41" s="29" t="n">
        <v>50.44708267557184</v>
      </c>
      <c r="V41" s="29" t="n">
        <v>80.80598759197683</v>
      </c>
      <c r="W41" s="29" t="n">
        <v>85.18726477487269</v>
      </c>
      <c r="X41" s="29" t="n">
        <v>136.3708328024202</v>
      </c>
      <c r="Y41" s="29" t="n">
        <v>279.0422131269339</v>
      </c>
      <c r="Z41" s="29" t="n">
        <v>789.4710955698226</v>
      </c>
      <c r="AA41" s="29" t="n">
        <v>3711.668786630531</v>
      </c>
      <c r="AB41" s="29" t="n">
        <v>675.2684095791308</v>
      </c>
      <c r="AC41" s="29" t="n">
        <v>363.1949821496745</v>
      </c>
      <c r="AD41" s="29" t="n">
        <v>13028.89903986426</v>
      </c>
      <c r="AE41" s="29" t="n">
        <v>550.5168631959519</v>
      </c>
      <c r="AF41" s="29" t="n">
        <v>233.296335054484</v>
      </c>
      <c r="AG41" s="29" t="n">
        <v>1042.386544764915</v>
      </c>
      <c r="AH41" s="29" t="n">
        <v>479.8456358632052</v>
      </c>
      <c r="AI41" s="29" t="n">
        <v>356.8041130691604</v>
      </c>
      <c r="AJ41" s="29" t="n">
        <v>205.278041302631</v>
      </c>
      <c r="AK41" s="29" t="n">
        <v>799.7746343372518</v>
      </c>
      <c r="AL41" s="29" t="n">
        <v>2683.496741224429</v>
      </c>
      <c r="AM41" s="29" t="n">
        <v>1746.037276574737</v>
      </c>
      <c r="AN41" s="29" t="n">
        <v>1713.997856109524</v>
      </c>
      <c r="AO41" s="29" t="n">
        <v>859.4063944586611</v>
      </c>
      <c r="AP41" s="29" t="n">
        <v>115.593813946434</v>
      </c>
      <c r="AQ41" s="29" t="n">
        <v>38.66979349984653</v>
      </c>
      <c r="AR41" s="29" t="n">
        <v>28.50091949409713</v>
      </c>
      <c r="AS41" s="29" t="n">
        <v>93.63264684258067</v>
      </c>
      <c r="AT41" s="29" t="n">
        <v>892.4052068669512</v>
      </c>
      <c r="AU41" s="29" t="n">
        <v>13.62779451439488</v>
      </c>
      <c r="AV41" s="29" t="n">
        <v>228.7651305377827</v>
      </c>
      <c r="AW41" s="29" t="n">
        <v>727.8843950993815</v>
      </c>
      <c r="AX41" s="29" t="n">
        <v>0</v>
      </c>
      <c r="AY41" s="29" t="n">
        <v>70.63316377906405</v>
      </c>
      <c r="AZ41" s="29" t="n">
        <v>293.6472273452596</v>
      </c>
      <c r="BA41" s="29" t="n">
        <v>394.7126443468759</v>
      </c>
      <c r="BB41" s="29">
        <f>SUM(C41:BA41)</f>
        <v/>
      </c>
      <c r="BC41" s="29" t="n">
        <v>0</v>
      </c>
      <c r="BD41" s="29" t="n">
        <v>0</v>
      </c>
      <c r="BE41" s="29" t="n">
        <v>33198.01882578958</v>
      </c>
      <c r="BF41" s="29" t="n">
        <v>0</v>
      </c>
      <c r="BG41" s="29">
        <f>SUM(BC41:BF41)</f>
        <v/>
      </c>
      <c r="BH41" s="29">
        <f>BB41+BG41</f>
        <v/>
      </c>
    </row>
    <row r="42">
      <c r="A42" s="27" t="n">
        <v>29</v>
      </c>
      <c r="B42" s="28" t="inlineStr">
        <is>
          <t>Eletrodomésticos e material eletronico</t>
        </is>
      </c>
      <c r="C42" s="27" t="n">
        <v>18.36816880580661</v>
      </c>
      <c r="D42" s="27" t="n">
        <v>39.99212685530217</v>
      </c>
      <c r="E42" s="27" t="n">
        <v>91.2934794174698</v>
      </c>
      <c r="F42" s="27" t="n">
        <v>24.81175785723359</v>
      </c>
      <c r="G42" s="27" t="n">
        <v>25.64281768255694</v>
      </c>
      <c r="H42" s="27" t="n">
        <v>120.3364679168373</v>
      </c>
      <c r="I42" s="27" t="n">
        <v>3.320090342579055</v>
      </c>
      <c r="J42" s="27" t="n">
        <v>25.84286437946189</v>
      </c>
      <c r="K42" s="27" t="n">
        <v>10.02214758134068</v>
      </c>
      <c r="L42" s="27" t="n">
        <v>7.570598683027682</v>
      </c>
      <c r="M42" s="27" t="n">
        <v>15.83564907287259</v>
      </c>
      <c r="N42" s="27" t="n">
        <v>31.61345620707974</v>
      </c>
      <c r="O42" s="27" t="n">
        <v>12.20013494136842</v>
      </c>
      <c r="P42" s="27" t="n">
        <v>6.793520448413314</v>
      </c>
      <c r="Q42" s="27" t="n">
        <v>3.374505225582533</v>
      </c>
      <c r="R42" s="27" t="n">
        <v>38.84594606534861</v>
      </c>
      <c r="S42" s="27" t="n">
        <v>17.22266031054706</v>
      </c>
      <c r="T42" s="27" t="n">
        <v>7.965376985103912</v>
      </c>
      <c r="U42" s="27" t="n">
        <v>2.698473948080163</v>
      </c>
      <c r="V42" s="27" t="n">
        <v>11.76678397451695</v>
      </c>
      <c r="W42" s="27" t="n">
        <v>4.870207754737831</v>
      </c>
      <c r="X42" s="27" t="n">
        <v>10.41719269898499</v>
      </c>
      <c r="Y42" s="27" t="n">
        <v>46.87461368664674</v>
      </c>
      <c r="Z42" s="27" t="n">
        <v>60.04090086940176</v>
      </c>
      <c r="AA42" s="27" t="n">
        <v>65.88749736574977</v>
      </c>
      <c r="AB42" s="27" t="n">
        <v>77.79300010597296</v>
      </c>
      <c r="AC42" s="27" t="n">
        <v>50.34308721073119</v>
      </c>
      <c r="AD42" s="27" t="n">
        <v>1707.755839478495</v>
      </c>
      <c r="AE42" s="27" t="n">
        <v>2840.016890623101</v>
      </c>
      <c r="AF42" s="27" t="n">
        <v>920.7395569141247</v>
      </c>
      <c r="AG42" s="27" t="n">
        <v>395.3754080559492</v>
      </c>
      <c r="AH42" s="27" t="n">
        <v>530.9445104116322</v>
      </c>
      <c r="AI42" s="27" t="n">
        <v>116.3073813848258</v>
      </c>
      <c r="AJ42" s="27" t="n">
        <v>107.2720700346705</v>
      </c>
      <c r="AK42" s="27" t="n">
        <v>1670.557550343079</v>
      </c>
      <c r="AL42" s="27" t="n">
        <v>3503.941490792982</v>
      </c>
      <c r="AM42" s="27" t="n">
        <v>445.8417693042422</v>
      </c>
      <c r="AN42" s="27" t="n">
        <v>440.0739547523203</v>
      </c>
      <c r="AO42" s="27" t="n">
        <v>392.0858472824687</v>
      </c>
      <c r="AP42" s="27" t="n">
        <v>35.35730218365322</v>
      </c>
      <c r="AQ42" s="27" t="n">
        <v>145.5973673985535</v>
      </c>
      <c r="AR42" s="27" t="n">
        <v>162.5622863144459</v>
      </c>
      <c r="AS42" s="27" t="n">
        <v>33.26757048267314</v>
      </c>
      <c r="AT42" s="27" t="n">
        <v>281.5778221672938</v>
      </c>
      <c r="AU42" s="27" t="n">
        <v>12.54400886549547</v>
      </c>
      <c r="AV42" s="27" t="n">
        <v>64.66262089653078</v>
      </c>
      <c r="AW42" s="27" t="n">
        <v>444.6661949046693</v>
      </c>
      <c r="AX42" s="27" t="n">
        <v>0</v>
      </c>
      <c r="AY42" s="27" t="n">
        <v>34.56646778019027</v>
      </c>
      <c r="AZ42" s="27" t="n">
        <v>26.65174460676779</v>
      </c>
      <c r="BA42" s="27" t="n">
        <v>64.0014036603732</v>
      </c>
      <c r="BB42" s="27">
        <f>SUM(C42:BA42)</f>
        <v/>
      </c>
      <c r="BC42" s="27" t="n">
        <v>0</v>
      </c>
      <c r="BD42" s="27" t="n">
        <v>0</v>
      </c>
      <c r="BE42" s="27" t="n">
        <v>14636.28261130187</v>
      </c>
      <c r="BF42" s="27" t="n">
        <v>0</v>
      </c>
      <c r="BG42" s="27">
        <f>SUM(BC42:BF42)</f>
        <v/>
      </c>
      <c r="BH42" s="27">
        <f>BB42+BG42</f>
        <v/>
      </c>
    </row>
    <row r="43">
      <c r="A43" s="29" t="n">
        <v>30</v>
      </c>
      <c r="B43" s="30" t="inlineStr">
        <is>
          <t>Máquinas para escritório aparelhos e e material eletronico</t>
        </is>
      </c>
      <c r="C43" s="29" t="n">
        <v>3.292051219274832</v>
      </c>
      <c r="D43" s="29" t="n">
        <v>2.399673781517648</v>
      </c>
      <c r="E43" s="29" t="n">
        <v>115.2311600759117</v>
      </c>
      <c r="F43" s="29" t="n">
        <v>19.50410804095085</v>
      </c>
      <c r="G43" s="29" t="n">
        <v>43.72835156974927</v>
      </c>
      <c r="H43" s="29" t="n">
        <v>118.8076460837048</v>
      </c>
      <c r="I43" s="29" t="n">
        <v>4.398505765176635</v>
      </c>
      <c r="J43" s="29" t="n">
        <v>9.068342469372022</v>
      </c>
      <c r="K43" s="29" t="n">
        <v>5.938838903201156</v>
      </c>
      <c r="L43" s="29" t="n">
        <v>8.495071183965658</v>
      </c>
      <c r="M43" s="29" t="n">
        <v>9.905329995219237</v>
      </c>
      <c r="N43" s="29" t="n">
        <v>21.99791443917498</v>
      </c>
      <c r="O43" s="29" t="n">
        <v>170.0726527632257</v>
      </c>
      <c r="P43" s="29" t="n">
        <v>12.31807311776924</v>
      </c>
      <c r="Q43" s="29" t="n">
        <v>3.84853129699959</v>
      </c>
      <c r="R43" s="29" t="n">
        <v>15.35097673889844</v>
      </c>
      <c r="S43" s="29" t="n">
        <v>11.23233768884602</v>
      </c>
      <c r="T43" s="29" t="n">
        <v>25.3588668191122</v>
      </c>
      <c r="U43" s="29" t="n">
        <v>6.365613068785775</v>
      </c>
      <c r="V43" s="29" t="n">
        <v>16.69918693187009</v>
      </c>
      <c r="W43" s="29" t="n">
        <v>10.346720806237</v>
      </c>
      <c r="X43" s="29" t="n">
        <v>37.66621713988266</v>
      </c>
      <c r="Y43" s="29" t="n">
        <v>27.28160290439197</v>
      </c>
      <c r="Z43" s="29" t="n">
        <v>20.16583410610875</v>
      </c>
      <c r="AA43" s="29" t="n">
        <v>48.05402657796395</v>
      </c>
      <c r="AB43" s="29" t="n">
        <v>10.31763447110254</v>
      </c>
      <c r="AC43" s="29" t="n">
        <v>12.06193783638064</v>
      </c>
      <c r="AD43" s="29" t="n">
        <v>560.9901999219986</v>
      </c>
      <c r="AE43" s="29" t="n">
        <v>306.7279206020686</v>
      </c>
      <c r="AF43" s="29" t="n">
        <v>13765.25762210014</v>
      </c>
      <c r="AG43" s="29" t="n">
        <v>160.5562637198883</v>
      </c>
      <c r="AH43" s="29" t="n">
        <v>138.4679054942199</v>
      </c>
      <c r="AI43" s="29" t="n">
        <v>29.48651879604786</v>
      </c>
      <c r="AJ43" s="29" t="n">
        <v>35.10395803677043</v>
      </c>
      <c r="AK43" s="29" t="n">
        <v>135.5461634015281</v>
      </c>
      <c r="AL43" s="29" t="n">
        <v>260.3268333493066</v>
      </c>
      <c r="AM43" s="29" t="n">
        <v>252.1919869250645</v>
      </c>
      <c r="AN43" s="29" t="n">
        <v>175.9743488882439</v>
      </c>
      <c r="AO43" s="29" t="n">
        <v>1229.589671868742</v>
      </c>
      <c r="AP43" s="29" t="n">
        <v>233.2599663089081</v>
      </c>
      <c r="AQ43" s="29" t="n">
        <v>11.33109131532631</v>
      </c>
      <c r="AR43" s="29" t="n">
        <v>447.2899552014148</v>
      </c>
      <c r="AS43" s="29" t="n">
        <v>12.79886687775264</v>
      </c>
      <c r="AT43" s="29" t="n">
        <v>1309.65103250967</v>
      </c>
      <c r="AU43" s="29" t="n">
        <v>94.85479168738965</v>
      </c>
      <c r="AV43" s="29" t="n">
        <v>2197.496463727958</v>
      </c>
      <c r="AW43" s="29" t="n">
        <v>185.0219567636477</v>
      </c>
      <c r="AX43" s="29" t="n">
        <v>0</v>
      </c>
      <c r="AY43" s="29" t="n">
        <v>737.2539464186242</v>
      </c>
      <c r="AZ43" s="29" t="n">
        <v>684.9085110867109</v>
      </c>
      <c r="BA43" s="29" t="n">
        <v>374.5129052030499</v>
      </c>
      <c r="BB43" s="29">
        <f>SUM(C43:BA43)</f>
        <v/>
      </c>
      <c r="BC43" s="29" t="n">
        <v>0</v>
      </c>
      <c r="BD43" s="29" t="n">
        <v>0</v>
      </c>
      <c r="BE43" s="29" t="n">
        <v>28227.42770650468</v>
      </c>
      <c r="BF43" s="29" t="n">
        <v>0</v>
      </c>
      <c r="BG43" s="29">
        <f>SUM(BC43:BF43)</f>
        <v/>
      </c>
      <c r="BH43" s="29">
        <f>BB43+BG43</f>
        <v/>
      </c>
    </row>
    <row r="44">
      <c r="A44" s="27" t="n">
        <v>31</v>
      </c>
      <c r="B44" s="28" t="inlineStr">
        <is>
          <t>Automóveis camionetas caminhões e ônibus</t>
        </is>
      </c>
      <c r="C44" s="27" t="n">
        <v>3.584037246043531</v>
      </c>
      <c r="D44" s="27" t="n">
        <v>2.235466830668287</v>
      </c>
      <c r="E44" s="27" t="n">
        <v>38.67263815328227</v>
      </c>
      <c r="F44" s="27" t="n">
        <v>14.13785465317598</v>
      </c>
      <c r="G44" s="27" t="n">
        <v>9.261121860571706</v>
      </c>
      <c r="H44" s="27" t="n">
        <v>140.2596846454607</v>
      </c>
      <c r="I44" s="27" t="n">
        <v>6.521008710942781</v>
      </c>
      <c r="J44" s="27" t="n">
        <v>7.543306050039084</v>
      </c>
      <c r="K44" s="27" t="n">
        <v>6.841163424905708</v>
      </c>
      <c r="L44" s="27" t="n">
        <v>9.838137935784955</v>
      </c>
      <c r="M44" s="27" t="n">
        <v>4.277211095683773</v>
      </c>
      <c r="N44" s="27" t="n">
        <v>18.28098959860698</v>
      </c>
      <c r="O44" s="27" t="n">
        <v>3.185663055608601</v>
      </c>
      <c r="P44" s="27" t="n">
        <v>11.89223704498991</v>
      </c>
      <c r="Q44" s="27" t="n">
        <v>3.066211788065959</v>
      </c>
      <c r="R44" s="27" t="n">
        <v>13.21384382397772</v>
      </c>
      <c r="S44" s="27" t="n">
        <v>5.941281955492018</v>
      </c>
      <c r="T44" s="27" t="n">
        <v>16.94897041510485</v>
      </c>
      <c r="U44" s="27" t="n">
        <v>5.898812982209282</v>
      </c>
      <c r="V44" s="27" t="n">
        <v>6.803730531222421</v>
      </c>
      <c r="W44" s="27" t="n">
        <v>4.188471640039041</v>
      </c>
      <c r="X44" s="27" t="n">
        <v>21.83878350602447</v>
      </c>
      <c r="Y44" s="27" t="n">
        <v>16.81408684582366</v>
      </c>
      <c r="Z44" s="27" t="n">
        <v>17.37896007852515</v>
      </c>
      <c r="AA44" s="27" t="n">
        <v>33.77438552508102</v>
      </c>
      <c r="AB44" s="27" t="n">
        <v>9.125533791925927</v>
      </c>
      <c r="AC44" s="27" t="n">
        <v>15.03163286279194</v>
      </c>
      <c r="AD44" s="27" t="n">
        <v>119.4331102787915</v>
      </c>
      <c r="AE44" s="27" t="n">
        <v>57.62868753350052</v>
      </c>
      <c r="AF44" s="27" t="n">
        <v>33.99941313589537</v>
      </c>
      <c r="AG44" s="27" t="n">
        <v>2976.127666112052</v>
      </c>
      <c r="AH44" s="27" t="n">
        <v>91.56380170173074</v>
      </c>
      <c r="AI44" s="27" t="n">
        <v>39.46005105306296</v>
      </c>
      <c r="AJ44" s="27" t="n">
        <v>6.80019937024089</v>
      </c>
      <c r="AK44" s="27" t="n">
        <v>56.5806432466926</v>
      </c>
      <c r="AL44" s="27" t="n">
        <v>107.1078606672559</v>
      </c>
      <c r="AM44" s="27" t="n">
        <v>328.5117947204913</v>
      </c>
      <c r="AN44" s="27" t="n">
        <v>411.4688242217753</v>
      </c>
      <c r="AO44" s="27" t="n">
        <v>104.6493011186132</v>
      </c>
      <c r="AP44" s="27" t="n">
        <v>57.96637227292332</v>
      </c>
      <c r="AQ44" s="27" t="n">
        <v>7.793972977834605</v>
      </c>
      <c r="AR44" s="27" t="n">
        <v>0.8463223258035787</v>
      </c>
      <c r="AS44" s="27" t="n">
        <v>7.828817577220086</v>
      </c>
      <c r="AT44" s="27" t="n">
        <v>99.00105874461048</v>
      </c>
      <c r="AU44" s="27" t="n">
        <v>15.04805540230281</v>
      </c>
      <c r="AV44" s="27" t="n">
        <v>8.829544498917492</v>
      </c>
      <c r="AW44" s="27" t="n">
        <v>35.01648864889879</v>
      </c>
      <c r="AX44" s="27" t="n">
        <v>0</v>
      </c>
      <c r="AY44" s="27" t="n">
        <v>15.11521233904733</v>
      </c>
      <c r="AZ44" s="27" t="n">
        <v>23.12685620756296</v>
      </c>
      <c r="BA44" s="27" t="n">
        <v>77.60604280627273</v>
      </c>
      <c r="BB44" s="27">
        <f>SUM(C44:BA44)</f>
        <v/>
      </c>
      <c r="BC44" s="27" t="n">
        <v>0</v>
      </c>
      <c r="BD44" s="27" t="n">
        <v>0</v>
      </c>
      <c r="BE44" s="27" t="n">
        <v>68099.25426202432</v>
      </c>
      <c r="BF44" s="27" t="n">
        <v>0</v>
      </c>
      <c r="BG44" s="27">
        <f>SUM(BC44:BF44)</f>
        <v/>
      </c>
      <c r="BH44" s="27">
        <f>BB44+BG44</f>
        <v/>
      </c>
    </row>
    <row r="45">
      <c r="A45" s="29" t="n">
        <v>32</v>
      </c>
      <c r="B45" s="30" t="inlineStr">
        <is>
          <t>Peças e acessórios para veículos automotores</t>
        </is>
      </c>
      <c r="C45" s="29" t="n">
        <v>5.542561093289145</v>
      </c>
      <c r="D45" s="29" t="n">
        <v>4.712122957207116</v>
      </c>
      <c r="E45" s="29" t="n">
        <v>55.81306737604801</v>
      </c>
      <c r="F45" s="29" t="n">
        <v>29.82960211056162</v>
      </c>
      <c r="G45" s="29" t="n">
        <v>20.06044233114424</v>
      </c>
      <c r="H45" s="29" t="n">
        <v>108.8480246088116</v>
      </c>
      <c r="I45" s="29" t="n">
        <v>2.287054328479026</v>
      </c>
      <c r="J45" s="29" t="n">
        <v>5.009991314809079</v>
      </c>
      <c r="K45" s="29" t="n">
        <v>5.54653844454896</v>
      </c>
      <c r="L45" s="29" t="n">
        <v>10.15194863478843</v>
      </c>
      <c r="M45" s="29" t="n">
        <v>7.662099570396843</v>
      </c>
      <c r="N45" s="29" t="n">
        <v>16.8771078065792</v>
      </c>
      <c r="O45" s="29" t="n">
        <v>13.19901911816654</v>
      </c>
      <c r="P45" s="29" t="n">
        <v>8.299228279377438</v>
      </c>
      <c r="Q45" s="29" t="n">
        <v>2.744608862429112</v>
      </c>
      <c r="R45" s="29" t="n">
        <v>14.18050830650501</v>
      </c>
      <c r="S45" s="29" t="n">
        <v>5.073366478767726</v>
      </c>
      <c r="T45" s="29" t="n">
        <v>9.007705500167704</v>
      </c>
      <c r="U45" s="29" t="n">
        <v>3.69389674843513</v>
      </c>
      <c r="V45" s="29" t="n">
        <v>12.93278101550308</v>
      </c>
      <c r="W45" s="29" t="n">
        <v>5.512552454153195</v>
      </c>
      <c r="X45" s="29" t="n">
        <v>4.372345698204818</v>
      </c>
      <c r="Y45" s="29" t="n">
        <v>72.31026706014541</v>
      </c>
      <c r="Z45" s="29" t="n">
        <v>23.84933801772497</v>
      </c>
      <c r="AA45" s="29" t="n">
        <v>93.31357429232854</v>
      </c>
      <c r="AB45" s="29" t="n">
        <v>26.08035793708439</v>
      </c>
      <c r="AC45" s="29" t="n">
        <v>70.16554014129855</v>
      </c>
      <c r="AD45" s="29" t="n">
        <v>328.6842782819635</v>
      </c>
      <c r="AE45" s="29" t="n">
        <v>93.75708119990489</v>
      </c>
      <c r="AF45" s="29" t="n">
        <v>92.89948474067941</v>
      </c>
      <c r="AG45" s="29" t="n">
        <v>15400.56074052901</v>
      </c>
      <c r="AH45" s="29" t="n">
        <v>5616.259290035066</v>
      </c>
      <c r="AI45" s="29" t="n">
        <v>57.81295095211559</v>
      </c>
      <c r="AJ45" s="29" t="n">
        <v>18.43383815590624</v>
      </c>
      <c r="AK45" s="29" t="n">
        <v>47.48319693939885</v>
      </c>
      <c r="AL45" s="29" t="n">
        <v>236.6048978924263</v>
      </c>
      <c r="AM45" s="29" t="n">
        <v>5114.49017772936</v>
      </c>
      <c r="AN45" s="29" t="n">
        <v>4101.768863830069</v>
      </c>
      <c r="AO45" s="29" t="n">
        <v>54.50801191764546</v>
      </c>
      <c r="AP45" s="29" t="n">
        <v>35.13778084708639</v>
      </c>
      <c r="AQ45" s="29" t="n">
        <v>9.680925661122986</v>
      </c>
      <c r="AR45" s="29" t="n">
        <v>2.949356282466214</v>
      </c>
      <c r="AS45" s="29" t="n">
        <v>21.30996556795027</v>
      </c>
      <c r="AT45" s="29" t="n">
        <v>135.8233888863899</v>
      </c>
      <c r="AU45" s="29" t="n">
        <v>15.31402048975048</v>
      </c>
      <c r="AV45" s="29" t="n">
        <v>62.55508169150456</v>
      </c>
      <c r="AW45" s="29" t="n">
        <v>41.05072577705964</v>
      </c>
      <c r="AX45" s="29" t="n">
        <v>0</v>
      </c>
      <c r="AY45" s="29" t="n">
        <v>121.6056099636726</v>
      </c>
      <c r="AZ45" s="29" t="n">
        <v>83.53649640478112</v>
      </c>
      <c r="BA45" s="29" t="n">
        <v>427.3728413472309</v>
      </c>
      <c r="BB45" s="29">
        <f>SUM(C45:BA45)</f>
        <v/>
      </c>
      <c r="BC45" s="29" t="n">
        <v>0</v>
      </c>
      <c r="BD45" s="29" t="n">
        <v>0</v>
      </c>
      <c r="BE45" s="29" t="n">
        <v>13497.79507505227</v>
      </c>
      <c r="BF45" s="29" t="n">
        <v>0</v>
      </c>
      <c r="BG45" s="29">
        <f>SUM(BC45:BF45)</f>
        <v/>
      </c>
      <c r="BH45" s="29">
        <f>BB45+BG45</f>
        <v/>
      </c>
    </row>
    <row r="46">
      <c r="A46" s="27" t="n">
        <v>33</v>
      </c>
      <c r="B46" s="28" t="inlineStr">
        <is>
          <t>Outros equipamentos de transporte</t>
        </is>
      </c>
      <c r="C46" s="27" t="n">
        <v>0.877120414922907</v>
      </c>
      <c r="D46" s="27" t="n">
        <v>0.6095714869212597</v>
      </c>
      <c r="E46" s="27" t="n">
        <v>13.82376744931202</v>
      </c>
      <c r="F46" s="27" t="n">
        <v>5.299281160423556</v>
      </c>
      <c r="G46" s="27" t="n">
        <v>3.485905260526161</v>
      </c>
      <c r="H46" s="27" t="n">
        <v>19.16233460236131</v>
      </c>
      <c r="I46" s="27" t="n">
        <v>1.245364578423842</v>
      </c>
      <c r="J46" s="27" t="n">
        <v>1.062604714936734</v>
      </c>
      <c r="K46" s="27" t="n">
        <v>6.341753797633807</v>
      </c>
      <c r="L46" s="27" t="n">
        <v>2.337001301406751</v>
      </c>
      <c r="M46" s="27" t="n">
        <v>1.269951400447909</v>
      </c>
      <c r="N46" s="27" t="n">
        <v>3.631916270155712</v>
      </c>
      <c r="O46" s="27" t="n">
        <v>1.396434324982044</v>
      </c>
      <c r="P46" s="27" t="n">
        <v>2.968612417460765</v>
      </c>
      <c r="Q46" s="27" t="n">
        <v>0.6703556193226101</v>
      </c>
      <c r="R46" s="27" t="n">
        <v>3.548600863415583</v>
      </c>
      <c r="S46" s="27" t="n">
        <v>1.081349007107556</v>
      </c>
      <c r="T46" s="27" t="n">
        <v>3.428986883963983</v>
      </c>
      <c r="U46" s="27" t="n">
        <v>1.297294036684743</v>
      </c>
      <c r="V46" s="27" t="n">
        <v>2.081421890840743</v>
      </c>
      <c r="W46" s="27" t="n">
        <v>1.199035407041995</v>
      </c>
      <c r="X46" s="27" t="n">
        <v>1.117076711133885</v>
      </c>
      <c r="Y46" s="27" t="n">
        <v>2.477537095328584</v>
      </c>
      <c r="Z46" s="27" t="n">
        <v>4.158763163372901</v>
      </c>
      <c r="AA46" s="27" t="n">
        <v>12.53732467130933</v>
      </c>
      <c r="AB46" s="27" t="n">
        <v>2.561843309117672</v>
      </c>
      <c r="AC46" s="27" t="n">
        <v>5.209805945817424</v>
      </c>
      <c r="AD46" s="27" t="n">
        <v>826.9271612476431</v>
      </c>
      <c r="AE46" s="27" t="n">
        <v>4.321841318043584</v>
      </c>
      <c r="AF46" s="27" t="n">
        <v>4.18728360579356</v>
      </c>
      <c r="AG46" s="27" t="n">
        <v>9.172806661749162</v>
      </c>
      <c r="AH46" s="27" t="n">
        <v>5.654989165069948</v>
      </c>
      <c r="AI46" s="27" t="n">
        <v>6134.059535650743</v>
      </c>
      <c r="AJ46" s="27" t="n">
        <v>7.937580682472331</v>
      </c>
      <c r="AK46" s="27" t="n">
        <v>8.647397276622192</v>
      </c>
      <c r="AL46" s="27" t="n">
        <v>25.92034226293169</v>
      </c>
      <c r="AM46" s="27" t="n">
        <v>116.6955421766926</v>
      </c>
      <c r="AN46" s="27" t="n">
        <v>659.7845899942671</v>
      </c>
      <c r="AO46" s="27" t="n">
        <v>21.30050767578916</v>
      </c>
      <c r="AP46" s="27" t="n">
        <v>16.73322170023607</v>
      </c>
      <c r="AQ46" s="27" t="n">
        <v>2.423125312343729</v>
      </c>
      <c r="AR46" s="27" t="n">
        <v>41.61613717139601</v>
      </c>
      <c r="AS46" s="27" t="n">
        <v>3.856465534555634</v>
      </c>
      <c r="AT46" s="27" t="n">
        <v>25.24489837258346</v>
      </c>
      <c r="AU46" s="27" t="n">
        <v>5.149514230394711</v>
      </c>
      <c r="AV46" s="27" t="n">
        <v>2.430246456601766</v>
      </c>
      <c r="AW46" s="27" t="n">
        <v>11.27387770222604</v>
      </c>
      <c r="AX46" s="27" t="n">
        <v>0</v>
      </c>
      <c r="AY46" s="27" t="n">
        <v>4.338352943894583</v>
      </c>
      <c r="AZ46" s="27" t="n">
        <v>5.841161857812394</v>
      </c>
      <c r="BA46" s="27" t="n">
        <v>151.2515638965796</v>
      </c>
      <c r="BB46" s="27">
        <f>SUM(C46:BA46)</f>
        <v/>
      </c>
      <c r="BC46" s="27" t="n">
        <v>0</v>
      </c>
      <c r="BD46" s="27" t="n">
        <v>0</v>
      </c>
      <c r="BE46" s="27" t="n">
        <v>15673.37025357989</v>
      </c>
      <c r="BF46" s="27" t="n">
        <v>0</v>
      </c>
      <c r="BG46" s="27">
        <f>SUM(BC46:BF46)</f>
        <v/>
      </c>
      <c r="BH46" s="27">
        <f>BB46+BG46</f>
        <v/>
      </c>
    </row>
    <row r="47">
      <c r="A47" s="29" t="n">
        <v>34</v>
      </c>
      <c r="B47" s="30" t="inlineStr">
        <is>
          <t>Móveis e produtos das indústrias diversas</t>
        </is>
      </c>
      <c r="C47" s="29" t="n">
        <v>12.46911331377214</v>
      </c>
      <c r="D47" s="29" t="n">
        <v>6.843081918113214</v>
      </c>
      <c r="E47" s="29" t="n">
        <v>29.01941140368799</v>
      </c>
      <c r="F47" s="29" t="n">
        <v>17.7782867712165</v>
      </c>
      <c r="G47" s="29" t="n">
        <v>6.511897091047637</v>
      </c>
      <c r="H47" s="29" t="n">
        <v>118.6227331223827</v>
      </c>
      <c r="I47" s="29" t="n">
        <v>0.8226696115906414</v>
      </c>
      <c r="J47" s="29" t="n">
        <v>29.55482036573638</v>
      </c>
      <c r="K47" s="29" t="n">
        <v>918.5537542882716</v>
      </c>
      <c r="L47" s="29" t="n">
        <v>221.3449774058865</v>
      </c>
      <c r="M47" s="29" t="n">
        <v>24.67850837178252</v>
      </c>
      <c r="N47" s="29" t="n">
        <v>9.854850150728788</v>
      </c>
      <c r="O47" s="29" t="n">
        <v>6.834216118464689</v>
      </c>
      <c r="P47" s="29" t="n">
        <v>4.318462734989166</v>
      </c>
      <c r="Q47" s="29" t="n">
        <v>1.464386174178431</v>
      </c>
      <c r="R47" s="29" t="n">
        <v>49.2150322286989</v>
      </c>
      <c r="S47" s="29" t="n">
        <v>19.50874013939583</v>
      </c>
      <c r="T47" s="29" t="n">
        <v>10.41327630890867</v>
      </c>
      <c r="U47" s="29" t="n">
        <v>20.54173035916372</v>
      </c>
      <c r="V47" s="29" t="n">
        <v>11.1781408267741</v>
      </c>
      <c r="W47" s="29" t="n">
        <v>3.881735371957506</v>
      </c>
      <c r="X47" s="29" t="n">
        <v>2.602058660461425</v>
      </c>
      <c r="Y47" s="29" t="n">
        <v>71.79222427005816</v>
      </c>
      <c r="Z47" s="29" t="n">
        <v>75.69077363706027</v>
      </c>
      <c r="AA47" s="29" t="n">
        <v>25.56150592469172</v>
      </c>
      <c r="AB47" s="29" t="n">
        <v>2.923186496302244</v>
      </c>
      <c r="AC47" s="29" t="n">
        <v>30.90546148807799</v>
      </c>
      <c r="AD47" s="29" t="n">
        <v>382.2100061220055</v>
      </c>
      <c r="AE47" s="29" t="n">
        <v>21.04368420901107</v>
      </c>
      <c r="AF47" s="29" t="n">
        <v>18.78216452344262</v>
      </c>
      <c r="AG47" s="29" t="n">
        <v>185.5085063644639</v>
      </c>
      <c r="AH47" s="29" t="n">
        <v>320.0565437293924</v>
      </c>
      <c r="AI47" s="29" t="n">
        <v>46.39107488396287</v>
      </c>
      <c r="AJ47" s="29" t="n">
        <v>1132.986282326199</v>
      </c>
      <c r="AK47" s="29" t="n">
        <v>56.550009809045</v>
      </c>
      <c r="AL47" s="29" t="n">
        <v>513.4861646870069</v>
      </c>
      <c r="AM47" s="29" t="n">
        <v>224.3830203769808</v>
      </c>
      <c r="AN47" s="29" t="n">
        <v>190.2798839145462</v>
      </c>
      <c r="AO47" s="29" t="n">
        <v>73.48544763068223</v>
      </c>
      <c r="AP47" s="29" t="n">
        <v>89.18873690101751</v>
      </c>
      <c r="AQ47" s="29" t="n">
        <v>56.920660652779</v>
      </c>
      <c r="AR47" s="29" t="n">
        <v>3.101554722528532</v>
      </c>
      <c r="AS47" s="29" t="n">
        <v>13.16883898636594</v>
      </c>
      <c r="AT47" s="29" t="n">
        <v>657.8981562849203</v>
      </c>
      <c r="AU47" s="29" t="n">
        <v>16.75638767471786</v>
      </c>
      <c r="AV47" s="29" t="n">
        <v>31.24658430461523</v>
      </c>
      <c r="AW47" s="29" t="n">
        <v>198.1181035584701</v>
      </c>
      <c r="AX47" s="29" t="n">
        <v>0</v>
      </c>
      <c r="AY47" s="29" t="n">
        <v>50.04936512973153</v>
      </c>
      <c r="AZ47" s="29" t="n">
        <v>100.1820951753259</v>
      </c>
      <c r="BA47" s="29" t="n">
        <v>190.2602028318416</v>
      </c>
      <c r="BB47" s="29">
        <f>SUM(C47:BA47)</f>
        <v/>
      </c>
      <c r="BC47" s="29" t="n">
        <v>0</v>
      </c>
      <c r="BD47" s="29" t="n">
        <v>0</v>
      </c>
      <c r="BE47" s="29" t="n">
        <v>21787.29621252019</v>
      </c>
      <c r="BF47" s="29" t="n">
        <v>0</v>
      </c>
      <c r="BG47" s="29">
        <f>SUM(BC47:BF47)</f>
        <v/>
      </c>
      <c r="BH47" s="29">
        <f>BB47+BG47</f>
        <v/>
      </c>
    </row>
    <row r="48">
      <c r="A48" s="27" t="n">
        <v>35</v>
      </c>
      <c r="B48" s="28" t="inlineStr">
        <is>
          <t>Produção e distribuição de eletricidade gás água esgoto e limpeza urbana</t>
        </is>
      </c>
      <c r="C48" s="27" t="n">
        <v>2777.652808952942</v>
      </c>
      <c r="D48" s="27" t="n">
        <v>1975.035717103801</v>
      </c>
      <c r="E48" s="27" t="n">
        <v>117.0968890888998</v>
      </c>
      <c r="F48" s="27" t="n">
        <v>420.1433114725913</v>
      </c>
      <c r="G48" s="27" t="n">
        <v>535.3396974093459</v>
      </c>
      <c r="H48" s="27" t="n">
        <v>2369.06920405588</v>
      </c>
      <c r="I48" s="27" t="n">
        <v>45.85450106006199</v>
      </c>
      <c r="J48" s="27" t="n">
        <v>992.08718703247</v>
      </c>
      <c r="K48" s="27" t="n">
        <v>124.0304579286292</v>
      </c>
      <c r="L48" s="27" t="n">
        <v>180.127027244625</v>
      </c>
      <c r="M48" s="27" t="n">
        <v>546.1441454961148</v>
      </c>
      <c r="N48" s="27" t="n">
        <v>1150.18301608971</v>
      </c>
      <c r="O48" s="27" t="n">
        <v>81.56746984612482</v>
      </c>
      <c r="P48" s="27" t="n">
        <v>150.850466528958</v>
      </c>
      <c r="Q48" s="27" t="n">
        <v>52.39284228217661</v>
      </c>
      <c r="R48" s="27" t="n">
        <v>1693.962924998261</v>
      </c>
      <c r="S48" s="27" t="n">
        <v>976.3720982338764</v>
      </c>
      <c r="T48" s="27" t="n">
        <v>117.5202918345174</v>
      </c>
      <c r="U48" s="27" t="n">
        <v>104.6705118360352</v>
      </c>
      <c r="V48" s="27" t="n">
        <v>139.7749779227119</v>
      </c>
      <c r="W48" s="27" t="n">
        <v>60.20908605261504</v>
      </c>
      <c r="X48" s="27" t="n">
        <v>265.6078012798123</v>
      </c>
      <c r="Y48" s="27" t="n">
        <v>1156.833981279644</v>
      </c>
      <c r="Z48" s="27" t="n">
        <v>1889.344615125339</v>
      </c>
      <c r="AA48" s="27" t="n">
        <v>4494.127234632241</v>
      </c>
      <c r="AB48" s="27" t="n">
        <v>1969.737994595782</v>
      </c>
      <c r="AC48" s="27" t="n">
        <v>556.9581151080216</v>
      </c>
      <c r="AD48" s="27" t="n">
        <v>383.4651268746488</v>
      </c>
      <c r="AE48" s="27" t="n">
        <v>307.0045469576522</v>
      </c>
      <c r="AF48" s="27" t="n">
        <v>122.8454496673542</v>
      </c>
      <c r="AG48" s="27" t="n">
        <v>256.4873000293377</v>
      </c>
      <c r="AH48" s="27" t="n">
        <v>854.1449686846023</v>
      </c>
      <c r="AI48" s="27" t="n">
        <v>132.2195208858503</v>
      </c>
      <c r="AJ48" s="27" t="n">
        <v>166.5208860842338</v>
      </c>
      <c r="AK48" s="27" t="n">
        <v>24686.79306586069</v>
      </c>
      <c r="AL48" s="27" t="n">
        <v>342.7131652448471</v>
      </c>
      <c r="AM48" s="27" t="n">
        <v>6862.94460024209</v>
      </c>
      <c r="AN48" s="27" t="n">
        <v>1301.924541505404</v>
      </c>
      <c r="AO48" s="27" t="n">
        <v>1333.773232427156</v>
      </c>
      <c r="AP48" s="27" t="n">
        <v>755.3632812163431</v>
      </c>
      <c r="AQ48" s="27" t="n">
        <v>252.0089644507752</v>
      </c>
      <c r="AR48" s="27" t="n">
        <v>87.36590879251432</v>
      </c>
      <c r="AS48" s="27" t="n">
        <v>1290.516880359565</v>
      </c>
      <c r="AT48" s="27" t="n">
        <v>1036.622218312043</v>
      </c>
      <c r="AU48" s="27" t="n">
        <v>965.9207420158974</v>
      </c>
      <c r="AV48" s="27" t="n">
        <v>1238.319442052357</v>
      </c>
      <c r="AW48" s="27" t="n">
        <v>5579.701524747874</v>
      </c>
      <c r="AX48" s="27" t="n">
        <v>0</v>
      </c>
      <c r="AY48" s="27" t="n">
        <v>646.9848888247303</v>
      </c>
      <c r="AZ48" s="27" t="n">
        <v>939.5059333961589</v>
      </c>
      <c r="BA48" s="27" t="n">
        <v>4965.661894837709</v>
      </c>
      <c r="BB48" s="27">
        <f>SUM(C48:BA48)</f>
        <v/>
      </c>
      <c r="BC48" s="27" t="n">
        <v>0</v>
      </c>
      <c r="BD48" s="27" t="n">
        <v>0</v>
      </c>
      <c r="BE48" s="27" t="n">
        <v>37973.38759674176</v>
      </c>
      <c r="BF48" s="27" t="n">
        <v>0</v>
      </c>
      <c r="BG48" s="27">
        <f>SUM(BC48:BF48)</f>
        <v/>
      </c>
      <c r="BH48" s="27">
        <f>BB48+BG48</f>
        <v/>
      </c>
    </row>
    <row r="49">
      <c r="A49" s="29" t="n">
        <v>36</v>
      </c>
      <c r="B49" s="30" t="inlineStr">
        <is>
          <t>Construção civil</t>
        </is>
      </c>
      <c r="C49" s="29" t="n">
        <v>25.59113427923255</v>
      </c>
      <c r="D49" s="29" t="n">
        <v>64.37277760525298</v>
      </c>
      <c r="E49" s="29" t="n">
        <v>986.6094612350654</v>
      </c>
      <c r="F49" s="29" t="n">
        <v>412.6029035741819</v>
      </c>
      <c r="G49" s="29" t="n">
        <v>118.220366529002</v>
      </c>
      <c r="H49" s="29" t="n">
        <v>20.39454001484302</v>
      </c>
      <c r="I49" s="29" t="n">
        <v>1.034306308042656</v>
      </c>
      <c r="J49" s="29" t="n">
        <v>16.80008343059158</v>
      </c>
      <c r="K49" s="29" t="n">
        <v>3.411600098820374</v>
      </c>
      <c r="L49" s="29" t="n">
        <v>1.433415406573247</v>
      </c>
      <c r="M49" s="29" t="n">
        <v>0.4676627756803742</v>
      </c>
      <c r="N49" s="29" t="n">
        <v>9.601142803909958</v>
      </c>
      <c r="O49" s="29" t="n">
        <v>8.380907570104773</v>
      </c>
      <c r="P49" s="29" t="n">
        <v>8.709893780148324</v>
      </c>
      <c r="Q49" s="29" t="n">
        <v>8.62153966731557</v>
      </c>
      <c r="R49" s="29" t="n">
        <v>35.65613886473593</v>
      </c>
      <c r="S49" s="29" t="n">
        <v>0.6221858664830447</v>
      </c>
      <c r="T49" s="29" t="n">
        <v>2.946857460184494</v>
      </c>
      <c r="U49" s="29" t="n">
        <v>1.28007632699819</v>
      </c>
      <c r="V49" s="29" t="n">
        <v>1.908572573263574</v>
      </c>
      <c r="W49" s="29" t="n">
        <v>0.9456335360523686</v>
      </c>
      <c r="X49" s="29" t="n">
        <v>0.7743683952321574</v>
      </c>
      <c r="Y49" s="29" t="n">
        <v>3.593968220409</v>
      </c>
      <c r="Z49" s="29" t="n">
        <v>11.83060836771479</v>
      </c>
      <c r="AA49" s="29" t="n">
        <v>76.26148626650703</v>
      </c>
      <c r="AB49" s="29" t="n">
        <v>498.7138059644371</v>
      </c>
      <c r="AC49" s="29" t="n">
        <v>20.59272387413542</v>
      </c>
      <c r="AD49" s="29" t="n">
        <v>34.16179382537673</v>
      </c>
      <c r="AE49" s="29" t="n">
        <v>7.152201683219818</v>
      </c>
      <c r="AF49" s="29" t="n">
        <v>36.5014528411306</v>
      </c>
      <c r="AG49" s="29" t="n">
        <v>93.92512736456032</v>
      </c>
      <c r="AH49" s="29" t="n">
        <v>16.543508656061</v>
      </c>
      <c r="AI49" s="29" t="n">
        <v>85.53782884145107</v>
      </c>
      <c r="AJ49" s="29" t="n">
        <v>7.407136103226062</v>
      </c>
      <c r="AK49" s="29" t="n">
        <v>1827.401126177632</v>
      </c>
      <c r="AL49" s="29" t="n">
        <v>18628.34304975561</v>
      </c>
      <c r="AM49" s="29" t="n">
        <v>557.5096210640172</v>
      </c>
      <c r="AN49" s="29" t="n">
        <v>566.8039901243907</v>
      </c>
      <c r="AO49" s="29" t="n">
        <v>2065.871438585603</v>
      </c>
      <c r="AP49" s="29" t="n">
        <v>387.0676731898554</v>
      </c>
      <c r="AQ49" s="29" t="n">
        <v>548.1937250789412</v>
      </c>
      <c r="AR49" s="29" t="n">
        <v>2.149291856136208</v>
      </c>
      <c r="AS49" s="29" t="n">
        <v>201.8444894301606</v>
      </c>
      <c r="AT49" s="29" t="n">
        <v>420.7055774958182</v>
      </c>
      <c r="AU49" s="29" t="n">
        <v>171.6599264915003</v>
      </c>
      <c r="AV49" s="29" t="n">
        <v>11.11557730609082</v>
      </c>
      <c r="AW49" s="29" t="n">
        <v>1018.504623877029</v>
      </c>
      <c r="AX49" s="29" t="n">
        <v>0</v>
      </c>
      <c r="AY49" s="29" t="n">
        <v>231.0672465798051</v>
      </c>
      <c r="AZ49" s="29" t="n">
        <v>1028.592393931989</v>
      </c>
      <c r="BA49" s="29" t="n">
        <v>3792.332143083842</v>
      </c>
      <c r="BB49" s="29">
        <f>SUM(C49:BA49)</f>
        <v/>
      </c>
      <c r="BC49" s="29" t="n">
        <v>0</v>
      </c>
      <c r="BD49" s="29" t="n">
        <v>0</v>
      </c>
      <c r="BE49" s="29" t="n">
        <v>166592.9807354987</v>
      </c>
      <c r="BF49" s="29" t="n">
        <v>0</v>
      </c>
      <c r="BG49" s="29">
        <f>SUM(BC49:BF49)</f>
        <v/>
      </c>
      <c r="BH49" s="29">
        <f>BB49+BG49</f>
        <v/>
      </c>
    </row>
    <row r="50">
      <c r="A50" s="27" t="n">
        <v>37</v>
      </c>
      <c r="B50" s="28" t="inlineStr">
        <is>
          <t>Comércio</t>
        </is>
      </c>
      <c r="C50" s="27" t="n">
        <v>602.0473285709571</v>
      </c>
      <c r="D50" s="27" t="n">
        <v>417.6534222646183</v>
      </c>
      <c r="E50" s="27" t="n">
        <v>494.6903537160643</v>
      </c>
      <c r="F50" s="27" t="n">
        <v>1562.65886212802</v>
      </c>
      <c r="G50" s="27" t="n">
        <v>568.1580405152428</v>
      </c>
      <c r="H50" s="27" t="n">
        <v>21914.19590704812</v>
      </c>
      <c r="I50" s="27" t="n">
        <v>787.2748571252429</v>
      </c>
      <c r="J50" s="27" t="n">
        <v>2041.851654377959</v>
      </c>
      <c r="K50" s="27" t="n">
        <v>1810.803486553788</v>
      </c>
      <c r="L50" s="27" t="n">
        <v>2641.592027619789</v>
      </c>
      <c r="M50" s="27" t="n">
        <v>740.4469712272818</v>
      </c>
      <c r="N50" s="27" t="n">
        <v>3712.399448683459</v>
      </c>
      <c r="O50" s="27" t="n">
        <v>207.9468354529881</v>
      </c>
      <c r="P50" s="27" t="n">
        <v>1332.534901863944</v>
      </c>
      <c r="Q50" s="27" t="n">
        <v>681.6907765741496</v>
      </c>
      <c r="R50" s="27" t="n">
        <v>2321.887417606189</v>
      </c>
      <c r="S50" s="27" t="n">
        <v>1290.324539952608</v>
      </c>
      <c r="T50" s="27" t="n">
        <v>2271.738465150117</v>
      </c>
      <c r="U50" s="27" t="n">
        <v>725.776861299277</v>
      </c>
      <c r="V50" s="27" t="n">
        <v>230.9355953088943</v>
      </c>
      <c r="W50" s="27" t="n">
        <v>454.553931767729</v>
      </c>
      <c r="X50" s="27" t="n">
        <v>1621.333594575571</v>
      </c>
      <c r="Y50" s="27" t="n">
        <v>3888.514936145958</v>
      </c>
      <c r="Z50" s="27" t="n">
        <v>3175.34961302572</v>
      </c>
      <c r="AA50" s="27" t="n">
        <v>4893.526423325206</v>
      </c>
      <c r="AB50" s="27" t="n">
        <v>1290.886328329871</v>
      </c>
      <c r="AC50" s="27" t="n">
        <v>2779.701510826652</v>
      </c>
      <c r="AD50" s="27" t="n">
        <v>10094.61721107605</v>
      </c>
      <c r="AE50" s="27" t="n">
        <v>2456.813157480604</v>
      </c>
      <c r="AF50" s="27" t="n">
        <v>3228.263460448028</v>
      </c>
      <c r="AG50" s="27" t="n">
        <v>1098.755367226999</v>
      </c>
      <c r="AH50" s="27" t="n">
        <v>209.1485638588353</v>
      </c>
      <c r="AI50" s="27" t="n">
        <v>305.9593513984497</v>
      </c>
      <c r="AJ50" s="27" t="n">
        <v>931.7542673335666</v>
      </c>
      <c r="AK50" s="27" t="n">
        <v>1963.512794921907</v>
      </c>
      <c r="AL50" s="27" t="n">
        <v>2009.092411593576</v>
      </c>
      <c r="AM50" s="27" t="n">
        <v>16148.63269402638</v>
      </c>
      <c r="AN50" s="27" t="n">
        <v>13867.44356623067</v>
      </c>
      <c r="AO50" s="27" t="n">
        <v>12773.45698892235</v>
      </c>
      <c r="AP50" s="27" t="n">
        <v>498.7503797816159</v>
      </c>
      <c r="AQ50" s="27" t="n">
        <v>79.19190345656143</v>
      </c>
      <c r="AR50" s="27" t="n">
        <v>36.35813763345027</v>
      </c>
      <c r="AS50" s="27" t="n">
        <v>609.3092161693693</v>
      </c>
      <c r="AT50" s="27" t="n">
        <v>3857.988421521604</v>
      </c>
      <c r="AU50" s="27" t="n">
        <v>148.6847825634386</v>
      </c>
      <c r="AV50" s="27" t="n">
        <v>1661.033868566212</v>
      </c>
      <c r="AW50" s="27" t="n">
        <v>481.7149455406931</v>
      </c>
      <c r="AX50" s="27" t="n">
        <v>0</v>
      </c>
      <c r="AY50" s="27" t="n">
        <v>843.3334135829768</v>
      </c>
      <c r="AZ50" s="27" t="n">
        <v>2048.043605565516</v>
      </c>
      <c r="BA50" s="27" t="n">
        <v>3294.752926508637</v>
      </c>
      <c r="BB50" s="27">
        <f>SUM(C50:BA50)</f>
        <v/>
      </c>
      <c r="BC50" s="27" t="n">
        <v>0</v>
      </c>
      <c r="BD50" s="27" t="n">
        <v>0</v>
      </c>
      <c r="BE50" s="27" t="n">
        <v>139456.9433177484</v>
      </c>
      <c r="BF50" s="27" t="n">
        <v>0</v>
      </c>
      <c r="BG50" s="27">
        <f>SUM(BC50:BF50)</f>
        <v/>
      </c>
      <c r="BH50" s="27">
        <f>BB50+BG50</f>
        <v/>
      </c>
    </row>
    <row r="51">
      <c r="A51" s="29" t="n">
        <v>38</v>
      </c>
      <c r="B51" s="30" t="inlineStr">
        <is>
          <t>Transporte armazenagem e correio</t>
        </is>
      </c>
      <c r="C51" s="29" t="n">
        <v>1958.461434130155</v>
      </c>
      <c r="D51" s="29" t="n">
        <v>380.2933789075342</v>
      </c>
      <c r="E51" s="29" t="n">
        <v>4614.206692861709</v>
      </c>
      <c r="F51" s="29" t="n">
        <v>1685.61056836956</v>
      </c>
      <c r="G51" s="29" t="n">
        <v>876.373774357486</v>
      </c>
      <c r="H51" s="29" t="n">
        <v>14026.20776580678</v>
      </c>
      <c r="I51" s="29" t="n">
        <v>167.8938868035245</v>
      </c>
      <c r="J51" s="29" t="n">
        <v>661.3223040676386</v>
      </c>
      <c r="K51" s="29" t="n">
        <v>382.5214834371677</v>
      </c>
      <c r="L51" s="29" t="n">
        <v>559.6143531259868</v>
      </c>
      <c r="M51" s="29" t="n">
        <v>745.4264660571424</v>
      </c>
      <c r="N51" s="29" t="n">
        <v>1906.014758764883</v>
      </c>
      <c r="O51" s="29" t="n">
        <v>255.3258032572824</v>
      </c>
      <c r="P51" s="29" t="n">
        <v>1186.042803323888</v>
      </c>
      <c r="Q51" s="29" t="n">
        <v>427.6704011687503</v>
      </c>
      <c r="R51" s="29" t="n">
        <v>2406.71736541975</v>
      </c>
      <c r="S51" s="29" t="n">
        <v>695.0600739832832</v>
      </c>
      <c r="T51" s="29" t="n">
        <v>1038.255879936722</v>
      </c>
      <c r="U51" s="29" t="n">
        <v>439.5437001727934</v>
      </c>
      <c r="V51" s="29" t="n">
        <v>684.9502373735606</v>
      </c>
      <c r="W51" s="29" t="n">
        <v>315.3212225701488</v>
      </c>
      <c r="X51" s="29" t="n">
        <v>429.997878342883</v>
      </c>
      <c r="Y51" s="29" t="n">
        <v>1151.346358710004</v>
      </c>
      <c r="Z51" s="29" t="n">
        <v>1163.722600874331</v>
      </c>
      <c r="AA51" s="29" t="n">
        <v>3997.866050607367</v>
      </c>
      <c r="AB51" s="29" t="n">
        <v>298.364109686573</v>
      </c>
      <c r="AC51" s="29" t="n">
        <v>1216.010091766305</v>
      </c>
      <c r="AD51" s="29" t="n">
        <v>1199.440682395168</v>
      </c>
      <c r="AE51" s="29" t="n">
        <v>1020.946896563656</v>
      </c>
      <c r="AF51" s="29" t="n">
        <v>1424.315845868681</v>
      </c>
      <c r="AG51" s="29" t="n">
        <v>2954.034949724045</v>
      </c>
      <c r="AH51" s="29" t="n">
        <v>1259.098828240088</v>
      </c>
      <c r="AI51" s="29" t="n">
        <v>395.7596082151101</v>
      </c>
      <c r="AJ51" s="29" t="n">
        <v>527.5121349884145</v>
      </c>
      <c r="AK51" s="29" t="n">
        <v>1239.107975146487</v>
      </c>
      <c r="AL51" s="29" t="n">
        <v>1597.285653685686</v>
      </c>
      <c r="AM51" s="29" t="n">
        <v>14599.81700163345</v>
      </c>
      <c r="AN51" s="29" t="n">
        <v>20654.99770300501</v>
      </c>
      <c r="AO51" s="29" t="n">
        <v>1521.67005169246</v>
      </c>
      <c r="AP51" s="29" t="n">
        <v>2508.265156140176</v>
      </c>
      <c r="AQ51" s="29" t="n">
        <v>157.4784284992005</v>
      </c>
      <c r="AR51" s="29" t="n">
        <v>48.318512625008</v>
      </c>
      <c r="AS51" s="29" t="n">
        <v>435.1836209709226</v>
      </c>
      <c r="AT51" s="29" t="n">
        <v>2412.904806862892</v>
      </c>
      <c r="AU51" s="29" t="n">
        <v>1316.490667519736</v>
      </c>
      <c r="AV51" s="29" t="n">
        <v>147.2626379438923</v>
      </c>
      <c r="AW51" s="29" t="n">
        <v>6120.914633709453</v>
      </c>
      <c r="AX51" s="29" t="n">
        <v>0</v>
      </c>
      <c r="AY51" s="29" t="n">
        <v>579.4290749434276</v>
      </c>
      <c r="AZ51" s="29" t="n">
        <v>446.4815672010499</v>
      </c>
      <c r="BA51" s="29" t="n">
        <v>2623.743630454012</v>
      </c>
      <c r="BB51" s="29">
        <f>SUM(C51:BA51)</f>
        <v/>
      </c>
      <c r="BC51" s="29" t="n">
        <v>0</v>
      </c>
      <c r="BD51" s="29" t="n">
        <v>0</v>
      </c>
      <c r="BE51" s="29" t="n">
        <v>45339.1600566288</v>
      </c>
      <c r="BF51" s="29" t="n">
        <v>0</v>
      </c>
      <c r="BG51" s="29">
        <f>SUM(BC51:BF51)</f>
        <v/>
      </c>
      <c r="BH51" s="29">
        <f>BB51+BG51</f>
        <v/>
      </c>
    </row>
    <row r="52">
      <c r="A52" s="27" t="n">
        <v>39</v>
      </c>
      <c r="B52" s="28" t="inlineStr">
        <is>
          <t>Serviços de informação</t>
        </is>
      </c>
      <c r="C52" s="27" t="n">
        <v>15.41814570763975</v>
      </c>
      <c r="D52" s="27" t="n">
        <v>7.014016663324981</v>
      </c>
      <c r="E52" s="27" t="n">
        <v>276.7818365180933</v>
      </c>
      <c r="F52" s="27" t="n">
        <v>99.32485065193455</v>
      </c>
      <c r="G52" s="27" t="n">
        <v>48.63928213798733</v>
      </c>
      <c r="H52" s="27" t="n">
        <v>1873.386709357891</v>
      </c>
      <c r="I52" s="27" t="n">
        <v>42.92563136945618</v>
      </c>
      <c r="J52" s="27" t="n">
        <v>209.0248402783117</v>
      </c>
      <c r="K52" s="27" t="n">
        <v>350.9944854480695</v>
      </c>
      <c r="L52" s="27" t="n">
        <v>137.2236700590586</v>
      </c>
      <c r="M52" s="27" t="n">
        <v>73.56958225711496</v>
      </c>
      <c r="N52" s="27" t="n">
        <v>260.732551926208</v>
      </c>
      <c r="O52" s="27" t="n">
        <v>320.9013923693028</v>
      </c>
      <c r="P52" s="27" t="n">
        <v>134.3432247017303</v>
      </c>
      <c r="Q52" s="27" t="n">
        <v>48.54707776792706</v>
      </c>
      <c r="R52" s="27" t="n">
        <v>337.447563758865</v>
      </c>
      <c r="S52" s="27" t="n">
        <v>89.68100765616505</v>
      </c>
      <c r="T52" s="27" t="n">
        <v>227.1290905997682</v>
      </c>
      <c r="U52" s="27" t="n">
        <v>107.8833982069733</v>
      </c>
      <c r="V52" s="27" t="n">
        <v>28.13949672307763</v>
      </c>
      <c r="W52" s="27" t="n">
        <v>66.94350214478214</v>
      </c>
      <c r="X52" s="27" t="n">
        <v>69.06455087645944</v>
      </c>
      <c r="Y52" s="27" t="n">
        <v>257.5036852088954</v>
      </c>
      <c r="Z52" s="27" t="n">
        <v>259.4836442339139</v>
      </c>
      <c r="AA52" s="27" t="n">
        <v>267.3566834411167</v>
      </c>
      <c r="AB52" s="27" t="n">
        <v>51.69211381615424</v>
      </c>
      <c r="AC52" s="27" t="n">
        <v>253.1400535618409</v>
      </c>
      <c r="AD52" s="27" t="n">
        <v>421.1866805731048</v>
      </c>
      <c r="AE52" s="27" t="n">
        <v>414.3421199284527</v>
      </c>
      <c r="AF52" s="27" t="n">
        <v>572.9386978969046</v>
      </c>
      <c r="AG52" s="27" t="n">
        <v>1101.76492435184</v>
      </c>
      <c r="AH52" s="27" t="n">
        <v>964.341016293751</v>
      </c>
      <c r="AI52" s="27" t="n">
        <v>114.4049589545564</v>
      </c>
      <c r="AJ52" s="27" t="n">
        <v>224.9443137687935</v>
      </c>
      <c r="AK52" s="27" t="n">
        <v>699.8536403526552</v>
      </c>
      <c r="AL52" s="27" t="n">
        <v>822.1774989896104</v>
      </c>
      <c r="AM52" s="27" t="n">
        <v>5594.428019449309</v>
      </c>
      <c r="AN52" s="27" t="n">
        <v>1818.264564946253</v>
      </c>
      <c r="AO52" s="27" t="n">
        <v>21129.0887745862</v>
      </c>
      <c r="AP52" s="27" t="n">
        <v>7292.660193638063</v>
      </c>
      <c r="AQ52" s="27" t="n">
        <v>406.7216004635722</v>
      </c>
      <c r="AR52" s="27" t="n">
        <v>119.0122098940036</v>
      </c>
      <c r="AS52" s="27" t="n">
        <v>433.259759175848</v>
      </c>
      <c r="AT52" s="27" t="n">
        <v>16447.71972709252</v>
      </c>
      <c r="AU52" s="27" t="n">
        <v>1707.117223299644</v>
      </c>
      <c r="AV52" s="27" t="n">
        <v>625.252954443723</v>
      </c>
      <c r="AW52" s="27" t="n">
        <v>2099.745523600137</v>
      </c>
      <c r="AX52" s="27" t="n">
        <v>0</v>
      </c>
      <c r="AY52" s="27" t="n">
        <v>1954.997984574183</v>
      </c>
      <c r="AZ52" s="27" t="n">
        <v>777.585878542744</v>
      </c>
      <c r="BA52" s="27" t="n">
        <v>5121.623062761964</v>
      </c>
      <c r="BB52" s="27">
        <f>SUM(C52:BA52)</f>
        <v/>
      </c>
      <c r="BC52" s="27" t="n">
        <v>0</v>
      </c>
      <c r="BD52" s="27" t="n">
        <v>0</v>
      </c>
      <c r="BE52" s="27" t="n">
        <v>70643.86074277424</v>
      </c>
      <c r="BF52" s="27" t="n">
        <v>0</v>
      </c>
      <c r="BG52" s="27">
        <f>SUM(BC52:BF52)</f>
        <v/>
      </c>
      <c r="BH52" s="27">
        <f>BB52+BG52</f>
        <v/>
      </c>
    </row>
    <row r="53">
      <c r="A53" s="29" t="n">
        <v>40</v>
      </c>
      <c r="B53" s="30" t="inlineStr">
        <is>
          <t>Intermediação financeira seguros e previdência complementar e serviços relacionados</t>
        </is>
      </c>
      <c r="C53" s="29" t="n">
        <v>1936.590799280039</v>
      </c>
      <c r="D53" s="29" t="n">
        <v>940.0431369728329</v>
      </c>
      <c r="E53" s="29" t="n">
        <v>1502.612494633835</v>
      </c>
      <c r="F53" s="29" t="n">
        <v>836.8660305263505</v>
      </c>
      <c r="G53" s="29" t="n">
        <v>540.4070872718539</v>
      </c>
      <c r="H53" s="29" t="n">
        <v>6241.80296234461</v>
      </c>
      <c r="I53" s="29" t="n">
        <v>311.2824484678406</v>
      </c>
      <c r="J53" s="29" t="n">
        <v>606.6919713172264</v>
      </c>
      <c r="K53" s="29" t="n">
        <v>572.8773439546183</v>
      </c>
      <c r="L53" s="29" t="n">
        <v>506.9045874895</v>
      </c>
      <c r="M53" s="29" t="n">
        <v>389.4289757519992</v>
      </c>
      <c r="N53" s="29" t="n">
        <v>1048.72547441519</v>
      </c>
      <c r="O53" s="29" t="n">
        <v>223.8500104180054</v>
      </c>
      <c r="P53" s="29" t="n">
        <v>1226.705319051385</v>
      </c>
      <c r="Q53" s="29" t="n">
        <v>339.355069810138</v>
      </c>
      <c r="R53" s="29" t="n">
        <v>1332.797581630308</v>
      </c>
      <c r="S53" s="29" t="n">
        <v>588.420176282789</v>
      </c>
      <c r="T53" s="29" t="n">
        <v>376.6060054767617</v>
      </c>
      <c r="U53" s="29" t="n">
        <v>219.8300807538681</v>
      </c>
      <c r="V53" s="29" t="n">
        <v>375.5824836547517</v>
      </c>
      <c r="W53" s="29" t="n">
        <v>151.126554725153</v>
      </c>
      <c r="X53" s="29" t="n">
        <v>294.44636757797</v>
      </c>
      <c r="Y53" s="29" t="n">
        <v>983.5513782603451</v>
      </c>
      <c r="Z53" s="29" t="n">
        <v>927.1050017202126</v>
      </c>
      <c r="AA53" s="29" t="n">
        <v>2110.561195853216</v>
      </c>
      <c r="AB53" s="29" t="n">
        <v>609.8164594529019</v>
      </c>
      <c r="AC53" s="29" t="n">
        <v>911.0923949732868</v>
      </c>
      <c r="AD53" s="29" t="n">
        <v>1396.720760743083</v>
      </c>
      <c r="AE53" s="29" t="n">
        <v>817.1219049382033</v>
      </c>
      <c r="AF53" s="29" t="n">
        <v>947.666805447899</v>
      </c>
      <c r="AG53" s="29" t="n">
        <v>1508.563591156771</v>
      </c>
      <c r="AH53" s="29" t="n">
        <v>883.4892250686249</v>
      </c>
      <c r="AI53" s="29" t="n">
        <v>356.8378157744654</v>
      </c>
      <c r="AJ53" s="29" t="n">
        <v>444.6728556812639</v>
      </c>
      <c r="AK53" s="29" t="n">
        <v>2828.171133082612</v>
      </c>
      <c r="AL53" s="29" t="n">
        <v>3959.514182963191</v>
      </c>
      <c r="AM53" s="29" t="n">
        <v>9689.694217964507</v>
      </c>
      <c r="AN53" s="29" t="n">
        <v>5251.655839556707</v>
      </c>
      <c r="AO53" s="29" t="n">
        <v>4179.470098368507</v>
      </c>
      <c r="AP53" s="29" t="n">
        <v>19276.65707056934</v>
      </c>
      <c r="AQ53" s="29" t="n">
        <v>12664.15970235256</v>
      </c>
      <c r="AR53" s="29" t="n">
        <v>171.448574028795</v>
      </c>
      <c r="AS53" s="29" t="n">
        <v>1252.545119325026</v>
      </c>
      <c r="AT53" s="29" t="n">
        <v>3943.534067728272</v>
      </c>
      <c r="AU53" s="29" t="n">
        <v>631.8808133023721</v>
      </c>
      <c r="AV53" s="29" t="n">
        <v>1984.625808019854</v>
      </c>
      <c r="AW53" s="29" t="n">
        <v>2340.997761210624</v>
      </c>
      <c r="AX53" s="29" t="n">
        <v>0</v>
      </c>
      <c r="AY53" s="29" t="n">
        <v>86.36130380825323</v>
      </c>
      <c r="AZ53" s="29" t="n">
        <v>109.5213228309294</v>
      </c>
      <c r="BA53" s="29" t="n">
        <v>20442.49787174126</v>
      </c>
      <c r="BB53" s="29">
        <f>SUM(C53:BA53)</f>
        <v/>
      </c>
      <c r="BC53" s="29" t="n">
        <v>0</v>
      </c>
      <c r="BD53" s="29" t="n">
        <v>0</v>
      </c>
      <c r="BE53" s="29" t="n">
        <v>42534.07120547432</v>
      </c>
      <c r="BF53" s="29" t="n">
        <v>0</v>
      </c>
      <c r="BG53" s="29">
        <f>SUM(BC53:BF53)</f>
        <v/>
      </c>
      <c r="BH53" s="29">
        <f>BB53+BG53</f>
        <v/>
      </c>
    </row>
    <row r="54">
      <c r="A54" s="27" t="n">
        <v>41</v>
      </c>
      <c r="B54" s="28" t="inlineStr">
        <is>
          <t>Atividades imobiliárias e aluguéis</t>
        </is>
      </c>
      <c r="C54" s="27" t="n">
        <v>4.458329984683062</v>
      </c>
      <c r="D54" s="27" t="n">
        <v>1.342488726404869</v>
      </c>
      <c r="E54" s="27" t="n">
        <v>199.8123085152208</v>
      </c>
      <c r="F54" s="27" t="n">
        <v>7.803451428744814</v>
      </c>
      <c r="G54" s="27" t="n">
        <v>14.72516802413379</v>
      </c>
      <c r="H54" s="27" t="n">
        <v>357.3122185064591</v>
      </c>
      <c r="I54" s="27" t="n">
        <v>15.17665863737973</v>
      </c>
      <c r="J54" s="27" t="n">
        <v>125.8671620554981</v>
      </c>
      <c r="K54" s="27" t="n">
        <v>144.4087445559108</v>
      </c>
      <c r="L54" s="27" t="n">
        <v>42.61218311893142</v>
      </c>
      <c r="M54" s="27" t="n">
        <v>13.95687987971823</v>
      </c>
      <c r="N54" s="27" t="n">
        <v>45.78012111596431</v>
      </c>
      <c r="O54" s="27" t="n">
        <v>19.42611699354528</v>
      </c>
      <c r="P54" s="27" t="n">
        <v>44.89947933145124</v>
      </c>
      <c r="Q54" s="27" t="n">
        <v>34.02988428945413</v>
      </c>
      <c r="R54" s="27" t="n">
        <v>45.36109767263891</v>
      </c>
      <c r="S54" s="27" t="n">
        <v>13.92596923062362</v>
      </c>
      <c r="T54" s="27" t="n">
        <v>57.00844787305429</v>
      </c>
      <c r="U54" s="27" t="n">
        <v>10.37181543548416</v>
      </c>
      <c r="V54" s="27" t="n">
        <v>47.01484236221399</v>
      </c>
      <c r="W54" s="27" t="n">
        <v>6.430511067484687</v>
      </c>
      <c r="X54" s="27" t="n">
        <v>15.61183914263175</v>
      </c>
      <c r="Y54" s="27" t="n">
        <v>119.4316879389015</v>
      </c>
      <c r="Z54" s="27" t="n">
        <v>54.39520168809781</v>
      </c>
      <c r="AA54" s="27" t="n">
        <v>122.8531185278923</v>
      </c>
      <c r="AB54" s="27" t="n">
        <v>4.177384054755515</v>
      </c>
      <c r="AC54" s="27" t="n">
        <v>65.44070525797339</v>
      </c>
      <c r="AD54" s="27" t="n">
        <v>78.96192629049965</v>
      </c>
      <c r="AE54" s="27" t="n">
        <v>37.62380919056016</v>
      </c>
      <c r="AF54" s="27" t="n">
        <v>75.6551145364637</v>
      </c>
      <c r="AG54" s="27" t="n">
        <v>35.88785310178562</v>
      </c>
      <c r="AH54" s="27" t="n">
        <v>79.89326367900505</v>
      </c>
      <c r="AI54" s="27" t="n">
        <v>14.94248707074372</v>
      </c>
      <c r="AJ54" s="27" t="n">
        <v>62.25629725301484</v>
      </c>
      <c r="AK54" s="27" t="n">
        <v>316.674937039743</v>
      </c>
      <c r="AL54" s="27" t="n">
        <v>402.4486468568533</v>
      </c>
      <c r="AM54" s="27" t="n">
        <v>8157.016882767704</v>
      </c>
      <c r="AN54" s="27" t="n">
        <v>955.826674244574</v>
      </c>
      <c r="AO54" s="27" t="n">
        <v>1375.799745819004</v>
      </c>
      <c r="AP54" s="27" t="n">
        <v>1276.313469212831</v>
      </c>
      <c r="AQ54" s="27" t="n">
        <v>535.5859033092445</v>
      </c>
      <c r="AR54" s="27" t="n">
        <v>96.7083293753125</v>
      </c>
      <c r="AS54" s="27" t="n">
        <v>1304.65296241848</v>
      </c>
      <c r="AT54" s="27" t="n">
        <v>2211.498778030252</v>
      </c>
      <c r="AU54" s="27" t="n">
        <v>1148.223548464673</v>
      </c>
      <c r="AV54" s="27" t="n">
        <v>478.9084217908004</v>
      </c>
      <c r="AW54" s="27" t="n">
        <v>1927.904949037332</v>
      </c>
      <c r="AX54" s="27" t="n">
        <v>0</v>
      </c>
      <c r="AY54" s="27" t="n">
        <v>139.6496979399322</v>
      </c>
      <c r="AZ54" s="27" t="n">
        <v>94.28611762416936</v>
      </c>
      <c r="BA54" s="27" t="n">
        <v>670.4898207531891</v>
      </c>
      <c r="BB54" s="27">
        <f>SUM(C54:BA54)</f>
        <v/>
      </c>
      <c r="BC54" s="27" t="n">
        <v>0</v>
      </c>
      <c r="BD54" s="27" t="n">
        <v>0</v>
      </c>
      <c r="BE54" s="27" t="n">
        <v>156314.0936729385</v>
      </c>
      <c r="BF54" s="27" t="n">
        <v>0</v>
      </c>
      <c r="BG54" s="27">
        <f>SUM(BC54:BF54)</f>
        <v/>
      </c>
      <c r="BH54" s="27">
        <f>BB54+BG54</f>
        <v/>
      </c>
    </row>
    <row r="55">
      <c r="A55" s="29" t="n">
        <v>42</v>
      </c>
      <c r="B55" s="30" t="inlineStr">
        <is>
          <t>Serviços de manutenção e reparação</t>
        </is>
      </c>
      <c r="C55" s="29" t="n">
        <v>2.308954943555786</v>
      </c>
      <c r="D55" s="29" t="n">
        <v>0.08413271339687838</v>
      </c>
      <c r="E55" s="29" t="n">
        <v>14.94482090818274</v>
      </c>
      <c r="F55" s="29" t="n">
        <v>1.121182599665763</v>
      </c>
      <c r="G55" s="29" t="n">
        <v>1.277531424105113</v>
      </c>
      <c r="H55" s="29" t="n">
        <v>16.06444307409339</v>
      </c>
      <c r="I55" s="29" t="n">
        <v>0.5983788756182263</v>
      </c>
      <c r="J55" s="29" t="n">
        <v>6.585420867902098</v>
      </c>
      <c r="K55" s="29" t="n">
        <v>1.340249454495384</v>
      </c>
      <c r="L55" s="29" t="n">
        <v>4.868530936136994</v>
      </c>
      <c r="M55" s="29" t="n">
        <v>0.5493169767225954</v>
      </c>
      <c r="N55" s="29" t="n">
        <v>2.854791461897629</v>
      </c>
      <c r="O55" s="29" t="n">
        <v>6.454241381382951</v>
      </c>
      <c r="P55" s="29" t="n">
        <v>0.7028580020657954</v>
      </c>
      <c r="Q55" s="29" t="n">
        <v>0.4468410443116738</v>
      </c>
      <c r="R55" s="29" t="n">
        <v>0.7733634859606292</v>
      </c>
      <c r="S55" s="29" t="n">
        <v>0.9691621745572152</v>
      </c>
      <c r="T55" s="29" t="n">
        <v>1.651330462702342</v>
      </c>
      <c r="U55" s="29" t="n">
        <v>0.5385859626385729</v>
      </c>
      <c r="V55" s="29" t="n">
        <v>0.1351779056481488</v>
      </c>
      <c r="W55" s="29" t="n">
        <v>0.3077221909504451</v>
      </c>
      <c r="X55" s="29" t="n">
        <v>1.206022678274493</v>
      </c>
      <c r="Y55" s="29" t="n">
        <v>2.880834435836446</v>
      </c>
      <c r="Z55" s="29" t="n">
        <v>3.093789512267285</v>
      </c>
      <c r="AA55" s="29" t="n">
        <v>13.42826470200825</v>
      </c>
      <c r="AB55" s="29" t="n">
        <v>2.233834368960527</v>
      </c>
      <c r="AC55" s="29" t="n">
        <v>11.26408947642431</v>
      </c>
      <c r="AD55" s="29" t="n">
        <v>13.60931079243962</v>
      </c>
      <c r="AE55" s="29" t="n">
        <v>21.8226651790933</v>
      </c>
      <c r="AF55" s="29" t="n">
        <v>140.1225019044523</v>
      </c>
      <c r="AG55" s="29" t="n">
        <v>1.318781223697284</v>
      </c>
      <c r="AH55" s="29" t="n">
        <v>0.09004989480290142</v>
      </c>
      <c r="AI55" s="29" t="n">
        <v>0.2103074678303347</v>
      </c>
      <c r="AJ55" s="29" t="n">
        <v>2.348673636408779</v>
      </c>
      <c r="AK55" s="29" t="n">
        <v>153.527708500392</v>
      </c>
      <c r="AL55" s="29" t="n">
        <v>36.61396093020047</v>
      </c>
      <c r="AM55" s="29" t="n">
        <v>613.3232044335923</v>
      </c>
      <c r="AN55" s="29" t="n">
        <v>165.9493810600284</v>
      </c>
      <c r="AO55" s="29" t="n">
        <v>1836.502887750962</v>
      </c>
      <c r="AP55" s="29" t="n">
        <v>321.4018268560632</v>
      </c>
      <c r="AQ55" s="29" t="n">
        <v>25.22370243701548</v>
      </c>
      <c r="AR55" s="29" t="n">
        <v>36.88388922429098</v>
      </c>
      <c r="AS55" s="29" t="n">
        <v>37.82543139340246</v>
      </c>
      <c r="AT55" s="29" t="n">
        <v>448.0239038547678</v>
      </c>
      <c r="AU55" s="29" t="n">
        <v>147.5679320273829</v>
      </c>
      <c r="AV55" s="29" t="n">
        <v>194.3967596605978</v>
      </c>
      <c r="AW55" s="29" t="n">
        <v>7.928265188362199</v>
      </c>
      <c r="AX55" s="29" t="n">
        <v>0</v>
      </c>
      <c r="AY55" s="29" t="n">
        <v>20.18538695381314</v>
      </c>
      <c r="AZ55" s="29" t="n">
        <v>75.97084919445152</v>
      </c>
      <c r="BA55" s="29" t="n">
        <v>214.439449255779</v>
      </c>
      <c r="BB55" s="29">
        <f>SUM(C55:BA55)</f>
        <v/>
      </c>
      <c r="BC55" s="29" t="n">
        <v>0</v>
      </c>
      <c r="BD55" s="29" t="n">
        <v>0</v>
      </c>
      <c r="BE55" s="29" t="n">
        <v>3067.899186254891</v>
      </c>
      <c r="BF55" s="29" t="n">
        <v>0</v>
      </c>
      <c r="BG55" s="29">
        <f>SUM(BC55:BF55)</f>
        <v/>
      </c>
      <c r="BH55" s="29">
        <f>BB55+BG55</f>
        <v/>
      </c>
    </row>
    <row r="56">
      <c r="A56" s="27" t="n">
        <v>43</v>
      </c>
      <c r="B56" s="28" t="inlineStr">
        <is>
          <t>Serviços de alojamento e alimentação</t>
        </is>
      </c>
      <c r="C56" s="27" t="n">
        <v>5.269201706697309</v>
      </c>
      <c r="D56" s="27" t="n">
        <v>0.9571306055475056</v>
      </c>
      <c r="E56" s="27" t="n">
        <v>97.88393453308701</v>
      </c>
      <c r="F56" s="27" t="n">
        <v>23.78221549207964</v>
      </c>
      <c r="G56" s="27" t="n">
        <v>13.76100628308285</v>
      </c>
      <c r="H56" s="27" t="n">
        <v>293.0715990162987</v>
      </c>
      <c r="I56" s="27" t="n">
        <v>21.8876876797689</v>
      </c>
      <c r="J56" s="27" t="n">
        <v>24.84307531208907</v>
      </c>
      <c r="K56" s="27" t="n">
        <v>15.42359995099361</v>
      </c>
      <c r="L56" s="27" t="n">
        <v>20.86514906148536</v>
      </c>
      <c r="M56" s="27" t="n">
        <v>5.78486429864518</v>
      </c>
      <c r="N56" s="27" t="n">
        <v>39.06088873277007</v>
      </c>
      <c r="O56" s="27" t="n">
        <v>9.569497828886217</v>
      </c>
      <c r="P56" s="27" t="n">
        <v>14.57510154308529</v>
      </c>
      <c r="Q56" s="27" t="n">
        <v>5.483764229667727</v>
      </c>
      <c r="R56" s="27" t="n">
        <v>74.41732399646278</v>
      </c>
      <c r="S56" s="27" t="n">
        <v>10.70918159631235</v>
      </c>
      <c r="T56" s="27" t="n">
        <v>112.0427259809604</v>
      </c>
      <c r="U56" s="27" t="n">
        <v>32.48103708934137</v>
      </c>
      <c r="V56" s="27" t="n">
        <v>15.64380755522143</v>
      </c>
      <c r="W56" s="27" t="n">
        <v>13.0544888092911</v>
      </c>
      <c r="X56" s="27" t="n">
        <v>44.92152484658482</v>
      </c>
      <c r="Y56" s="27" t="n">
        <v>50.90612757153965</v>
      </c>
      <c r="Z56" s="27" t="n">
        <v>36.09803818997703</v>
      </c>
      <c r="AA56" s="27" t="n">
        <v>113.8719444639875</v>
      </c>
      <c r="AB56" s="27" t="n">
        <v>30.09144684966357</v>
      </c>
      <c r="AC56" s="27" t="n">
        <v>67.77904357250567</v>
      </c>
      <c r="AD56" s="27" t="n">
        <v>178.9538751524453</v>
      </c>
      <c r="AE56" s="27" t="n">
        <v>53.34493833836098</v>
      </c>
      <c r="AF56" s="27" t="n">
        <v>78.19954949804422</v>
      </c>
      <c r="AG56" s="27" t="n">
        <v>139.6392896593256</v>
      </c>
      <c r="AH56" s="27" t="n">
        <v>45.88540540172477</v>
      </c>
      <c r="AI56" s="27" t="n">
        <v>16.18650283496503</v>
      </c>
      <c r="AJ56" s="27" t="n">
        <v>25.46556461129001</v>
      </c>
      <c r="AK56" s="27" t="n">
        <v>113.8937177150855</v>
      </c>
      <c r="AL56" s="27" t="n">
        <v>436.6968734067812</v>
      </c>
      <c r="AM56" s="27" t="n">
        <v>972.4529269130848</v>
      </c>
      <c r="AN56" s="27" t="n">
        <v>495.2557710375747</v>
      </c>
      <c r="AO56" s="27" t="n">
        <v>397.2239069573554</v>
      </c>
      <c r="AP56" s="27" t="n">
        <v>791.2442341115753</v>
      </c>
      <c r="AQ56" s="27" t="n">
        <v>35.14516404900001</v>
      </c>
      <c r="AR56" s="27" t="n">
        <v>23.03620214606103</v>
      </c>
      <c r="AS56" s="27" t="n">
        <v>65.66045123607256</v>
      </c>
      <c r="AT56" s="27" t="n">
        <v>677.3110612185503</v>
      </c>
      <c r="AU56" s="27" t="n">
        <v>176.3331803654543</v>
      </c>
      <c r="AV56" s="27" t="n">
        <v>837.1724764027305</v>
      </c>
      <c r="AW56" s="27" t="n">
        <v>6489.586741137527</v>
      </c>
      <c r="AX56" s="27" t="n">
        <v>0</v>
      </c>
      <c r="AY56" s="27" t="n">
        <v>348.3167413000542</v>
      </c>
      <c r="AZ56" s="27" t="n">
        <v>1041.904869791894</v>
      </c>
      <c r="BA56" s="27" t="n">
        <v>3095.782966785286</v>
      </c>
      <c r="BB56" s="27">
        <f>SUM(C56:BA56)</f>
        <v/>
      </c>
      <c r="BC56" s="27" t="n">
        <v>0</v>
      </c>
      <c r="BD56" s="27" t="n">
        <v>0</v>
      </c>
      <c r="BE56" s="27" t="n">
        <v>45885.89054394123</v>
      </c>
      <c r="BF56" s="27" t="n">
        <v>0</v>
      </c>
      <c r="BG56" s="27">
        <f>SUM(BC56:BF56)</f>
        <v/>
      </c>
      <c r="BH56" s="27">
        <f>BB56+BG56</f>
        <v/>
      </c>
    </row>
    <row r="57">
      <c r="A57" s="29" t="n">
        <v>44</v>
      </c>
      <c r="B57" s="30" t="inlineStr">
        <is>
          <t>Serviços prestados às empresas</t>
        </is>
      </c>
      <c r="C57" s="29" t="n">
        <v>341.8066860339401</v>
      </c>
      <c r="D57" s="29" t="n">
        <v>180.8107530712684</v>
      </c>
      <c r="E57" s="29" t="n">
        <v>4730.04690574312</v>
      </c>
      <c r="F57" s="29" t="n">
        <v>732.3453752977963</v>
      </c>
      <c r="G57" s="29" t="n">
        <v>703.1714307817281</v>
      </c>
      <c r="H57" s="29" t="n">
        <v>8975.534359642321</v>
      </c>
      <c r="I57" s="29" t="n">
        <v>797.7040351275062</v>
      </c>
      <c r="J57" s="29" t="n">
        <v>366.885591262675</v>
      </c>
      <c r="K57" s="29" t="n">
        <v>336.2938551686579</v>
      </c>
      <c r="L57" s="29" t="n">
        <v>587.9241341793971</v>
      </c>
      <c r="M57" s="29" t="n">
        <v>192.9488125952136</v>
      </c>
      <c r="N57" s="29" t="n">
        <v>1120.358393678548</v>
      </c>
      <c r="O57" s="29" t="n">
        <v>157.3723993936889</v>
      </c>
      <c r="P57" s="29" t="n">
        <v>1522.203587347703</v>
      </c>
      <c r="Q57" s="29" t="n">
        <v>205.416315578637</v>
      </c>
      <c r="R57" s="29" t="n">
        <v>1542.194546979442</v>
      </c>
      <c r="S57" s="29" t="n">
        <v>368.1071207236577</v>
      </c>
      <c r="T57" s="29" t="n">
        <v>1939.292928255995</v>
      </c>
      <c r="U57" s="29" t="n">
        <v>698.1681477453302</v>
      </c>
      <c r="V57" s="29" t="n">
        <v>1005.251034007836</v>
      </c>
      <c r="W57" s="29" t="n">
        <v>466.3452384886925</v>
      </c>
      <c r="X57" s="29" t="n">
        <v>499.4709829131711</v>
      </c>
      <c r="Y57" s="29" t="n">
        <v>1157.088023303726</v>
      </c>
      <c r="Z57" s="29" t="n">
        <v>1148.892817808848</v>
      </c>
      <c r="AA57" s="29" t="n">
        <v>1305.635208141378</v>
      </c>
      <c r="AB57" s="29" t="n">
        <v>506.005185376844</v>
      </c>
      <c r="AC57" s="29" t="n">
        <v>906.9479631346391</v>
      </c>
      <c r="AD57" s="29" t="n">
        <v>2057.581666977766</v>
      </c>
      <c r="AE57" s="29" t="n">
        <v>1459.324419888456</v>
      </c>
      <c r="AF57" s="29" t="n">
        <v>2190.995685159485</v>
      </c>
      <c r="AG57" s="29" t="n">
        <v>3198.984438838511</v>
      </c>
      <c r="AH57" s="29" t="n">
        <v>1130.544310844724</v>
      </c>
      <c r="AI57" s="29" t="n">
        <v>346.5031241194011</v>
      </c>
      <c r="AJ57" s="29" t="n">
        <v>396.6999037733218</v>
      </c>
      <c r="AK57" s="29" t="n">
        <v>3425.092132194642</v>
      </c>
      <c r="AL57" s="29" t="n">
        <v>5081.797179816348</v>
      </c>
      <c r="AM57" s="29" t="n">
        <v>16505.87028138289</v>
      </c>
      <c r="AN57" s="29" t="n">
        <v>7391.236928746788</v>
      </c>
      <c r="AO57" s="29" t="n">
        <v>11619.69217530694</v>
      </c>
      <c r="AP57" s="29" t="n">
        <v>9768.862929741905</v>
      </c>
      <c r="AQ57" s="29" t="n">
        <v>864.8139540884472</v>
      </c>
      <c r="AR57" s="29" t="n">
        <v>66.88448082939355</v>
      </c>
      <c r="AS57" s="29" t="n">
        <v>1089.957297126457</v>
      </c>
      <c r="AT57" s="29" t="n">
        <v>11342.41150809233</v>
      </c>
      <c r="AU57" s="29" t="n">
        <v>2558.53094809828</v>
      </c>
      <c r="AV57" s="29" t="n">
        <v>868.4998706667145</v>
      </c>
      <c r="AW57" s="29" t="n">
        <v>4154.610674932397</v>
      </c>
      <c r="AX57" s="29" t="n">
        <v>0</v>
      </c>
      <c r="AY57" s="29" t="n">
        <v>2026.526385780556</v>
      </c>
      <c r="AZ57" s="29" t="n">
        <v>2956.356881166532</v>
      </c>
      <c r="BA57" s="29" t="n">
        <v>9668.922754485317</v>
      </c>
      <c r="BB57" s="29">
        <f>SUM(C57:BA57)</f>
        <v/>
      </c>
      <c r="BC57" s="29" t="n">
        <v>0</v>
      </c>
      <c r="BD57" s="29" t="n">
        <v>0</v>
      </c>
      <c r="BE57" s="29" t="n">
        <v>23079.97289206492</v>
      </c>
      <c r="BF57" s="29" t="n">
        <v>0</v>
      </c>
      <c r="BG57" s="29">
        <f>SUM(BC57:BF57)</f>
        <v/>
      </c>
      <c r="BH57" s="29">
        <f>BB57+BG57</f>
        <v/>
      </c>
    </row>
    <row r="58">
      <c r="A58" s="27" t="n">
        <v>45</v>
      </c>
      <c r="B58" s="28" t="inlineStr">
        <is>
          <t>Educação mercantil</t>
        </is>
      </c>
      <c r="C58" s="27" t="n">
        <v>4.362502309103366</v>
      </c>
      <c r="D58" s="27" t="n">
        <v>2.703818945297468</v>
      </c>
      <c r="E58" s="27" t="n">
        <v>23.74169894821196</v>
      </c>
      <c r="F58" s="27" t="n">
        <v>39.60301319285867</v>
      </c>
      <c r="G58" s="27" t="n">
        <v>11.22888453314849</v>
      </c>
      <c r="H58" s="27" t="n">
        <v>88.57088669258451</v>
      </c>
      <c r="I58" s="27" t="n">
        <v>2.280202347207491</v>
      </c>
      <c r="J58" s="27" t="n">
        <v>1.85057854268944</v>
      </c>
      <c r="K58" s="27" t="n">
        <v>1.06161509213258</v>
      </c>
      <c r="L58" s="27" t="n">
        <v>1.801652397189686</v>
      </c>
      <c r="M58" s="27" t="n">
        <v>0.5748589732212628</v>
      </c>
      <c r="N58" s="27" t="n">
        <v>18.07162734401603</v>
      </c>
      <c r="O58" s="27" t="n">
        <v>0.4399194900880551</v>
      </c>
      <c r="P58" s="27" t="n">
        <v>6.88518708683027</v>
      </c>
      <c r="Q58" s="27" t="n">
        <v>0.6107574725490117</v>
      </c>
      <c r="R58" s="27" t="n">
        <v>8.922177800195177</v>
      </c>
      <c r="S58" s="27" t="n">
        <v>1.101426835777434</v>
      </c>
      <c r="T58" s="27" t="n">
        <v>5.557452683696937</v>
      </c>
      <c r="U58" s="27" t="n">
        <v>9.397315017968106</v>
      </c>
      <c r="V58" s="27" t="n">
        <v>2.829816634004929</v>
      </c>
      <c r="W58" s="27" t="n">
        <v>2.754187562268619</v>
      </c>
      <c r="X58" s="27" t="n">
        <v>1.48754399460839</v>
      </c>
      <c r="Y58" s="27" t="n">
        <v>4.742541880321863</v>
      </c>
      <c r="Z58" s="27" t="n">
        <v>3.369003115155632</v>
      </c>
      <c r="AA58" s="27" t="n">
        <v>109.2309067057659</v>
      </c>
      <c r="AB58" s="27" t="n">
        <v>27.01724874040933</v>
      </c>
      <c r="AC58" s="27" t="n">
        <v>25.47687521180657</v>
      </c>
      <c r="AD58" s="27" t="n">
        <v>18.72782335283352</v>
      </c>
      <c r="AE58" s="27" t="n">
        <v>4.21162241688618</v>
      </c>
      <c r="AF58" s="27" t="n">
        <v>6.995071312383511</v>
      </c>
      <c r="AG58" s="27" t="n">
        <v>44.41577309092028</v>
      </c>
      <c r="AH58" s="27" t="n">
        <v>5.096578998415252</v>
      </c>
      <c r="AI58" s="27" t="n">
        <v>0.979313463334652</v>
      </c>
      <c r="AJ58" s="27" t="n">
        <v>1.166530899594351</v>
      </c>
      <c r="AK58" s="27" t="n">
        <v>40.49054998212646</v>
      </c>
      <c r="AL58" s="27" t="n">
        <v>15.3332990612432</v>
      </c>
      <c r="AM58" s="27" t="n">
        <v>234.4598859133871</v>
      </c>
      <c r="AN58" s="27" t="n">
        <v>440.6928028082471</v>
      </c>
      <c r="AO58" s="27" t="n">
        <v>56.15853928511835</v>
      </c>
      <c r="AP58" s="27" t="n">
        <v>479.2552760752292</v>
      </c>
      <c r="AQ58" s="27" t="n">
        <v>2.521056582005978</v>
      </c>
      <c r="AR58" s="27" t="n">
        <v>130.4918458815104</v>
      </c>
      <c r="AS58" s="27" t="n">
        <v>3.846146354311961</v>
      </c>
      <c r="AT58" s="27" t="n">
        <v>1431.310291815003</v>
      </c>
      <c r="AU58" s="27" t="n">
        <v>7.37564618508807</v>
      </c>
      <c r="AV58" s="27" t="n">
        <v>2.587838621235163</v>
      </c>
      <c r="AW58" s="27" t="n">
        <v>65.74793588990946</v>
      </c>
      <c r="AX58" s="27" t="n">
        <v>0</v>
      </c>
      <c r="AY58" s="27" t="n">
        <v>423.6387412074183</v>
      </c>
      <c r="AZ58" s="27" t="n">
        <v>178.7722819656262</v>
      </c>
      <c r="BA58" s="27" t="n">
        <v>220.6397466521903</v>
      </c>
      <c r="BB58" s="27">
        <f>SUM(C58:BA58)</f>
        <v/>
      </c>
      <c r="BC58" s="27" t="n">
        <v>0</v>
      </c>
      <c r="BD58" s="27" t="n">
        <v>0</v>
      </c>
      <c r="BE58" s="27" t="n">
        <v>34348.26212040742</v>
      </c>
      <c r="BF58" s="27" t="n">
        <v>0</v>
      </c>
      <c r="BG58" s="27">
        <f>SUM(BC58:BF58)</f>
        <v/>
      </c>
      <c r="BH58" s="27">
        <f>BB58+BG58</f>
        <v/>
      </c>
    </row>
    <row r="59">
      <c r="A59" s="29" t="n">
        <v>46</v>
      </c>
      <c r="B59" s="30" t="inlineStr">
        <is>
          <t>Saúde mercantil</t>
        </is>
      </c>
      <c r="C59" s="29" t="n">
        <v>1.681364325915528</v>
      </c>
      <c r="D59" s="29" t="n">
        <v>0.455013160397754</v>
      </c>
      <c r="E59" s="29" t="n">
        <v>3.837385634385358</v>
      </c>
      <c r="F59" s="29" t="n">
        <v>5.785305546255139</v>
      </c>
      <c r="G59" s="29" t="n">
        <v>2.226232816241613</v>
      </c>
      <c r="H59" s="29" t="n">
        <v>81.68346621934715</v>
      </c>
      <c r="I59" s="29" t="n">
        <v>3.267544768833071</v>
      </c>
      <c r="J59" s="29" t="n">
        <v>9.182271629093881</v>
      </c>
      <c r="K59" s="29" t="n">
        <v>8.61553267680795</v>
      </c>
      <c r="L59" s="29" t="n">
        <v>10.61544478508517</v>
      </c>
      <c r="M59" s="29" t="n">
        <v>2.951864941646719</v>
      </c>
      <c r="N59" s="29" t="n">
        <v>14.64233538009574</v>
      </c>
      <c r="O59" s="29" t="n">
        <v>0.9898539380427206</v>
      </c>
      <c r="P59" s="29" t="n">
        <v>4.239266389795813</v>
      </c>
      <c r="Q59" s="29" t="n">
        <v>2.698353773467696</v>
      </c>
      <c r="R59" s="29" t="n">
        <v>4.600364319862066</v>
      </c>
      <c r="S59" s="29" t="n">
        <v>5.072680184658116</v>
      </c>
      <c r="T59" s="29" t="n">
        <v>9.189285743183294</v>
      </c>
      <c r="U59" s="29" t="n">
        <v>2.896777911950171</v>
      </c>
      <c r="V59" s="29" t="n">
        <v>1.373981890891622</v>
      </c>
      <c r="W59" s="29" t="n">
        <v>1.667521796979903</v>
      </c>
      <c r="X59" s="29" t="n">
        <v>6.293965152899964</v>
      </c>
      <c r="Y59" s="29" t="n">
        <v>16.09187893905748</v>
      </c>
      <c r="Z59" s="29" t="n">
        <v>11.99735270109566</v>
      </c>
      <c r="AA59" s="29" t="n">
        <v>18.9363546408896</v>
      </c>
      <c r="AB59" s="29" t="n">
        <v>4.877639423116682</v>
      </c>
      <c r="AC59" s="29" t="n">
        <v>11.21085704909782</v>
      </c>
      <c r="AD59" s="29" t="n">
        <v>37.8622795425981</v>
      </c>
      <c r="AE59" s="29" t="n">
        <v>9.579095468807028</v>
      </c>
      <c r="AF59" s="29" t="n">
        <v>13.11644373191994</v>
      </c>
      <c r="AG59" s="29" t="n">
        <v>4.272812951940989</v>
      </c>
      <c r="AH59" s="29" t="n">
        <v>1.559750225083042</v>
      </c>
      <c r="AI59" s="29" t="n">
        <v>1.277731154761228</v>
      </c>
      <c r="AJ59" s="29" t="n">
        <v>4.212499904639456</v>
      </c>
      <c r="AK59" s="29" t="n">
        <v>11.39034330589697</v>
      </c>
      <c r="AL59" s="29" t="n">
        <v>10.03070079038213</v>
      </c>
      <c r="AM59" s="29" t="n">
        <v>170.2423782107307</v>
      </c>
      <c r="AN59" s="29" t="n">
        <v>62.42668544883573</v>
      </c>
      <c r="AO59" s="29" t="n">
        <v>65.35006237337478</v>
      </c>
      <c r="AP59" s="29" t="n">
        <v>19.02387329666671</v>
      </c>
      <c r="AQ59" s="29" t="n">
        <v>7.462227851955706</v>
      </c>
      <c r="AR59" s="29" t="n">
        <v>1.365557735273156</v>
      </c>
      <c r="AS59" s="29" t="n">
        <v>18.39345743710279</v>
      </c>
      <c r="AT59" s="29" t="n">
        <v>44.08881901823311</v>
      </c>
      <c r="AU59" s="29" t="n">
        <v>15.89653803796249</v>
      </c>
      <c r="AV59" s="29" t="n">
        <v>6755.287893060562</v>
      </c>
      <c r="AW59" s="29" t="n">
        <v>27.39443023335785</v>
      </c>
      <c r="AX59" s="29" t="n">
        <v>0</v>
      </c>
      <c r="AY59" s="29" t="n">
        <v>5.918666554028956</v>
      </c>
      <c r="AZ59" s="29" t="n">
        <v>12.3627735238274</v>
      </c>
      <c r="BA59" s="29" t="n">
        <v>42.52093434855023</v>
      </c>
      <c r="BB59" s="29">
        <f>SUM(C59:BA59)</f>
        <v/>
      </c>
      <c r="BC59" s="29" t="n">
        <v>0</v>
      </c>
      <c r="BD59" s="29" t="n">
        <v>0</v>
      </c>
      <c r="BE59" s="29" t="n">
        <v>60036.43284652459</v>
      </c>
      <c r="BF59" s="29" t="n">
        <v>0</v>
      </c>
      <c r="BG59" s="29">
        <f>SUM(BC59:BF59)</f>
        <v/>
      </c>
      <c r="BH59" s="29">
        <f>BB59+BG59</f>
        <v/>
      </c>
    </row>
    <row r="60">
      <c r="A60" s="27" t="n">
        <v>47</v>
      </c>
      <c r="B60" s="28" t="inlineStr">
        <is>
          <t>Serviços prestados às famílias e associativas</t>
        </is>
      </c>
      <c r="C60" s="27" t="n">
        <v>77.14205928558536</v>
      </c>
      <c r="D60" s="27" t="n">
        <v>28.97447051933499</v>
      </c>
      <c r="E60" s="27" t="n">
        <v>359.1692354369656</v>
      </c>
      <c r="F60" s="27" t="n">
        <v>162.3631538064322</v>
      </c>
      <c r="G60" s="27" t="n">
        <v>78.19530586297418</v>
      </c>
      <c r="H60" s="27" t="n">
        <v>993.6787010777973</v>
      </c>
      <c r="I60" s="27" t="n">
        <v>62.90768020317528</v>
      </c>
      <c r="J60" s="27" t="n">
        <v>95.32139220424172</v>
      </c>
      <c r="K60" s="27" t="n">
        <v>85.66780452517085</v>
      </c>
      <c r="L60" s="27" t="n">
        <v>85.02535937923702</v>
      </c>
      <c r="M60" s="27" t="n">
        <v>58.65313634266261</v>
      </c>
      <c r="N60" s="27" t="n">
        <v>316.3837293271545</v>
      </c>
      <c r="O60" s="27" t="n">
        <v>42.81204833826171</v>
      </c>
      <c r="P60" s="27" t="n">
        <v>157.1967090196868</v>
      </c>
      <c r="Q60" s="27" t="n">
        <v>125.9257923133435</v>
      </c>
      <c r="R60" s="27" t="n">
        <v>186.3964071538387</v>
      </c>
      <c r="S60" s="27" t="n">
        <v>31.93786327621037</v>
      </c>
      <c r="T60" s="27" t="n">
        <v>217.1367505290339</v>
      </c>
      <c r="U60" s="27" t="n">
        <v>102.4612070673962</v>
      </c>
      <c r="V60" s="27" t="n">
        <v>99.98794607195711</v>
      </c>
      <c r="W60" s="27" t="n">
        <v>36.11042083077881</v>
      </c>
      <c r="X60" s="27" t="n">
        <v>202.3420903751688</v>
      </c>
      <c r="Y60" s="27" t="n">
        <v>363.2669672600987</v>
      </c>
      <c r="Z60" s="27" t="n">
        <v>177.5625269907724</v>
      </c>
      <c r="AA60" s="27" t="n">
        <v>244.6387354778359</v>
      </c>
      <c r="AB60" s="27" t="n">
        <v>74.55568253600863</v>
      </c>
      <c r="AC60" s="27" t="n">
        <v>193.1010600571186</v>
      </c>
      <c r="AD60" s="27" t="n">
        <v>345.1798640729183</v>
      </c>
      <c r="AE60" s="27" t="n">
        <v>186.2806310004666</v>
      </c>
      <c r="AF60" s="27" t="n">
        <v>236.9410615219831</v>
      </c>
      <c r="AG60" s="27" t="n">
        <v>545.741782121019</v>
      </c>
      <c r="AH60" s="27" t="n">
        <v>217.3575380469495</v>
      </c>
      <c r="AI60" s="27" t="n">
        <v>72.75137240371443</v>
      </c>
      <c r="AJ60" s="27" t="n">
        <v>110.7444342419674</v>
      </c>
      <c r="AK60" s="27" t="n">
        <v>470.420323323681</v>
      </c>
      <c r="AL60" s="27" t="n">
        <v>621.4304640746594</v>
      </c>
      <c r="AM60" s="27" t="n">
        <v>2871.08189559083</v>
      </c>
      <c r="AN60" s="27" t="n">
        <v>1670.926880747921</v>
      </c>
      <c r="AO60" s="27" t="n">
        <v>2888.556330718727</v>
      </c>
      <c r="AP60" s="27" t="n">
        <v>1344.707621592816</v>
      </c>
      <c r="AQ60" s="27" t="n">
        <v>329.0363874601168</v>
      </c>
      <c r="AR60" s="27" t="n">
        <v>29.20301995204306</v>
      </c>
      <c r="AS60" s="27" t="n">
        <v>495.9049004863049</v>
      </c>
      <c r="AT60" s="27" t="n">
        <v>1453.109527889636</v>
      </c>
      <c r="AU60" s="27" t="n">
        <v>675.1142516679969</v>
      </c>
      <c r="AV60" s="27" t="n">
        <v>1345.57037345371</v>
      </c>
      <c r="AW60" s="27" t="n">
        <v>2635.332326330472</v>
      </c>
      <c r="AX60" s="27" t="n">
        <v>0</v>
      </c>
      <c r="AY60" s="27" t="n">
        <v>605.0983358154518</v>
      </c>
      <c r="AZ60" s="27" t="n">
        <v>811.7131630562715</v>
      </c>
      <c r="BA60" s="27" t="n">
        <v>1528.151403354343</v>
      </c>
      <c r="BB60" s="27">
        <f>SUM(C60:BA60)</f>
        <v/>
      </c>
      <c r="BC60" s="27" t="n">
        <v>0</v>
      </c>
      <c r="BD60" s="27" t="n">
        <v>0</v>
      </c>
      <c r="BE60" s="27" t="n">
        <v>71552.40089026064</v>
      </c>
      <c r="BF60" s="27" t="n">
        <v>0</v>
      </c>
      <c r="BG60" s="27">
        <f>SUM(BC60:BF60)</f>
        <v/>
      </c>
      <c r="BH60" s="27">
        <f>BB60+BG60</f>
        <v/>
      </c>
    </row>
    <row r="61">
      <c r="A61" s="29" t="n">
        <v>48</v>
      </c>
      <c r="B61" s="30" t="inlineStr">
        <is>
          <t>Serviços domésticos</t>
        </is>
      </c>
      <c r="C61" s="29" t="n">
        <v>0</v>
      </c>
      <c r="D61" s="29" t="n">
        <v>0</v>
      </c>
      <c r="E61" s="29" t="n">
        <v>0</v>
      </c>
      <c r="F61" s="29" t="n">
        <v>0</v>
      </c>
      <c r="G61" s="29" t="n">
        <v>0</v>
      </c>
      <c r="H61" s="29" t="n">
        <v>0</v>
      </c>
      <c r="I61" s="29" t="n">
        <v>0</v>
      </c>
      <c r="J61" s="29" t="n">
        <v>0</v>
      </c>
      <c r="K61" s="29" t="n">
        <v>0</v>
      </c>
      <c r="L61" s="29" t="n">
        <v>0</v>
      </c>
      <c r="M61" s="29" t="n">
        <v>0</v>
      </c>
      <c r="N61" s="29" t="n">
        <v>0</v>
      </c>
      <c r="O61" s="29" t="n">
        <v>0</v>
      </c>
      <c r="P61" s="29" t="n">
        <v>0</v>
      </c>
      <c r="Q61" s="29" t="n">
        <v>0</v>
      </c>
      <c r="R61" s="29" t="n">
        <v>0</v>
      </c>
      <c r="S61" s="29" t="n">
        <v>0</v>
      </c>
      <c r="T61" s="29" t="n">
        <v>0</v>
      </c>
      <c r="U61" s="29" t="n">
        <v>0</v>
      </c>
      <c r="V61" s="29" t="n">
        <v>0</v>
      </c>
      <c r="W61" s="29" t="n">
        <v>0</v>
      </c>
      <c r="X61" s="29" t="n">
        <v>0</v>
      </c>
      <c r="Y61" s="29" t="n">
        <v>0</v>
      </c>
      <c r="Z61" s="29" t="n">
        <v>0</v>
      </c>
      <c r="AA61" s="29" t="n">
        <v>0</v>
      </c>
      <c r="AB61" s="29" t="n">
        <v>0</v>
      </c>
      <c r="AC61" s="29" t="n">
        <v>0</v>
      </c>
      <c r="AD61" s="29" t="n">
        <v>0</v>
      </c>
      <c r="AE61" s="29" t="n">
        <v>0</v>
      </c>
      <c r="AF61" s="29" t="n">
        <v>0</v>
      </c>
      <c r="AG61" s="29" t="n">
        <v>0</v>
      </c>
      <c r="AH61" s="29" t="n">
        <v>0</v>
      </c>
      <c r="AI61" s="29" t="n">
        <v>0</v>
      </c>
      <c r="AJ61" s="29" t="n">
        <v>0</v>
      </c>
      <c r="AK61" s="29" t="n">
        <v>0</v>
      </c>
      <c r="AL61" s="29" t="n">
        <v>0</v>
      </c>
      <c r="AM61" s="29" t="n">
        <v>0</v>
      </c>
      <c r="AN61" s="29" t="n">
        <v>0</v>
      </c>
      <c r="AO61" s="29" t="n">
        <v>0</v>
      </c>
      <c r="AP61" s="29" t="n">
        <v>0</v>
      </c>
      <c r="AQ61" s="29" t="n">
        <v>0</v>
      </c>
      <c r="AR61" s="29" t="n">
        <v>0</v>
      </c>
      <c r="AS61" s="29" t="n">
        <v>0</v>
      </c>
      <c r="AT61" s="29" t="n">
        <v>0</v>
      </c>
      <c r="AU61" s="29" t="n">
        <v>0</v>
      </c>
      <c r="AV61" s="29" t="n">
        <v>0</v>
      </c>
      <c r="AW61" s="29" t="n">
        <v>0</v>
      </c>
      <c r="AX61" s="29" t="n">
        <v>0</v>
      </c>
      <c r="AY61" s="29" t="n">
        <v>0</v>
      </c>
      <c r="AZ61" s="29" t="n">
        <v>0</v>
      </c>
      <c r="BA61" s="29" t="n">
        <v>0</v>
      </c>
      <c r="BB61" s="29">
        <f>SUM(C61:BA61)</f>
        <v/>
      </c>
      <c r="BC61" s="29" t="n">
        <v>0</v>
      </c>
      <c r="BD61" s="29" t="n">
        <v>0</v>
      </c>
      <c r="BE61" s="29" t="n">
        <v>19759.4869092146</v>
      </c>
      <c r="BF61" s="29" t="n">
        <v>0</v>
      </c>
      <c r="BG61" s="29">
        <f>SUM(BC61:BF61)</f>
        <v/>
      </c>
      <c r="BH61" s="29">
        <f>BB61+BG61</f>
        <v/>
      </c>
    </row>
    <row r="62">
      <c r="A62" s="27" t="n">
        <v>49</v>
      </c>
      <c r="B62" s="28" t="inlineStr">
        <is>
          <t>Educação pública</t>
        </is>
      </c>
      <c r="C62" s="27" t="n">
        <v>13.93994563087816</v>
      </c>
      <c r="D62" s="27" t="n">
        <v>7.906896567580759</v>
      </c>
      <c r="E62" s="27" t="n">
        <v>190.8272408570032</v>
      </c>
      <c r="F62" s="27" t="n">
        <v>29.25310177411664</v>
      </c>
      <c r="G62" s="27" t="n">
        <v>28.16955662503984</v>
      </c>
      <c r="H62" s="27" t="n">
        <v>365.9837476967191</v>
      </c>
      <c r="I62" s="27" t="n">
        <v>32.33963428791788</v>
      </c>
      <c r="J62" s="27" t="n">
        <v>14.73253074376361</v>
      </c>
      <c r="K62" s="27" t="n">
        <v>13.43321712074258</v>
      </c>
      <c r="L62" s="27" t="n">
        <v>23.73863753883431</v>
      </c>
      <c r="M62" s="27" t="n">
        <v>7.680006263510708</v>
      </c>
      <c r="N62" s="27" t="n">
        <v>45.19416986344961</v>
      </c>
      <c r="O62" s="27" t="n">
        <v>6.603192550590609</v>
      </c>
      <c r="P62" s="27" t="n">
        <v>61.64778095541566</v>
      </c>
      <c r="Q62" s="27" t="n">
        <v>8.25961777394218</v>
      </c>
      <c r="R62" s="27" t="n">
        <v>62.43501866212265</v>
      </c>
      <c r="S62" s="27" t="n">
        <v>14.83887796167917</v>
      </c>
      <c r="T62" s="27" t="n">
        <v>78.54927232991474</v>
      </c>
      <c r="U62" s="27" t="n">
        <v>28.34829230025507</v>
      </c>
      <c r="V62" s="27" t="n">
        <v>40.73241136904711</v>
      </c>
      <c r="W62" s="27" t="n">
        <v>18.88694484580136</v>
      </c>
      <c r="X62" s="27" t="n">
        <v>20.19070452814611</v>
      </c>
      <c r="Y62" s="27" t="n">
        <v>46.71774603385357</v>
      </c>
      <c r="Z62" s="27" t="n">
        <v>46.17543847392059</v>
      </c>
      <c r="AA62" s="27" t="n">
        <v>51.94051161612969</v>
      </c>
      <c r="AB62" s="27" t="n">
        <v>20.39765247339421</v>
      </c>
      <c r="AC62" s="27" t="n">
        <v>36.76662877448825</v>
      </c>
      <c r="AD62" s="27" t="n">
        <v>77.34569664500158</v>
      </c>
      <c r="AE62" s="27" t="n">
        <v>58.94257493108034</v>
      </c>
      <c r="AF62" s="27" t="n">
        <v>88.81501177839282</v>
      </c>
      <c r="AG62" s="27" t="n">
        <v>129.6945592204945</v>
      </c>
      <c r="AH62" s="27" t="n">
        <v>45.69882875463869</v>
      </c>
      <c r="AI62" s="27" t="n">
        <v>13.91944280018348</v>
      </c>
      <c r="AJ62" s="27" t="n">
        <v>15.97060156537033</v>
      </c>
      <c r="AK62" s="27" t="n">
        <v>138.8654470700077</v>
      </c>
      <c r="AL62" s="27" t="n">
        <v>204.9501781588623</v>
      </c>
      <c r="AM62" s="27" t="n">
        <v>666.9724229359687</v>
      </c>
      <c r="AN62" s="27" t="n">
        <v>301.5948059124293</v>
      </c>
      <c r="AO62" s="27" t="n">
        <v>471.818981152669</v>
      </c>
      <c r="AP62" s="27" t="n">
        <v>399.5286777957232</v>
      </c>
      <c r="AQ62" s="27" t="n">
        <v>34.85176172493836</v>
      </c>
      <c r="AR62" s="27" t="n">
        <v>3.642925271739956</v>
      </c>
      <c r="AS62" s="27" t="n">
        <v>43.50256631234803</v>
      </c>
      <c r="AT62" s="27" t="n">
        <v>470.4277701318184</v>
      </c>
      <c r="AU62" s="27" t="n">
        <v>103.2220741701137</v>
      </c>
      <c r="AV62" s="27" t="n">
        <v>39.38838096881468</v>
      </c>
      <c r="AW62" s="27" t="n">
        <v>168.6229942843678</v>
      </c>
      <c r="AX62" s="27" t="n">
        <v>0</v>
      </c>
      <c r="AY62" s="27" t="n">
        <v>85.35161063568476</v>
      </c>
      <c r="AZ62" s="27" t="n">
        <v>121.1762946797521</v>
      </c>
      <c r="BA62" s="27" t="n">
        <v>393.8376989176309</v>
      </c>
      <c r="BB62" s="27">
        <f>SUM(C62:BA62)</f>
        <v/>
      </c>
      <c r="BC62" s="27" t="n">
        <v>0</v>
      </c>
      <c r="BD62" s="27" t="n">
        <v>0</v>
      </c>
      <c r="BE62" s="27" t="n">
        <v>64348.49904042132</v>
      </c>
      <c r="BF62" s="27" t="n">
        <v>0</v>
      </c>
      <c r="BG62" s="27">
        <f>SUM(BC62:BF62)</f>
        <v/>
      </c>
      <c r="BH62" s="27">
        <f>BB62+BG62</f>
        <v/>
      </c>
    </row>
    <row r="63">
      <c r="A63" s="29" t="n">
        <v>50</v>
      </c>
      <c r="B63" s="30" t="inlineStr">
        <is>
          <t>Saúde pública</t>
        </is>
      </c>
      <c r="C63" s="29" t="n">
        <v>0.9735805776573345</v>
      </c>
      <c r="D63" s="29" t="n">
        <v>0.6679105695896947</v>
      </c>
      <c r="E63" s="29" t="n">
        <v>13.14223752060638</v>
      </c>
      <c r="F63" s="29" t="n">
        <v>1.995144555553927</v>
      </c>
      <c r="G63" s="29" t="n">
        <v>1.934918635175455</v>
      </c>
      <c r="H63" s="29" t="n">
        <v>25.00905864877457</v>
      </c>
      <c r="I63" s="29" t="n">
        <v>2.227396996679429</v>
      </c>
      <c r="J63" s="29" t="n">
        <v>1.007706482291239</v>
      </c>
      <c r="K63" s="29" t="n">
        <v>0.9182479105124649</v>
      </c>
      <c r="L63" s="29" t="n">
        <v>1.633263021310489</v>
      </c>
      <c r="M63" s="29" t="n">
        <v>0.5278659945948924</v>
      </c>
      <c r="N63" s="29" t="n">
        <v>3.098395851873712</v>
      </c>
      <c r="O63" s="29" t="n">
        <v>0.4231143869450359</v>
      </c>
      <c r="P63" s="29" t="n">
        <v>4.24397386520236</v>
      </c>
      <c r="Q63" s="29" t="n">
        <v>0.5664227757749828</v>
      </c>
      <c r="R63" s="29" t="n">
        <v>4.296067623402916</v>
      </c>
      <c r="S63" s="29" t="n">
        <v>1.021247191727028</v>
      </c>
      <c r="T63" s="29" t="n">
        <v>5.570495245844593</v>
      </c>
      <c r="U63" s="29" t="n">
        <v>1.958756130253266</v>
      </c>
      <c r="V63" s="29" t="n">
        <v>2.804145248200884</v>
      </c>
      <c r="W63" s="29" t="n">
        <v>1.30014145441658</v>
      </c>
      <c r="X63" s="29" t="n">
        <v>1.388376912042411</v>
      </c>
      <c r="Y63" s="29" t="n">
        <v>3.21110165182142</v>
      </c>
      <c r="Z63" s="29" t="n">
        <v>3.177649677470941</v>
      </c>
      <c r="AA63" s="29" t="n">
        <v>3.514567918113627</v>
      </c>
      <c r="AB63" s="29" t="n">
        <v>1.39074638142662</v>
      </c>
      <c r="AC63" s="29" t="n">
        <v>2.517082139669395</v>
      </c>
      <c r="AD63" s="29" t="n">
        <v>5.316919706636354</v>
      </c>
      <c r="AE63" s="29" t="n">
        <v>4.058459776963903</v>
      </c>
      <c r="AF63" s="29" t="n">
        <v>6.110440610462167</v>
      </c>
      <c r="AG63" s="29" t="n">
        <v>8.914057500313746</v>
      </c>
      <c r="AH63" s="29" t="n">
        <v>3.142497560109269</v>
      </c>
      <c r="AI63" s="29" t="n">
        <v>0.958057571672528</v>
      </c>
      <c r="AJ63" s="29" t="n">
        <v>1.096640563407225</v>
      </c>
      <c r="AK63" s="29" t="n">
        <v>9.522185686277954</v>
      </c>
      <c r="AL63" s="29" t="n">
        <v>14.0972948701806</v>
      </c>
      <c r="AM63" s="29" t="n">
        <v>45.37081706097699</v>
      </c>
      <c r="AN63" s="29" t="n">
        <v>20.50775901881794</v>
      </c>
      <c r="AO63" s="29" t="n">
        <v>32.31447327062664</v>
      </c>
      <c r="AP63" s="29" t="n">
        <v>27.19604989449236</v>
      </c>
      <c r="AQ63" s="29" t="n">
        <v>2.370325195358456</v>
      </c>
      <c r="AR63" s="29" t="n">
        <v>0.1779733965840498</v>
      </c>
      <c r="AS63" s="29" t="n">
        <v>2.931600309872704</v>
      </c>
      <c r="AT63" s="29" t="n">
        <v>31.48391014343115</v>
      </c>
      <c r="AU63" s="29" t="n">
        <v>7.060459409888773</v>
      </c>
      <c r="AV63" s="29" t="n">
        <v>179.6631430723345</v>
      </c>
      <c r="AW63" s="29" t="n">
        <v>11.45106352696526</v>
      </c>
      <c r="AX63" s="29" t="n">
        <v>0</v>
      </c>
      <c r="AY63" s="29" t="n">
        <v>5.696814906379282</v>
      </c>
      <c r="AZ63" s="29" t="n">
        <v>8.461383752423449</v>
      </c>
      <c r="BA63" s="29" t="n">
        <v>27.53859791999261</v>
      </c>
      <c r="BB63" s="29">
        <f>SUM(C63:BA63)</f>
        <v/>
      </c>
      <c r="BC63" s="29" t="n">
        <v>0</v>
      </c>
      <c r="BD63" s="29" t="n">
        <v>0</v>
      </c>
      <c r="BE63" s="29" t="n">
        <v>48404.9065604604</v>
      </c>
      <c r="BF63" s="29" t="n">
        <v>0</v>
      </c>
      <c r="BG63" s="29">
        <f>SUM(BC63:BF63)</f>
        <v/>
      </c>
      <c r="BH63" s="29">
        <f>BB63+BG63</f>
        <v/>
      </c>
    </row>
    <row r="64">
      <c r="A64" s="27" t="n">
        <v>51</v>
      </c>
      <c r="B64" s="28" t="inlineStr">
        <is>
          <t>Administração pública e seguridade social</t>
        </is>
      </c>
      <c r="C64" s="27" t="n">
        <v>211.3118478724309</v>
      </c>
      <c r="D64" s="27" t="n">
        <v>77.04552244845165</v>
      </c>
      <c r="E64" s="27" t="n">
        <v>234.372891538059</v>
      </c>
      <c r="F64" s="27" t="n">
        <v>51.22141816585847</v>
      </c>
      <c r="G64" s="27" t="n">
        <v>41.71577693907398</v>
      </c>
      <c r="H64" s="27" t="n">
        <v>807.8262113901101</v>
      </c>
      <c r="I64" s="27" t="n">
        <v>31.69849841476736</v>
      </c>
      <c r="J64" s="27" t="n">
        <v>34.55563336145216</v>
      </c>
      <c r="K64" s="27" t="n">
        <v>26.81617195251973</v>
      </c>
      <c r="L64" s="27" t="n">
        <v>31.98453798884887</v>
      </c>
      <c r="M64" s="27" t="n">
        <v>27.40275767617735</v>
      </c>
      <c r="N64" s="27" t="n">
        <v>94.05684214588176</v>
      </c>
      <c r="O64" s="27" t="n">
        <v>85.12261055438034</v>
      </c>
      <c r="P64" s="27" t="n">
        <v>70.40516224973472</v>
      </c>
      <c r="Q64" s="27" t="n">
        <v>14.6607570644689</v>
      </c>
      <c r="R64" s="27" t="n">
        <v>231.6557603517275</v>
      </c>
      <c r="S64" s="27" t="n">
        <v>38.43199722417611</v>
      </c>
      <c r="T64" s="27" t="n">
        <v>89.15871212844554</v>
      </c>
      <c r="U64" s="27" t="n">
        <v>33.22316346458249</v>
      </c>
      <c r="V64" s="27" t="n">
        <v>51.1468093828332</v>
      </c>
      <c r="W64" s="27" t="n">
        <v>28.91244837893973</v>
      </c>
      <c r="X64" s="27" t="n">
        <v>34.28799665741836</v>
      </c>
      <c r="Y64" s="27" t="n">
        <v>74.64904881271643</v>
      </c>
      <c r="Z64" s="27" t="n">
        <v>84.83237833616779</v>
      </c>
      <c r="AA64" s="27" t="n">
        <v>146.5832649585006</v>
      </c>
      <c r="AB64" s="27" t="n">
        <v>46.70823191544344</v>
      </c>
      <c r="AC64" s="27" t="n">
        <v>58.32392265813596</v>
      </c>
      <c r="AD64" s="27" t="n">
        <v>96.8312161228713</v>
      </c>
      <c r="AE64" s="27" t="n">
        <v>70.54984985364436</v>
      </c>
      <c r="AF64" s="27" t="n">
        <v>105.8891186419065</v>
      </c>
      <c r="AG64" s="27" t="n">
        <v>154.4802869112575</v>
      </c>
      <c r="AH64" s="27" t="n">
        <v>67.07826042297079</v>
      </c>
      <c r="AI64" s="27" t="n">
        <v>19.21791993974583</v>
      </c>
      <c r="AJ64" s="27" t="n">
        <v>25.02311569451082</v>
      </c>
      <c r="AK64" s="27" t="n">
        <v>387.6581604086538</v>
      </c>
      <c r="AL64" s="27" t="n">
        <v>220.4465516380872</v>
      </c>
      <c r="AM64" s="27" t="n">
        <v>1161.942850589365</v>
      </c>
      <c r="AN64" s="27" t="n">
        <v>533.0713867178912</v>
      </c>
      <c r="AO64" s="27" t="n">
        <v>736.4521553192319</v>
      </c>
      <c r="AP64" s="27" t="n">
        <v>498.3626847082438</v>
      </c>
      <c r="AQ64" s="27" t="n">
        <v>64.30688098110686</v>
      </c>
      <c r="AR64" s="27" t="n">
        <v>8.646337248489255</v>
      </c>
      <c r="AS64" s="27" t="n">
        <v>83.41276910355907</v>
      </c>
      <c r="AT64" s="27" t="n">
        <v>751.7587032798581</v>
      </c>
      <c r="AU64" s="27" t="n">
        <v>147.6456087329001</v>
      </c>
      <c r="AV64" s="27" t="n">
        <v>95.02496981112088</v>
      </c>
      <c r="AW64" s="27" t="n">
        <v>434.7953279078411</v>
      </c>
      <c r="AX64" s="27" t="n">
        <v>0</v>
      </c>
      <c r="AY64" s="27" t="n">
        <v>115.5538123253576</v>
      </c>
      <c r="AZ64" s="27" t="n">
        <v>140.5960504142634</v>
      </c>
      <c r="BA64" s="27" t="n">
        <v>526.126370951483</v>
      </c>
      <c r="BB64" s="27">
        <f>SUM(C64:BA64)</f>
        <v/>
      </c>
      <c r="BC64" s="27" t="n">
        <v>0</v>
      </c>
      <c r="BD64" s="27" t="n">
        <v>0</v>
      </c>
      <c r="BE64" s="27" t="n">
        <v>236241.525059027</v>
      </c>
      <c r="BF64" s="27" t="n">
        <v>0</v>
      </c>
      <c r="BG64" s="27">
        <f>SUM(BC64:BF64)</f>
        <v/>
      </c>
      <c r="BH64" s="27">
        <f>BB64+BG64</f>
        <v/>
      </c>
    </row>
    <row r="65">
      <c r="B65" s="31" t="inlineStr">
        <is>
          <t>Total consumo intermedio</t>
        </is>
      </c>
      <c r="C65" s="32">
        <f>SUM(C14:C64)</f>
        <v/>
      </c>
      <c r="D65" s="32">
        <f>SUM(D14:D64)</f>
        <v/>
      </c>
      <c r="E65" s="32">
        <f>SUM(E14:E64)</f>
        <v/>
      </c>
      <c r="F65" s="32">
        <f>SUM(F14:F64)</f>
        <v/>
      </c>
      <c r="G65" s="32">
        <f>SUM(G14:G64)</f>
        <v/>
      </c>
      <c r="H65" s="32">
        <f>SUM(H14:H64)</f>
        <v/>
      </c>
      <c r="I65" s="32">
        <f>SUM(I14:I64)</f>
        <v/>
      </c>
      <c r="J65" s="32">
        <f>SUM(J14:J64)</f>
        <v/>
      </c>
      <c r="K65" s="32">
        <f>SUM(K14:K64)</f>
        <v/>
      </c>
      <c r="L65" s="32">
        <f>SUM(L14:L64)</f>
        <v/>
      </c>
      <c r="M65" s="32">
        <f>SUM(M14:M64)</f>
        <v/>
      </c>
      <c r="N65" s="32">
        <f>SUM(N14:N64)</f>
        <v/>
      </c>
      <c r="O65" s="32">
        <f>SUM(O14:O64)</f>
        <v/>
      </c>
      <c r="P65" s="32">
        <f>SUM(P14:P64)</f>
        <v/>
      </c>
      <c r="Q65" s="32">
        <f>SUM(Q14:Q64)</f>
        <v/>
      </c>
      <c r="R65" s="32">
        <f>SUM(R14:R64)</f>
        <v/>
      </c>
      <c r="S65" s="32">
        <f>SUM(S14:S64)</f>
        <v/>
      </c>
      <c r="T65" s="32">
        <f>SUM(T14:T64)</f>
        <v/>
      </c>
      <c r="U65" s="32">
        <f>SUM(U14:U64)</f>
        <v/>
      </c>
      <c r="V65" s="32">
        <f>SUM(V14:V64)</f>
        <v/>
      </c>
      <c r="W65" s="32">
        <f>SUM(W14:W64)</f>
        <v/>
      </c>
      <c r="X65" s="32">
        <f>SUM(X14:X64)</f>
        <v/>
      </c>
      <c r="Y65" s="32">
        <f>SUM(Y14:Y64)</f>
        <v/>
      </c>
      <c r="Z65" s="32">
        <f>SUM(Z14:Z64)</f>
        <v/>
      </c>
      <c r="AA65" s="32">
        <f>SUM(AA14:AA64)</f>
        <v/>
      </c>
      <c r="AB65" s="32">
        <f>SUM(AB14:AB64)</f>
        <v/>
      </c>
      <c r="AC65" s="32">
        <f>SUM(AC14:AC64)</f>
        <v/>
      </c>
      <c r="AD65" s="32">
        <f>SUM(AD14:AD64)</f>
        <v/>
      </c>
      <c r="AE65" s="32">
        <f>SUM(AE14:AE64)</f>
        <v/>
      </c>
      <c r="AF65" s="32">
        <f>SUM(AF14:AF64)</f>
        <v/>
      </c>
      <c r="AG65" s="32">
        <f>SUM(AG14:AG64)</f>
        <v/>
      </c>
      <c r="AH65" s="32">
        <f>SUM(AH14:AH64)</f>
        <v/>
      </c>
      <c r="AI65" s="32">
        <f>SUM(AI14:AI64)</f>
        <v/>
      </c>
      <c r="AJ65" s="32">
        <f>SUM(AJ14:AJ64)</f>
        <v/>
      </c>
      <c r="AK65" s="32">
        <f>SUM(AK14:AK64)</f>
        <v/>
      </c>
      <c r="AL65" s="32">
        <f>SUM(AL14:AL64)</f>
        <v/>
      </c>
      <c r="AM65" s="32">
        <f>SUM(AM14:AM64)</f>
        <v/>
      </c>
      <c r="AN65" s="32">
        <f>SUM(AN14:AN64)</f>
        <v/>
      </c>
      <c r="AO65" s="32">
        <f>SUM(AO14:AO64)</f>
        <v/>
      </c>
      <c r="AP65" s="32">
        <f>SUM(AP14:AP64)</f>
        <v/>
      </c>
      <c r="AQ65" s="32">
        <f>SUM(AQ14:AQ64)</f>
        <v/>
      </c>
      <c r="AR65" s="32">
        <f>SUM(AR14:AR64)</f>
        <v/>
      </c>
      <c r="AS65" s="32">
        <f>SUM(AS14:AS64)</f>
        <v/>
      </c>
      <c r="AT65" s="32">
        <f>SUM(AT14:AT64)</f>
        <v/>
      </c>
      <c r="AU65" s="32">
        <f>SUM(AU14:AU64)</f>
        <v/>
      </c>
      <c r="AV65" s="32">
        <f>SUM(AV14:AV64)</f>
        <v/>
      </c>
      <c r="AW65" s="32">
        <f>SUM(AW14:AW64)</f>
        <v/>
      </c>
      <c r="AX65" s="32">
        <f>SUM(AX14:AX64)</f>
        <v/>
      </c>
      <c r="AY65" s="32">
        <f>SUM(AY14:AY64)</f>
        <v/>
      </c>
      <c r="AZ65" s="32">
        <f>SUM(AZ14:AZ64)</f>
        <v/>
      </c>
      <c r="BA65" s="32">
        <f>SUM(BA14:BA64)</f>
        <v/>
      </c>
      <c r="BB65" s="32">
        <f>SUM(BB14:BB64)</f>
        <v/>
      </c>
      <c r="BC65" s="32">
        <f>SUM(BC14:BC64)</f>
        <v/>
      </c>
      <c r="BD65" s="32">
        <f>SUM(BD14:BD64)</f>
        <v/>
      </c>
      <c r="BE65" s="32">
        <f>SUM(BE14:BE64)</f>
        <v/>
      </c>
      <c r="BF65" s="32">
        <f>SUM(BF14:BF64)</f>
        <v/>
      </c>
      <c r="BG65" s="32">
        <f>SUM(BG14:BG64)</f>
        <v/>
      </c>
      <c r="BH65" s="32">
        <f>SUM(BH14:BH64)</f>
        <v/>
      </c>
    </row>
    <row r="66"/>
    <row r="67">
      <c r="B67" s="31" t="inlineStr">
        <is>
          <t>Ajuste intermedio no asignado a matriz</t>
        </is>
      </c>
      <c r="C67" s="32" t="n">
        <v>14168.78460307049</v>
      </c>
      <c r="D67" s="32" t="n">
        <v>6939.668088937833</v>
      </c>
      <c r="E67" s="32" t="n">
        <v>5494.559267243649</v>
      </c>
      <c r="F67" s="32" t="n">
        <v>392.027336166143</v>
      </c>
      <c r="G67" s="32" t="n">
        <v>1600.832953942099</v>
      </c>
      <c r="H67" s="32" t="n">
        <v>13368.10514447745</v>
      </c>
      <c r="I67" s="32" t="n">
        <v>262.522791798518</v>
      </c>
      <c r="J67" s="32" t="n">
        <v>3059.751848356485</v>
      </c>
      <c r="K67" s="32" t="n">
        <v>2468.061390119355</v>
      </c>
      <c r="L67" s="32" t="n">
        <v>1333.612292736916</v>
      </c>
      <c r="M67" s="32" t="n">
        <v>1619.559358498771</v>
      </c>
      <c r="N67" s="32" t="n">
        <v>2188.898633195962</v>
      </c>
      <c r="O67" s="32" t="n">
        <v>1418.648293639829</v>
      </c>
      <c r="P67" s="32" t="n">
        <v>37017.15106763881</v>
      </c>
      <c r="Q67" s="32" t="n">
        <v>343.4268795709683</v>
      </c>
      <c r="R67" s="32" t="n">
        <v>11710.44042490936</v>
      </c>
      <c r="S67" s="32" t="n">
        <v>4119.776796606217</v>
      </c>
      <c r="T67" s="32" t="n">
        <v>826.4394539993382</v>
      </c>
      <c r="U67" s="32" t="n">
        <v>1889.836782105448</v>
      </c>
      <c r="V67" s="32" t="n">
        <v>3314.195599490722</v>
      </c>
      <c r="W67" s="32" t="n">
        <v>1299.69391108581</v>
      </c>
      <c r="X67" s="32" t="n">
        <v>1167.152949672172</v>
      </c>
      <c r="Y67" s="32" t="n">
        <v>5048.792935996662</v>
      </c>
      <c r="Z67" s="32" t="n">
        <v>2628.350649965671</v>
      </c>
      <c r="AA67" s="32" t="n">
        <v>7121.394540350965</v>
      </c>
      <c r="AB67" s="32" t="n">
        <v>4212.261312951255</v>
      </c>
      <c r="AC67" s="32" t="n">
        <v>3076.674932900087</v>
      </c>
      <c r="AD67" s="32" t="n">
        <v>4926.209073245273</v>
      </c>
      <c r="AE67" s="32" t="n">
        <v>4155.433065923848</v>
      </c>
      <c r="AF67" s="32" t="n">
        <v>14534.18500033939</v>
      </c>
      <c r="AG67" s="32" t="n">
        <v>12227.47451410106</v>
      </c>
      <c r="AH67" s="32" t="n">
        <v>8580.07896552503</v>
      </c>
      <c r="AI67" s="32" t="n">
        <v>4023.94177995673</v>
      </c>
      <c r="AJ67" s="32" t="n">
        <v>2888.831638656676</v>
      </c>
      <c r="AK67" s="32" t="n">
        <v>10291.9765055759</v>
      </c>
      <c r="AL67" s="32" t="n">
        <v>22534.56458015616</v>
      </c>
      <c r="AM67" s="32" t="n">
        <v>3521.780674826708</v>
      </c>
      <c r="AN67" s="32" t="n">
        <v>4510.198746476659</v>
      </c>
      <c r="AO67" s="32" t="n">
        <v>936.4187023309514</v>
      </c>
      <c r="AP67" s="32" t="n">
        <v>7097.227756308231</v>
      </c>
      <c r="AQ67" s="32" t="n">
        <v>2586.171185176812</v>
      </c>
      <c r="AR67" s="32" t="n">
        <v>732.954908671523</v>
      </c>
      <c r="AS67" s="32" t="n">
        <v>10373.83067788222</v>
      </c>
      <c r="AT67" s="32" t="n">
        <v>8820.074689552122</v>
      </c>
      <c r="AU67" s="32" t="n">
        <v>1708.973366199208</v>
      </c>
      <c r="AV67" s="32" t="n">
        <v>8370.408419902604</v>
      </c>
      <c r="AW67" s="32" t="n">
        <v>8462.23282574907</v>
      </c>
      <c r="AX67" s="32" t="n">
        <v>0</v>
      </c>
      <c r="AY67" s="32" t="n">
        <v>2790.573058100496</v>
      </c>
      <c r="AZ67" s="32" t="n">
        <v>2813.242039933573</v>
      </c>
      <c r="BA67" s="32" t="n">
        <v>8015.863276473095</v>
      </c>
      <c r="BH67" s="32">
        <f>SUM(C67:BA67)</f>
        <v/>
      </c>
    </row>
    <row r="68"/>
    <row r="69">
      <c r="B69" s="31" t="inlineStr">
        <is>
          <t>Valor agregado</t>
        </is>
      </c>
      <c r="C69" s="32" t="n">
        <v>82002.49174714449</v>
      </c>
      <c r="D69" s="32" t="n">
        <v>28910.2143655499</v>
      </c>
      <c r="E69" s="32" t="n">
        <v>29016.6755483627</v>
      </c>
      <c r="F69" s="32" t="n">
        <v>7375.90997662472</v>
      </c>
      <c r="G69" s="32" t="n">
        <v>4435.18858588914</v>
      </c>
      <c r="H69" s="32" t="n">
        <v>32127.2960055026</v>
      </c>
      <c r="I69" s="32" t="n">
        <v>1009.95926338168</v>
      </c>
      <c r="J69" s="32" t="n">
        <v>8648.025830216589</v>
      </c>
      <c r="K69" s="32" t="n">
        <v>10012.4865415269</v>
      </c>
      <c r="L69" s="32" t="n">
        <v>6619.09478761676</v>
      </c>
      <c r="M69" s="32" t="n">
        <v>7617.99708575718</v>
      </c>
      <c r="N69" s="32" t="n">
        <v>11166.210566615</v>
      </c>
      <c r="O69" s="32" t="n">
        <v>5835.27734314506</v>
      </c>
      <c r="P69" s="32" t="n">
        <v>20834.2945354897</v>
      </c>
      <c r="Q69" s="32" t="n">
        <v>2415.62215182703</v>
      </c>
      <c r="R69" s="32" t="n">
        <v>17476.4291267994</v>
      </c>
      <c r="S69" s="32" t="n">
        <v>4864.29301253827</v>
      </c>
      <c r="T69" s="32" t="n">
        <v>11546.4831642008</v>
      </c>
      <c r="U69" s="32" t="n">
        <v>3373.26031551443</v>
      </c>
      <c r="V69" s="32" t="n">
        <v>2878.27236953632</v>
      </c>
      <c r="W69" s="32" t="n">
        <v>1580.95046741299</v>
      </c>
      <c r="X69" s="32" t="n">
        <v>2870.82985684332</v>
      </c>
      <c r="Y69" s="32" t="n">
        <v>10658.958626286</v>
      </c>
      <c r="Z69" s="32" t="n">
        <v>9711.935130441791</v>
      </c>
      <c r="AA69" s="32" t="n">
        <v>17814.1306905077</v>
      </c>
      <c r="AB69" s="32" t="n">
        <v>2708.05267035875</v>
      </c>
      <c r="AC69" s="32" t="n">
        <v>14383.1299697824</v>
      </c>
      <c r="AD69" s="32" t="n">
        <v>23429.3545129074</v>
      </c>
      <c r="AE69" s="32" t="n">
        <v>5800.49116516222</v>
      </c>
      <c r="AF69" s="32" t="n">
        <v>10018.0309106744</v>
      </c>
      <c r="AG69" s="32" t="n">
        <v>18920.2774961943</v>
      </c>
      <c r="AH69" s="32" t="n">
        <v>10153.3645832619</v>
      </c>
      <c r="AI69" s="32" t="n">
        <v>8866.332173392409</v>
      </c>
      <c r="AJ69" s="32" t="n">
        <v>12270.394435424</v>
      </c>
      <c r="AK69" s="32" t="n">
        <v>57367.4772882448</v>
      </c>
      <c r="AL69" s="32" t="n">
        <v>82056.7261140881</v>
      </c>
      <c r="AM69" s="32" t="n">
        <v>164630.627225174</v>
      </c>
      <c r="AN69" s="32" t="n">
        <v>57505.219240841</v>
      </c>
      <c r="AO69" s="32" t="n">
        <v>75342.6370990767</v>
      </c>
      <c r="AP69" s="32" t="n">
        <v>108315.660921384</v>
      </c>
      <c r="AQ69" s="32" t="n">
        <v>158634.792098232</v>
      </c>
      <c r="AR69" s="32" t="n">
        <v>5265.23757059385</v>
      </c>
      <c r="AS69" s="32" t="n">
        <v>26257.9368077072</v>
      </c>
      <c r="AT69" s="32" t="n">
        <v>89456.7231369174</v>
      </c>
      <c r="AU69" s="32" t="n">
        <v>25992.6453792829</v>
      </c>
      <c r="AV69" s="32" t="n">
        <v>35434.3376611768</v>
      </c>
      <c r="AW69" s="32" t="n">
        <v>48932.2733095801</v>
      </c>
      <c r="AX69" s="32" t="n">
        <v>19759.4869092146</v>
      </c>
      <c r="AY69" s="32" t="n">
        <v>54915.2591582577</v>
      </c>
      <c r="AZ69" s="32" t="n">
        <v>31306.5601209538</v>
      </c>
      <c r="BA69" s="32" t="n">
        <v>173456.792641398</v>
      </c>
      <c r="BH69" s="32">
        <f>SUM(C69:BA69)</f>
        <v/>
      </c>
    </row>
    <row r="70"/>
    <row r="71">
      <c r="B71" s="31" t="inlineStr">
        <is>
          <t>Produccion total</t>
        </is>
      </c>
      <c r="C71" s="32">
        <f>C65+C67+C69</f>
        <v/>
      </c>
      <c r="D71" s="32">
        <f>D65+D67+D69</f>
        <v/>
      </c>
      <c r="E71" s="32">
        <f>E65+E67+E69</f>
        <v/>
      </c>
      <c r="F71" s="32">
        <f>F65+F67+F69</f>
        <v/>
      </c>
      <c r="G71" s="32">
        <f>G65+G67+G69</f>
        <v/>
      </c>
      <c r="H71" s="32">
        <f>H65+H67+H69</f>
        <v/>
      </c>
      <c r="I71" s="32">
        <f>I65+I67+I69</f>
        <v/>
      </c>
      <c r="J71" s="32">
        <f>J65+J67+J69</f>
        <v/>
      </c>
      <c r="K71" s="32">
        <f>K65+K67+K69</f>
        <v/>
      </c>
      <c r="L71" s="32">
        <f>L65+L67+L69</f>
        <v/>
      </c>
      <c r="M71" s="32">
        <f>M65+M67+M69</f>
        <v/>
      </c>
      <c r="N71" s="32">
        <f>N65+N67+N69</f>
        <v/>
      </c>
      <c r="O71" s="32">
        <f>O65+O67+O69</f>
        <v/>
      </c>
      <c r="P71" s="32">
        <f>P65+P67+P69</f>
        <v/>
      </c>
      <c r="Q71" s="32">
        <f>Q65+Q67+Q69</f>
        <v/>
      </c>
      <c r="R71" s="32">
        <f>R65+R67+R69</f>
        <v/>
      </c>
      <c r="S71" s="32">
        <f>S65+S67+S69</f>
        <v/>
      </c>
      <c r="T71" s="32">
        <f>T65+T67+T69</f>
        <v/>
      </c>
      <c r="U71" s="32">
        <f>U65+U67+U69</f>
        <v/>
      </c>
      <c r="V71" s="32">
        <f>V65+V67+V69</f>
        <v/>
      </c>
      <c r="W71" s="32">
        <f>W65+W67+W69</f>
        <v/>
      </c>
      <c r="X71" s="32">
        <f>X65+X67+X69</f>
        <v/>
      </c>
      <c r="Y71" s="32">
        <f>Y65+Y67+Y69</f>
        <v/>
      </c>
      <c r="Z71" s="32">
        <f>Z65+Z67+Z69</f>
        <v/>
      </c>
      <c r="AA71" s="32">
        <f>AA65+AA67+AA69</f>
        <v/>
      </c>
      <c r="AB71" s="32">
        <f>AB65+AB67+AB69</f>
        <v/>
      </c>
      <c r="AC71" s="32">
        <f>AC65+AC67+AC69</f>
        <v/>
      </c>
      <c r="AD71" s="32">
        <f>AD65+AD67+AD69</f>
        <v/>
      </c>
      <c r="AE71" s="32">
        <f>AE65+AE67+AE69</f>
        <v/>
      </c>
      <c r="AF71" s="32">
        <f>AF65+AF67+AF69</f>
        <v/>
      </c>
      <c r="AG71" s="32">
        <f>AG65+AG67+AG69</f>
        <v/>
      </c>
      <c r="AH71" s="32">
        <f>AH65+AH67+AH69</f>
        <v/>
      </c>
      <c r="AI71" s="32">
        <f>AI65+AI67+AI69</f>
        <v/>
      </c>
      <c r="AJ71" s="32">
        <f>AJ65+AJ67+AJ69</f>
        <v/>
      </c>
      <c r="AK71" s="32">
        <f>AK65+AK67+AK69</f>
        <v/>
      </c>
      <c r="AL71" s="32">
        <f>AL65+AL67+AL69</f>
        <v/>
      </c>
      <c r="AM71" s="32">
        <f>AM65+AM67+AM69</f>
        <v/>
      </c>
      <c r="AN71" s="32">
        <f>AN65+AN67+AN69</f>
        <v/>
      </c>
      <c r="AO71" s="32">
        <f>AO65+AO67+AO69</f>
        <v/>
      </c>
      <c r="AP71" s="32">
        <f>AP65+AP67+AP69</f>
        <v/>
      </c>
      <c r="AQ71" s="32">
        <f>AQ65+AQ67+AQ69</f>
        <v/>
      </c>
      <c r="AR71" s="32">
        <f>AR65+AR67+AR69</f>
        <v/>
      </c>
      <c r="AS71" s="32">
        <f>AS65+AS67+AS69</f>
        <v/>
      </c>
      <c r="AT71" s="32">
        <f>AT65+AT67+AT69</f>
        <v/>
      </c>
      <c r="AU71" s="32">
        <f>AU65+AU67+AU69</f>
        <v/>
      </c>
      <c r="AV71" s="32">
        <f>AV65+AV67+AV69</f>
        <v/>
      </c>
      <c r="AW71" s="32">
        <f>AW65+AW67+AW69</f>
        <v/>
      </c>
      <c r="AX71" s="32">
        <f>AX65+AX67+AX69</f>
        <v/>
      </c>
      <c r="AY71" s="32">
        <f>AY65+AY67+AY69</f>
        <v/>
      </c>
      <c r="AZ71" s="32">
        <f>AZ65+AZ67+AZ69</f>
        <v/>
      </c>
      <c r="BA71" s="32">
        <f>BA65+BA67+BA69</f>
        <v/>
      </c>
      <c r="BH71" s="32">
        <f>SUM(C71:BA71)</f>
        <v/>
      </c>
    </row>
    <row r="72">
      <c r="B72" s="31" t="inlineStr">
        <is>
          <t>Produccion fuente</t>
        </is>
      </c>
      <c r="C72" s="32" t="n">
        <v>134662.2652013173</v>
      </c>
      <c r="D72" s="32" t="n">
        <v>57267.86514701344</v>
      </c>
      <c r="E72" s="32" t="n">
        <v>58674.22282424912</v>
      </c>
      <c r="F72" s="32" t="n">
        <v>17351.81513060447</v>
      </c>
      <c r="G72" s="32" t="n">
        <v>14157.72790009211</v>
      </c>
      <c r="H72" s="32" t="n">
        <v>242547.2298067033</v>
      </c>
      <c r="I72" s="32" t="n">
        <v>9170.048670380171</v>
      </c>
      <c r="J72" s="32" t="n">
        <v>33101.84603273244</v>
      </c>
      <c r="K72" s="32" t="n">
        <v>26649.50670896305</v>
      </c>
      <c r="L72" s="32" t="n">
        <v>22848.84577257796</v>
      </c>
      <c r="M72" s="32" t="n">
        <v>18234.40252752546</v>
      </c>
      <c r="N72" s="32" t="n">
        <v>36952.96360217884</v>
      </c>
      <c r="O72" s="32" t="n">
        <v>12438.20154557475</v>
      </c>
      <c r="P72" s="32" t="n">
        <v>140698.5253237306</v>
      </c>
      <c r="Q72" s="32" t="n">
        <v>10877.67728168339</v>
      </c>
      <c r="R72" s="32" t="n">
        <v>64072.48980572711</v>
      </c>
      <c r="S72" s="32" t="n">
        <v>24834.04945745852</v>
      </c>
      <c r="T72" s="32" t="n">
        <v>22670.83893887496</v>
      </c>
      <c r="U72" s="32" t="n">
        <v>12557.24514194219</v>
      </c>
      <c r="V72" s="32" t="n">
        <v>16525.17495827349</v>
      </c>
      <c r="W72" s="32" t="n">
        <v>8170.540805453687</v>
      </c>
      <c r="X72" s="32" t="n">
        <v>13702.02265614361</v>
      </c>
      <c r="Y72" s="32" t="n">
        <v>46453.92578752152</v>
      </c>
      <c r="Z72" s="32" t="n">
        <v>33426.86575746241</v>
      </c>
      <c r="AA72" s="32" t="n">
        <v>67583.39458882457</v>
      </c>
      <c r="AB72" s="32" t="n">
        <v>22317.87384674661</v>
      </c>
      <c r="AC72" s="32" t="n">
        <v>42850.95512195332</v>
      </c>
      <c r="AD72" s="32" t="n">
        <v>74774.26832825647</v>
      </c>
      <c r="AE72" s="32" t="n">
        <v>29844.39319633042</v>
      </c>
      <c r="AF72" s="32" t="n">
        <v>52355.93379250389</v>
      </c>
      <c r="AG72" s="32" t="n">
        <v>73227.31958503688</v>
      </c>
      <c r="AH72" s="32" t="n">
        <v>46254.46973065468</v>
      </c>
      <c r="AI72" s="32" t="n">
        <v>23873.01941025305</v>
      </c>
      <c r="AJ72" s="32" t="n">
        <v>28092.23472187289</v>
      </c>
      <c r="AK72" s="32" t="n">
        <v>117424.8900546988</v>
      </c>
      <c r="AL72" s="32" t="n">
        <v>200674.7498396304</v>
      </c>
      <c r="AM72" s="32" t="n">
        <v>283167.9400809327</v>
      </c>
      <c r="AN72" s="32" t="n">
        <v>154199.7615685409</v>
      </c>
      <c r="AO72" s="32" t="n">
        <v>147421.5841577957</v>
      </c>
      <c r="AP72" s="32" t="n">
        <v>163806.9584432054</v>
      </c>
      <c r="AQ72" s="32" t="n">
        <v>179424.9371241612</v>
      </c>
      <c r="AR72" s="32" t="n">
        <v>7681.869887094506</v>
      </c>
      <c r="AS72" s="32" t="n">
        <v>63614.81836080767</v>
      </c>
      <c r="AT72" s="32" t="n">
        <v>155744.8946559051</v>
      </c>
      <c r="AU72" s="32" t="n">
        <v>38568.85041777045</v>
      </c>
      <c r="AV72" s="32" t="n">
        <v>67624.54869647136</v>
      </c>
      <c r="AW72" s="32" t="n">
        <v>97701.66901445345</v>
      </c>
      <c r="AX72" s="32" t="n">
        <v>19759.4869092146</v>
      </c>
      <c r="AY72" s="32" t="n">
        <v>69742.32912185765</v>
      </c>
      <c r="AZ72" s="32" t="n">
        <v>48950.86710055153</v>
      </c>
      <c r="BA72" s="32" t="n">
        <v>245444.5058207831</v>
      </c>
      <c r="BH72" s="32">
        <f>SUM(C72:BA72)</f>
        <v/>
      </c>
    </row>
    <row r="73">
      <c r="B73" s="33" t="inlineStr">
        <is>
          <t>Check produccion total - fuente</t>
        </is>
      </c>
      <c r="C73" s="34">
        <f>C71-C72</f>
        <v/>
      </c>
      <c r="D73" s="34">
        <f>D71-D72</f>
        <v/>
      </c>
      <c r="E73" s="34">
        <f>E71-E72</f>
        <v/>
      </c>
      <c r="F73" s="34">
        <f>F71-F72</f>
        <v/>
      </c>
      <c r="G73" s="34">
        <f>G71-G72</f>
        <v/>
      </c>
      <c r="H73" s="34">
        <f>H71-H72</f>
        <v/>
      </c>
      <c r="I73" s="34">
        <f>I71-I72</f>
        <v/>
      </c>
      <c r="J73" s="34">
        <f>J71-J72</f>
        <v/>
      </c>
      <c r="K73" s="34">
        <f>K71-K72</f>
        <v/>
      </c>
      <c r="L73" s="34">
        <f>L71-L72</f>
        <v/>
      </c>
      <c r="M73" s="34">
        <f>M71-M72</f>
        <v/>
      </c>
      <c r="N73" s="34">
        <f>N71-N72</f>
        <v/>
      </c>
      <c r="O73" s="34">
        <f>O71-O72</f>
        <v/>
      </c>
      <c r="P73" s="34">
        <f>P71-P72</f>
        <v/>
      </c>
      <c r="Q73" s="34">
        <f>Q71-Q72</f>
        <v/>
      </c>
      <c r="R73" s="34">
        <f>R71-R72</f>
        <v/>
      </c>
      <c r="S73" s="34">
        <f>S71-S72</f>
        <v/>
      </c>
      <c r="T73" s="34">
        <f>T71-T72</f>
        <v/>
      </c>
      <c r="U73" s="34">
        <f>U71-U72</f>
        <v/>
      </c>
      <c r="V73" s="34">
        <f>V71-V72</f>
        <v/>
      </c>
      <c r="W73" s="34">
        <f>W71-W72</f>
        <v/>
      </c>
      <c r="X73" s="34">
        <f>X71-X72</f>
        <v/>
      </c>
      <c r="Y73" s="34">
        <f>Y71-Y72</f>
        <v/>
      </c>
      <c r="Z73" s="34">
        <f>Z71-Z72</f>
        <v/>
      </c>
      <c r="AA73" s="34">
        <f>AA71-AA72</f>
        <v/>
      </c>
      <c r="AB73" s="34">
        <f>AB71-AB72</f>
        <v/>
      </c>
      <c r="AC73" s="34">
        <f>AC71-AC72</f>
        <v/>
      </c>
      <c r="AD73" s="34">
        <f>AD71-AD72</f>
        <v/>
      </c>
      <c r="AE73" s="34">
        <f>AE71-AE72</f>
        <v/>
      </c>
      <c r="AF73" s="34">
        <f>AF71-AF72</f>
        <v/>
      </c>
      <c r="AG73" s="34">
        <f>AG71-AG72</f>
        <v/>
      </c>
      <c r="AH73" s="34">
        <f>AH71-AH72</f>
        <v/>
      </c>
      <c r="AI73" s="34">
        <f>AI71-AI72</f>
        <v/>
      </c>
      <c r="AJ73" s="34">
        <f>AJ71-AJ72</f>
        <v/>
      </c>
      <c r="AK73" s="34">
        <f>AK71-AK72</f>
        <v/>
      </c>
      <c r="AL73" s="34">
        <f>AL71-AL72</f>
        <v/>
      </c>
      <c r="AM73" s="34">
        <f>AM71-AM72</f>
        <v/>
      </c>
      <c r="AN73" s="34">
        <f>AN71-AN72</f>
        <v/>
      </c>
      <c r="AO73" s="34">
        <f>AO71-AO72</f>
        <v/>
      </c>
      <c r="AP73" s="34">
        <f>AP71-AP72</f>
        <v/>
      </c>
      <c r="AQ73" s="34">
        <f>AQ71-AQ72</f>
        <v/>
      </c>
      <c r="AR73" s="34">
        <f>AR71-AR72</f>
        <v/>
      </c>
      <c r="AS73" s="34">
        <f>AS71-AS72</f>
        <v/>
      </c>
      <c r="AT73" s="34">
        <f>AT71-AT72</f>
        <v/>
      </c>
      <c r="AU73" s="34">
        <f>AU71-AU72</f>
        <v/>
      </c>
      <c r="AV73" s="34">
        <f>AV71-AV72</f>
        <v/>
      </c>
      <c r="AW73" s="34">
        <f>AW71-AW72</f>
        <v/>
      </c>
      <c r="AX73" s="34">
        <f>AX71-AX72</f>
        <v/>
      </c>
      <c r="AY73" s="34">
        <f>AY71-AY72</f>
        <v/>
      </c>
      <c r="AZ73" s="34">
        <f>AZ71-AZ72</f>
        <v/>
      </c>
      <c r="BA73" s="34">
        <f>BA71-BA72</f>
        <v/>
      </c>
      <c r="BH73" s="34">
        <f>SUM(C73:BA73)</f>
        <v/>
      </c>
    </row>
    <row r="74"/>
    <row r="75">
      <c r="B75" s="30" t="inlineStr">
        <is>
          <t>Nota</t>
        </is>
      </c>
      <c r="C75" s="30" t="inlineStr">
        <is>
          <t>Z contiene consumo intermedio nacional/domestico. El ajuste intermedio fuera de Z queda visible antes del valor agregado.</t>
        </is>
      </c>
    </row>
  </sheetData>
  <mergeCells count="9">
    <mergeCell ref="BG10:BG12"/>
    <mergeCell ref="C10:BA10"/>
    <mergeCell ref="BH10:BH12"/>
    <mergeCell ref="A3:H4"/>
    <mergeCell ref="B10:B12"/>
    <mergeCell ref="A10:A12"/>
    <mergeCell ref="A1:H1"/>
    <mergeCell ref="BB10:BB12"/>
    <mergeCell ref="BC10:BF10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H75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7" customWidth="1" min="1" max="1"/>
    <col width="77.7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</cols>
  <sheetData>
    <row r="1" ht="44" customHeight="1"/>
    <row r="2"/>
    <row r="3" ht="16" customHeight="1">
      <c r="A3" s="19" t="inlineStr">
        <is>
          <t>Matriz insumo producto, actividad por actividad - Importada / ajuste</t>
        </is>
      </c>
      <c r="B3" s="19" t="n"/>
      <c r="C3" s="19" t="n"/>
      <c r="D3" s="19" t="n"/>
      <c r="E3" s="19" t="n"/>
      <c r="F3" s="19" t="n"/>
      <c r="G3" s="19" t="n"/>
      <c r="H3" s="19" t="n"/>
      <c r="I3" s="19" t="n"/>
      <c r="J3" s="19" t="n"/>
      <c r="K3" s="19" t="n"/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</row>
    <row r="4" ht="16" customHeight="1"/>
    <row r="5">
      <c r="A5" s="20" t="inlineStr">
        <is>
          <t>Valores a precios corrientes</t>
        </is>
      </c>
    </row>
    <row r="6" ht="16.5" customHeight="1">
      <c r="A6" s="20" t="inlineStr">
        <is>
          <t>Ano 2004</t>
        </is>
      </c>
      <c r="J6" s="21" t="inlineStr">
        <is>
          <t>Indice</t>
        </is>
      </c>
    </row>
    <row r="7">
      <c r="A7" s="20" t="inlineStr">
        <is>
          <t>Base / fuente original</t>
        </is>
      </c>
    </row>
    <row r="8">
      <c r="A8" s="20" t="inlineStr">
        <is>
          <t>Unidades monetarias de la fuente</t>
        </is>
      </c>
    </row>
    <row r="9"/>
    <row r="10" ht="16" customHeight="1">
      <c r="A10" s="22" t="inlineStr">
        <is>
          <t>Codigo</t>
        </is>
      </c>
      <c r="B10" s="22" t="inlineStr">
        <is>
          <t>Actividad economica</t>
        </is>
      </c>
      <c r="C10" s="22" t="inlineStr">
        <is>
          <t>Consumo intermedio por actividades economicas</t>
        </is>
      </c>
      <c r="D10" s="23" t="n"/>
      <c r="E10" s="23" t="n"/>
      <c r="F10" s="23" t="n"/>
      <c r="G10" s="23" t="n"/>
      <c r="H10" s="23" t="n"/>
      <c r="I10" s="23" t="n"/>
      <c r="J10" s="23" t="n"/>
      <c r="K10" s="23" t="n"/>
      <c r="L10" s="23" t="n"/>
      <c r="M10" s="23" t="n"/>
      <c r="N10" s="23" t="n"/>
      <c r="O10" s="23" t="n"/>
      <c r="P10" s="23" t="n"/>
      <c r="Q10" s="23" t="n"/>
      <c r="R10" s="23" t="n"/>
      <c r="S10" s="23" t="n"/>
      <c r="T10" s="23" t="n"/>
      <c r="U10" s="23" t="n"/>
      <c r="V10" s="23" t="n"/>
      <c r="W10" s="23" t="n"/>
      <c r="X10" s="23" t="n"/>
      <c r="Y10" s="23" t="n"/>
      <c r="Z10" s="23" t="n"/>
      <c r="AA10" s="23" t="n"/>
      <c r="AB10" s="23" t="n"/>
      <c r="AC10" s="23" t="n"/>
      <c r="AD10" s="23" t="n"/>
      <c r="AE10" s="23" t="n"/>
      <c r="AF10" s="23" t="n"/>
      <c r="AG10" s="23" t="n"/>
      <c r="AH10" s="23" t="n"/>
      <c r="AI10" s="23" t="n"/>
      <c r="AJ10" s="23" t="n"/>
      <c r="AK10" s="23" t="n"/>
      <c r="AL10" s="23" t="n"/>
      <c r="AM10" s="23" t="n"/>
      <c r="AN10" s="23" t="n"/>
      <c r="AO10" s="23" t="n"/>
      <c r="AP10" s="23" t="n"/>
      <c r="AQ10" s="23" t="n"/>
      <c r="AR10" s="23" t="n"/>
      <c r="AS10" s="23" t="n"/>
      <c r="AT10" s="23" t="n"/>
      <c r="AU10" s="23" t="n"/>
      <c r="AV10" s="23" t="n"/>
      <c r="AW10" s="23" t="n"/>
      <c r="AX10" s="23" t="n"/>
      <c r="AY10" s="23" t="n"/>
      <c r="AZ10" s="23" t="n"/>
      <c r="BA10" s="23" t="n"/>
      <c r="BB10" s="22" t="inlineStr">
        <is>
          <t>Total consumo intermedio</t>
        </is>
      </c>
      <c r="BC10" s="22" t="inlineStr">
        <is>
          <t>Demanda final</t>
        </is>
      </c>
      <c r="BD10" s="23" t="n"/>
      <c r="BE10" s="23" t="n"/>
      <c r="BF10" s="23" t="n"/>
      <c r="BG10" s="22" t="inlineStr">
        <is>
          <t>Total demanda final</t>
        </is>
      </c>
      <c r="BH10" s="22" t="inlineStr">
        <is>
          <t>Total</t>
        </is>
      </c>
    </row>
    <row r="11" ht="15" customHeight="1">
      <c r="C11" s="24" t="n">
        <v>1</v>
      </c>
      <c r="D11" s="24" t="n">
        <v>2</v>
      </c>
      <c r="E11" s="24" t="n">
        <v>3</v>
      </c>
      <c r="F11" s="24" t="n">
        <v>4</v>
      </c>
      <c r="G11" s="24" t="n">
        <v>5</v>
      </c>
      <c r="H11" s="24" t="n">
        <v>6</v>
      </c>
      <c r="I11" s="24" t="n">
        <v>7</v>
      </c>
      <c r="J11" s="24" t="n">
        <v>8</v>
      </c>
      <c r="K11" s="24" t="n">
        <v>9</v>
      </c>
      <c r="L11" s="24" t="n">
        <v>10</v>
      </c>
      <c r="M11" s="24" t="inlineStr">
        <is>
          <t>Produtos de madeira</t>
        </is>
      </c>
      <c r="N11" s="24" t="n">
        <v>12</v>
      </c>
      <c r="O11" s="24" t="n">
        <v>13</v>
      </c>
      <c r="P11" s="24" t="n">
        <v>14</v>
      </c>
      <c r="Q11" s="24" t="n">
        <v>15</v>
      </c>
      <c r="R11" s="24" t="n">
        <v>16</v>
      </c>
      <c r="S11" s="24" t="n">
        <v>17</v>
      </c>
      <c r="T11" s="24" t="n">
        <v>18</v>
      </c>
      <c r="U11" s="24" t="n">
        <v>19</v>
      </c>
      <c r="V11" s="24" t="n">
        <v>20</v>
      </c>
      <c r="W11" s="24" t="n">
        <v>21</v>
      </c>
      <c r="X11" s="24" t="n">
        <v>22</v>
      </c>
      <c r="Y11" s="24" t="n">
        <v>23</v>
      </c>
      <c r="Z11" s="24" t="n">
        <v>24</v>
      </c>
      <c r="AA11" s="24" t="n">
        <v>25</v>
      </c>
      <c r="AB11" s="24" t="n">
        <v>26</v>
      </c>
      <c r="AC11" s="24" t="inlineStr">
        <is>
          <t>Produtos de metal</t>
        </is>
      </c>
      <c r="AD11" s="24" t="n">
        <v>28</v>
      </c>
      <c r="AE11" s="24" t="n">
        <v>29</v>
      </c>
      <c r="AF11" s="24" t="n">
        <v>30</v>
      </c>
      <c r="AG11" s="24" t="n">
        <v>31</v>
      </c>
      <c r="AH11" s="24" t="n">
        <v>32</v>
      </c>
      <c r="AI11" s="24" t="n">
        <v>33</v>
      </c>
      <c r="AJ11" s="24" t="n">
        <v>34</v>
      </c>
      <c r="AK11" s="24" t="n">
        <v>35</v>
      </c>
      <c r="AL11" s="24" t="n">
        <v>36</v>
      </c>
      <c r="AM11" s="24" t="n">
        <v>37</v>
      </c>
      <c r="AN11" s="24" t="n">
        <v>38</v>
      </c>
      <c r="AO11" s="24" t="n">
        <v>39</v>
      </c>
      <c r="AP11" s="24" t="n">
        <v>40</v>
      </c>
      <c r="AQ11" s="24" t="n">
        <v>41</v>
      </c>
      <c r="AR11" s="24" t="n">
        <v>42</v>
      </c>
      <c r="AS11" s="24" t="n">
        <v>43</v>
      </c>
      <c r="AT11" s="24" t="n">
        <v>44</v>
      </c>
      <c r="AU11" s="24" t="n">
        <v>45</v>
      </c>
      <c r="AV11" s="24" t="n">
        <v>46</v>
      </c>
      <c r="AW11" s="24" t="n">
        <v>47</v>
      </c>
      <c r="AX11" s="24" t="n">
        <v>48</v>
      </c>
      <c r="AY11" s="24" t="n">
        <v>49</v>
      </c>
      <c r="AZ11" s="24" t="n">
        <v>50</v>
      </c>
      <c r="BA11" s="24" t="n">
        <v>51</v>
      </c>
      <c r="BC11" s="24" t="inlineStr"/>
      <c r="BD11" s="24" t="inlineStr"/>
      <c r="BE11" s="24" t="inlineStr"/>
      <c r="BF11" s="24" t="inlineStr"/>
    </row>
    <row r="12" ht="90" customHeight="1">
      <c r="A12" s="25" t="n"/>
      <c r="B12" s="25" t="n"/>
      <c r="C12" s="26" t="inlineStr">
        <is>
          <t>Agricultura silvicultura exploração florestal</t>
        </is>
      </c>
      <c r="D12" s="26" t="inlineStr">
        <is>
          <t>Pecuária e pesca</t>
        </is>
      </c>
      <c r="E12" s="26" t="inlineStr">
        <is>
          <t>Petróleo e gás natural</t>
        </is>
      </c>
      <c r="F12" s="26" t="inlineStr">
        <is>
          <t>Minério de ferro</t>
        </is>
      </c>
      <c r="G12" s="26" t="inlineStr">
        <is>
          <t>Outros da indústria extrativa</t>
        </is>
      </c>
      <c r="H12" s="26" t="inlineStr">
        <is>
          <t>Alimentos e Bebidas</t>
        </is>
      </c>
      <c r="I12" s="26" t="inlineStr">
        <is>
          <t>Produtos do fumo</t>
        </is>
      </c>
      <c r="J12" s="26" t="inlineStr">
        <is>
          <t>Têxteis</t>
        </is>
      </c>
      <c r="K12" s="26" t="inlineStr">
        <is>
          <t>Artigos do vestuário e acessórios</t>
        </is>
      </c>
      <c r="L12" s="26" t="inlineStr">
        <is>
          <t>Artefatos de couro e calçados</t>
        </is>
      </c>
      <c r="M12" s="26" t="inlineStr">
        <is>
          <t>exclusive móveis</t>
        </is>
      </c>
      <c r="N12" s="26" t="inlineStr">
        <is>
          <t>Celulose e produtos de papel</t>
        </is>
      </c>
      <c r="O12" s="26" t="inlineStr">
        <is>
          <t>Jornais revistas discos</t>
        </is>
      </c>
      <c r="P12" s="26" t="inlineStr">
        <is>
          <t>Refino de petróleo e coque</t>
        </is>
      </c>
      <c r="Q12" s="26" t="inlineStr">
        <is>
          <t>Álcool</t>
        </is>
      </c>
      <c r="R12" s="26" t="inlineStr">
        <is>
          <t>Produtos  químicos</t>
        </is>
      </c>
      <c r="S12" s="26" t="inlineStr">
        <is>
          <t>Fabricação de resina e elastômeros</t>
        </is>
      </c>
      <c r="T12" s="26" t="inlineStr">
        <is>
          <t>Produtos farmacêuticos</t>
        </is>
      </c>
      <c r="U12" s="26" t="inlineStr">
        <is>
          <t>Defensivos agrícolas</t>
        </is>
      </c>
      <c r="V12" s="26" t="inlineStr">
        <is>
          <t>Perfumaria higiene e limpeza</t>
        </is>
      </c>
      <c r="W12" s="26" t="inlineStr">
        <is>
          <t>Tintas vernizes esmaltes e lacas</t>
        </is>
      </c>
      <c r="X12" s="26" t="inlineStr">
        <is>
          <t>Produtos e preparados químicos diversos</t>
        </is>
      </c>
      <c r="Y12" s="26" t="inlineStr">
        <is>
          <t>Artigos de borracha e plástico</t>
        </is>
      </c>
      <c r="Z12" s="26" t="inlineStr">
        <is>
          <t>Cimento e outros produtos de minerais não-metálicos</t>
        </is>
      </c>
      <c r="AA12" s="26" t="inlineStr">
        <is>
          <t>Fabricação de aço e derivados</t>
        </is>
      </c>
      <c r="AB12" s="26" t="inlineStr">
        <is>
          <t>Metalurgia de metais não-ferrosos</t>
        </is>
      </c>
      <c r="AC12" s="26" t="inlineStr">
        <is>
          <t>exclusive máquinas e equipamentos</t>
        </is>
      </c>
      <c r="AD12" s="26" t="inlineStr">
        <is>
          <t>Máquinas e equipamentos inclusive manutenção e reparos</t>
        </is>
      </c>
      <c r="AE12" s="26" t="inlineStr">
        <is>
          <t>Eletrodomésticos e material eletronico</t>
        </is>
      </c>
      <c r="AF12" s="26" t="inlineStr">
        <is>
          <t>Máquinas para escritório aparelhos e e material eletronico</t>
        </is>
      </c>
      <c r="AG12" s="26" t="inlineStr">
        <is>
          <t>Automóveis camionetas caminhões e ônibus</t>
        </is>
      </c>
      <c r="AH12" s="26" t="inlineStr">
        <is>
          <t>Peças e acessórios para veículos automotores</t>
        </is>
      </c>
      <c r="AI12" s="26" t="inlineStr">
        <is>
          <t>Outros equipamentos de transporte</t>
        </is>
      </c>
      <c r="AJ12" s="26" t="inlineStr">
        <is>
          <t>Móveis e produtos das indústrias diversas</t>
        </is>
      </c>
      <c r="AK12" s="26" t="inlineStr">
        <is>
          <t>Produção e distribuição de eletricidade gás água esgoto e limpeza urbana</t>
        </is>
      </c>
      <c r="AL12" s="26" t="inlineStr">
        <is>
          <t>Construção civil</t>
        </is>
      </c>
      <c r="AM12" s="26" t="inlineStr">
        <is>
          <t>Comércio</t>
        </is>
      </c>
      <c r="AN12" s="26" t="inlineStr">
        <is>
          <t>Transporte armazenagem e correio</t>
        </is>
      </c>
      <c r="AO12" s="26" t="inlineStr">
        <is>
          <t>Serviços de informação</t>
        </is>
      </c>
      <c r="AP12" s="26" t="inlineStr">
        <is>
          <t>Intermediação financeira seguros e previdência complementar e serviços relacionados</t>
        </is>
      </c>
      <c r="AQ12" s="26" t="inlineStr">
        <is>
          <t>Atividades imobiliárias e aluguéis</t>
        </is>
      </c>
      <c r="AR12" s="26" t="inlineStr">
        <is>
          <t>Serviços de manutenção e reparação</t>
        </is>
      </c>
      <c r="AS12" s="26" t="inlineStr">
        <is>
          <t>Serviços de alojamento e alimentação</t>
        </is>
      </c>
      <c r="AT12" s="26" t="inlineStr">
        <is>
          <t>Serviços prestados às empresas</t>
        </is>
      </c>
      <c r="AU12" s="26" t="inlineStr">
        <is>
          <t>Educação mercantil</t>
        </is>
      </c>
      <c r="AV12" s="26" t="inlineStr">
        <is>
          <t>Saúde mercantil</t>
        </is>
      </c>
      <c r="AW12" s="26" t="inlineStr">
        <is>
          <t>Serviços prestados às famílias e associativas</t>
        </is>
      </c>
      <c r="AX12" s="26" t="inlineStr">
        <is>
          <t>Serviços domésticos</t>
        </is>
      </c>
      <c r="AY12" s="26" t="inlineStr">
        <is>
          <t>Educação pública</t>
        </is>
      </c>
      <c r="AZ12" s="26" t="inlineStr">
        <is>
          <t>Saúde pública</t>
        </is>
      </c>
      <c r="BA12" s="26" t="inlineStr">
        <is>
          <t>Administração pública e seguridade social</t>
        </is>
      </c>
      <c r="BB12" s="25" t="n"/>
      <c r="BC12" s="26" t="inlineStr">
        <is>
          <t>Gasto de consumo final</t>
        </is>
      </c>
      <c r="BD12" s="26" t="inlineStr">
        <is>
          <t>Formacion bruta de capital</t>
        </is>
      </c>
      <c r="BE12" s="26" t="inlineStr">
        <is>
          <t>Exportaciones netas</t>
        </is>
      </c>
      <c r="BF12" s="26" t="inlineStr">
        <is>
          <t>Sin desglose fuente</t>
        </is>
      </c>
      <c r="BG12" s="25" t="n"/>
      <c r="BH12" s="25" t="n"/>
    </row>
    <row r="13"/>
    <row r="14">
      <c r="A14" s="27" t="n">
        <v>1</v>
      </c>
      <c r="B14" s="28" t="inlineStr">
        <is>
          <t>Agricultura silvicultura exploração florestal</t>
        </is>
      </c>
      <c r="C14" s="27" t="n">
        <v>959.7005452806368</v>
      </c>
      <c r="D14" s="27" t="n">
        <v>669.4636264505206</v>
      </c>
      <c r="E14" s="27" t="n">
        <v>7.235485670716437</v>
      </c>
      <c r="F14" s="27" t="n">
        <v>1.291746437994009</v>
      </c>
      <c r="G14" s="27" t="n">
        <v>1.260574945524162</v>
      </c>
      <c r="H14" s="27" t="n">
        <v>8013.029796333117</v>
      </c>
      <c r="I14" s="27" t="n">
        <v>182.691871801903</v>
      </c>
      <c r="J14" s="27" t="n">
        <v>258.4253090738052</v>
      </c>
      <c r="K14" s="27" t="n">
        <v>34.18324738073241</v>
      </c>
      <c r="L14" s="27" t="n">
        <v>8.787148688313469</v>
      </c>
      <c r="M14" s="27" t="n">
        <v>574.8847010477965</v>
      </c>
      <c r="N14" s="27" t="n">
        <v>360.4563164437351</v>
      </c>
      <c r="O14" s="27" t="n">
        <v>0.1473246740889798</v>
      </c>
      <c r="P14" s="27" t="n">
        <v>0.3182841839604376</v>
      </c>
      <c r="Q14" s="27" t="n">
        <v>278.7795477345804</v>
      </c>
      <c r="R14" s="27" t="n">
        <v>64.028922625795</v>
      </c>
      <c r="S14" s="27" t="n">
        <v>87.95440268654417</v>
      </c>
      <c r="T14" s="27" t="n">
        <v>8.356120410698612</v>
      </c>
      <c r="U14" s="27" t="n">
        <v>24.51279644714639</v>
      </c>
      <c r="V14" s="27" t="n">
        <v>18.77297550158698</v>
      </c>
      <c r="W14" s="27" t="n">
        <v>12.54076783686675</v>
      </c>
      <c r="X14" s="27" t="n">
        <v>22.39601523795878</v>
      </c>
      <c r="Y14" s="27" t="n">
        <v>187.0196945086989</v>
      </c>
      <c r="Z14" s="27" t="n">
        <v>11.64927584720364</v>
      </c>
      <c r="AA14" s="27" t="n">
        <v>95.64995331109139</v>
      </c>
      <c r="AB14" s="27" t="n">
        <v>2.002256935852966</v>
      </c>
      <c r="AC14" s="27" t="n">
        <v>3.34229231297345</v>
      </c>
      <c r="AD14" s="27" t="n">
        <v>0.05259914186611417</v>
      </c>
      <c r="AE14" s="27" t="n">
        <v>0.5954626615283692</v>
      </c>
      <c r="AF14" s="27" t="n">
        <v>0.6196770842920365</v>
      </c>
      <c r="AG14" s="27" t="n">
        <v>0.1690884771479259</v>
      </c>
      <c r="AH14" s="27" t="n">
        <v>0.05157532434699014</v>
      </c>
      <c r="AI14" s="27" t="n">
        <v>0.04590489969808081</v>
      </c>
      <c r="AJ14" s="27" t="n">
        <v>2.14181801294052</v>
      </c>
      <c r="AK14" s="27" t="n">
        <v>3.940491413589741</v>
      </c>
      <c r="AL14" s="27" t="n">
        <v>58.44255548933105</v>
      </c>
      <c r="AM14" s="27" t="n">
        <v>497.0923670952018</v>
      </c>
      <c r="AN14" s="27" t="n">
        <v>0.2073733336107925</v>
      </c>
      <c r="AO14" s="27" t="n">
        <v>0.8053367034040788</v>
      </c>
      <c r="AP14" s="27" t="n">
        <v>0.371226407996554</v>
      </c>
      <c r="AQ14" s="27" t="n">
        <v>0.3983674497886857</v>
      </c>
      <c r="AR14" s="27" t="n">
        <v>0.003295689123748717</v>
      </c>
      <c r="AS14" s="27" t="n">
        <v>322.4823616017144</v>
      </c>
      <c r="AT14" s="27" t="n">
        <v>2.649544398989924</v>
      </c>
      <c r="AU14" s="27" t="n">
        <v>5.774552519339342</v>
      </c>
      <c r="AV14" s="27" t="n">
        <v>21.06036735719846</v>
      </c>
      <c r="AW14" s="27" t="n">
        <v>26.2986308956354</v>
      </c>
      <c r="AX14" s="27" t="n">
        <v>0</v>
      </c>
      <c r="AY14" s="27" t="n">
        <v>56.92133080954178</v>
      </c>
      <c r="AZ14" s="27" t="n">
        <v>18.17406661979559</v>
      </c>
      <c r="BA14" s="27" t="n">
        <v>182.9889237510126</v>
      </c>
      <c r="BB14" s="27">
        <f>SUM(C14:BA14)</f>
        <v/>
      </c>
      <c r="BC14" s="27" t="n">
        <v>0</v>
      </c>
      <c r="BD14" s="27" t="n">
        <v>0</v>
      </c>
      <c r="BE14" s="27" t="n">
        <v>0</v>
      </c>
      <c r="BF14" s="27" t="n">
        <v>0</v>
      </c>
      <c r="BG14" s="27">
        <f>SUM(BC14:BF14)</f>
        <v/>
      </c>
      <c r="BH14" s="27">
        <f>BB14+BG14</f>
        <v/>
      </c>
    </row>
    <row r="15">
      <c r="A15" s="29" t="n">
        <v>2</v>
      </c>
      <c r="B15" s="30" t="inlineStr">
        <is>
          <t>Pecuária e pesca</t>
        </is>
      </c>
      <c r="C15" s="29" t="n">
        <v>65.46129372357986</v>
      </c>
      <c r="D15" s="29" t="n">
        <v>260.425932269467</v>
      </c>
      <c r="E15" s="29" t="n">
        <v>1.596428537152346</v>
      </c>
      <c r="F15" s="29" t="n">
        <v>0.1702010200278159</v>
      </c>
      <c r="G15" s="29" t="n">
        <v>1.312117386257588</v>
      </c>
      <c r="H15" s="29" t="n">
        <v>3119.630712981947</v>
      </c>
      <c r="I15" s="29" t="n">
        <v>6.4478907500789</v>
      </c>
      <c r="J15" s="29" t="n">
        <v>19.19836245006204</v>
      </c>
      <c r="K15" s="29" t="n">
        <v>10.59419546762605</v>
      </c>
      <c r="L15" s="29" t="n">
        <v>1.689475202351103</v>
      </c>
      <c r="M15" s="29" t="n">
        <v>32.47869842366786</v>
      </c>
      <c r="N15" s="29" t="n">
        <v>20.1527701649207</v>
      </c>
      <c r="O15" s="29" t="n">
        <v>0.002651383478811699</v>
      </c>
      <c r="P15" s="29" t="n">
        <v>0.002179220429411691</v>
      </c>
      <c r="Q15" s="29" t="n">
        <v>3.315634108770753</v>
      </c>
      <c r="R15" s="29" t="n">
        <v>14.42733491184443</v>
      </c>
      <c r="S15" s="29" t="n">
        <v>2.256307347184261</v>
      </c>
      <c r="T15" s="29" t="n">
        <v>0.3979551926519316</v>
      </c>
      <c r="U15" s="29" t="n">
        <v>0.6655614643283717</v>
      </c>
      <c r="V15" s="29" t="n">
        <v>0.8324367660120708</v>
      </c>
      <c r="W15" s="29" t="n">
        <v>0.5914634723430626</v>
      </c>
      <c r="X15" s="29" t="n">
        <v>0.5708167488410891</v>
      </c>
      <c r="Y15" s="29" t="n">
        <v>10.30847923612833</v>
      </c>
      <c r="Z15" s="29" t="n">
        <v>14.7054839826494</v>
      </c>
      <c r="AA15" s="29" t="n">
        <v>7.179852420908293</v>
      </c>
      <c r="AB15" s="29" t="n">
        <v>1.122303252079236</v>
      </c>
      <c r="AC15" s="29" t="n">
        <v>0.1708445455620541</v>
      </c>
      <c r="AD15" s="29" t="n">
        <v>0.01139242140827375</v>
      </c>
      <c r="AE15" s="29" t="n">
        <v>0.1652259932815628</v>
      </c>
      <c r="AF15" s="29" t="n">
        <v>0.02671096259879647</v>
      </c>
      <c r="AG15" s="29" t="n">
        <v>0.03387569272079991</v>
      </c>
      <c r="AH15" s="29" t="n">
        <v>0.1122217920035609</v>
      </c>
      <c r="AI15" s="29" t="n">
        <v>0.03079881712781412</v>
      </c>
      <c r="AJ15" s="29" t="n">
        <v>0.2918011863608085</v>
      </c>
      <c r="AK15" s="29" t="n">
        <v>1.682306281012852</v>
      </c>
      <c r="AL15" s="29" t="n">
        <v>26.99694879203171</v>
      </c>
      <c r="AM15" s="29" t="n">
        <v>13.82846849585211</v>
      </c>
      <c r="AN15" s="29" t="n">
        <v>0.1956835625026036</v>
      </c>
      <c r="AO15" s="29" t="n">
        <v>0.6847148461465008</v>
      </c>
      <c r="AP15" s="29" t="n">
        <v>0.1190557391919161</v>
      </c>
      <c r="AQ15" s="29" t="n">
        <v>0.8152459718082906</v>
      </c>
      <c r="AR15" s="29" t="n">
        <v>4.528085717005668e-05</v>
      </c>
      <c r="AS15" s="29" t="n">
        <v>95.14570820508644</v>
      </c>
      <c r="AT15" s="29" t="n">
        <v>0.4504077382793373</v>
      </c>
      <c r="AU15" s="29" t="n">
        <v>1.409137215377647</v>
      </c>
      <c r="AV15" s="29" t="n">
        <v>6.837681963637384</v>
      </c>
      <c r="AW15" s="29" t="n">
        <v>2.198327889529366</v>
      </c>
      <c r="AX15" s="29" t="n">
        <v>0</v>
      </c>
      <c r="AY15" s="29" t="n">
        <v>12.93716832641224</v>
      </c>
      <c r="AZ15" s="29" t="n">
        <v>4.685052961197044</v>
      </c>
      <c r="BA15" s="29" t="n">
        <v>18.11293867010991</v>
      </c>
      <c r="BB15" s="29">
        <f>SUM(C15:BA15)</f>
        <v/>
      </c>
      <c r="BC15" s="29" t="n">
        <v>0</v>
      </c>
      <c r="BD15" s="29" t="n">
        <v>0</v>
      </c>
      <c r="BE15" s="29" t="n">
        <v>0</v>
      </c>
      <c r="BF15" s="29" t="n">
        <v>0</v>
      </c>
      <c r="BG15" s="29">
        <f>SUM(BC15:BF15)</f>
        <v/>
      </c>
      <c r="BH15" s="29">
        <f>BB15+BG15</f>
        <v/>
      </c>
    </row>
    <row r="16">
      <c r="A16" s="27" t="n">
        <v>3</v>
      </c>
      <c r="B16" s="28" t="inlineStr">
        <is>
          <t>Petróleo e gás natural</t>
        </is>
      </c>
      <c r="C16" s="27" t="n">
        <v>34.53699153331449</v>
      </c>
      <c r="D16" s="27" t="n">
        <v>45.24297431226282</v>
      </c>
      <c r="E16" s="27" t="n">
        <v>1589.937633843811</v>
      </c>
      <c r="F16" s="27" t="n">
        <v>38.72999067106716</v>
      </c>
      <c r="G16" s="27" t="n">
        <v>4.148537359911612</v>
      </c>
      <c r="H16" s="27" t="n">
        <v>179.4370388309051</v>
      </c>
      <c r="I16" s="27" t="n">
        <v>0.5424708225197868</v>
      </c>
      <c r="J16" s="27" t="n">
        <v>52.253404252569</v>
      </c>
      <c r="K16" s="27" t="n">
        <v>0.08090863147829883</v>
      </c>
      <c r="L16" s="27" t="n">
        <v>0.02862212569511292</v>
      </c>
      <c r="M16" s="27" t="n">
        <v>11.21533033110734</v>
      </c>
      <c r="N16" s="27" t="n">
        <v>122.9172217255876</v>
      </c>
      <c r="O16" s="27" t="n">
        <v>0.1567748285001466</v>
      </c>
      <c r="P16" s="27" t="n">
        <v>18775.6913631932</v>
      </c>
      <c r="Q16" s="27" t="n">
        <v>0.05081120354764446</v>
      </c>
      <c r="R16" s="27" t="n">
        <v>237.243257887124</v>
      </c>
      <c r="S16" s="27" t="n">
        <v>135.2351636839053</v>
      </c>
      <c r="T16" s="27" t="n">
        <v>6.377557290383643</v>
      </c>
      <c r="U16" s="27" t="n">
        <v>8.961441245086213</v>
      </c>
      <c r="V16" s="27" t="n">
        <v>5.459452250978988</v>
      </c>
      <c r="W16" s="27" t="n">
        <v>4.897623335204134</v>
      </c>
      <c r="X16" s="27" t="n">
        <v>10.20318230051054</v>
      </c>
      <c r="Y16" s="27" t="n">
        <v>22.09075384504127</v>
      </c>
      <c r="Z16" s="27" t="n">
        <v>72.16014839236823</v>
      </c>
      <c r="AA16" s="27" t="n">
        <v>113.9784945894692</v>
      </c>
      <c r="AB16" s="27" t="n">
        <v>65.61980839100764</v>
      </c>
      <c r="AC16" s="27" t="n">
        <v>63.60212660586902</v>
      </c>
      <c r="AD16" s="27" t="n">
        <v>9.79513868433955</v>
      </c>
      <c r="AE16" s="27" t="n">
        <v>6.364070246360855</v>
      </c>
      <c r="AF16" s="27" t="n">
        <v>0.8751553215494965</v>
      </c>
      <c r="AG16" s="27" t="n">
        <v>17.91427305833702</v>
      </c>
      <c r="AH16" s="27" t="n">
        <v>49.57879981995038</v>
      </c>
      <c r="AI16" s="27" t="n">
        <v>0.9027515428573899</v>
      </c>
      <c r="AJ16" s="27" t="n">
        <v>0.6135920284119237</v>
      </c>
      <c r="AK16" s="27" t="n">
        <v>1620.050500043417</v>
      </c>
      <c r="AL16" s="27" t="n">
        <v>17.97842458517476</v>
      </c>
      <c r="AM16" s="27" t="n">
        <v>27.31205768524522</v>
      </c>
      <c r="AN16" s="27" t="n">
        <v>1.477386321681676</v>
      </c>
      <c r="AO16" s="27" t="n">
        <v>3.069991557712556</v>
      </c>
      <c r="AP16" s="27" t="n">
        <v>0.49717779453595</v>
      </c>
      <c r="AQ16" s="27" t="n">
        <v>0.7739984025454298</v>
      </c>
      <c r="AR16" s="27" t="n">
        <v>1.035942416341598</v>
      </c>
      <c r="AS16" s="27" t="n">
        <v>87.55516818223026</v>
      </c>
      <c r="AT16" s="27" t="n">
        <v>35.86933696363388</v>
      </c>
      <c r="AU16" s="27" t="n">
        <v>0.8411494807503326</v>
      </c>
      <c r="AV16" s="27" t="n">
        <v>2.357167884246488</v>
      </c>
      <c r="AW16" s="27" t="n">
        <v>10.48937866110403</v>
      </c>
      <c r="AX16" s="27" t="n">
        <v>0</v>
      </c>
      <c r="AY16" s="27" t="n">
        <v>2.976327410239642</v>
      </c>
      <c r="AZ16" s="27" t="n">
        <v>1.667615822785963</v>
      </c>
      <c r="BA16" s="27" t="n">
        <v>8.795625855803342</v>
      </c>
      <c r="BB16" s="27">
        <f>SUM(C16:BA16)</f>
        <v/>
      </c>
      <c r="BC16" s="27" t="n">
        <v>0</v>
      </c>
      <c r="BD16" s="27" t="n">
        <v>0</v>
      </c>
      <c r="BE16" s="27" t="n">
        <v>0</v>
      </c>
      <c r="BF16" s="27" t="n">
        <v>0</v>
      </c>
      <c r="BG16" s="27">
        <f>SUM(BC16:BF16)</f>
        <v/>
      </c>
      <c r="BH16" s="27">
        <f>BB16+BG16</f>
        <v/>
      </c>
    </row>
    <row r="17">
      <c r="A17" s="29" t="n">
        <v>4</v>
      </c>
      <c r="B17" s="30" t="inlineStr">
        <is>
          <t>Minério de ferro</t>
        </is>
      </c>
      <c r="C17" s="29" t="n">
        <v>0.03763007428229068</v>
      </c>
      <c r="D17" s="29" t="n">
        <v>0.02007125413852032</v>
      </c>
      <c r="E17" s="29" t="n">
        <v>0.6368017988358461</v>
      </c>
      <c r="F17" s="29" t="n">
        <v>27.35104104688917</v>
      </c>
      <c r="G17" s="29" t="n">
        <v>3.584543536643901</v>
      </c>
      <c r="H17" s="29" t="n">
        <v>0.9872682037667647</v>
      </c>
      <c r="I17" s="29" t="n">
        <v>0.08786735769625358</v>
      </c>
      <c r="J17" s="29" t="n">
        <v>0.04039946392396151</v>
      </c>
      <c r="K17" s="29" t="n">
        <v>0.03692914301718598</v>
      </c>
      <c r="L17" s="29" t="n">
        <v>0.06458931368756547</v>
      </c>
      <c r="M17" s="29" t="n">
        <v>0.02087469676732593</v>
      </c>
      <c r="N17" s="29" t="n">
        <v>0.122363726024493</v>
      </c>
      <c r="O17" s="29" t="n">
        <v>0.01679513853323363</v>
      </c>
      <c r="P17" s="29" t="n">
        <v>0.1675175478534985</v>
      </c>
      <c r="Q17" s="29" t="n">
        <v>0.02252134233447634</v>
      </c>
      <c r="R17" s="29" t="n">
        <v>0.1696448426940119</v>
      </c>
      <c r="S17" s="29" t="n">
        <v>0.04032082736881187</v>
      </c>
      <c r="T17" s="29" t="n">
        <v>0.2134559811991427</v>
      </c>
      <c r="U17" s="29" t="n">
        <v>0.07684527898959845</v>
      </c>
      <c r="V17" s="29" t="n">
        <v>0.1107644699105459</v>
      </c>
      <c r="W17" s="29" t="n">
        <v>0.05127542499157309</v>
      </c>
      <c r="X17" s="29" t="n">
        <v>0.05478804378015589</v>
      </c>
      <c r="Y17" s="29" t="n">
        <v>0.1271590567949919</v>
      </c>
      <c r="Z17" s="29" t="n">
        <v>4.157514597211472</v>
      </c>
      <c r="AA17" s="29" t="n">
        <v>602.2298516157584</v>
      </c>
      <c r="AB17" s="29" t="n">
        <v>22.28929258257874</v>
      </c>
      <c r="AC17" s="29" t="n">
        <v>0.09958892012054814</v>
      </c>
      <c r="AD17" s="29" t="n">
        <v>0.2100367026971003</v>
      </c>
      <c r="AE17" s="29" t="n">
        <v>0.1601594142838482</v>
      </c>
      <c r="AF17" s="29" t="n">
        <v>0.2413157354831227</v>
      </c>
      <c r="AG17" s="29" t="n">
        <v>0.351784128809954</v>
      </c>
      <c r="AH17" s="29" t="n">
        <v>0.1586276259051973</v>
      </c>
      <c r="AI17" s="29" t="n">
        <v>0.03808354338084824</v>
      </c>
      <c r="AJ17" s="29" t="n">
        <v>0.04355556612501744</v>
      </c>
      <c r="AK17" s="29" t="n">
        <v>0.3822158260191508</v>
      </c>
      <c r="AL17" s="29" t="n">
        <v>0.6118649953314156</v>
      </c>
      <c r="AM17" s="29" t="n">
        <v>1.830665058785415</v>
      </c>
      <c r="AN17" s="29" t="n">
        <v>0.8147236421081333</v>
      </c>
      <c r="AO17" s="29" t="n">
        <v>1.28654068140833</v>
      </c>
      <c r="AP17" s="29" t="n">
        <v>1.079458931268501</v>
      </c>
      <c r="AQ17" s="29" t="n">
        <v>0.09772127676262241</v>
      </c>
      <c r="AR17" s="29" t="n">
        <v>0.007509682920402562</v>
      </c>
      <c r="AS17" s="29" t="n">
        <v>0.1227343201828058</v>
      </c>
      <c r="AT17" s="29" t="n">
        <v>1.665320957791287</v>
      </c>
      <c r="AU17" s="29" t="n">
        <v>0.284291061093373</v>
      </c>
      <c r="AV17" s="29" t="n">
        <v>0.09618686207648536</v>
      </c>
      <c r="AW17" s="29" t="n">
        <v>0.4629857263131092</v>
      </c>
      <c r="AX17" s="29" t="n">
        <v>0</v>
      </c>
      <c r="AY17" s="29" t="n">
        <v>0.2240779495424049</v>
      </c>
      <c r="AZ17" s="29" t="n">
        <v>0.3284404278128003</v>
      </c>
      <c r="BA17" s="29" t="n">
        <v>1.076891661571393</v>
      </c>
      <c r="BB17" s="29">
        <f>SUM(C17:BA17)</f>
        <v/>
      </c>
      <c r="BC17" s="29" t="n">
        <v>0</v>
      </c>
      <c r="BD17" s="29" t="n">
        <v>0</v>
      </c>
      <c r="BE17" s="29" t="n">
        <v>0</v>
      </c>
      <c r="BF17" s="29" t="n">
        <v>0</v>
      </c>
      <c r="BG17" s="29">
        <f>SUM(BC17:BF17)</f>
        <v/>
      </c>
      <c r="BH17" s="29">
        <f>BB17+BG17</f>
        <v/>
      </c>
    </row>
    <row r="18">
      <c r="A18" s="27" t="n">
        <v>5</v>
      </c>
      <c r="B18" s="28" t="inlineStr">
        <is>
          <t>Outros da indústria extrativa</t>
        </is>
      </c>
      <c r="C18" s="27" t="n">
        <v>168.4601212904451</v>
      </c>
      <c r="D18" s="27" t="n">
        <v>78.09585124442556</v>
      </c>
      <c r="E18" s="27" t="n">
        <v>77.41009453415944</v>
      </c>
      <c r="F18" s="27" t="n">
        <v>1.804429800921781</v>
      </c>
      <c r="G18" s="27" t="n">
        <v>299.3221855300606</v>
      </c>
      <c r="H18" s="27" t="n">
        <v>77.15353315453343</v>
      </c>
      <c r="I18" s="27" t="n">
        <v>-0.008501801971557241</v>
      </c>
      <c r="J18" s="27" t="n">
        <v>1.738853976488083</v>
      </c>
      <c r="K18" s="27" t="n">
        <v>0.01061402267523217</v>
      </c>
      <c r="L18" s="27" t="n">
        <v>1.77572111481868</v>
      </c>
      <c r="M18" s="27" t="n">
        <v>0.04850486059661199</v>
      </c>
      <c r="N18" s="27" t="n">
        <v>15.38633471182583</v>
      </c>
      <c r="O18" s="27" t="n">
        <v>0.5357316266520996</v>
      </c>
      <c r="P18" s="27" t="n">
        <v>13.39833598833163</v>
      </c>
      <c r="Q18" s="27" t="n">
        <v>24.8210895026387</v>
      </c>
      <c r="R18" s="27" t="n">
        <v>855.1221095856583</v>
      </c>
      <c r="S18" s="27" t="n">
        <v>8.295729088084363</v>
      </c>
      <c r="T18" s="27" t="n">
        <v>1.003524020676274</v>
      </c>
      <c r="U18" s="27" t="n">
        <v>0.9600690315010945</v>
      </c>
      <c r="V18" s="27" t="n">
        <v>7.060490861873157</v>
      </c>
      <c r="W18" s="27" t="n">
        <v>24.36048674607593</v>
      </c>
      <c r="X18" s="27" t="n">
        <v>9.108958830870677</v>
      </c>
      <c r="Y18" s="27" t="n">
        <v>4.250646108043059</v>
      </c>
      <c r="Z18" s="27" t="n">
        <v>817.7131079967811</v>
      </c>
      <c r="AA18" s="27" t="n">
        <v>3664.394633244997</v>
      </c>
      <c r="AB18" s="27" t="n">
        <v>2150.962477011869</v>
      </c>
      <c r="AC18" s="27" t="n">
        <v>4.84799215905767</v>
      </c>
      <c r="AD18" s="27" t="n">
        <v>6.349801757730337</v>
      </c>
      <c r="AE18" s="27" t="n">
        <v>15.89742452812292</v>
      </c>
      <c r="AF18" s="27" t="n">
        <v>0.360303958403194</v>
      </c>
      <c r="AG18" s="27" t="n">
        <v>3.596481999492465</v>
      </c>
      <c r="AH18" s="27" t="n">
        <v>40.67454570520426</v>
      </c>
      <c r="AI18" s="27" t="n">
        <v>1.874847692422986</v>
      </c>
      <c r="AJ18" s="27" t="n">
        <v>9.268816370282332</v>
      </c>
      <c r="AK18" s="27" t="n">
        <v>376.111577252005</v>
      </c>
      <c r="AL18" s="27" t="n">
        <v>1055.227074727382</v>
      </c>
      <c r="AM18" s="27" t="n">
        <v>10.51296516575425</v>
      </c>
      <c r="AN18" s="27" t="n">
        <v>0.9237019637700944</v>
      </c>
      <c r="AO18" s="27" t="n">
        <v>0.08305430864611348</v>
      </c>
      <c r="AP18" s="27" t="n">
        <v>0.1677158296582451</v>
      </c>
      <c r="AQ18" s="27" t="n">
        <v>36.75621675089301</v>
      </c>
      <c r="AR18" s="27" t="n">
        <v>0.007613166994269247</v>
      </c>
      <c r="AS18" s="27" t="n">
        <v>4.962951418853833</v>
      </c>
      <c r="AT18" s="27" t="n">
        <v>13.91239158300932</v>
      </c>
      <c r="AU18" s="27" t="n">
        <v>0.2114877027482722</v>
      </c>
      <c r="AV18" s="27" t="n">
        <v>7.126748728487805</v>
      </c>
      <c r="AW18" s="27" t="n">
        <v>2.343794847407398</v>
      </c>
      <c r="AX18" s="27" t="n">
        <v>0</v>
      </c>
      <c r="AY18" s="27" t="n">
        <v>6.676374951562975</v>
      </c>
      <c r="AZ18" s="27" t="n">
        <v>3.098086536880771</v>
      </c>
      <c r="BA18" s="27" t="n">
        <v>8.630230473884678</v>
      </c>
      <c r="BB18" s="27">
        <f>SUM(C18:BA18)</f>
        <v/>
      </c>
      <c r="BC18" s="27" t="n">
        <v>0</v>
      </c>
      <c r="BD18" s="27" t="n">
        <v>0</v>
      </c>
      <c r="BE18" s="27" t="n">
        <v>0</v>
      </c>
      <c r="BF18" s="27" t="n">
        <v>0</v>
      </c>
      <c r="BG18" s="27">
        <f>SUM(BC18:BF18)</f>
        <v/>
      </c>
      <c r="BH18" s="27">
        <f>BB18+BG18</f>
        <v/>
      </c>
    </row>
    <row r="19">
      <c r="A19" s="29" t="n">
        <v>6</v>
      </c>
      <c r="B19" s="30" t="inlineStr">
        <is>
          <t>Alimentos e Bebidas</t>
        </is>
      </c>
      <c r="C19" s="29" t="n">
        <v>230.6489290203372</v>
      </c>
      <c r="D19" s="29" t="n">
        <v>1566.691923596369</v>
      </c>
      <c r="E19" s="29" t="n">
        <v>57.11716543324663</v>
      </c>
      <c r="F19" s="29" t="n">
        <v>-5.865707051472984</v>
      </c>
      <c r="G19" s="29" t="n">
        <v>25.82776182978955</v>
      </c>
      <c r="H19" s="29" t="n">
        <v>9129.980271918634</v>
      </c>
      <c r="I19" s="29" t="n">
        <v>-6.268433156199198</v>
      </c>
      <c r="J19" s="29" t="n">
        <v>-7.03730392842361</v>
      </c>
      <c r="K19" s="29" t="n">
        <v>-12.88226270169585</v>
      </c>
      <c r="L19" s="29" t="n">
        <v>318.7645344364776</v>
      </c>
      <c r="M19" s="29" t="n">
        <v>-0.6590418434932575</v>
      </c>
      <c r="N19" s="29" t="n">
        <v>73.22607375838012</v>
      </c>
      <c r="O19" s="29" t="n">
        <v>2.006577581183103</v>
      </c>
      <c r="P19" s="29" t="n">
        <v>331.204502820935</v>
      </c>
      <c r="Q19" s="29" t="n">
        <v>164.4153407497015</v>
      </c>
      <c r="R19" s="29" t="n">
        <v>137.7730269302919</v>
      </c>
      <c r="S19" s="29" t="n">
        <v>51.82171786587844</v>
      </c>
      <c r="T19" s="29" t="n">
        <v>61.91687630666159</v>
      </c>
      <c r="U19" s="29" t="n">
        <v>28.87602987561892</v>
      </c>
      <c r="V19" s="29" t="n">
        <v>334.9205839116835</v>
      </c>
      <c r="W19" s="29" t="n">
        <v>38.75080354053089</v>
      </c>
      <c r="X19" s="29" t="n">
        <v>132.443849230613</v>
      </c>
      <c r="Y19" s="29" t="n">
        <v>-10.95320550600997</v>
      </c>
      <c r="Z19" s="29" t="n">
        <v>-13.16845329704798</v>
      </c>
      <c r="AA19" s="29" t="n">
        <v>-13.28056788839885</v>
      </c>
      <c r="AB19" s="29" t="n">
        <v>-3.10217000779402</v>
      </c>
      <c r="AC19" s="29" t="n">
        <v>-2.026502741986394</v>
      </c>
      <c r="AD19" s="29" t="n">
        <v>-46.24260684550966</v>
      </c>
      <c r="AE19" s="29" t="n">
        <v>-13.5023952871281</v>
      </c>
      <c r="AF19" s="29" t="n">
        <v>-23.55811982789632</v>
      </c>
      <c r="AG19" s="29" t="n">
        <v>0.9106030614439325</v>
      </c>
      <c r="AH19" s="29" t="n">
        <v>5.48669525719395</v>
      </c>
      <c r="AI19" s="29" t="n">
        <v>0.9886081615581247</v>
      </c>
      <c r="AJ19" s="29" t="n">
        <v>0.09517749016353878</v>
      </c>
      <c r="AK19" s="29" t="n">
        <v>18.75629220604251</v>
      </c>
      <c r="AL19" s="29" t="n">
        <v>65.40365514256564</v>
      </c>
      <c r="AM19" s="29" t="n">
        <v>208.8390012686421</v>
      </c>
      <c r="AN19" s="29" t="n">
        <v>-27.08932890916426</v>
      </c>
      <c r="AO19" s="29" t="n">
        <v>-93.32292968579971</v>
      </c>
      <c r="AP19" s="29" t="n">
        <v>39.51667779395002</v>
      </c>
      <c r="AQ19" s="29" t="n">
        <v>2.349360316510195</v>
      </c>
      <c r="AR19" s="29" t="n">
        <v>3.351984637792967</v>
      </c>
      <c r="AS19" s="29" t="n">
        <v>7870.045396752886</v>
      </c>
      <c r="AT19" s="29" t="n">
        <v>3.091455117398102</v>
      </c>
      <c r="AU19" s="29" t="n">
        <v>48.60938672107266</v>
      </c>
      <c r="AV19" s="29" t="n">
        <v>199.1584021793099</v>
      </c>
      <c r="AW19" s="29" t="n">
        <v>153.6320140731304</v>
      </c>
      <c r="AX19" s="29" t="n">
        <v>0</v>
      </c>
      <c r="AY19" s="29" t="n">
        <v>391.9939545936854</v>
      </c>
      <c r="AZ19" s="29" t="n">
        <v>285.5831007262117</v>
      </c>
      <c r="BA19" s="29" t="n">
        <v>444.0075990325365</v>
      </c>
      <c r="BB19" s="29">
        <f>SUM(C19:BA19)</f>
        <v/>
      </c>
      <c r="BC19" s="29" t="n">
        <v>0</v>
      </c>
      <c r="BD19" s="29" t="n">
        <v>0</v>
      </c>
      <c r="BE19" s="29" t="n">
        <v>0</v>
      </c>
      <c r="BF19" s="29" t="n">
        <v>0</v>
      </c>
      <c r="BG19" s="29">
        <f>SUM(BC19:BF19)</f>
        <v/>
      </c>
      <c r="BH19" s="29">
        <f>BB19+BG19</f>
        <v/>
      </c>
    </row>
    <row r="20">
      <c r="A20" s="27" t="n">
        <v>7</v>
      </c>
      <c r="B20" s="28" t="inlineStr">
        <is>
          <t>Produtos do fumo</t>
        </is>
      </c>
      <c r="C20" s="27" t="n">
        <v>0.01141257117557934</v>
      </c>
      <c r="D20" s="27" t="n">
        <v>0.006043913481288258</v>
      </c>
      <c r="E20" s="27" t="n">
        <v>0.1573821472003773</v>
      </c>
      <c r="F20" s="27" t="n">
        <v>0.02390942082578421</v>
      </c>
      <c r="G20" s="27" t="n">
        <v>0.02318785763854811</v>
      </c>
      <c r="H20" s="27" t="n">
        <v>0.2996311221058187</v>
      </c>
      <c r="I20" s="27" t="n">
        <v>282.061106074172</v>
      </c>
      <c r="J20" s="27" t="n">
        <v>0.0120761818888685</v>
      </c>
      <c r="K20" s="27" t="n">
        <v>0.01100429024277376</v>
      </c>
      <c r="L20" s="27" t="n">
        <v>0.01957318072054013</v>
      </c>
      <c r="M20" s="27" t="n">
        <v>0.006325565081315499</v>
      </c>
      <c r="N20" s="27" t="n">
        <v>0.03712850227230775</v>
      </c>
      <c r="O20" s="27" t="n">
        <v>0.00506958808349117</v>
      </c>
      <c r="P20" s="27" t="n">
        <v>0.05085975009757909</v>
      </c>
      <c r="Q20" s="27" t="n">
        <v>0.006788148273731926</v>
      </c>
      <c r="R20" s="27" t="n">
        <v>0.0514820308608504</v>
      </c>
      <c r="S20" s="27" t="n">
        <v>0.01223848852783306</v>
      </c>
      <c r="T20" s="27" t="n">
        <v>0.06481479973787101</v>
      </c>
      <c r="U20" s="27" t="n">
        <v>0.02334906127891542</v>
      </c>
      <c r="V20" s="27" t="n">
        <v>0.03360571760876115</v>
      </c>
      <c r="W20" s="27" t="n">
        <v>0.01558044426404308</v>
      </c>
      <c r="X20" s="27" t="n">
        <v>0.01663480911732125</v>
      </c>
      <c r="Y20" s="27" t="n">
        <v>0.03847875815210076</v>
      </c>
      <c r="Z20" s="27" t="n">
        <v>0.03807842473363558</v>
      </c>
      <c r="AA20" s="27" t="n">
        <v>0.04211778058981387</v>
      </c>
      <c r="AB20" s="27" t="n">
        <v>0.01666637417642901</v>
      </c>
      <c r="AC20" s="27" t="n">
        <v>0.03016331200519533</v>
      </c>
      <c r="AD20" s="27" t="n">
        <v>0.06371536315071505</v>
      </c>
      <c r="AE20" s="27" t="n">
        <v>0.04863527288137582</v>
      </c>
      <c r="AF20" s="27" t="n">
        <v>0.07322781457626479</v>
      </c>
      <c r="AG20" s="27" t="n">
        <v>0.1068271900249951</v>
      </c>
      <c r="AH20" s="27" t="n">
        <v>0.03765900306148783</v>
      </c>
      <c r="AI20" s="27" t="n">
        <v>0.0114812168353941</v>
      </c>
      <c r="AJ20" s="27" t="n">
        <v>0.0131416890935478</v>
      </c>
      <c r="AK20" s="27" t="n">
        <v>0.1141136954177164</v>
      </c>
      <c r="AL20" s="27" t="n">
        <v>0.1689302938909472</v>
      </c>
      <c r="AM20" s="27" t="n">
        <v>0.543615031330374</v>
      </c>
      <c r="AN20" s="27" t="n">
        <v>0.2457609835114149</v>
      </c>
      <c r="AO20" s="27" t="n">
        <v>0.3872508053563835</v>
      </c>
      <c r="AP20" s="27" t="n">
        <v>0.3259216245408734</v>
      </c>
      <c r="AQ20" s="27" t="n">
        <v>0.02840502221903522</v>
      </c>
      <c r="AR20" s="27" t="n">
        <v>0.002132899526373032</v>
      </c>
      <c r="AS20" s="27" t="n">
        <v>0.035135229856192</v>
      </c>
      <c r="AT20" s="27" t="n">
        <v>0.3772812314928924</v>
      </c>
      <c r="AU20" s="27" t="n">
        <v>0.08452627907312874</v>
      </c>
      <c r="AV20" s="27" t="n">
        <v>0.02850136180764003</v>
      </c>
      <c r="AW20" s="27" t="n">
        <v>0.136912749708905</v>
      </c>
      <c r="AX20" s="27" t="n">
        <v>0</v>
      </c>
      <c r="AY20" s="27" t="n">
        <v>0.06771518251755156</v>
      </c>
      <c r="AZ20" s="27" t="n">
        <v>0.09881175738469337</v>
      </c>
      <c r="BA20" s="27" t="n">
        <v>0.3230565444897502</v>
      </c>
      <c r="BB20" s="27">
        <f>SUM(C20:BA20)</f>
        <v/>
      </c>
      <c r="BC20" s="27" t="n">
        <v>0</v>
      </c>
      <c r="BD20" s="27" t="n">
        <v>0</v>
      </c>
      <c r="BE20" s="27" t="n">
        <v>0</v>
      </c>
      <c r="BF20" s="27" t="n">
        <v>0</v>
      </c>
      <c r="BG20" s="27">
        <f>SUM(BC20:BF20)</f>
        <v/>
      </c>
      <c r="BH20" s="27">
        <f>BB20+BG20</f>
        <v/>
      </c>
    </row>
    <row r="21">
      <c r="A21" s="29" t="n">
        <v>8</v>
      </c>
      <c r="B21" s="30" t="inlineStr">
        <is>
          <t>Têxteis</t>
        </is>
      </c>
      <c r="C21" s="29" t="n">
        <v>95.61092817450881</v>
      </c>
      <c r="D21" s="29" t="n">
        <v>1.884635448540125</v>
      </c>
      <c r="E21" s="29" t="n">
        <v>14.89492600356873</v>
      </c>
      <c r="F21" s="29" t="n">
        <v>-0.4499314273999092</v>
      </c>
      <c r="G21" s="29" t="n">
        <v>37.07176136148909</v>
      </c>
      <c r="H21" s="29" t="n">
        <v>48.36449840121901</v>
      </c>
      <c r="I21" s="29" t="n">
        <v>-0.1286872650092953</v>
      </c>
      <c r="J21" s="29" t="n">
        <v>1960.404551052523</v>
      </c>
      <c r="K21" s="29" t="n">
        <v>2257.05242634552</v>
      </c>
      <c r="L21" s="29" t="n">
        <v>608.9483780190637</v>
      </c>
      <c r="M21" s="29" t="n">
        <v>1.992120720765184</v>
      </c>
      <c r="N21" s="29" t="n">
        <v>21.16820903408959</v>
      </c>
      <c r="O21" s="29" t="n">
        <v>0.6618961030996908</v>
      </c>
      <c r="P21" s="29" t="n">
        <v>-0.2040868451476551</v>
      </c>
      <c r="Q21" s="29" t="n">
        <v>-0.1639080694996403</v>
      </c>
      <c r="R21" s="29" t="n">
        <v>1.35654562792935</v>
      </c>
      <c r="S21" s="29" t="n">
        <v>7.056503664258219</v>
      </c>
      <c r="T21" s="29" t="n">
        <v>10.65111027825545</v>
      </c>
      <c r="U21" s="29" t="n">
        <v>0.5048652601239626</v>
      </c>
      <c r="V21" s="29" t="n">
        <v>3.669827371812778</v>
      </c>
      <c r="W21" s="29" t="n">
        <v>2.373185055722897</v>
      </c>
      <c r="X21" s="29" t="n">
        <v>8.013855071431163</v>
      </c>
      <c r="Y21" s="29" t="n">
        <v>132.543900518842</v>
      </c>
      <c r="Z21" s="29" t="n">
        <v>6.668811024506817</v>
      </c>
      <c r="AA21" s="29" t="n">
        <v>-1.22339359617825</v>
      </c>
      <c r="AB21" s="29" t="n">
        <v>0.2239103835631842</v>
      </c>
      <c r="AC21" s="29" t="n">
        <v>8.084315945120474</v>
      </c>
      <c r="AD21" s="29" t="n">
        <v>-0.6348675611368927</v>
      </c>
      <c r="AE21" s="29" t="n">
        <v>9.974525343511507</v>
      </c>
      <c r="AF21" s="29" t="n">
        <v>3.799087779077343</v>
      </c>
      <c r="AG21" s="29" t="n">
        <v>26.48154381737427</v>
      </c>
      <c r="AH21" s="29" t="n">
        <v>317.1001761754828</v>
      </c>
      <c r="AI21" s="29" t="n">
        <v>12.28623485277749</v>
      </c>
      <c r="AJ21" s="29" t="n">
        <v>231.0339610368929</v>
      </c>
      <c r="AK21" s="29" t="n">
        <v>3.98543523590118</v>
      </c>
      <c r="AL21" s="29" t="n">
        <v>97.08523140547247</v>
      </c>
      <c r="AM21" s="29" t="n">
        <v>19.28171653565839</v>
      </c>
      <c r="AN21" s="29" t="n">
        <v>10.05170583808138</v>
      </c>
      <c r="AO21" s="29" t="n">
        <v>-2.760141671363839</v>
      </c>
      <c r="AP21" s="29" t="n">
        <v>1.354635161760095</v>
      </c>
      <c r="AQ21" s="29" t="n">
        <v>0.2786279634766279</v>
      </c>
      <c r="AR21" s="29" t="n">
        <v>4.082295357444257</v>
      </c>
      <c r="AS21" s="29" t="n">
        <v>63.64148771564994</v>
      </c>
      <c r="AT21" s="29" t="n">
        <v>2.573982162043066</v>
      </c>
      <c r="AU21" s="29" t="n">
        <v>0.3519344809386442</v>
      </c>
      <c r="AV21" s="29" t="n">
        <v>2.291145168539197</v>
      </c>
      <c r="AW21" s="29" t="n">
        <v>92.83491224935143</v>
      </c>
      <c r="AX21" s="29" t="n">
        <v>0</v>
      </c>
      <c r="AY21" s="29" t="n">
        <v>8.050316868311807</v>
      </c>
      <c r="AZ21" s="29" t="n">
        <v>3.659796827779255</v>
      </c>
      <c r="BA21" s="29" t="n">
        <v>7.532105796160887</v>
      </c>
      <c r="BB21" s="29">
        <f>SUM(C21:BA21)</f>
        <v/>
      </c>
      <c r="BC21" s="29" t="n">
        <v>0</v>
      </c>
      <c r="BD21" s="29" t="n">
        <v>0</v>
      </c>
      <c r="BE21" s="29" t="n">
        <v>0</v>
      </c>
      <c r="BF21" s="29" t="n">
        <v>0</v>
      </c>
      <c r="BG21" s="29">
        <f>SUM(BC21:BF21)</f>
        <v/>
      </c>
      <c r="BH21" s="29">
        <f>BB21+BG21</f>
        <v/>
      </c>
    </row>
    <row r="22">
      <c r="A22" s="27" t="n">
        <v>9</v>
      </c>
      <c r="B22" s="28" t="inlineStr">
        <is>
          <t>Artigos do vestuário e acessórios</t>
        </is>
      </c>
      <c r="C22" s="27" t="n">
        <v>4.021841778005005</v>
      </c>
      <c r="D22" s="27" t="n">
        <v>0.2067147767024987</v>
      </c>
      <c r="E22" s="27" t="n">
        <v>15.36634253137402</v>
      </c>
      <c r="F22" s="27" t="n">
        <v>-0.04799347340336257</v>
      </c>
      <c r="G22" s="27" t="n">
        <v>1.513228366688048</v>
      </c>
      <c r="H22" s="27" t="n">
        <v>-2.801547218238678</v>
      </c>
      <c r="I22" s="27" t="n">
        <v>-0.1942171687232117</v>
      </c>
      <c r="J22" s="27" t="n">
        <v>22.71034054931224</v>
      </c>
      <c r="K22" s="27" t="n">
        <v>444.2115163614112</v>
      </c>
      <c r="L22" s="27" t="n">
        <v>8.470468006357686</v>
      </c>
      <c r="M22" s="27" t="n">
        <v>-0.1670464084223199</v>
      </c>
      <c r="N22" s="27" t="n">
        <v>-0.7413794859458398</v>
      </c>
      <c r="O22" s="27" t="n">
        <v>0.06918617387323865</v>
      </c>
      <c r="P22" s="27" t="n">
        <v>-0.1059930040093376</v>
      </c>
      <c r="Q22" s="27" t="n">
        <v>-0.1576651052478487</v>
      </c>
      <c r="R22" s="27" t="n">
        <v>-0.1071641551385534</v>
      </c>
      <c r="S22" s="27" t="n">
        <v>-0.3887174861766505</v>
      </c>
      <c r="T22" s="27" t="n">
        <v>-0.4606572832794854</v>
      </c>
      <c r="U22" s="27" t="n">
        <v>0.642727650409689</v>
      </c>
      <c r="V22" s="27" t="n">
        <v>0.07289787396077213</v>
      </c>
      <c r="W22" s="27" t="n">
        <v>0.07033744566780524</v>
      </c>
      <c r="X22" s="27" t="n">
        <v>-0.4028941084086677</v>
      </c>
      <c r="Y22" s="27" t="n">
        <v>0.04707703989961028</v>
      </c>
      <c r="Z22" s="27" t="n">
        <v>2.391592959108115</v>
      </c>
      <c r="AA22" s="27" t="n">
        <v>0.8328313961940016</v>
      </c>
      <c r="AB22" s="27" t="n">
        <v>-0.2237904655643249</v>
      </c>
      <c r="AC22" s="27" t="n">
        <v>10.54614363174062</v>
      </c>
      <c r="AD22" s="27" t="n">
        <v>0.6799779492609472</v>
      </c>
      <c r="AE22" s="27" t="n">
        <v>-0.2510823697290733</v>
      </c>
      <c r="AF22" s="27" t="n">
        <v>-0.835765653719992</v>
      </c>
      <c r="AG22" s="27" t="n">
        <v>0.2558290010797643</v>
      </c>
      <c r="AH22" s="27" t="n">
        <v>4.881851831676382</v>
      </c>
      <c r="AI22" s="27" t="n">
        <v>0.3828961245628317</v>
      </c>
      <c r="AJ22" s="27" t="n">
        <v>3.217968954846553</v>
      </c>
      <c r="AK22" s="27" t="n">
        <v>39.91696383396633</v>
      </c>
      <c r="AL22" s="27" t="n">
        <v>10.36583697937006</v>
      </c>
      <c r="AM22" s="27" t="n">
        <v>48.73119415634202</v>
      </c>
      <c r="AN22" s="27" t="n">
        <v>93.94136184311431</v>
      </c>
      <c r="AO22" s="27" t="n">
        <v>31.68771190594041</v>
      </c>
      <c r="AP22" s="27" t="n">
        <v>107.3636111494119</v>
      </c>
      <c r="AQ22" s="27" t="n">
        <v>6.633753398749402</v>
      </c>
      <c r="AR22" s="27" t="n">
        <v>0.07397818055425662</v>
      </c>
      <c r="AS22" s="27" t="n">
        <v>46.13675845026805</v>
      </c>
      <c r="AT22" s="27" t="n">
        <v>72.70267376296758</v>
      </c>
      <c r="AU22" s="27" t="n">
        <v>0.3162617611557068</v>
      </c>
      <c r="AV22" s="27" t="n">
        <v>6.159540150108202</v>
      </c>
      <c r="AW22" s="27" t="n">
        <v>257.331057555259</v>
      </c>
      <c r="AX22" s="27" t="n">
        <v>0</v>
      </c>
      <c r="AY22" s="27" t="n">
        <v>134.6527677783626</v>
      </c>
      <c r="AZ22" s="27" t="n">
        <v>10.0229535778893</v>
      </c>
      <c r="BA22" s="27" t="n">
        <v>118.5297454166464</v>
      </c>
      <c r="BB22" s="27">
        <f>SUM(C22:BA22)</f>
        <v/>
      </c>
      <c r="BC22" s="27" t="n">
        <v>0</v>
      </c>
      <c r="BD22" s="27" t="n">
        <v>0</v>
      </c>
      <c r="BE22" s="27" t="n">
        <v>0</v>
      </c>
      <c r="BF22" s="27" t="n">
        <v>0</v>
      </c>
      <c r="BG22" s="27">
        <f>SUM(BC22:BF22)</f>
        <v/>
      </c>
      <c r="BH22" s="27">
        <f>BB22+BG22</f>
        <v/>
      </c>
    </row>
    <row r="23">
      <c r="A23" s="29" t="n">
        <v>10</v>
      </c>
      <c r="B23" s="30" t="inlineStr">
        <is>
          <t>Artefatos de couro e calçados</t>
        </is>
      </c>
      <c r="C23" s="29" t="n">
        <v>0.2135171525543118</v>
      </c>
      <c r="D23" s="29" t="n">
        <v>0.1567067214947895</v>
      </c>
      <c r="E23" s="29" t="n">
        <v>1.008570300052495</v>
      </c>
      <c r="F23" s="29" t="n">
        <v>-0.3576046317270081</v>
      </c>
      <c r="G23" s="29" t="n">
        <v>-0.05655361229563598</v>
      </c>
      <c r="H23" s="29" t="n">
        <v>-4.383890625934946</v>
      </c>
      <c r="I23" s="29" t="n">
        <v>-0.2184810049883262</v>
      </c>
      <c r="J23" s="29" t="n">
        <v>-0.6551116988506536</v>
      </c>
      <c r="K23" s="29" t="n">
        <v>1.194158851742909</v>
      </c>
      <c r="L23" s="29" t="n">
        <v>1239.414504659553</v>
      </c>
      <c r="M23" s="29" t="n">
        <v>-0.2227976706393954</v>
      </c>
      <c r="N23" s="29" t="n">
        <v>12.92177986549664</v>
      </c>
      <c r="O23" s="29" t="n">
        <v>-0.02205115683911188</v>
      </c>
      <c r="P23" s="29" t="n">
        <v>-0.1843100995203979</v>
      </c>
      <c r="Q23" s="29" t="n">
        <v>-0.1870293490800872</v>
      </c>
      <c r="R23" s="29" t="n">
        <v>-0.2032258921976602</v>
      </c>
      <c r="S23" s="29" t="n">
        <v>-0.4255766678174085</v>
      </c>
      <c r="T23" s="29" t="n">
        <v>-0.612901814691158</v>
      </c>
      <c r="U23" s="29" t="n">
        <v>0.1013480274399865</v>
      </c>
      <c r="V23" s="29" t="n">
        <v>0.2545953181208111</v>
      </c>
      <c r="W23" s="29" t="n">
        <v>0.02927810962414234</v>
      </c>
      <c r="X23" s="29" t="n">
        <v>-0.5207561200772047</v>
      </c>
      <c r="Y23" s="29" t="n">
        <v>-1.263720017602577</v>
      </c>
      <c r="Z23" s="29" t="n">
        <v>-0.8968514553631387</v>
      </c>
      <c r="AA23" s="29" t="n">
        <v>-1.262814111516347</v>
      </c>
      <c r="AB23" s="29" t="n">
        <v>-0.3597437461239258</v>
      </c>
      <c r="AC23" s="29" t="n">
        <v>4.37985106628518</v>
      </c>
      <c r="AD23" s="29" t="n">
        <v>-2.403048176776211</v>
      </c>
      <c r="AE23" s="29" t="n">
        <v>-0.6992425657055182</v>
      </c>
      <c r="AF23" s="29" t="n">
        <v>4.159428818246145</v>
      </c>
      <c r="AG23" s="29" t="n">
        <v>0.2586211055751717</v>
      </c>
      <c r="AH23" s="29" t="n">
        <v>0.9918107055641338</v>
      </c>
      <c r="AI23" s="29" t="n">
        <v>-0.04971836038821809</v>
      </c>
      <c r="AJ23" s="29" t="n">
        <v>-0.09775313075821949</v>
      </c>
      <c r="AK23" s="29" t="n">
        <v>15.34622637766369</v>
      </c>
      <c r="AL23" s="29" t="n">
        <v>5.050806124318991</v>
      </c>
      <c r="AM23" s="29" t="n">
        <v>-3.527704029037987</v>
      </c>
      <c r="AN23" s="29" t="n">
        <v>-3.46368208529787</v>
      </c>
      <c r="AO23" s="29" t="n">
        <v>2.104480875352702</v>
      </c>
      <c r="AP23" s="29" t="n">
        <v>1.240512795610713</v>
      </c>
      <c r="AQ23" s="29" t="n">
        <v>0.0957604875274452</v>
      </c>
      <c r="AR23" s="29" t="n">
        <v>0.002846802518524121</v>
      </c>
      <c r="AS23" s="29" t="n">
        <v>0.4070795114779245</v>
      </c>
      <c r="AT23" s="29" t="n">
        <v>7.554956293445463</v>
      </c>
      <c r="AU23" s="29" t="n">
        <v>0.2411274488328875</v>
      </c>
      <c r="AV23" s="29" t="n">
        <v>-0.2633692659047006</v>
      </c>
      <c r="AW23" s="29" t="n">
        <v>2.485840489020258</v>
      </c>
      <c r="AX23" s="29" t="n">
        <v>0</v>
      </c>
      <c r="AY23" s="29" t="n">
        <v>0.7284924460403831</v>
      </c>
      <c r="AZ23" s="29" t="n">
        <v>-0.3351186880955571</v>
      </c>
      <c r="BA23" s="29" t="n">
        <v>3.229934178195002</v>
      </c>
      <c r="BB23" s="29">
        <f>SUM(C23:BA23)</f>
        <v/>
      </c>
      <c r="BC23" s="29" t="n">
        <v>0</v>
      </c>
      <c r="BD23" s="29" t="n">
        <v>0</v>
      </c>
      <c r="BE23" s="29" t="n">
        <v>0</v>
      </c>
      <c r="BF23" s="29" t="n">
        <v>0</v>
      </c>
      <c r="BG23" s="29">
        <f>SUM(BC23:BF23)</f>
        <v/>
      </c>
      <c r="BH23" s="29">
        <f>BB23+BG23</f>
        <v/>
      </c>
    </row>
    <row r="24">
      <c r="A24" s="28" t="inlineStr">
        <is>
          <t>Produtos de madeira</t>
        </is>
      </c>
      <c r="B24" s="28" t="inlineStr">
        <is>
          <t>exclusive móveis</t>
        </is>
      </c>
      <c r="C24" s="27" t="n">
        <v>46.30797880626994</v>
      </c>
      <c r="D24" s="27" t="n">
        <v>31.67276055930498</v>
      </c>
      <c r="E24" s="27" t="n">
        <v>0.3942453682993021</v>
      </c>
      <c r="F24" s="27" t="n">
        <v>0.07476811705536555</v>
      </c>
      <c r="G24" s="27" t="n">
        <v>0.8142389933160435</v>
      </c>
      <c r="H24" s="27" t="n">
        <v>46.58176819387721</v>
      </c>
      <c r="I24" s="27" t="n">
        <v>-0.04235210208111993</v>
      </c>
      <c r="J24" s="27" t="n">
        <v>3.982086982622389</v>
      </c>
      <c r="K24" s="27" t="n">
        <v>-0.08548572305046045</v>
      </c>
      <c r="L24" s="27" t="n">
        <v>-0.1839004998871292</v>
      </c>
      <c r="M24" s="27" t="n">
        <v>602.2220739268652</v>
      </c>
      <c r="N24" s="27" t="n">
        <v>51.87857754283197</v>
      </c>
      <c r="O24" s="27" t="n">
        <v>0.04295689279591527</v>
      </c>
      <c r="P24" s="27" t="n">
        <v>-0.009436072960504447</v>
      </c>
      <c r="Q24" s="27" t="n">
        <v>-0.02277634356976197</v>
      </c>
      <c r="R24" s="27" t="n">
        <v>2.382487646406873</v>
      </c>
      <c r="S24" s="27" t="n">
        <v>-0.07645526282215126</v>
      </c>
      <c r="T24" s="27" t="n">
        <v>-0.1048192242200755</v>
      </c>
      <c r="U24" s="27" t="n">
        <v>1.04178009117981</v>
      </c>
      <c r="V24" s="27" t="n">
        <v>0.02431220027905213</v>
      </c>
      <c r="W24" s="27" t="n">
        <v>0.2516180916119157</v>
      </c>
      <c r="X24" s="27" t="n">
        <v>4.004624882729785</v>
      </c>
      <c r="Y24" s="27" t="n">
        <v>-0.2341766134300414</v>
      </c>
      <c r="Z24" s="27" t="n">
        <v>3.712016762066523</v>
      </c>
      <c r="AA24" s="27" t="n">
        <v>2.594822529680088</v>
      </c>
      <c r="AB24" s="27" t="n">
        <v>-0.01175920616712461</v>
      </c>
      <c r="AC24" s="27" t="n">
        <v>25.69174917744218</v>
      </c>
      <c r="AD24" s="27" t="n">
        <v>40.48551002081587</v>
      </c>
      <c r="AE24" s="27" t="n">
        <v>0.249105322118623</v>
      </c>
      <c r="AF24" s="27" t="n">
        <v>-0.1794209553950204</v>
      </c>
      <c r="AG24" s="27" t="n">
        <v>24.14033247628129</v>
      </c>
      <c r="AH24" s="27" t="n">
        <v>10.27388616141027</v>
      </c>
      <c r="AI24" s="27" t="n">
        <v>16.7977865513232</v>
      </c>
      <c r="AJ24" s="27" t="n">
        <v>732.1382907472752</v>
      </c>
      <c r="AK24" s="27" t="n">
        <v>39.82879420069655</v>
      </c>
      <c r="AL24" s="27" t="n">
        <v>581.1404371304552</v>
      </c>
      <c r="AM24" s="27" t="n">
        <v>167.290281113194</v>
      </c>
      <c r="AN24" s="27" t="n">
        <v>6.511799402182382</v>
      </c>
      <c r="AO24" s="27" t="n">
        <v>20.76071361426531</v>
      </c>
      <c r="AP24" s="27" t="n">
        <v>0.4356111395600528</v>
      </c>
      <c r="AQ24" s="27" t="n">
        <v>39.88490438599516</v>
      </c>
      <c r="AR24" s="27" t="n">
        <v>0.127981944862378</v>
      </c>
      <c r="AS24" s="27" t="n">
        <v>0.2483972563045804</v>
      </c>
      <c r="AT24" s="27" t="n">
        <v>0.458104195523107</v>
      </c>
      <c r="AU24" s="27" t="n">
        <v>0.2569873231462781</v>
      </c>
      <c r="AV24" s="27" t="n">
        <v>0.01931466930075063</v>
      </c>
      <c r="AW24" s="27" t="n">
        <v>32.9731490148202</v>
      </c>
      <c r="AX24" s="27" t="n">
        <v>0</v>
      </c>
      <c r="AY24" s="27" t="n">
        <v>3.353604770365767</v>
      </c>
      <c r="AZ24" s="27" t="n">
        <v>0.3091364837307919</v>
      </c>
      <c r="BA24" s="27" t="n">
        <v>6.954572539983508</v>
      </c>
      <c r="BB24" s="27">
        <f>SUM(C24:BA24)</f>
        <v/>
      </c>
      <c r="BC24" s="27" t="n">
        <v>0</v>
      </c>
      <c r="BD24" s="27" t="n">
        <v>0</v>
      </c>
      <c r="BE24" s="27" t="n">
        <v>0</v>
      </c>
      <c r="BF24" s="27" t="n">
        <v>0</v>
      </c>
      <c r="BG24" s="27">
        <f>SUM(BC24:BF24)</f>
        <v/>
      </c>
      <c r="BH24" s="27">
        <f>BB24+BG24</f>
        <v/>
      </c>
    </row>
    <row r="25">
      <c r="A25" s="29" t="n">
        <v>12</v>
      </c>
      <c r="B25" s="30" t="inlineStr">
        <is>
          <t>Celulose e produtos de papel</t>
        </is>
      </c>
      <c r="C25" s="29" t="n">
        <v>62.35696838374766</v>
      </c>
      <c r="D25" s="29" t="n">
        <v>23.37173256340373</v>
      </c>
      <c r="E25" s="29" t="n">
        <v>9.038072132735161</v>
      </c>
      <c r="F25" s="29" t="n">
        <v>13.51606179382359</v>
      </c>
      <c r="G25" s="29" t="n">
        <v>5.593277121042201</v>
      </c>
      <c r="H25" s="29" t="n">
        <v>930.2457546725611</v>
      </c>
      <c r="I25" s="29" t="n">
        <v>235.277232817282</v>
      </c>
      <c r="J25" s="29" t="n">
        <v>147.2377483966346</v>
      </c>
      <c r="K25" s="29" t="n">
        <v>110.6803021416525</v>
      </c>
      <c r="L25" s="29" t="n">
        <v>138.0203121964012</v>
      </c>
      <c r="M25" s="29" t="n">
        <v>137.2050141230664</v>
      </c>
      <c r="N25" s="29" t="n">
        <v>1889.156018463214</v>
      </c>
      <c r="O25" s="29" t="n">
        <v>262.9358374887919</v>
      </c>
      <c r="P25" s="29" t="n">
        <v>21.58335814743911</v>
      </c>
      <c r="Q25" s="29" t="n">
        <v>5.095618450911916</v>
      </c>
      <c r="R25" s="29" t="n">
        <v>16.00116481442959</v>
      </c>
      <c r="S25" s="29" t="n">
        <v>3.303137225196267</v>
      </c>
      <c r="T25" s="29" t="n">
        <v>110.3490433986714</v>
      </c>
      <c r="U25" s="29" t="n">
        <v>17.40488889354084</v>
      </c>
      <c r="V25" s="29" t="n">
        <v>254.7718017878872</v>
      </c>
      <c r="W25" s="29" t="n">
        <v>2.365279994749703</v>
      </c>
      <c r="X25" s="29" t="n">
        <v>12.0299063411508</v>
      </c>
      <c r="Y25" s="29" t="n">
        <v>313.6097102109857</v>
      </c>
      <c r="Z25" s="29" t="n">
        <v>251.753162918777</v>
      </c>
      <c r="AA25" s="29" t="n">
        <v>12.65293655005562</v>
      </c>
      <c r="AB25" s="29" t="n">
        <v>3.723791967931236</v>
      </c>
      <c r="AC25" s="29" t="n">
        <v>183.1503756046487</v>
      </c>
      <c r="AD25" s="29" t="n">
        <v>46.07678596371724</v>
      </c>
      <c r="AE25" s="29" t="n">
        <v>73.45563114939077</v>
      </c>
      <c r="AF25" s="29" t="n">
        <v>307.5246386522163</v>
      </c>
      <c r="AG25" s="29" t="n">
        <v>52.13786317943639</v>
      </c>
      <c r="AH25" s="29" t="n">
        <v>148.1896307196033</v>
      </c>
      <c r="AI25" s="29" t="n">
        <v>9.091933737409336</v>
      </c>
      <c r="AJ25" s="29" t="n">
        <v>107.877131829051</v>
      </c>
      <c r="AK25" s="29" t="n">
        <v>23.02937220796743</v>
      </c>
      <c r="AL25" s="29" t="n">
        <v>76.51800040329458</v>
      </c>
      <c r="AM25" s="29" t="n">
        <v>691.0435400898867</v>
      </c>
      <c r="AN25" s="29" t="n">
        <v>79.49234661525799</v>
      </c>
      <c r="AO25" s="29" t="n">
        <v>405.3688760564269</v>
      </c>
      <c r="AP25" s="29" t="n">
        <v>183.9609813681917</v>
      </c>
      <c r="AQ25" s="29" t="n">
        <v>35.74048958014292</v>
      </c>
      <c r="AR25" s="29" t="n">
        <v>5.584759159042854</v>
      </c>
      <c r="AS25" s="29" t="n">
        <v>161.150367058009</v>
      </c>
      <c r="AT25" s="29" t="n">
        <v>598.2188607716793</v>
      </c>
      <c r="AU25" s="29" t="n">
        <v>64.52853619834949</v>
      </c>
      <c r="AV25" s="29" t="n">
        <v>129.2391700785867</v>
      </c>
      <c r="AW25" s="29" t="n">
        <v>133.4045546653234</v>
      </c>
      <c r="AX25" s="29" t="n">
        <v>0</v>
      </c>
      <c r="AY25" s="29" t="n">
        <v>114.1914329778867</v>
      </c>
      <c r="AZ25" s="29" t="n">
        <v>21.35264518749695</v>
      </c>
      <c r="BA25" s="29" t="n">
        <v>136.8506560337156</v>
      </c>
      <c r="BB25" s="29">
        <f>SUM(C25:BA25)</f>
        <v/>
      </c>
      <c r="BC25" s="29" t="n">
        <v>0</v>
      </c>
      <c r="BD25" s="29" t="n">
        <v>0</v>
      </c>
      <c r="BE25" s="29" t="n">
        <v>0</v>
      </c>
      <c r="BF25" s="29" t="n">
        <v>0</v>
      </c>
      <c r="BG25" s="29">
        <f>SUM(BC25:BF25)</f>
        <v/>
      </c>
      <c r="BH25" s="29">
        <f>BB25+BG25</f>
        <v/>
      </c>
    </row>
    <row r="26">
      <c r="A26" s="27" t="n">
        <v>13</v>
      </c>
      <c r="B26" s="28" t="inlineStr">
        <is>
          <t>Jornais revistas discos</t>
        </is>
      </c>
      <c r="C26" s="27" t="n">
        <v>1.283724545691882</v>
      </c>
      <c r="D26" s="27" t="n">
        <v>0.396278407018702</v>
      </c>
      <c r="E26" s="27" t="n">
        <v>0.9308101598456326</v>
      </c>
      <c r="F26" s="27" t="n">
        <v>1.412009580832563</v>
      </c>
      <c r="G26" s="27" t="n">
        <v>1.366308629823624</v>
      </c>
      <c r="H26" s="27" t="n">
        <v>60.90386986378453</v>
      </c>
      <c r="I26" s="27" t="n">
        <v>2.44386877532902</v>
      </c>
      <c r="J26" s="27" t="n">
        <v>3.678517972545713</v>
      </c>
      <c r="K26" s="27" t="n">
        <v>7.281086773160121</v>
      </c>
      <c r="L26" s="27" t="n">
        <v>3.329608820254352</v>
      </c>
      <c r="M26" s="27" t="n">
        <v>4.030656229079319</v>
      </c>
      <c r="N26" s="27" t="n">
        <v>32.83529362282963</v>
      </c>
      <c r="O26" s="27" t="n">
        <v>242.9140261485537</v>
      </c>
      <c r="P26" s="27" t="n">
        <v>0.7852387004305889</v>
      </c>
      <c r="Q26" s="27" t="n">
        <v>0.6198960152931977</v>
      </c>
      <c r="R26" s="27" t="n">
        <v>0.5238358568702806</v>
      </c>
      <c r="S26" s="27" t="n">
        <v>0.09068960014654569</v>
      </c>
      <c r="T26" s="27" t="n">
        <v>2.037557502450434</v>
      </c>
      <c r="U26" s="27" t="n">
        <v>1.84360038579282</v>
      </c>
      <c r="V26" s="27" t="n">
        <v>2.823983063518249</v>
      </c>
      <c r="W26" s="27" t="n">
        <v>0.4615386097133155</v>
      </c>
      <c r="X26" s="27" t="n">
        <v>0.8494405949301967</v>
      </c>
      <c r="Y26" s="27" t="n">
        <v>6.125785094029918</v>
      </c>
      <c r="Z26" s="27" t="n">
        <v>3.951361977120758</v>
      </c>
      <c r="AA26" s="27" t="n">
        <v>2.882957122855249</v>
      </c>
      <c r="AB26" s="27" t="n">
        <v>0.1722940656500533</v>
      </c>
      <c r="AC26" s="27" t="n">
        <v>4.348035019784557</v>
      </c>
      <c r="AD26" s="27" t="n">
        <v>3.87635942933385</v>
      </c>
      <c r="AE26" s="27" t="n">
        <v>2.216048887460012</v>
      </c>
      <c r="AF26" s="27" t="n">
        <v>27.73189915442552</v>
      </c>
      <c r="AG26" s="27" t="n">
        <v>4.33920721695984</v>
      </c>
      <c r="AH26" s="27" t="n">
        <v>6.002965594095309</v>
      </c>
      <c r="AI26" s="27" t="n">
        <v>0.6726757031143163</v>
      </c>
      <c r="AJ26" s="27" t="n">
        <v>10.23969690095729</v>
      </c>
      <c r="AK26" s="27" t="n">
        <v>3.9042578806765</v>
      </c>
      <c r="AL26" s="27" t="n">
        <v>7.261336882593331</v>
      </c>
      <c r="AM26" s="27" t="n">
        <v>657.5531967787108</v>
      </c>
      <c r="AN26" s="27" t="n">
        <v>19.14537675266718</v>
      </c>
      <c r="AO26" s="27" t="n">
        <v>699.3801283364818</v>
      </c>
      <c r="AP26" s="27" t="n">
        <v>194.088431911459</v>
      </c>
      <c r="AQ26" s="27" t="n">
        <v>36.25694902425489</v>
      </c>
      <c r="AR26" s="27" t="n">
        <v>0.09082672649692125</v>
      </c>
      <c r="AS26" s="27" t="n">
        <v>7.889133161723948</v>
      </c>
      <c r="AT26" s="27" t="n">
        <v>660.5826504865324</v>
      </c>
      <c r="AU26" s="27" t="n">
        <v>3.100815798087949</v>
      </c>
      <c r="AV26" s="27" t="n">
        <v>3.954427855832813</v>
      </c>
      <c r="AW26" s="27" t="n">
        <v>133.1358623478341</v>
      </c>
      <c r="AX26" s="27" t="n">
        <v>0</v>
      </c>
      <c r="AY26" s="27" t="n">
        <v>15.43020523719507</v>
      </c>
      <c r="AZ26" s="27" t="n">
        <v>7.75857238309989</v>
      </c>
      <c r="BA26" s="27" t="n">
        <v>120.5981962994443</v>
      </c>
      <c r="BB26" s="27">
        <f>SUM(C26:BA26)</f>
        <v/>
      </c>
      <c r="BC26" s="27" t="n">
        <v>0</v>
      </c>
      <c r="BD26" s="27" t="n">
        <v>0</v>
      </c>
      <c r="BE26" s="27" t="n">
        <v>0</v>
      </c>
      <c r="BF26" s="27" t="n">
        <v>0</v>
      </c>
      <c r="BG26" s="27">
        <f>SUM(BC26:BF26)</f>
        <v/>
      </c>
      <c r="BH26" s="27">
        <f>BB26+BG26</f>
        <v/>
      </c>
    </row>
    <row r="27">
      <c r="A27" s="29" t="n">
        <v>14</v>
      </c>
      <c r="B27" s="30" t="inlineStr">
        <is>
          <t>Refino de petróleo e coque</t>
        </is>
      </c>
      <c r="C27" s="29" t="n">
        <v>1360.429127471458</v>
      </c>
      <c r="D27" s="29" t="n">
        <v>765.8236669370848</v>
      </c>
      <c r="E27" s="29" t="n">
        <v>246.6041673416744</v>
      </c>
      <c r="F27" s="29" t="n">
        <v>252.2457689871821</v>
      </c>
      <c r="G27" s="29" t="n">
        <v>261.0824110708728</v>
      </c>
      <c r="H27" s="29" t="n">
        <v>1035.307270970512</v>
      </c>
      <c r="I27" s="29" t="n">
        <v>7.057364470602022</v>
      </c>
      <c r="J27" s="29" t="n">
        <v>67.24091758600218</v>
      </c>
      <c r="K27" s="29" t="n">
        <v>16.09570344967496</v>
      </c>
      <c r="L27" s="29" t="n">
        <v>41.66463048019829</v>
      </c>
      <c r="M27" s="29" t="n">
        <v>54.51063237630611</v>
      </c>
      <c r="N27" s="29" t="n">
        <v>162.1231419688397</v>
      </c>
      <c r="O27" s="29" t="n">
        <v>4.781076930326362</v>
      </c>
      <c r="P27" s="29" t="n">
        <v>17158.5883305688</v>
      </c>
      <c r="Q27" s="29" t="n">
        <v>64.99856542518384</v>
      </c>
      <c r="R27" s="29" t="n">
        <v>2343.021783139843</v>
      </c>
      <c r="S27" s="29" t="n">
        <v>69.11452800201094</v>
      </c>
      <c r="T27" s="29" t="n">
        <v>20.08277015562185</v>
      </c>
      <c r="U27" s="29" t="n">
        <v>44.04997338912699</v>
      </c>
      <c r="V27" s="29" t="n">
        <v>77.20587413054955</v>
      </c>
      <c r="W27" s="29" t="n">
        <v>74.40631957098735</v>
      </c>
      <c r="X27" s="29" t="n">
        <v>87.22971079961322</v>
      </c>
      <c r="Y27" s="29" t="n">
        <v>289.6588743883852</v>
      </c>
      <c r="Z27" s="29" t="n">
        <v>479.9514868409509</v>
      </c>
      <c r="AA27" s="29" t="n">
        <v>574.3692994431613</v>
      </c>
      <c r="AB27" s="29" t="n">
        <v>152.5369759836491</v>
      </c>
      <c r="AC27" s="29" t="n">
        <v>56.59373431892357</v>
      </c>
      <c r="AD27" s="29" t="n">
        <v>116.9199403991145</v>
      </c>
      <c r="AE27" s="29" t="n">
        <v>125.7929030943626</v>
      </c>
      <c r="AF27" s="29" t="n">
        <v>28.86327594070735</v>
      </c>
      <c r="AG27" s="29" t="n">
        <v>122.5473240835121</v>
      </c>
      <c r="AH27" s="29" t="n">
        <v>88.40467620318857</v>
      </c>
      <c r="AI27" s="29" t="n">
        <v>15.14246862476265</v>
      </c>
      <c r="AJ27" s="29" t="n">
        <v>37.33861381331536</v>
      </c>
      <c r="AK27" s="29" t="n">
        <v>579.4217054087947</v>
      </c>
      <c r="AL27" s="29" t="n">
        <v>1183.626296188421</v>
      </c>
      <c r="AM27" s="29" t="n">
        <v>1643.824383425285</v>
      </c>
      <c r="AN27" s="29" t="n">
        <v>8678.644710526287</v>
      </c>
      <c r="AO27" s="29" t="n">
        <v>83.74784260298559</v>
      </c>
      <c r="AP27" s="29" t="n">
        <v>120.9139209425164</v>
      </c>
      <c r="AQ27" s="29" t="n">
        <v>20.22179028126733</v>
      </c>
      <c r="AR27" s="29" t="n">
        <v>24.0492406786261</v>
      </c>
      <c r="AS27" s="29" t="n">
        <v>462.7770010966414</v>
      </c>
      <c r="AT27" s="29" t="n">
        <v>457.1872306978676</v>
      </c>
      <c r="AU27" s="29" t="n">
        <v>16.4216526700654</v>
      </c>
      <c r="AV27" s="29" t="n">
        <v>74.86520758996322</v>
      </c>
      <c r="AW27" s="29" t="n">
        <v>210.1907036169137</v>
      </c>
      <c r="AX27" s="29" t="n">
        <v>0</v>
      </c>
      <c r="AY27" s="29" t="n">
        <v>62.07844450512611</v>
      </c>
      <c r="AZ27" s="29" t="n">
        <v>22.01435986850379</v>
      </c>
      <c r="BA27" s="29" t="n">
        <v>449.1052412878994</v>
      </c>
      <c r="BB27" s="29">
        <f>SUM(C27:BA27)</f>
        <v/>
      </c>
      <c r="BC27" s="29" t="n">
        <v>0</v>
      </c>
      <c r="BD27" s="29" t="n">
        <v>0</v>
      </c>
      <c r="BE27" s="29" t="n">
        <v>0</v>
      </c>
      <c r="BF27" s="29" t="n">
        <v>0</v>
      </c>
      <c r="BG27" s="29">
        <f>SUM(BC27:BF27)</f>
        <v/>
      </c>
      <c r="BH27" s="29">
        <f>BB27+BG27</f>
        <v/>
      </c>
    </row>
    <row r="28">
      <c r="A28" s="27" t="n">
        <v>15</v>
      </c>
      <c r="B28" s="28" t="inlineStr">
        <is>
          <t>Álcool</t>
        </is>
      </c>
      <c r="C28" s="27" t="n">
        <v>16.2602160900155</v>
      </c>
      <c r="D28" s="27" t="n">
        <v>14.64997834189657</v>
      </c>
      <c r="E28" s="27" t="n">
        <v>49.14631330081841</v>
      </c>
      <c r="F28" s="27" t="n">
        <v>0.3503003104342658</v>
      </c>
      <c r="G28" s="27" t="n">
        <v>0.8438100022140178</v>
      </c>
      <c r="H28" s="27" t="n">
        <v>101.9950365435039</v>
      </c>
      <c r="I28" s="27" t="n">
        <v>0.02156575277291716</v>
      </c>
      <c r="J28" s="27" t="n">
        <v>0.2428303554788678</v>
      </c>
      <c r="K28" s="27" t="n">
        <v>0.0653584438361397</v>
      </c>
      <c r="L28" s="27" t="n">
        <v>0.05867947473582284</v>
      </c>
      <c r="M28" s="27" t="n">
        <v>0.1672297281145349</v>
      </c>
      <c r="N28" s="27" t="n">
        <v>0.5601241899920368</v>
      </c>
      <c r="O28" s="27" t="n">
        <v>0.09087629890950688</v>
      </c>
      <c r="P28" s="27" t="n">
        <v>379.9375802471798</v>
      </c>
      <c r="Q28" s="27" t="n">
        <v>33.00297788903594</v>
      </c>
      <c r="R28" s="27" t="n">
        <v>46.66325560745932</v>
      </c>
      <c r="S28" s="27" t="n">
        <v>0.2410886614031447</v>
      </c>
      <c r="T28" s="27" t="n">
        <v>73.4403081761611</v>
      </c>
      <c r="U28" s="27" t="n">
        <v>17.45247121868718</v>
      </c>
      <c r="V28" s="27" t="n">
        <v>115.9791450876748</v>
      </c>
      <c r="W28" s="27" t="n">
        <v>21.0563665237765</v>
      </c>
      <c r="X28" s="27" t="n">
        <v>6.049795540392516</v>
      </c>
      <c r="Y28" s="27" t="n">
        <v>0.304542360100442</v>
      </c>
      <c r="Z28" s="27" t="n">
        <v>0.551292492336495</v>
      </c>
      <c r="AA28" s="27" t="n">
        <v>1.581920367161387</v>
      </c>
      <c r="AB28" s="27" t="n">
        <v>0.5527617045505717</v>
      </c>
      <c r="AC28" s="27" t="n">
        <v>4.331612353345102</v>
      </c>
      <c r="AD28" s="27" t="n">
        <v>2.298992275394407</v>
      </c>
      <c r="AE28" s="27" t="n">
        <v>0.5199848616892496</v>
      </c>
      <c r="AF28" s="27" t="n">
        <v>0.07218115717715379</v>
      </c>
      <c r="AG28" s="27" t="n">
        <v>1.548469215092373</v>
      </c>
      <c r="AH28" s="27" t="n">
        <v>0.4424689469289984</v>
      </c>
      <c r="AI28" s="27" t="n">
        <v>0.07895908909766446</v>
      </c>
      <c r="AJ28" s="27" t="n">
        <v>0.4317903597851208</v>
      </c>
      <c r="AK28" s="27" t="n">
        <v>6.741525662446231</v>
      </c>
      <c r="AL28" s="27" t="n">
        <v>43.53738680293802</v>
      </c>
      <c r="AM28" s="27" t="n">
        <v>28.74404329800207</v>
      </c>
      <c r="AN28" s="27" t="n">
        <v>73.14201721894126</v>
      </c>
      <c r="AO28" s="27" t="n">
        <v>0.7919303555029505</v>
      </c>
      <c r="AP28" s="27" t="n">
        <v>0.3415520151872902</v>
      </c>
      <c r="AQ28" s="27" t="n">
        <v>0.08940564454768325</v>
      </c>
      <c r="AR28" s="27" t="n">
        <v>3.754430175342053</v>
      </c>
      <c r="AS28" s="27" t="n">
        <v>4.795569677662191</v>
      </c>
      <c r="AT28" s="27" t="n">
        <v>16.7094592450966</v>
      </c>
      <c r="AU28" s="27" t="n">
        <v>0.3198572992734751</v>
      </c>
      <c r="AV28" s="27" t="n">
        <v>5.890714271999965</v>
      </c>
      <c r="AW28" s="27" t="n">
        <v>8.502487590623325</v>
      </c>
      <c r="AX28" s="27" t="n">
        <v>0</v>
      </c>
      <c r="AY28" s="27" t="n">
        <v>5.781127262799524</v>
      </c>
      <c r="AZ28" s="27" t="n">
        <v>2.9961490085938</v>
      </c>
      <c r="BA28" s="27" t="n">
        <v>55.92016993425065</v>
      </c>
      <c r="BB28" s="27">
        <f>SUM(C28:BA28)</f>
        <v/>
      </c>
      <c r="BC28" s="27" t="n">
        <v>0</v>
      </c>
      <c r="BD28" s="27" t="n">
        <v>0</v>
      </c>
      <c r="BE28" s="27" t="n">
        <v>0</v>
      </c>
      <c r="BF28" s="27" t="n">
        <v>0</v>
      </c>
      <c r="BG28" s="27">
        <f>SUM(BC28:BF28)</f>
        <v/>
      </c>
      <c r="BH28" s="27">
        <f>BB28+BG28</f>
        <v/>
      </c>
    </row>
    <row r="29">
      <c r="A29" s="29" t="n">
        <v>16</v>
      </c>
      <c r="B29" s="30" t="inlineStr">
        <is>
          <t>Produtos  químicos</t>
        </is>
      </c>
      <c r="C29" s="29" t="n">
        <v>5398.873739984594</v>
      </c>
      <c r="D29" s="29" t="n">
        <v>742.4653031545009</v>
      </c>
      <c r="E29" s="29" t="n">
        <v>465.0066600455872</v>
      </c>
      <c r="F29" s="29" t="n">
        <v>46.6356549157569</v>
      </c>
      <c r="G29" s="29" t="n">
        <v>85.17306963042185</v>
      </c>
      <c r="H29" s="29" t="n">
        <v>379.2951903966864</v>
      </c>
      <c r="I29" s="29" t="n">
        <v>-0.1303783002112075</v>
      </c>
      <c r="J29" s="29" t="n">
        <v>421.9505366074538</v>
      </c>
      <c r="K29" s="29" t="n">
        <v>38.80822934576142</v>
      </c>
      <c r="L29" s="29" t="n">
        <v>238.9695265661033</v>
      </c>
      <c r="M29" s="29" t="n">
        <v>8.878889746350531</v>
      </c>
      <c r="N29" s="29" t="n">
        <v>764.352128248419</v>
      </c>
      <c r="O29" s="29" t="n">
        <v>6.365569646393736</v>
      </c>
      <c r="P29" s="29" t="n">
        <v>329.525812752954</v>
      </c>
      <c r="Q29" s="29" t="n">
        <v>83.99925974407762</v>
      </c>
      <c r="R29" s="29" t="n">
        <v>6580.373248027942</v>
      </c>
      <c r="S29" s="29" t="n">
        <v>3471.534992044537</v>
      </c>
      <c r="T29" s="29" t="n">
        <v>317.0775321166053</v>
      </c>
      <c r="U29" s="29" t="n">
        <v>917.2722142005074</v>
      </c>
      <c r="V29" s="29" t="n">
        <v>919.0511752647757</v>
      </c>
      <c r="W29" s="29" t="n">
        <v>775.1221867226138</v>
      </c>
      <c r="X29" s="29" t="n">
        <v>1114.857502236616</v>
      </c>
      <c r="Y29" s="29" t="n">
        <v>654.2738118268672</v>
      </c>
      <c r="Z29" s="29" t="n">
        <v>377.5460689325618</v>
      </c>
      <c r="AA29" s="29" t="n">
        <v>412.9110183123026</v>
      </c>
      <c r="AB29" s="29" t="n">
        <v>263.6022988946552</v>
      </c>
      <c r="AC29" s="29" t="n">
        <v>166.1409814507824</v>
      </c>
      <c r="AD29" s="29" t="n">
        <v>53.57021059121575</v>
      </c>
      <c r="AE29" s="29" t="n">
        <v>81.09355896224621</v>
      </c>
      <c r="AF29" s="29" t="n">
        <v>27.36500644537589</v>
      </c>
      <c r="AG29" s="29" t="n">
        <v>8.245112382923232</v>
      </c>
      <c r="AH29" s="29" t="n">
        <v>15.70876765218439</v>
      </c>
      <c r="AI29" s="29" t="n">
        <v>32.71685853760032</v>
      </c>
      <c r="AJ29" s="29" t="n">
        <v>77.01709703890654</v>
      </c>
      <c r="AK29" s="29" t="n">
        <v>280.097406884016</v>
      </c>
      <c r="AL29" s="29" t="n">
        <v>16.63946879100974</v>
      </c>
      <c r="AM29" s="29" t="n">
        <v>99.57400789977713</v>
      </c>
      <c r="AN29" s="29" t="n">
        <v>-3.782146576498147</v>
      </c>
      <c r="AO29" s="29" t="n">
        <v>-5.135069708345705</v>
      </c>
      <c r="AP29" s="29" t="n">
        <v>2.807961572687517</v>
      </c>
      <c r="AQ29" s="29" t="n">
        <v>0.9393563278112147</v>
      </c>
      <c r="AR29" s="29" t="n">
        <v>0.1214326843498617</v>
      </c>
      <c r="AS29" s="29" t="n">
        <v>7.030862582125871</v>
      </c>
      <c r="AT29" s="29" t="n">
        <v>36.08594219291236</v>
      </c>
      <c r="AU29" s="29" t="n">
        <v>2.482199824763374</v>
      </c>
      <c r="AV29" s="29" t="n">
        <v>234.0871367944337</v>
      </c>
      <c r="AW29" s="29" t="n">
        <v>87.68664988754249</v>
      </c>
      <c r="AX29" s="29" t="n">
        <v>0</v>
      </c>
      <c r="AY29" s="29" t="n">
        <v>18.08103544781509</v>
      </c>
      <c r="AZ29" s="29" t="n">
        <v>60.21968002976033</v>
      </c>
      <c r="BA29" s="29" t="n">
        <v>5.678110399708738</v>
      </c>
      <c r="BB29" s="29">
        <f>SUM(C29:BA29)</f>
        <v/>
      </c>
      <c r="BC29" s="29" t="n">
        <v>0</v>
      </c>
      <c r="BD29" s="29" t="n">
        <v>0</v>
      </c>
      <c r="BE29" s="29" t="n">
        <v>0</v>
      </c>
      <c r="BF29" s="29" t="n">
        <v>0</v>
      </c>
      <c r="BG29" s="29">
        <f>SUM(BC29:BF29)</f>
        <v/>
      </c>
      <c r="BH29" s="29">
        <f>BB29+BG29</f>
        <v/>
      </c>
    </row>
    <row r="30">
      <c r="A30" s="27" t="n">
        <v>17</v>
      </c>
      <c r="B30" s="28" t="inlineStr">
        <is>
          <t>Fabricação de resina e elastômeros</t>
        </is>
      </c>
      <c r="C30" s="27" t="n">
        <v>89.59652948284126</v>
      </c>
      <c r="D30" s="27" t="n">
        <v>9.299906522406998</v>
      </c>
      <c r="E30" s="27" t="n">
        <v>159.9302103725653</v>
      </c>
      <c r="F30" s="27" t="n">
        <v>1.563521766567464</v>
      </c>
      <c r="G30" s="27" t="n">
        <v>2.808600340073071</v>
      </c>
      <c r="H30" s="27" t="n">
        <v>13.74148388860077</v>
      </c>
      <c r="I30" s="27" t="n">
        <v>8.343845712865477</v>
      </c>
      <c r="J30" s="27" t="n">
        <v>1023.245278415269</v>
      </c>
      <c r="K30" s="27" t="n">
        <v>8.515544320511637</v>
      </c>
      <c r="L30" s="27" t="n">
        <v>289.5886756157432</v>
      </c>
      <c r="M30" s="27" t="n">
        <v>145.8686579417994</v>
      </c>
      <c r="N30" s="27" t="n">
        <v>294.1138860014301</v>
      </c>
      <c r="O30" s="27" t="n">
        <v>11.87821930795899</v>
      </c>
      <c r="P30" s="27" t="n">
        <v>0.4161968776789715</v>
      </c>
      <c r="Q30" s="27" t="n">
        <v>1.088423052889474</v>
      </c>
      <c r="R30" s="27" t="n">
        <v>95.45522404651686</v>
      </c>
      <c r="S30" s="27" t="n">
        <v>538.0930840662736</v>
      </c>
      <c r="T30" s="27" t="n">
        <v>14.51667503956618</v>
      </c>
      <c r="U30" s="27" t="n">
        <v>29.37069690033425</v>
      </c>
      <c r="V30" s="27" t="n">
        <v>199.5752629694115</v>
      </c>
      <c r="W30" s="27" t="n">
        <v>172.501014755945</v>
      </c>
      <c r="X30" s="27" t="n">
        <v>203.3900390354205</v>
      </c>
      <c r="Y30" s="27" t="n">
        <v>2962.999797187366</v>
      </c>
      <c r="Z30" s="27" t="n">
        <v>303.6330637314384</v>
      </c>
      <c r="AA30" s="27" t="n">
        <v>5.952907387627005</v>
      </c>
      <c r="AB30" s="27" t="n">
        <v>45.17699252813984</v>
      </c>
      <c r="AC30" s="27" t="n">
        <v>176.3087035935277</v>
      </c>
      <c r="AD30" s="27" t="n">
        <v>41.57652348386781</v>
      </c>
      <c r="AE30" s="27" t="n">
        <v>595.8545443917488</v>
      </c>
      <c r="AF30" s="27" t="n">
        <v>135.6705294695347</v>
      </c>
      <c r="AG30" s="27" t="n">
        <v>15.30974808264105</v>
      </c>
      <c r="AH30" s="27" t="n">
        <v>364.4682928757418</v>
      </c>
      <c r="AI30" s="27" t="n">
        <v>50.5223387043081</v>
      </c>
      <c r="AJ30" s="27" t="n">
        <v>230.3090033662716</v>
      </c>
      <c r="AK30" s="27" t="n">
        <v>2.866597589789257</v>
      </c>
      <c r="AL30" s="27" t="n">
        <v>17.21920587920458</v>
      </c>
      <c r="AM30" s="27" t="n">
        <v>7.402075039463138</v>
      </c>
      <c r="AN30" s="27" t="n">
        <v>1.989376374969475</v>
      </c>
      <c r="AO30" s="27" t="n">
        <v>1.909828200357352</v>
      </c>
      <c r="AP30" s="27" t="n">
        <v>0.7626987985495135</v>
      </c>
      <c r="AQ30" s="27" t="n">
        <v>1.347760405216666</v>
      </c>
      <c r="AR30" s="27" t="n">
        <v>0.06897414325344341</v>
      </c>
      <c r="AS30" s="27" t="n">
        <v>0.6987373354063847</v>
      </c>
      <c r="AT30" s="27" t="n">
        <v>8.04038694616626</v>
      </c>
      <c r="AU30" s="27" t="n">
        <v>0.2725912672665372</v>
      </c>
      <c r="AV30" s="27" t="n">
        <v>1.629581666270515</v>
      </c>
      <c r="AW30" s="27" t="n">
        <v>4.507829108148942</v>
      </c>
      <c r="AX30" s="27" t="n">
        <v>0</v>
      </c>
      <c r="AY30" s="27" t="n">
        <v>0.6570699172801875</v>
      </c>
      <c r="AZ30" s="27" t="n">
        <v>1.413979265211498</v>
      </c>
      <c r="BA30" s="27" t="n">
        <v>1.253998849982952</v>
      </c>
      <c r="BB30" s="27">
        <f>SUM(C30:BA30)</f>
        <v/>
      </c>
      <c r="BC30" s="27" t="n">
        <v>0</v>
      </c>
      <c r="BD30" s="27" t="n">
        <v>0</v>
      </c>
      <c r="BE30" s="27" t="n">
        <v>0</v>
      </c>
      <c r="BF30" s="27" t="n">
        <v>0</v>
      </c>
      <c r="BG30" s="27">
        <f>SUM(BC30:BF30)</f>
        <v/>
      </c>
      <c r="BH30" s="27">
        <f>BB30+BG30</f>
        <v/>
      </c>
    </row>
    <row r="31">
      <c r="A31" s="29" t="n">
        <v>18</v>
      </c>
      <c r="B31" s="30" t="inlineStr">
        <is>
          <t>Produtos farmacêuticos</t>
        </is>
      </c>
      <c r="C31" s="29" t="n">
        <v>203.8329994882618</v>
      </c>
      <c r="D31" s="29" t="n">
        <v>1218.264860096373</v>
      </c>
      <c r="E31" s="29" t="n">
        <v>76.06973046051324</v>
      </c>
      <c r="F31" s="29" t="n">
        <v>0.2303565042708366</v>
      </c>
      <c r="G31" s="29" t="n">
        <v>0.3871882335551842</v>
      </c>
      <c r="H31" s="29" t="n">
        <v>45.83554815708785</v>
      </c>
      <c r="I31" s="29" t="n">
        <v>-0.1204750216371119</v>
      </c>
      <c r="J31" s="29" t="n">
        <v>9.973570211120375</v>
      </c>
      <c r="K31" s="29" t="n">
        <v>-0.5258417818228142</v>
      </c>
      <c r="L31" s="29" t="n">
        <v>2.015062421524129</v>
      </c>
      <c r="M31" s="29" t="n">
        <v>1.169313180984543</v>
      </c>
      <c r="N31" s="29" t="n">
        <v>2.430421698986999</v>
      </c>
      <c r="O31" s="29" t="n">
        <v>0.1841061731459572</v>
      </c>
      <c r="P31" s="29" t="n">
        <v>0.1255919885900263</v>
      </c>
      <c r="Q31" s="29" t="n">
        <v>0.09862674159091891</v>
      </c>
      <c r="R31" s="29" t="n">
        <v>7.435986850271819</v>
      </c>
      <c r="S31" s="29" t="n">
        <v>16.7028800815225</v>
      </c>
      <c r="T31" s="29" t="n">
        <v>1201.703852923106</v>
      </c>
      <c r="U31" s="29" t="n">
        <v>90.46599338872922</v>
      </c>
      <c r="V31" s="29" t="n">
        <v>10.5505604707657</v>
      </c>
      <c r="W31" s="29" t="n">
        <v>3.532485875092171</v>
      </c>
      <c r="X31" s="29" t="n">
        <v>6.5066777677381</v>
      </c>
      <c r="Y31" s="29" t="n">
        <v>27.78718163214818</v>
      </c>
      <c r="Z31" s="29" t="n">
        <v>3.642933761059172</v>
      </c>
      <c r="AA31" s="29" t="n">
        <v>-0.03716660162429301</v>
      </c>
      <c r="AB31" s="29" t="n">
        <v>0.4457288646364611</v>
      </c>
      <c r="AC31" s="29" t="n">
        <v>2.265362483919242</v>
      </c>
      <c r="AD31" s="29" t="n">
        <v>0.1598288428778428</v>
      </c>
      <c r="AE31" s="29" t="n">
        <v>5.071655849495313</v>
      </c>
      <c r="AF31" s="29" t="n">
        <v>0.6057758900695508</v>
      </c>
      <c r="AG31" s="29" t="n">
        <v>1.938981376940474</v>
      </c>
      <c r="AH31" s="29" t="n">
        <v>3.965852787994463</v>
      </c>
      <c r="AI31" s="29" t="n">
        <v>0.5806818495726797</v>
      </c>
      <c r="AJ31" s="29" t="n">
        <v>2.155329338387928</v>
      </c>
      <c r="AK31" s="29" t="n">
        <v>1.291540690396504</v>
      </c>
      <c r="AL31" s="29" t="n">
        <v>22.47509409281734</v>
      </c>
      <c r="AM31" s="29" t="n">
        <v>66.47069652361388</v>
      </c>
      <c r="AN31" s="29" t="n">
        <v>-3.280756707034961</v>
      </c>
      <c r="AO31" s="29" t="n">
        <v>-2.249792901688064</v>
      </c>
      <c r="AP31" s="29" t="n">
        <v>3.164344315870223</v>
      </c>
      <c r="AQ31" s="29" t="n">
        <v>0.8988656750798915</v>
      </c>
      <c r="AR31" s="29" t="n">
        <v>0.02662251176246446</v>
      </c>
      <c r="AS31" s="29" t="n">
        <v>1.069402157032607</v>
      </c>
      <c r="AT31" s="29" t="n">
        <v>20.58096701242994</v>
      </c>
      <c r="AU31" s="29" t="n">
        <v>55.92108747280056</v>
      </c>
      <c r="AV31" s="29" t="n">
        <v>2656.982984974481</v>
      </c>
      <c r="AW31" s="29" t="n">
        <v>210.4600064795687</v>
      </c>
      <c r="AX31" s="29" t="n">
        <v>0</v>
      </c>
      <c r="AY31" s="29" t="n">
        <v>127.8244160590301</v>
      </c>
      <c r="AZ31" s="29" t="n">
        <v>854.9654529868127</v>
      </c>
      <c r="BA31" s="29" t="n">
        <v>124.2138839963726</v>
      </c>
      <c r="BB31" s="29">
        <f>SUM(C31:BA31)</f>
        <v/>
      </c>
      <c r="BC31" s="29" t="n">
        <v>0</v>
      </c>
      <c r="BD31" s="29" t="n">
        <v>0</v>
      </c>
      <c r="BE31" s="29" t="n">
        <v>0</v>
      </c>
      <c r="BF31" s="29" t="n">
        <v>0</v>
      </c>
      <c r="BG31" s="29">
        <f>SUM(BC31:BF31)</f>
        <v/>
      </c>
      <c r="BH31" s="29">
        <f>BB31+BG31</f>
        <v/>
      </c>
    </row>
    <row r="32">
      <c r="A32" s="27" t="n">
        <v>19</v>
      </c>
      <c r="B32" s="28" t="inlineStr">
        <is>
          <t>Defensivos agrícolas</t>
        </is>
      </c>
      <c r="C32" s="27" t="n">
        <v>4079.066595578854</v>
      </c>
      <c r="D32" s="27" t="n">
        <v>397.5505066408777</v>
      </c>
      <c r="E32" s="27" t="n">
        <v>17.9851917176916</v>
      </c>
      <c r="F32" s="27" t="n">
        <v>2.065520347178209</v>
      </c>
      <c r="G32" s="27" t="n">
        <v>14.63479960915048</v>
      </c>
      <c r="H32" s="27" t="n">
        <v>24.29548462549882</v>
      </c>
      <c r="I32" s="27" t="n">
        <v>0.1804857808095662</v>
      </c>
      <c r="J32" s="27" t="n">
        <v>60.99560919859097</v>
      </c>
      <c r="K32" s="27" t="n">
        <v>0.3770990355339414</v>
      </c>
      <c r="L32" s="27" t="n">
        <v>18.98651027408732</v>
      </c>
      <c r="M32" s="27" t="n">
        <v>9.207858472037422</v>
      </c>
      <c r="N32" s="27" t="n">
        <v>24.54781985619278</v>
      </c>
      <c r="O32" s="27" t="n">
        <v>2.114398944219461</v>
      </c>
      <c r="P32" s="27" t="n">
        <v>1.315479203972725</v>
      </c>
      <c r="Q32" s="27" t="n">
        <v>2.830123399258637</v>
      </c>
      <c r="R32" s="27" t="n">
        <v>56.96286570892804</v>
      </c>
      <c r="S32" s="27" t="n">
        <v>129.1485631455946</v>
      </c>
      <c r="T32" s="27" t="n">
        <v>12.96953527503538</v>
      </c>
      <c r="U32" s="27" t="n">
        <v>911.1533675674716</v>
      </c>
      <c r="V32" s="27" t="n">
        <v>176.4648080684661</v>
      </c>
      <c r="W32" s="27" t="n">
        <v>43.56427082488162</v>
      </c>
      <c r="X32" s="27" t="n">
        <v>48.94152146265319</v>
      </c>
      <c r="Y32" s="27" t="n">
        <v>164.474610507233</v>
      </c>
      <c r="Z32" s="27" t="n">
        <v>15.93440752385851</v>
      </c>
      <c r="AA32" s="27" t="n">
        <v>6.413651076636733</v>
      </c>
      <c r="AB32" s="27" t="n">
        <v>4.076527049151857</v>
      </c>
      <c r="AC32" s="27" t="n">
        <v>20.26457688325942</v>
      </c>
      <c r="AD32" s="27" t="n">
        <v>0.8727721096354967</v>
      </c>
      <c r="AE32" s="27" t="n">
        <v>29.71328059899451</v>
      </c>
      <c r="AF32" s="27" t="n">
        <v>6.030098019081899</v>
      </c>
      <c r="AG32" s="27" t="n">
        <v>1.328830724739575</v>
      </c>
      <c r="AH32" s="27" t="n">
        <v>18.17076499311485</v>
      </c>
      <c r="AI32" s="27" t="n">
        <v>2.579231969586289</v>
      </c>
      <c r="AJ32" s="27" t="n">
        <v>13.35396996478513</v>
      </c>
      <c r="AK32" s="27" t="n">
        <v>2.335531374636135</v>
      </c>
      <c r="AL32" s="27" t="n">
        <v>4.043804921058085</v>
      </c>
      <c r="AM32" s="27" t="n">
        <v>2.138091376976214</v>
      </c>
      <c r="AN32" s="27" t="n">
        <v>-5.453282442054373</v>
      </c>
      <c r="AO32" s="27" t="n">
        <v>-4.555859283268892</v>
      </c>
      <c r="AP32" s="27" t="n">
        <v>1.799093462479741</v>
      </c>
      <c r="AQ32" s="27" t="n">
        <v>0.2742175775808051</v>
      </c>
      <c r="AR32" s="27" t="n">
        <v>0.007692240761445733</v>
      </c>
      <c r="AS32" s="27" t="n">
        <v>1.678291125327014</v>
      </c>
      <c r="AT32" s="27" t="n">
        <v>30.23185500331754</v>
      </c>
      <c r="AU32" s="27" t="n">
        <v>0.4760949913992106</v>
      </c>
      <c r="AV32" s="27" t="n">
        <v>1.553884057660127</v>
      </c>
      <c r="AW32" s="27" t="n">
        <v>211.5789839919794</v>
      </c>
      <c r="AX32" s="27" t="n">
        <v>0</v>
      </c>
      <c r="AY32" s="27" t="n">
        <v>2.146455705772715</v>
      </c>
      <c r="AZ32" s="27" t="n">
        <v>5.784726733462096</v>
      </c>
      <c r="BA32" s="27" t="n">
        <v>0.9426430690653944</v>
      </c>
      <c r="BB32" s="27">
        <f>SUM(C32:BA32)</f>
        <v/>
      </c>
      <c r="BC32" s="27" t="n">
        <v>0</v>
      </c>
      <c r="BD32" s="27" t="n">
        <v>0</v>
      </c>
      <c r="BE32" s="27" t="n">
        <v>0</v>
      </c>
      <c r="BF32" s="27" t="n">
        <v>0</v>
      </c>
      <c r="BG32" s="27">
        <f>SUM(BC32:BF32)</f>
        <v/>
      </c>
      <c r="BH32" s="27">
        <f>BB32+BG32</f>
        <v/>
      </c>
    </row>
    <row r="33">
      <c r="A33" s="29" t="n">
        <v>20</v>
      </c>
      <c r="B33" s="30" t="inlineStr">
        <is>
          <t>Perfumaria higiene e limpeza</t>
        </is>
      </c>
      <c r="C33" s="29" t="n">
        <v>124.9068219593355</v>
      </c>
      <c r="D33" s="29" t="n">
        <v>34.16932647755131</v>
      </c>
      <c r="E33" s="29" t="n">
        <v>26.8216398408027</v>
      </c>
      <c r="F33" s="29" t="n">
        <v>15.32307590010944</v>
      </c>
      <c r="G33" s="29" t="n">
        <v>13.97887890028781</v>
      </c>
      <c r="H33" s="29" t="n">
        <v>56.03637035875205</v>
      </c>
      <c r="I33" s="29" t="n">
        <v>-0.9176341212781983</v>
      </c>
      <c r="J33" s="29" t="n">
        <v>18.96516900626401</v>
      </c>
      <c r="K33" s="29" t="n">
        <v>12.7651706980727</v>
      </c>
      <c r="L33" s="29" t="n">
        <v>-4.440416380213001</v>
      </c>
      <c r="M33" s="29" t="n">
        <v>9.384712600072065</v>
      </c>
      <c r="N33" s="29" t="n">
        <v>10.01410213628971</v>
      </c>
      <c r="O33" s="29" t="n">
        <v>1.313735241973595</v>
      </c>
      <c r="P33" s="29" t="n">
        <v>10.97729450872359</v>
      </c>
      <c r="Q33" s="29" t="n">
        <v>0.6514638833228751</v>
      </c>
      <c r="R33" s="29" t="n">
        <v>58.59749926854709</v>
      </c>
      <c r="S33" s="29" t="n">
        <v>-1.360279553912204</v>
      </c>
      <c r="T33" s="29" t="n">
        <v>13.44330041143024</v>
      </c>
      <c r="U33" s="29" t="n">
        <v>47.52163227177761</v>
      </c>
      <c r="V33" s="29" t="n">
        <v>494.0961989181072</v>
      </c>
      <c r="W33" s="29" t="n">
        <v>8.994683540624633</v>
      </c>
      <c r="X33" s="29" t="n">
        <v>21.63595992554189</v>
      </c>
      <c r="Y33" s="29" t="n">
        <v>7.156565622689675</v>
      </c>
      <c r="Z33" s="29" t="n">
        <v>59.49971246965256</v>
      </c>
      <c r="AA33" s="29" t="n">
        <v>7.854219073150779</v>
      </c>
      <c r="AB33" s="29" t="n">
        <v>17.84814085071156</v>
      </c>
      <c r="AC33" s="29" t="n">
        <v>151.656038733427</v>
      </c>
      <c r="AD33" s="29" t="n">
        <v>-4.136031288944401</v>
      </c>
      <c r="AE33" s="29" t="n">
        <v>0.9587953246773739</v>
      </c>
      <c r="AF33" s="29" t="n">
        <v>33.34019910657447</v>
      </c>
      <c r="AG33" s="29" t="n">
        <v>6.983439351160467</v>
      </c>
      <c r="AH33" s="29" t="n">
        <v>14.48317323257273</v>
      </c>
      <c r="AI33" s="29" t="n">
        <v>0.5770796720956105</v>
      </c>
      <c r="AJ33" s="29" t="n">
        <v>1.39121253997454</v>
      </c>
      <c r="AK33" s="29" t="n">
        <v>22.63452250872164</v>
      </c>
      <c r="AL33" s="29" t="n">
        <v>94.18402755603584</v>
      </c>
      <c r="AM33" s="29" t="n">
        <v>574.7254358047159</v>
      </c>
      <c r="AN33" s="29" t="n">
        <v>111.3285279517913</v>
      </c>
      <c r="AO33" s="29" t="n">
        <v>52.23648154826026</v>
      </c>
      <c r="AP33" s="29" t="n">
        <v>10.45498477755994</v>
      </c>
      <c r="AQ33" s="29" t="n">
        <v>2.292516288260058</v>
      </c>
      <c r="AR33" s="29" t="n">
        <v>0.01223700337301322</v>
      </c>
      <c r="AS33" s="29" t="n">
        <v>45.33949070582575</v>
      </c>
      <c r="AT33" s="29" t="n">
        <v>246.9614056312153</v>
      </c>
      <c r="AU33" s="29" t="n">
        <v>50.5466979498777</v>
      </c>
      <c r="AV33" s="29" t="n">
        <v>225.4617133386134</v>
      </c>
      <c r="AW33" s="29" t="n">
        <v>920.5170777016731</v>
      </c>
      <c r="AX33" s="29" t="n">
        <v>0</v>
      </c>
      <c r="AY33" s="29" t="n">
        <v>104.9913973413751</v>
      </c>
      <c r="AZ33" s="29" t="n">
        <v>42.31245826776509</v>
      </c>
      <c r="BA33" s="29" t="n">
        <v>64.76162243385377</v>
      </c>
      <c r="BB33" s="29">
        <f>SUM(C33:BA33)</f>
        <v/>
      </c>
      <c r="BC33" s="29" t="n">
        <v>0</v>
      </c>
      <c r="BD33" s="29" t="n">
        <v>0</v>
      </c>
      <c r="BE33" s="29" t="n">
        <v>0</v>
      </c>
      <c r="BF33" s="29" t="n">
        <v>0</v>
      </c>
      <c r="BG33" s="29">
        <f>SUM(BC33:BF33)</f>
        <v/>
      </c>
      <c r="BH33" s="29">
        <f>BB33+BG33</f>
        <v/>
      </c>
    </row>
    <row r="34">
      <c r="A34" s="27" t="n">
        <v>21</v>
      </c>
      <c r="B34" s="28" t="inlineStr">
        <is>
          <t>Tintas vernizes esmaltes e lacas</t>
        </is>
      </c>
      <c r="C34" s="27" t="n">
        <v>2.731139295402065</v>
      </c>
      <c r="D34" s="27" t="n">
        <v>5.807769786317523</v>
      </c>
      <c r="E34" s="27" t="n">
        <v>2.970539699324733</v>
      </c>
      <c r="F34" s="27" t="n">
        <v>0.3946752829095894</v>
      </c>
      <c r="G34" s="27" t="n">
        <v>6.684504076507735</v>
      </c>
      <c r="H34" s="27" t="n">
        <v>13.72184440881435</v>
      </c>
      <c r="I34" s="27" t="n">
        <v>-0.02390079427415522</v>
      </c>
      <c r="J34" s="27" t="n">
        <v>24.96984400562402</v>
      </c>
      <c r="K34" s="27" t="n">
        <v>9.381232110275709</v>
      </c>
      <c r="L34" s="27" t="n">
        <v>24.10751160992164</v>
      </c>
      <c r="M34" s="27" t="n">
        <v>65.36989458439706</v>
      </c>
      <c r="N34" s="27" t="n">
        <v>196.736582470872</v>
      </c>
      <c r="O34" s="27" t="n">
        <v>168.5274853399623</v>
      </c>
      <c r="P34" s="27" t="n">
        <v>0.6174847971040788</v>
      </c>
      <c r="Q34" s="27" t="n">
        <v>0.4007254785124607</v>
      </c>
      <c r="R34" s="27" t="n">
        <v>6.115472565473002</v>
      </c>
      <c r="S34" s="27" t="n">
        <v>16.49663692527889</v>
      </c>
      <c r="T34" s="27" t="n">
        <v>2.629340363875823</v>
      </c>
      <c r="U34" s="27" t="n">
        <v>3.557284433601742</v>
      </c>
      <c r="V34" s="27" t="n">
        <v>8.929314943034365</v>
      </c>
      <c r="W34" s="27" t="n">
        <v>22.62346473273763</v>
      </c>
      <c r="X34" s="27" t="n">
        <v>13.28250890242909</v>
      </c>
      <c r="Y34" s="27" t="n">
        <v>274.2850626509377</v>
      </c>
      <c r="Z34" s="27" t="n">
        <v>133.8701779632869</v>
      </c>
      <c r="AA34" s="27" t="n">
        <v>1.187848840381996</v>
      </c>
      <c r="AB34" s="27" t="n">
        <v>0.4351147407547938</v>
      </c>
      <c r="AC34" s="27" t="n">
        <v>85.98537938580809</v>
      </c>
      <c r="AD34" s="27" t="n">
        <v>91.46291933922485</v>
      </c>
      <c r="AE34" s="27" t="n">
        <v>9.452119799648601</v>
      </c>
      <c r="AF34" s="27" t="n">
        <v>59.15976861892815</v>
      </c>
      <c r="AG34" s="27" t="n">
        <v>84.95083864498137</v>
      </c>
      <c r="AH34" s="27" t="n">
        <v>52.23493055877981</v>
      </c>
      <c r="AI34" s="27" t="n">
        <v>18.41940232235215</v>
      </c>
      <c r="AJ34" s="27" t="n">
        <v>41.76536405039079</v>
      </c>
      <c r="AK34" s="27" t="n">
        <v>24.97753132390396</v>
      </c>
      <c r="AL34" s="27" t="n">
        <v>895.0339922406769</v>
      </c>
      <c r="AM34" s="27" t="n">
        <v>155.7208653923988</v>
      </c>
      <c r="AN34" s="27" t="n">
        <v>36.85931895765867</v>
      </c>
      <c r="AO34" s="27" t="n">
        <v>60.59893372004724</v>
      </c>
      <c r="AP34" s="27" t="n">
        <v>0.8080705664524769</v>
      </c>
      <c r="AQ34" s="27" t="n">
        <v>110.6885531096725</v>
      </c>
      <c r="AR34" s="27" t="n">
        <v>0.01033219972810751</v>
      </c>
      <c r="AS34" s="27" t="n">
        <v>1.091426486157576</v>
      </c>
      <c r="AT34" s="27" t="n">
        <v>4.06528858224902</v>
      </c>
      <c r="AU34" s="27" t="n">
        <v>0.2368936548145125</v>
      </c>
      <c r="AV34" s="27" t="n">
        <v>-0.134698532302367</v>
      </c>
      <c r="AW34" s="27" t="n">
        <v>55.25846571452823</v>
      </c>
      <c r="AX34" s="27" t="n">
        <v>0</v>
      </c>
      <c r="AY34" s="27" t="n">
        <v>7.607399819805312</v>
      </c>
      <c r="AZ34" s="27" t="n">
        <v>2.45737378722382</v>
      </c>
      <c r="BA34" s="27" t="n">
        <v>27.39993260718661</v>
      </c>
      <c r="BB34" s="27">
        <f>SUM(C34:BA34)</f>
        <v/>
      </c>
      <c r="BC34" s="27" t="n">
        <v>0</v>
      </c>
      <c r="BD34" s="27" t="n">
        <v>0</v>
      </c>
      <c r="BE34" s="27" t="n">
        <v>0</v>
      </c>
      <c r="BF34" s="27" t="n">
        <v>0</v>
      </c>
      <c r="BG34" s="27">
        <f>SUM(BC34:BF34)</f>
        <v/>
      </c>
      <c r="BH34" s="27">
        <f>BB34+BG34</f>
        <v/>
      </c>
    </row>
    <row r="35">
      <c r="A35" s="29" t="n">
        <v>22</v>
      </c>
      <c r="B35" s="30" t="inlineStr">
        <is>
          <t>Produtos e preparados químicos diversos</t>
        </is>
      </c>
      <c r="C35" s="29" t="n">
        <v>60.17425656307444</v>
      </c>
      <c r="D35" s="29" t="n">
        <v>12.32644142017708</v>
      </c>
      <c r="E35" s="29" t="n">
        <v>42.85673354989382</v>
      </c>
      <c r="F35" s="29" t="n">
        <v>30.45569590344576</v>
      </c>
      <c r="G35" s="29" t="n">
        <v>378.4662625490996</v>
      </c>
      <c r="H35" s="29" t="n">
        <v>505.5631577127802</v>
      </c>
      <c r="I35" s="29" t="n">
        <v>2.049166204989314</v>
      </c>
      <c r="J35" s="29" t="n">
        <v>71.8504041125606</v>
      </c>
      <c r="K35" s="29" t="n">
        <v>0.8932703128268583</v>
      </c>
      <c r="L35" s="29" t="n">
        <v>34.13574339466255</v>
      </c>
      <c r="M35" s="29" t="n">
        <v>71.47776792182793</v>
      </c>
      <c r="N35" s="29" t="n">
        <v>98.52084064198971</v>
      </c>
      <c r="O35" s="29" t="n">
        <v>51.47441009032867</v>
      </c>
      <c r="P35" s="29" t="n">
        <v>41.22917004155067</v>
      </c>
      <c r="Q35" s="29" t="n">
        <v>14.52135347969149</v>
      </c>
      <c r="R35" s="29" t="n">
        <v>140.1201955851591</v>
      </c>
      <c r="S35" s="29" t="n">
        <v>156.7968257413113</v>
      </c>
      <c r="T35" s="29" t="n">
        <v>107.2825640921812</v>
      </c>
      <c r="U35" s="29" t="n">
        <v>45.28286660453961</v>
      </c>
      <c r="V35" s="29" t="n">
        <v>162.9784414815125</v>
      </c>
      <c r="W35" s="29" t="n">
        <v>103.4479937035388</v>
      </c>
      <c r="X35" s="29" t="n">
        <v>396.1845737481968</v>
      </c>
      <c r="Y35" s="29" t="n">
        <v>284.820946426243</v>
      </c>
      <c r="Z35" s="29" t="n">
        <v>67.65165352978126</v>
      </c>
      <c r="AA35" s="29" t="n">
        <v>89.45147590886678</v>
      </c>
      <c r="AB35" s="29" t="n">
        <v>11.34732661445347</v>
      </c>
      <c r="AC35" s="29" t="n">
        <v>35.1139399373898</v>
      </c>
      <c r="AD35" s="29" t="n">
        <v>58.14147167594041</v>
      </c>
      <c r="AE35" s="29" t="n">
        <v>36.97149180719276</v>
      </c>
      <c r="AF35" s="29" t="n">
        <v>8.588304129286673</v>
      </c>
      <c r="AG35" s="29" t="n">
        <v>13.2388957634399</v>
      </c>
      <c r="AH35" s="29" t="n">
        <v>16.72460181604842</v>
      </c>
      <c r="AI35" s="29" t="n">
        <v>5.053923757668253</v>
      </c>
      <c r="AJ35" s="29" t="n">
        <v>54.91342558558844</v>
      </c>
      <c r="AK35" s="29" t="n">
        <v>34.61602259639805</v>
      </c>
      <c r="AL35" s="29" t="n">
        <v>123.8526333968634</v>
      </c>
      <c r="AM35" s="29" t="n">
        <v>204.3154714073465</v>
      </c>
      <c r="AN35" s="29" t="n">
        <v>5.907679704145418</v>
      </c>
      <c r="AO35" s="29" t="n">
        <v>1.434003727392781</v>
      </c>
      <c r="AP35" s="29" t="n">
        <v>4.44120050572232</v>
      </c>
      <c r="AQ35" s="29" t="n">
        <v>7.886205077564004</v>
      </c>
      <c r="AR35" s="29" t="n">
        <v>0.02140913991236881</v>
      </c>
      <c r="AS35" s="29" t="n">
        <v>0.6905547403180111</v>
      </c>
      <c r="AT35" s="29" t="n">
        <v>18.02726853609081</v>
      </c>
      <c r="AU35" s="29" t="n">
        <v>0.8494721562799955</v>
      </c>
      <c r="AV35" s="29" t="n">
        <v>4.207366714834924</v>
      </c>
      <c r="AW35" s="29" t="n">
        <v>14.64284909908254</v>
      </c>
      <c r="AX35" s="29" t="n">
        <v>0</v>
      </c>
      <c r="AY35" s="29" t="n">
        <v>40.08305847821357</v>
      </c>
      <c r="AZ35" s="29" t="n">
        <v>101.4331099767371</v>
      </c>
      <c r="BA35" s="29" t="n">
        <v>10.79047458738377</v>
      </c>
      <c r="BB35" s="29">
        <f>SUM(C35:BA35)</f>
        <v/>
      </c>
      <c r="BC35" s="29" t="n">
        <v>0</v>
      </c>
      <c r="BD35" s="29" t="n">
        <v>0</v>
      </c>
      <c r="BE35" s="29" t="n">
        <v>0</v>
      </c>
      <c r="BF35" s="29" t="n">
        <v>0</v>
      </c>
      <c r="BG35" s="29">
        <f>SUM(BC35:BF35)</f>
        <v/>
      </c>
      <c r="BH35" s="29">
        <f>BB35+BG35</f>
        <v/>
      </c>
    </row>
    <row r="36">
      <c r="A36" s="27" t="n">
        <v>23</v>
      </c>
      <c r="B36" s="28" t="inlineStr">
        <is>
          <t>Artigos de borracha e plástico</t>
        </is>
      </c>
      <c r="C36" s="27" t="n">
        <v>66.06977273931976</v>
      </c>
      <c r="D36" s="27" t="n">
        <v>26.90181083491503</v>
      </c>
      <c r="E36" s="27" t="n">
        <v>28.47219782524916</v>
      </c>
      <c r="F36" s="27" t="n">
        <v>76.12856724675537</v>
      </c>
      <c r="G36" s="27" t="n">
        <v>43.69835914832334</v>
      </c>
      <c r="H36" s="27" t="n">
        <v>1373.027095565093</v>
      </c>
      <c r="I36" s="27" t="n">
        <v>1.173838715126418</v>
      </c>
      <c r="J36" s="27" t="n">
        <v>63.40013901918643</v>
      </c>
      <c r="K36" s="27" t="n">
        <v>59.0637981107858</v>
      </c>
      <c r="L36" s="27" t="n">
        <v>170.9912667930576</v>
      </c>
      <c r="M36" s="27" t="n">
        <v>34.84503470163514</v>
      </c>
      <c r="N36" s="27" t="n">
        <v>95.00158369114142</v>
      </c>
      <c r="O36" s="27" t="n">
        <v>141.6331905323776</v>
      </c>
      <c r="P36" s="27" t="n">
        <v>10.92988907020428</v>
      </c>
      <c r="Q36" s="27" t="n">
        <v>3.016960991650737</v>
      </c>
      <c r="R36" s="27" t="n">
        <v>130.9689602884231</v>
      </c>
      <c r="S36" s="27" t="n">
        <v>51.91823921983404</v>
      </c>
      <c r="T36" s="27" t="n">
        <v>41.47048050402513</v>
      </c>
      <c r="U36" s="27" t="n">
        <v>36.97288737872888</v>
      </c>
      <c r="V36" s="27" t="n">
        <v>195.9202516134274</v>
      </c>
      <c r="W36" s="27" t="n">
        <v>19.32742848422975</v>
      </c>
      <c r="X36" s="27" t="n">
        <v>31.87835392467163</v>
      </c>
      <c r="Y36" s="27" t="n">
        <v>1884.165204329159</v>
      </c>
      <c r="Z36" s="27" t="n">
        <v>250.5800341804869</v>
      </c>
      <c r="AA36" s="27" t="n">
        <v>107.5634423949463</v>
      </c>
      <c r="AB36" s="27" t="n">
        <v>4.409017430085846</v>
      </c>
      <c r="AC36" s="27" t="n">
        <v>89.49894634098339</v>
      </c>
      <c r="AD36" s="27" t="n">
        <v>462.0918909969253</v>
      </c>
      <c r="AE36" s="27" t="n">
        <v>279.6702834115945</v>
      </c>
      <c r="AF36" s="27" t="n">
        <v>281.9726120159815</v>
      </c>
      <c r="AG36" s="27" t="n">
        <v>1231.634842709719</v>
      </c>
      <c r="AH36" s="27" t="n">
        <v>711.9722637882567</v>
      </c>
      <c r="AI36" s="27" t="n">
        <v>119.3005068049777</v>
      </c>
      <c r="AJ36" s="27" t="n">
        <v>248.1109928726585</v>
      </c>
      <c r="AK36" s="27" t="n">
        <v>57.69864834269071</v>
      </c>
      <c r="AL36" s="27" t="n">
        <v>1244.642537679231</v>
      </c>
      <c r="AM36" s="27" t="n">
        <v>617.6856872113863</v>
      </c>
      <c r="AN36" s="27" t="n">
        <v>966.662844895867</v>
      </c>
      <c r="AO36" s="27" t="n">
        <v>0.9755862905937805</v>
      </c>
      <c r="AP36" s="27" t="n">
        <v>7.613575443878009</v>
      </c>
      <c r="AQ36" s="27" t="n">
        <v>10.27486048043272</v>
      </c>
      <c r="AR36" s="27" t="n">
        <v>10.42957686362722</v>
      </c>
      <c r="AS36" s="27" t="n">
        <v>42.26154511228496</v>
      </c>
      <c r="AT36" s="27" t="n">
        <v>123.3645963688731</v>
      </c>
      <c r="AU36" s="27" t="n">
        <v>1.456905854989758</v>
      </c>
      <c r="AV36" s="27" t="n">
        <v>46.19341553714335</v>
      </c>
      <c r="AW36" s="27" t="n">
        <v>36.87349817846692</v>
      </c>
      <c r="AX36" s="27" t="n">
        <v>0</v>
      </c>
      <c r="AY36" s="27" t="n">
        <v>34.76142759359876</v>
      </c>
      <c r="AZ36" s="27" t="n">
        <v>65.08375170484616</v>
      </c>
      <c r="BA36" s="27" t="n">
        <v>21.39460974373974</v>
      </c>
      <c r="BB36" s="27">
        <f>SUM(C36:BA36)</f>
        <v/>
      </c>
      <c r="BC36" s="27" t="n">
        <v>0</v>
      </c>
      <c r="BD36" s="27" t="n">
        <v>0</v>
      </c>
      <c r="BE36" s="27" t="n">
        <v>0</v>
      </c>
      <c r="BF36" s="27" t="n">
        <v>0</v>
      </c>
      <c r="BG36" s="27">
        <f>SUM(BC36:BF36)</f>
        <v/>
      </c>
      <c r="BH36" s="27">
        <f>BB36+BG36</f>
        <v/>
      </c>
    </row>
    <row r="37">
      <c r="A37" s="29" t="n">
        <v>24</v>
      </c>
      <c r="B37" s="30" t="inlineStr">
        <is>
          <t>Cimento e outros produtos de minerais não-metálicos</t>
        </is>
      </c>
      <c r="C37" s="29" t="n">
        <v>320.3628475819943</v>
      </c>
      <c r="D37" s="29" t="n">
        <v>249.8364343402072</v>
      </c>
      <c r="E37" s="29" t="n">
        <v>15.60851356884597</v>
      </c>
      <c r="F37" s="29" t="n">
        <v>0.9309250677162161</v>
      </c>
      <c r="G37" s="29" t="n">
        <v>12.77655422206643</v>
      </c>
      <c r="H37" s="29" t="n">
        <v>357.5879098119798</v>
      </c>
      <c r="I37" s="29" t="n">
        <v>0.03192019873082949</v>
      </c>
      <c r="J37" s="29" t="n">
        <v>4.27606053496763</v>
      </c>
      <c r="K37" s="29" t="n">
        <v>4.750824776930801</v>
      </c>
      <c r="L37" s="29" t="n">
        <v>2.479933725779991</v>
      </c>
      <c r="M37" s="29" t="n">
        <v>2.821918310989347</v>
      </c>
      <c r="N37" s="29" t="n">
        <v>26.97704519493127</v>
      </c>
      <c r="O37" s="29" t="n">
        <v>5.662405705180467</v>
      </c>
      <c r="P37" s="29" t="n">
        <v>0.6113105329248257</v>
      </c>
      <c r="Q37" s="29" t="n">
        <v>0.2267528927036209</v>
      </c>
      <c r="R37" s="29" t="n">
        <v>56.69684104890949</v>
      </c>
      <c r="S37" s="29" t="n">
        <v>1.259441236226145</v>
      </c>
      <c r="T37" s="29" t="n">
        <v>5.395897086883448</v>
      </c>
      <c r="U37" s="29" t="n">
        <v>0.4568341387790917</v>
      </c>
      <c r="V37" s="29" t="n">
        <v>37.32352437819668</v>
      </c>
      <c r="W37" s="29" t="n">
        <v>6.669492102014923</v>
      </c>
      <c r="X37" s="29" t="n">
        <v>25.13639351771981</v>
      </c>
      <c r="Y37" s="29" t="n">
        <v>65.14580623270432</v>
      </c>
      <c r="Z37" s="29" t="n">
        <v>845.3093107064491</v>
      </c>
      <c r="AA37" s="29" t="n">
        <v>57.20675794510309</v>
      </c>
      <c r="AB37" s="29" t="n">
        <v>1.237305023026857</v>
      </c>
      <c r="AC37" s="29" t="n">
        <v>19.80337317876996</v>
      </c>
      <c r="AD37" s="29" t="n">
        <v>63.47461820455511</v>
      </c>
      <c r="AE37" s="29" t="n">
        <v>38.84771900099393</v>
      </c>
      <c r="AF37" s="29" t="n">
        <v>5.189638946919359</v>
      </c>
      <c r="AG37" s="29" t="n">
        <v>211.4664821953484</v>
      </c>
      <c r="AH37" s="29" t="n">
        <v>16.81508876463576</v>
      </c>
      <c r="AI37" s="29" t="n">
        <v>14.91990088984264</v>
      </c>
      <c r="AJ37" s="29" t="n">
        <v>55.11139896028138</v>
      </c>
      <c r="AK37" s="29" t="n">
        <v>192.7409924149755</v>
      </c>
      <c r="AL37" s="29" t="n">
        <v>5236.495270747886</v>
      </c>
      <c r="AM37" s="29" t="n">
        <v>27.20211683289422</v>
      </c>
      <c r="AN37" s="29" t="n">
        <v>2.549058862481331</v>
      </c>
      <c r="AO37" s="29" t="n">
        <v>2.66345018431923</v>
      </c>
      <c r="AP37" s="29" t="n">
        <v>1.072583892841906</v>
      </c>
      <c r="AQ37" s="29" t="n">
        <v>184.3665301579175</v>
      </c>
      <c r="AR37" s="29" t="n">
        <v>0.062944895668195</v>
      </c>
      <c r="AS37" s="29" t="n">
        <v>65.2137163330401</v>
      </c>
      <c r="AT37" s="29" t="n">
        <v>2.75735262422655</v>
      </c>
      <c r="AU37" s="29" t="n">
        <v>0.5048456549551752</v>
      </c>
      <c r="AV37" s="29" t="n">
        <v>8.174181000446186</v>
      </c>
      <c r="AW37" s="29" t="n">
        <v>27.1809194863227</v>
      </c>
      <c r="AX37" s="29" t="n">
        <v>0</v>
      </c>
      <c r="AY37" s="29" t="n">
        <v>19.66727774810613</v>
      </c>
      <c r="AZ37" s="29" t="n">
        <v>16.98305474215819</v>
      </c>
      <c r="BA37" s="29" t="n">
        <v>44.52528543863172</v>
      </c>
      <c r="BB37" s="29">
        <f>SUM(C37:BA37)</f>
        <v/>
      </c>
      <c r="BC37" s="29" t="n">
        <v>0</v>
      </c>
      <c r="BD37" s="29" t="n">
        <v>0</v>
      </c>
      <c r="BE37" s="29" t="n">
        <v>0</v>
      </c>
      <c r="BF37" s="29" t="n">
        <v>0</v>
      </c>
      <c r="BG37" s="29">
        <f>SUM(BC37:BF37)</f>
        <v/>
      </c>
      <c r="BH37" s="29">
        <f>BB37+BG37</f>
        <v/>
      </c>
    </row>
    <row r="38">
      <c r="A38" s="27" t="n">
        <v>25</v>
      </c>
      <c r="B38" s="28" t="inlineStr">
        <is>
          <t>Fabricação de aço e derivados</t>
        </is>
      </c>
      <c r="C38" s="27" t="n">
        <v>16.513172101952</v>
      </c>
      <c r="D38" s="27" t="n">
        <v>32.43068212207375</v>
      </c>
      <c r="E38" s="27" t="n">
        <v>201.5613993201923</v>
      </c>
      <c r="F38" s="27" t="n">
        <v>4.900349630564849</v>
      </c>
      <c r="G38" s="27" t="n">
        <v>32.95599449548668</v>
      </c>
      <c r="H38" s="27" t="n">
        <v>64.04108179618768</v>
      </c>
      <c r="I38" s="27" t="n">
        <v>0.4701016553863837</v>
      </c>
      <c r="J38" s="27" t="n">
        <v>1.159743993045336</v>
      </c>
      <c r="K38" s="27" t="n">
        <v>0.8531543149461891</v>
      </c>
      <c r="L38" s="27" t="n">
        <v>0.9018271311141146</v>
      </c>
      <c r="M38" s="27" t="n">
        <v>3.281397350934046</v>
      </c>
      <c r="N38" s="27" t="n">
        <v>18.64274933040802</v>
      </c>
      <c r="O38" s="27" t="n">
        <v>1.344135474286919</v>
      </c>
      <c r="P38" s="27" t="n">
        <v>2.485892296135642</v>
      </c>
      <c r="Q38" s="27" t="n">
        <v>0.5750416527767342</v>
      </c>
      <c r="R38" s="27" t="n">
        <v>3.091425474194816</v>
      </c>
      <c r="S38" s="27" t="n">
        <v>1.896901174339278</v>
      </c>
      <c r="T38" s="27" t="n">
        <v>2.703844155141224</v>
      </c>
      <c r="U38" s="27" t="n">
        <v>0.8187238570103532</v>
      </c>
      <c r="V38" s="27" t="n">
        <v>5.587257441203757</v>
      </c>
      <c r="W38" s="27" t="n">
        <v>4.130270817600234</v>
      </c>
      <c r="X38" s="27" t="n">
        <v>5.29935933072675</v>
      </c>
      <c r="Y38" s="27" t="n">
        <v>98.89717145542069</v>
      </c>
      <c r="Z38" s="27" t="n">
        <v>59.05178443088891</v>
      </c>
      <c r="AA38" s="27" t="n">
        <v>1296.837265368068</v>
      </c>
      <c r="AB38" s="27" t="n">
        <v>110.0408052126647</v>
      </c>
      <c r="AC38" s="27" t="n">
        <v>2223.300200756279</v>
      </c>
      <c r="AD38" s="27" t="n">
        <v>1087.098008738116</v>
      </c>
      <c r="AE38" s="27" t="n">
        <v>391.8684461577025</v>
      </c>
      <c r="AF38" s="27" t="n">
        <v>24.6331183631321</v>
      </c>
      <c r="AG38" s="27" t="n">
        <v>703.1716481487109</v>
      </c>
      <c r="AH38" s="27" t="n">
        <v>1125.616516480037</v>
      </c>
      <c r="AI38" s="27" t="n">
        <v>94.18947401876994</v>
      </c>
      <c r="AJ38" s="27" t="n">
        <v>149.1813852543153</v>
      </c>
      <c r="AK38" s="27" t="n">
        <v>37.39410104319289</v>
      </c>
      <c r="AL38" s="27" t="n">
        <v>1717.327055357206</v>
      </c>
      <c r="AM38" s="27" t="n">
        <v>97.25302367149318</v>
      </c>
      <c r="AN38" s="27" t="n">
        <v>8.95078630822878</v>
      </c>
      <c r="AO38" s="27" t="n">
        <v>6.973012242844339</v>
      </c>
      <c r="AP38" s="27" t="n">
        <v>4.090372761189479</v>
      </c>
      <c r="AQ38" s="27" t="n">
        <v>2.031256698661617</v>
      </c>
      <c r="AR38" s="27" t="n">
        <v>0.08894749890675949</v>
      </c>
      <c r="AS38" s="27" t="n">
        <v>6.995355429126785</v>
      </c>
      <c r="AT38" s="27" t="n">
        <v>28.41932102797102</v>
      </c>
      <c r="AU38" s="27" t="n">
        <v>1.385069711078877</v>
      </c>
      <c r="AV38" s="27" t="n">
        <v>0.7547857079380542</v>
      </c>
      <c r="AW38" s="27" t="n">
        <v>4.235313284864199</v>
      </c>
      <c r="AX38" s="27" t="n">
        <v>0</v>
      </c>
      <c r="AY38" s="27" t="n">
        <v>5.251214483377062</v>
      </c>
      <c r="AZ38" s="27" t="n">
        <v>3.398744367309691</v>
      </c>
      <c r="BA38" s="27" t="n">
        <v>20.23325447387377</v>
      </c>
      <c r="BB38" s="27">
        <f>SUM(C38:BA38)</f>
        <v/>
      </c>
      <c r="BC38" s="27" t="n">
        <v>0</v>
      </c>
      <c r="BD38" s="27" t="n">
        <v>0</v>
      </c>
      <c r="BE38" s="27" t="n">
        <v>0</v>
      </c>
      <c r="BF38" s="27" t="n">
        <v>0</v>
      </c>
      <c r="BG38" s="27">
        <f>SUM(BC38:BF38)</f>
        <v/>
      </c>
      <c r="BH38" s="27">
        <f>BB38+BG38</f>
        <v/>
      </c>
    </row>
    <row r="39">
      <c r="A39" s="29" t="n">
        <v>26</v>
      </c>
      <c r="B39" s="30" t="inlineStr">
        <is>
          <t>Metalurgia de metais não-ferrosos</t>
        </is>
      </c>
      <c r="C39" s="29" t="n">
        <v>137.4357921154464</v>
      </c>
      <c r="D39" s="29" t="n">
        <v>19.435416699697</v>
      </c>
      <c r="E39" s="29" t="n">
        <v>10.31053426170577</v>
      </c>
      <c r="F39" s="29" t="n">
        <v>2.653977352565524</v>
      </c>
      <c r="G39" s="29" t="n">
        <v>13.09853010316548</v>
      </c>
      <c r="H39" s="29" t="n">
        <v>139.9290949469189</v>
      </c>
      <c r="I39" s="29" t="n">
        <v>0.126708280312535</v>
      </c>
      <c r="J39" s="29" t="n">
        <v>2.265648340227807</v>
      </c>
      <c r="K39" s="29" t="n">
        <v>2.512312071294006</v>
      </c>
      <c r="L39" s="29" t="n">
        <v>2.461177158342197</v>
      </c>
      <c r="M39" s="29" t="n">
        <v>1.212686619242743</v>
      </c>
      <c r="N39" s="29" t="n">
        <v>57.53148817553025</v>
      </c>
      <c r="O39" s="29" t="n">
        <v>59.6085457599746</v>
      </c>
      <c r="P39" s="29" t="n">
        <v>0.878865612563705</v>
      </c>
      <c r="Q39" s="29" t="n">
        <v>0.3586042657709669</v>
      </c>
      <c r="R39" s="29" t="n">
        <v>139.457172606498</v>
      </c>
      <c r="S39" s="29" t="n">
        <v>9.195273757051165</v>
      </c>
      <c r="T39" s="29" t="n">
        <v>2.930002131778019</v>
      </c>
      <c r="U39" s="29" t="n">
        <v>3.65579517059386</v>
      </c>
      <c r="V39" s="29" t="n">
        <v>7.681697131076704</v>
      </c>
      <c r="W39" s="29" t="n">
        <v>9.454974095078876</v>
      </c>
      <c r="X39" s="29" t="n">
        <v>54.60795287983164</v>
      </c>
      <c r="Y39" s="29" t="n">
        <v>18.97520702783131</v>
      </c>
      <c r="Z39" s="29" t="n">
        <v>27.6285018021766</v>
      </c>
      <c r="AA39" s="29" t="n">
        <v>303.5222937080635</v>
      </c>
      <c r="AB39" s="29" t="n">
        <v>1386.919820514999</v>
      </c>
      <c r="AC39" s="29" t="n">
        <v>342.617676325063</v>
      </c>
      <c r="AD39" s="29" t="n">
        <v>461.1847871157608</v>
      </c>
      <c r="AE39" s="29" t="n">
        <v>1063.748062674612</v>
      </c>
      <c r="AF39" s="29" t="n">
        <v>46.33348601097135</v>
      </c>
      <c r="AG39" s="29" t="n">
        <v>104.5656702224496</v>
      </c>
      <c r="AH39" s="29" t="n">
        <v>972.6270369020186</v>
      </c>
      <c r="AI39" s="29" t="n">
        <v>127.5529451276191</v>
      </c>
      <c r="AJ39" s="29" t="n">
        <v>372.0302128069581</v>
      </c>
      <c r="AK39" s="29" t="n">
        <v>37.7568763073382</v>
      </c>
      <c r="AL39" s="29" t="n">
        <v>619.1471953922337</v>
      </c>
      <c r="AM39" s="29" t="n">
        <v>48.44421136793797</v>
      </c>
      <c r="AN39" s="29" t="n">
        <v>6.368540233426521</v>
      </c>
      <c r="AO39" s="29" t="n">
        <v>2.914223899856337</v>
      </c>
      <c r="AP39" s="29" t="n">
        <v>1.67604656180487</v>
      </c>
      <c r="AQ39" s="29" t="n">
        <v>10.03680057312862</v>
      </c>
      <c r="AR39" s="29" t="n">
        <v>0.09146508824302466</v>
      </c>
      <c r="AS39" s="29" t="n">
        <v>2.307600119309448</v>
      </c>
      <c r="AT39" s="29" t="n">
        <v>4.910762031474892</v>
      </c>
      <c r="AU39" s="29" t="n">
        <v>0.7709370404637453</v>
      </c>
      <c r="AV39" s="29" t="n">
        <v>6.00583288302728</v>
      </c>
      <c r="AW39" s="29" t="n">
        <v>4.553369464602718</v>
      </c>
      <c r="AX39" s="29" t="n">
        <v>0</v>
      </c>
      <c r="AY39" s="29" t="n">
        <v>1.504276538131884</v>
      </c>
      <c r="AZ39" s="29" t="n">
        <v>2.18798837837936</v>
      </c>
      <c r="BA39" s="29" t="n">
        <v>5.421594460685066</v>
      </c>
      <c r="BB39" s="29">
        <f>SUM(C39:BA39)</f>
        <v/>
      </c>
      <c r="BC39" s="29" t="n">
        <v>0</v>
      </c>
      <c r="BD39" s="29" t="n">
        <v>0</v>
      </c>
      <c r="BE39" s="29" t="n">
        <v>0</v>
      </c>
      <c r="BF39" s="29" t="n">
        <v>0</v>
      </c>
      <c r="BG39" s="29">
        <f>SUM(BC39:BF39)</f>
        <v/>
      </c>
      <c r="BH39" s="29">
        <f>BB39+BG39</f>
        <v/>
      </c>
    </row>
    <row r="40">
      <c r="A40" s="28" t="inlineStr">
        <is>
          <t>Produtos de metal</t>
        </is>
      </c>
      <c r="B40" s="28" t="inlineStr">
        <is>
          <t>exclusive máquinas e equipamentos</t>
        </is>
      </c>
      <c r="C40" s="27" t="n">
        <v>49.04622451366352</v>
      </c>
      <c r="D40" s="27" t="n">
        <v>79.41352758176475</v>
      </c>
      <c r="E40" s="27" t="n">
        <v>173.5067210641832</v>
      </c>
      <c r="F40" s="27" t="n">
        <v>80.90024558576789</v>
      </c>
      <c r="G40" s="27" t="n">
        <v>44.1027542420078</v>
      </c>
      <c r="H40" s="27" t="n">
        <v>1012.668345085658</v>
      </c>
      <c r="I40" s="27" t="n">
        <v>4.770828794718438</v>
      </c>
      <c r="J40" s="27" t="n">
        <v>14.37880432239987</v>
      </c>
      <c r="K40" s="27" t="n">
        <v>19.16711528981651</v>
      </c>
      <c r="L40" s="27" t="n">
        <v>10.85513672166953</v>
      </c>
      <c r="M40" s="27" t="n">
        <v>70.33023794353554</v>
      </c>
      <c r="N40" s="27" t="n">
        <v>18.30671163624858</v>
      </c>
      <c r="O40" s="27" t="n">
        <v>7.557610759852212</v>
      </c>
      <c r="P40" s="27" t="n">
        <v>40.17697623263127</v>
      </c>
      <c r="Q40" s="27" t="n">
        <v>5.677831465309206</v>
      </c>
      <c r="R40" s="27" t="n">
        <v>51.5871713280898</v>
      </c>
      <c r="S40" s="27" t="n">
        <v>21.36761633628398</v>
      </c>
      <c r="T40" s="27" t="n">
        <v>14.38286912631855</v>
      </c>
      <c r="U40" s="27" t="n">
        <v>6.252354301597918</v>
      </c>
      <c r="V40" s="27" t="n">
        <v>129.6406142001521</v>
      </c>
      <c r="W40" s="27" t="n">
        <v>96.15217657465696</v>
      </c>
      <c r="X40" s="27" t="n">
        <v>8.250605378160547</v>
      </c>
      <c r="Y40" s="27" t="n">
        <v>30.96004078356175</v>
      </c>
      <c r="Z40" s="27" t="n">
        <v>29.81515002334955</v>
      </c>
      <c r="AA40" s="27" t="n">
        <v>410.6184900769518</v>
      </c>
      <c r="AB40" s="27" t="n">
        <v>49.07626272651492</v>
      </c>
      <c r="AC40" s="27" t="n">
        <v>1035.775378596236</v>
      </c>
      <c r="AD40" s="27" t="n">
        <v>1108.240651811199</v>
      </c>
      <c r="AE40" s="27" t="n">
        <v>332.294945698207</v>
      </c>
      <c r="AF40" s="27" t="n">
        <v>178.895422370695</v>
      </c>
      <c r="AG40" s="27" t="n">
        <v>533.4704837087595</v>
      </c>
      <c r="AH40" s="27" t="n">
        <v>473.8473416255171</v>
      </c>
      <c r="AI40" s="27" t="n">
        <v>245.8910685267973</v>
      </c>
      <c r="AJ40" s="27" t="n">
        <v>163.4204289682492</v>
      </c>
      <c r="AK40" s="27" t="n">
        <v>327.6262185905223</v>
      </c>
      <c r="AL40" s="27" t="n">
        <v>2890.381797632601</v>
      </c>
      <c r="AM40" s="27" t="n">
        <v>166.2775654775424</v>
      </c>
      <c r="AN40" s="27" t="n">
        <v>27.53961992890953</v>
      </c>
      <c r="AO40" s="27" t="n">
        <v>1.500809553418012</v>
      </c>
      <c r="AP40" s="27" t="n">
        <v>2.496985335433781</v>
      </c>
      <c r="AQ40" s="27" t="n">
        <v>49.68970033345961</v>
      </c>
      <c r="AR40" s="27" t="n">
        <v>0.2832620698097804</v>
      </c>
      <c r="AS40" s="27" t="n">
        <v>207.3790949313115</v>
      </c>
      <c r="AT40" s="27" t="n">
        <v>29.45418641591793</v>
      </c>
      <c r="AU40" s="27" t="n">
        <v>1.990957691293829</v>
      </c>
      <c r="AV40" s="27" t="n">
        <v>5.270499803423432</v>
      </c>
      <c r="AW40" s="27" t="n">
        <v>60.71417502458813</v>
      </c>
      <c r="AX40" s="27" t="n">
        <v>0</v>
      </c>
      <c r="AY40" s="27" t="n">
        <v>9.82008284286151</v>
      </c>
      <c r="AZ40" s="27" t="n">
        <v>9.51183097221201</v>
      </c>
      <c r="BA40" s="27" t="n">
        <v>133.8037196304193</v>
      </c>
      <c r="BB40" s="27">
        <f>SUM(C40:BA40)</f>
        <v/>
      </c>
      <c r="BC40" s="27" t="n">
        <v>0</v>
      </c>
      <c r="BD40" s="27" t="n">
        <v>0</v>
      </c>
      <c r="BE40" s="27" t="n">
        <v>0</v>
      </c>
      <c r="BF40" s="27" t="n">
        <v>0</v>
      </c>
      <c r="BG40" s="27">
        <f>SUM(BC40:BF40)</f>
        <v/>
      </c>
      <c r="BH40" s="27">
        <f>BB40+BG40</f>
        <v/>
      </c>
    </row>
    <row r="41">
      <c r="A41" s="29" t="n">
        <v>28</v>
      </c>
      <c r="B41" s="30" t="inlineStr">
        <is>
          <t>Máquinas e equipamentos inclusive manutenção e reparos</t>
        </is>
      </c>
      <c r="C41" s="29" t="n">
        <v>33.49029587604129</v>
      </c>
      <c r="D41" s="29" t="n">
        <v>15.71196988073373</v>
      </c>
      <c r="E41" s="29" t="n">
        <v>1068.165925521294</v>
      </c>
      <c r="F41" s="29" t="n">
        <v>700.500728747076</v>
      </c>
      <c r="G41" s="29" t="n">
        <v>412.8201122471368</v>
      </c>
      <c r="H41" s="29" t="n">
        <v>382.4171215246973</v>
      </c>
      <c r="I41" s="29" t="n">
        <v>1.902507090828129</v>
      </c>
      <c r="J41" s="29" t="n">
        <v>51.4131995998638</v>
      </c>
      <c r="K41" s="29" t="n">
        <v>93.94848367021007</v>
      </c>
      <c r="L41" s="29" t="n">
        <v>30.06906769214213</v>
      </c>
      <c r="M41" s="29" t="n">
        <v>131.160319855244</v>
      </c>
      <c r="N41" s="29" t="n">
        <v>331.342604751563</v>
      </c>
      <c r="O41" s="29" t="n">
        <v>207.6582880934255</v>
      </c>
      <c r="P41" s="29" t="n">
        <v>91.14630068315002</v>
      </c>
      <c r="Q41" s="29" t="n">
        <v>54.68758122896461</v>
      </c>
      <c r="R41" s="29" t="n">
        <v>145.4473972950335</v>
      </c>
      <c r="S41" s="29" t="n">
        <v>63.6274179387208</v>
      </c>
      <c r="T41" s="29" t="n">
        <v>66.07115341255603</v>
      </c>
      <c r="U41" s="29" t="n">
        <v>20.48627533191736</v>
      </c>
      <c r="V41" s="29" t="n">
        <v>33.48795528677562</v>
      </c>
      <c r="W41" s="29" t="n">
        <v>36.55601784201625</v>
      </c>
      <c r="X41" s="29" t="n">
        <v>57.78968106788101</v>
      </c>
      <c r="Y41" s="29" t="n">
        <v>108.7200679415159</v>
      </c>
      <c r="Z41" s="29" t="n">
        <v>351.2184260944955</v>
      </c>
      <c r="AA41" s="29" t="n">
        <v>1677.586029889393</v>
      </c>
      <c r="AB41" s="29" t="n">
        <v>304.9832705118805</v>
      </c>
      <c r="AC41" s="29" t="n">
        <v>143.1373258768451</v>
      </c>
      <c r="AD41" s="29" t="n">
        <v>5928.931890674784</v>
      </c>
      <c r="AE41" s="29" t="n">
        <v>254.3642466610039</v>
      </c>
      <c r="AF41" s="29" t="n">
        <v>152.5010659160791</v>
      </c>
      <c r="AG41" s="29" t="n">
        <v>463.5531100017836</v>
      </c>
      <c r="AH41" s="29" t="n">
        <v>212.7240665527241</v>
      </c>
      <c r="AI41" s="29" t="n">
        <v>162.0651848229671</v>
      </c>
      <c r="AJ41" s="29" t="n">
        <v>89.92604042337571</v>
      </c>
      <c r="AK41" s="29" t="n">
        <v>363.5109418940926</v>
      </c>
      <c r="AL41" s="29" t="n">
        <v>1200.922761812951</v>
      </c>
      <c r="AM41" s="29" t="n">
        <v>734.0427240657684</v>
      </c>
      <c r="AN41" s="29" t="n">
        <v>746.914305190776</v>
      </c>
      <c r="AO41" s="29" t="n">
        <v>365.9406392533463</v>
      </c>
      <c r="AP41" s="29" t="n">
        <v>43.87040586376646</v>
      </c>
      <c r="AQ41" s="29" t="n">
        <v>16.31108320867792</v>
      </c>
      <c r="AR41" s="29" t="n">
        <v>16.90009626313019</v>
      </c>
      <c r="AS41" s="29" t="n">
        <v>37.55030420549028</v>
      </c>
      <c r="AT41" s="29" t="n">
        <v>400.4488122990445</v>
      </c>
      <c r="AU41" s="29" t="n">
        <v>3.34952590099336</v>
      </c>
      <c r="AV41" s="29" t="n">
        <v>149.7028454242558</v>
      </c>
      <c r="AW41" s="29" t="n">
        <v>329.055648246992</v>
      </c>
      <c r="AX41" s="29" t="n">
        <v>0</v>
      </c>
      <c r="AY41" s="29" t="n">
        <v>40.6296630254686</v>
      </c>
      <c r="AZ41" s="29" t="n">
        <v>141.2509116669945</v>
      </c>
      <c r="BA41" s="29" t="n">
        <v>167.7113593518136</v>
      </c>
      <c r="BB41" s="29">
        <f>SUM(C41:BA41)</f>
        <v/>
      </c>
      <c r="BC41" s="29" t="n">
        <v>0</v>
      </c>
      <c r="BD41" s="29" t="n">
        <v>0</v>
      </c>
      <c r="BE41" s="29" t="n">
        <v>0</v>
      </c>
      <c r="BF41" s="29" t="n">
        <v>0</v>
      </c>
      <c r="BG41" s="29">
        <f>SUM(BC41:BF41)</f>
        <v/>
      </c>
      <c r="BH41" s="29">
        <f>BB41+BG41</f>
        <v/>
      </c>
    </row>
    <row r="42">
      <c r="A42" s="27" t="n">
        <v>29</v>
      </c>
      <c r="B42" s="28" t="inlineStr">
        <is>
          <t>Eletrodomésticos e material eletronico</t>
        </is>
      </c>
      <c r="C42" s="27" t="n">
        <v>10.90192831084141</v>
      </c>
      <c r="D42" s="27" t="n">
        <v>26.05532130698955</v>
      </c>
      <c r="E42" s="27" t="n">
        <v>53.24667767539261</v>
      </c>
      <c r="F42" s="27" t="n">
        <v>12.53130220683987</v>
      </c>
      <c r="G42" s="27" t="n">
        <v>14.65838786591793</v>
      </c>
      <c r="H42" s="27" t="n">
        <v>57.42944841051875</v>
      </c>
      <c r="I42" s="27" t="n">
        <v>1.55170217877701</v>
      </c>
      <c r="J42" s="27" t="n">
        <v>16.44820543802176</v>
      </c>
      <c r="K42" s="27" t="n">
        <v>4.983659692848017</v>
      </c>
      <c r="L42" s="27" t="n">
        <v>4.043063743220951</v>
      </c>
      <c r="M42" s="27" t="n">
        <v>9.371607591403853</v>
      </c>
      <c r="N42" s="27" t="n">
        <v>18.27757305601891</v>
      </c>
      <c r="O42" s="27" t="n">
        <v>8.38319687480298</v>
      </c>
      <c r="P42" s="27" t="n">
        <v>2.506771769349655</v>
      </c>
      <c r="Q42" s="27" t="n">
        <v>1.677795715664049</v>
      </c>
      <c r="R42" s="27" t="n">
        <v>23.60188000832355</v>
      </c>
      <c r="S42" s="27" t="n">
        <v>10.85273912772461</v>
      </c>
      <c r="T42" s="27" t="n">
        <v>3.269300789423945</v>
      </c>
      <c r="U42" s="27" t="n">
        <v>0.9746231682223685</v>
      </c>
      <c r="V42" s="27" t="n">
        <v>5.094151109527784</v>
      </c>
      <c r="W42" s="27" t="n">
        <v>1.938227059114253</v>
      </c>
      <c r="X42" s="27" t="n">
        <v>5.901114585374003</v>
      </c>
      <c r="Y42" s="27" t="n">
        <v>24.12143002757302</v>
      </c>
      <c r="Z42" s="27" t="n">
        <v>36.5023805554517</v>
      </c>
      <c r="AA42" s="27" t="n">
        <v>30.33271769687878</v>
      </c>
      <c r="AB42" s="27" t="n">
        <v>41.37807567363365</v>
      </c>
      <c r="AC42" s="27" t="n">
        <v>21.8326711304638</v>
      </c>
      <c r="AD42" s="27" t="n">
        <v>1137.541160883519</v>
      </c>
      <c r="AE42" s="27" t="n">
        <v>1922.408011098458</v>
      </c>
      <c r="AF42" s="27" t="n">
        <v>691.6376532228477</v>
      </c>
      <c r="AG42" s="27" t="n">
        <v>257.9902126638773</v>
      </c>
      <c r="AH42" s="27" t="n">
        <v>351.8191845501751</v>
      </c>
      <c r="AI42" s="27" t="n">
        <v>71.85304962404197</v>
      </c>
      <c r="AJ42" s="27" t="n">
        <v>67.56258103113898</v>
      </c>
      <c r="AK42" s="27" t="n">
        <v>1140.368929195105</v>
      </c>
      <c r="AL42" s="27" t="n">
        <v>2360.994022083653</v>
      </c>
      <c r="AM42" s="27" t="n">
        <v>246.1259259405627</v>
      </c>
      <c r="AN42" s="27" t="n">
        <v>287.479542904954</v>
      </c>
      <c r="AO42" s="27" t="n">
        <v>254.1463791857578</v>
      </c>
      <c r="AP42" s="27" t="n">
        <v>10.61447450758388</v>
      </c>
      <c r="AQ42" s="27" t="n">
        <v>95.9668733193741</v>
      </c>
      <c r="AR42" s="27" t="n">
        <v>105.6391468066453</v>
      </c>
      <c r="AS42" s="27" t="n">
        <v>13.3383789049397</v>
      </c>
      <c r="AT42" s="27" t="n">
        <v>180.0615069312794</v>
      </c>
      <c r="AU42" s="27" t="n">
        <v>0.9864408991370178</v>
      </c>
      <c r="AV42" s="27" t="n">
        <v>104.5101212623322</v>
      </c>
      <c r="AW42" s="27" t="n">
        <v>291.3482762492503</v>
      </c>
      <c r="AX42" s="27" t="n">
        <v>0</v>
      </c>
      <c r="AY42" s="27" t="n">
        <v>27.55518437478788</v>
      </c>
      <c r="AZ42" s="27" t="n">
        <v>32.23825729919918</v>
      </c>
      <c r="BA42" s="27" t="n">
        <v>33.60603563821513</v>
      </c>
      <c r="BB42" s="27">
        <f>SUM(C42:BA42)</f>
        <v/>
      </c>
      <c r="BC42" s="27" t="n">
        <v>0</v>
      </c>
      <c r="BD42" s="27" t="n">
        <v>0</v>
      </c>
      <c r="BE42" s="27" t="n">
        <v>0</v>
      </c>
      <c r="BF42" s="27" t="n">
        <v>0</v>
      </c>
      <c r="BG42" s="27">
        <f>SUM(BC42:BF42)</f>
        <v/>
      </c>
      <c r="BH42" s="27">
        <f>BB42+BG42</f>
        <v/>
      </c>
    </row>
    <row r="43">
      <c r="A43" s="29" t="n">
        <v>30</v>
      </c>
      <c r="B43" s="30" t="inlineStr">
        <is>
          <t>Máquinas para escritório aparelhos e e material eletronico</t>
        </is>
      </c>
      <c r="C43" s="29" t="n">
        <v>0.6304570837908915</v>
      </c>
      <c r="D43" s="29" t="n">
        <v>0.8873229120809156</v>
      </c>
      <c r="E43" s="29" t="n">
        <v>124.0546122073622</v>
      </c>
      <c r="F43" s="29" t="n">
        <v>5.180859586616426</v>
      </c>
      <c r="G43" s="29" t="n">
        <v>14.89817974944475</v>
      </c>
      <c r="H43" s="29" t="n">
        <v>8.471694871382486</v>
      </c>
      <c r="I43" s="29" t="n">
        <v>-0.3499029091349499</v>
      </c>
      <c r="J43" s="29" t="n">
        <v>-0.2817838704092682</v>
      </c>
      <c r="K43" s="29" t="n">
        <v>-1.108079580675445</v>
      </c>
      <c r="L43" s="29" t="n">
        <v>-1.803319579801909</v>
      </c>
      <c r="M43" s="29" t="n">
        <v>2.457816756557364</v>
      </c>
      <c r="N43" s="29" t="n">
        <v>1.527249077187746</v>
      </c>
      <c r="O43" s="29" t="n">
        <v>214.9713540557989</v>
      </c>
      <c r="P43" s="29" t="n">
        <v>1.801813810346771</v>
      </c>
      <c r="Q43" s="29" t="n">
        <v>0.2921332875978994</v>
      </c>
      <c r="R43" s="29" t="n">
        <v>3.066253729582463</v>
      </c>
      <c r="S43" s="29" t="n">
        <v>1.784446092035619</v>
      </c>
      <c r="T43" s="29" t="n">
        <v>10.99145211159593</v>
      </c>
      <c r="U43" s="29" t="n">
        <v>0.5753372586447513</v>
      </c>
      <c r="V43" s="29" t="n">
        <v>4.884725914128461</v>
      </c>
      <c r="W43" s="29" t="n">
        <v>2.694186936393924</v>
      </c>
      <c r="X43" s="29" t="n">
        <v>10.41118261049938</v>
      </c>
      <c r="Y43" s="29" t="n">
        <v>2.693230738944556</v>
      </c>
      <c r="Z43" s="29" t="n">
        <v>2.319947424327369</v>
      </c>
      <c r="AA43" s="29" t="n">
        <v>11.25428006196771</v>
      </c>
      <c r="AB43" s="29" t="n">
        <v>1.969747671549262</v>
      </c>
      <c r="AC43" s="29" t="n">
        <v>-0.794634251117126</v>
      </c>
      <c r="AD43" s="29" t="n">
        <v>569.8506821779524</v>
      </c>
      <c r="AE43" s="29" t="n">
        <v>280.9587914156281</v>
      </c>
      <c r="AF43" s="29" t="n">
        <v>14407.73306236627</v>
      </c>
      <c r="AG43" s="29" t="n">
        <v>164.3088380187431</v>
      </c>
      <c r="AH43" s="29" t="n">
        <v>129.9043380030824</v>
      </c>
      <c r="AI43" s="29" t="n">
        <v>29.55664883996772</v>
      </c>
      <c r="AJ43" s="29" t="n">
        <v>28.82557083025577</v>
      </c>
      <c r="AK43" s="29" t="n">
        <v>96.479036784199</v>
      </c>
      <c r="AL43" s="29" t="n">
        <v>285.9355477813617</v>
      </c>
      <c r="AM43" s="29" t="n">
        <v>98.10162276150284</v>
      </c>
      <c r="AN43" s="29" t="n">
        <v>104.4913718625781</v>
      </c>
      <c r="AO43" s="29" t="n">
        <v>1078.040858952069</v>
      </c>
      <c r="AP43" s="29" t="n">
        <v>182.0414424530777</v>
      </c>
      <c r="AQ43" s="29" t="n">
        <v>3.819369229186631</v>
      </c>
      <c r="AR43" s="29" t="n">
        <v>446.5682787552218</v>
      </c>
      <c r="AS43" s="29" t="n">
        <v>1.549147645697561</v>
      </c>
      <c r="AT43" s="29" t="n">
        <v>1396.454832281469</v>
      </c>
      <c r="AU43" s="29" t="n">
        <v>74.44008641810454</v>
      </c>
      <c r="AV43" s="29" t="n">
        <v>3923.694268983434</v>
      </c>
      <c r="AW43" s="29" t="n">
        <v>153.4513272216454</v>
      </c>
      <c r="AX43" s="29" t="n">
        <v>0</v>
      </c>
      <c r="AY43" s="29" t="n">
        <v>872.5061676093578</v>
      </c>
      <c r="AZ43" s="29" t="n">
        <v>1138.778430815221</v>
      </c>
      <c r="BA43" s="29" t="n">
        <v>379.8943675738142</v>
      </c>
      <c r="BB43" s="29">
        <f>SUM(C43:BA43)</f>
        <v/>
      </c>
      <c r="BC43" s="29" t="n">
        <v>0</v>
      </c>
      <c r="BD43" s="29" t="n">
        <v>0</v>
      </c>
      <c r="BE43" s="29" t="n">
        <v>0</v>
      </c>
      <c r="BF43" s="29" t="n">
        <v>0</v>
      </c>
      <c r="BG43" s="29">
        <f>SUM(BC43:BF43)</f>
        <v/>
      </c>
      <c r="BH43" s="29">
        <f>BB43+BG43</f>
        <v/>
      </c>
    </row>
    <row r="44">
      <c r="A44" s="27" t="n">
        <v>31</v>
      </c>
      <c r="B44" s="28" t="inlineStr">
        <is>
          <t>Automóveis camionetas caminhões e ônibus</t>
        </is>
      </c>
      <c r="C44" s="27" t="n">
        <v>-0.1707184602698338</v>
      </c>
      <c r="D44" s="27" t="n">
        <v>0.4961537192656755</v>
      </c>
      <c r="E44" s="27" t="n">
        <v>9.035399420017281</v>
      </c>
      <c r="F44" s="27" t="n">
        <v>0.7897875207472046</v>
      </c>
      <c r="G44" s="27" t="n">
        <v>1.517901845865255</v>
      </c>
      <c r="H44" s="27" t="n">
        <v>-21.37928971101056</v>
      </c>
      <c r="I44" s="27" t="n">
        <v>-0.7658361794958461</v>
      </c>
      <c r="J44" s="27" t="n">
        <v>-2.972260804904546</v>
      </c>
      <c r="K44" s="27" t="n">
        <v>-2.680885369192619</v>
      </c>
      <c r="L44" s="27" t="n">
        <v>-4.383228123082482</v>
      </c>
      <c r="M44" s="27" t="n">
        <v>-0.5165025170891445</v>
      </c>
      <c r="N44" s="27" t="n">
        <v>-4.479990773024568</v>
      </c>
      <c r="O44" s="27" t="n">
        <v>0.6326617983991109</v>
      </c>
      <c r="P44" s="27" t="n">
        <v>0.01343581138671422</v>
      </c>
      <c r="Q44" s="27" t="n">
        <v>-0.7003153088581813</v>
      </c>
      <c r="R44" s="27" t="n">
        <v>0.4204442545417401</v>
      </c>
      <c r="S44" s="27" t="n">
        <v>-1.69544419232499</v>
      </c>
      <c r="T44" s="27" t="n">
        <v>-2.134771499201397</v>
      </c>
      <c r="U44" s="27" t="n">
        <v>-0.6466813972488307</v>
      </c>
      <c r="V44" s="27" t="n">
        <v>0.8127198893500337</v>
      </c>
      <c r="W44" s="27" t="n">
        <v>-0.1366211317449657</v>
      </c>
      <c r="X44" s="27" t="n">
        <v>0.3272051367507607</v>
      </c>
      <c r="Y44" s="27" t="n">
        <v>-5.556571776395606</v>
      </c>
      <c r="Z44" s="27" t="n">
        <v>-2.667411499153274</v>
      </c>
      <c r="AA44" s="27" t="n">
        <v>-0.3633557909572798</v>
      </c>
      <c r="AB44" s="27" t="n">
        <v>-0.3562251533149239</v>
      </c>
      <c r="AC44" s="27" t="n">
        <v>-3.02899019576492</v>
      </c>
      <c r="AD44" s="27" t="n">
        <v>28.4186636911613</v>
      </c>
      <c r="AE44" s="27" t="n">
        <v>26.16895150728248</v>
      </c>
      <c r="AF44" s="27" t="n">
        <v>5.337892861316202</v>
      </c>
      <c r="AG44" s="27" t="n">
        <v>744.4952236962715</v>
      </c>
      <c r="AH44" s="27" t="n">
        <v>36.30058556748774</v>
      </c>
      <c r="AI44" s="27" t="n">
        <v>17.91301882928228</v>
      </c>
      <c r="AJ44" s="27" t="n">
        <v>0.07739734719300018</v>
      </c>
      <c r="AK44" s="27" t="n">
        <v>21.04021928355349</v>
      </c>
      <c r="AL44" s="27" t="n">
        <v>49.27254677660716</v>
      </c>
      <c r="AM44" s="27" t="n">
        <v>51.98411592273213</v>
      </c>
      <c r="AN44" s="27" t="n">
        <v>60.45388384455969</v>
      </c>
      <c r="AO44" s="27" t="n">
        <v>-7.127088709661872</v>
      </c>
      <c r="AP44" s="27" t="n">
        <v>8.690711850196832</v>
      </c>
      <c r="AQ44" s="27" t="n">
        <v>2.4573928246958</v>
      </c>
      <c r="AR44" s="27" t="n">
        <v>0.2625284360626695</v>
      </c>
      <c r="AS44" s="27" t="n">
        <v>1.121130466911803</v>
      </c>
      <c r="AT44" s="27" t="n">
        <v>15.68417397577809</v>
      </c>
      <c r="AU44" s="27" t="n">
        <v>2.256511997715271</v>
      </c>
      <c r="AV44" s="27" t="n">
        <v>-1.388309728368237</v>
      </c>
      <c r="AW44" s="27" t="n">
        <v>9.597515160201638</v>
      </c>
      <c r="AX44" s="27" t="n">
        <v>0</v>
      </c>
      <c r="AY44" s="27" t="n">
        <v>1.305696622072218</v>
      </c>
      <c r="AZ44" s="27" t="n">
        <v>-0.0995313115280744</v>
      </c>
      <c r="BA44" s="27" t="n">
        <v>9.839763602270983</v>
      </c>
      <c r="BB44" s="27">
        <f>SUM(C44:BA44)</f>
        <v/>
      </c>
      <c r="BC44" s="27" t="n">
        <v>0</v>
      </c>
      <c r="BD44" s="27" t="n">
        <v>0</v>
      </c>
      <c r="BE44" s="27" t="n">
        <v>0</v>
      </c>
      <c r="BF44" s="27" t="n">
        <v>0</v>
      </c>
      <c r="BG44" s="27">
        <f>SUM(BC44:BF44)</f>
        <v/>
      </c>
      <c r="BH44" s="27">
        <f>BB44+BG44</f>
        <v/>
      </c>
    </row>
    <row r="45">
      <c r="A45" s="29" t="n">
        <v>32</v>
      </c>
      <c r="B45" s="30" t="inlineStr">
        <is>
          <t>Peças e acessórios para veículos automotores</t>
        </is>
      </c>
      <c r="C45" s="29" t="n">
        <v>1.740581431528338</v>
      </c>
      <c r="D45" s="29" t="n">
        <v>1.555742769489792</v>
      </c>
      <c r="E45" s="29" t="n">
        <v>21.7027958811359</v>
      </c>
      <c r="F45" s="29" t="n">
        <v>12.47561313029399</v>
      </c>
      <c r="G45" s="29" t="n">
        <v>8.063115064735895</v>
      </c>
      <c r="H45" s="29" t="n">
        <v>31.34915288501657</v>
      </c>
      <c r="I45" s="29" t="n">
        <v>0.4023144959097046</v>
      </c>
      <c r="J45" s="29" t="n">
        <v>1.47863785953422</v>
      </c>
      <c r="K45" s="29" t="n">
        <v>1.691653788972331</v>
      </c>
      <c r="L45" s="29" t="n">
        <v>3.301266854594925</v>
      </c>
      <c r="M45" s="29" t="n">
        <v>2.927314744229488</v>
      </c>
      <c r="N45" s="29" t="n">
        <v>6.252094479473484</v>
      </c>
      <c r="O45" s="29" t="n">
        <v>7.383710178913332</v>
      </c>
      <c r="P45" s="29" t="n">
        <v>2.348179423618701</v>
      </c>
      <c r="Q45" s="29" t="n">
        <v>0.9579025205394114</v>
      </c>
      <c r="R45" s="29" t="n">
        <v>4.432439531353722</v>
      </c>
      <c r="S45" s="29" t="n">
        <v>1.734339918643671</v>
      </c>
      <c r="T45" s="29" t="n">
        <v>2.429914221908067</v>
      </c>
      <c r="U45" s="29" t="n">
        <v>0.942008831384902</v>
      </c>
      <c r="V45" s="29" t="n">
        <v>3.622938308525044</v>
      </c>
      <c r="W45" s="29" t="n">
        <v>1.732932525847727</v>
      </c>
      <c r="X45" s="29" t="n">
        <v>1.40227751343811</v>
      </c>
      <c r="Y45" s="29" t="n">
        <v>22.08279369283735</v>
      </c>
      <c r="Z45" s="29" t="n">
        <v>8.435539764960613</v>
      </c>
      <c r="AA45" s="29" t="n">
        <v>35.0471685601422</v>
      </c>
      <c r="AB45" s="29" t="n">
        <v>10.34738785653513</v>
      </c>
      <c r="AC45" s="29" t="n">
        <v>18.98683481742594</v>
      </c>
      <c r="AD45" s="29" t="n">
        <v>142.8212939440596</v>
      </c>
      <c r="AE45" s="29" t="n">
        <v>40.44329768563273</v>
      </c>
      <c r="AF45" s="29" t="n">
        <v>89.94977601911459</v>
      </c>
      <c r="AG45" s="29" t="n">
        <v>7145.753188838242</v>
      </c>
      <c r="AH45" s="29" t="n">
        <v>2595.754980082836</v>
      </c>
      <c r="AI45" s="29" t="n">
        <v>25.80116202522075</v>
      </c>
      <c r="AJ45" s="29" t="n">
        <v>5.931897232804912</v>
      </c>
      <c r="AK45" s="29" t="n">
        <v>20.0947963163424</v>
      </c>
      <c r="AL45" s="29" t="n">
        <v>89.78681875345336</v>
      </c>
      <c r="AM45" s="29" t="n">
        <v>2334.204021104775</v>
      </c>
      <c r="AN45" s="29" t="n">
        <v>1894.411563368382</v>
      </c>
      <c r="AO45" s="29" t="n">
        <v>13.51081912216048</v>
      </c>
      <c r="AP45" s="29" t="n">
        <v>4.728085163963175</v>
      </c>
      <c r="AQ45" s="29" t="n">
        <v>1.99823498072733</v>
      </c>
      <c r="AR45" s="29" t="n">
        <v>1.725536370594942</v>
      </c>
      <c r="AS45" s="29" t="n">
        <v>3.52512773222457</v>
      </c>
      <c r="AT45" s="29" t="n">
        <v>54.798890354946</v>
      </c>
      <c r="AU45" s="29" t="n">
        <v>1.19138585541772</v>
      </c>
      <c r="AV45" s="29" t="n">
        <v>97.62485658349071</v>
      </c>
      <c r="AW45" s="29" t="n">
        <v>9.796632890127746</v>
      </c>
      <c r="AX45" s="29" t="n">
        <v>0</v>
      </c>
      <c r="AY45" s="29" t="n">
        <v>61.17269405866556</v>
      </c>
      <c r="AZ45" s="29" t="n">
        <v>55.51156724471533</v>
      </c>
      <c r="BA45" s="29" t="n">
        <v>191.2377929276459</v>
      </c>
      <c r="BB45" s="29">
        <f>SUM(C45:BA45)</f>
        <v/>
      </c>
      <c r="BC45" s="29" t="n">
        <v>0</v>
      </c>
      <c r="BD45" s="29" t="n">
        <v>0</v>
      </c>
      <c r="BE45" s="29" t="n">
        <v>0</v>
      </c>
      <c r="BF45" s="29" t="n">
        <v>0</v>
      </c>
      <c r="BG45" s="29">
        <f>SUM(BC45:BF45)</f>
        <v/>
      </c>
      <c r="BH45" s="29">
        <f>BB45+BG45</f>
        <v/>
      </c>
    </row>
    <row r="46">
      <c r="A46" s="27" t="n">
        <v>33</v>
      </c>
      <c r="B46" s="28" t="inlineStr">
        <is>
          <t>Outros equipamentos de transporte</t>
        </is>
      </c>
      <c r="C46" s="27" t="n">
        <v>0.2300265496942055</v>
      </c>
      <c r="D46" s="27" t="n">
        <v>0.1667608367830328</v>
      </c>
      <c r="E46" s="27" t="n">
        <v>4.03261979438269</v>
      </c>
      <c r="F46" s="27" t="n">
        <v>2.068568127539652</v>
      </c>
      <c r="G46" s="27" t="n">
        <v>1.257099678972961</v>
      </c>
      <c r="H46" s="27" t="n">
        <v>4.167624929821549</v>
      </c>
      <c r="I46" s="27" t="n">
        <v>0.1997766957518894</v>
      </c>
      <c r="J46" s="27" t="n">
        <v>0.2633470557546969</v>
      </c>
      <c r="K46" s="27" t="n">
        <v>3.442131686453146</v>
      </c>
      <c r="L46" s="27" t="n">
        <v>0.9585507880715303</v>
      </c>
      <c r="M46" s="27" t="n">
        <v>0.4664783221613268</v>
      </c>
      <c r="N46" s="27" t="n">
        <v>1.131556931285446</v>
      </c>
      <c r="O46" s="27" t="n">
        <v>0.5588324965635133</v>
      </c>
      <c r="P46" s="27" t="n">
        <v>0.635121740922622</v>
      </c>
      <c r="Q46" s="27" t="n">
        <v>0.1968760060870425</v>
      </c>
      <c r="R46" s="27" t="n">
        <v>0.9213205204539366</v>
      </c>
      <c r="S46" s="27" t="n">
        <v>0.3281637796221869</v>
      </c>
      <c r="T46" s="27" t="n">
        <v>0.6653361414782258</v>
      </c>
      <c r="U46" s="27" t="n">
        <v>0.286479394775521</v>
      </c>
      <c r="V46" s="27" t="n">
        <v>0.4297519049886145</v>
      </c>
      <c r="W46" s="27" t="n">
        <v>0.2976703465619271</v>
      </c>
      <c r="X46" s="27" t="n">
        <v>0.2757732005031438</v>
      </c>
      <c r="Y46" s="27" t="n">
        <v>0.5489043682983927</v>
      </c>
      <c r="Z46" s="27" t="n">
        <v>1.404717451029938</v>
      </c>
      <c r="AA46" s="27" t="n">
        <v>4.958024800401858</v>
      </c>
      <c r="AB46" s="27" t="n">
        <v>0.9230453151276927</v>
      </c>
      <c r="AC46" s="27" t="n">
        <v>1.550187155833876</v>
      </c>
      <c r="AD46" s="27" t="n">
        <v>401.4210277090335</v>
      </c>
      <c r="AE46" s="27" t="n">
        <v>1.179471720694983</v>
      </c>
      <c r="AF46" s="27" t="n">
        <v>0.8224356482246904</v>
      </c>
      <c r="AG46" s="27" t="n">
        <v>2.682852201378767</v>
      </c>
      <c r="AH46" s="27" t="n">
        <v>2.118904840738566</v>
      </c>
      <c r="AI46" s="27" t="n">
        <v>2994.493150137554</v>
      </c>
      <c r="AJ46" s="27" t="n">
        <v>4.313618676083701</v>
      </c>
      <c r="AK46" s="27" t="n">
        <v>2.132347123000349</v>
      </c>
      <c r="AL46" s="27" t="n">
        <v>8.176829387645736</v>
      </c>
      <c r="AM46" s="27" t="n">
        <v>44.65043368213588</v>
      </c>
      <c r="AN46" s="27" t="n">
        <v>317.9496519549674</v>
      </c>
      <c r="AO46" s="27" t="n">
        <v>3.863795146118996</v>
      </c>
      <c r="AP46" s="27" t="n">
        <v>2.71008619366646</v>
      </c>
      <c r="AQ46" s="27" t="n">
        <v>0.4856245683740431</v>
      </c>
      <c r="AR46" s="27" t="n">
        <v>20.23822379932856</v>
      </c>
      <c r="AS46" s="27" t="n">
        <v>0.5887123202391068</v>
      </c>
      <c r="AT46" s="27" t="n">
        <v>5.943929687039772</v>
      </c>
      <c r="AU46" s="27" t="n">
        <v>0.6779814249287314</v>
      </c>
      <c r="AV46" s="27" t="n">
        <v>0.5230903633761287</v>
      </c>
      <c r="AW46" s="27" t="n">
        <v>2.519753054962045</v>
      </c>
      <c r="AX46" s="27" t="n">
        <v>0</v>
      </c>
      <c r="AY46" s="27" t="n">
        <v>1.05894017410938</v>
      </c>
      <c r="AZ46" s="27" t="n">
        <v>1.348627537929313</v>
      </c>
      <c r="BA46" s="27" t="n">
        <v>68.63879774100148</v>
      </c>
      <c r="BB46" s="27">
        <f>SUM(C46:BA46)</f>
        <v/>
      </c>
      <c r="BC46" s="27" t="n">
        <v>0</v>
      </c>
      <c r="BD46" s="27" t="n">
        <v>0</v>
      </c>
      <c r="BE46" s="27" t="n">
        <v>0</v>
      </c>
      <c r="BF46" s="27" t="n">
        <v>0</v>
      </c>
      <c r="BG46" s="27">
        <f>SUM(BC46:BF46)</f>
        <v/>
      </c>
      <c r="BH46" s="27">
        <f>BB46+BG46</f>
        <v/>
      </c>
    </row>
    <row r="47">
      <c r="A47" s="29" t="n">
        <v>34</v>
      </c>
      <c r="B47" s="30" t="inlineStr">
        <is>
          <t>Móveis e produtos das indústrias diversas</t>
        </is>
      </c>
      <c r="C47" s="29" t="n">
        <v>5.147642302189583</v>
      </c>
      <c r="D47" s="29" t="n">
        <v>2.893300468466577</v>
      </c>
      <c r="E47" s="29" t="n">
        <v>14.94033500345174</v>
      </c>
      <c r="F47" s="29" t="n">
        <v>8.668837852867178</v>
      </c>
      <c r="G47" s="29" t="n">
        <v>2.513947770221358</v>
      </c>
      <c r="H47" s="29" t="n">
        <v>29.03293829577975</v>
      </c>
      <c r="I47" s="29" t="n">
        <v>-0.2848024116727808</v>
      </c>
      <c r="J47" s="29" t="n">
        <v>10.48239833707163</v>
      </c>
      <c r="K47" s="29" t="n">
        <v>546.2013956479022</v>
      </c>
      <c r="L47" s="29" t="n">
        <v>128.2201839029032</v>
      </c>
      <c r="M47" s="29" t="n">
        <v>7.908879151723731</v>
      </c>
      <c r="N47" s="29" t="n">
        <v>0.9085925673424011</v>
      </c>
      <c r="O47" s="29" t="n">
        <v>1.969188669700227</v>
      </c>
      <c r="P47" s="29" t="n">
        <v>1.224315505900086</v>
      </c>
      <c r="Q47" s="29" t="n">
        <v>0.2715442648662402</v>
      </c>
      <c r="R47" s="29" t="n">
        <v>26.64714578862429</v>
      </c>
      <c r="S47" s="29" t="n">
        <v>9.995253021277644</v>
      </c>
      <c r="T47" s="29" t="n">
        <v>3.603406399557778</v>
      </c>
      <c r="U47" s="29" t="n">
        <v>11.23028151562951</v>
      </c>
      <c r="V47" s="29" t="n">
        <v>3.201121744890316</v>
      </c>
      <c r="W47" s="29" t="n">
        <v>1.155217306898448</v>
      </c>
      <c r="X47" s="29" t="n">
        <v>-0.225883621341161</v>
      </c>
      <c r="Y47" s="29" t="n">
        <v>18.75477240267098</v>
      </c>
      <c r="Z47" s="29" t="n">
        <v>39.83316184572752</v>
      </c>
      <c r="AA47" s="29" t="n">
        <v>7.791514135237863</v>
      </c>
      <c r="AB47" s="29" t="n">
        <v>0.3596007617311183</v>
      </c>
      <c r="AC47" s="29" t="n">
        <v>8.766970846341692</v>
      </c>
      <c r="AD47" s="29" t="n">
        <v>210.8547480408157</v>
      </c>
      <c r="AE47" s="29" t="n">
        <v>5.291464852602841</v>
      </c>
      <c r="AF47" s="29" t="n">
        <v>4.618538209469119</v>
      </c>
      <c r="AG47" s="29" t="n">
        <v>103.8977420485438</v>
      </c>
      <c r="AH47" s="29" t="n">
        <v>184.4929869289288</v>
      </c>
      <c r="AI47" s="29" t="n">
        <v>21.56756193573166</v>
      </c>
      <c r="AJ47" s="29" t="n">
        <v>673.9968882849683</v>
      </c>
      <c r="AK47" s="29" t="n">
        <v>28.90123359566701</v>
      </c>
      <c r="AL47" s="29" t="n">
        <v>268.6230254652791</v>
      </c>
      <c r="AM47" s="29" t="n">
        <v>107.3155835971634</v>
      </c>
      <c r="AN47" s="29" t="n">
        <v>102.0791525903507</v>
      </c>
      <c r="AO47" s="29" t="n">
        <v>32.04279193453519</v>
      </c>
      <c r="AP47" s="29" t="n">
        <v>51.72445627067802</v>
      </c>
      <c r="AQ47" s="29" t="n">
        <v>33.23242554472952</v>
      </c>
      <c r="AR47" s="29" t="n">
        <v>1.654098777293053</v>
      </c>
      <c r="AS47" s="29" t="n">
        <v>4.870773782903848</v>
      </c>
      <c r="AT47" s="29" t="n">
        <v>391.8554324652179</v>
      </c>
      <c r="AU47" s="29" t="n">
        <v>9.114689234979966</v>
      </c>
      <c r="AV47" s="29" t="n">
        <v>16.85614043147484</v>
      </c>
      <c r="AW47" s="29" t="n">
        <v>116.7002289350145</v>
      </c>
      <c r="AX47" s="29" t="n">
        <v>0</v>
      </c>
      <c r="AY47" s="29" t="n">
        <v>28.85903152228753</v>
      </c>
      <c r="AZ47" s="29" t="n">
        <v>57.79130205481683</v>
      </c>
      <c r="BA47" s="29" t="n">
        <v>109.8532139329603</v>
      </c>
      <c r="BB47" s="29">
        <f>SUM(C47:BA47)</f>
        <v/>
      </c>
      <c r="BC47" s="29" t="n">
        <v>0</v>
      </c>
      <c r="BD47" s="29" t="n">
        <v>0</v>
      </c>
      <c r="BE47" s="29" t="n">
        <v>0</v>
      </c>
      <c r="BF47" s="29" t="n">
        <v>0</v>
      </c>
      <c r="BG47" s="29">
        <f>SUM(BC47:BF47)</f>
        <v/>
      </c>
      <c r="BH47" s="29">
        <f>BB47+BG47</f>
        <v/>
      </c>
    </row>
    <row r="48">
      <c r="A48" s="27" t="n">
        <v>35</v>
      </c>
      <c r="B48" s="28" t="inlineStr">
        <is>
          <t>Produção e distribuição de eletricidade gás água esgoto e limpeza urbana</t>
        </is>
      </c>
      <c r="C48" s="27" t="n">
        <v>569.4578034013114</v>
      </c>
      <c r="D48" s="27" t="n">
        <v>404.3852664473241</v>
      </c>
      <c r="E48" s="27" t="n">
        <v>22.16990168774293</v>
      </c>
      <c r="F48" s="27" t="n">
        <v>85.30100685881591</v>
      </c>
      <c r="G48" s="27" t="n">
        <v>109.2258186191053</v>
      </c>
      <c r="H48" s="27" t="n">
        <v>478.6815335039397</v>
      </c>
      <c r="I48" s="27" t="n">
        <v>9.27778112755793</v>
      </c>
      <c r="J48" s="27" t="n">
        <v>202.775682948939</v>
      </c>
      <c r="K48" s="27" t="n">
        <v>25.1988544117183</v>
      </c>
      <c r="L48" s="27" t="n">
        <v>36.60679141088691</v>
      </c>
      <c r="M48" s="27" t="n">
        <v>111.5881141275549</v>
      </c>
      <c r="N48" s="27" t="n">
        <v>234.7195674240909</v>
      </c>
      <c r="O48" s="27" t="n">
        <v>16.59085086573409</v>
      </c>
      <c r="P48" s="27" t="n">
        <v>30.32663375370956</v>
      </c>
      <c r="Q48" s="27" t="n">
        <v>10.53269160391311</v>
      </c>
      <c r="R48" s="27" t="n">
        <v>347.368681353562</v>
      </c>
      <c r="S48" s="27" t="n">
        <v>199.6498182651036</v>
      </c>
      <c r="T48" s="27" t="n">
        <v>23.55590892101083</v>
      </c>
      <c r="U48" s="27" t="n">
        <v>21.28032823709802</v>
      </c>
      <c r="V48" s="27" t="n">
        <v>28.35990577996262</v>
      </c>
      <c r="W48" s="27" t="n">
        <v>12.30743908107149</v>
      </c>
      <c r="X48" s="27" t="n">
        <v>54.24018996456246</v>
      </c>
      <c r="Y48" s="27" t="n">
        <v>236.2564935056622</v>
      </c>
      <c r="Z48" s="27" t="n">
        <v>386.3367819311413</v>
      </c>
      <c r="AA48" s="27" t="n">
        <v>918.2887349204011</v>
      </c>
      <c r="AB48" s="27" t="n">
        <v>403.1146672374589</v>
      </c>
      <c r="AC48" s="27" t="n">
        <v>113.5017947949435</v>
      </c>
      <c r="AD48" s="27" t="n">
        <v>77.85006556450077</v>
      </c>
      <c r="AE48" s="27" t="n">
        <v>62.37786217075831</v>
      </c>
      <c r="AF48" s="27" t="n">
        <v>24.46968985562915</v>
      </c>
      <c r="AG48" s="27" t="n">
        <v>51.2199601492642</v>
      </c>
      <c r="AH48" s="27" t="n">
        <v>174.3601083291347</v>
      </c>
      <c r="AI48" s="27" t="n">
        <v>26.91502034421076</v>
      </c>
      <c r="AJ48" s="27" t="n">
        <v>33.86630892585904</v>
      </c>
      <c r="AK48" s="27" t="n">
        <v>5053.030173751201</v>
      </c>
      <c r="AL48" s="27" t="n">
        <v>69.46918826268454</v>
      </c>
      <c r="AM48" s="27" t="n">
        <v>1396.868902891503</v>
      </c>
      <c r="AN48" s="27" t="n">
        <v>257.6999751101266</v>
      </c>
      <c r="AO48" s="27" t="n">
        <v>271.6735655681796</v>
      </c>
      <c r="AP48" s="27" t="n">
        <v>153.7484963122202</v>
      </c>
      <c r="AQ48" s="27" t="n">
        <v>51.40355007575783</v>
      </c>
      <c r="AR48" s="27" t="n">
        <v>17.84772618504851</v>
      </c>
      <c r="AS48" s="27" t="n">
        <v>263.7138712883918</v>
      </c>
      <c r="AT48" s="27" t="n">
        <v>210.7734232811246</v>
      </c>
      <c r="AU48" s="27" t="n">
        <v>197.3171834737895</v>
      </c>
      <c r="AV48" s="27" t="n">
        <v>253.4117854287673</v>
      </c>
      <c r="AW48" s="27" t="n">
        <v>1141.260206920105</v>
      </c>
      <c r="AX48" s="27" t="n">
        <v>0</v>
      </c>
      <c r="AY48" s="27" t="n">
        <v>132.2678008497032</v>
      </c>
      <c r="AZ48" s="27" t="n">
        <v>192.0930800501643</v>
      </c>
      <c r="BA48" s="27" t="n">
        <v>1015.428498378273</v>
      </c>
      <c r="BB48" s="27">
        <f>SUM(C48:BA48)</f>
        <v/>
      </c>
      <c r="BC48" s="27" t="n">
        <v>0</v>
      </c>
      <c r="BD48" s="27" t="n">
        <v>0</v>
      </c>
      <c r="BE48" s="27" t="n">
        <v>0</v>
      </c>
      <c r="BF48" s="27" t="n">
        <v>0</v>
      </c>
      <c r="BG48" s="27">
        <f>SUM(BC48:BF48)</f>
        <v/>
      </c>
      <c r="BH48" s="27">
        <f>BB48+BG48</f>
        <v/>
      </c>
    </row>
    <row r="49">
      <c r="A49" s="29" t="n">
        <v>36</v>
      </c>
      <c r="B49" s="30" t="inlineStr">
        <is>
          <t>Construção civil</t>
        </is>
      </c>
      <c r="C49" s="29" t="n">
        <v>1.419434365177532</v>
      </c>
      <c r="D49" s="29" t="n">
        <v>3.515319640707185</v>
      </c>
      <c r="E49" s="29" t="n">
        <v>53.9391539057295</v>
      </c>
      <c r="F49" s="29" t="n">
        <v>22.49087237950559</v>
      </c>
      <c r="G49" s="29" t="n">
        <v>6.480655312291858</v>
      </c>
      <c r="H49" s="29" t="n">
        <v>1.69907165065932</v>
      </c>
      <c r="I49" s="29" t="n">
        <v>0.1190904735723637</v>
      </c>
      <c r="J49" s="29" t="n">
        <v>0.8678920996473264</v>
      </c>
      <c r="K49" s="29" t="n">
        <v>0.1255837687686439</v>
      </c>
      <c r="L49" s="29" t="n">
        <v>0.1046197673841802</v>
      </c>
      <c r="M49" s="29" t="n">
        <v>0.03392290503263868</v>
      </c>
      <c r="N49" s="29" t="n">
        <v>0.5942487027377639</v>
      </c>
      <c r="O49" s="29" t="n">
        <v>0.4571932452818244</v>
      </c>
      <c r="P49" s="29" t="n">
        <v>0.5832920404516457</v>
      </c>
      <c r="Q49" s="29" t="n">
        <v>0.4659751166236276</v>
      </c>
      <c r="R49" s="29" t="n">
        <v>2.049630347857795</v>
      </c>
      <c r="S49" s="29" t="n">
        <v>0.05839231870708771</v>
      </c>
      <c r="T49" s="29" t="n">
        <v>0.3003227401424606</v>
      </c>
      <c r="U49" s="29" t="n">
        <v>0.1263841020305064</v>
      </c>
      <c r="V49" s="29" t="n">
        <v>0.1654687729028197</v>
      </c>
      <c r="W49" s="29" t="n">
        <v>0.08960366906465457</v>
      </c>
      <c r="X49" s="29" t="n">
        <v>0.07754060283143772</v>
      </c>
      <c r="Y49" s="29" t="n">
        <v>0.2255470960100576</v>
      </c>
      <c r="Z49" s="29" t="n">
        <v>0.7125970334556706</v>
      </c>
      <c r="AA49" s="29" t="n">
        <v>4.183851817253969</v>
      </c>
      <c r="AB49" s="29" t="n">
        <v>27.1547808579344</v>
      </c>
      <c r="AC49" s="29" t="n">
        <v>1.160633188673701</v>
      </c>
      <c r="AD49" s="29" t="n">
        <v>1.981287287155855</v>
      </c>
      <c r="AE49" s="29" t="n">
        <v>0.4972307100662569</v>
      </c>
      <c r="AF49" s="29" t="n">
        <v>2.135787354244669</v>
      </c>
      <c r="AG49" s="29" t="n">
        <v>5.373142817305318</v>
      </c>
      <c r="AH49" s="29" t="n">
        <v>0.9515953590464397</v>
      </c>
      <c r="AI49" s="29" t="n">
        <v>4.672025526978094</v>
      </c>
      <c r="AJ49" s="29" t="n">
        <v>0.3995938928870744</v>
      </c>
      <c r="AK49" s="29" t="n">
        <v>99.45896462824467</v>
      </c>
      <c r="AL49" s="29" t="n">
        <v>1012.87163965121</v>
      </c>
      <c r="AM49" s="29" t="n">
        <v>26.70770471003702</v>
      </c>
      <c r="AN49" s="29" t="n">
        <v>30.88559282118068</v>
      </c>
      <c r="AO49" s="29" t="n">
        <v>112.503172263801</v>
      </c>
      <c r="AP49" s="29" t="n">
        <v>21.13138785898143</v>
      </c>
      <c r="AQ49" s="29" t="n">
        <v>29.54544635837459</v>
      </c>
      <c r="AR49" s="29" t="n">
        <v>0.06247042500588116</v>
      </c>
      <c r="AS49" s="29" t="n">
        <v>10.25779492381733</v>
      </c>
      <c r="AT49" s="29" t="n">
        <v>22.51767150419606</v>
      </c>
      <c r="AU49" s="29" t="n">
        <v>8.847094507990208</v>
      </c>
      <c r="AV49" s="29" t="n">
        <v>0.3837230123268107</v>
      </c>
      <c r="AW49" s="29" t="n">
        <v>54.54434759395782</v>
      </c>
      <c r="AX49" s="29" t="n">
        <v>0</v>
      </c>
      <c r="AY49" s="29" t="n">
        <v>12.65880479802406</v>
      </c>
      <c r="AZ49" s="29" t="n">
        <v>56.12962246033646</v>
      </c>
      <c r="BA49" s="29" t="n">
        <v>206.630337876463</v>
      </c>
      <c r="BB49" s="29">
        <f>SUM(C49:BA49)</f>
        <v/>
      </c>
      <c r="BC49" s="29" t="n">
        <v>0</v>
      </c>
      <c r="BD49" s="29" t="n">
        <v>0</v>
      </c>
      <c r="BE49" s="29" t="n">
        <v>0</v>
      </c>
      <c r="BF49" s="29" t="n">
        <v>0</v>
      </c>
      <c r="BG49" s="29">
        <f>SUM(BC49:BF49)</f>
        <v/>
      </c>
      <c r="BH49" s="29">
        <f>BB49+BG49</f>
        <v/>
      </c>
    </row>
    <row r="50">
      <c r="A50" s="27" t="n">
        <v>37</v>
      </c>
      <c r="B50" s="28" t="inlineStr">
        <is>
          <t>Comércio</t>
        </is>
      </c>
      <c r="C50" s="27" t="n">
        <v>-275.4914115996175</v>
      </c>
      <c r="D50" s="27" t="n">
        <v>56.06771976032877</v>
      </c>
      <c r="E50" s="27" t="n">
        <v>-51.56147282813129</v>
      </c>
      <c r="F50" s="27" t="n">
        <v>-1197.064843494569</v>
      </c>
      <c r="G50" s="27" t="n">
        <v>-411.7552496428415</v>
      </c>
      <c r="H50" s="27" t="n">
        <v>-16217.43765605215</v>
      </c>
      <c r="I50" s="27" t="n">
        <v>-655.2126185067549</v>
      </c>
      <c r="J50" s="27" t="n">
        <v>-1609.087933219731</v>
      </c>
      <c r="K50" s="27" t="n">
        <v>-1425.282098068049</v>
      </c>
      <c r="L50" s="27" t="n">
        <v>-2177.440328587806</v>
      </c>
      <c r="M50" s="27" t="n">
        <v>-595.0251323956011</v>
      </c>
      <c r="N50" s="27" t="n">
        <v>-3026.871704337732</v>
      </c>
      <c r="O50" s="27" t="n">
        <v>-147.2946678788808</v>
      </c>
      <c r="P50" s="27" t="n">
        <v>-594.142575792156</v>
      </c>
      <c r="Q50" s="27" t="n">
        <v>-474.9351984755394</v>
      </c>
      <c r="R50" s="27" t="n">
        <v>-327.764709800833</v>
      </c>
      <c r="S50" s="27" t="n">
        <v>-1055.90339815317</v>
      </c>
      <c r="T50" s="27" t="n">
        <v>-1709.917071110932</v>
      </c>
      <c r="U50" s="27" t="n">
        <v>-580.3395373352907</v>
      </c>
      <c r="V50" s="27" t="n">
        <v>-123.0756979552106</v>
      </c>
      <c r="W50" s="27" t="n">
        <v>-318.3756979607146</v>
      </c>
      <c r="X50" s="27" t="n">
        <v>-1308.278669413722</v>
      </c>
      <c r="Y50" s="27" t="n">
        <v>-3101.271766276614</v>
      </c>
      <c r="Z50" s="27" t="n">
        <v>-2348.350877285922</v>
      </c>
      <c r="AA50" s="27" t="n">
        <v>-3608.483158094173</v>
      </c>
      <c r="AB50" s="27" t="n">
        <v>-1030.700847695636</v>
      </c>
      <c r="AC50" s="27" t="n">
        <v>-2214.130599255436</v>
      </c>
      <c r="AD50" s="27" t="n">
        <v>-7796.130811357197</v>
      </c>
      <c r="AE50" s="27" t="n">
        <v>-1917.611819192317</v>
      </c>
      <c r="AF50" s="27" t="n">
        <v>-2555.058348115855</v>
      </c>
      <c r="AG50" s="27" t="n">
        <v>-710.6954458543192</v>
      </c>
      <c r="AH50" s="27" t="n">
        <v>-45.14502752950876</v>
      </c>
      <c r="AI50" s="27" t="n">
        <v>-218.3409850418293</v>
      </c>
      <c r="AJ50" s="27" t="n">
        <v>-706.9587667929476</v>
      </c>
      <c r="AK50" s="27" t="n">
        <v>-1446.436099261458</v>
      </c>
      <c r="AL50" s="27" t="n">
        <v>-621.2661278117345</v>
      </c>
      <c r="AM50" s="27" t="n">
        <v>-12569.87848691341</v>
      </c>
      <c r="AN50" s="27" t="n">
        <v>-10355.23524714673</v>
      </c>
      <c r="AO50" s="27" t="n">
        <v>-9935.36488623964</v>
      </c>
      <c r="AP50" s="27" t="n">
        <v>-151.7285211894977</v>
      </c>
      <c r="AQ50" s="27" t="n">
        <v>-18.71994308261826</v>
      </c>
      <c r="AR50" s="27" t="n">
        <v>-3.806209005841544</v>
      </c>
      <c r="AS50" s="27" t="n">
        <v>39.17478304602104</v>
      </c>
      <c r="AT50" s="27" t="n">
        <v>-2789.151733993448</v>
      </c>
      <c r="AU50" s="27" t="n">
        <v>-2.688442831281031</v>
      </c>
      <c r="AV50" s="27" t="n">
        <v>-783.1716713230408</v>
      </c>
      <c r="AW50" s="27" t="n">
        <v>-125.7666907443264</v>
      </c>
      <c r="AX50" s="27" t="n">
        <v>0</v>
      </c>
      <c r="AY50" s="27" t="n">
        <v>-539.9721626720051</v>
      </c>
      <c r="AZ50" s="27" t="n">
        <v>-1401.16634671329</v>
      </c>
      <c r="BA50" s="27" t="n">
        <v>-2316.997848538328</v>
      </c>
      <c r="BB50" s="27">
        <f>SUM(C50:BA50)</f>
        <v/>
      </c>
      <c r="BC50" s="27" t="n">
        <v>0</v>
      </c>
      <c r="BD50" s="27" t="n">
        <v>0</v>
      </c>
      <c r="BE50" s="27" t="n">
        <v>0</v>
      </c>
      <c r="BF50" s="27" t="n">
        <v>0</v>
      </c>
      <c r="BG50" s="27">
        <f>SUM(BC50:BF50)</f>
        <v/>
      </c>
      <c r="BH50" s="27">
        <f>BB50+BG50</f>
        <v/>
      </c>
    </row>
    <row r="51">
      <c r="A51" s="29" t="n">
        <v>38</v>
      </c>
      <c r="B51" s="30" t="inlineStr">
        <is>
          <t>Transporte armazenagem e correio</t>
        </is>
      </c>
      <c r="C51" s="29" t="n">
        <v>-146.03121442033</v>
      </c>
      <c r="D51" s="29" t="n">
        <v>-28.05995479667428</v>
      </c>
      <c r="E51" s="29" t="n">
        <v>-203.554575251857</v>
      </c>
      <c r="F51" s="29" t="n">
        <v>-104.462306353313</v>
      </c>
      <c r="G51" s="29" t="n">
        <v>-51.47153403160677</v>
      </c>
      <c r="H51" s="29" t="n">
        <v>-947.8420962605509</v>
      </c>
      <c r="I51" s="29" t="n">
        <v>-3.607902770934804</v>
      </c>
      <c r="J51" s="29" t="n">
        <v>-37.53601278336919</v>
      </c>
      <c r="K51" s="29" t="n">
        <v>-4.095908634688729</v>
      </c>
      <c r="L51" s="29" t="n">
        <v>-28.09143182572697</v>
      </c>
      <c r="M51" s="29" t="n">
        <v>10.99949020421814</v>
      </c>
      <c r="N51" s="29" t="n">
        <v>-123.6815130835397</v>
      </c>
      <c r="O51" s="29" t="n">
        <v>-13.64388376873186</v>
      </c>
      <c r="P51" s="29" t="n">
        <v>-76.72182296976192</v>
      </c>
      <c r="Q51" s="29" t="n">
        <v>-27.46665141698822</v>
      </c>
      <c r="R51" s="29" t="n">
        <v>-143.1336066543915</v>
      </c>
      <c r="S51" s="29" t="n">
        <v>-40.23418789928341</v>
      </c>
      <c r="T51" s="29" t="n">
        <v>-48.84173490689038</v>
      </c>
      <c r="U51" s="29" t="n">
        <v>-1.575203998927204</v>
      </c>
      <c r="V51" s="29" t="n">
        <v>-43.82084769626256</v>
      </c>
      <c r="W51" s="29" t="n">
        <v>-3.963560202727027</v>
      </c>
      <c r="X51" s="29" t="n">
        <v>-23.42709420886436</v>
      </c>
      <c r="Y51" s="29" t="n">
        <v>-58.64286178656734</v>
      </c>
      <c r="Z51" s="29" t="n">
        <v>-42.4049519124828</v>
      </c>
      <c r="AA51" s="29" t="n">
        <v>-281.8631377462336</v>
      </c>
      <c r="AB51" s="29" t="n">
        <v>-16.61224660321784</v>
      </c>
      <c r="AC51" s="29" t="n">
        <v>-53.42201755792878</v>
      </c>
      <c r="AD51" s="29" t="n">
        <v>-12.76652892685483</v>
      </c>
      <c r="AE51" s="29" t="n">
        <v>-47.65021793213585</v>
      </c>
      <c r="AF51" s="29" t="n">
        <v>-69.18993064709608</v>
      </c>
      <c r="AG51" s="29" t="n">
        <v>-184.7603564112929</v>
      </c>
      <c r="AH51" s="29" t="n">
        <v>-49.92663222013702</v>
      </c>
      <c r="AI51" s="29" t="n">
        <v>-15.49123389737452</v>
      </c>
      <c r="AJ51" s="29" t="n">
        <v>-26.96024006282585</v>
      </c>
      <c r="AK51" s="29" t="n">
        <v>-15.84706202577329</v>
      </c>
      <c r="AL51" s="29" t="n">
        <v>46.94342132455572</v>
      </c>
      <c r="AM51" s="29" t="n">
        <v>-650.3989720432547</v>
      </c>
      <c r="AN51" s="29" t="n">
        <v>-1411.244780929047</v>
      </c>
      <c r="AO51" s="29" t="n">
        <v>87.00573872569093</v>
      </c>
      <c r="AP51" s="29" t="n">
        <v>203.204566635771</v>
      </c>
      <c r="AQ51" s="29" t="n">
        <v>12.72764535599863</v>
      </c>
      <c r="AR51" s="29" t="n">
        <v>0.8029817029310602</v>
      </c>
      <c r="AS51" s="29" t="n">
        <v>1.345969617731666</v>
      </c>
      <c r="AT51" s="29" t="n">
        <v>166.6960002064579</v>
      </c>
      <c r="AU51" s="29" t="n">
        <v>175.4637916288193</v>
      </c>
      <c r="AV51" s="29" t="n">
        <v>10.69947408798604</v>
      </c>
      <c r="AW51" s="29" t="n">
        <v>711.2939126611554</v>
      </c>
      <c r="AX51" s="29" t="n">
        <v>0</v>
      </c>
      <c r="AY51" s="29" t="n">
        <v>59.24054563376275</v>
      </c>
      <c r="AZ51" s="29" t="n">
        <v>35.3398652487129</v>
      </c>
      <c r="BA51" s="29" t="n">
        <v>117.9784458465582</v>
      </c>
      <c r="BB51" s="29">
        <f>SUM(C51:BA51)</f>
        <v/>
      </c>
      <c r="BC51" s="29" t="n">
        <v>0</v>
      </c>
      <c r="BD51" s="29" t="n">
        <v>0</v>
      </c>
      <c r="BE51" s="29" t="n">
        <v>0</v>
      </c>
      <c r="BF51" s="29" t="n">
        <v>0</v>
      </c>
      <c r="BG51" s="29">
        <f>SUM(BC51:BF51)</f>
        <v/>
      </c>
      <c r="BH51" s="29">
        <f>BB51+BG51</f>
        <v/>
      </c>
    </row>
    <row r="52">
      <c r="A52" s="27" t="n">
        <v>39</v>
      </c>
      <c r="B52" s="28" t="inlineStr">
        <is>
          <t>Serviços de informação</t>
        </is>
      </c>
      <c r="C52" s="27" t="n">
        <v>3.261876763644207</v>
      </c>
      <c r="D52" s="27" t="n">
        <v>1.475424091948353</v>
      </c>
      <c r="E52" s="27" t="n">
        <v>58.73756041286711</v>
      </c>
      <c r="F52" s="27" t="n">
        <v>21.44221930546501</v>
      </c>
      <c r="G52" s="27" t="n">
        <v>10.38692187698045</v>
      </c>
      <c r="H52" s="27" t="n">
        <v>405.8670254937883</v>
      </c>
      <c r="I52" s="27" t="n">
        <v>9.104131926441955</v>
      </c>
      <c r="J52" s="27" t="n">
        <v>45.34815253441217</v>
      </c>
      <c r="K52" s="27" t="n">
        <v>76.27555266116957</v>
      </c>
      <c r="L52" s="27" t="n">
        <v>29.70387106774163</v>
      </c>
      <c r="M52" s="27" t="n">
        <v>15.99084210516715</v>
      </c>
      <c r="N52" s="27" t="n">
        <v>56.65317709380403</v>
      </c>
      <c r="O52" s="27" t="n">
        <v>72.45655146965785</v>
      </c>
      <c r="P52" s="27" t="n">
        <v>28.79063958342201</v>
      </c>
      <c r="Q52" s="27" t="n">
        <v>10.49354365360405</v>
      </c>
      <c r="R52" s="27" t="n">
        <v>73.04636103057358</v>
      </c>
      <c r="S52" s="27" t="n">
        <v>19.42345026752299</v>
      </c>
      <c r="T52" s="27" t="n">
        <v>48.88076905201413</v>
      </c>
      <c r="U52" s="27" t="n">
        <v>23.31328602797475</v>
      </c>
      <c r="V52" s="27" t="n">
        <v>5.788595571829243</v>
      </c>
      <c r="W52" s="27" t="n">
        <v>14.44871738424039</v>
      </c>
      <c r="X52" s="27" t="n">
        <v>14.89139516720729</v>
      </c>
      <c r="Y52" s="27" t="n">
        <v>55.69135220205298</v>
      </c>
      <c r="Z52" s="27" t="n">
        <v>56.17208928006475</v>
      </c>
      <c r="AA52" s="27" t="n">
        <v>57.80714171217413</v>
      </c>
      <c r="AB52" s="27" t="n">
        <v>11.11744828946936</v>
      </c>
      <c r="AC52" s="27" t="n">
        <v>54.86619660918506</v>
      </c>
      <c r="AD52" s="27" t="n">
        <v>91.18060665763385</v>
      </c>
      <c r="AE52" s="27" t="n">
        <v>89.85283265101341</v>
      </c>
      <c r="AF52" s="27" t="n">
        <v>124.4158438007751</v>
      </c>
      <c r="AG52" s="27" t="n">
        <v>239.1804415792972</v>
      </c>
      <c r="AH52" s="27" t="n">
        <v>209.7904838427472</v>
      </c>
      <c r="AI52" s="27" t="n">
        <v>24.82382100297108</v>
      </c>
      <c r="AJ52" s="27" t="n">
        <v>48.8827842960722</v>
      </c>
      <c r="AK52" s="27" t="n">
        <v>151.243894821304</v>
      </c>
      <c r="AL52" s="27" t="n">
        <v>177.3356936384143</v>
      </c>
      <c r="AM52" s="27" t="n">
        <v>1213.369656425047</v>
      </c>
      <c r="AN52" s="27" t="n">
        <v>393.3575344138559</v>
      </c>
      <c r="AO52" s="27" t="n">
        <v>4607.694976529523</v>
      </c>
      <c r="AP52" s="27" t="n">
        <v>1587.350285259855</v>
      </c>
      <c r="AQ52" s="27" t="n">
        <v>88.24021363648968</v>
      </c>
      <c r="AR52" s="27" t="n">
        <v>25.82413930870716</v>
      </c>
      <c r="AS52" s="27" t="n">
        <v>92.89023076515545</v>
      </c>
      <c r="AT52" s="27" t="n">
        <v>3586.272652848802</v>
      </c>
      <c r="AU52" s="27" t="n">
        <v>370.2025683574648</v>
      </c>
      <c r="AV52" s="27" t="n">
        <v>135.5964882227405</v>
      </c>
      <c r="AW52" s="27" t="n">
        <v>455.9304884462651</v>
      </c>
      <c r="AX52" s="27" t="n">
        <v>0</v>
      </c>
      <c r="AY52" s="27" t="n">
        <v>425.5111899261924</v>
      </c>
      <c r="AZ52" s="27" t="n">
        <v>168.5834937862666</v>
      </c>
      <c r="BA52" s="27" t="n">
        <v>1114.007464428803</v>
      </c>
      <c r="BB52" s="27">
        <f>SUM(C52:BA52)</f>
        <v/>
      </c>
      <c r="BC52" s="27" t="n">
        <v>0</v>
      </c>
      <c r="BD52" s="27" t="n">
        <v>0</v>
      </c>
      <c r="BE52" s="27" t="n">
        <v>0</v>
      </c>
      <c r="BF52" s="27" t="n">
        <v>0</v>
      </c>
      <c r="BG52" s="27">
        <f>SUM(BC52:BF52)</f>
        <v/>
      </c>
      <c r="BH52" s="27">
        <f>BB52+BG52</f>
        <v/>
      </c>
    </row>
    <row r="53">
      <c r="A53" s="29" t="n">
        <v>40</v>
      </c>
      <c r="B53" s="30" t="inlineStr">
        <is>
          <t>Intermediação financeira seguros e previdência complementar e serviços relacionados</t>
        </is>
      </c>
      <c r="C53" s="29" t="n">
        <v>233.2298434904673</v>
      </c>
      <c r="D53" s="29" t="n">
        <v>113.2238472971112</v>
      </c>
      <c r="E53" s="29" t="n">
        <v>179.244347683147</v>
      </c>
      <c r="F53" s="29" t="n">
        <v>100.7115702579235</v>
      </c>
      <c r="G53" s="29" t="n">
        <v>64.96695797032082</v>
      </c>
      <c r="H53" s="29" t="n">
        <v>748.5513638400269</v>
      </c>
      <c r="I53" s="29" t="n">
        <v>37.35863131585656</v>
      </c>
      <c r="J53" s="29" t="n">
        <v>71.92676566741555</v>
      </c>
      <c r="K53" s="29" t="n">
        <v>67.70553021961487</v>
      </c>
      <c r="L53" s="29" t="n">
        <v>60.67228357702684</v>
      </c>
      <c r="M53" s="29" t="n">
        <v>46.77367508731718</v>
      </c>
      <c r="N53" s="29" t="n">
        <v>125.7902707195357</v>
      </c>
      <c r="O53" s="29" t="n">
        <v>26.77710585179805</v>
      </c>
      <c r="P53" s="29" t="n">
        <v>147.3514632758651</v>
      </c>
      <c r="Q53" s="29" t="n">
        <v>40.51160878932396</v>
      </c>
      <c r="R53" s="29" t="n">
        <v>160.1001376096959</v>
      </c>
      <c r="S53" s="29" t="n">
        <v>70.75884822612062</v>
      </c>
      <c r="T53" s="29" t="n">
        <v>44.81303089460016</v>
      </c>
      <c r="U53" s="29" t="n">
        <v>26.35199547973172</v>
      </c>
      <c r="V53" s="29" t="n">
        <v>44.80666600357509</v>
      </c>
      <c r="W53" s="29" t="n">
        <v>18.14451249244861</v>
      </c>
      <c r="X53" s="29" t="n">
        <v>35.23697187204011</v>
      </c>
      <c r="Y53" s="29" t="n">
        <v>117.2658861996146</v>
      </c>
      <c r="Z53" s="29" t="n">
        <v>111.1569252618592</v>
      </c>
      <c r="AA53" s="29" t="n">
        <v>253.0640926323312</v>
      </c>
      <c r="AB53" s="29" t="n">
        <v>73.40676514539203</v>
      </c>
      <c r="AC53" s="29" t="n">
        <v>109.1261315289159</v>
      </c>
      <c r="AD53" s="29" t="n">
        <v>167.4535107723838</v>
      </c>
      <c r="AE53" s="29" t="n">
        <v>98.05733501826516</v>
      </c>
      <c r="AF53" s="29" t="n">
        <v>113.4469794803723</v>
      </c>
      <c r="AG53" s="29" t="n">
        <v>181.2395178962935</v>
      </c>
      <c r="AH53" s="29" t="n">
        <v>105.6618598477613</v>
      </c>
      <c r="AI53" s="29" t="n">
        <v>42.82773009844332</v>
      </c>
      <c r="AJ53" s="29" t="n">
        <v>52.97487154204499</v>
      </c>
      <c r="AK53" s="29" t="n">
        <v>337.6544405525372</v>
      </c>
      <c r="AL53" s="29" t="n">
        <v>473.1336506330932</v>
      </c>
      <c r="AM53" s="29" t="n">
        <v>1092.740485276165</v>
      </c>
      <c r="AN53" s="29" t="n">
        <v>623.4846303010555</v>
      </c>
      <c r="AO53" s="29" t="n">
        <v>489.7701436416206</v>
      </c>
      <c r="AP53" s="29" t="n">
        <v>2310.007792861565</v>
      </c>
      <c r="AQ53" s="29" t="n">
        <v>1520.392895708838</v>
      </c>
      <c r="AR53" s="29" t="n">
        <v>19.76950373338105</v>
      </c>
      <c r="AS53" s="29" t="n">
        <v>138.9108101964468</v>
      </c>
      <c r="AT53" s="29" t="n">
        <v>454.7110150379894</v>
      </c>
      <c r="AU53" s="29" t="n">
        <v>65.47768142306882</v>
      </c>
      <c r="AV53" s="29" t="n">
        <v>234.0063561664847</v>
      </c>
      <c r="AW53" s="29" t="n">
        <v>263.2191766628011</v>
      </c>
      <c r="AX53" s="29" t="n">
        <v>0</v>
      </c>
      <c r="AY53" s="29" t="n">
        <v>8.852948611590943</v>
      </c>
      <c r="AZ53" s="29" t="n">
        <v>11.96088023282865</v>
      </c>
      <c r="BA53" s="29" t="n">
        <v>2455.757095488588</v>
      </c>
      <c r="BB53" s="29">
        <f>SUM(C53:BA53)</f>
        <v/>
      </c>
      <c r="BC53" s="29" t="n">
        <v>0</v>
      </c>
      <c r="BD53" s="29" t="n">
        <v>0</v>
      </c>
      <c r="BE53" s="29" t="n">
        <v>0</v>
      </c>
      <c r="BF53" s="29" t="n">
        <v>0</v>
      </c>
      <c r="BG53" s="29">
        <f>SUM(BC53:BF53)</f>
        <v/>
      </c>
      <c r="BH53" s="29">
        <f>BB53+BG53</f>
        <v/>
      </c>
    </row>
    <row r="54">
      <c r="A54" s="27" t="n">
        <v>41</v>
      </c>
      <c r="B54" s="28" t="inlineStr">
        <is>
          <t>Atividades imobiliárias e aluguéis</t>
        </is>
      </c>
      <c r="C54" s="27" t="n">
        <v>0.06276233472724685</v>
      </c>
      <c r="D54" s="27" t="n">
        <v>0.02126583638261658</v>
      </c>
      <c r="E54" s="27" t="n">
        <v>5.10460596449787</v>
      </c>
      <c r="F54" s="27" t="n">
        <v>0.02094051807477824</v>
      </c>
      <c r="G54" s="27" t="n">
        <v>0.3144175012987784</v>
      </c>
      <c r="H54" s="27" t="n">
        <v>6.684428584301976</v>
      </c>
      <c r="I54" s="27" t="n">
        <v>0.291673526265278</v>
      </c>
      <c r="J54" s="27" t="n">
        <v>2.983138111414168</v>
      </c>
      <c r="K54" s="27" t="n">
        <v>3.484616491285325</v>
      </c>
      <c r="L54" s="27" t="n">
        <v>0.7673699954187921</v>
      </c>
      <c r="M54" s="27" t="n">
        <v>0.2683706641722116</v>
      </c>
      <c r="N54" s="27" t="n">
        <v>0.7206224749614601</v>
      </c>
      <c r="O54" s="27" t="n">
        <v>0.4745302620343794</v>
      </c>
      <c r="P54" s="27" t="n">
        <v>1.036865680469141</v>
      </c>
      <c r="Q54" s="27" t="n">
        <v>0.7998846917480964</v>
      </c>
      <c r="R54" s="27" t="n">
        <v>1.03744212631601</v>
      </c>
      <c r="S54" s="27" t="n">
        <v>0.199186289039438</v>
      </c>
      <c r="T54" s="27" t="n">
        <v>1.192774124694928</v>
      </c>
      <c r="U54" s="27" t="n">
        <v>0.1782104780245082</v>
      </c>
      <c r="V54" s="27" t="n">
        <v>1.183576811885058</v>
      </c>
      <c r="W54" s="27" t="n">
        <v>0.1147561749146709</v>
      </c>
      <c r="X54" s="27" t="n">
        <v>0.203823266774615</v>
      </c>
      <c r="Y54" s="27" t="n">
        <v>2.592926922720541</v>
      </c>
      <c r="Z54" s="27" t="n">
        <v>1.031159932506182</v>
      </c>
      <c r="AA54" s="27" t="n">
        <v>2.590766121853961</v>
      </c>
      <c r="AB54" s="27" t="n">
        <v>-0.04396788856393865</v>
      </c>
      <c r="AC54" s="27" t="n">
        <v>1.343977816433161</v>
      </c>
      <c r="AD54" s="27" t="n">
        <v>0.8335343365001578</v>
      </c>
      <c r="AE54" s="27" t="n">
        <v>0.6735481512891937</v>
      </c>
      <c r="AF54" s="27" t="n">
        <v>1.552168218577498</v>
      </c>
      <c r="AG54" s="27" t="n">
        <v>0.806440643187584</v>
      </c>
      <c r="AH54" s="27" t="n">
        <v>2.034814308731548</v>
      </c>
      <c r="AI54" s="27" t="n">
        <v>0.3496159400115481</v>
      </c>
      <c r="AJ54" s="27" t="n">
        <v>1.486789754037252</v>
      </c>
      <c r="AK54" s="27" t="n">
        <v>7.908198407093567</v>
      </c>
      <c r="AL54" s="27" t="n">
        <v>10.33316973457245</v>
      </c>
      <c r="AM54" s="27" t="n">
        <v>207.1042700898319</v>
      </c>
      <c r="AN54" s="27" t="n">
        <v>22.90785496465542</v>
      </c>
      <c r="AO54" s="27" t="n">
        <v>33.78271520585015</v>
      </c>
      <c r="AP54" s="27" t="n">
        <v>32.67651138444086</v>
      </c>
      <c r="AQ54" s="27" t="n">
        <v>13.72245386266392</v>
      </c>
      <c r="AR54" s="27" t="n">
        <v>2.476300892361998</v>
      </c>
      <c r="AS54" s="27" t="n">
        <v>33.41145581357718</v>
      </c>
      <c r="AT54" s="27" t="n">
        <v>56.23959328064244</v>
      </c>
      <c r="AU54" s="27" t="n">
        <v>29.41765187183962</v>
      </c>
      <c r="AV54" s="27" t="n">
        <v>12.11217732759301</v>
      </c>
      <c r="AW54" s="27" t="n">
        <v>49.37642038121351</v>
      </c>
      <c r="AX54" s="27" t="n">
        <v>0</v>
      </c>
      <c r="AY54" s="27" t="n">
        <v>3.491513015134946</v>
      </c>
      <c r="AZ54" s="27" t="n">
        <v>2.1977943820505</v>
      </c>
      <c r="BA54" s="27" t="n">
        <v>16.85219986254443</v>
      </c>
      <c r="BB54" s="27">
        <f>SUM(C54:BA54)</f>
        <v/>
      </c>
      <c r="BC54" s="27" t="n">
        <v>0</v>
      </c>
      <c r="BD54" s="27" t="n">
        <v>0</v>
      </c>
      <c r="BE54" s="27" t="n">
        <v>0</v>
      </c>
      <c r="BF54" s="27" t="n">
        <v>0</v>
      </c>
      <c r="BG54" s="27">
        <f>SUM(BC54:BF54)</f>
        <v/>
      </c>
      <c r="BH54" s="27">
        <f>BB54+BG54</f>
        <v/>
      </c>
    </row>
    <row r="55">
      <c r="A55" s="29" t="n">
        <v>42</v>
      </c>
      <c r="B55" s="30" t="inlineStr">
        <is>
          <t>Serviços de manutenção e reparação</t>
        </is>
      </c>
      <c r="C55" s="29" t="n">
        <v>-0.1805412575657615</v>
      </c>
      <c r="D55" s="29" t="n">
        <v>-0.07087463617065547</v>
      </c>
      <c r="E55" s="29" t="n">
        <v>0.5278110866891914</v>
      </c>
      <c r="F55" s="29" t="n">
        <v>-0.9455799046308677</v>
      </c>
      <c r="G55" s="29" t="n">
        <v>-0.2920910387577454</v>
      </c>
      <c r="H55" s="29" t="n">
        <v>-12.76133066059941</v>
      </c>
      <c r="I55" s="29" t="n">
        <v>-0.5034091388604989</v>
      </c>
      <c r="J55" s="29" t="n">
        <v>-1.029553598718142</v>
      </c>
      <c r="K55" s="29" t="n">
        <v>-1.114944835340068</v>
      </c>
      <c r="L55" s="29" t="n">
        <v>-1.002375334862404</v>
      </c>
      <c r="M55" s="29" t="n">
        <v>-0.4620995439329276</v>
      </c>
      <c r="N55" s="29" t="n">
        <v>-2.326097296041531</v>
      </c>
      <c r="O55" s="29" t="n">
        <v>0.1564048139021796</v>
      </c>
      <c r="P55" s="29" t="n">
        <v>-0.5882160299975097</v>
      </c>
      <c r="Q55" s="29" t="n">
        <v>-0.3733404251406944</v>
      </c>
      <c r="R55" s="29" t="n">
        <v>-0.6476812026271034</v>
      </c>
      <c r="S55" s="29" t="n">
        <v>-0.8165431706092722</v>
      </c>
      <c r="T55" s="29" t="n">
        <v>-1.387504178320619</v>
      </c>
      <c r="U55" s="29" t="n">
        <v>-0.4534797484664866</v>
      </c>
      <c r="V55" s="29" t="n">
        <v>-0.1087583335022112</v>
      </c>
      <c r="W55" s="29" t="n">
        <v>-0.2590300909198797</v>
      </c>
      <c r="X55" s="29" t="n">
        <v>-1.016295687230875</v>
      </c>
      <c r="Y55" s="29" t="n">
        <v>-2.418115005617614</v>
      </c>
      <c r="Z55" s="29" t="n">
        <v>-1.840202610928508</v>
      </c>
      <c r="AA55" s="29" t="n">
        <v>-2.450058625739359</v>
      </c>
      <c r="AB55" s="29" t="n">
        <v>-0.7482943719562506</v>
      </c>
      <c r="AC55" s="29" t="n">
        <v>-1.3203462737048</v>
      </c>
      <c r="AD55" s="29" t="n">
        <v>-5.888155027803446</v>
      </c>
      <c r="AE55" s="29" t="n">
        <v>-0.6271197352658722</v>
      </c>
      <c r="AF55" s="29" t="n">
        <v>4.035940975387123</v>
      </c>
      <c r="AG55" s="29" t="n">
        <v>-0.562409497841582</v>
      </c>
      <c r="AH55" s="29" t="n">
        <v>-0.06191936029798585</v>
      </c>
      <c r="AI55" s="29" t="n">
        <v>-0.1758334541622578</v>
      </c>
      <c r="AJ55" s="29" t="n">
        <v>-0.487199393171529</v>
      </c>
      <c r="AK55" s="29" t="n">
        <v>5.520095003946564</v>
      </c>
      <c r="AL55" s="29" t="n">
        <v>0.8595348070562385</v>
      </c>
      <c r="AM55" s="29" t="n">
        <v>16.55594549935059</v>
      </c>
      <c r="AN55" s="29" t="n">
        <v>-1.375375612116805</v>
      </c>
      <c r="AO55" s="29" t="n">
        <v>72.35010665221959</v>
      </c>
      <c r="AP55" s="29" t="n">
        <v>13.92548278565048</v>
      </c>
      <c r="AQ55" s="29" t="n">
        <v>1.082116973497299</v>
      </c>
      <c r="AR55" s="29" t="n">
        <v>1.606933740508552</v>
      </c>
      <c r="AS55" s="29" t="n">
        <v>1.548338072647802</v>
      </c>
      <c r="AT55" s="29" t="n">
        <v>17.30283150558537</v>
      </c>
      <c r="AU55" s="29" t="n">
        <v>6.44484197214371</v>
      </c>
      <c r="AV55" s="29" t="n">
        <v>7.641867907361934</v>
      </c>
      <c r="AW55" s="29" t="n">
        <v>0.1882381305437582</v>
      </c>
      <c r="AX55" s="29" t="n">
        <v>0</v>
      </c>
      <c r="AY55" s="29" t="n">
        <v>0.401753673362709</v>
      </c>
      <c r="AZ55" s="29" t="n">
        <v>2.091811007515366</v>
      </c>
      <c r="BA55" s="29" t="n">
        <v>7.438364339434481</v>
      </c>
      <c r="BB55" s="29">
        <f>SUM(C55:BA55)</f>
        <v/>
      </c>
      <c r="BC55" s="29" t="n">
        <v>0</v>
      </c>
      <c r="BD55" s="29" t="n">
        <v>0</v>
      </c>
      <c r="BE55" s="29" t="n">
        <v>0</v>
      </c>
      <c r="BF55" s="29" t="n">
        <v>0</v>
      </c>
      <c r="BG55" s="29">
        <f>SUM(BC55:BF55)</f>
        <v/>
      </c>
      <c r="BH55" s="29">
        <f>BB55+BG55</f>
        <v/>
      </c>
    </row>
    <row r="56">
      <c r="A56" s="27" t="n">
        <v>43</v>
      </c>
      <c r="B56" s="28" t="inlineStr">
        <is>
          <t>Serviços de alojamento e alimentação</t>
        </is>
      </c>
      <c r="C56" s="27" t="n">
        <v>0.2304099443841474</v>
      </c>
      <c r="D56" s="27" t="n">
        <v>-0.03864027817196215</v>
      </c>
      <c r="E56" s="27" t="n">
        <v>20.31773463723049</v>
      </c>
      <c r="F56" s="27" t="n">
        <v>1.995133576754676</v>
      </c>
      <c r="G56" s="27" t="n">
        <v>1.833737209800139</v>
      </c>
      <c r="H56" s="27" t="n">
        <v>20.55925359733046</v>
      </c>
      <c r="I56" s="27" t="n">
        <v>3.029457655384372</v>
      </c>
      <c r="J56" s="27" t="n">
        <v>1.047414867758231</v>
      </c>
      <c r="K56" s="27" t="n">
        <v>-0.5842004474664736</v>
      </c>
      <c r="L56" s="27" t="n">
        <v>-1.126862419800695</v>
      </c>
      <c r="M56" s="27" t="n">
        <v>-0.3052532700927746</v>
      </c>
      <c r="N56" s="27" t="n">
        <v>0.607325679294431</v>
      </c>
      <c r="O56" s="27" t="n">
        <v>1.651330088582581</v>
      </c>
      <c r="P56" s="27" t="n">
        <v>1.044315055488249</v>
      </c>
      <c r="Q56" s="27" t="n">
        <v>-0.1100052178536994</v>
      </c>
      <c r="R56" s="27" t="n">
        <v>13.93126746386729</v>
      </c>
      <c r="S56" s="27" t="n">
        <v>-0.417940098247764</v>
      </c>
      <c r="T56" s="27" t="n">
        <v>19.65512685496839</v>
      </c>
      <c r="U56" s="27" t="n">
        <v>5.527267638237502</v>
      </c>
      <c r="V56" s="27" t="n">
        <v>2.905677317709859</v>
      </c>
      <c r="W56" s="27" t="n">
        <v>1.94851050477787</v>
      </c>
      <c r="X56" s="27" t="n">
        <v>6.388381369158446</v>
      </c>
      <c r="Y56" s="27" t="n">
        <v>2.827193739466356</v>
      </c>
      <c r="Z56" s="27" t="n">
        <v>1.486893894785489</v>
      </c>
      <c r="AA56" s="27" t="n">
        <v>15.02551060955497</v>
      </c>
      <c r="AB56" s="27" t="n">
        <v>3.866035230235719</v>
      </c>
      <c r="AC56" s="27" t="n">
        <v>8.926727453575221</v>
      </c>
      <c r="AD56" s="27" t="n">
        <v>18.40859397514355</v>
      </c>
      <c r="AE56" s="27" t="n">
        <v>6.499283758775084</v>
      </c>
      <c r="AF56" s="27" t="n">
        <v>10.16546515454598</v>
      </c>
      <c r="AG56" s="27" t="n">
        <v>28.27248629469626</v>
      </c>
      <c r="AH56" s="27" t="n">
        <v>9.608020887108916</v>
      </c>
      <c r="AI56" s="27" t="n">
        <v>2.905325518136533</v>
      </c>
      <c r="AJ56" s="27" t="n">
        <v>3.577288731040463</v>
      </c>
      <c r="AK56" s="27" t="n">
        <v>20.33532144383758</v>
      </c>
      <c r="AL56" s="27" t="n">
        <v>92.10102021719096</v>
      </c>
      <c r="AM56" s="27" t="n">
        <v>165.8863606306061</v>
      </c>
      <c r="AN56" s="27" t="n">
        <v>78.94365496843146</v>
      </c>
      <c r="AO56" s="27" t="n">
        <v>58.25725056563346</v>
      </c>
      <c r="AP56" s="27" t="n">
        <v>169.7557584446465</v>
      </c>
      <c r="AQ56" s="27" t="n">
        <v>6.69396780373595</v>
      </c>
      <c r="AR56" s="27" t="n">
        <v>4.851488095064564</v>
      </c>
      <c r="AS56" s="27" t="n">
        <v>11.94127936626873</v>
      </c>
      <c r="AT56" s="27" t="n">
        <v>136.3902809273591</v>
      </c>
      <c r="AU56" s="27" t="n">
        <v>36.47810116685324</v>
      </c>
      <c r="AV56" s="27" t="n">
        <v>179.5343980798679</v>
      </c>
      <c r="AW56" s="27" t="n">
        <v>1415.314174805334</v>
      </c>
      <c r="AX56" s="27" t="n">
        <v>0</v>
      </c>
      <c r="AY56" s="27" t="n">
        <v>74.28984575930042</v>
      </c>
      <c r="AZ56" s="27" t="n">
        <v>223.6041008483834</v>
      </c>
      <c r="BA56" s="27" t="n">
        <v>669.0192911935414</v>
      </c>
      <c r="BB56" s="27">
        <f>SUM(C56:BA56)</f>
        <v/>
      </c>
      <c r="BC56" s="27" t="n">
        <v>0</v>
      </c>
      <c r="BD56" s="27" t="n">
        <v>0</v>
      </c>
      <c r="BE56" s="27" t="n">
        <v>0</v>
      </c>
      <c r="BF56" s="27" t="n">
        <v>0</v>
      </c>
      <c r="BG56" s="27">
        <f>SUM(BC56:BF56)</f>
        <v/>
      </c>
      <c r="BH56" s="27">
        <f>BB56+BG56</f>
        <v/>
      </c>
    </row>
    <row r="57">
      <c r="A57" s="29" t="n">
        <v>44</v>
      </c>
      <c r="B57" s="30" t="inlineStr">
        <is>
          <t>Serviços prestados às empresas</t>
        </is>
      </c>
      <c r="C57" s="29" t="n">
        <v>53.40071400511483</v>
      </c>
      <c r="D57" s="29" t="n">
        <v>28.29216613200753</v>
      </c>
      <c r="E57" s="29" t="n">
        <v>746.560379721201</v>
      </c>
      <c r="F57" s="29" t="n">
        <v>118.8271678013339</v>
      </c>
      <c r="G57" s="29" t="n">
        <v>112.6576361845425</v>
      </c>
      <c r="H57" s="29" t="n">
        <v>1392.218555142773</v>
      </c>
      <c r="I57" s="29" t="n">
        <v>124.1844563395672</v>
      </c>
      <c r="J57" s="29" t="n">
        <v>56.03381582921524</v>
      </c>
      <c r="K57" s="29" t="n">
        <v>51.59815302692056</v>
      </c>
      <c r="L57" s="29" t="n">
        <v>90.35583696312584</v>
      </c>
      <c r="M57" s="29" t="n">
        <v>30.63932991535553</v>
      </c>
      <c r="N57" s="29" t="n">
        <v>175.2130647626672</v>
      </c>
      <c r="O57" s="29" t="n">
        <v>25.96197916041565</v>
      </c>
      <c r="P57" s="29" t="n">
        <v>237.9141656902355</v>
      </c>
      <c r="Q57" s="29" t="n">
        <v>32.03144940753081</v>
      </c>
      <c r="R57" s="29" t="n">
        <v>241.3753549438522</v>
      </c>
      <c r="S57" s="29" t="n">
        <v>57.18648565736439</v>
      </c>
      <c r="T57" s="29" t="n">
        <v>302.1218462739142</v>
      </c>
      <c r="U57" s="29" t="n">
        <v>108.8263687183476</v>
      </c>
      <c r="V57" s="29" t="n">
        <v>157.0842384869443</v>
      </c>
      <c r="W57" s="29" t="n">
        <v>72.88928862602297</v>
      </c>
      <c r="X57" s="29" t="n">
        <v>77.48351712731331</v>
      </c>
      <c r="Y57" s="29" t="n">
        <v>178.7995041790134</v>
      </c>
      <c r="Z57" s="29" t="n">
        <v>180.2151073253216</v>
      </c>
      <c r="AA57" s="29" t="n">
        <v>213.4297819420014</v>
      </c>
      <c r="AB57" s="29" t="n">
        <v>80.61516154615694</v>
      </c>
      <c r="AC57" s="29" t="n">
        <v>140.7325282887312</v>
      </c>
      <c r="AD57" s="29" t="n">
        <v>359.7006450818054</v>
      </c>
      <c r="AE57" s="29" t="n">
        <v>228.0569154850137</v>
      </c>
      <c r="AF57" s="29" t="n">
        <v>340.6313713975815</v>
      </c>
      <c r="AG57" s="29" t="n">
        <v>502.0745942252813</v>
      </c>
      <c r="AH57" s="29" t="n">
        <v>177.5430796197063</v>
      </c>
      <c r="AI57" s="29" t="n">
        <v>54.89802411215194</v>
      </c>
      <c r="AJ57" s="29" t="n">
        <v>61.81279630940871</v>
      </c>
      <c r="AK57" s="29" t="n">
        <v>535.5689792744564</v>
      </c>
      <c r="AL57" s="29" t="n">
        <v>800.0969398897088</v>
      </c>
      <c r="AM57" s="29" t="n">
        <v>2543.36279793005</v>
      </c>
      <c r="AN57" s="29" t="n">
        <v>1149.186919870101</v>
      </c>
      <c r="AO57" s="29" t="n">
        <v>1806.347784711223</v>
      </c>
      <c r="AP57" s="29" t="n">
        <v>1522.280703736867</v>
      </c>
      <c r="AQ57" s="29" t="n">
        <v>133.1041511729104</v>
      </c>
      <c r="AR57" s="29" t="n">
        <v>10.11551490559567</v>
      </c>
      <c r="AS57" s="29" t="n">
        <v>165.2724899588428</v>
      </c>
      <c r="AT57" s="29" t="n">
        <v>1765.10953488968</v>
      </c>
      <c r="AU57" s="29" t="n">
        <v>395.3481046132897</v>
      </c>
      <c r="AV57" s="29" t="n">
        <v>133.6745982408309</v>
      </c>
      <c r="AW57" s="29" t="n">
        <v>643.9654658720708</v>
      </c>
      <c r="AX57" s="29" t="n">
        <v>0</v>
      </c>
      <c r="AY57" s="29" t="n">
        <v>315.9654253497645</v>
      </c>
      <c r="AZ57" s="29" t="n">
        <v>461.591383453481</v>
      </c>
      <c r="BA57" s="29" t="n">
        <v>1508.304533189603</v>
      </c>
      <c r="BB57" s="29">
        <f>SUM(C57:BA57)</f>
        <v/>
      </c>
      <c r="BC57" s="29" t="n">
        <v>0</v>
      </c>
      <c r="BD57" s="29" t="n">
        <v>0</v>
      </c>
      <c r="BE57" s="29" t="n">
        <v>0</v>
      </c>
      <c r="BF57" s="29" t="n">
        <v>0</v>
      </c>
      <c r="BG57" s="29">
        <f>SUM(BC57:BF57)</f>
        <v/>
      </c>
      <c r="BH57" s="29">
        <f>BB57+BG57</f>
        <v/>
      </c>
    </row>
    <row r="58">
      <c r="A58" s="27" t="n">
        <v>45</v>
      </c>
      <c r="B58" s="28" t="inlineStr">
        <is>
          <t>Educação mercantil</t>
        </is>
      </c>
      <c r="C58" s="27" t="n">
        <v>0.4251197317728869</v>
      </c>
      <c r="D58" s="27" t="n">
        <v>0.2758845093800905</v>
      </c>
      <c r="E58" s="27" t="n">
        <v>2.405606438669418</v>
      </c>
      <c r="F58" s="27" t="n">
        <v>1.515908358598837</v>
      </c>
      <c r="G58" s="27" t="n">
        <v>0.5922905160780784</v>
      </c>
      <c r="H58" s="27" t="n">
        <v>9.458229588534756</v>
      </c>
      <c r="I58" s="27" t="n">
        <v>0.3094029021219261</v>
      </c>
      <c r="J58" s="27" t="n">
        <v>0.08445867026258697</v>
      </c>
      <c r="K58" s="27" t="n">
        <v>0.05773864128873029</v>
      </c>
      <c r="L58" s="27" t="n">
        <v>0.1248347003278914</v>
      </c>
      <c r="M58" s="27" t="n">
        <v>0.04666348946727501</v>
      </c>
      <c r="N58" s="27" t="n">
        <v>0.8043200172252913</v>
      </c>
      <c r="O58" s="27" t="n">
        <v>0.05697940920969201</v>
      </c>
      <c r="P58" s="27" t="n">
        <v>0.7060655143476192</v>
      </c>
      <c r="Q58" s="27" t="n">
        <v>0.05975906359310944</v>
      </c>
      <c r="R58" s="27" t="n">
        <v>0.7769536662865234</v>
      </c>
      <c r="S58" s="27" t="n">
        <v>0.09623768557478385</v>
      </c>
      <c r="T58" s="27" t="n">
        <v>0.7385286694723239</v>
      </c>
      <c r="U58" s="27" t="n">
        <v>0.5216399486475016</v>
      </c>
      <c r="V58" s="27" t="n">
        <v>0.4306441176138894</v>
      </c>
      <c r="W58" s="27" t="n">
        <v>0.2318799124964135</v>
      </c>
      <c r="X58" s="27" t="n">
        <v>0.13808062894955</v>
      </c>
      <c r="Y58" s="27" t="n">
        <v>0.3580378795938682</v>
      </c>
      <c r="Z58" s="27" t="n">
        <v>0.3511653628580634</v>
      </c>
      <c r="AA58" s="27" t="n">
        <v>3.914781737080069</v>
      </c>
      <c r="AB58" s="27" t="n">
        <v>1.024864492054327</v>
      </c>
      <c r="AC58" s="27" t="n">
        <v>1.035511348716124</v>
      </c>
      <c r="AD58" s="27" t="n">
        <v>0.7882615165443259</v>
      </c>
      <c r="AE58" s="27" t="n">
        <v>0.5180018936870483</v>
      </c>
      <c r="AF58" s="27" t="n">
        <v>0.8235047943186646</v>
      </c>
      <c r="AG58" s="27" t="n">
        <v>2.555492549845586</v>
      </c>
      <c r="AH58" s="27" t="n">
        <v>0.552843306224082</v>
      </c>
      <c r="AI58" s="27" t="n">
        <v>0.1363079220862099</v>
      </c>
      <c r="AJ58" s="27" t="n">
        <v>0.1282976301819279</v>
      </c>
      <c r="AK58" s="27" t="n">
        <v>2.450621000804543</v>
      </c>
      <c r="AL58" s="27" t="n">
        <v>2.189201632015688</v>
      </c>
      <c r="AM58" s="27" t="n">
        <v>12.72317757904392</v>
      </c>
      <c r="AN58" s="27" t="n">
        <v>16.84647351273885</v>
      </c>
      <c r="AO58" s="27" t="n">
        <v>5.240740245195281</v>
      </c>
      <c r="AP58" s="27" t="n">
        <v>19.63273153984394</v>
      </c>
      <c r="AQ58" s="27" t="n">
        <v>0.3730679374202635</v>
      </c>
      <c r="AR58" s="27" t="n">
        <v>4.464169732597032</v>
      </c>
      <c r="AS58" s="27" t="n">
        <v>0.4786812324357803</v>
      </c>
      <c r="AT58" s="27" t="n">
        <v>52.40488024729952</v>
      </c>
      <c r="AU58" s="27" t="n">
        <v>1.110559458347939</v>
      </c>
      <c r="AV58" s="27" t="n">
        <v>0.3107975421692397</v>
      </c>
      <c r="AW58" s="27" t="n">
        <v>3.620723878339744</v>
      </c>
      <c r="AX58" s="27" t="n">
        <v>0</v>
      </c>
      <c r="AY58" s="27" t="n">
        <v>15.07897311653608</v>
      </c>
      <c r="AZ58" s="27" t="n">
        <v>7.000859600948504</v>
      </c>
      <c r="BA58" s="27" t="n">
        <v>10.66941678904753</v>
      </c>
      <c r="BB58" s="27">
        <f>SUM(C58:BA58)</f>
        <v/>
      </c>
      <c r="BC58" s="27" t="n">
        <v>0</v>
      </c>
      <c r="BD58" s="27" t="n">
        <v>0</v>
      </c>
      <c r="BE58" s="27" t="n">
        <v>0</v>
      </c>
      <c r="BF58" s="27" t="n">
        <v>0</v>
      </c>
      <c r="BG58" s="27">
        <f>SUM(BC58:BF58)</f>
        <v/>
      </c>
      <c r="BH58" s="27">
        <f>BB58+BG58</f>
        <v/>
      </c>
    </row>
    <row r="59">
      <c r="A59" s="29" t="n">
        <v>46</v>
      </c>
      <c r="B59" s="30" t="inlineStr">
        <is>
          <t>Saúde mercantil</t>
        </is>
      </c>
      <c r="C59" s="29" t="n">
        <v>-1.336737140561018</v>
      </c>
      <c r="D59" s="29" t="n">
        <v>-0.3525344530252772</v>
      </c>
      <c r="E59" s="29" t="n">
        <v>-0.4678224522820426</v>
      </c>
      <c r="F59" s="29" t="n">
        <v>-4.730114367016638</v>
      </c>
      <c r="G59" s="29" t="n">
        <v>-1.644659283960594</v>
      </c>
      <c r="H59" s="29" t="n">
        <v>-63.95003904149311</v>
      </c>
      <c r="I59" s="29" t="n">
        <v>-2.508785959728822</v>
      </c>
      <c r="J59" s="29" t="n">
        <v>-6.234134606560778</v>
      </c>
      <c r="K59" s="29" t="n">
        <v>-5.539677412268283</v>
      </c>
      <c r="L59" s="29" t="n">
        <v>-8.40714141067917</v>
      </c>
      <c r="M59" s="29" t="n">
        <v>-2.310421051687281</v>
      </c>
      <c r="N59" s="29" t="n">
        <v>-11.72202328279858</v>
      </c>
      <c r="O59" s="29" t="n">
        <v>-0.5928347943354206</v>
      </c>
      <c r="P59" s="29" t="n">
        <v>-2.914315257647886</v>
      </c>
      <c r="Q59" s="29" t="n">
        <v>-1.858422109396588</v>
      </c>
      <c r="R59" s="29" t="n">
        <v>-3.212154464984238</v>
      </c>
      <c r="S59" s="29" t="n">
        <v>-4.085691976960817</v>
      </c>
      <c r="T59" s="29" t="n">
        <v>-6.913355780814642</v>
      </c>
      <c r="U59" s="29" t="n">
        <v>-2.261337504783864</v>
      </c>
      <c r="V59" s="29" t="n">
        <v>-0.5160358788449509</v>
      </c>
      <c r="W59" s="29" t="n">
        <v>-1.290593703865429</v>
      </c>
      <c r="X59" s="29" t="n">
        <v>-5.085172073684555</v>
      </c>
      <c r="Y59" s="29" t="n">
        <v>-12.07260865962916</v>
      </c>
      <c r="Z59" s="29" t="n">
        <v>-9.385058097434936</v>
      </c>
      <c r="AA59" s="29" t="n">
        <v>-14.42494093606698</v>
      </c>
      <c r="AB59" s="29" t="n">
        <v>-4.026108197894953</v>
      </c>
      <c r="AC59" s="29" t="n">
        <v>-8.61188789733627</v>
      </c>
      <c r="AD59" s="29" t="n">
        <v>-30.86265085153137</v>
      </c>
      <c r="AE59" s="29" t="n">
        <v>-7.513938703170024</v>
      </c>
      <c r="AF59" s="29" t="n">
        <v>-9.986590532904348</v>
      </c>
      <c r="AG59" s="29" t="n">
        <v>-2.901226682170479</v>
      </c>
      <c r="AH59" s="29" t="n">
        <v>-0.2740439632288815</v>
      </c>
      <c r="AI59" s="29" t="n">
        <v>-0.8722102970979698</v>
      </c>
      <c r="AJ59" s="29" t="n">
        <v>-2.786549579560008</v>
      </c>
      <c r="AK59" s="29" t="n">
        <v>-5.582180201058702</v>
      </c>
      <c r="AL59" s="29" t="n">
        <v>-3.335425408781671</v>
      </c>
      <c r="AM59" s="29" t="n">
        <v>-45.99432900476627</v>
      </c>
      <c r="AN59" s="29" t="n">
        <v>-40.77010178038394</v>
      </c>
      <c r="AO59" s="29" t="n">
        <v>-37.9112622310203</v>
      </c>
      <c r="AP59" s="29" t="n">
        <v>-0.1326353646788654</v>
      </c>
      <c r="AQ59" s="29" t="n">
        <v>0.09591852214124977</v>
      </c>
      <c r="AR59" s="29" t="n">
        <v>-0.005581992013908884</v>
      </c>
      <c r="AS59" s="29" t="n">
        <v>-0.03482693109648574</v>
      </c>
      <c r="AT59" s="29" t="n">
        <v>-10.11782427204783</v>
      </c>
      <c r="AU59" s="29" t="n">
        <v>0.3573647853273875</v>
      </c>
      <c r="AV59" s="29" t="n">
        <v>147.5225650470655</v>
      </c>
      <c r="AW59" s="29" t="n">
        <v>-0.00983285780143398</v>
      </c>
      <c r="AX59" s="29" t="n">
        <v>0</v>
      </c>
      <c r="AY59" s="29" t="n">
        <v>-2.197684042203681</v>
      </c>
      <c r="AZ59" s="29" t="n">
        <v>-5.731312497492213</v>
      </c>
      <c r="BA59" s="29" t="n">
        <v>-8.473811352795039</v>
      </c>
      <c r="BB59" s="29">
        <f>SUM(C59:BA59)</f>
        <v/>
      </c>
      <c r="BC59" s="29" t="n">
        <v>0</v>
      </c>
      <c r="BD59" s="29" t="n">
        <v>0</v>
      </c>
      <c r="BE59" s="29" t="n">
        <v>0</v>
      </c>
      <c r="BF59" s="29" t="n">
        <v>0</v>
      </c>
      <c r="BG59" s="29">
        <f>SUM(BC59:BF59)</f>
        <v/>
      </c>
      <c r="BH59" s="29">
        <f>BB59+BG59</f>
        <v/>
      </c>
    </row>
    <row r="60">
      <c r="A60" s="27" t="n">
        <v>47</v>
      </c>
      <c r="B60" s="28" t="inlineStr">
        <is>
          <t>Serviços prestados às famílias e associativas</t>
        </is>
      </c>
      <c r="C60" s="27" t="n">
        <v>1.007174382944761</v>
      </c>
      <c r="D60" s="27" t="n">
        <v>0.5054257100642087</v>
      </c>
      <c r="E60" s="27" t="n">
        <v>12.79723248426408</v>
      </c>
      <c r="F60" s="27" t="n">
        <v>3.69760524678248</v>
      </c>
      <c r="G60" s="27" t="n">
        <v>1.734852512623215</v>
      </c>
      <c r="H60" s="27" t="n">
        <v>32.78903440485259</v>
      </c>
      <c r="I60" s="27" t="n">
        <v>2.547411281285736</v>
      </c>
      <c r="J60" s="27" t="n">
        <v>2.228102884238431</v>
      </c>
      <c r="K60" s="27" t="n">
        <v>0.7509384164493109</v>
      </c>
      <c r="L60" s="27" t="n">
        <v>1.526618758820499</v>
      </c>
      <c r="M60" s="27" t="n">
        <v>0.9077696642565536</v>
      </c>
      <c r="N60" s="27" t="n">
        <v>11.88532187568042</v>
      </c>
      <c r="O60" s="27" t="n">
        <v>0.9808420696132313</v>
      </c>
      <c r="P60" s="27" t="n">
        <v>5.365265834407336</v>
      </c>
      <c r="Q60" s="27" t="n">
        <v>5.42542264178142</v>
      </c>
      <c r="R60" s="27" t="n">
        <v>7.526293427085824</v>
      </c>
      <c r="S60" s="27" t="n">
        <v>0.2084396345176443</v>
      </c>
      <c r="T60" s="27" t="n">
        <v>9.226680303985951</v>
      </c>
      <c r="U60" s="27" t="n">
        <v>5.026742148203136</v>
      </c>
      <c r="V60" s="27" t="n">
        <v>4.552968591714621</v>
      </c>
      <c r="W60" s="27" t="n">
        <v>1.565632358938263</v>
      </c>
      <c r="X60" s="27" t="n">
        <v>8.586526294408197</v>
      </c>
      <c r="Y60" s="27" t="n">
        <v>12.97925692543824</v>
      </c>
      <c r="Z60" s="27" t="n">
        <v>4.651659430881362</v>
      </c>
      <c r="AA60" s="27" t="n">
        <v>7.070559212846208</v>
      </c>
      <c r="AB60" s="27" t="n">
        <v>2.124866851319968</v>
      </c>
      <c r="AC60" s="27" t="n">
        <v>4.355856427620027</v>
      </c>
      <c r="AD60" s="27" t="n">
        <v>9.454536803062126</v>
      </c>
      <c r="AE60" s="27" t="n">
        <v>6.521577622683553</v>
      </c>
      <c r="AF60" s="27" t="n">
        <v>8.564372111323003</v>
      </c>
      <c r="AG60" s="27" t="n">
        <v>23.16745426861498</v>
      </c>
      <c r="AH60" s="27" t="n">
        <v>6.890564760708741</v>
      </c>
      <c r="AI60" s="27" t="n">
        <v>2.718199036125609</v>
      </c>
      <c r="AJ60" s="27" t="n">
        <v>3.226944565017599</v>
      </c>
      <c r="AK60" s="27" t="n">
        <v>24.80565463535025</v>
      </c>
      <c r="AL60" s="27" t="n">
        <v>33.62355347310628</v>
      </c>
      <c r="AM60" s="27" t="n">
        <v>143.5199191312232</v>
      </c>
      <c r="AN60" s="27" t="n">
        <v>62.33382251927972</v>
      </c>
      <c r="AO60" s="27" t="n">
        <v>143.2396067941438</v>
      </c>
      <c r="AP60" s="27" t="n">
        <v>71.99594550456969</v>
      </c>
      <c r="AQ60" s="27" t="n">
        <v>16.54578087874752</v>
      </c>
      <c r="AR60" s="27" t="n">
        <v>1.333974626325783</v>
      </c>
      <c r="AS60" s="27" t="n">
        <v>24.314092909253</v>
      </c>
      <c r="AT60" s="27" t="n">
        <v>73.99595639208434</v>
      </c>
      <c r="AU60" s="27" t="n">
        <v>35.12922876678594</v>
      </c>
      <c r="AV60" s="27" t="n">
        <v>67.29379991617886</v>
      </c>
      <c r="AW60" s="27" t="n">
        <v>133.595369826898</v>
      </c>
      <c r="AX60" s="27" t="n">
        <v>0</v>
      </c>
      <c r="AY60" s="27" t="n">
        <v>31.20459872011747</v>
      </c>
      <c r="AZ60" s="27" t="n">
        <v>41.62593256838353</v>
      </c>
      <c r="BA60" s="27" t="n">
        <v>80.98511864097432</v>
      </c>
      <c r="BB60" s="27">
        <f>SUM(C60:BA60)</f>
        <v/>
      </c>
      <c r="BC60" s="27" t="n">
        <v>0</v>
      </c>
      <c r="BD60" s="27" t="n">
        <v>0</v>
      </c>
      <c r="BE60" s="27" t="n">
        <v>0</v>
      </c>
      <c r="BF60" s="27" t="n">
        <v>0</v>
      </c>
      <c r="BG60" s="27">
        <f>SUM(BC60:BF60)</f>
        <v/>
      </c>
      <c r="BH60" s="27">
        <f>BB60+BG60</f>
        <v/>
      </c>
    </row>
    <row r="61">
      <c r="A61" s="29" t="n">
        <v>48</v>
      </c>
      <c r="B61" s="30" t="inlineStr">
        <is>
          <t>Serviços domésticos</t>
        </is>
      </c>
      <c r="C61" s="29" t="n">
        <v>0</v>
      </c>
      <c r="D61" s="29" t="n">
        <v>0</v>
      </c>
      <c r="E61" s="29" t="n">
        <v>0</v>
      </c>
      <c r="F61" s="29" t="n">
        <v>0</v>
      </c>
      <c r="G61" s="29" t="n">
        <v>0</v>
      </c>
      <c r="H61" s="29" t="n">
        <v>0</v>
      </c>
      <c r="I61" s="29" t="n">
        <v>0</v>
      </c>
      <c r="J61" s="29" t="n">
        <v>0</v>
      </c>
      <c r="K61" s="29" t="n">
        <v>0</v>
      </c>
      <c r="L61" s="29" t="n">
        <v>0</v>
      </c>
      <c r="M61" s="29" t="n">
        <v>0</v>
      </c>
      <c r="N61" s="29" t="n">
        <v>0</v>
      </c>
      <c r="O61" s="29" t="n">
        <v>0</v>
      </c>
      <c r="P61" s="29" t="n">
        <v>0</v>
      </c>
      <c r="Q61" s="29" t="n">
        <v>0</v>
      </c>
      <c r="R61" s="29" t="n">
        <v>0</v>
      </c>
      <c r="S61" s="29" t="n">
        <v>0</v>
      </c>
      <c r="T61" s="29" t="n">
        <v>0</v>
      </c>
      <c r="U61" s="29" t="n">
        <v>0</v>
      </c>
      <c r="V61" s="29" t="n">
        <v>0</v>
      </c>
      <c r="W61" s="29" t="n">
        <v>0</v>
      </c>
      <c r="X61" s="29" t="n">
        <v>0</v>
      </c>
      <c r="Y61" s="29" t="n">
        <v>0</v>
      </c>
      <c r="Z61" s="29" t="n">
        <v>0</v>
      </c>
      <c r="AA61" s="29" t="n">
        <v>0</v>
      </c>
      <c r="AB61" s="29" t="n">
        <v>0</v>
      </c>
      <c r="AC61" s="29" t="n">
        <v>0</v>
      </c>
      <c r="AD61" s="29" t="n">
        <v>0</v>
      </c>
      <c r="AE61" s="29" t="n">
        <v>0</v>
      </c>
      <c r="AF61" s="29" t="n">
        <v>0</v>
      </c>
      <c r="AG61" s="29" t="n">
        <v>0</v>
      </c>
      <c r="AH61" s="29" t="n">
        <v>0</v>
      </c>
      <c r="AI61" s="29" t="n">
        <v>0</v>
      </c>
      <c r="AJ61" s="29" t="n">
        <v>0</v>
      </c>
      <c r="AK61" s="29" t="n">
        <v>0</v>
      </c>
      <c r="AL61" s="29" t="n">
        <v>0</v>
      </c>
      <c r="AM61" s="29" t="n">
        <v>0</v>
      </c>
      <c r="AN61" s="29" t="n">
        <v>0</v>
      </c>
      <c r="AO61" s="29" t="n">
        <v>0</v>
      </c>
      <c r="AP61" s="29" t="n">
        <v>0</v>
      </c>
      <c r="AQ61" s="29" t="n">
        <v>0</v>
      </c>
      <c r="AR61" s="29" t="n">
        <v>0</v>
      </c>
      <c r="AS61" s="29" t="n">
        <v>0</v>
      </c>
      <c r="AT61" s="29" t="n">
        <v>0</v>
      </c>
      <c r="AU61" s="29" t="n">
        <v>0</v>
      </c>
      <c r="AV61" s="29" t="n">
        <v>0</v>
      </c>
      <c r="AW61" s="29" t="n">
        <v>0</v>
      </c>
      <c r="AX61" s="29" t="n">
        <v>0</v>
      </c>
      <c r="AY61" s="29" t="n">
        <v>0</v>
      </c>
      <c r="AZ61" s="29" t="n">
        <v>0</v>
      </c>
      <c r="BA61" s="29" t="n">
        <v>0</v>
      </c>
      <c r="BB61" s="29">
        <f>SUM(C61:BA61)</f>
        <v/>
      </c>
      <c r="BC61" s="29" t="n">
        <v>0</v>
      </c>
      <c r="BD61" s="29" t="n">
        <v>0</v>
      </c>
      <c r="BE61" s="29" t="n">
        <v>0</v>
      </c>
      <c r="BF61" s="29" t="n">
        <v>0</v>
      </c>
      <c r="BG61" s="29">
        <f>SUM(BC61:BF61)</f>
        <v/>
      </c>
      <c r="BH61" s="29">
        <f>BB61+BG61</f>
        <v/>
      </c>
    </row>
    <row r="62">
      <c r="A62" s="27" t="n">
        <v>49</v>
      </c>
      <c r="B62" s="28" t="inlineStr">
        <is>
          <t>Educação pública</t>
        </is>
      </c>
      <c r="C62" s="27" t="n">
        <v>2.186176750426401</v>
      </c>
      <c r="D62" s="27" t="n">
        <v>1.343679730145013</v>
      </c>
      <c r="E62" s="27" t="n">
        <v>29.80368891430431</v>
      </c>
      <c r="F62" s="27" t="n">
        <v>4.538027568421359</v>
      </c>
      <c r="G62" s="27" t="n">
        <v>4.394329942890928</v>
      </c>
      <c r="H62" s="27" t="n">
        <v>57.14733267159684</v>
      </c>
      <c r="I62" s="27" t="n">
        <v>5.054246569949441</v>
      </c>
      <c r="J62" s="27" t="n">
        <v>2.29177788186544</v>
      </c>
      <c r="K62" s="27" t="n">
        <v>2.087365563107999</v>
      </c>
      <c r="L62" s="27" t="n">
        <v>3.707458748439527</v>
      </c>
      <c r="M62" s="27" t="n">
        <v>1.199890215296994</v>
      </c>
      <c r="N62" s="27" t="n">
        <v>7.057740693030449</v>
      </c>
      <c r="O62" s="27" t="n">
        <v>1.072585545719405</v>
      </c>
      <c r="P62" s="27" t="n">
        <v>9.630744383752763</v>
      </c>
      <c r="Q62" s="27" t="n">
        <v>1.287192195228692</v>
      </c>
      <c r="R62" s="27" t="n">
        <v>9.752759164915449</v>
      </c>
      <c r="S62" s="27" t="n">
        <v>2.31880456417418</v>
      </c>
      <c r="T62" s="27" t="n">
        <v>12.27470406882941</v>
      </c>
      <c r="U62" s="27" t="n">
        <v>4.42425338733989</v>
      </c>
      <c r="V62" s="27" t="n">
        <v>6.36341382642934</v>
      </c>
      <c r="W62" s="27" t="n">
        <v>2.950643417783227</v>
      </c>
      <c r="X62" s="27" t="n">
        <v>3.160513714508721</v>
      </c>
      <c r="Y62" s="27" t="n">
        <v>7.291442362929098</v>
      </c>
      <c r="Z62" s="27" t="n">
        <v>7.213936645396696</v>
      </c>
      <c r="AA62" s="27" t="n">
        <v>8.013434541993195</v>
      </c>
      <c r="AB62" s="27" t="n">
        <v>3.165465245029747</v>
      </c>
      <c r="AC62" s="27" t="n">
        <v>5.721202276883887</v>
      </c>
      <c r="AD62" s="27" t="n">
        <v>12.07301547356307</v>
      </c>
      <c r="AE62" s="27" t="n">
        <v>9.210883751305937</v>
      </c>
      <c r="AF62" s="27" t="n">
        <v>13.87930808984311</v>
      </c>
      <c r="AG62" s="27" t="n">
        <v>20.23985515686754</v>
      </c>
      <c r="AH62" s="27" t="n">
        <v>7.135889084904377</v>
      </c>
      <c r="AI62" s="27" t="n">
        <v>2.174777478785289</v>
      </c>
      <c r="AJ62" s="27" t="n">
        <v>2.491629753127983</v>
      </c>
      <c r="AK62" s="27" t="n">
        <v>21.6578444708168</v>
      </c>
      <c r="AL62" s="27" t="n">
        <v>32.00221620944856</v>
      </c>
      <c r="AM62" s="27" t="n">
        <v>103.4586402537982</v>
      </c>
      <c r="AN62" s="27" t="n">
        <v>46.67549396869698</v>
      </c>
      <c r="AO62" s="27" t="n">
        <v>73.70967274748794</v>
      </c>
      <c r="AP62" s="27" t="n">
        <v>61.95864230347823</v>
      </c>
      <c r="AQ62" s="27" t="n">
        <v>5.405302027749557</v>
      </c>
      <c r="AR62" s="27" t="n">
        <v>0.4400244115137758</v>
      </c>
      <c r="AS62" s="27" t="n">
        <v>6.685241789850667</v>
      </c>
      <c r="AT62" s="27" t="n">
        <v>72.16311279468404</v>
      </c>
      <c r="AU62" s="27" t="n">
        <v>16.03161501997331</v>
      </c>
      <c r="AV62" s="27" t="n">
        <v>5.529166718605327</v>
      </c>
      <c r="AW62" s="27" t="n">
        <v>26.20947634004922</v>
      </c>
      <c r="AX62" s="27" t="n">
        <v>0</v>
      </c>
      <c r="AY62" s="27" t="n">
        <v>12.94929227211191</v>
      </c>
      <c r="AZ62" s="27" t="n">
        <v>18.78359668503454</v>
      </c>
      <c r="BA62" s="27" t="n">
        <v>61.36639480182835</v>
      </c>
      <c r="BB62" s="27">
        <f>SUM(C62:BA62)</f>
        <v/>
      </c>
      <c r="BC62" s="27" t="n">
        <v>0</v>
      </c>
      <c r="BD62" s="27" t="n">
        <v>0</v>
      </c>
      <c r="BE62" s="27" t="n">
        <v>0</v>
      </c>
      <c r="BF62" s="27" t="n">
        <v>0</v>
      </c>
      <c r="BG62" s="27">
        <f>SUM(BC62:BF62)</f>
        <v/>
      </c>
      <c r="BH62" s="27">
        <f>BB62+BG62</f>
        <v/>
      </c>
    </row>
    <row r="63">
      <c r="A63" s="29" t="n">
        <v>50</v>
      </c>
      <c r="B63" s="30" t="inlineStr">
        <is>
          <t>Saúde pública</t>
        </is>
      </c>
      <c r="C63" s="29" t="n">
        <v>0.1709280769180564</v>
      </c>
      <c r="D63" s="29" t="n">
        <v>0.2492410136102826</v>
      </c>
      <c r="E63" s="29" t="n">
        <v>2.061445421727381</v>
      </c>
      <c r="F63" s="29" t="n">
        <v>0.3116519569918911</v>
      </c>
      <c r="G63" s="29" t="n">
        <v>0.3022466024651547</v>
      </c>
      <c r="H63" s="29" t="n">
        <v>3.91280393465752</v>
      </c>
      <c r="I63" s="29" t="n">
        <v>0.3479395251126217</v>
      </c>
      <c r="J63" s="29" t="n">
        <v>0.1574093218768907</v>
      </c>
      <c r="K63" s="29" t="n">
        <v>0.1434375434878285</v>
      </c>
      <c r="L63" s="29" t="n">
        <v>0.2551303990406136</v>
      </c>
      <c r="M63" s="29" t="n">
        <v>0.08245179801869526</v>
      </c>
      <c r="N63" s="29" t="n">
        <v>0.4839586235758623</v>
      </c>
      <c r="O63" s="29" t="n">
        <v>0.0660805236092946</v>
      </c>
      <c r="P63" s="29" t="n">
        <v>0.6629412216014714</v>
      </c>
      <c r="Q63" s="29" t="n">
        <v>0.08848142785534387</v>
      </c>
      <c r="R63" s="29" t="n">
        <v>0.6712145631879348</v>
      </c>
      <c r="S63" s="29" t="n">
        <v>0.1595249390653895</v>
      </c>
      <c r="T63" s="29" t="n">
        <v>1.013655990862101</v>
      </c>
      <c r="U63" s="29" t="n">
        <v>0.3151986795939122</v>
      </c>
      <c r="V63" s="29" t="n">
        <v>0.4380402074646971</v>
      </c>
      <c r="W63" s="29" t="n">
        <v>0.2030863056480101</v>
      </c>
      <c r="X63" s="29" t="n">
        <v>0.2171118238958778</v>
      </c>
      <c r="Y63" s="29" t="n">
        <v>0.5015587942551744</v>
      </c>
      <c r="Z63" s="29" t="n">
        <v>0.4963405711027599</v>
      </c>
      <c r="AA63" s="29" t="n">
        <v>0.5489923340516573</v>
      </c>
      <c r="AB63" s="29" t="n">
        <v>0.2172410685265044</v>
      </c>
      <c r="AC63" s="29" t="n">
        <v>0.3931695077129833</v>
      </c>
      <c r="AD63" s="29" t="n">
        <v>0.8305101893122947</v>
      </c>
      <c r="AE63" s="29" t="n">
        <v>0.633945844307932</v>
      </c>
      <c r="AF63" s="29" t="n">
        <v>0.9545020720167828</v>
      </c>
      <c r="AG63" s="29" t="n">
        <v>1.392459611373392</v>
      </c>
      <c r="AH63" s="29" t="n">
        <v>0.4908735384263057</v>
      </c>
      <c r="AI63" s="29" t="n">
        <v>0.1496541351407435</v>
      </c>
      <c r="AJ63" s="29" t="n">
        <v>0.1712978810330019</v>
      </c>
      <c r="AK63" s="29" t="n">
        <v>1.487436971210759</v>
      </c>
      <c r="AL63" s="29" t="n">
        <v>2.201954496093579</v>
      </c>
      <c r="AM63" s="29" t="n">
        <v>7.09480813368216</v>
      </c>
      <c r="AN63" s="29" t="n">
        <v>3.203418937734648</v>
      </c>
      <c r="AO63" s="29" t="n">
        <v>5.047695308698233</v>
      </c>
      <c r="AP63" s="29" t="n">
        <v>4.24828827324001</v>
      </c>
      <c r="AQ63" s="29" t="n">
        <v>0.3702507403865615</v>
      </c>
      <c r="AR63" s="29" t="n">
        <v>0.02780169023351617</v>
      </c>
      <c r="AS63" s="29" t="n">
        <v>0.4579769298398723</v>
      </c>
      <c r="AT63" s="29" t="n">
        <v>4.919984058172805</v>
      </c>
      <c r="AU63" s="29" t="n">
        <v>1.109450899859593</v>
      </c>
      <c r="AV63" s="29" t="n">
        <v>4.718376605983562</v>
      </c>
      <c r="AW63" s="29" t="n">
        <v>1.812532245656239</v>
      </c>
      <c r="AX63" s="29" t="n">
        <v>0</v>
      </c>
      <c r="AY63" s="29" t="n">
        <v>0.901097075291011</v>
      </c>
      <c r="AZ63" s="29" t="n">
        <v>1.41035762505109</v>
      </c>
      <c r="BA63" s="29" t="n">
        <v>4.240765347975439</v>
      </c>
      <c r="BB63" s="29">
        <f>SUM(C63:BA63)</f>
        <v/>
      </c>
      <c r="BC63" s="29" t="n">
        <v>0</v>
      </c>
      <c r="BD63" s="29" t="n">
        <v>0</v>
      </c>
      <c r="BE63" s="29" t="n">
        <v>0</v>
      </c>
      <c r="BF63" s="29" t="n">
        <v>0</v>
      </c>
      <c r="BG63" s="29">
        <f>SUM(BC63:BF63)</f>
        <v/>
      </c>
      <c r="BH63" s="29">
        <f>BB63+BG63</f>
        <v/>
      </c>
    </row>
    <row r="64">
      <c r="A64" s="27" t="n">
        <v>51</v>
      </c>
      <c r="B64" s="28" t="inlineStr">
        <is>
          <t>Administração pública e seguridade social</t>
        </is>
      </c>
      <c r="C64" s="27" t="n">
        <v>81.05093384709339</v>
      </c>
      <c r="D64" s="27" t="n">
        <v>25.05739856608307</v>
      </c>
      <c r="E64" s="27" t="n">
        <v>28.72079308476635</v>
      </c>
      <c r="F64" s="27" t="n">
        <v>3.730823178366339</v>
      </c>
      <c r="G64" s="27" t="n">
        <v>4.904993539451556</v>
      </c>
      <c r="H64" s="27" t="n">
        <v>238.5653227732196</v>
      </c>
      <c r="I64" s="27" t="n">
        <v>4.350453341796647</v>
      </c>
      <c r="J64" s="27" t="n">
        <v>4.159337699596968</v>
      </c>
      <c r="K64" s="27" t="n">
        <v>5.680477753881676</v>
      </c>
      <c r="L64" s="27" t="n">
        <v>3.545731398995051</v>
      </c>
      <c r="M64" s="27" t="n">
        <v>3.774185199532141</v>
      </c>
      <c r="N64" s="27" t="n">
        <v>14.63533972309033</v>
      </c>
      <c r="O64" s="27" t="n">
        <v>19.91147193293022</v>
      </c>
      <c r="P64" s="27" t="n">
        <v>7.915978647910946</v>
      </c>
      <c r="Q64" s="27" t="n">
        <v>1.048392159394032</v>
      </c>
      <c r="R64" s="27" t="n">
        <v>77.70907594825623</v>
      </c>
      <c r="S64" s="27" t="n">
        <v>6.967202473566261</v>
      </c>
      <c r="T64" s="27" t="n">
        <v>14.61137208755707</v>
      </c>
      <c r="U64" s="27" t="n">
        <v>4.827944210438798</v>
      </c>
      <c r="V64" s="27" t="n">
        <v>8.312526514737673</v>
      </c>
      <c r="W64" s="27" t="n">
        <v>6.708725800398088</v>
      </c>
      <c r="X64" s="27" t="n">
        <v>6.435402417758915</v>
      </c>
      <c r="Y64" s="27" t="n">
        <v>9.429055852668668</v>
      </c>
      <c r="Z64" s="27" t="n">
        <v>13.95949304783471</v>
      </c>
      <c r="AA64" s="27" t="n">
        <v>15.96671055226849</v>
      </c>
      <c r="AB64" s="27" t="n">
        <v>8.840163430749111</v>
      </c>
      <c r="AC64" s="27" t="n">
        <v>6.622809366736381</v>
      </c>
      <c r="AD64" s="27" t="n">
        <v>10.18580548394589</v>
      </c>
      <c r="AE64" s="27" t="n">
        <v>8.59114925872561</v>
      </c>
      <c r="AF64" s="27" t="n">
        <v>13.18695675900572</v>
      </c>
      <c r="AG64" s="27" t="n">
        <v>17.09384287071018</v>
      </c>
      <c r="AH64" s="27" t="n">
        <v>8.329186845213256</v>
      </c>
      <c r="AI64" s="27" t="n">
        <v>2.402640939655849</v>
      </c>
      <c r="AJ64" s="27" t="n">
        <v>2.964373777140717</v>
      </c>
      <c r="AK64" s="27" t="n">
        <v>70.94495071922412</v>
      </c>
      <c r="AL64" s="27" t="n">
        <v>31.43652771718</v>
      </c>
      <c r="AM64" s="27" t="n">
        <v>162.1263279887601</v>
      </c>
      <c r="AN64" s="27" t="n">
        <v>29.63890433936979</v>
      </c>
      <c r="AO64" s="27" t="n">
        <v>129.3123781917683</v>
      </c>
      <c r="AP64" s="27" t="n">
        <v>79.82824905903759</v>
      </c>
      <c r="AQ64" s="27" t="n">
        <v>9.769744867679407</v>
      </c>
      <c r="AR64" s="27" t="n">
        <v>0.7559818739878592</v>
      </c>
      <c r="AS64" s="27" t="n">
        <v>11.76758714881666</v>
      </c>
      <c r="AT64" s="27" t="n">
        <v>127.6967448701712</v>
      </c>
      <c r="AU64" s="27" t="n">
        <v>21.2644921243714</v>
      </c>
      <c r="AV64" s="27" t="n">
        <v>20.61361280052665</v>
      </c>
      <c r="AW64" s="27" t="n">
        <v>70.57968403527141</v>
      </c>
      <c r="AX64" s="27" t="n">
        <v>0</v>
      </c>
      <c r="AY64" s="27" t="n">
        <v>18.38328558210658</v>
      </c>
      <c r="AZ64" s="27" t="n">
        <v>23.74153517490664</v>
      </c>
      <c r="BA64" s="27" t="n">
        <v>88.80066224625445</v>
      </c>
      <c r="BB64" s="27">
        <f>SUM(C64:BA64)</f>
        <v/>
      </c>
      <c r="BC64" s="27" t="n">
        <v>0</v>
      </c>
      <c r="BD64" s="27" t="n">
        <v>0</v>
      </c>
      <c r="BE64" s="27" t="n">
        <v>0</v>
      </c>
      <c r="BF64" s="27" t="n">
        <v>0</v>
      </c>
      <c r="BG64" s="27">
        <f>SUM(BC64:BF64)</f>
        <v/>
      </c>
      <c r="BH64" s="27">
        <f>BB64+BG64</f>
        <v/>
      </c>
    </row>
    <row r="65">
      <c r="B65" s="31" t="inlineStr">
        <is>
          <t>Total consumo intermedio</t>
        </is>
      </c>
      <c r="C65" s="32">
        <f>SUM(C14:C64)</f>
        <v/>
      </c>
      <c r="D65" s="32">
        <f>SUM(D14:D64)</f>
        <v/>
      </c>
      <c r="E65" s="32">
        <f>SUM(E14:E64)</f>
        <v/>
      </c>
      <c r="F65" s="32">
        <f>SUM(F14:F64)</f>
        <v/>
      </c>
      <c r="G65" s="32">
        <f>SUM(G14:G64)</f>
        <v/>
      </c>
      <c r="H65" s="32">
        <f>SUM(H14:H64)</f>
        <v/>
      </c>
      <c r="I65" s="32">
        <f>SUM(I14:I64)</f>
        <v/>
      </c>
      <c r="J65" s="32">
        <f>SUM(J14:J64)</f>
        <v/>
      </c>
      <c r="K65" s="32">
        <f>SUM(K14:K64)</f>
        <v/>
      </c>
      <c r="L65" s="32">
        <f>SUM(L14:L64)</f>
        <v/>
      </c>
      <c r="M65" s="32">
        <f>SUM(M14:M64)</f>
        <v/>
      </c>
      <c r="N65" s="32">
        <f>SUM(N14:N64)</f>
        <v/>
      </c>
      <c r="O65" s="32">
        <f>SUM(O14:O64)</f>
        <v/>
      </c>
      <c r="P65" s="32">
        <f>SUM(P14:P64)</f>
        <v/>
      </c>
      <c r="Q65" s="32">
        <f>SUM(Q14:Q64)</f>
        <v/>
      </c>
      <c r="R65" s="32">
        <f>SUM(R14:R64)</f>
        <v/>
      </c>
      <c r="S65" s="32">
        <f>SUM(S14:S64)</f>
        <v/>
      </c>
      <c r="T65" s="32">
        <f>SUM(T14:T64)</f>
        <v/>
      </c>
      <c r="U65" s="32">
        <f>SUM(U14:U64)</f>
        <v/>
      </c>
      <c r="V65" s="32">
        <f>SUM(V14:V64)</f>
        <v/>
      </c>
      <c r="W65" s="32">
        <f>SUM(W14:W64)</f>
        <v/>
      </c>
      <c r="X65" s="32">
        <f>SUM(X14:X64)</f>
        <v/>
      </c>
      <c r="Y65" s="32">
        <f>SUM(Y14:Y64)</f>
        <v/>
      </c>
      <c r="Z65" s="32">
        <f>SUM(Z14:Z64)</f>
        <v/>
      </c>
      <c r="AA65" s="32">
        <f>SUM(AA14:AA64)</f>
        <v/>
      </c>
      <c r="AB65" s="32">
        <f>SUM(AB14:AB64)</f>
        <v/>
      </c>
      <c r="AC65" s="32">
        <f>SUM(AC14:AC64)</f>
        <v/>
      </c>
      <c r="AD65" s="32">
        <f>SUM(AD14:AD64)</f>
        <v/>
      </c>
      <c r="AE65" s="32">
        <f>SUM(AE14:AE64)</f>
        <v/>
      </c>
      <c r="AF65" s="32">
        <f>SUM(AF14:AF64)</f>
        <v/>
      </c>
      <c r="AG65" s="32">
        <f>SUM(AG14:AG64)</f>
        <v/>
      </c>
      <c r="AH65" s="32">
        <f>SUM(AH14:AH64)</f>
        <v/>
      </c>
      <c r="AI65" s="32">
        <f>SUM(AI14:AI64)</f>
        <v/>
      </c>
      <c r="AJ65" s="32">
        <f>SUM(AJ14:AJ64)</f>
        <v/>
      </c>
      <c r="AK65" s="32">
        <f>SUM(AK14:AK64)</f>
        <v/>
      </c>
      <c r="AL65" s="32">
        <f>SUM(AL14:AL64)</f>
        <v/>
      </c>
      <c r="AM65" s="32">
        <f>SUM(AM14:AM64)</f>
        <v/>
      </c>
      <c r="AN65" s="32">
        <f>SUM(AN14:AN64)</f>
        <v/>
      </c>
      <c r="AO65" s="32">
        <f>SUM(AO14:AO64)</f>
        <v/>
      </c>
      <c r="AP65" s="32">
        <f>SUM(AP14:AP64)</f>
        <v/>
      </c>
      <c r="AQ65" s="32">
        <f>SUM(AQ14:AQ64)</f>
        <v/>
      </c>
      <c r="AR65" s="32">
        <f>SUM(AR14:AR64)</f>
        <v/>
      </c>
      <c r="AS65" s="32">
        <f>SUM(AS14:AS64)</f>
        <v/>
      </c>
      <c r="AT65" s="32">
        <f>SUM(AT14:AT64)</f>
        <v/>
      </c>
      <c r="AU65" s="32">
        <f>SUM(AU14:AU64)</f>
        <v/>
      </c>
      <c r="AV65" s="32">
        <f>SUM(AV14:AV64)</f>
        <v/>
      </c>
      <c r="AW65" s="32">
        <f>SUM(AW14:AW64)</f>
        <v/>
      </c>
      <c r="AX65" s="32">
        <f>SUM(AX14:AX64)</f>
        <v/>
      </c>
      <c r="AY65" s="32">
        <f>SUM(AY14:AY64)</f>
        <v/>
      </c>
      <c r="AZ65" s="32">
        <f>SUM(AZ14:AZ64)</f>
        <v/>
      </c>
      <c r="BA65" s="32">
        <f>SUM(BA14:BA64)</f>
        <v/>
      </c>
      <c r="BB65" s="32">
        <f>SUM(BB14:BB64)</f>
        <v/>
      </c>
      <c r="BC65" s="32">
        <f>SUM(BC14:BC64)</f>
        <v/>
      </c>
      <c r="BD65" s="32">
        <f>SUM(BD14:BD64)</f>
        <v/>
      </c>
      <c r="BE65" s="32">
        <f>SUM(BE14:BE64)</f>
        <v/>
      </c>
      <c r="BF65" s="32">
        <f>SUM(BF14:BF64)</f>
        <v/>
      </c>
      <c r="BG65" s="32">
        <f>SUM(BG14:BG64)</f>
        <v/>
      </c>
      <c r="BH65" s="32">
        <f>SUM(BH14:BH64)</f>
        <v/>
      </c>
    </row>
    <row r="66"/>
    <row r="67">
      <c r="B67" s="31" t="inlineStr">
        <is>
          <t>Ajuste intermedio no asignado a matriz</t>
        </is>
      </c>
      <c r="C67" s="32" t="n">
        <v>1.818989403545856e-12</v>
      </c>
      <c r="D67" s="32" t="n">
        <v>-9.094947017729282e-13</v>
      </c>
      <c r="E67" s="32" t="n">
        <v>1.818989403545856e-12</v>
      </c>
      <c r="F67" s="32" t="n">
        <v>-6.252776074688882e-13</v>
      </c>
      <c r="G67" s="32" t="n">
        <v>-4.547473508864641e-13</v>
      </c>
      <c r="H67" s="32" t="n">
        <v>1.091393642127514e-11</v>
      </c>
      <c r="I67" s="32" t="n">
        <v>4.547473508864641e-13</v>
      </c>
      <c r="J67" s="32" t="n">
        <v>-2.273736754432321e-12</v>
      </c>
      <c r="K67" s="32" t="n">
        <v>1.364242052659392e-12</v>
      </c>
      <c r="L67" s="32" t="n">
        <v>-2.273736754432321e-13</v>
      </c>
      <c r="M67" s="32" t="n">
        <v>2.273736754432321e-13</v>
      </c>
      <c r="N67" s="32" t="n">
        <v>-1.364242052659392e-12</v>
      </c>
      <c r="O67" s="32" t="n">
        <v>-6.821210263296962e-13</v>
      </c>
      <c r="P67" s="32" t="n">
        <v>-7.275957614183426e-12</v>
      </c>
      <c r="Q67" s="32" t="n">
        <v>2.273736754432321e-13</v>
      </c>
      <c r="R67" s="32" t="n">
        <v>-3.637978807091713e-12</v>
      </c>
      <c r="S67" s="32" t="n">
        <v>-3.637978807091713e-12</v>
      </c>
      <c r="T67" s="32" t="n">
        <v>-1.13686837721616e-12</v>
      </c>
      <c r="U67" s="32" t="n">
        <v>9.094947017729282e-13</v>
      </c>
      <c r="V67" s="32" t="n">
        <v>0</v>
      </c>
      <c r="W67" s="32" t="n">
        <v>4.547473508864641e-13</v>
      </c>
      <c r="X67" s="32" t="n">
        <v>9.094947017729282e-13</v>
      </c>
      <c r="Y67" s="32" t="n">
        <v>-9.094947017729282e-13</v>
      </c>
      <c r="Z67" s="32" t="n">
        <v>-2.273736754432321e-12</v>
      </c>
      <c r="AA67" s="32" t="n">
        <v>-1.818989403545856e-12</v>
      </c>
      <c r="AB67" s="32" t="n">
        <v>1.818989403545856e-12</v>
      </c>
      <c r="AC67" s="32" t="n">
        <v>1.364242052659392e-12</v>
      </c>
      <c r="AD67" s="32" t="n">
        <v>6.366462912410498e-12</v>
      </c>
      <c r="AE67" s="32" t="n">
        <v>9.094947017729282e-13</v>
      </c>
      <c r="AF67" s="32" t="n">
        <v>1.091393642127514e-11</v>
      </c>
      <c r="AG67" s="32" t="n">
        <v>3.637978807091713e-12</v>
      </c>
      <c r="AH67" s="32" t="n">
        <v>1.818989403545856e-12</v>
      </c>
      <c r="AI67" s="32" t="n">
        <v>4.547473508864641e-13</v>
      </c>
      <c r="AJ67" s="32" t="n">
        <v>4.547473508864641e-13</v>
      </c>
      <c r="AK67" s="32" t="n">
        <v>5.456968210637569e-12</v>
      </c>
      <c r="AL67" s="32" t="n">
        <v>0</v>
      </c>
      <c r="AM67" s="32" t="n">
        <v>4.092726157978177e-12</v>
      </c>
      <c r="AN67" s="32" t="n">
        <v>9.094947017729282e-13</v>
      </c>
      <c r="AO67" s="32" t="n">
        <v>-1.364242052659392e-12</v>
      </c>
      <c r="AP67" s="32" t="n">
        <v>-1.818989403545856e-12</v>
      </c>
      <c r="AQ67" s="32" t="n">
        <v>-4.547473508864641e-13</v>
      </c>
      <c r="AR67" s="32" t="n">
        <v>-2.273736754432321e-13</v>
      </c>
      <c r="AS67" s="32" t="n">
        <v>1.818989403545856e-12</v>
      </c>
      <c r="AT67" s="32" t="n">
        <v>0</v>
      </c>
      <c r="AU67" s="32" t="n">
        <v>0</v>
      </c>
      <c r="AV67" s="32" t="n">
        <v>1.818989403545856e-12</v>
      </c>
      <c r="AW67" s="32" t="n">
        <v>-1.818989403545856e-12</v>
      </c>
      <c r="AX67" s="32" t="n">
        <v>0</v>
      </c>
      <c r="AY67" s="32" t="n">
        <v>-9.094947017729282e-13</v>
      </c>
      <c r="AZ67" s="32" t="n">
        <v>0</v>
      </c>
      <c r="BA67" s="32" t="n">
        <v>9.094947017729282e-13</v>
      </c>
      <c r="BH67" s="32">
        <f>SUM(C67:BA67)</f>
        <v/>
      </c>
    </row>
    <row r="68"/>
    <row r="69">
      <c r="B69" s="31" t="inlineStr">
        <is>
          <t>Sin valor agregado</t>
        </is>
      </c>
      <c r="C69" s="32" t="n">
        <v>0</v>
      </c>
      <c r="D69" s="32" t="n">
        <v>0</v>
      </c>
      <c r="E69" s="32" t="n">
        <v>0</v>
      </c>
      <c r="F69" s="32" t="n">
        <v>0</v>
      </c>
      <c r="G69" s="32" t="n">
        <v>0</v>
      </c>
      <c r="H69" s="32" t="n">
        <v>0</v>
      </c>
      <c r="I69" s="32" t="n">
        <v>0</v>
      </c>
      <c r="J69" s="32" t="n">
        <v>0</v>
      </c>
      <c r="K69" s="32" t="n">
        <v>0</v>
      </c>
      <c r="L69" s="32" t="n">
        <v>0</v>
      </c>
      <c r="M69" s="32" t="n">
        <v>0</v>
      </c>
      <c r="N69" s="32" t="n">
        <v>0</v>
      </c>
      <c r="O69" s="32" t="n">
        <v>0</v>
      </c>
      <c r="P69" s="32" t="n">
        <v>0</v>
      </c>
      <c r="Q69" s="32" t="n">
        <v>0</v>
      </c>
      <c r="R69" s="32" t="n">
        <v>0</v>
      </c>
      <c r="S69" s="32" t="n">
        <v>0</v>
      </c>
      <c r="T69" s="32" t="n">
        <v>0</v>
      </c>
      <c r="U69" s="32" t="n">
        <v>0</v>
      </c>
      <c r="V69" s="32" t="n">
        <v>0</v>
      </c>
      <c r="W69" s="32" t="n">
        <v>0</v>
      </c>
      <c r="X69" s="32" t="n">
        <v>0</v>
      </c>
      <c r="Y69" s="32" t="n">
        <v>0</v>
      </c>
      <c r="Z69" s="32" t="n">
        <v>0</v>
      </c>
      <c r="AA69" s="32" t="n">
        <v>0</v>
      </c>
      <c r="AB69" s="32" t="n">
        <v>0</v>
      </c>
      <c r="AC69" s="32" t="n">
        <v>0</v>
      </c>
      <c r="AD69" s="32" t="n">
        <v>0</v>
      </c>
      <c r="AE69" s="32" t="n">
        <v>0</v>
      </c>
      <c r="AF69" s="32" t="n">
        <v>0</v>
      </c>
      <c r="AG69" s="32" t="n">
        <v>0</v>
      </c>
      <c r="AH69" s="32" t="n">
        <v>0</v>
      </c>
      <c r="AI69" s="32" t="n">
        <v>0</v>
      </c>
      <c r="AJ69" s="32" t="n">
        <v>0</v>
      </c>
      <c r="AK69" s="32" t="n">
        <v>0</v>
      </c>
      <c r="AL69" s="32" t="n">
        <v>0</v>
      </c>
      <c r="AM69" s="32" t="n">
        <v>0</v>
      </c>
      <c r="AN69" s="32" t="n">
        <v>0</v>
      </c>
      <c r="AO69" s="32" t="n">
        <v>0</v>
      </c>
      <c r="AP69" s="32" t="n">
        <v>0</v>
      </c>
      <c r="AQ69" s="32" t="n">
        <v>0</v>
      </c>
      <c r="AR69" s="32" t="n">
        <v>0</v>
      </c>
      <c r="AS69" s="32" t="n">
        <v>0</v>
      </c>
      <c r="AT69" s="32" t="n">
        <v>0</v>
      </c>
      <c r="AU69" s="32" t="n">
        <v>0</v>
      </c>
      <c r="AV69" s="32" t="n">
        <v>0</v>
      </c>
      <c r="AW69" s="32" t="n">
        <v>0</v>
      </c>
      <c r="AX69" s="32" t="n">
        <v>0</v>
      </c>
      <c r="AY69" s="32" t="n">
        <v>0</v>
      </c>
      <c r="AZ69" s="32" t="n">
        <v>0</v>
      </c>
      <c r="BA69" s="32" t="n">
        <v>0</v>
      </c>
      <c r="BH69" s="32">
        <f>SUM(C69:BA69)</f>
        <v/>
      </c>
    </row>
    <row r="70"/>
    <row r="71">
      <c r="B71" s="31" t="inlineStr">
        <is>
          <t>Produccion total</t>
        </is>
      </c>
      <c r="C71" s="32">
        <f>C65+C67+C69</f>
        <v/>
      </c>
      <c r="D71" s="32">
        <f>D65+D67+D69</f>
        <v/>
      </c>
      <c r="E71" s="32">
        <f>E65+E67+E69</f>
        <v/>
      </c>
      <c r="F71" s="32">
        <f>F65+F67+F69</f>
        <v/>
      </c>
      <c r="G71" s="32">
        <f>G65+G67+G69</f>
        <v/>
      </c>
      <c r="H71" s="32">
        <f>H65+H67+H69</f>
        <v/>
      </c>
      <c r="I71" s="32">
        <f>I65+I67+I69</f>
        <v/>
      </c>
      <c r="J71" s="32">
        <f>J65+J67+J69</f>
        <v/>
      </c>
      <c r="K71" s="32">
        <f>K65+K67+K69</f>
        <v/>
      </c>
      <c r="L71" s="32">
        <f>L65+L67+L69</f>
        <v/>
      </c>
      <c r="M71" s="32">
        <f>M65+M67+M69</f>
        <v/>
      </c>
      <c r="N71" s="32">
        <f>N65+N67+N69</f>
        <v/>
      </c>
      <c r="O71" s="32">
        <f>O65+O67+O69</f>
        <v/>
      </c>
      <c r="P71" s="32">
        <f>P65+P67+P69</f>
        <v/>
      </c>
      <c r="Q71" s="32">
        <f>Q65+Q67+Q69</f>
        <v/>
      </c>
      <c r="R71" s="32">
        <f>R65+R67+R69</f>
        <v/>
      </c>
      <c r="S71" s="32">
        <f>S65+S67+S69</f>
        <v/>
      </c>
      <c r="T71" s="32">
        <f>T65+T67+T69</f>
        <v/>
      </c>
      <c r="U71" s="32">
        <f>U65+U67+U69</f>
        <v/>
      </c>
      <c r="V71" s="32">
        <f>V65+V67+V69</f>
        <v/>
      </c>
      <c r="W71" s="32">
        <f>W65+W67+W69</f>
        <v/>
      </c>
      <c r="X71" s="32">
        <f>X65+X67+X69</f>
        <v/>
      </c>
      <c r="Y71" s="32">
        <f>Y65+Y67+Y69</f>
        <v/>
      </c>
      <c r="Z71" s="32">
        <f>Z65+Z67+Z69</f>
        <v/>
      </c>
      <c r="AA71" s="32">
        <f>AA65+AA67+AA69</f>
        <v/>
      </c>
      <c r="AB71" s="32">
        <f>AB65+AB67+AB69</f>
        <v/>
      </c>
      <c r="AC71" s="32">
        <f>AC65+AC67+AC69</f>
        <v/>
      </c>
      <c r="AD71" s="32">
        <f>AD65+AD67+AD69</f>
        <v/>
      </c>
      <c r="AE71" s="32">
        <f>AE65+AE67+AE69</f>
        <v/>
      </c>
      <c r="AF71" s="32">
        <f>AF65+AF67+AF69</f>
        <v/>
      </c>
      <c r="AG71" s="32">
        <f>AG65+AG67+AG69</f>
        <v/>
      </c>
      <c r="AH71" s="32">
        <f>AH65+AH67+AH69</f>
        <v/>
      </c>
      <c r="AI71" s="32">
        <f>AI65+AI67+AI69</f>
        <v/>
      </c>
      <c r="AJ71" s="32">
        <f>AJ65+AJ67+AJ69</f>
        <v/>
      </c>
      <c r="AK71" s="32">
        <f>AK65+AK67+AK69</f>
        <v/>
      </c>
      <c r="AL71" s="32">
        <f>AL65+AL67+AL69</f>
        <v/>
      </c>
      <c r="AM71" s="32">
        <f>AM65+AM67+AM69</f>
        <v/>
      </c>
      <c r="AN71" s="32">
        <f>AN65+AN67+AN69</f>
        <v/>
      </c>
      <c r="AO71" s="32">
        <f>AO65+AO67+AO69</f>
        <v/>
      </c>
      <c r="AP71" s="32">
        <f>AP65+AP67+AP69</f>
        <v/>
      </c>
      <c r="AQ71" s="32">
        <f>AQ65+AQ67+AQ69</f>
        <v/>
      </c>
      <c r="AR71" s="32">
        <f>AR65+AR67+AR69</f>
        <v/>
      </c>
      <c r="AS71" s="32">
        <f>AS65+AS67+AS69</f>
        <v/>
      </c>
      <c r="AT71" s="32">
        <f>AT65+AT67+AT69</f>
        <v/>
      </c>
      <c r="AU71" s="32">
        <f>AU65+AU67+AU69</f>
        <v/>
      </c>
      <c r="AV71" s="32">
        <f>AV65+AV67+AV69</f>
        <v/>
      </c>
      <c r="AW71" s="32">
        <f>AW65+AW67+AW69</f>
        <v/>
      </c>
      <c r="AX71" s="32">
        <f>AX65+AX67+AX69</f>
        <v/>
      </c>
      <c r="AY71" s="32">
        <f>AY65+AY67+AY69</f>
        <v/>
      </c>
      <c r="AZ71" s="32">
        <f>AZ65+AZ67+AZ69</f>
        <v/>
      </c>
      <c r="BA71" s="32">
        <f>BA65+BA67+BA69</f>
        <v/>
      </c>
      <c r="BH71" s="32">
        <f>SUM(C71:BA71)</f>
        <v/>
      </c>
    </row>
    <row r="72">
      <c r="B72" s="31" t="inlineStr">
        <is>
          <t>Produccion fuente</t>
        </is>
      </c>
      <c r="C72" s="32" t="n">
        <v>13090.16791694694</v>
      </c>
      <c r="D72" s="32" t="n">
        <v>3782.478301234883</v>
      </c>
      <c r="E72" s="32" t="n">
        <v>23509.59011325167</v>
      </c>
      <c r="F72" s="32" t="n">
        <v>674.3929070634654</v>
      </c>
      <c r="G72" s="32" t="n">
        <v>9912.807331661685</v>
      </c>
      <c r="H72" s="32" t="n">
        <v>22149.24630466041</v>
      </c>
      <c r="I72" s="32" t="n">
        <v>286.4374665560604</v>
      </c>
      <c r="J72" s="32" t="n">
        <v>6141.367002201903</v>
      </c>
      <c r="K72" s="32" t="n">
        <v>1498.272026916229</v>
      </c>
      <c r="L72" s="32" t="n">
        <v>1280.899178554525</v>
      </c>
      <c r="M72" s="32" t="n">
        <v>2547.362985224662</v>
      </c>
      <c r="N72" s="32" t="n">
        <v>8776.456712282814</v>
      </c>
      <c r="O72" s="32" t="n">
        <v>3015.531493886772</v>
      </c>
      <c r="P72" s="32" t="n">
        <v>40390.87303974367</v>
      </c>
      <c r="Q72" s="32" t="n">
        <v>1149.048108430359</v>
      </c>
      <c r="R72" s="32" t="n">
        <v>26118.26286915994</v>
      </c>
      <c r="S72" s="32" t="n">
        <v>8292.72411202142</v>
      </c>
      <c r="T72" s="32" t="n">
        <v>7086.266457324594</v>
      </c>
      <c r="U72" s="32" t="n">
        <v>6573.553360063213</v>
      </c>
      <c r="V72" s="32" t="n">
        <v>3839.251847288842</v>
      </c>
      <c r="W72" s="32" t="n">
        <v>2831.919961563778</v>
      </c>
      <c r="X72" s="32" t="n">
        <v>3783.304371651522</v>
      </c>
      <c r="Y72" s="32" t="n">
        <v>11661.15321097559</v>
      </c>
      <c r="Z72" s="32" t="n">
        <v>8364.566761040178</v>
      </c>
      <c r="AA72" s="32" t="n">
        <v>9714.311943367073</v>
      </c>
      <c r="AB72" s="32" t="n">
        <v>6658.605670113232</v>
      </c>
      <c r="AC72" s="32" t="n">
        <v>10474.53864963425</v>
      </c>
      <c r="AD72" s="32" t="n">
        <v>18637.72315767768</v>
      </c>
      <c r="AE72" s="32" t="n">
        <v>10133.65730134515</v>
      </c>
      <c r="AF72" s="32" t="n">
        <v>26270.86465253654</v>
      </c>
      <c r="AG72" s="32" t="n">
        <v>1043.473604027084</v>
      </c>
      <c r="AH72" s="32" t="n">
        <v>15096.60106970653</v>
      </c>
      <c r="AI72" s="32" t="n">
        <v>3920.903031111852</v>
      </c>
      <c r="AJ72" s="32" t="n">
        <v>3457.404769912372</v>
      </c>
      <c r="AK72" s="32" t="n">
        <v>16220.16548535072</v>
      </c>
      <c r="AL72" s="32" t="n">
        <v>1850.347516262066</v>
      </c>
      <c r="AM72" s="32" t="n">
        <v>-103501.2440397615</v>
      </c>
      <c r="AN72" s="32" t="n">
        <v>-3398.702365757293</v>
      </c>
      <c r="AO72" s="32" t="n">
        <v>16702.97207727982</v>
      </c>
      <c r="AP72" s="32" t="n">
        <v>14390.5385395727</v>
      </c>
      <c r="AQ72" s="32" t="n">
        <v>576.4073166420519</v>
      </c>
      <c r="AR72" s="32" t="n">
        <v>115.3836438659022</v>
      </c>
      <c r="AS72" s="32" t="n">
        <v>3555.054561292213</v>
      </c>
      <c r="AT72" s="32" t="n">
        <v>20700.66080648642</v>
      </c>
      <c r="AU72" s="32" t="n">
        <v>186.6393716578933</v>
      </c>
      <c r="AV72" s="32" t="n">
        <v>-253.9727779870116</v>
      </c>
      <c r="AW72" s="32" t="n">
        <v>1198.110504245981</v>
      </c>
      <c r="AX72" s="32" t="n">
        <v>0</v>
      </c>
      <c r="AY72" s="32" t="n">
        <v>837.6839021939134</v>
      </c>
      <c r="AZ72" s="32" t="n">
        <v>62.34672078663544</v>
      </c>
      <c r="BA72" s="32" t="n">
        <v>1586.856739222908</v>
      </c>
      <c r="BH72" s="32">
        <f>SUM(C72:BA72)</f>
        <v/>
      </c>
    </row>
    <row r="73">
      <c r="B73" s="33" t="inlineStr">
        <is>
          <t>Check produccion total - fuente</t>
        </is>
      </c>
      <c r="C73" s="34">
        <f>C71-C72</f>
        <v/>
      </c>
      <c r="D73" s="34">
        <f>D71-D72</f>
        <v/>
      </c>
      <c r="E73" s="34">
        <f>E71-E72</f>
        <v/>
      </c>
      <c r="F73" s="34">
        <f>F71-F72</f>
        <v/>
      </c>
      <c r="G73" s="34">
        <f>G71-G72</f>
        <v/>
      </c>
      <c r="H73" s="34">
        <f>H71-H72</f>
        <v/>
      </c>
      <c r="I73" s="34">
        <f>I71-I72</f>
        <v/>
      </c>
      <c r="J73" s="34">
        <f>J71-J72</f>
        <v/>
      </c>
      <c r="K73" s="34">
        <f>K71-K72</f>
        <v/>
      </c>
      <c r="L73" s="34">
        <f>L71-L72</f>
        <v/>
      </c>
      <c r="M73" s="34">
        <f>M71-M72</f>
        <v/>
      </c>
      <c r="N73" s="34">
        <f>N71-N72</f>
        <v/>
      </c>
      <c r="O73" s="34">
        <f>O71-O72</f>
        <v/>
      </c>
      <c r="P73" s="34">
        <f>P71-P72</f>
        <v/>
      </c>
      <c r="Q73" s="34">
        <f>Q71-Q72</f>
        <v/>
      </c>
      <c r="R73" s="34">
        <f>R71-R72</f>
        <v/>
      </c>
      <c r="S73" s="34">
        <f>S71-S72</f>
        <v/>
      </c>
      <c r="T73" s="34">
        <f>T71-T72</f>
        <v/>
      </c>
      <c r="U73" s="34">
        <f>U71-U72</f>
        <v/>
      </c>
      <c r="V73" s="34">
        <f>V71-V72</f>
        <v/>
      </c>
      <c r="W73" s="34">
        <f>W71-W72</f>
        <v/>
      </c>
      <c r="X73" s="34">
        <f>X71-X72</f>
        <v/>
      </c>
      <c r="Y73" s="34">
        <f>Y71-Y72</f>
        <v/>
      </c>
      <c r="Z73" s="34">
        <f>Z71-Z72</f>
        <v/>
      </c>
      <c r="AA73" s="34">
        <f>AA71-AA72</f>
        <v/>
      </c>
      <c r="AB73" s="34">
        <f>AB71-AB72</f>
        <v/>
      </c>
      <c r="AC73" s="34">
        <f>AC71-AC72</f>
        <v/>
      </c>
      <c r="AD73" s="34">
        <f>AD71-AD72</f>
        <v/>
      </c>
      <c r="AE73" s="34">
        <f>AE71-AE72</f>
        <v/>
      </c>
      <c r="AF73" s="34">
        <f>AF71-AF72</f>
        <v/>
      </c>
      <c r="AG73" s="34">
        <f>AG71-AG72</f>
        <v/>
      </c>
      <c r="AH73" s="34">
        <f>AH71-AH72</f>
        <v/>
      </c>
      <c r="AI73" s="34">
        <f>AI71-AI72</f>
        <v/>
      </c>
      <c r="AJ73" s="34">
        <f>AJ71-AJ72</f>
        <v/>
      </c>
      <c r="AK73" s="34">
        <f>AK71-AK72</f>
        <v/>
      </c>
      <c r="AL73" s="34">
        <f>AL71-AL72</f>
        <v/>
      </c>
      <c r="AM73" s="34">
        <f>AM71-AM72</f>
        <v/>
      </c>
      <c r="AN73" s="34">
        <f>AN71-AN72</f>
        <v/>
      </c>
      <c r="AO73" s="34">
        <f>AO71-AO72</f>
        <v/>
      </c>
      <c r="AP73" s="34">
        <f>AP71-AP72</f>
        <v/>
      </c>
      <c r="AQ73" s="34">
        <f>AQ71-AQ72</f>
        <v/>
      </c>
      <c r="AR73" s="34">
        <f>AR71-AR72</f>
        <v/>
      </c>
      <c r="AS73" s="34">
        <f>AS71-AS72</f>
        <v/>
      </c>
      <c r="AT73" s="34">
        <f>AT71-AT72</f>
        <v/>
      </c>
      <c r="AU73" s="34">
        <f>AU71-AU72</f>
        <v/>
      </c>
      <c r="AV73" s="34">
        <f>AV71-AV72</f>
        <v/>
      </c>
      <c r="AW73" s="34">
        <f>AW71-AW72</f>
        <v/>
      </c>
      <c r="AX73" s="34">
        <f>AX71-AX72</f>
        <v/>
      </c>
      <c r="AY73" s="34">
        <f>AY71-AY72</f>
        <v/>
      </c>
      <c r="AZ73" s="34">
        <f>AZ71-AZ72</f>
        <v/>
      </c>
      <c r="BA73" s="34">
        <f>BA71-BA72</f>
        <v/>
      </c>
      <c r="BH73" s="34">
        <f>SUM(C73:BA73)</f>
        <v/>
      </c>
    </row>
    <row r="74"/>
    <row r="75">
      <c r="B75" s="30" t="inlineStr">
        <is>
          <t>Nota</t>
        </is>
      </c>
      <c r="C75" s="30" t="inlineStr">
        <is>
          <t>U_importada/ajuste transformado a industrias con D = V * diag(q)^-1.</t>
        </is>
      </c>
    </row>
  </sheetData>
  <mergeCells count="9">
    <mergeCell ref="BG10:BG12"/>
    <mergeCell ref="C10:BA10"/>
    <mergeCell ref="BH10:BH12"/>
    <mergeCell ref="A3:H4"/>
    <mergeCell ref="B10:B12"/>
    <mergeCell ref="A10:A12"/>
    <mergeCell ref="A1:H1"/>
    <mergeCell ref="BB10:BB12"/>
    <mergeCell ref="BC10:BF10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H75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7" customWidth="1" min="1" max="1"/>
    <col width="77.7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</cols>
  <sheetData>
    <row r="1" ht="44" customHeight="1"/>
    <row r="2"/>
    <row r="3" ht="16" customHeight="1">
      <c r="A3" s="19" t="inlineStr">
        <is>
          <t>Matriz insumo producto, actividad por actividad - Total auditable</t>
        </is>
      </c>
      <c r="B3" s="19" t="n"/>
      <c r="C3" s="19" t="n"/>
      <c r="D3" s="19" t="n"/>
      <c r="E3" s="19" t="n"/>
      <c r="F3" s="19" t="n"/>
      <c r="G3" s="19" t="n"/>
      <c r="H3" s="19" t="n"/>
      <c r="I3" s="19" t="n"/>
      <c r="J3" s="19" t="n"/>
      <c r="K3" s="19" t="n"/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</row>
    <row r="4" ht="16" customHeight="1"/>
    <row r="5">
      <c r="A5" s="20" t="inlineStr">
        <is>
          <t>Valores a precios corrientes</t>
        </is>
      </c>
    </row>
    <row r="6" ht="16.5" customHeight="1">
      <c r="A6" s="20" t="inlineStr">
        <is>
          <t>Ano 2004</t>
        </is>
      </c>
      <c r="J6" s="21" t="inlineStr">
        <is>
          <t>Indice</t>
        </is>
      </c>
    </row>
    <row r="7">
      <c r="A7" s="20" t="inlineStr">
        <is>
          <t>Base / fuente original</t>
        </is>
      </c>
    </row>
    <row r="8">
      <c r="A8" s="20" t="inlineStr">
        <is>
          <t>Unidades monetarias de la fuente</t>
        </is>
      </c>
    </row>
    <row r="9"/>
    <row r="10" ht="16" customHeight="1">
      <c r="A10" s="22" t="inlineStr">
        <is>
          <t>Codigo</t>
        </is>
      </c>
      <c r="B10" s="22" t="inlineStr">
        <is>
          <t>Actividad economica</t>
        </is>
      </c>
      <c r="C10" s="22" t="inlineStr">
        <is>
          <t>Consumo intermedio por actividades economicas</t>
        </is>
      </c>
      <c r="D10" s="23" t="n"/>
      <c r="E10" s="23" t="n"/>
      <c r="F10" s="23" t="n"/>
      <c r="G10" s="23" t="n"/>
      <c r="H10" s="23" t="n"/>
      <c r="I10" s="23" t="n"/>
      <c r="J10" s="23" t="n"/>
      <c r="K10" s="23" t="n"/>
      <c r="L10" s="23" t="n"/>
      <c r="M10" s="23" t="n"/>
      <c r="N10" s="23" t="n"/>
      <c r="O10" s="23" t="n"/>
      <c r="P10" s="23" t="n"/>
      <c r="Q10" s="23" t="n"/>
      <c r="R10" s="23" t="n"/>
      <c r="S10" s="23" t="n"/>
      <c r="T10" s="23" t="n"/>
      <c r="U10" s="23" t="n"/>
      <c r="V10" s="23" t="n"/>
      <c r="W10" s="23" t="n"/>
      <c r="X10" s="23" t="n"/>
      <c r="Y10" s="23" t="n"/>
      <c r="Z10" s="23" t="n"/>
      <c r="AA10" s="23" t="n"/>
      <c r="AB10" s="23" t="n"/>
      <c r="AC10" s="23" t="n"/>
      <c r="AD10" s="23" t="n"/>
      <c r="AE10" s="23" t="n"/>
      <c r="AF10" s="23" t="n"/>
      <c r="AG10" s="23" t="n"/>
      <c r="AH10" s="23" t="n"/>
      <c r="AI10" s="23" t="n"/>
      <c r="AJ10" s="23" t="n"/>
      <c r="AK10" s="23" t="n"/>
      <c r="AL10" s="23" t="n"/>
      <c r="AM10" s="23" t="n"/>
      <c r="AN10" s="23" t="n"/>
      <c r="AO10" s="23" t="n"/>
      <c r="AP10" s="23" t="n"/>
      <c r="AQ10" s="23" t="n"/>
      <c r="AR10" s="23" t="n"/>
      <c r="AS10" s="23" t="n"/>
      <c r="AT10" s="23" t="n"/>
      <c r="AU10" s="23" t="n"/>
      <c r="AV10" s="23" t="n"/>
      <c r="AW10" s="23" t="n"/>
      <c r="AX10" s="23" t="n"/>
      <c r="AY10" s="23" t="n"/>
      <c r="AZ10" s="23" t="n"/>
      <c r="BA10" s="23" t="n"/>
      <c r="BB10" s="22" t="inlineStr">
        <is>
          <t>Total consumo intermedio</t>
        </is>
      </c>
      <c r="BC10" s="22" t="inlineStr">
        <is>
          <t>Demanda final</t>
        </is>
      </c>
      <c r="BD10" s="23" t="n"/>
      <c r="BE10" s="23" t="n"/>
      <c r="BF10" s="23" t="n"/>
      <c r="BG10" s="22" t="inlineStr">
        <is>
          <t>Total demanda final</t>
        </is>
      </c>
      <c r="BH10" s="22" t="inlineStr">
        <is>
          <t>Total</t>
        </is>
      </c>
    </row>
    <row r="11" ht="15" customHeight="1">
      <c r="C11" s="24" t="n">
        <v>1</v>
      </c>
      <c r="D11" s="24" t="n">
        <v>2</v>
      </c>
      <c r="E11" s="24" t="n">
        <v>3</v>
      </c>
      <c r="F11" s="24" t="n">
        <v>4</v>
      </c>
      <c r="G11" s="24" t="n">
        <v>5</v>
      </c>
      <c r="H11" s="24" t="n">
        <v>6</v>
      </c>
      <c r="I11" s="24" t="n">
        <v>7</v>
      </c>
      <c r="J11" s="24" t="n">
        <v>8</v>
      </c>
      <c r="K11" s="24" t="n">
        <v>9</v>
      </c>
      <c r="L11" s="24" t="n">
        <v>10</v>
      </c>
      <c r="M11" s="24" t="inlineStr">
        <is>
          <t>Produtos de madeira</t>
        </is>
      </c>
      <c r="N11" s="24" t="n">
        <v>12</v>
      </c>
      <c r="O11" s="24" t="n">
        <v>13</v>
      </c>
      <c r="P11" s="24" t="n">
        <v>14</v>
      </c>
      <c r="Q11" s="24" t="n">
        <v>15</v>
      </c>
      <c r="R11" s="24" t="n">
        <v>16</v>
      </c>
      <c r="S11" s="24" t="n">
        <v>17</v>
      </c>
      <c r="T11" s="24" t="n">
        <v>18</v>
      </c>
      <c r="U11" s="24" t="n">
        <v>19</v>
      </c>
      <c r="V11" s="24" t="n">
        <v>20</v>
      </c>
      <c r="W11" s="24" t="n">
        <v>21</v>
      </c>
      <c r="X11" s="24" t="n">
        <v>22</v>
      </c>
      <c r="Y11" s="24" t="n">
        <v>23</v>
      </c>
      <c r="Z11" s="24" t="n">
        <v>24</v>
      </c>
      <c r="AA11" s="24" t="n">
        <v>25</v>
      </c>
      <c r="AB11" s="24" t="n">
        <v>26</v>
      </c>
      <c r="AC11" s="24" t="inlineStr">
        <is>
          <t>Produtos de metal</t>
        </is>
      </c>
      <c r="AD11" s="24" t="n">
        <v>28</v>
      </c>
      <c r="AE11" s="24" t="n">
        <v>29</v>
      </c>
      <c r="AF11" s="24" t="n">
        <v>30</v>
      </c>
      <c r="AG11" s="24" t="n">
        <v>31</v>
      </c>
      <c r="AH11" s="24" t="n">
        <v>32</v>
      </c>
      <c r="AI11" s="24" t="n">
        <v>33</v>
      </c>
      <c r="AJ11" s="24" t="n">
        <v>34</v>
      </c>
      <c r="AK11" s="24" t="n">
        <v>35</v>
      </c>
      <c r="AL11" s="24" t="n">
        <v>36</v>
      </c>
      <c r="AM11" s="24" t="n">
        <v>37</v>
      </c>
      <c r="AN11" s="24" t="n">
        <v>38</v>
      </c>
      <c r="AO11" s="24" t="n">
        <v>39</v>
      </c>
      <c r="AP11" s="24" t="n">
        <v>40</v>
      </c>
      <c r="AQ11" s="24" t="n">
        <v>41</v>
      </c>
      <c r="AR11" s="24" t="n">
        <v>42</v>
      </c>
      <c r="AS11" s="24" t="n">
        <v>43</v>
      </c>
      <c r="AT11" s="24" t="n">
        <v>44</v>
      </c>
      <c r="AU11" s="24" t="n">
        <v>45</v>
      </c>
      <c r="AV11" s="24" t="n">
        <v>46</v>
      </c>
      <c r="AW11" s="24" t="n">
        <v>47</v>
      </c>
      <c r="AX11" s="24" t="n">
        <v>48</v>
      </c>
      <c r="AY11" s="24" t="n">
        <v>49</v>
      </c>
      <c r="AZ11" s="24" t="n">
        <v>50</v>
      </c>
      <c r="BA11" s="24" t="n">
        <v>51</v>
      </c>
      <c r="BC11" s="24" t="inlineStr"/>
      <c r="BD11" s="24" t="inlineStr"/>
      <c r="BE11" s="24" t="inlineStr"/>
      <c r="BF11" s="24" t="inlineStr"/>
    </row>
    <row r="12" ht="90" customHeight="1">
      <c r="A12" s="25" t="n"/>
      <c r="B12" s="25" t="n"/>
      <c r="C12" s="26" t="inlineStr">
        <is>
          <t>Agricultura silvicultura exploração florestal</t>
        </is>
      </c>
      <c r="D12" s="26" t="inlineStr">
        <is>
          <t>Pecuária e pesca</t>
        </is>
      </c>
      <c r="E12" s="26" t="inlineStr">
        <is>
          <t>Petróleo e gás natural</t>
        </is>
      </c>
      <c r="F12" s="26" t="inlineStr">
        <is>
          <t>Minério de ferro</t>
        </is>
      </c>
      <c r="G12" s="26" t="inlineStr">
        <is>
          <t>Outros da indústria extrativa</t>
        </is>
      </c>
      <c r="H12" s="26" t="inlineStr">
        <is>
          <t>Alimentos e Bebidas</t>
        </is>
      </c>
      <c r="I12" s="26" t="inlineStr">
        <is>
          <t>Produtos do fumo</t>
        </is>
      </c>
      <c r="J12" s="26" t="inlineStr">
        <is>
          <t>Têxteis</t>
        </is>
      </c>
      <c r="K12" s="26" t="inlineStr">
        <is>
          <t>Artigos do vestuário e acessórios</t>
        </is>
      </c>
      <c r="L12" s="26" t="inlineStr">
        <is>
          <t>Artefatos de couro e calçados</t>
        </is>
      </c>
      <c r="M12" s="26" t="inlineStr">
        <is>
          <t>exclusive móveis</t>
        </is>
      </c>
      <c r="N12" s="26" t="inlineStr">
        <is>
          <t>Celulose e produtos de papel</t>
        </is>
      </c>
      <c r="O12" s="26" t="inlineStr">
        <is>
          <t>Jornais revistas discos</t>
        </is>
      </c>
      <c r="P12" s="26" t="inlineStr">
        <is>
          <t>Refino de petróleo e coque</t>
        </is>
      </c>
      <c r="Q12" s="26" t="inlineStr">
        <is>
          <t>Álcool</t>
        </is>
      </c>
      <c r="R12" s="26" t="inlineStr">
        <is>
          <t>Produtos  químicos</t>
        </is>
      </c>
      <c r="S12" s="26" t="inlineStr">
        <is>
          <t>Fabricação de resina e elastômeros</t>
        </is>
      </c>
      <c r="T12" s="26" t="inlineStr">
        <is>
          <t>Produtos farmacêuticos</t>
        </is>
      </c>
      <c r="U12" s="26" t="inlineStr">
        <is>
          <t>Defensivos agrícolas</t>
        </is>
      </c>
      <c r="V12" s="26" t="inlineStr">
        <is>
          <t>Perfumaria higiene e limpeza</t>
        </is>
      </c>
      <c r="W12" s="26" t="inlineStr">
        <is>
          <t>Tintas vernizes esmaltes e lacas</t>
        </is>
      </c>
      <c r="X12" s="26" t="inlineStr">
        <is>
          <t>Produtos e preparados químicos diversos</t>
        </is>
      </c>
      <c r="Y12" s="26" t="inlineStr">
        <is>
          <t>Artigos de borracha e plástico</t>
        </is>
      </c>
      <c r="Z12" s="26" t="inlineStr">
        <is>
          <t>Cimento e outros produtos de minerais não-metálicos</t>
        </is>
      </c>
      <c r="AA12" s="26" t="inlineStr">
        <is>
          <t>Fabricação de aço e derivados</t>
        </is>
      </c>
      <c r="AB12" s="26" t="inlineStr">
        <is>
          <t>Metalurgia de metais não-ferrosos</t>
        </is>
      </c>
      <c r="AC12" s="26" t="inlineStr">
        <is>
          <t>exclusive máquinas e equipamentos</t>
        </is>
      </c>
      <c r="AD12" s="26" t="inlineStr">
        <is>
          <t>Máquinas e equipamentos inclusive manutenção e reparos</t>
        </is>
      </c>
      <c r="AE12" s="26" t="inlineStr">
        <is>
          <t>Eletrodomésticos e material eletronico</t>
        </is>
      </c>
      <c r="AF12" s="26" t="inlineStr">
        <is>
          <t>Máquinas para escritório aparelhos e e material eletronico</t>
        </is>
      </c>
      <c r="AG12" s="26" t="inlineStr">
        <is>
          <t>Automóveis camionetas caminhões e ônibus</t>
        </is>
      </c>
      <c r="AH12" s="26" t="inlineStr">
        <is>
          <t>Peças e acessórios para veículos automotores</t>
        </is>
      </c>
      <c r="AI12" s="26" t="inlineStr">
        <is>
          <t>Outros equipamentos de transporte</t>
        </is>
      </c>
      <c r="AJ12" s="26" t="inlineStr">
        <is>
          <t>Móveis e produtos das indústrias diversas</t>
        </is>
      </c>
      <c r="AK12" s="26" t="inlineStr">
        <is>
          <t>Produção e distribuição de eletricidade gás água esgoto e limpeza urbana</t>
        </is>
      </c>
      <c r="AL12" s="26" t="inlineStr">
        <is>
          <t>Construção civil</t>
        </is>
      </c>
      <c r="AM12" s="26" t="inlineStr">
        <is>
          <t>Comércio</t>
        </is>
      </c>
      <c r="AN12" s="26" t="inlineStr">
        <is>
          <t>Transporte armazenagem e correio</t>
        </is>
      </c>
      <c r="AO12" s="26" t="inlineStr">
        <is>
          <t>Serviços de informação</t>
        </is>
      </c>
      <c r="AP12" s="26" t="inlineStr">
        <is>
          <t>Intermediação financeira seguros e previdência complementar e serviços relacionados</t>
        </is>
      </c>
      <c r="AQ12" s="26" t="inlineStr">
        <is>
          <t>Atividades imobiliárias e aluguéis</t>
        </is>
      </c>
      <c r="AR12" s="26" t="inlineStr">
        <is>
          <t>Serviços de manutenção e reparação</t>
        </is>
      </c>
      <c r="AS12" s="26" t="inlineStr">
        <is>
          <t>Serviços de alojamento e alimentação</t>
        </is>
      </c>
      <c r="AT12" s="26" t="inlineStr">
        <is>
          <t>Serviços prestados às empresas</t>
        </is>
      </c>
      <c r="AU12" s="26" t="inlineStr">
        <is>
          <t>Educação mercantil</t>
        </is>
      </c>
      <c r="AV12" s="26" t="inlineStr">
        <is>
          <t>Saúde mercantil</t>
        </is>
      </c>
      <c r="AW12" s="26" t="inlineStr">
        <is>
          <t>Serviços prestados às famílias e associativas</t>
        </is>
      </c>
      <c r="AX12" s="26" t="inlineStr">
        <is>
          <t>Serviços domésticos</t>
        </is>
      </c>
      <c r="AY12" s="26" t="inlineStr">
        <is>
          <t>Educação pública</t>
        </is>
      </c>
      <c r="AZ12" s="26" t="inlineStr">
        <is>
          <t>Saúde pública</t>
        </is>
      </c>
      <c r="BA12" s="26" t="inlineStr">
        <is>
          <t>Administração pública e seguridade social</t>
        </is>
      </c>
      <c r="BB12" s="25" t="n"/>
      <c r="BC12" s="26" t="inlineStr">
        <is>
          <t>Gasto de consumo final</t>
        </is>
      </c>
      <c r="BD12" s="26" t="inlineStr">
        <is>
          <t>Formacion bruta de capital</t>
        </is>
      </c>
      <c r="BE12" s="26" t="inlineStr">
        <is>
          <t>Exportaciones netas</t>
        </is>
      </c>
      <c r="BF12" s="26" t="inlineStr">
        <is>
          <t>Sin desglose fuente</t>
        </is>
      </c>
      <c r="BG12" s="25" t="n"/>
      <c r="BH12" s="25" t="n"/>
    </row>
    <row r="13"/>
    <row r="14">
      <c r="A14" s="27" t="n">
        <v>1</v>
      </c>
      <c r="B14" s="28" t="inlineStr">
        <is>
          <t>Agricultura silvicultura exploração florestal</t>
        </is>
      </c>
      <c r="C14" s="27" t="n">
        <v>5666.066571995481</v>
      </c>
      <c r="D14" s="27" t="n">
        <v>4039.280796870453</v>
      </c>
      <c r="E14" s="27" t="n">
        <v>27.41272322444961</v>
      </c>
      <c r="F14" s="27" t="n">
        <v>5.681706302965016</v>
      </c>
      <c r="G14" s="27" t="n">
        <v>4.434587531161412</v>
      </c>
      <c r="H14" s="27" t="n">
        <v>60483.81007579069</v>
      </c>
      <c r="I14" s="27" t="n">
        <v>4509.416449000529</v>
      </c>
      <c r="J14" s="27" t="n">
        <v>4124.710142974978</v>
      </c>
      <c r="K14" s="27" t="n">
        <v>171.7936089023944</v>
      </c>
      <c r="L14" s="27" t="n">
        <v>31.59089438671545</v>
      </c>
      <c r="M14" s="27" t="n">
        <v>2041.602805657185</v>
      </c>
      <c r="N14" s="27" t="n">
        <v>1278.595661314401</v>
      </c>
      <c r="O14" s="27" t="n">
        <v>0.7589567236887219</v>
      </c>
      <c r="P14" s="27" t="n">
        <v>1.281624357592175</v>
      </c>
      <c r="Q14" s="27" t="n">
        <v>4450.384378648871</v>
      </c>
      <c r="R14" s="27" t="n">
        <v>218.499244206286</v>
      </c>
      <c r="S14" s="27" t="n">
        <v>298.6965014134192</v>
      </c>
      <c r="T14" s="27" t="n">
        <v>29.45539005245056</v>
      </c>
      <c r="U14" s="27" t="n">
        <v>83.26213598332174</v>
      </c>
      <c r="V14" s="27" t="n">
        <v>64.03169537456662</v>
      </c>
      <c r="W14" s="27" t="n">
        <v>42.54632290066046</v>
      </c>
      <c r="X14" s="27" t="n">
        <v>77.29057521019575</v>
      </c>
      <c r="Y14" s="27" t="n">
        <v>662.7101912785287</v>
      </c>
      <c r="Z14" s="27" t="n">
        <v>37.64391359683466</v>
      </c>
      <c r="AA14" s="27" t="n">
        <v>338.7164142198141</v>
      </c>
      <c r="AB14" s="27" t="n">
        <v>8.169202877381263</v>
      </c>
      <c r="AC14" s="27" t="n">
        <v>11.83012902291455</v>
      </c>
      <c r="AD14" s="27" t="n">
        <v>0.4320505115853668</v>
      </c>
      <c r="AE14" s="27" t="n">
        <v>2.03295525271402</v>
      </c>
      <c r="AF14" s="27" t="n">
        <v>2.263409110250127</v>
      </c>
      <c r="AG14" s="27" t="n">
        <v>0.9048706102986422</v>
      </c>
      <c r="AH14" s="27" t="n">
        <v>0.2181263368372047</v>
      </c>
      <c r="AI14" s="27" t="n">
        <v>0.4586525180693107</v>
      </c>
      <c r="AJ14" s="27" t="n">
        <v>9.30768291630076</v>
      </c>
      <c r="AK14" s="27" t="n">
        <v>20.93362470921931</v>
      </c>
      <c r="AL14" s="27" t="n">
        <v>261.2219719683308</v>
      </c>
      <c r="AM14" s="27" t="n">
        <v>4629.150632863819</v>
      </c>
      <c r="AN14" s="27" t="n">
        <v>2.594291725192064</v>
      </c>
      <c r="AO14" s="27" t="n">
        <v>9.900749930002727</v>
      </c>
      <c r="AP14" s="27" t="n">
        <v>2.553725560480741</v>
      </c>
      <c r="AQ14" s="27" t="n">
        <v>3.003529326971507</v>
      </c>
      <c r="AR14" s="27" t="n">
        <v>0.01699535015236267</v>
      </c>
      <c r="AS14" s="27" t="n">
        <v>1610.332219875248</v>
      </c>
      <c r="AT14" s="27" t="n">
        <v>17.53524559704422</v>
      </c>
      <c r="AU14" s="27" t="n">
        <v>24.81510865459474</v>
      </c>
      <c r="AV14" s="27" t="n">
        <v>90.8907191334208</v>
      </c>
      <c r="AW14" s="27" t="n">
        <v>117.0079687555176</v>
      </c>
      <c r="AX14" s="27" t="n">
        <v>0</v>
      </c>
      <c r="AY14" s="27" t="n">
        <v>242.1485685063148</v>
      </c>
      <c r="AZ14" s="27" t="n">
        <v>78.5447146597939</v>
      </c>
      <c r="BA14" s="27" t="n">
        <v>763.4942265018251</v>
      </c>
      <c r="BB14" s="27">
        <f>SUM(C14:BA14)</f>
        <v/>
      </c>
      <c r="BC14" s="27" t="n">
        <v>0</v>
      </c>
      <c r="BD14" s="27" t="n">
        <v>0</v>
      </c>
      <c r="BE14" s="27" t="n">
        <v>51152.99837800397</v>
      </c>
      <c r="BF14" s="27" t="n">
        <v>0</v>
      </c>
      <c r="BG14" s="27">
        <f>SUM(BC14:BF14)</f>
        <v/>
      </c>
      <c r="BH14" s="27">
        <f>BB14+BG14</f>
        <v/>
      </c>
    </row>
    <row r="15">
      <c r="A15" s="29" t="n">
        <v>2</v>
      </c>
      <c r="B15" s="30" t="inlineStr">
        <is>
          <t>Pecuária e pesca</t>
        </is>
      </c>
      <c r="C15" s="29" t="n">
        <v>477.1640071751692</v>
      </c>
      <c r="D15" s="29" t="n">
        <v>2492.360904286216</v>
      </c>
      <c r="E15" s="29" t="n">
        <v>10.07306361574252</v>
      </c>
      <c r="F15" s="29" t="n">
        <v>2.802816781664535</v>
      </c>
      <c r="G15" s="29" t="n">
        <v>4.370371546951013</v>
      </c>
      <c r="H15" s="29" t="n">
        <v>35895.04645036904</v>
      </c>
      <c r="I15" s="29" t="n">
        <v>159.6915228417755</v>
      </c>
      <c r="J15" s="29" t="n">
        <v>101.360831212957</v>
      </c>
      <c r="K15" s="29" t="n">
        <v>54.68903637118493</v>
      </c>
      <c r="L15" s="29" t="n">
        <v>7.629733470526953</v>
      </c>
      <c r="M15" s="29" t="n">
        <v>115.2954507842674</v>
      </c>
      <c r="N15" s="29" t="n">
        <v>71.54415087468566</v>
      </c>
      <c r="O15" s="29" t="n">
        <v>0.05161937195911329</v>
      </c>
      <c r="P15" s="29" t="n">
        <v>0.04269738202608156</v>
      </c>
      <c r="Q15" s="29" t="n">
        <v>36.94778735356037</v>
      </c>
      <c r="R15" s="29" t="n">
        <v>42.30204261178552</v>
      </c>
      <c r="S15" s="29" t="n">
        <v>7.66244698324665</v>
      </c>
      <c r="T15" s="29" t="n">
        <v>1.697922296041084</v>
      </c>
      <c r="U15" s="29" t="n">
        <v>2.266664408085991</v>
      </c>
      <c r="V15" s="29" t="n">
        <v>3.295158168908515</v>
      </c>
      <c r="W15" s="29" t="n">
        <v>1.852783828172087</v>
      </c>
      <c r="X15" s="29" t="n">
        <v>1.936570967052615</v>
      </c>
      <c r="Y15" s="29" t="n">
        <v>36.76527115936115</v>
      </c>
      <c r="Z15" s="29" t="n">
        <v>41.73891419343767</v>
      </c>
      <c r="AA15" s="29" t="n">
        <v>24.46392977770511</v>
      </c>
      <c r="AB15" s="29" t="n">
        <v>5.973041742881751</v>
      </c>
      <c r="AC15" s="29" t="n">
        <v>0.761223458926246</v>
      </c>
      <c r="AD15" s="29" t="n">
        <v>0.2063671010198441</v>
      </c>
      <c r="AE15" s="29" t="n">
        <v>0.5023615427061058</v>
      </c>
      <c r="AF15" s="29" t="n">
        <v>0.2698997805467055</v>
      </c>
      <c r="AG15" s="29" t="n">
        <v>0.6035700031689922</v>
      </c>
      <c r="AH15" s="29" t="n">
        <v>0.3947666243530787</v>
      </c>
      <c r="AI15" s="29" t="n">
        <v>0.5668797349389074</v>
      </c>
      <c r="AJ15" s="29" t="n">
        <v>1.263240175154455</v>
      </c>
      <c r="AK15" s="29" t="n">
        <v>15.07843387445628</v>
      </c>
      <c r="AL15" s="29" t="n">
        <v>182.2428710786633</v>
      </c>
      <c r="AM15" s="29" t="n">
        <v>148.544455921756</v>
      </c>
      <c r="AN15" s="29" t="n">
        <v>3.58863982677822</v>
      </c>
      <c r="AO15" s="29" t="n">
        <v>13.29314947858752</v>
      </c>
      <c r="AP15" s="29" t="n">
        <v>2.321325884336914</v>
      </c>
      <c r="AQ15" s="29" t="n">
        <v>5.304948727629097</v>
      </c>
      <c r="AR15" s="29" t="n">
        <v>0.001812477389411876</v>
      </c>
      <c r="AS15" s="29" t="n">
        <v>731.2721234565454</v>
      </c>
      <c r="AT15" s="29" t="n">
        <v>5.531556333295915</v>
      </c>
      <c r="AU15" s="29" t="n">
        <v>11.05326888684844</v>
      </c>
      <c r="AV15" s="29" t="n">
        <v>61.0328489031213</v>
      </c>
      <c r="AW15" s="29" t="n">
        <v>16.93821701054708</v>
      </c>
      <c r="AX15" s="29" t="n">
        <v>0</v>
      </c>
      <c r="AY15" s="29" t="n">
        <v>92.66117066518618</v>
      </c>
      <c r="AZ15" s="29" t="n">
        <v>34.65090608121349</v>
      </c>
      <c r="BA15" s="29" t="n">
        <v>152.0334863943496</v>
      </c>
      <c r="BB15" s="29">
        <f>SUM(C15:BA15)</f>
        <v/>
      </c>
      <c r="BC15" s="29" t="n">
        <v>0</v>
      </c>
      <c r="BD15" s="29" t="n">
        <v>0</v>
      </c>
      <c r="BE15" s="29" t="n">
        <v>19971.2007352176</v>
      </c>
      <c r="BF15" s="29" t="n">
        <v>0</v>
      </c>
      <c r="BG15" s="29">
        <f>SUM(BC15:BF15)</f>
        <v/>
      </c>
      <c r="BH15" s="29">
        <f>BB15+BG15</f>
        <v/>
      </c>
    </row>
    <row r="16">
      <c r="A16" s="27" t="n">
        <v>3</v>
      </c>
      <c r="B16" s="28" t="inlineStr">
        <is>
          <t>Petróleo e gás natural</t>
        </is>
      </c>
      <c r="C16" s="27" t="n">
        <v>72.95576724683107</v>
      </c>
      <c r="D16" s="27" t="n">
        <v>96.01633786033477</v>
      </c>
      <c r="E16" s="27" t="n">
        <v>4551.757771823959</v>
      </c>
      <c r="F16" s="27" t="n">
        <v>116.8876983377517</v>
      </c>
      <c r="G16" s="27" t="n">
        <v>13.45051761194799</v>
      </c>
      <c r="H16" s="27" t="n">
        <v>497.5915901723978</v>
      </c>
      <c r="I16" s="27" t="n">
        <v>1.209267151651127</v>
      </c>
      <c r="J16" s="27" t="n">
        <v>145.30818600182</v>
      </c>
      <c r="K16" s="27" t="n">
        <v>0.7987766905266679</v>
      </c>
      <c r="L16" s="27" t="n">
        <v>0.2547881617114515</v>
      </c>
      <c r="M16" s="27" t="n">
        <v>32.08370143594752</v>
      </c>
      <c r="N16" s="27" t="n">
        <v>349.578011524224</v>
      </c>
      <c r="O16" s="27" t="n">
        <v>0.688954958165966</v>
      </c>
      <c r="P16" s="27" t="n">
        <v>53566.52418135255</v>
      </c>
      <c r="Q16" s="27" t="n">
        <v>0.404066068302895</v>
      </c>
      <c r="R16" s="27" t="n">
        <v>671.1125069516722</v>
      </c>
      <c r="S16" s="27" t="n">
        <v>385.8939489314005</v>
      </c>
      <c r="T16" s="27" t="n">
        <v>18.35256445942022</v>
      </c>
      <c r="U16" s="27" t="n">
        <v>23.44809099803943</v>
      </c>
      <c r="V16" s="27" t="n">
        <v>15.71269009110246</v>
      </c>
      <c r="W16" s="27" t="n">
        <v>13.79388845500074</v>
      </c>
      <c r="X16" s="27" t="n">
        <v>29.18730769686812</v>
      </c>
      <c r="Y16" s="27" t="n">
        <v>62.73748196274133</v>
      </c>
      <c r="Z16" s="27" t="n">
        <v>205.2983671754769</v>
      </c>
      <c r="AA16" s="27" t="n">
        <v>324.2787862160894</v>
      </c>
      <c r="AB16" s="27" t="n">
        <v>194.7905480303332</v>
      </c>
      <c r="AC16" s="27" t="n">
        <v>181.3457286573359</v>
      </c>
      <c r="AD16" s="27" t="n">
        <v>28.81289618315825</v>
      </c>
      <c r="AE16" s="27" t="n">
        <v>17.67040781486288</v>
      </c>
      <c r="AF16" s="27" t="n">
        <v>3.230470184166818</v>
      </c>
      <c r="AG16" s="27" t="n">
        <v>52.11840943419121</v>
      </c>
      <c r="AH16" s="27" t="n">
        <v>139.4871118979136</v>
      </c>
      <c r="AI16" s="27" t="n">
        <v>3.390284428946671</v>
      </c>
      <c r="AJ16" s="27" t="n">
        <v>1.68303684727405</v>
      </c>
      <c r="AK16" s="27" t="n">
        <v>4650.492650327321</v>
      </c>
      <c r="AL16" s="27" t="n">
        <v>332.5448646995584</v>
      </c>
      <c r="AM16" s="27" t="n">
        <v>95.34411285581449</v>
      </c>
      <c r="AN16" s="27" t="n">
        <v>15.90687333627912</v>
      </c>
      <c r="AO16" s="27" t="n">
        <v>44.51824909645705</v>
      </c>
      <c r="AP16" s="27" t="n">
        <v>11.60673449875698</v>
      </c>
      <c r="AQ16" s="27" t="n">
        <v>12.11700051993259</v>
      </c>
      <c r="AR16" s="27" t="n">
        <v>2.553187911736432</v>
      </c>
      <c r="AS16" s="27" t="n">
        <v>191.5818512868703</v>
      </c>
      <c r="AT16" s="27" t="n">
        <v>108.1789923785788</v>
      </c>
      <c r="AU16" s="27" t="n">
        <v>8.91904832314238</v>
      </c>
      <c r="AV16" s="27" t="n">
        <v>6.862803731999081</v>
      </c>
      <c r="AW16" s="27" t="n">
        <v>45.00761876536399</v>
      </c>
      <c r="AX16" s="27" t="n">
        <v>0</v>
      </c>
      <c r="AY16" s="27" t="n">
        <v>10.37909118520678</v>
      </c>
      <c r="AZ16" s="27" t="n">
        <v>20.07716473994053</v>
      </c>
      <c r="BA16" s="27" t="n">
        <v>80.4821822085668</v>
      </c>
      <c r="BB16" s="27">
        <f>SUM(C16:BA16)</f>
        <v/>
      </c>
      <c r="BC16" s="27" t="n">
        <v>0</v>
      </c>
      <c r="BD16" s="27" t="n">
        <v>0</v>
      </c>
      <c r="BE16" s="27" t="n">
        <v>14729.38636888518</v>
      </c>
      <c r="BF16" s="27" t="n">
        <v>0</v>
      </c>
      <c r="BG16" s="27">
        <f>SUM(BC16:BF16)</f>
        <v/>
      </c>
      <c r="BH16" s="27">
        <f>BB16+BG16</f>
        <v/>
      </c>
    </row>
    <row r="17">
      <c r="A17" s="29" t="n">
        <v>4</v>
      </c>
      <c r="B17" s="30" t="inlineStr">
        <is>
          <t>Minério de ferro</t>
        </is>
      </c>
      <c r="C17" s="29" t="n">
        <v>0.2799327835765397</v>
      </c>
      <c r="D17" s="29" t="n">
        <v>0.1509095929272482</v>
      </c>
      <c r="E17" s="29" t="n">
        <v>4.244363210069832</v>
      </c>
      <c r="F17" s="29" t="n">
        <v>274.1049782124772</v>
      </c>
      <c r="G17" s="29" t="n">
        <v>16.47001011827896</v>
      </c>
      <c r="H17" s="29" t="n">
        <v>7.361343775833354</v>
      </c>
      <c r="I17" s="29" t="n">
        <v>0.6524014695839632</v>
      </c>
      <c r="J17" s="29" t="n">
        <v>0.3202615232784726</v>
      </c>
      <c r="K17" s="29" t="n">
        <v>0.2972110726497809</v>
      </c>
      <c r="L17" s="29" t="n">
        <v>0.4847699592503255</v>
      </c>
      <c r="M17" s="29" t="n">
        <v>0.1567163837733476</v>
      </c>
      <c r="N17" s="29" t="n">
        <v>0.912915645578547</v>
      </c>
      <c r="O17" s="29" t="n">
        <v>0.1277556144071661</v>
      </c>
      <c r="P17" s="29" t="n">
        <v>1.246704162957464</v>
      </c>
      <c r="Q17" s="29" t="n">
        <v>0.1725088238207024</v>
      </c>
      <c r="R17" s="29" t="n">
        <v>1.263456138815578</v>
      </c>
      <c r="S17" s="29" t="n">
        <v>0.300521705657683</v>
      </c>
      <c r="T17" s="29" t="n">
        <v>1.588251305676488</v>
      </c>
      <c r="U17" s="29" t="n">
        <v>0.5700957635478796</v>
      </c>
      <c r="V17" s="29" t="n">
        <v>0.827072719781818</v>
      </c>
      <c r="W17" s="29" t="n">
        <v>0.3803341725495989</v>
      </c>
      <c r="X17" s="29" t="n">
        <v>0.4078016516258525</v>
      </c>
      <c r="Y17" s="29" t="n">
        <v>0.9604216534948053</v>
      </c>
      <c r="Z17" s="29" t="n">
        <v>40.64252174141753</v>
      </c>
      <c r="AA17" s="29" t="n">
        <v>6002.584011795143</v>
      </c>
      <c r="AB17" s="29" t="n">
        <v>62.10416372190909</v>
      </c>
      <c r="AC17" s="29" t="n">
        <v>0.7481216966970627</v>
      </c>
      <c r="AD17" s="29" t="n">
        <v>1.567574786217201</v>
      </c>
      <c r="AE17" s="29" t="n">
        <v>1.191012733983737</v>
      </c>
      <c r="AF17" s="29" t="n">
        <v>1.798538455449446</v>
      </c>
      <c r="AG17" s="29" t="n">
        <v>2.61098995702335</v>
      </c>
      <c r="AH17" s="29" t="n">
        <v>1.028426284674561</v>
      </c>
      <c r="AI17" s="29" t="n">
        <v>0.2871326637203089</v>
      </c>
      <c r="AJ17" s="29" t="n">
        <v>0.3327330181406574</v>
      </c>
      <c r="AK17" s="29" t="n">
        <v>2.943275722894243</v>
      </c>
      <c r="AL17" s="29" t="n">
        <v>5.242954566778796</v>
      </c>
      <c r="AM17" s="29" t="n">
        <v>14.91478981867911</v>
      </c>
      <c r="AN17" s="29" t="n">
        <v>6.204149194007968</v>
      </c>
      <c r="AO17" s="29" t="n">
        <v>9.815918401228231</v>
      </c>
      <c r="AP17" s="29" t="n">
        <v>8.209252349983148</v>
      </c>
      <c r="AQ17" s="29" t="n">
        <v>0.8309406127085464</v>
      </c>
      <c r="AR17" s="29" t="n">
        <v>0.07169113260720725</v>
      </c>
      <c r="AS17" s="29" t="n">
        <v>1.131599790925429</v>
      </c>
      <c r="AT17" s="29" t="n">
        <v>13.72381915363777</v>
      </c>
      <c r="AU17" s="29" t="n">
        <v>2.299437708022089</v>
      </c>
      <c r="AV17" s="29" t="n">
        <v>0.7912519391300465</v>
      </c>
      <c r="AW17" s="29" t="n">
        <v>3.780187581345651</v>
      </c>
      <c r="AX17" s="29" t="n">
        <v>0</v>
      </c>
      <c r="AY17" s="29" t="n">
        <v>1.688504466039053</v>
      </c>
      <c r="AZ17" s="29" t="n">
        <v>2.480648251024559</v>
      </c>
      <c r="BA17" s="29" t="n">
        <v>8.208424623200383</v>
      </c>
      <c r="BB17" s="29">
        <f>SUM(C17:BA17)</f>
        <v/>
      </c>
      <c r="BC17" s="29" t="n">
        <v>0</v>
      </c>
      <c r="BD17" s="29" t="n">
        <v>0</v>
      </c>
      <c r="BE17" s="29" t="n">
        <v>11515.69522804318</v>
      </c>
      <c r="BF17" s="29" t="n">
        <v>0</v>
      </c>
      <c r="BG17" s="29">
        <f>SUM(BC17:BF17)</f>
        <v/>
      </c>
      <c r="BH17" s="29">
        <f>BB17+BG17</f>
        <v/>
      </c>
    </row>
    <row r="18">
      <c r="A18" s="27" t="n">
        <v>5</v>
      </c>
      <c r="B18" s="28" t="inlineStr">
        <is>
          <t>Outros da indústria extrativa</t>
        </is>
      </c>
      <c r="C18" s="27" t="n">
        <v>502.3316601592618</v>
      </c>
      <c r="D18" s="27" t="n">
        <v>227.7259028220354</v>
      </c>
      <c r="E18" s="27" t="n">
        <v>219.2956293386277</v>
      </c>
      <c r="F18" s="27" t="n">
        <v>5.315844994778998</v>
      </c>
      <c r="G18" s="27" t="n">
        <v>831.4859163113377</v>
      </c>
      <c r="H18" s="27" t="n">
        <v>222.4303874500289</v>
      </c>
      <c r="I18" s="27" t="n">
        <v>0.09445882099486226</v>
      </c>
      <c r="J18" s="27" t="n">
        <v>5.471315129856232</v>
      </c>
      <c r="K18" s="27" t="n">
        <v>0.3780957508435331</v>
      </c>
      <c r="L18" s="27" t="n">
        <v>5.531797344013429</v>
      </c>
      <c r="M18" s="27" t="n">
        <v>0.2407681861919671</v>
      </c>
      <c r="N18" s="27" t="n">
        <v>46.24073506526191</v>
      </c>
      <c r="O18" s="27" t="n">
        <v>1.776473509317217</v>
      </c>
      <c r="P18" s="27" t="n">
        <v>16.08858955988713</v>
      </c>
      <c r="Q18" s="27" t="n">
        <v>70.0101161092948</v>
      </c>
      <c r="R18" s="27" t="n">
        <v>2383.867840572309</v>
      </c>
      <c r="S18" s="27" t="n">
        <v>24.63719321784533</v>
      </c>
      <c r="T18" s="27" t="n">
        <v>3.384743235549338</v>
      </c>
      <c r="U18" s="27" t="n">
        <v>2.94588780103386</v>
      </c>
      <c r="V18" s="27" t="n">
        <v>21.62069744696605</v>
      </c>
      <c r="W18" s="27" t="n">
        <v>70.03085344330516</v>
      </c>
      <c r="X18" s="27" t="n">
        <v>27.51622883855735</v>
      </c>
      <c r="Y18" s="27" t="n">
        <v>14.07357949628438</v>
      </c>
      <c r="Z18" s="27" t="n">
        <v>2308.965809790946</v>
      </c>
      <c r="AA18" s="27" t="n">
        <v>5259.855011483954</v>
      </c>
      <c r="AB18" s="27" t="n">
        <v>5686.061557718815</v>
      </c>
      <c r="AC18" s="27" t="n">
        <v>15.65167249130994</v>
      </c>
      <c r="AD18" s="27" t="n">
        <v>21.9300447584941</v>
      </c>
      <c r="AE18" s="27" t="n">
        <v>48.76958321323892</v>
      </c>
      <c r="AF18" s="27" t="n">
        <v>1.658097595579775</v>
      </c>
      <c r="AG18" s="27" t="n">
        <v>14.94973428653185</v>
      </c>
      <c r="AH18" s="27" t="n">
        <v>72.61426512549906</v>
      </c>
      <c r="AI18" s="27" t="n">
        <v>6.096703436942527</v>
      </c>
      <c r="AJ18" s="27" t="n">
        <v>28.59479339009057</v>
      </c>
      <c r="AK18" s="27" t="n">
        <v>548.6752569471931</v>
      </c>
      <c r="AL18" s="27" t="n">
        <v>3061.066636498366</v>
      </c>
      <c r="AM18" s="27" t="n">
        <v>42.99805448431626</v>
      </c>
      <c r="AN18" s="27" t="n">
        <v>5.32851820703944</v>
      </c>
      <c r="AO18" s="27" t="n">
        <v>3.61530268618326</v>
      </c>
      <c r="AP18" s="27" t="n">
        <v>2.659965843737017</v>
      </c>
      <c r="AQ18" s="27" t="n">
        <v>106.8161959588231</v>
      </c>
      <c r="AR18" s="27" t="n">
        <v>0.1526396719217649</v>
      </c>
      <c r="AS18" s="27" t="n">
        <v>18.92848478288067</v>
      </c>
      <c r="AT18" s="27" t="n">
        <v>22.25869947897293</v>
      </c>
      <c r="AU18" s="27" t="n">
        <v>2.288357020130028</v>
      </c>
      <c r="AV18" s="27" t="n">
        <v>22.12998088886333</v>
      </c>
      <c r="AW18" s="27" t="n">
        <v>10.15605530847112</v>
      </c>
      <c r="AX18" s="27" t="n">
        <v>0</v>
      </c>
      <c r="AY18" s="27" t="n">
        <v>19.93969024053622</v>
      </c>
      <c r="AZ18" s="27" t="n">
        <v>10.34318051345584</v>
      </c>
      <c r="BA18" s="27" t="n">
        <v>27.12718316349265</v>
      </c>
      <c r="BB18" s="27">
        <f>SUM(C18:BA18)</f>
        <v/>
      </c>
      <c r="BC18" s="27" t="n">
        <v>0</v>
      </c>
      <c r="BD18" s="27" t="n">
        <v>0</v>
      </c>
      <c r="BE18" s="27" t="n">
        <v>1998.409042166965</v>
      </c>
      <c r="BF18" s="27" t="n">
        <v>0</v>
      </c>
      <c r="BG18" s="27">
        <f>SUM(BC18:BF18)</f>
        <v/>
      </c>
      <c r="BH18" s="27">
        <f>BB18+BG18</f>
        <v/>
      </c>
    </row>
    <row r="19">
      <c r="A19" s="29" t="n">
        <v>6</v>
      </c>
      <c r="B19" s="30" t="inlineStr">
        <is>
          <t>Alimentos e Bebidas</t>
        </is>
      </c>
      <c r="C19" s="29" t="n">
        <v>903.3546334642912</v>
      </c>
      <c r="D19" s="29" t="n">
        <v>6331.638533386263</v>
      </c>
      <c r="E19" s="29" t="n">
        <v>230.3039444331712</v>
      </c>
      <c r="F19" s="29" t="n">
        <v>27.71743511517257</v>
      </c>
      <c r="G19" s="29" t="n">
        <v>116.3444277690176</v>
      </c>
      <c r="H19" s="29" t="n">
        <v>40940.38615040449</v>
      </c>
      <c r="I19" s="29" t="n">
        <v>3.873112680764032</v>
      </c>
      <c r="J19" s="29" t="n">
        <v>40.6488691242344</v>
      </c>
      <c r="K19" s="29" t="n">
        <v>11.76303116002606</v>
      </c>
      <c r="L19" s="29" t="n">
        <v>1603.309272366708</v>
      </c>
      <c r="M19" s="29" t="n">
        <v>23.30907081892904</v>
      </c>
      <c r="N19" s="29" t="n">
        <v>384.6133776730129</v>
      </c>
      <c r="O19" s="29" t="n">
        <v>14.18454402908625</v>
      </c>
      <c r="P19" s="29" t="n">
        <v>1335.080835046097</v>
      </c>
      <c r="Q19" s="29" t="n">
        <v>1294.299783642562</v>
      </c>
      <c r="R19" s="29" t="n">
        <v>494.2533358273785</v>
      </c>
      <c r="S19" s="29" t="n">
        <v>217.741660163759</v>
      </c>
      <c r="T19" s="29" t="n">
        <v>312.6077031815929</v>
      </c>
      <c r="U19" s="29" t="n">
        <v>131.6849483528209</v>
      </c>
      <c r="V19" s="29" t="n">
        <v>1395.72631510501</v>
      </c>
      <c r="W19" s="29" t="n">
        <v>199.2246517191227</v>
      </c>
      <c r="X19" s="29" t="n">
        <v>822.1622574829348</v>
      </c>
      <c r="Y19" s="29" t="n">
        <v>87.10971950035521</v>
      </c>
      <c r="Z19" s="29" t="n">
        <v>49.52778961599005</v>
      </c>
      <c r="AA19" s="29" t="n">
        <v>106.7136331846172</v>
      </c>
      <c r="AB19" s="29" t="n">
        <v>31.57024364467923</v>
      </c>
      <c r="AC19" s="29" t="n">
        <v>89.64836294554615</v>
      </c>
      <c r="AD19" s="29" t="n">
        <v>142.5487116609031</v>
      </c>
      <c r="AE19" s="29" t="n">
        <v>30.35268320686454</v>
      </c>
      <c r="AF19" s="29" t="n">
        <v>19.92832168702936</v>
      </c>
      <c r="AG19" s="29" t="n">
        <v>38.75161196599695</v>
      </c>
      <c r="AH19" s="29" t="n">
        <v>28.23001152371312</v>
      </c>
      <c r="AI19" s="29" t="n">
        <v>13.67582338840039</v>
      </c>
      <c r="AJ19" s="29" t="n">
        <v>30.72451994185279</v>
      </c>
      <c r="AK19" s="29" t="n">
        <v>182.9854792464995</v>
      </c>
      <c r="AL19" s="29" t="n">
        <v>312.9655134947919</v>
      </c>
      <c r="AM19" s="29" t="n">
        <v>1704.527117272095</v>
      </c>
      <c r="AN19" s="29" t="n">
        <v>353.5158918017696</v>
      </c>
      <c r="AO19" s="29" t="n">
        <v>85.24014398132481</v>
      </c>
      <c r="AP19" s="29" t="n">
        <v>150.5634650011753</v>
      </c>
      <c r="AQ19" s="29" t="n">
        <v>19.63126382920859</v>
      </c>
      <c r="AR19" s="29" t="n">
        <v>15.30040324404993</v>
      </c>
      <c r="AS19" s="29" t="n">
        <v>22647.40804327211</v>
      </c>
      <c r="AT19" s="29" t="n">
        <v>172.7465442263852</v>
      </c>
      <c r="AU19" s="29" t="n">
        <v>213.2410023224391</v>
      </c>
      <c r="AV19" s="29" t="n">
        <v>763.1454867444055</v>
      </c>
      <c r="AW19" s="29" t="n">
        <v>627.0235561925513</v>
      </c>
      <c r="AX19" s="29" t="n">
        <v>0</v>
      </c>
      <c r="AY19" s="29" t="n">
        <v>1553.657505460154</v>
      </c>
      <c r="AZ19" s="29" t="n">
        <v>1110.23524816092</v>
      </c>
      <c r="BA19" s="29" t="n">
        <v>1900.934968854239</v>
      </c>
      <c r="BB19" s="29">
        <f>SUM(C19:BA19)</f>
        <v/>
      </c>
      <c r="BC19" s="29" t="n">
        <v>0</v>
      </c>
      <c r="BD19" s="29" t="n">
        <v>0</v>
      </c>
      <c r="BE19" s="29" t="n">
        <v>175380.3451529988</v>
      </c>
      <c r="BF19" s="29" t="n">
        <v>0</v>
      </c>
      <c r="BG19" s="29">
        <f>SUM(BC19:BF19)</f>
        <v/>
      </c>
      <c r="BH19" s="29">
        <f>BB19+BG19</f>
        <v/>
      </c>
    </row>
    <row r="20">
      <c r="A20" s="27" t="n">
        <v>7</v>
      </c>
      <c r="B20" s="28" t="inlineStr">
        <is>
          <t>Produtos do fumo</t>
        </is>
      </c>
      <c r="C20" s="27" t="n">
        <v>0.08442827336906249</v>
      </c>
      <c r="D20" s="27" t="n">
        <v>0.04471078342540667</v>
      </c>
      <c r="E20" s="27" t="n">
        <v>1.16429610016005</v>
      </c>
      <c r="F20" s="27" t="n">
        <v>0.1768825863219159</v>
      </c>
      <c r="G20" s="27" t="n">
        <v>0.171543337834852</v>
      </c>
      <c r="H20" s="27" t="n">
        <v>2.216613590287285</v>
      </c>
      <c r="I20" s="27" t="n">
        <v>570.2245857242583</v>
      </c>
      <c r="J20" s="27" t="n">
        <v>0.08933978169067031</v>
      </c>
      <c r="K20" s="27" t="n">
        <v>0.08140885776660479</v>
      </c>
      <c r="L20" s="27" t="n">
        <v>0.1447999036475287</v>
      </c>
      <c r="M20" s="27" t="n">
        <v>0.04679848817160535</v>
      </c>
      <c r="N20" s="27" t="n">
        <v>0.2746909486132509</v>
      </c>
      <c r="O20" s="27" t="n">
        <v>0.03751092019537272</v>
      </c>
      <c r="P20" s="27" t="n">
        <v>0.3762567819244847</v>
      </c>
      <c r="Q20" s="27" t="n">
        <v>0.05021732476031895</v>
      </c>
      <c r="R20" s="27" t="n">
        <v>0.3808613037765453</v>
      </c>
      <c r="S20" s="27" t="n">
        <v>0.09054029139100694</v>
      </c>
      <c r="T20" s="27" t="n">
        <v>0.4794966956577229</v>
      </c>
      <c r="U20" s="27" t="n">
        <v>0.1727337189158748</v>
      </c>
      <c r="V20" s="27" t="n">
        <v>0.2486071689743388</v>
      </c>
      <c r="W20" s="27" t="n">
        <v>0.1152658296268247</v>
      </c>
      <c r="X20" s="27" t="n">
        <v>0.1230646801359623</v>
      </c>
      <c r="Y20" s="27" t="n">
        <v>0.2846826650527718</v>
      </c>
      <c r="Z20" s="27" t="n">
        <v>0.2817174776771118</v>
      </c>
      <c r="AA20" s="27" t="n">
        <v>0.3115892724114794</v>
      </c>
      <c r="AB20" s="27" t="n">
        <v>0.1232986859940827</v>
      </c>
      <c r="AC20" s="27" t="n">
        <v>0.2231548532181577</v>
      </c>
      <c r="AD20" s="27" t="n">
        <v>0.4713780740800051</v>
      </c>
      <c r="AE20" s="27" t="n">
        <v>0.3598084344413537</v>
      </c>
      <c r="AF20" s="27" t="n">
        <v>0.5417319338173868</v>
      </c>
      <c r="AG20" s="27" t="n">
        <v>0.7902922499584284</v>
      </c>
      <c r="AH20" s="27" t="n">
        <v>0.2786028474539155</v>
      </c>
      <c r="AI20" s="27" t="n">
        <v>0.08493809947495495</v>
      </c>
      <c r="AJ20" s="27" t="n">
        <v>0.09722410704611009</v>
      </c>
      <c r="AK20" s="27" t="n">
        <v>0.8442055991933182</v>
      </c>
      <c r="AL20" s="27" t="n">
        <v>1.249808276000457</v>
      </c>
      <c r="AM20" s="27" t="n">
        <v>4.021660241751822</v>
      </c>
      <c r="AN20" s="27" t="n">
        <v>1.818146706444377</v>
      </c>
      <c r="AO20" s="27" t="n">
        <v>2.864889457546905</v>
      </c>
      <c r="AP20" s="27" t="n">
        <v>2.411116819931709</v>
      </c>
      <c r="AQ20" s="27" t="n">
        <v>0.2101443089187646</v>
      </c>
      <c r="AR20" s="27" t="n">
        <v>0.01577860443220218</v>
      </c>
      <c r="AS20" s="27" t="n">
        <v>0.259909007837487</v>
      </c>
      <c r="AT20" s="27" t="n">
        <v>2.791073574864956</v>
      </c>
      <c r="AU20" s="27" t="n">
        <v>0.6253060034760386</v>
      </c>
      <c r="AV20" s="27" t="n">
        <v>0.2108171906985309</v>
      </c>
      <c r="AW20" s="27" t="n">
        <v>1.012842651775133</v>
      </c>
      <c r="AX20" s="27" t="n">
        <v>0</v>
      </c>
      <c r="AY20" s="27" t="n">
        <v>0.5009400586278258</v>
      </c>
      <c r="AZ20" s="27" t="n">
        <v>0.7309902152104133</v>
      </c>
      <c r="BA20" s="27" t="n">
        <v>2.389929615895243</v>
      </c>
      <c r="BB20" s="27">
        <f>SUM(C20:BA20)</f>
        <v/>
      </c>
      <c r="BC20" s="27" t="n">
        <v>0</v>
      </c>
      <c r="BD20" s="27" t="n">
        <v>0</v>
      </c>
      <c r="BE20" s="27" t="n">
        <v>8853.885506811788</v>
      </c>
      <c r="BF20" s="27" t="n">
        <v>0</v>
      </c>
      <c r="BG20" s="27">
        <f>SUM(BC20:BF20)</f>
        <v/>
      </c>
      <c r="BH20" s="27">
        <f>BB20+BG20</f>
        <v/>
      </c>
    </row>
    <row r="21">
      <c r="A21" s="29" t="n">
        <v>8</v>
      </c>
      <c r="B21" s="30" t="inlineStr">
        <is>
          <t>Têxteis</t>
        </is>
      </c>
      <c r="C21" s="29" t="n">
        <v>390.9907070157032</v>
      </c>
      <c r="D21" s="29" t="n">
        <v>8.245063116740793</v>
      </c>
      <c r="E21" s="29" t="n">
        <v>60.95941581812648</v>
      </c>
      <c r="F21" s="29" t="n">
        <v>0.6905451668081299</v>
      </c>
      <c r="G21" s="29" t="n">
        <v>149.6354230501414</v>
      </c>
      <c r="H21" s="29" t="n">
        <v>232.2951496560162</v>
      </c>
      <c r="I21" s="29" t="n">
        <v>0.9354674997708797</v>
      </c>
      <c r="J21" s="29" t="n">
        <v>8852.094379015058</v>
      </c>
      <c r="K21" s="29" t="n">
        <v>9618.246384460608</v>
      </c>
      <c r="L21" s="29" t="n">
        <v>2450.74042879581</v>
      </c>
      <c r="M21" s="29" t="n">
        <v>8.271731392027149</v>
      </c>
      <c r="N21" s="29" t="n">
        <v>89.24954308757023</v>
      </c>
      <c r="O21" s="29" t="n">
        <v>3.281265410110824</v>
      </c>
      <c r="P21" s="29" t="n">
        <v>1.25635009308286</v>
      </c>
      <c r="Q21" s="29" t="n">
        <v>0.5421520664458606</v>
      </c>
      <c r="R21" s="29" t="n">
        <v>7.189697066014085</v>
      </c>
      <c r="S21" s="29" t="n">
        <v>26.94388627433692</v>
      </c>
      <c r="T21" s="29" t="n">
        <v>57.44787863802324</v>
      </c>
      <c r="U21" s="29" t="n">
        <v>3.345849368057404</v>
      </c>
      <c r="V21" s="29" t="n">
        <v>14.47544481455448</v>
      </c>
      <c r="W21" s="29" t="n">
        <v>9.11058968729067</v>
      </c>
      <c r="X21" s="29" t="n">
        <v>33.50137457292315</v>
      </c>
      <c r="Y21" s="29" t="n">
        <v>527.2216506578693</v>
      </c>
      <c r="Z21" s="29" t="n">
        <v>30.25374599845009</v>
      </c>
      <c r="AA21" s="29" t="n">
        <v>3.281361037507622</v>
      </c>
      <c r="AB21" s="29" t="n">
        <v>2.684516004514314</v>
      </c>
      <c r="AC21" s="29" t="n">
        <v>37.83975617790942</v>
      </c>
      <c r="AD21" s="29" t="n">
        <v>13.3247448154443</v>
      </c>
      <c r="AE21" s="29" t="n">
        <v>40.42556497478346</v>
      </c>
      <c r="AF21" s="29" t="n">
        <v>20.55852516524032</v>
      </c>
      <c r="AG21" s="29" t="n">
        <v>87.91166640354221</v>
      </c>
      <c r="AH21" s="29" t="n">
        <v>1262.364953785876</v>
      </c>
      <c r="AI21" s="29" t="n">
        <v>49.51666438418333</v>
      </c>
      <c r="AJ21" s="29" t="n">
        <v>935.5005500414836</v>
      </c>
      <c r="AK21" s="29" t="n">
        <v>21.36253034267513</v>
      </c>
      <c r="AL21" s="29" t="n">
        <v>397.5766835593147</v>
      </c>
      <c r="AM21" s="29" t="n">
        <v>153.3101761097191</v>
      </c>
      <c r="AN21" s="29" t="n">
        <v>62.23108898435879</v>
      </c>
      <c r="AO21" s="29" t="n">
        <v>19.28261242652133</v>
      </c>
      <c r="AP21" s="29" t="n">
        <v>15.34561282038515</v>
      </c>
      <c r="AQ21" s="29" t="n">
        <v>4.926334145925311</v>
      </c>
      <c r="AR21" s="29" t="n">
        <v>17.05662357522763</v>
      </c>
      <c r="AS21" s="29" t="n">
        <v>263.9743731506741</v>
      </c>
      <c r="AT21" s="29" t="n">
        <v>32.98989859969939</v>
      </c>
      <c r="AU21" s="29" t="n">
        <v>9.679122214663606</v>
      </c>
      <c r="AV21" s="29" t="n">
        <v>14.64388166215873</v>
      </c>
      <c r="AW21" s="29" t="n">
        <v>383.9840955477467</v>
      </c>
      <c r="AX21" s="29" t="n">
        <v>0</v>
      </c>
      <c r="AY21" s="29" t="n">
        <v>33.45644626187148</v>
      </c>
      <c r="AZ21" s="29" t="n">
        <v>18.7500845177704</v>
      </c>
      <c r="BA21" s="29" t="n">
        <v>39.69922594899364</v>
      </c>
      <c r="BB21" s="29">
        <f>SUM(C21:BA21)</f>
        <v/>
      </c>
      <c r="BC21" s="29" t="n">
        <v>0</v>
      </c>
      <c r="BD21" s="29" t="n">
        <v>0</v>
      </c>
      <c r="BE21" s="29" t="n">
        <v>12724.61181954545</v>
      </c>
      <c r="BF21" s="29" t="n">
        <v>0</v>
      </c>
      <c r="BG21" s="29">
        <f>SUM(BC21:BF21)</f>
        <v/>
      </c>
      <c r="BH21" s="29">
        <f>BB21+BG21</f>
        <v/>
      </c>
    </row>
    <row r="22">
      <c r="A22" s="27" t="n">
        <v>9</v>
      </c>
      <c r="B22" s="28" t="inlineStr">
        <is>
          <t>Artigos do vestuário e acessórios</t>
        </is>
      </c>
      <c r="C22" s="27" t="n">
        <v>12.79113960955297</v>
      </c>
      <c r="D22" s="27" t="n">
        <v>0.7693295894204083</v>
      </c>
      <c r="E22" s="27" t="n">
        <v>42.04350198770666</v>
      </c>
      <c r="F22" s="27" t="n">
        <v>2.054289622376858</v>
      </c>
      <c r="G22" s="27" t="n">
        <v>5.735142346985347</v>
      </c>
      <c r="H22" s="27" t="n">
        <v>19.48564326647814</v>
      </c>
      <c r="I22" s="27" t="n">
        <v>0.7643473844398853</v>
      </c>
      <c r="J22" s="27" t="n">
        <v>94.29004914788008</v>
      </c>
      <c r="K22" s="27" t="n">
        <v>1153.923963877437</v>
      </c>
      <c r="L22" s="27" t="n">
        <v>38.29240525460879</v>
      </c>
      <c r="M22" s="27" t="n">
        <v>0.469880991027994</v>
      </c>
      <c r="N22" s="27" t="n">
        <v>2.999329013622359</v>
      </c>
      <c r="O22" s="27" t="n">
        <v>0.5463850105469458</v>
      </c>
      <c r="P22" s="27" t="n">
        <v>1.594081434766845</v>
      </c>
      <c r="Q22" s="27" t="n">
        <v>0.353525681171807</v>
      </c>
      <c r="R22" s="27" t="n">
        <v>1.716194290445667</v>
      </c>
      <c r="S22" s="27" t="n">
        <v>0.53751839448628</v>
      </c>
      <c r="T22" s="27" t="n">
        <v>2.330997097536924</v>
      </c>
      <c r="U22" s="27" t="n">
        <v>2.724390158422557</v>
      </c>
      <c r="V22" s="27" t="n">
        <v>0.9822902177535824</v>
      </c>
      <c r="W22" s="27" t="n">
        <v>0.8607252313604016</v>
      </c>
      <c r="X22" s="27" t="n">
        <v>1.018294158878173</v>
      </c>
      <c r="Y22" s="27" t="n">
        <v>6.568073697321129</v>
      </c>
      <c r="Z22" s="27" t="n">
        <v>9.732511074632701</v>
      </c>
      <c r="AA22" s="27" t="n">
        <v>8.037947027471301</v>
      </c>
      <c r="AB22" s="27" t="n">
        <v>1.112782370746866</v>
      </c>
      <c r="AC22" s="27" t="n">
        <v>29.62562530097525</v>
      </c>
      <c r="AD22" s="27" t="n">
        <v>14.78929328709645</v>
      </c>
      <c r="AE22" s="27" t="n">
        <v>2.665876018350426</v>
      </c>
      <c r="AF22" s="27" t="n">
        <v>2.394620036049676</v>
      </c>
      <c r="AG22" s="27" t="n">
        <v>3.579937689841042</v>
      </c>
      <c r="AH22" s="27" t="n">
        <v>20.16608028924203</v>
      </c>
      <c r="AI22" s="27" t="n">
        <v>1.866425988228013</v>
      </c>
      <c r="AJ22" s="27" t="n">
        <v>14.46391662820078</v>
      </c>
      <c r="AK22" s="27" t="n">
        <v>103.5590019582179</v>
      </c>
      <c r="AL22" s="27" t="n">
        <v>33.36620377433803</v>
      </c>
      <c r="AM22" s="27" t="n">
        <v>153.8757604759743</v>
      </c>
      <c r="AN22" s="27" t="n">
        <v>251.8262054428947</v>
      </c>
      <c r="AO22" s="27" t="n">
        <v>98.78404932563127</v>
      </c>
      <c r="AP22" s="27" t="n">
        <v>274.0022924930569</v>
      </c>
      <c r="AQ22" s="27" t="n">
        <v>17.54665830916357</v>
      </c>
      <c r="AR22" s="27" t="n">
        <v>0.4242591384886529</v>
      </c>
      <c r="AS22" s="27" t="n">
        <v>118.2128332296597</v>
      </c>
      <c r="AT22" s="27" t="n">
        <v>192.9324786635611</v>
      </c>
      <c r="AU22" s="27" t="n">
        <v>3.3583459038247</v>
      </c>
      <c r="AV22" s="27" t="n">
        <v>17.6239364971642</v>
      </c>
      <c r="AW22" s="27" t="n">
        <v>646.5343767346893</v>
      </c>
      <c r="AX22" s="27" t="n">
        <v>0</v>
      </c>
      <c r="AY22" s="27" t="n">
        <v>336.97689269277</v>
      </c>
      <c r="AZ22" s="27" t="n">
        <v>28.68665404992318</v>
      </c>
      <c r="BA22" s="27" t="n">
        <v>304.104931066047</v>
      </c>
      <c r="BB22" s="27">
        <f>SUM(C22:BA22)</f>
        <v/>
      </c>
      <c r="BC22" s="27" t="n">
        <v>0</v>
      </c>
      <c r="BD22" s="27" t="n">
        <v>0</v>
      </c>
      <c r="BE22" s="27" t="n">
        <v>24064.67734294837</v>
      </c>
      <c r="BF22" s="27" t="n">
        <v>0</v>
      </c>
      <c r="BG22" s="27">
        <f>SUM(BC22:BF22)</f>
        <v/>
      </c>
      <c r="BH22" s="27">
        <f>BB22+BG22</f>
        <v/>
      </c>
    </row>
    <row r="23">
      <c r="A23" s="29" t="n">
        <v>10</v>
      </c>
      <c r="B23" s="30" t="inlineStr">
        <is>
          <t>Artefatos de couro e calçados</t>
        </is>
      </c>
      <c r="C23" s="29" t="n">
        <v>1.342938244930521</v>
      </c>
      <c r="D23" s="29" t="n">
        <v>0.7126204461078959</v>
      </c>
      <c r="E23" s="29" t="n">
        <v>5.204347265530072</v>
      </c>
      <c r="F23" s="29" t="n">
        <v>0.9431706867333058</v>
      </c>
      <c r="G23" s="29" t="n">
        <v>0.712111731403213</v>
      </c>
      <c r="H23" s="29" t="n">
        <v>14.25018272242779</v>
      </c>
      <c r="I23" s="29" t="n">
        <v>0.5726518656559502</v>
      </c>
      <c r="J23" s="29" t="n">
        <v>0.4723860067810064</v>
      </c>
      <c r="K23" s="29" t="n">
        <v>4.856532632799323</v>
      </c>
      <c r="L23" s="29" t="n">
        <v>5154.254837920308</v>
      </c>
      <c r="M23" s="29" t="n">
        <v>0.249887667044658</v>
      </c>
      <c r="N23" s="29" t="n">
        <v>75.00194920970783</v>
      </c>
      <c r="O23" s="29" t="n">
        <v>0.2214683822383653</v>
      </c>
      <c r="P23" s="29" t="n">
        <v>1.110563309727634</v>
      </c>
      <c r="Q23" s="29" t="n">
        <v>0.2076029302706337</v>
      </c>
      <c r="R23" s="29" t="n">
        <v>1.165827357992714</v>
      </c>
      <c r="S23" s="29" t="n">
        <v>0.3588963183468897</v>
      </c>
      <c r="T23" s="29" t="n">
        <v>1.448906492463117</v>
      </c>
      <c r="U23" s="29" t="n">
        <v>1.467250737885037</v>
      </c>
      <c r="V23" s="29" t="n">
        <v>1.113112398417415</v>
      </c>
      <c r="W23" s="29" t="n">
        <v>0.7726377582206748</v>
      </c>
      <c r="X23" s="29" t="n">
        <v>0.4790715842613463</v>
      </c>
      <c r="Y23" s="29" t="n">
        <v>1.088093192123567</v>
      </c>
      <c r="Z23" s="29" t="n">
        <v>1.179250592471063</v>
      </c>
      <c r="AA23" s="29" t="n">
        <v>2.036844070100909</v>
      </c>
      <c r="AB23" s="29" t="n">
        <v>0.5835420604750483</v>
      </c>
      <c r="AC23" s="29" t="n">
        <v>17.95254004413231</v>
      </c>
      <c r="AD23" s="29" t="n">
        <v>4.961932268719451</v>
      </c>
      <c r="AE23" s="29" t="n">
        <v>1.217423548106665</v>
      </c>
      <c r="AF23" s="29" t="n">
        <v>28.34388713679348</v>
      </c>
      <c r="AG23" s="29" t="n">
        <v>3.66652946514743</v>
      </c>
      <c r="AH23" s="29" t="n">
        <v>5.544495404878877</v>
      </c>
      <c r="AI23" s="29" t="n">
        <v>0.310568322575242</v>
      </c>
      <c r="AJ23" s="29" t="n">
        <v>1.288984034412378</v>
      </c>
      <c r="AK23" s="29" t="n">
        <v>53.64743112191059</v>
      </c>
      <c r="AL23" s="29" t="n">
        <v>19.85554702918654</v>
      </c>
      <c r="AM23" s="29" t="n">
        <v>14.96568252980881</v>
      </c>
      <c r="AN23" s="29" t="n">
        <v>7.37750506937255</v>
      </c>
      <c r="AO23" s="29" t="n">
        <v>27.22318256192708</v>
      </c>
      <c r="AP23" s="29" t="n">
        <v>7.769678703654404</v>
      </c>
      <c r="AQ23" s="29" t="n">
        <v>0.7605495671094669</v>
      </c>
      <c r="AR23" s="29" t="n">
        <v>0.06989097937816845</v>
      </c>
      <c r="AS23" s="29" t="n">
        <v>2.025073395615975</v>
      </c>
      <c r="AT23" s="29" t="n">
        <v>33.80518834950853</v>
      </c>
      <c r="AU23" s="29" t="n">
        <v>1.957664627795851</v>
      </c>
      <c r="AV23" s="29" t="n">
        <v>1.045988602243889</v>
      </c>
      <c r="AW23" s="29" t="n">
        <v>8.898624734093966</v>
      </c>
      <c r="AX23" s="29" t="n">
        <v>0</v>
      </c>
      <c r="AY23" s="29" t="n">
        <v>3.897910656528559</v>
      </c>
      <c r="AZ23" s="29" t="n">
        <v>2.259649214313403</v>
      </c>
      <c r="BA23" s="29" t="n">
        <v>23.11255261868929</v>
      </c>
      <c r="BB23" s="29">
        <f>SUM(C23:BA23)</f>
        <v/>
      </c>
      <c r="BC23" s="29" t="n">
        <v>0</v>
      </c>
      <c r="BD23" s="29" t="n">
        <v>0</v>
      </c>
      <c r="BE23" s="29" t="n">
        <v>18585.97978756002</v>
      </c>
      <c r="BF23" s="29" t="n">
        <v>0</v>
      </c>
      <c r="BG23" s="29">
        <f>SUM(BC23:BF23)</f>
        <v/>
      </c>
      <c r="BH23" s="29">
        <f>BB23+BG23</f>
        <v/>
      </c>
    </row>
    <row r="24">
      <c r="A24" s="28" t="inlineStr">
        <is>
          <t>Produtos de madeira</t>
        </is>
      </c>
      <c r="B24" s="28" t="inlineStr">
        <is>
          <t>exclusive móveis</t>
        </is>
      </c>
      <c r="C24" s="27" t="n">
        <v>241.7786346381396</v>
      </c>
      <c r="D24" s="27" t="n">
        <v>165.2796948633807</v>
      </c>
      <c r="E24" s="27" t="n">
        <v>3.087474158752917</v>
      </c>
      <c r="F24" s="27" t="n">
        <v>0.7757539099218279</v>
      </c>
      <c r="G24" s="27" t="n">
        <v>4.391811477348383</v>
      </c>
      <c r="H24" s="27" t="n">
        <v>254.1518437193608</v>
      </c>
      <c r="I24" s="27" t="n">
        <v>0.2527652865010188</v>
      </c>
      <c r="J24" s="27" t="n">
        <v>22.38725256171954</v>
      </c>
      <c r="K24" s="27" t="n">
        <v>1.16640584406997</v>
      </c>
      <c r="L24" s="27" t="n">
        <v>0.4589654745539792</v>
      </c>
      <c r="M24" s="27" t="n">
        <v>3142.048403738981</v>
      </c>
      <c r="N24" s="27" t="n">
        <v>272.4066048026527</v>
      </c>
      <c r="O24" s="27" t="n">
        <v>0.3282754191772095</v>
      </c>
      <c r="P24" s="27" t="n">
        <v>0.6548018107518375</v>
      </c>
      <c r="Q24" s="27" t="n">
        <v>0.3256920111282409</v>
      </c>
      <c r="R24" s="27" t="n">
        <v>13.15109457545378</v>
      </c>
      <c r="S24" s="27" t="n">
        <v>0.2280020822859085</v>
      </c>
      <c r="T24" s="27" t="n">
        <v>0.8079793362444543</v>
      </c>
      <c r="U24" s="27" t="n">
        <v>5.830723124739531</v>
      </c>
      <c r="V24" s="27" t="n">
        <v>0.5231259821105254</v>
      </c>
      <c r="W24" s="27" t="n">
        <v>1.533817005077437</v>
      </c>
      <c r="X24" s="27" t="n">
        <v>21.67297524726327</v>
      </c>
      <c r="Y24" s="27" t="n">
        <v>1.162554466534958</v>
      </c>
      <c r="Z24" s="27" t="n">
        <v>20.85493211876015</v>
      </c>
      <c r="AA24" s="27" t="n">
        <v>15.46855020622719</v>
      </c>
      <c r="AB24" s="27" t="n">
        <v>0.399531269539071</v>
      </c>
      <c r="AC24" s="27" t="n">
        <v>135.5888346083196</v>
      </c>
      <c r="AD24" s="27" t="n">
        <v>212.9895287962114</v>
      </c>
      <c r="AE24" s="27" t="n">
        <v>2.523781757307468</v>
      </c>
      <c r="AF24" s="27" t="n">
        <v>0.9771694423344185</v>
      </c>
      <c r="AG24" s="27" t="n">
        <v>126.5315734680085</v>
      </c>
      <c r="AH24" s="27" t="n">
        <v>54.1032185464515</v>
      </c>
      <c r="AI24" s="27" t="n">
        <v>87.79476321657016</v>
      </c>
      <c r="AJ24" s="27" t="n">
        <v>3820.121514068657</v>
      </c>
      <c r="AK24" s="27" t="n">
        <v>210.5526017945269</v>
      </c>
      <c r="AL24" s="27" t="n">
        <v>3035.080328350558</v>
      </c>
      <c r="AM24" s="27" t="n">
        <v>929.6517990662975</v>
      </c>
      <c r="AN24" s="27" t="n">
        <v>45.41806637535226</v>
      </c>
      <c r="AO24" s="27" t="n">
        <v>122.4108969820583</v>
      </c>
      <c r="AP24" s="27" t="n">
        <v>10.64113389144949</v>
      </c>
      <c r="AQ24" s="27" t="n">
        <v>211.4107966771763</v>
      </c>
      <c r="AR24" s="27" t="n">
        <v>1.263099921565926</v>
      </c>
      <c r="AS24" s="27" t="n">
        <v>9.377427040108227</v>
      </c>
      <c r="AT24" s="27" t="n">
        <v>17.7813470430639</v>
      </c>
      <c r="AU24" s="27" t="n">
        <v>8.496194814064614</v>
      </c>
      <c r="AV24" s="27" t="n">
        <v>3.591743525997872</v>
      </c>
      <c r="AW24" s="27" t="n">
        <v>183.959080153472</v>
      </c>
      <c r="AX24" s="27" t="n">
        <v>0</v>
      </c>
      <c r="AY24" s="27" t="n">
        <v>18.75798452320278</v>
      </c>
      <c r="AZ24" s="27" t="n">
        <v>3.110117243951704</v>
      </c>
      <c r="BA24" s="27" t="n">
        <v>42.17782610312794</v>
      </c>
      <c r="BB24" s="27">
        <f>SUM(C24:BA24)</f>
        <v/>
      </c>
      <c r="BC24" s="27" t="n">
        <v>0</v>
      </c>
      <c r="BD24" s="27" t="n">
        <v>0</v>
      </c>
      <c r="BE24" s="27" t="n">
        <v>7296.327020209427</v>
      </c>
      <c r="BF24" s="27" t="n">
        <v>0</v>
      </c>
      <c r="BG24" s="27">
        <f>SUM(BC24:BF24)</f>
        <v/>
      </c>
      <c r="BH24" s="27">
        <f>BB24+BG24</f>
        <v/>
      </c>
    </row>
    <row r="25">
      <c r="A25" s="29" t="n">
        <v>12</v>
      </c>
      <c r="B25" s="30" t="inlineStr">
        <is>
          <t>Celulose e produtos de papel</t>
        </is>
      </c>
      <c r="C25" s="29" t="n">
        <v>239.7719159849597</v>
      </c>
      <c r="D25" s="29" t="n">
        <v>89.44053516381746</v>
      </c>
      <c r="E25" s="29" t="n">
        <v>36.18100149151928</v>
      </c>
      <c r="F25" s="29" t="n">
        <v>50.51684156843397</v>
      </c>
      <c r="G25" s="29" t="n">
        <v>21.23126433458279</v>
      </c>
      <c r="H25" s="29" t="n">
        <v>3584.033869515455</v>
      </c>
      <c r="I25" s="29" t="n">
        <v>901.5474761108438</v>
      </c>
      <c r="J25" s="29" t="n">
        <v>565.5335818124981</v>
      </c>
      <c r="K25" s="29" t="n">
        <v>426.1111821399164</v>
      </c>
      <c r="L25" s="29" t="n">
        <v>530.9049522512412</v>
      </c>
      <c r="M25" s="29" t="n">
        <v>530.4048299048819</v>
      </c>
      <c r="N25" s="29" t="n">
        <v>8258.997113577796</v>
      </c>
      <c r="O25" s="29" t="n">
        <v>1015.702472318216</v>
      </c>
      <c r="P25" s="29" t="n">
        <v>83.43300240771549</v>
      </c>
      <c r="Q25" s="29" t="n">
        <v>20.33533979285843</v>
      </c>
      <c r="R25" s="29" t="n">
        <v>64.75274324258146</v>
      </c>
      <c r="S25" s="29" t="n">
        <v>16.64907113877035</v>
      </c>
      <c r="T25" s="29" t="n">
        <v>424.8904654642911</v>
      </c>
      <c r="U25" s="29" t="n">
        <v>66.22656913109867</v>
      </c>
      <c r="V25" s="29" t="n">
        <v>945.1636006887409</v>
      </c>
      <c r="W25" s="29" t="n">
        <v>9.09135375685093</v>
      </c>
      <c r="X25" s="29" t="n">
        <v>46.11732398877933</v>
      </c>
      <c r="Y25" s="29" t="n">
        <v>1212.872732301165</v>
      </c>
      <c r="Z25" s="29" t="n">
        <v>965.916706092288</v>
      </c>
      <c r="AA25" s="29" t="n">
        <v>49.89425630584851</v>
      </c>
      <c r="AB25" s="29" t="n">
        <v>13.47490658577308</v>
      </c>
      <c r="AC25" s="29" t="n">
        <v>694.0719095967094</v>
      </c>
      <c r="AD25" s="29" t="n">
        <v>173.3610434941142</v>
      </c>
      <c r="AE25" s="29" t="n">
        <v>284.2878071021975</v>
      </c>
      <c r="AF25" s="29" t="n">
        <v>1180.135657912704</v>
      </c>
      <c r="AG25" s="29" t="n">
        <v>202.2906046069264</v>
      </c>
      <c r="AH25" s="29" t="n">
        <v>569.9619497756321</v>
      </c>
      <c r="AI25" s="29" t="n">
        <v>35.20982325978893</v>
      </c>
      <c r="AJ25" s="29" t="n">
        <v>421.8938865233838</v>
      </c>
      <c r="AK25" s="29" t="n">
        <v>93.98456473098329</v>
      </c>
      <c r="AL25" s="29" t="n">
        <v>310.024798725099</v>
      </c>
      <c r="AM25" s="29" t="n">
        <v>2772.566667936414</v>
      </c>
      <c r="AN25" s="29" t="n">
        <v>318.9584527964232</v>
      </c>
      <c r="AO25" s="29" t="n">
        <v>1601.949321433565</v>
      </c>
      <c r="AP25" s="29" t="n">
        <v>733.5245503392166</v>
      </c>
      <c r="AQ25" s="29" t="n">
        <v>147.1448554796331</v>
      </c>
      <c r="AR25" s="29" t="n">
        <v>22.95638075972752</v>
      </c>
      <c r="AS25" s="29" t="n">
        <v>635.3107485917994</v>
      </c>
      <c r="AT25" s="29" t="n">
        <v>2335.687814944479</v>
      </c>
      <c r="AU25" s="29" t="n">
        <v>262.7457302494209</v>
      </c>
      <c r="AV25" s="29" t="n">
        <v>489.8552321342655</v>
      </c>
      <c r="AW25" s="29" t="n">
        <v>486.4884946421332</v>
      </c>
      <c r="AX25" s="29" t="n">
        <v>0</v>
      </c>
      <c r="AY25" s="29" t="n">
        <v>434.165953806778</v>
      </c>
      <c r="AZ25" s="29" t="n">
        <v>83.21530410774824</v>
      </c>
      <c r="BA25" s="29" t="n">
        <v>538.7896959949513</v>
      </c>
      <c r="BB25" s="29">
        <f>SUM(C25:BA25)</f>
        <v/>
      </c>
      <c r="BC25" s="29" t="n">
        <v>0</v>
      </c>
      <c r="BD25" s="29" t="n">
        <v>0</v>
      </c>
      <c r="BE25" s="29" t="n">
        <v>10731.64395844131</v>
      </c>
      <c r="BF25" s="29" t="n">
        <v>0</v>
      </c>
      <c r="BG25" s="29">
        <f>SUM(BC25:BF25)</f>
        <v/>
      </c>
      <c r="BH25" s="29">
        <f>BB25+BG25</f>
        <v/>
      </c>
    </row>
    <row r="26">
      <c r="A26" s="27" t="n">
        <v>13</v>
      </c>
      <c r="B26" s="28" t="inlineStr">
        <is>
          <t>Jornais revistas discos</t>
        </is>
      </c>
      <c r="C26" s="27" t="n">
        <v>5.900400328583204</v>
      </c>
      <c r="D26" s="27" t="n">
        <v>1.74017317516019</v>
      </c>
      <c r="E26" s="27" t="n">
        <v>5.937601688543641</v>
      </c>
      <c r="F26" s="27" t="n">
        <v>7.718123362413904</v>
      </c>
      <c r="G26" s="27" t="n">
        <v>6.294958967135525</v>
      </c>
      <c r="H26" s="27" t="n">
        <v>307.432755086694</v>
      </c>
      <c r="I26" s="27" t="n">
        <v>9.941532320659945</v>
      </c>
      <c r="J26" s="27" t="n">
        <v>18.65774793589097</v>
      </c>
      <c r="K26" s="27" t="n">
        <v>26.36853597016648</v>
      </c>
      <c r="L26" s="27" t="n">
        <v>14.47201220024735</v>
      </c>
      <c r="M26" s="27" t="n">
        <v>18.80776829209479</v>
      </c>
      <c r="N26" s="27" t="n">
        <v>149.9436856856255</v>
      </c>
      <c r="O26" s="27" t="n">
        <v>1206.785021211063</v>
      </c>
      <c r="P26" s="27" t="n">
        <v>4.555834520031777</v>
      </c>
      <c r="Q26" s="27" t="n">
        <v>3.648390955817145</v>
      </c>
      <c r="R26" s="27" t="n">
        <v>2.913772822094613</v>
      </c>
      <c r="S26" s="27" t="n">
        <v>1.06505200922142</v>
      </c>
      <c r="T26" s="27" t="n">
        <v>10.47411035913877</v>
      </c>
      <c r="U26" s="27" t="n">
        <v>9.288628998646283</v>
      </c>
      <c r="V26" s="27" t="n">
        <v>11.31481666220216</v>
      </c>
      <c r="W26" s="27" t="n">
        <v>2.41195169214914</v>
      </c>
      <c r="X26" s="27" t="n">
        <v>4.45961124167327</v>
      </c>
      <c r="Y26" s="27" t="n">
        <v>29.95225251547531</v>
      </c>
      <c r="Z26" s="27" t="n">
        <v>18.18991973705167</v>
      </c>
      <c r="AA26" s="27" t="n">
        <v>17.92835120379967</v>
      </c>
      <c r="AB26" s="27" t="n">
        <v>1.707222054746787</v>
      </c>
      <c r="AC26" s="27" t="n">
        <v>21.77295901484776</v>
      </c>
      <c r="AD26" s="27" t="n">
        <v>21.71562648571983</v>
      </c>
      <c r="AE26" s="27" t="n">
        <v>12.06427910005768</v>
      </c>
      <c r="AF26" s="27" t="n">
        <v>137.1070025736007</v>
      </c>
      <c r="AG26" s="27" t="n">
        <v>20.05798632686726</v>
      </c>
      <c r="AH26" s="27" t="n">
        <v>25.26400733977316</v>
      </c>
      <c r="AI26" s="27" t="n">
        <v>3.51432920814637</v>
      </c>
      <c r="AJ26" s="27" t="n">
        <v>37.2674703905197</v>
      </c>
      <c r="AK26" s="27" t="n">
        <v>22.27542366565851</v>
      </c>
      <c r="AL26" s="27" t="n">
        <v>34.49195947056839</v>
      </c>
      <c r="AM26" s="27" t="n">
        <v>3335.043628452835</v>
      </c>
      <c r="AN26" s="27" t="n">
        <v>108.5426638347142</v>
      </c>
      <c r="AO26" s="27" t="n">
        <v>3496.055339620621</v>
      </c>
      <c r="AP26" s="27" t="n">
        <v>973.1202877872096</v>
      </c>
      <c r="AQ26" s="27" t="n">
        <v>183.4522255135147</v>
      </c>
      <c r="AR26" s="27" t="n">
        <v>1.078059916609774</v>
      </c>
      <c r="AS26" s="27" t="n">
        <v>47.0143569386254</v>
      </c>
      <c r="AT26" s="27" t="n">
        <v>3293.411058839745</v>
      </c>
      <c r="AU26" s="27" t="n">
        <v>23.04666690322009</v>
      </c>
      <c r="AV26" s="27" t="n">
        <v>22.3008161136782</v>
      </c>
      <c r="AW26" s="27" t="n">
        <v>673.8889829407539</v>
      </c>
      <c r="AX26" s="27" t="n">
        <v>0</v>
      </c>
      <c r="AY26" s="27" t="n">
        <v>76.41136410721428</v>
      </c>
      <c r="AZ26" s="27" t="n">
        <v>39.07693510935362</v>
      </c>
      <c r="BA26" s="27" t="n">
        <v>603.9988631471465</v>
      </c>
      <c r="BB26" s="27">
        <f>SUM(C26:BA26)</f>
        <v/>
      </c>
      <c r="BC26" s="27" t="n">
        <v>0</v>
      </c>
      <c r="BD26" s="27" t="n">
        <v>0</v>
      </c>
      <c r="BE26" s="27" t="n">
        <v>343.8505156637356</v>
      </c>
      <c r="BF26" s="27" t="n">
        <v>0</v>
      </c>
      <c r="BG26" s="27">
        <f>SUM(BC26:BF26)</f>
        <v/>
      </c>
      <c r="BH26" s="27">
        <f>BB26+BG26</f>
        <v/>
      </c>
    </row>
    <row r="27">
      <c r="A27" s="29" t="n">
        <v>14</v>
      </c>
      <c r="B27" s="30" t="inlineStr">
        <is>
          <t>Refino de petróleo e coque</t>
        </is>
      </c>
      <c r="C27" s="29" t="n">
        <v>4805.710795077889</v>
      </c>
      <c r="D27" s="29" t="n">
        <v>2377.420010850849</v>
      </c>
      <c r="E27" s="29" t="n">
        <v>871.5981548297854</v>
      </c>
      <c r="F27" s="29" t="n">
        <v>966.4547562479578</v>
      </c>
      <c r="G27" s="29" t="n">
        <v>1140.292517280551</v>
      </c>
      <c r="H27" s="29" t="n">
        <v>3788.033810958915</v>
      </c>
      <c r="I27" s="29" t="n">
        <v>22.46298935002227</v>
      </c>
      <c r="J27" s="29" t="n">
        <v>216.8135869049541</v>
      </c>
      <c r="K27" s="29" t="n">
        <v>63.48146142910615</v>
      </c>
      <c r="L27" s="29" t="n">
        <v>154.1063994592379</v>
      </c>
      <c r="M27" s="29" t="n">
        <v>157.7658312873354</v>
      </c>
      <c r="N27" s="29" t="n">
        <v>715.4162351232042</v>
      </c>
      <c r="O27" s="29" t="n">
        <v>18.72376630946957</v>
      </c>
      <c r="P27" s="29" t="n">
        <v>55968.57407724543</v>
      </c>
      <c r="Q27" s="29" t="n">
        <v>253.6412755746879</v>
      </c>
      <c r="R27" s="29" t="n">
        <v>8396.600999450136</v>
      </c>
      <c r="S27" s="29" t="n">
        <v>255.0388170037829</v>
      </c>
      <c r="T27" s="29" t="n">
        <v>77.12301707815756</v>
      </c>
      <c r="U27" s="29" t="n">
        <v>138.6289166718087</v>
      </c>
      <c r="V27" s="29" t="n">
        <v>284.0749451436246</v>
      </c>
      <c r="W27" s="29" t="n">
        <v>263.6636479247658</v>
      </c>
      <c r="X27" s="29" t="n">
        <v>342.6852964160858</v>
      </c>
      <c r="Y27" s="29" t="n">
        <v>1051.584537474542</v>
      </c>
      <c r="Z27" s="29" t="n">
        <v>1822.372796308629</v>
      </c>
      <c r="AA27" s="29" t="n">
        <v>2124.817877014796</v>
      </c>
      <c r="AB27" s="29" t="n">
        <v>881.5190825542929</v>
      </c>
      <c r="AC27" s="29" t="n">
        <v>209.2037330384404</v>
      </c>
      <c r="AD27" s="29" t="n">
        <v>429.5132557551274</v>
      </c>
      <c r="AE27" s="29" t="n">
        <v>448.7586505247466</v>
      </c>
      <c r="AF27" s="29" t="n">
        <v>112.1624121362328</v>
      </c>
      <c r="AG27" s="29" t="n">
        <v>455.68472547515</v>
      </c>
      <c r="AH27" s="29" t="n">
        <v>298.1812906661081</v>
      </c>
      <c r="AI27" s="29" t="n">
        <v>53.59733339824725</v>
      </c>
      <c r="AJ27" s="29" t="n">
        <v>136.2576767870992</v>
      </c>
      <c r="AK27" s="29" t="n">
        <v>2419.758896645993</v>
      </c>
      <c r="AL27" s="29" t="n">
        <v>4310.261894127847</v>
      </c>
      <c r="AM27" s="29" t="n">
        <v>5540.811804182282</v>
      </c>
      <c r="AN27" s="29" t="n">
        <v>33116.17904235607</v>
      </c>
      <c r="AO27" s="29" t="n">
        <v>213.5510363585664</v>
      </c>
      <c r="AP27" s="29" t="n">
        <v>299.6828060950874</v>
      </c>
      <c r="AQ27" s="29" t="n">
        <v>52.71243239516975</v>
      </c>
      <c r="AR27" s="29" t="n">
        <v>57.10312481408322</v>
      </c>
      <c r="AS27" s="29" t="n">
        <v>996.9094589571428</v>
      </c>
      <c r="AT27" s="29" t="n">
        <v>1188.608048108167</v>
      </c>
      <c r="AU27" s="29" t="n">
        <v>60.52353616042974</v>
      </c>
      <c r="AV27" s="29" t="n">
        <v>187.4832463465696</v>
      </c>
      <c r="AW27" s="29" t="n">
        <v>565.9493845771324</v>
      </c>
      <c r="AX27" s="29" t="n">
        <v>0</v>
      </c>
      <c r="AY27" s="29" t="n">
        <v>167.7180042149678</v>
      </c>
      <c r="AZ27" s="29" t="n">
        <v>61.15790187756703</v>
      </c>
      <c r="BA27" s="29" t="n">
        <v>1271.557060425278</v>
      </c>
      <c r="BB27" s="29">
        <f>SUM(C27:BA27)</f>
        <v/>
      </c>
      <c r="BC27" s="29" t="n">
        <v>0</v>
      </c>
      <c r="BD27" s="29" t="n">
        <v>0</v>
      </c>
      <c r="BE27" s="29" t="n">
        <v>41277.46600715811</v>
      </c>
      <c r="BF27" s="29" t="n">
        <v>0</v>
      </c>
      <c r="BG27" s="29">
        <f>SUM(BC27:BF27)</f>
        <v/>
      </c>
      <c r="BH27" s="29">
        <f>BB27+BG27</f>
        <v/>
      </c>
    </row>
    <row r="28">
      <c r="A28" s="27" t="n">
        <v>15</v>
      </c>
      <c r="B28" s="28" t="inlineStr">
        <is>
          <t>Álcool</t>
        </is>
      </c>
      <c r="C28" s="27" t="n">
        <v>68.49629185796573</v>
      </c>
      <c r="D28" s="27" t="n">
        <v>75.07464690721065</v>
      </c>
      <c r="E28" s="27" t="n">
        <v>193.436448028809</v>
      </c>
      <c r="F28" s="27" t="n">
        <v>1.52528404738284</v>
      </c>
      <c r="G28" s="27" t="n">
        <v>3.511453000291287</v>
      </c>
      <c r="H28" s="27" t="n">
        <v>907.5609187317806</v>
      </c>
      <c r="I28" s="27" t="n">
        <v>0.14974885674187</v>
      </c>
      <c r="J28" s="27" t="n">
        <v>1.467991014705104</v>
      </c>
      <c r="K28" s="27" t="n">
        <v>0.3956734423974654</v>
      </c>
      <c r="L28" s="27" t="n">
        <v>0.3535360124288718</v>
      </c>
      <c r="M28" s="27" t="n">
        <v>0.875528535862439</v>
      </c>
      <c r="N28" s="27" t="n">
        <v>2.689181738531661</v>
      </c>
      <c r="O28" s="27" t="n">
        <v>0.3613237599779005</v>
      </c>
      <c r="P28" s="27" t="n">
        <v>1492.56901382453</v>
      </c>
      <c r="Q28" s="27" t="n">
        <v>165.4528896995039</v>
      </c>
      <c r="R28" s="27" t="n">
        <v>184.0931851402694</v>
      </c>
      <c r="S28" s="27" t="n">
        <v>1.374820629766195</v>
      </c>
      <c r="T28" s="27" t="n">
        <v>288.674889435242</v>
      </c>
      <c r="U28" s="27" t="n">
        <v>68.63251425962319</v>
      </c>
      <c r="V28" s="27" t="n">
        <v>455.6960635410013</v>
      </c>
      <c r="W28" s="27" t="n">
        <v>82.75520920145397</v>
      </c>
      <c r="X28" s="27" t="n">
        <v>58.44260490628218</v>
      </c>
      <c r="Y28" s="27" t="n">
        <v>1.796938069992107</v>
      </c>
      <c r="Z28" s="27" t="n">
        <v>2.975732441035642</v>
      </c>
      <c r="AA28" s="27" t="n">
        <v>7.869924856332666</v>
      </c>
      <c r="AB28" s="27" t="n">
        <v>3.098669251463818</v>
      </c>
      <c r="AC28" s="27" t="n">
        <v>17.31248062738996</v>
      </c>
      <c r="AD28" s="27" t="n">
        <v>7.837796520654504</v>
      </c>
      <c r="AE28" s="27" t="n">
        <v>2.214027690658712</v>
      </c>
      <c r="AF28" s="27" t="n">
        <v>0.48174354605794</v>
      </c>
      <c r="AG28" s="27" t="n">
        <v>6.293796312407999</v>
      </c>
      <c r="AH28" s="27" t="n">
        <v>2.171279066618187</v>
      </c>
      <c r="AI28" s="27" t="n">
        <v>0.3825742733695457</v>
      </c>
      <c r="AJ28" s="27" t="n">
        <v>1.80731915894574</v>
      </c>
      <c r="AK28" s="27" t="n">
        <v>37.84783724489896</v>
      </c>
      <c r="AL28" s="27" t="n">
        <v>176.4372659853532</v>
      </c>
      <c r="AM28" s="27" t="n">
        <v>123.4088012714419</v>
      </c>
      <c r="AN28" s="27" t="n">
        <v>288.7749087834277</v>
      </c>
      <c r="AO28" s="27" t="n">
        <v>5.565697385683905</v>
      </c>
      <c r="AP28" s="27" t="n">
        <v>3.086333596632714</v>
      </c>
      <c r="AQ28" s="27" t="n">
        <v>0.989741847878056</v>
      </c>
      <c r="AR28" s="27" t="n">
        <v>14.8489208859565</v>
      </c>
      <c r="AS28" s="27" t="n">
        <v>50.05252944837081</v>
      </c>
      <c r="AT28" s="27" t="n">
        <v>68.15410337588693</v>
      </c>
      <c r="AU28" s="27" t="n">
        <v>2.948651119676775</v>
      </c>
      <c r="AV28" s="27" t="n">
        <v>25.17887989675765</v>
      </c>
      <c r="AW28" s="27" t="n">
        <v>37.89379720352278</v>
      </c>
      <c r="AX28" s="27" t="n">
        <v>0</v>
      </c>
      <c r="AY28" s="27" t="n">
        <v>24.91748400957398</v>
      </c>
      <c r="AZ28" s="27" t="n">
        <v>13.47401155676334</v>
      </c>
      <c r="BA28" s="27" t="n">
        <v>226.2388160138559</v>
      </c>
      <c r="BB28" s="27">
        <f>SUM(C28:BA28)</f>
        <v/>
      </c>
      <c r="BC28" s="27" t="n">
        <v>0</v>
      </c>
      <c r="BD28" s="27" t="n">
        <v>0</v>
      </c>
      <c r="BE28" s="27" t="n">
        <v>6819.076112102453</v>
      </c>
      <c r="BF28" s="27" t="n">
        <v>0</v>
      </c>
      <c r="BG28" s="27">
        <f>SUM(BC28:BF28)</f>
        <v/>
      </c>
      <c r="BH28" s="27">
        <f>BB28+BG28</f>
        <v/>
      </c>
    </row>
    <row r="29">
      <c r="A29" s="29" t="n">
        <v>16</v>
      </c>
      <c r="B29" s="30" t="inlineStr">
        <is>
          <t>Produtos  químicos</t>
        </is>
      </c>
      <c r="C29" s="29" t="n">
        <v>15942.38427876626</v>
      </c>
      <c r="D29" s="29" t="n">
        <v>2190.753128707132</v>
      </c>
      <c r="E29" s="29" t="n">
        <v>1491.092920904015</v>
      </c>
      <c r="F29" s="29" t="n">
        <v>163.6903155190432</v>
      </c>
      <c r="G29" s="29" t="n">
        <v>287.2138353469643</v>
      </c>
      <c r="H29" s="29" t="n">
        <v>1276.508869155193</v>
      </c>
      <c r="I29" s="29" t="n">
        <v>3.021688797864882</v>
      </c>
      <c r="J29" s="29" t="n">
        <v>1418.329514564159</v>
      </c>
      <c r="K29" s="29" t="n">
        <v>139.598887575978</v>
      </c>
      <c r="L29" s="29" t="n">
        <v>795.2429069834991</v>
      </c>
      <c r="M29" s="29" t="n">
        <v>35.03736049417867</v>
      </c>
      <c r="N29" s="29" t="n">
        <v>2397.284369571931</v>
      </c>
      <c r="O29" s="29" t="n">
        <v>23.00874562096168</v>
      </c>
      <c r="P29" s="29" t="n">
        <v>867.8658652966112</v>
      </c>
      <c r="Q29" s="29" t="n">
        <v>287.4713208771827</v>
      </c>
      <c r="R29" s="29" t="n">
        <v>20030.87758247672</v>
      </c>
      <c r="S29" s="29" t="n">
        <v>11671.89692397582</v>
      </c>
      <c r="T29" s="29" t="n">
        <v>1075.183322455486</v>
      </c>
      <c r="U29" s="29" t="n">
        <v>3103.356970188249</v>
      </c>
      <c r="V29" s="29" t="n">
        <v>3007.223155421467</v>
      </c>
      <c r="W29" s="29" t="n">
        <v>2496.904253909091</v>
      </c>
      <c r="X29" s="29" t="n">
        <v>3677.177184118196</v>
      </c>
      <c r="Y29" s="29" t="n">
        <v>2199.525542654805</v>
      </c>
      <c r="Z29" s="29" t="n">
        <v>1131.957561162315</v>
      </c>
      <c r="AA29" s="29" t="n">
        <v>1302.696060119864</v>
      </c>
      <c r="AB29" s="29" t="n">
        <v>808.3645418606663</v>
      </c>
      <c r="AC29" s="29" t="n">
        <v>532.6719128236141</v>
      </c>
      <c r="AD29" s="29" t="n">
        <v>194.9885150318538</v>
      </c>
      <c r="AE29" s="29" t="n">
        <v>267.3920415118286</v>
      </c>
      <c r="AF29" s="29" t="n">
        <v>103.6626476523119</v>
      </c>
      <c r="AG29" s="29" t="n">
        <v>33.09572518432917</v>
      </c>
      <c r="AH29" s="29" t="n">
        <v>54.80627967913254</v>
      </c>
      <c r="AI29" s="29" t="n">
        <v>99.07317943441274</v>
      </c>
      <c r="AJ29" s="29" t="n">
        <v>248.5051843481099</v>
      </c>
      <c r="AK29" s="29" t="n">
        <v>856.5966173920624</v>
      </c>
      <c r="AL29" s="29" t="n">
        <v>68.61011354158494</v>
      </c>
      <c r="AM29" s="29" t="n">
        <v>502.7897891533585</v>
      </c>
      <c r="AN29" s="29" t="n">
        <v>45.72593667417581</v>
      </c>
      <c r="AO29" s="29" t="n">
        <v>52.39782738172425</v>
      </c>
      <c r="AP29" s="29" t="n">
        <v>41.38877477122819</v>
      </c>
      <c r="AQ29" s="29" t="n">
        <v>13.95295224109077</v>
      </c>
      <c r="AR29" s="29" t="n">
        <v>2.237330871391189</v>
      </c>
      <c r="AS29" s="29" t="n">
        <v>41.29251223649484</v>
      </c>
      <c r="AT29" s="29" t="n">
        <v>170.0428785409287</v>
      </c>
      <c r="AU29" s="29" t="n">
        <v>29.82852058951617</v>
      </c>
      <c r="AV29" s="29" t="n">
        <v>704.8554916102264</v>
      </c>
      <c r="AW29" s="29" t="n">
        <v>271.5635169411056</v>
      </c>
      <c r="AX29" s="29" t="n">
        <v>0</v>
      </c>
      <c r="AY29" s="29" t="n">
        <v>62.71392760147631</v>
      </c>
      <c r="AZ29" s="29" t="n">
        <v>201.9608719166761</v>
      </c>
      <c r="BA29" s="29" t="n">
        <v>44.92743837017598</v>
      </c>
      <c r="BB29" s="29">
        <f>SUM(C29:BA29)</f>
        <v/>
      </c>
      <c r="BC29" s="29" t="n">
        <v>0</v>
      </c>
      <c r="BD29" s="29" t="n">
        <v>0</v>
      </c>
      <c r="BE29" s="29" t="n">
        <v>7722.005582862129</v>
      </c>
      <c r="BF29" s="29" t="n">
        <v>0</v>
      </c>
      <c r="BG29" s="29">
        <f>SUM(BC29:BF29)</f>
        <v/>
      </c>
      <c r="BH29" s="29">
        <f>BB29+BG29</f>
        <v/>
      </c>
    </row>
    <row r="30">
      <c r="A30" s="27" t="n">
        <v>17</v>
      </c>
      <c r="B30" s="28" t="inlineStr">
        <is>
          <t>Fabricação de resina e elastômeros</t>
        </is>
      </c>
      <c r="C30" s="27" t="n">
        <v>264.6657867964688</v>
      </c>
      <c r="D30" s="27" t="n">
        <v>27.31895018525686</v>
      </c>
      <c r="E30" s="27" t="n">
        <v>563.0163752447271</v>
      </c>
      <c r="F30" s="27" t="n">
        <v>5.366684790577383</v>
      </c>
      <c r="G30" s="27" t="n">
        <v>10.42246888111299</v>
      </c>
      <c r="H30" s="27" t="n">
        <v>56.21528172360124</v>
      </c>
      <c r="I30" s="27" t="n">
        <v>29.58221092269686</v>
      </c>
      <c r="J30" s="27" t="n">
        <v>3601.212308425599</v>
      </c>
      <c r="K30" s="27" t="n">
        <v>34.41425473968118</v>
      </c>
      <c r="L30" s="27" t="n">
        <v>1019.909165123247</v>
      </c>
      <c r="M30" s="27" t="n">
        <v>513.4743314591815</v>
      </c>
      <c r="N30" s="27" t="n">
        <v>1034.029737958975</v>
      </c>
      <c r="O30" s="27" t="n">
        <v>42.87926985600994</v>
      </c>
      <c r="P30" s="27" t="n">
        <v>2.030457471348605</v>
      </c>
      <c r="Q30" s="27" t="n">
        <v>3.896544482459644</v>
      </c>
      <c r="R30" s="27" t="n">
        <v>319.8885197458762</v>
      </c>
      <c r="S30" s="27" t="n">
        <v>1887.676460001752</v>
      </c>
      <c r="T30" s="27" t="n">
        <v>51.48683050764531</v>
      </c>
      <c r="U30" s="27" t="n">
        <v>94.61764602713474</v>
      </c>
      <c r="V30" s="27" t="n">
        <v>700.3549384214266</v>
      </c>
      <c r="W30" s="27" t="n">
        <v>605.360930259502</v>
      </c>
      <c r="X30" s="27" t="n">
        <v>714.1566593594525</v>
      </c>
      <c r="Y30" s="27" t="n">
        <v>10427.67180477148</v>
      </c>
      <c r="Z30" s="27" t="n">
        <v>1068.414416967214</v>
      </c>
      <c r="AA30" s="27" t="n">
        <v>20.3107121545283</v>
      </c>
      <c r="AB30" s="27" t="n">
        <v>158.2237555425253</v>
      </c>
      <c r="AC30" s="27" t="n">
        <v>620.6710504239545</v>
      </c>
      <c r="AD30" s="27" t="n">
        <v>145.355870674168</v>
      </c>
      <c r="AE30" s="27" t="n">
        <v>2096.761774449954</v>
      </c>
      <c r="AF30" s="27" t="n">
        <v>478.7899025912817</v>
      </c>
      <c r="AG30" s="27" t="n">
        <v>55.72026078438714</v>
      </c>
      <c r="AH30" s="27" t="n">
        <v>1284.338147113236</v>
      </c>
      <c r="AI30" s="27" t="n">
        <v>177.8371775269412</v>
      </c>
      <c r="AJ30" s="27" t="n">
        <v>811.6012522950923</v>
      </c>
      <c r="AK30" s="27" t="n">
        <v>11.57425455772982</v>
      </c>
      <c r="AL30" s="27" t="n">
        <v>70.58958831726895</v>
      </c>
      <c r="AM30" s="27" t="n">
        <v>65.54673562762811</v>
      </c>
      <c r="AN30" s="27" t="n">
        <v>12.47316368386083</v>
      </c>
      <c r="AO30" s="27" t="n">
        <v>15.01844446938618</v>
      </c>
      <c r="AP30" s="27" t="n">
        <v>10.12453471436919</v>
      </c>
      <c r="AQ30" s="27" t="n">
        <v>7.556128768946865</v>
      </c>
      <c r="AR30" s="27" t="n">
        <v>0.6903135911047737</v>
      </c>
      <c r="AS30" s="27" t="n">
        <v>8.380753057607617</v>
      </c>
      <c r="AT30" s="27" t="n">
        <v>39.78022123521035</v>
      </c>
      <c r="AU30" s="27" t="n">
        <v>6.300544830004817</v>
      </c>
      <c r="AV30" s="27" t="n">
        <v>7.410072495585385</v>
      </c>
      <c r="AW30" s="27" t="n">
        <v>23.12589650108033</v>
      </c>
      <c r="AX30" s="27" t="n">
        <v>0</v>
      </c>
      <c r="AY30" s="27" t="n">
        <v>3.498214571786806</v>
      </c>
      <c r="AZ30" s="27" t="n">
        <v>6.178712290890661</v>
      </c>
      <c r="BA30" s="27" t="n">
        <v>9.395178484424338</v>
      </c>
      <c r="BB30" s="27">
        <f>SUM(C30:BA30)</f>
        <v/>
      </c>
      <c r="BC30" s="27" t="n">
        <v>0</v>
      </c>
      <c r="BD30" s="27" t="n">
        <v>0</v>
      </c>
      <c r="BE30" s="27" t="n">
        <v>3901.458874602336</v>
      </c>
      <c r="BF30" s="27" t="n">
        <v>0</v>
      </c>
      <c r="BG30" s="27">
        <f>SUM(BC30:BF30)</f>
        <v/>
      </c>
      <c r="BH30" s="27">
        <f>BB30+BG30</f>
        <v/>
      </c>
    </row>
    <row r="31">
      <c r="A31" s="29" t="n">
        <v>18</v>
      </c>
      <c r="B31" s="30" t="inlineStr">
        <is>
          <t>Produtos farmacêuticos</t>
        </is>
      </c>
      <c r="C31" s="29" t="n">
        <v>437.4232625439305</v>
      </c>
      <c r="D31" s="29" t="n">
        <v>2393.038499467502</v>
      </c>
      <c r="E31" s="29" t="n">
        <v>162.701029080797</v>
      </c>
      <c r="F31" s="29" t="n">
        <v>4.45883559225833</v>
      </c>
      <c r="G31" s="29" t="n">
        <v>3.225388083152339</v>
      </c>
      <c r="H31" s="29" t="n">
        <v>136.2918368697624</v>
      </c>
      <c r="I31" s="29" t="n">
        <v>2.290246383853488</v>
      </c>
      <c r="J31" s="29" t="n">
        <v>39.59696967145211</v>
      </c>
      <c r="K31" s="29" t="n">
        <v>2.435673912820173</v>
      </c>
      <c r="L31" s="29" t="n">
        <v>13.46118093478231</v>
      </c>
      <c r="M31" s="29" t="n">
        <v>5.768624291541668</v>
      </c>
      <c r="N31" s="29" t="n">
        <v>17.56950736320186</v>
      </c>
      <c r="O31" s="29" t="n">
        <v>1.237096854166272</v>
      </c>
      <c r="P31" s="29" t="n">
        <v>4.23472020225189</v>
      </c>
      <c r="Q31" s="29" t="n">
        <v>1.888532850721043</v>
      </c>
      <c r="R31" s="29" t="n">
        <v>27.77781673802191</v>
      </c>
      <c r="S31" s="29" t="n">
        <v>60.42925722267326</v>
      </c>
      <c r="T31" s="29" t="n">
        <v>2362.344715675377</v>
      </c>
      <c r="U31" s="29" t="n">
        <v>191.7294497376895</v>
      </c>
      <c r="V31" s="29" t="n">
        <v>30.62509244110605</v>
      </c>
      <c r="W31" s="29" t="n">
        <v>13.42876246482205</v>
      </c>
      <c r="X31" s="29" t="n">
        <v>23.23338668298135</v>
      </c>
      <c r="Y31" s="29" t="n">
        <v>107.4123786169106</v>
      </c>
      <c r="Z31" s="29" t="n">
        <v>21.72663957985225</v>
      </c>
      <c r="AA31" s="29" t="n">
        <v>11.04800156043484</v>
      </c>
      <c r="AB31" s="29" t="n">
        <v>4.56354186706766</v>
      </c>
      <c r="AC31" s="29" t="n">
        <v>12.78125324262661</v>
      </c>
      <c r="AD31" s="29" t="n">
        <v>22.35796946247688</v>
      </c>
      <c r="AE31" s="29" t="n">
        <v>24.7975544515899</v>
      </c>
      <c r="AF31" s="29" t="n">
        <v>11.20584767419141</v>
      </c>
      <c r="AG31" s="29" t="n">
        <v>13.46658674537148</v>
      </c>
      <c r="AH31" s="29" t="n">
        <v>15.60906052091293</v>
      </c>
      <c r="AI31" s="29" t="n">
        <v>3.105873820943517</v>
      </c>
      <c r="AJ31" s="29" t="n">
        <v>10.26989303452553</v>
      </c>
      <c r="AK31" s="29" t="n">
        <v>13.6957975036633</v>
      </c>
      <c r="AL31" s="29" t="n">
        <v>105.4135224875042</v>
      </c>
      <c r="AM31" s="29" t="n">
        <v>202.3270615617195</v>
      </c>
      <c r="AN31" s="29" t="n">
        <v>25.71886735617147</v>
      </c>
      <c r="AO31" s="29" t="n">
        <v>35.02853527929697</v>
      </c>
      <c r="AP31" s="29" t="n">
        <v>27.2174551143423</v>
      </c>
      <c r="AQ31" s="29" t="n">
        <v>6.319288735360001</v>
      </c>
      <c r="AR31" s="29" t="n">
        <v>0.474208322018691</v>
      </c>
      <c r="AS31" s="29" t="n">
        <v>8.760177205947297</v>
      </c>
      <c r="AT31" s="29" t="n">
        <v>71.42701494577818</v>
      </c>
      <c r="AU31" s="29" t="n">
        <v>117.3751829426107</v>
      </c>
      <c r="AV31" s="29" t="n">
        <v>5209.525443523683</v>
      </c>
      <c r="AW31" s="29" t="n">
        <v>427.3326470708366</v>
      </c>
      <c r="AX31" s="29" t="n">
        <v>0</v>
      </c>
      <c r="AY31" s="29" t="n">
        <v>255.4439609720876</v>
      </c>
      <c r="AZ31" s="29" t="n">
        <v>1683.073133184786</v>
      </c>
      <c r="BA31" s="29" t="n">
        <v>266.3685209903377</v>
      </c>
      <c r="BB31" s="29">
        <f>SUM(C31:BA31)</f>
        <v/>
      </c>
      <c r="BC31" s="29" t="n">
        <v>0</v>
      </c>
      <c r="BD31" s="29" t="n">
        <v>0</v>
      </c>
      <c r="BE31" s="29" t="n">
        <v>15108.07009336005</v>
      </c>
      <c r="BF31" s="29" t="n">
        <v>0</v>
      </c>
      <c r="BG31" s="29">
        <f>SUM(BC31:BF31)</f>
        <v/>
      </c>
      <c r="BH31" s="29">
        <f>BB31+BG31</f>
        <v/>
      </c>
    </row>
    <row r="32">
      <c r="A32" s="27" t="n">
        <v>19</v>
      </c>
      <c r="B32" s="28" t="inlineStr">
        <is>
          <t>Defensivos agrícolas</t>
        </is>
      </c>
      <c r="C32" s="27" t="n">
        <v>11027.81620989533</v>
      </c>
      <c r="D32" s="27" t="n">
        <v>1074.836337496838</v>
      </c>
      <c r="E32" s="27" t="n">
        <v>66.01832279632075</v>
      </c>
      <c r="F32" s="27" t="n">
        <v>10.97195741697105</v>
      </c>
      <c r="G32" s="27" t="n">
        <v>57.30176511330644</v>
      </c>
      <c r="H32" s="27" t="n">
        <v>130.3501215019683</v>
      </c>
      <c r="I32" s="27" t="n">
        <v>2.881490821337351</v>
      </c>
      <c r="J32" s="27" t="n">
        <v>217.9145600406626</v>
      </c>
      <c r="K32" s="27" t="n">
        <v>5.063630628305299</v>
      </c>
      <c r="L32" s="27" t="n">
        <v>72.23615402595152</v>
      </c>
      <c r="M32" s="27" t="n">
        <v>34.77728240524759</v>
      </c>
      <c r="N32" s="27" t="n">
        <v>94.0875142216378</v>
      </c>
      <c r="O32" s="27" t="n">
        <v>8.43476981387046</v>
      </c>
      <c r="P32" s="27" t="n">
        <v>8.115379929184138</v>
      </c>
      <c r="Q32" s="27" t="n">
        <v>11.15241960554015</v>
      </c>
      <c r="R32" s="27" t="n">
        <v>193.5264003729757</v>
      </c>
      <c r="S32" s="27" t="n">
        <v>445.4210719543154</v>
      </c>
      <c r="T32" s="27" t="n">
        <v>50.75376154639012</v>
      </c>
      <c r="U32" s="27" t="n">
        <v>2485.320340044354</v>
      </c>
      <c r="V32" s="27" t="n">
        <v>506.2262939036082</v>
      </c>
      <c r="W32" s="27" t="n">
        <v>139.1210172012951</v>
      </c>
      <c r="X32" s="27" t="n">
        <v>176.3921746088027</v>
      </c>
      <c r="Y32" s="27" t="n">
        <v>587.4177630320796</v>
      </c>
      <c r="Z32" s="27" t="n">
        <v>63.18979347334758</v>
      </c>
      <c r="AA32" s="27" t="n">
        <v>32.90410819483974</v>
      </c>
      <c r="AB32" s="27" t="n">
        <v>16.9446833174519</v>
      </c>
      <c r="AC32" s="27" t="n">
        <v>69.63788595387933</v>
      </c>
      <c r="AD32" s="27" t="n">
        <v>24.52179800426631</v>
      </c>
      <c r="AE32" s="27" t="n">
        <v>110.5414696952584</v>
      </c>
      <c r="AF32" s="27" t="n">
        <v>29.2829992898466</v>
      </c>
      <c r="AG32" s="27" t="n">
        <v>8.933436652975471</v>
      </c>
      <c r="AH32" s="27" t="n">
        <v>64.92840572132472</v>
      </c>
      <c r="AI32" s="27" t="n">
        <v>9.873568011543409</v>
      </c>
      <c r="AJ32" s="27" t="n">
        <v>49.4739373958069</v>
      </c>
      <c r="AK32" s="27" t="n">
        <v>14.35129106410285</v>
      </c>
      <c r="AL32" s="27" t="n">
        <v>21.17270580577861</v>
      </c>
      <c r="AM32" s="27" t="n">
        <v>53.30278429545091</v>
      </c>
      <c r="AN32" s="27" t="n">
        <v>13.05374685835615</v>
      </c>
      <c r="AO32" s="27" t="n">
        <v>17.47949132064336</v>
      </c>
      <c r="AP32" s="27" t="n">
        <v>13.7750649671171</v>
      </c>
      <c r="AQ32" s="27" t="n">
        <v>1.679897715734348</v>
      </c>
      <c r="AR32" s="27" t="n">
        <v>0.09777468560581842</v>
      </c>
      <c r="AS32" s="27" t="n">
        <v>5.705562156575786</v>
      </c>
      <c r="AT32" s="27" t="n">
        <v>98.45018420009497</v>
      </c>
      <c r="AU32" s="27" t="n">
        <v>3.487478078307015</v>
      </c>
      <c r="AV32" s="27" t="n">
        <v>6.5945844150735</v>
      </c>
      <c r="AW32" s="27" t="n">
        <v>575.8642603019597</v>
      </c>
      <c r="AX32" s="27" t="n">
        <v>0</v>
      </c>
      <c r="AY32" s="27" t="n">
        <v>10.48947624403552</v>
      </c>
      <c r="AZ32" s="27" t="n">
        <v>25.60299001919015</v>
      </c>
      <c r="BA32" s="27" t="n">
        <v>16.06387904013561</v>
      </c>
      <c r="BB32" s="27">
        <f>SUM(C32:BA32)</f>
        <v/>
      </c>
      <c r="BC32" s="27" t="n">
        <v>0</v>
      </c>
      <c r="BD32" s="27" t="n">
        <v>0</v>
      </c>
      <c r="BE32" s="27" t="n">
        <v>367.2585067478892</v>
      </c>
      <c r="BF32" s="27" t="n">
        <v>0</v>
      </c>
      <c r="BG32" s="27">
        <f>SUM(BC32:BF32)</f>
        <v/>
      </c>
      <c r="BH32" s="27">
        <f>BB32+BG32</f>
        <v/>
      </c>
    </row>
    <row r="33">
      <c r="A33" s="29" t="n">
        <v>20</v>
      </c>
      <c r="B33" s="30" t="inlineStr">
        <is>
          <t>Perfumaria higiene e limpeza</t>
        </is>
      </c>
      <c r="C33" s="29" t="n">
        <v>339.273206630072</v>
      </c>
      <c r="D33" s="29" t="n">
        <v>79.02475476731567</v>
      </c>
      <c r="E33" s="29" t="n">
        <v>66.52838465722452</v>
      </c>
      <c r="F33" s="29" t="n">
        <v>38.88698221907232</v>
      </c>
      <c r="G33" s="29" t="n">
        <v>46.08246084971189</v>
      </c>
      <c r="H33" s="29" t="n">
        <v>242.6425959068844</v>
      </c>
      <c r="I33" s="29" t="n">
        <v>4.40550509177169</v>
      </c>
      <c r="J33" s="29" t="n">
        <v>47.30094958835016</v>
      </c>
      <c r="K33" s="29" t="n">
        <v>33.36760065930858</v>
      </c>
      <c r="L33" s="29" t="n">
        <v>5.835877490983668</v>
      </c>
      <c r="M33" s="29" t="n">
        <v>24.16688186052301</v>
      </c>
      <c r="N33" s="29" t="n">
        <v>45.41091014959538</v>
      </c>
      <c r="O33" s="29" t="n">
        <v>6.182400793098362</v>
      </c>
      <c r="P33" s="29" t="n">
        <v>29.67564898089284</v>
      </c>
      <c r="Q33" s="29" t="n">
        <v>6.008409074462005</v>
      </c>
      <c r="R33" s="29" t="n">
        <v>154.7449203612196</v>
      </c>
      <c r="S33" s="29" t="n">
        <v>6.368223170163925</v>
      </c>
      <c r="T33" s="29" t="n">
        <v>43.69412178173725</v>
      </c>
      <c r="U33" s="29" t="n">
        <v>117.4010042054306</v>
      </c>
      <c r="V33" s="29" t="n">
        <v>952.6488205401079</v>
      </c>
      <c r="W33" s="29" t="n">
        <v>23.81965375937823</v>
      </c>
      <c r="X33" s="29" t="n">
        <v>61.2759899201219</v>
      </c>
      <c r="Y33" s="29" t="n">
        <v>39.66642923619307</v>
      </c>
      <c r="Z33" s="29" t="n">
        <v>171.1190313243486</v>
      </c>
      <c r="AA33" s="29" t="n">
        <v>47.23768561219679</v>
      </c>
      <c r="AB33" s="29" t="n">
        <v>43.69343088580952</v>
      </c>
      <c r="AC33" s="29" t="n">
        <v>304.6863451244635</v>
      </c>
      <c r="AD33" s="29" t="n">
        <v>46.08025096685403</v>
      </c>
      <c r="AE33" s="29" t="n">
        <v>16.85066718633444</v>
      </c>
      <c r="AF33" s="29" t="n">
        <v>83.43981388135896</v>
      </c>
      <c r="AG33" s="29" t="n">
        <v>24.84367053273664</v>
      </c>
      <c r="AH33" s="29" t="n">
        <v>31.4060768049691</v>
      </c>
      <c r="AI33" s="29" t="n">
        <v>3.261440653023755</v>
      </c>
      <c r="AJ33" s="29" t="n">
        <v>9.54496628976618</v>
      </c>
      <c r="AK33" s="29" t="n">
        <v>62.17556777699881</v>
      </c>
      <c r="AL33" s="29" t="n">
        <v>248.3447962039303</v>
      </c>
      <c r="AM33" s="29" t="n">
        <v>1207.286314644558</v>
      </c>
      <c r="AN33" s="29" t="n">
        <v>286.518121074159</v>
      </c>
      <c r="AO33" s="29" t="n">
        <v>179.630378363567</v>
      </c>
      <c r="AP33" s="29" t="n">
        <v>41.90408761397178</v>
      </c>
      <c r="AQ33" s="29" t="n">
        <v>8.263898277154174</v>
      </c>
      <c r="AR33" s="29" t="n">
        <v>0.2383332806665912</v>
      </c>
      <c r="AS33" s="29" t="n">
        <v>91.72576702739062</v>
      </c>
      <c r="AT33" s="29" t="n">
        <v>512.9680060296148</v>
      </c>
      <c r="AU33" s="29" t="n">
        <v>101.9537874867633</v>
      </c>
      <c r="AV33" s="29" t="n">
        <v>439.161724576156</v>
      </c>
      <c r="AW33" s="29" t="n">
        <v>1768.909074568946</v>
      </c>
      <c r="AX33" s="29" t="n">
        <v>0</v>
      </c>
      <c r="AY33" s="29" t="n">
        <v>209.8557696729025</v>
      </c>
      <c r="AZ33" s="29" t="n">
        <v>99.55321425495192</v>
      </c>
      <c r="BA33" s="29" t="n">
        <v>158.2482063678375</v>
      </c>
      <c r="BB33" s="29">
        <f>SUM(C33:BA33)</f>
        <v/>
      </c>
      <c r="BC33" s="29" t="n">
        <v>0</v>
      </c>
      <c r="BD33" s="29" t="n">
        <v>0</v>
      </c>
      <c r="BE33" s="29" t="n">
        <v>11751.11464738703</v>
      </c>
      <c r="BF33" s="29" t="n">
        <v>0</v>
      </c>
      <c r="BG33" s="29">
        <f>SUM(BC33:BF33)</f>
        <v/>
      </c>
      <c r="BH33" s="29">
        <f>BB33+BG33</f>
        <v/>
      </c>
    </row>
    <row r="34">
      <c r="A34" s="27" t="n">
        <v>21</v>
      </c>
      <c r="B34" s="28" t="inlineStr">
        <is>
          <t>Tintas vernizes esmaltes e lacas</t>
        </is>
      </c>
      <c r="C34" s="27" t="n">
        <v>11.22261523965774</v>
      </c>
      <c r="D34" s="27" t="n">
        <v>22.60835964673249</v>
      </c>
      <c r="E34" s="27" t="n">
        <v>12.3415860547657</v>
      </c>
      <c r="F34" s="27" t="n">
        <v>2.966039910529314</v>
      </c>
      <c r="G34" s="27" t="n">
        <v>26.22193534045456</v>
      </c>
      <c r="H34" s="27" t="n">
        <v>73.81569189712366</v>
      </c>
      <c r="I34" s="27" t="n">
        <v>0.8195965050009105</v>
      </c>
      <c r="J34" s="27" t="n">
        <v>94.44045976406021</v>
      </c>
      <c r="K34" s="27" t="n">
        <v>37.82989446691069</v>
      </c>
      <c r="L34" s="27" t="n">
        <v>93.74370164734756</v>
      </c>
      <c r="M34" s="27" t="n">
        <v>250.1521540395597</v>
      </c>
      <c r="N34" s="27" t="n">
        <v>754.3426014057693</v>
      </c>
      <c r="O34" s="27" t="n">
        <v>644.2783204334648</v>
      </c>
      <c r="P34" s="27" t="n">
        <v>3.655865469740865</v>
      </c>
      <c r="Q34" s="27" t="n">
        <v>2.075040958426359</v>
      </c>
      <c r="R34" s="27" t="n">
        <v>22.64964093312723</v>
      </c>
      <c r="S34" s="27" t="n">
        <v>58.19095111194551</v>
      </c>
      <c r="T34" s="27" t="n">
        <v>12.16448228070289</v>
      </c>
      <c r="U34" s="27" t="n">
        <v>13.05678084742457</v>
      </c>
      <c r="V34" s="27" t="n">
        <v>33.17358322756778</v>
      </c>
      <c r="W34" s="27" t="n">
        <v>85.83521446173827</v>
      </c>
      <c r="X34" s="27" t="n">
        <v>50.69822911546844</v>
      </c>
      <c r="Y34" s="27" t="n">
        <v>1043.775840473485</v>
      </c>
      <c r="Z34" s="27" t="n">
        <v>514.2601204615878</v>
      </c>
      <c r="AA34" s="27" t="n">
        <v>9.099967409459373</v>
      </c>
      <c r="AB34" s="27" t="n">
        <v>2.730854459871558</v>
      </c>
      <c r="AC34" s="27" t="n">
        <v>330.8401605275196</v>
      </c>
      <c r="AD34" s="27" t="n">
        <v>358.7991547419784</v>
      </c>
      <c r="AE34" s="27" t="n">
        <v>37.12731931234117</v>
      </c>
      <c r="AF34" s="27" t="n">
        <v>229.2005001906583</v>
      </c>
      <c r="AG34" s="27" t="n">
        <v>326.4380942092014</v>
      </c>
      <c r="AH34" s="27" t="n">
        <v>199.2120970220141</v>
      </c>
      <c r="AI34" s="27" t="n">
        <v>70.40669072322943</v>
      </c>
      <c r="AJ34" s="27" t="n">
        <v>160.072664438209</v>
      </c>
      <c r="AK34" s="27" t="n">
        <v>98.7959387138508</v>
      </c>
      <c r="AL34" s="27" t="n">
        <v>3428.47027291208</v>
      </c>
      <c r="AM34" s="27" t="n">
        <v>634.4076055391032</v>
      </c>
      <c r="AN34" s="27" t="n">
        <v>156.6802231140382</v>
      </c>
      <c r="AO34" s="27" t="n">
        <v>248.7382696880559</v>
      </c>
      <c r="AP34" s="27" t="n">
        <v>8.870635111746488</v>
      </c>
      <c r="AQ34" s="27" t="n">
        <v>424.7582022169923</v>
      </c>
      <c r="AR34" s="27" t="n">
        <v>0.3227220330989841</v>
      </c>
      <c r="AS34" s="27" t="n">
        <v>8.119890102622101</v>
      </c>
      <c r="AT34" s="27" t="n">
        <v>27.04385039720584</v>
      </c>
      <c r="AU34" s="27" t="n">
        <v>4.566426729958409</v>
      </c>
      <c r="AV34" s="27" t="n">
        <v>2.123478194731114</v>
      </c>
      <c r="AW34" s="27" t="n">
        <v>217.4575384389717</v>
      </c>
      <c r="AX34" s="27" t="n">
        <v>0</v>
      </c>
      <c r="AY34" s="27" t="n">
        <v>30.55314129848909</v>
      </c>
      <c r="AZ34" s="27" t="n">
        <v>11.96948795638522</v>
      </c>
      <c r="BA34" s="27" t="n">
        <v>111.3368758438022</v>
      </c>
      <c r="BB34" s="27">
        <f>SUM(C34:BA34)</f>
        <v/>
      </c>
      <c r="BC34" s="27" t="n">
        <v>0</v>
      </c>
      <c r="BD34" s="27" t="n">
        <v>0</v>
      </c>
      <c r="BE34" s="27" t="n">
        <v>0</v>
      </c>
      <c r="BF34" s="27" t="n">
        <v>0</v>
      </c>
      <c r="BG34" s="27">
        <f>SUM(BC34:BF34)</f>
        <v/>
      </c>
      <c r="BH34" s="27">
        <f>BB34+BG34</f>
        <v/>
      </c>
    </row>
    <row r="35">
      <c r="A35" s="29" t="n">
        <v>22</v>
      </c>
      <c r="B35" s="30" t="inlineStr">
        <is>
          <t>Produtos e preparados químicos diversos</t>
        </is>
      </c>
      <c r="C35" s="29" t="n">
        <v>178.6043544371383</v>
      </c>
      <c r="D35" s="29" t="n">
        <v>40.10423237864943</v>
      </c>
      <c r="E35" s="29" t="n">
        <v>161.0891076429796</v>
      </c>
      <c r="F35" s="29" t="n">
        <v>117.8528308521874</v>
      </c>
      <c r="G35" s="29" t="n">
        <v>1450.896842014094</v>
      </c>
      <c r="H35" s="29" t="n">
        <v>1959.935997663346</v>
      </c>
      <c r="I35" s="29" t="n">
        <v>8.983127243291811</v>
      </c>
      <c r="J35" s="29" t="n">
        <v>264.0486544262235</v>
      </c>
      <c r="K35" s="29" t="n">
        <v>5.689036960158721</v>
      </c>
      <c r="L35" s="29" t="n">
        <v>129.0905159859546</v>
      </c>
      <c r="M35" s="29" t="n">
        <v>273.2198016693607</v>
      </c>
      <c r="N35" s="29" t="n">
        <v>371.942722583339</v>
      </c>
      <c r="O35" s="29" t="n">
        <v>197.5114551978829</v>
      </c>
      <c r="P35" s="29" t="n">
        <v>159.6216895484086</v>
      </c>
      <c r="Q35" s="29" t="n">
        <v>55.83624931683148</v>
      </c>
      <c r="R35" s="29" t="n">
        <v>475.6747593791378</v>
      </c>
      <c r="S35" s="29" t="n">
        <v>567.278807804801</v>
      </c>
      <c r="T35" s="29" t="n">
        <v>411.65956601777</v>
      </c>
      <c r="U35" s="29" t="n">
        <v>166.2675720558801</v>
      </c>
      <c r="V35" s="29" t="n">
        <v>607.7214174253004</v>
      </c>
      <c r="W35" s="29" t="n">
        <v>388.3863421136725</v>
      </c>
      <c r="X35" s="29" t="n">
        <v>1508.616730704215</v>
      </c>
      <c r="Y35" s="29" t="n">
        <v>1061.077381522677</v>
      </c>
      <c r="Z35" s="29" t="n">
        <v>256.1666928751137</v>
      </c>
      <c r="AA35" s="29" t="n">
        <v>344.7129509848836</v>
      </c>
      <c r="AB35" s="29" t="n">
        <v>41.78959097578508</v>
      </c>
      <c r="AC35" s="29" t="n">
        <v>132.3888465299643</v>
      </c>
      <c r="AD35" s="29" t="n">
        <v>232.4490810087487</v>
      </c>
      <c r="AE35" s="29" t="n">
        <v>138.0867969108238</v>
      </c>
      <c r="AF35" s="29" t="n">
        <v>35.25217769088403</v>
      </c>
      <c r="AG35" s="29" t="n">
        <v>52.67983707997026</v>
      </c>
      <c r="AH35" s="29" t="n">
        <v>61.04907009829415</v>
      </c>
      <c r="AI35" s="29" t="n">
        <v>19.02094734776423</v>
      </c>
      <c r="AJ35" s="29" t="n">
        <v>208.9055005640137</v>
      </c>
      <c r="AK35" s="29" t="n">
        <v>134.7029055004954</v>
      </c>
      <c r="AL35" s="29" t="n">
        <v>479.3140474387852</v>
      </c>
      <c r="AM35" s="29" t="n">
        <v>845.5397831329145</v>
      </c>
      <c r="AN35" s="29" t="n">
        <v>42.60445702957278</v>
      </c>
      <c r="AO35" s="29" t="n">
        <v>29.73455511423394</v>
      </c>
      <c r="AP35" s="29" t="n">
        <v>28.47640988437922</v>
      </c>
      <c r="AQ35" s="29" t="n">
        <v>33.87278850942606</v>
      </c>
      <c r="AR35" s="29" t="n">
        <v>0.7193240029509986</v>
      </c>
      <c r="AS35" s="29" t="n">
        <v>10.60152480478821</v>
      </c>
      <c r="AT35" s="29" t="n">
        <v>86.11584976044861</v>
      </c>
      <c r="AU35" s="29" t="n">
        <v>10.52100043770037</v>
      </c>
      <c r="AV35" s="29" t="n">
        <v>15.27194022382584</v>
      </c>
      <c r="AW35" s="29" t="n">
        <v>54.39641750118558</v>
      </c>
      <c r="AX35" s="29" t="n">
        <v>0</v>
      </c>
      <c r="AY35" s="29" t="n">
        <v>154.1885186481825</v>
      </c>
      <c r="AZ35" s="29" t="n">
        <v>391.2961772369243</v>
      </c>
      <c r="BA35" s="29" t="n">
        <v>50.90791853542296</v>
      </c>
      <c r="BB35" s="29">
        <f>SUM(C35:BA35)</f>
        <v/>
      </c>
      <c r="BC35" s="29" t="n">
        <v>0</v>
      </c>
      <c r="BD35" s="29" t="n">
        <v>0</v>
      </c>
      <c r="BE35" s="29" t="n">
        <v>3033.452723022909</v>
      </c>
      <c r="BF35" s="29" t="n">
        <v>0</v>
      </c>
      <c r="BG35" s="29">
        <f>SUM(BC35:BF35)</f>
        <v/>
      </c>
      <c r="BH35" s="29">
        <f>BB35+BG35</f>
        <v/>
      </c>
    </row>
    <row r="36">
      <c r="A36" s="27" t="n">
        <v>23</v>
      </c>
      <c r="B36" s="28" t="inlineStr">
        <is>
          <t>Artigos de borracha e plástico</t>
        </is>
      </c>
      <c r="C36" s="27" t="n">
        <v>293.7940882784287</v>
      </c>
      <c r="D36" s="27" t="n">
        <v>119.6904143905693</v>
      </c>
      <c r="E36" s="27" t="n">
        <v>117.74432260375</v>
      </c>
      <c r="F36" s="27" t="n">
        <v>285.0978189509827</v>
      </c>
      <c r="G36" s="27" t="n">
        <v>179.2822982627668</v>
      </c>
      <c r="H36" s="27" t="n">
        <v>6166.183415191402</v>
      </c>
      <c r="I36" s="27" t="n">
        <v>7.265231261434965</v>
      </c>
      <c r="J36" s="27" t="n">
        <v>256.7997774821396</v>
      </c>
      <c r="K36" s="27" t="n">
        <v>240.9056779058085</v>
      </c>
      <c r="L36" s="27" t="n">
        <v>680.314419510981</v>
      </c>
      <c r="M36" s="27" t="n">
        <v>153.5846855567843</v>
      </c>
      <c r="N36" s="27" t="n">
        <v>424.0441897587916</v>
      </c>
      <c r="O36" s="27" t="n">
        <v>627.6399207242519</v>
      </c>
      <c r="P36" s="27" t="n">
        <v>51.99852979823956</v>
      </c>
      <c r="Q36" s="27" t="n">
        <v>15.39422660388012</v>
      </c>
      <c r="R36" s="27" t="n">
        <v>585.0280950319784</v>
      </c>
      <c r="S36" s="27" t="n">
        <v>226.7720353658729</v>
      </c>
      <c r="T36" s="27" t="n">
        <v>190.9870877794102</v>
      </c>
      <c r="U36" s="27" t="n">
        <v>166.4588269538572</v>
      </c>
      <c r="V36" s="27" t="n">
        <v>868.5565366858007</v>
      </c>
      <c r="W36" s="27" t="n">
        <v>83.95061271286572</v>
      </c>
      <c r="X36" s="27" t="n">
        <v>139.8849113474717</v>
      </c>
      <c r="Y36" s="27" t="n">
        <v>8141.81437979657</v>
      </c>
      <c r="Z36" s="27" t="n">
        <v>1108.033201455095</v>
      </c>
      <c r="AA36" s="27" t="n">
        <v>442.8156766427671</v>
      </c>
      <c r="AB36" s="27" t="n">
        <v>19.3057553636001</v>
      </c>
      <c r="AC36" s="27" t="n">
        <v>399.6264849209668</v>
      </c>
      <c r="AD36" s="27" t="n">
        <v>1863.056847951551</v>
      </c>
      <c r="AE36" s="27" t="n">
        <v>1223.255015063578</v>
      </c>
      <c r="AF36" s="27" t="n">
        <v>1086.950209612913</v>
      </c>
      <c r="AG36" s="27" t="n">
        <v>4729.492424453275</v>
      </c>
      <c r="AH36" s="27" t="n">
        <v>2885.26760713322</v>
      </c>
      <c r="AI36" s="27" t="n">
        <v>451.2074112572825</v>
      </c>
      <c r="AJ36" s="27" t="n">
        <v>1083.55369538687</v>
      </c>
      <c r="AK36" s="27" t="n">
        <v>263.912880062233</v>
      </c>
      <c r="AL36" s="27" t="n">
        <v>5529.126513485114</v>
      </c>
      <c r="AM36" s="27" t="n">
        <v>2813.391192363969</v>
      </c>
      <c r="AN36" s="27" t="n">
        <v>3632.89626360209</v>
      </c>
      <c r="AO36" s="27" t="n">
        <v>60.31224559097106</v>
      </c>
      <c r="AP36" s="27" t="n">
        <v>57.81955903071025</v>
      </c>
      <c r="AQ36" s="27" t="n">
        <v>53.6569881430824</v>
      </c>
      <c r="AR36" s="27" t="n">
        <v>43.0525297528632</v>
      </c>
      <c r="AS36" s="27" t="n">
        <v>207.2389732033527</v>
      </c>
      <c r="AT36" s="27" t="n">
        <v>551.1352348911045</v>
      </c>
      <c r="AU36" s="27" t="n">
        <v>25.43221642498366</v>
      </c>
      <c r="AV36" s="27" t="n">
        <v>215.1890339297127</v>
      </c>
      <c r="AW36" s="27" t="n">
        <v>190.91265103275</v>
      </c>
      <c r="AX36" s="27" t="n">
        <v>0</v>
      </c>
      <c r="AY36" s="27" t="n">
        <v>157.5974047317219</v>
      </c>
      <c r="AZ36" s="27" t="n">
        <v>294.1822760390186</v>
      </c>
      <c r="BA36" s="27" t="n">
        <v>113.9722344476356</v>
      </c>
      <c r="BB36" s="27">
        <f>SUM(C36:BA36)</f>
        <v/>
      </c>
      <c r="BC36" s="27" t="n">
        <v>0</v>
      </c>
      <c r="BD36" s="27" t="n">
        <v>0</v>
      </c>
      <c r="BE36" s="27" t="n">
        <v>8589.494970569347</v>
      </c>
      <c r="BF36" s="27" t="n">
        <v>0</v>
      </c>
      <c r="BG36" s="27">
        <f>SUM(BC36:BF36)</f>
        <v/>
      </c>
      <c r="BH36" s="27">
        <f>BB36+BG36</f>
        <v/>
      </c>
    </row>
    <row r="37">
      <c r="A37" s="29" t="n">
        <v>24</v>
      </c>
      <c r="B37" s="30" t="inlineStr">
        <is>
          <t>Cimento e outros produtos de minerais não-metálicos</t>
        </is>
      </c>
      <c r="C37" s="29" t="n">
        <v>1398.678192168629</v>
      </c>
      <c r="D37" s="29" t="n">
        <v>1105.15810197459</v>
      </c>
      <c r="E37" s="29" t="n">
        <v>82.52652115929303</v>
      </c>
      <c r="F37" s="29" t="n">
        <v>4.121337247425674</v>
      </c>
      <c r="G37" s="29" t="n">
        <v>53.0057233612305</v>
      </c>
      <c r="H37" s="29" t="n">
        <v>1560.17456948129</v>
      </c>
      <c r="I37" s="29" t="n">
        <v>0.6931865697933974</v>
      </c>
      <c r="J37" s="29" t="n">
        <v>18.60948767645572</v>
      </c>
      <c r="K37" s="29" t="n">
        <v>21.08459194804685</v>
      </c>
      <c r="L37" s="29" t="n">
        <v>11.04090397697178</v>
      </c>
      <c r="M37" s="29" t="n">
        <v>11.11473418942564</v>
      </c>
      <c r="N37" s="29" t="n">
        <v>115.1605998504843</v>
      </c>
      <c r="O37" s="29" t="n">
        <v>21.89411278392936</v>
      </c>
      <c r="P37" s="29" t="n">
        <v>3.408681150228497</v>
      </c>
      <c r="Q37" s="29" t="n">
        <v>1.377437765754275</v>
      </c>
      <c r="R37" s="29" t="n">
        <v>244.5811681420978</v>
      </c>
      <c r="S37" s="29" t="n">
        <v>5.281115817579112</v>
      </c>
      <c r="T37" s="29" t="n">
        <v>24.41772242859832</v>
      </c>
      <c r="U37" s="29" t="n">
        <v>2.271181329627658</v>
      </c>
      <c r="V37" s="29" t="n">
        <v>161.7059224575923</v>
      </c>
      <c r="W37" s="29" t="n">
        <v>28.26222094457709</v>
      </c>
      <c r="X37" s="29" t="n">
        <v>107.3387163943064</v>
      </c>
      <c r="Y37" s="29" t="n">
        <v>278.8266172679438</v>
      </c>
      <c r="Z37" s="29" t="n">
        <v>4468.331140750169</v>
      </c>
      <c r="AA37" s="29" t="n">
        <v>249.2958858590209</v>
      </c>
      <c r="AB37" s="29" t="n">
        <v>5.506616659001105</v>
      </c>
      <c r="AC37" s="29" t="n">
        <v>86.07238401658381</v>
      </c>
      <c r="AD37" s="29" t="n">
        <v>271.4519297061055</v>
      </c>
      <c r="AE37" s="29" t="n">
        <v>165.7535314021507</v>
      </c>
      <c r="AF37" s="29" t="n">
        <v>22.60848258580279</v>
      </c>
      <c r="AG37" s="29" t="n">
        <v>916.9715885050674</v>
      </c>
      <c r="AH37" s="29" t="n">
        <v>71.99387781640235</v>
      </c>
      <c r="AI37" s="29" t="n">
        <v>62.56201563936958</v>
      </c>
      <c r="AJ37" s="29" t="n">
        <v>238.8257625300373</v>
      </c>
      <c r="AK37" s="29" t="n">
        <v>928.923596521064</v>
      </c>
      <c r="AL37" s="29" t="n">
        <v>24268.6440654392</v>
      </c>
      <c r="AM37" s="29" t="n">
        <v>208.1090234775372</v>
      </c>
      <c r="AN37" s="29" t="n">
        <v>24.94366179638239</v>
      </c>
      <c r="AO37" s="29" t="n">
        <v>30.86514933847209</v>
      </c>
      <c r="AP37" s="29" t="n">
        <v>20.16702881534508</v>
      </c>
      <c r="AQ37" s="29" t="n">
        <v>898.1922701968209</v>
      </c>
      <c r="AR37" s="29" t="n">
        <v>1.281259389440734</v>
      </c>
      <c r="AS37" s="29" t="n">
        <v>296.9989234109276</v>
      </c>
      <c r="AT37" s="29" t="n">
        <v>38.0540234109663</v>
      </c>
      <c r="AU37" s="29" t="n">
        <v>14.88177097195444</v>
      </c>
      <c r="AV37" s="29" t="n">
        <v>41.07455381087361</v>
      </c>
      <c r="AW37" s="29" t="n">
        <v>137.6040853485984</v>
      </c>
      <c r="AX37" s="29" t="n">
        <v>0</v>
      </c>
      <c r="AY37" s="29" t="n">
        <v>91.55619244189609</v>
      </c>
      <c r="AZ37" s="29" t="n">
        <v>75.64725845538331</v>
      </c>
      <c r="BA37" s="29" t="n">
        <v>214.8408659368899</v>
      </c>
      <c r="BB37" s="29">
        <f>SUM(C37:BA37)</f>
        <v/>
      </c>
      <c r="BC37" s="29" t="n">
        <v>0</v>
      </c>
      <c r="BD37" s="29" t="n">
        <v>0</v>
      </c>
      <c r="BE37" s="29" t="n">
        <v>2679.542728189825</v>
      </c>
      <c r="BF37" s="29" t="n">
        <v>0</v>
      </c>
      <c r="BG37" s="29">
        <f>SUM(BC37:BF37)</f>
        <v/>
      </c>
      <c r="BH37" s="29">
        <f>BB37+BG37</f>
        <v/>
      </c>
    </row>
    <row r="38">
      <c r="A38" s="27" t="n">
        <v>25</v>
      </c>
      <c r="B38" s="28" t="inlineStr">
        <is>
          <t>Fabricação de aço e derivados</t>
        </is>
      </c>
      <c r="C38" s="27" t="n">
        <v>95.33170280395755</v>
      </c>
      <c r="D38" s="27" t="n">
        <v>188.0755418111758</v>
      </c>
      <c r="E38" s="27" t="n">
        <v>1182.940690468545</v>
      </c>
      <c r="F38" s="27" t="n">
        <v>18.84691681439916</v>
      </c>
      <c r="G38" s="27" t="n">
        <v>158.0793358156226</v>
      </c>
      <c r="H38" s="27" t="n">
        <v>317.3275576845281</v>
      </c>
      <c r="I38" s="27" t="n">
        <v>3.053374300454784</v>
      </c>
      <c r="J38" s="27" t="n">
        <v>6.885211087115402</v>
      </c>
      <c r="K38" s="27" t="n">
        <v>5.889947380533154</v>
      </c>
      <c r="L38" s="27" t="n">
        <v>4.857202055632033</v>
      </c>
      <c r="M38" s="27" t="n">
        <v>13.16720855457008</v>
      </c>
      <c r="N38" s="27" t="n">
        <v>106.3944723961603</v>
      </c>
      <c r="O38" s="27" t="n">
        <v>5.282175782256934</v>
      </c>
      <c r="P38" s="27" t="n">
        <v>12.16888918902965</v>
      </c>
      <c r="Q38" s="27" t="n">
        <v>2.924240653716062</v>
      </c>
      <c r="R38" s="27" t="n">
        <v>14.47537510714347</v>
      </c>
      <c r="S38" s="27" t="n">
        <v>7.938377983593096</v>
      </c>
      <c r="T38" s="27" t="n">
        <v>13.79665223965947</v>
      </c>
      <c r="U38" s="27" t="n">
        <v>4.156890337366344</v>
      </c>
      <c r="V38" s="27" t="n">
        <v>23.9991644614673</v>
      </c>
      <c r="W38" s="27" t="n">
        <v>16.97226791103916</v>
      </c>
      <c r="X38" s="27" t="n">
        <v>21.10205848287877</v>
      </c>
      <c r="Y38" s="27" t="n">
        <v>583.0531175556364</v>
      </c>
      <c r="Z38" s="27" t="n">
        <v>352.0268608989881</v>
      </c>
      <c r="AA38" s="27" t="n">
        <v>9020.004353598471</v>
      </c>
      <c r="AB38" s="27" t="n">
        <v>689.7995515378861</v>
      </c>
      <c r="AC38" s="27" t="n">
        <v>13144.63253327975</v>
      </c>
      <c r="AD38" s="27" t="n">
        <v>6352.14853415604</v>
      </c>
      <c r="AE38" s="27" t="n">
        <v>2308.480286447797</v>
      </c>
      <c r="AF38" s="27" t="n">
        <v>138.2066984269209</v>
      </c>
      <c r="AG38" s="27" t="n">
        <v>4151.970766788992</v>
      </c>
      <c r="AH38" s="27" t="n">
        <v>6659.326104922166</v>
      </c>
      <c r="AI38" s="27" t="n">
        <v>545.5513696013973</v>
      </c>
      <c r="AJ38" s="27" t="n">
        <v>876.7793079720677</v>
      </c>
      <c r="AK38" s="27" t="n">
        <v>207.1891907059037</v>
      </c>
      <c r="AL38" s="27" t="n">
        <v>10037.61273203014</v>
      </c>
      <c r="AM38" s="27" t="n">
        <v>690.3944796099121</v>
      </c>
      <c r="AN38" s="27" t="n">
        <v>64.52436066578818</v>
      </c>
      <c r="AO38" s="27" t="n">
        <v>65.05682607504164</v>
      </c>
      <c r="AP38" s="27" t="n">
        <v>48.12278268273523</v>
      </c>
      <c r="AQ38" s="27" t="n">
        <v>17.70736739140243</v>
      </c>
      <c r="AR38" s="27" t="n">
        <v>1.953355456730163</v>
      </c>
      <c r="AS38" s="27" t="n">
        <v>50.09717598345912</v>
      </c>
      <c r="AT38" s="27" t="n">
        <v>204.7544214836181</v>
      </c>
      <c r="AU38" s="27" t="n">
        <v>26.83758904632917</v>
      </c>
      <c r="AV38" s="27" t="n">
        <v>11.45479725672845</v>
      </c>
      <c r="AW38" s="27" t="n">
        <v>51.84165610848009</v>
      </c>
      <c r="AX38" s="27" t="n">
        <v>0</v>
      </c>
      <c r="AY38" s="27" t="n">
        <v>32.76213957522715</v>
      </c>
      <c r="AZ38" s="27" t="n">
        <v>19.07381238135156</v>
      </c>
      <c r="BA38" s="27" t="n">
        <v>126.7478847601735</v>
      </c>
      <c r="BB38" s="27">
        <f>SUM(C38:BA38)</f>
        <v/>
      </c>
      <c r="BC38" s="27" t="n">
        <v>0</v>
      </c>
      <c r="BD38" s="27" t="n">
        <v>0</v>
      </c>
      <c r="BE38" s="27" t="n">
        <v>18595.93122248315</v>
      </c>
      <c r="BF38" s="27" t="n">
        <v>0</v>
      </c>
      <c r="BG38" s="27">
        <f>SUM(BC38:BF38)</f>
        <v/>
      </c>
      <c r="BH38" s="27">
        <f>BB38+BG38</f>
        <v/>
      </c>
    </row>
    <row r="39">
      <c r="A39" s="29" t="n">
        <v>26</v>
      </c>
      <c r="B39" s="30" t="inlineStr">
        <is>
          <t>Metalurgia de metais não-ferrosos</t>
        </is>
      </c>
      <c r="C39" s="29" t="n">
        <v>406.4227630095384</v>
      </c>
      <c r="D39" s="29" t="n">
        <v>58.12744164706527</v>
      </c>
      <c r="E39" s="29" t="n">
        <v>37.75463822585252</v>
      </c>
      <c r="F39" s="29" t="n">
        <v>9.360271801227791</v>
      </c>
      <c r="G39" s="29" t="n">
        <v>46.87662842335136</v>
      </c>
      <c r="H39" s="29" t="n">
        <v>474.3319150337733</v>
      </c>
      <c r="I39" s="29" t="n">
        <v>0.9654210668205396</v>
      </c>
      <c r="J39" s="29" t="n">
        <v>9.387737323669247</v>
      </c>
      <c r="K39" s="29" t="n">
        <v>9.585621481270749</v>
      </c>
      <c r="L39" s="29" t="n">
        <v>8.283886296944646</v>
      </c>
      <c r="M39" s="29" t="n">
        <v>4.784727634602469</v>
      </c>
      <c r="N39" s="29" t="n">
        <v>186.5704945309325</v>
      </c>
      <c r="O39" s="29" t="n">
        <v>196.7045918197835</v>
      </c>
      <c r="P39" s="29" t="n">
        <v>4.448250779434726</v>
      </c>
      <c r="Q39" s="29" t="n">
        <v>1.866552733752384</v>
      </c>
      <c r="R39" s="29" t="n">
        <v>415.6708650439336</v>
      </c>
      <c r="S39" s="29" t="n">
        <v>28.57155271954517</v>
      </c>
      <c r="T39" s="29" t="n">
        <v>11.3036101931561</v>
      </c>
      <c r="U39" s="29" t="n">
        <v>12.2633507120479</v>
      </c>
      <c r="V39" s="29" t="n">
        <v>25.49519591075236</v>
      </c>
      <c r="W39" s="29" t="n">
        <v>29.41437896490659</v>
      </c>
      <c r="X39" s="29" t="n">
        <v>178.7858565850354</v>
      </c>
      <c r="Y39" s="29" t="n">
        <v>64.47095058202788</v>
      </c>
      <c r="Z39" s="29" t="n">
        <v>89.2282054709914</v>
      </c>
      <c r="AA39" s="29" t="n">
        <v>1008.523037635582</v>
      </c>
      <c r="AB39" s="29" t="n">
        <v>4578.081329350689</v>
      </c>
      <c r="AC39" s="29" t="n">
        <v>1135.655510655324</v>
      </c>
      <c r="AD39" s="29" t="n">
        <v>1582.550278212685</v>
      </c>
      <c r="AE39" s="29" t="n">
        <v>3544.931524586664</v>
      </c>
      <c r="AF39" s="29" t="n">
        <v>154.9808046330201</v>
      </c>
      <c r="AG39" s="29" t="n">
        <v>348.3718872566052</v>
      </c>
      <c r="AH39" s="29" t="n">
        <v>3300.308659218404</v>
      </c>
      <c r="AI39" s="29" t="n">
        <v>421.4168276713889</v>
      </c>
      <c r="AJ39" s="29" t="n">
        <v>1224.889794742302</v>
      </c>
      <c r="AK39" s="29" t="n">
        <v>129.3668510179072</v>
      </c>
      <c r="AL39" s="29" t="n">
        <v>2071.98789224969</v>
      </c>
      <c r="AM39" s="29" t="n">
        <v>317.1306823245574</v>
      </c>
      <c r="AN39" s="29" t="n">
        <v>39.08416526785691</v>
      </c>
      <c r="AO39" s="29" t="n">
        <v>36.58933543081767</v>
      </c>
      <c r="AP39" s="29" t="n">
        <v>30.48941222329282</v>
      </c>
      <c r="AQ39" s="29" t="n">
        <v>42.6343280960026</v>
      </c>
      <c r="AR39" s="29" t="n">
        <v>1.973431202110935</v>
      </c>
      <c r="AS39" s="29" t="n">
        <v>31.46790611898116</v>
      </c>
      <c r="AT39" s="29" t="n">
        <v>56.7359641192058</v>
      </c>
      <c r="AU39" s="29" t="n">
        <v>23.09113873575074</v>
      </c>
      <c r="AV39" s="29" t="n">
        <v>26.37866334303677</v>
      </c>
      <c r="AW39" s="29" t="n">
        <v>48.54444476131356</v>
      </c>
      <c r="AX39" s="29" t="n">
        <v>0</v>
      </c>
      <c r="AY39" s="29" t="n">
        <v>8.026842161995638</v>
      </c>
      <c r="AZ39" s="29" t="n">
        <v>9.634809192765776</v>
      </c>
      <c r="BA39" s="29" t="n">
        <v>32.87500083201262</v>
      </c>
      <c r="BB39" s="29">
        <f>SUM(C39:BA39)</f>
        <v/>
      </c>
      <c r="BC39" s="29" t="n">
        <v>0</v>
      </c>
      <c r="BD39" s="29" t="n">
        <v>0</v>
      </c>
      <c r="BE39" s="29" t="n">
        <v>6460.084087832458</v>
      </c>
      <c r="BF39" s="29" t="n">
        <v>0</v>
      </c>
      <c r="BG39" s="29">
        <f>SUM(BC39:BF39)</f>
        <v/>
      </c>
      <c r="BH39" s="29">
        <f>BB39+BG39</f>
        <v/>
      </c>
    </row>
    <row r="40">
      <c r="A40" s="28" t="inlineStr">
        <is>
          <t>Produtos de metal</t>
        </is>
      </c>
      <c r="B40" s="28" t="inlineStr">
        <is>
          <t>exclusive máquinas e equipamentos</t>
        </is>
      </c>
      <c r="C40" s="27" t="n">
        <v>199.1475981989518</v>
      </c>
      <c r="D40" s="27" t="n">
        <v>320.0953422335436</v>
      </c>
      <c r="E40" s="27" t="n">
        <v>696.8961353647547</v>
      </c>
      <c r="F40" s="27" t="n">
        <v>324.0470364901816</v>
      </c>
      <c r="G40" s="27" t="n">
        <v>176.3003086619505</v>
      </c>
      <c r="H40" s="27" t="n">
        <v>4151.759839081315</v>
      </c>
      <c r="I40" s="27" t="n">
        <v>22.58503409499861</v>
      </c>
      <c r="J40" s="27" t="n">
        <v>65.52998651469795</v>
      </c>
      <c r="K40" s="27" t="n">
        <v>77.21421403363775</v>
      </c>
      <c r="L40" s="27" t="n">
        <v>52.34408162983432</v>
      </c>
      <c r="M40" s="27" t="n">
        <v>284.29674610531</v>
      </c>
      <c r="N40" s="27" t="n">
        <v>84.58134962310258</v>
      </c>
      <c r="O40" s="27" t="n">
        <v>29.35607376298513</v>
      </c>
      <c r="P40" s="27" t="n">
        <v>164.9019638637543</v>
      </c>
      <c r="Q40" s="27" t="n">
        <v>25.08445497274091</v>
      </c>
      <c r="R40" s="27" t="n">
        <v>210.1127061224555</v>
      </c>
      <c r="S40" s="27" t="n">
        <v>90.40281673030917</v>
      </c>
      <c r="T40" s="27" t="n">
        <v>66.62470409523564</v>
      </c>
      <c r="U40" s="27" t="n">
        <v>26.87839940105054</v>
      </c>
      <c r="V40" s="27" t="n">
        <v>499.4837172733222</v>
      </c>
      <c r="W40" s="27" t="n">
        <v>387.9835616464164</v>
      </c>
      <c r="X40" s="27" t="n">
        <v>37.58685451286813</v>
      </c>
      <c r="Y40" s="27" t="n">
        <v>145.2664336659466</v>
      </c>
      <c r="Z40" s="27" t="n">
        <v>128.8665679161562</v>
      </c>
      <c r="AA40" s="27" t="n">
        <v>1673.938476522477</v>
      </c>
      <c r="AB40" s="27" t="n">
        <v>184.5884890633731</v>
      </c>
      <c r="AC40" s="27" t="n">
        <v>4210.596935056977</v>
      </c>
      <c r="AD40" s="27" t="n">
        <v>4456.897177495782</v>
      </c>
      <c r="AE40" s="27" t="n">
        <v>1342.854259262858</v>
      </c>
      <c r="AF40" s="27" t="n">
        <v>731.3102949532461</v>
      </c>
      <c r="AG40" s="27" t="n">
        <v>2125.365264627822</v>
      </c>
      <c r="AH40" s="27" t="n">
        <v>1905.889161614439</v>
      </c>
      <c r="AI40" s="27" t="n">
        <v>975.288214586622</v>
      </c>
      <c r="AJ40" s="27" t="n">
        <v>651.7817383564412</v>
      </c>
      <c r="AK40" s="27" t="n">
        <v>1326.943087200777</v>
      </c>
      <c r="AL40" s="27" t="n">
        <v>11657.54502078753</v>
      </c>
      <c r="AM40" s="27" t="n">
        <v>812.369356907313</v>
      </c>
      <c r="AN40" s="27" t="n">
        <v>149.8090713394283</v>
      </c>
      <c r="AO40" s="27" t="n">
        <v>68.81160676122516</v>
      </c>
      <c r="AP40" s="27" t="n">
        <v>33.28255551637065</v>
      </c>
      <c r="AQ40" s="27" t="n">
        <v>208.1811071023741</v>
      </c>
      <c r="AR40" s="27" t="n">
        <v>2.564008592902048</v>
      </c>
      <c r="AS40" s="27" t="n">
        <v>853.4121649036886</v>
      </c>
      <c r="AT40" s="27" t="n">
        <v>149.8556434134026</v>
      </c>
      <c r="AU40" s="27" t="n">
        <v>24.58511711521635</v>
      </c>
      <c r="AV40" s="27" t="n">
        <v>22.88700154834778</v>
      </c>
      <c r="AW40" s="27" t="n">
        <v>227.7316939347246</v>
      </c>
      <c r="AX40" s="27" t="n">
        <v>0</v>
      </c>
      <c r="AY40" s="27" t="n">
        <v>39.32003568340239</v>
      </c>
      <c r="AZ40" s="27" t="n">
        <v>44.03904782800807</v>
      </c>
      <c r="BA40" s="27" t="n">
        <v>556.1126668863978</v>
      </c>
      <c r="BB40" s="27">
        <f>SUM(C40:BA40)</f>
        <v/>
      </c>
      <c r="BC40" s="27" t="n">
        <v>0</v>
      </c>
      <c r="BD40" s="27" t="n">
        <v>0</v>
      </c>
      <c r="BE40" s="27" t="n">
        <v>10622.18864853378</v>
      </c>
      <c r="BF40" s="27" t="n">
        <v>0</v>
      </c>
      <c r="BG40" s="27">
        <f>SUM(BC40:BF40)</f>
        <v/>
      </c>
      <c r="BH40" s="27">
        <f>BB40+BG40</f>
        <v/>
      </c>
    </row>
    <row r="41">
      <c r="A41" s="29" t="n">
        <v>28</v>
      </c>
      <c r="B41" s="30" t="inlineStr">
        <is>
          <t>Máquinas e equipamentos inclusive manutenção e reparos</t>
        </is>
      </c>
      <c r="C41" s="29" t="n">
        <v>111.4972059706658</v>
      </c>
      <c r="D41" s="29" t="n">
        <v>52.82163978430722</v>
      </c>
      <c r="E41" s="29" t="n">
        <v>3416.748762211866</v>
      </c>
      <c r="F41" s="29" t="n">
        <v>2243.936168943791</v>
      </c>
      <c r="G41" s="29" t="n">
        <v>1321.323715927221</v>
      </c>
      <c r="H41" s="29" t="n">
        <v>1379.266250376166</v>
      </c>
      <c r="I41" s="29" t="n">
        <v>11.91126428599506</v>
      </c>
      <c r="J41" s="29" t="n">
        <v>176.0124752194061</v>
      </c>
      <c r="K41" s="29" t="n">
        <v>308.7064399067517</v>
      </c>
      <c r="L41" s="29" t="n">
        <v>111.5207630469848</v>
      </c>
      <c r="M41" s="29" t="n">
        <v>424.2714197674213</v>
      </c>
      <c r="N41" s="29" t="n">
        <v>1079.276763680294</v>
      </c>
      <c r="O41" s="29" t="n">
        <v>661.8844790772469</v>
      </c>
      <c r="P41" s="29" t="n">
        <v>299.4493054950999</v>
      </c>
      <c r="Q41" s="29" t="n">
        <v>178.0624411336127</v>
      </c>
      <c r="R41" s="29" t="n">
        <v>474.2374962099469</v>
      </c>
      <c r="S41" s="29" t="n">
        <v>211.0865037799345</v>
      </c>
      <c r="T41" s="29" t="n">
        <v>226.5480157724426</v>
      </c>
      <c r="U41" s="29" t="n">
        <v>70.9333580074892</v>
      </c>
      <c r="V41" s="29" t="n">
        <v>114.2939428787525</v>
      </c>
      <c r="W41" s="29" t="n">
        <v>121.7432826168889</v>
      </c>
      <c r="X41" s="29" t="n">
        <v>194.1605138703012</v>
      </c>
      <c r="Y41" s="29" t="n">
        <v>387.7622810684499</v>
      </c>
      <c r="Z41" s="29" t="n">
        <v>1140.689521664318</v>
      </c>
      <c r="AA41" s="29" t="n">
        <v>5389.254816519924</v>
      </c>
      <c r="AB41" s="29" t="n">
        <v>980.2516800910113</v>
      </c>
      <c r="AC41" s="29" t="n">
        <v>506.3323080265196</v>
      </c>
      <c r="AD41" s="29" t="n">
        <v>18957.83093053904</v>
      </c>
      <c r="AE41" s="29" t="n">
        <v>804.8811098569558</v>
      </c>
      <c r="AF41" s="29" t="n">
        <v>385.797400970563</v>
      </c>
      <c r="AG41" s="29" t="n">
        <v>1505.939654766699</v>
      </c>
      <c r="AH41" s="29" t="n">
        <v>692.5697024159293</v>
      </c>
      <c r="AI41" s="29" t="n">
        <v>518.8692978921275</v>
      </c>
      <c r="AJ41" s="29" t="n">
        <v>295.2040817260067</v>
      </c>
      <c r="AK41" s="29" t="n">
        <v>1163.285576231344</v>
      </c>
      <c r="AL41" s="29" t="n">
        <v>3884.41950303738</v>
      </c>
      <c r="AM41" s="29" t="n">
        <v>2480.080000640505</v>
      </c>
      <c r="AN41" s="29" t="n">
        <v>2460.9121613003</v>
      </c>
      <c r="AO41" s="29" t="n">
        <v>1225.347033712007</v>
      </c>
      <c r="AP41" s="29" t="n">
        <v>159.4642198102005</v>
      </c>
      <c r="AQ41" s="29" t="n">
        <v>54.98087670852445</v>
      </c>
      <c r="AR41" s="29" t="n">
        <v>45.40101575722731</v>
      </c>
      <c r="AS41" s="29" t="n">
        <v>131.1829510480709</v>
      </c>
      <c r="AT41" s="29" t="n">
        <v>1292.854019165996</v>
      </c>
      <c r="AU41" s="29" t="n">
        <v>16.97732041538824</v>
      </c>
      <c r="AV41" s="29" t="n">
        <v>378.4679759620385</v>
      </c>
      <c r="AW41" s="29" t="n">
        <v>1056.940043346374</v>
      </c>
      <c r="AX41" s="29" t="n">
        <v>0</v>
      </c>
      <c r="AY41" s="29" t="n">
        <v>111.2628268045327</v>
      </c>
      <c r="AZ41" s="29" t="n">
        <v>434.898139012254</v>
      </c>
      <c r="BA41" s="29" t="n">
        <v>562.4240036986895</v>
      </c>
      <c r="BB41" s="29">
        <f>SUM(C41:BA41)</f>
        <v/>
      </c>
      <c r="BC41" s="29" t="n">
        <v>0</v>
      </c>
      <c r="BD41" s="29" t="n">
        <v>0</v>
      </c>
      <c r="BE41" s="29" t="n">
        <v>33198.01882578958</v>
      </c>
      <c r="BF41" s="29" t="n">
        <v>0</v>
      </c>
      <c r="BG41" s="29">
        <f>SUM(BC41:BF41)</f>
        <v/>
      </c>
      <c r="BH41" s="29">
        <f>BB41+BG41</f>
        <v/>
      </c>
    </row>
    <row r="42">
      <c r="A42" s="27" t="n">
        <v>29</v>
      </c>
      <c r="B42" s="28" t="inlineStr">
        <is>
          <t>Eletrodomésticos e material eletronico</t>
        </is>
      </c>
      <c r="C42" s="27" t="n">
        <v>29.27009711664802</v>
      </c>
      <c r="D42" s="27" t="n">
        <v>66.04744816229172</v>
      </c>
      <c r="E42" s="27" t="n">
        <v>144.5401570928624</v>
      </c>
      <c r="F42" s="27" t="n">
        <v>37.34306006407346</v>
      </c>
      <c r="G42" s="27" t="n">
        <v>40.30120554847487</v>
      </c>
      <c r="H42" s="27" t="n">
        <v>177.765916327356</v>
      </c>
      <c r="I42" s="27" t="n">
        <v>4.871792521356065</v>
      </c>
      <c r="J42" s="27" t="n">
        <v>42.29106981748365</v>
      </c>
      <c r="K42" s="27" t="n">
        <v>15.0058072741887</v>
      </c>
      <c r="L42" s="27" t="n">
        <v>11.61366242624863</v>
      </c>
      <c r="M42" s="27" t="n">
        <v>25.20725666427644</v>
      </c>
      <c r="N42" s="27" t="n">
        <v>49.89102926309864</v>
      </c>
      <c r="O42" s="27" t="n">
        <v>20.5833318161714</v>
      </c>
      <c r="P42" s="27" t="n">
        <v>9.300292217762969</v>
      </c>
      <c r="Q42" s="27" t="n">
        <v>5.052300941246582</v>
      </c>
      <c r="R42" s="27" t="n">
        <v>62.44782607367217</v>
      </c>
      <c r="S42" s="27" t="n">
        <v>28.07539943827167</v>
      </c>
      <c r="T42" s="27" t="n">
        <v>11.23467777452786</v>
      </c>
      <c r="U42" s="27" t="n">
        <v>3.673097116302531</v>
      </c>
      <c r="V42" s="27" t="n">
        <v>16.86093508404473</v>
      </c>
      <c r="W42" s="27" t="n">
        <v>6.808434813852084</v>
      </c>
      <c r="X42" s="27" t="n">
        <v>16.31830728435899</v>
      </c>
      <c r="Y42" s="27" t="n">
        <v>70.99604371421977</v>
      </c>
      <c r="Z42" s="27" t="n">
        <v>96.54328142485346</v>
      </c>
      <c r="AA42" s="27" t="n">
        <v>96.22021506262855</v>
      </c>
      <c r="AB42" s="27" t="n">
        <v>119.1710757796066</v>
      </c>
      <c r="AC42" s="27" t="n">
        <v>72.17575834119499</v>
      </c>
      <c r="AD42" s="27" t="n">
        <v>2845.297000362014</v>
      </c>
      <c r="AE42" s="27" t="n">
        <v>4762.424901721559</v>
      </c>
      <c r="AF42" s="27" t="n">
        <v>1612.377210136972</v>
      </c>
      <c r="AG42" s="27" t="n">
        <v>653.3656207198264</v>
      </c>
      <c r="AH42" s="27" t="n">
        <v>882.7636949618073</v>
      </c>
      <c r="AI42" s="27" t="n">
        <v>188.1604310088678</v>
      </c>
      <c r="AJ42" s="27" t="n">
        <v>174.8346510658095</v>
      </c>
      <c r="AK42" s="27" t="n">
        <v>2810.926479538184</v>
      </c>
      <c r="AL42" s="27" t="n">
        <v>5864.935512876635</v>
      </c>
      <c r="AM42" s="27" t="n">
        <v>691.9676952448049</v>
      </c>
      <c r="AN42" s="27" t="n">
        <v>727.5534976572743</v>
      </c>
      <c r="AO42" s="27" t="n">
        <v>646.2322264682266</v>
      </c>
      <c r="AP42" s="27" t="n">
        <v>45.9717766912371</v>
      </c>
      <c r="AQ42" s="27" t="n">
        <v>241.5642407179276</v>
      </c>
      <c r="AR42" s="27" t="n">
        <v>268.2014331210912</v>
      </c>
      <c r="AS42" s="27" t="n">
        <v>46.60594938761285</v>
      </c>
      <c r="AT42" s="27" t="n">
        <v>461.6393290985732</v>
      </c>
      <c r="AU42" s="27" t="n">
        <v>13.53044976463249</v>
      </c>
      <c r="AV42" s="27" t="n">
        <v>169.172742158863</v>
      </c>
      <c r="AW42" s="27" t="n">
        <v>736.0144711539197</v>
      </c>
      <c r="AX42" s="27" t="n">
        <v>0</v>
      </c>
      <c r="AY42" s="27" t="n">
        <v>62.12165215497816</v>
      </c>
      <c r="AZ42" s="27" t="n">
        <v>58.89000190596697</v>
      </c>
      <c r="BA42" s="27" t="n">
        <v>97.60743929858833</v>
      </c>
      <c r="BB42" s="27">
        <f>SUM(C42:BA42)</f>
        <v/>
      </c>
      <c r="BC42" s="27" t="n">
        <v>0</v>
      </c>
      <c r="BD42" s="27" t="n">
        <v>0</v>
      </c>
      <c r="BE42" s="27" t="n">
        <v>14636.28261130187</v>
      </c>
      <c r="BF42" s="27" t="n">
        <v>0</v>
      </c>
      <c r="BG42" s="27">
        <f>SUM(BC42:BF42)</f>
        <v/>
      </c>
      <c r="BH42" s="27">
        <f>BB42+BG42</f>
        <v/>
      </c>
    </row>
    <row r="43">
      <c r="A43" s="29" t="n">
        <v>30</v>
      </c>
      <c r="B43" s="30" t="inlineStr">
        <is>
          <t>Máquinas para escritório aparelhos e e material eletronico</t>
        </is>
      </c>
      <c r="C43" s="29" t="n">
        <v>3.922508303065723</v>
      </c>
      <c r="D43" s="29" t="n">
        <v>3.286996693598564</v>
      </c>
      <c r="E43" s="29" t="n">
        <v>239.285772283274</v>
      </c>
      <c r="F43" s="29" t="n">
        <v>24.68496762756727</v>
      </c>
      <c r="G43" s="29" t="n">
        <v>58.62653131919402</v>
      </c>
      <c r="H43" s="29" t="n">
        <v>127.2793409550873</v>
      </c>
      <c r="I43" s="29" t="n">
        <v>4.048602856041685</v>
      </c>
      <c r="J43" s="29" t="n">
        <v>8.786558598962753</v>
      </c>
      <c r="K43" s="29" t="n">
        <v>4.830759322525711</v>
      </c>
      <c r="L43" s="29" t="n">
        <v>6.691751604163748</v>
      </c>
      <c r="M43" s="29" t="n">
        <v>12.3631467517766</v>
      </c>
      <c r="N43" s="29" t="n">
        <v>23.52516351636273</v>
      </c>
      <c r="O43" s="29" t="n">
        <v>385.0440068190246</v>
      </c>
      <c r="P43" s="29" t="n">
        <v>14.11988692811601</v>
      </c>
      <c r="Q43" s="29" t="n">
        <v>4.14066458459749</v>
      </c>
      <c r="R43" s="29" t="n">
        <v>18.4172304684809</v>
      </c>
      <c r="S43" s="29" t="n">
        <v>13.01678378088164</v>
      </c>
      <c r="T43" s="29" t="n">
        <v>36.35031893070813</v>
      </c>
      <c r="U43" s="29" t="n">
        <v>6.940950327430526</v>
      </c>
      <c r="V43" s="29" t="n">
        <v>21.58391284599855</v>
      </c>
      <c r="W43" s="29" t="n">
        <v>13.04090774263092</v>
      </c>
      <c r="X43" s="29" t="n">
        <v>48.07739975038204</v>
      </c>
      <c r="Y43" s="29" t="n">
        <v>29.97483364333653</v>
      </c>
      <c r="Z43" s="29" t="n">
        <v>22.48578153043612</v>
      </c>
      <c r="AA43" s="29" t="n">
        <v>59.30830663993166</v>
      </c>
      <c r="AB43" s="29" t="n">
        <v>12.2873821426518</v>
      </c>
      <c r="AC43" s="29" t="n">
        <v>11.26730358526351</v>
      </c>
      <c r="AD43" s="29" t="n">
        <v>1130.840882099951</v>
      </c>
      <c r="AE43" s="29" t="n">
        <v>587.6867120176967</v>
      </c>
      <c r="AF43" s="29" t="n">
        <v>28172.99068446641</v>
      </c>
      <c r="AG43" s="29" t="n">
        <v>324.8651017386314</v>
      </c>
      <c r="AH43" s="29" t="n">
        <v>268.3722434973023</v>
      </c>
      <c r="AI43" s="29" t="n">
        <v>59.04316763601558</v>
      </c>
      <c r="AJ43" s="29" t="n">
        <v>63.9295288670262</v>
      </c>
      <c r="AK43" s="29" t="n">
        <v>232.0252001857271</v>
      </c>
      <c r="AL43" s="29" t="n">
        <v>546.2623811306682</v>
      </c>
      <c r="AM43" s="29" t="n">
        <v>350.2936096865673</v>
      </c>
      <c r="AN43" s="29" t="n">
        <v>280.465720750822</v>
      </c>
      <c r="AO43" s="29" t="n">
        <v>2307.630530820811</v>
      </c>
      <c r="AP43" s="29" t="n">
        <v>415.3014087619858</v>
      </c>
      <c r="AQ43" s="29" t="n">
        <v>15.15046054451294</v>
      </c>
      <c r="AR43" s="29" t="n">
        <v>893.8582339566366</v>
      </c>
      <c r="AS43" s="29" t="n">
        <v>14.3480145234502</v>
      </c>
      <c r="AT43" s="29" t="n">
        <v>2706.10586479114</v>
      </c>
      <c r="AU43" s="29" t="n">
        <v>169.2948781054942</v>
      </c>
      <c r="AV43" s="29" t="n">
        <v>6121.190732711391</v>
      </c>
      <c r="AW43" s="29" t="n">
        <v>338.4732839852931</v>
      </c>
      <c r="AX43" s="29" t="n">
        <v>0</v>
      </c>
      <c r="AY43" s="29" t="n">
        <v>1609.760114027982</v>
      </c>
      <c r="AZ43" s="29" t="n">
        <v>1823.686941901932</v>
      </c>
      <c r="BA43" s="29" t="n">
        <v>754.4072727768641</v>
      </c>
      <c r="BB43" s="29">
        <f>SUM(C43:BA43)</f>
        <v/>
      </c>
      <c r="BC43" s="29" t="n">
        <v>0</v>
      </c>
      <c r="BD43" s="29" t="n">
        <v>0</v>
      </c>
      <c r="BE43" s="29" t="n">
        <v>28227.42770650468</v>
      </c>
      <c r="BF43" s="29" t="n">
        <v>0</v>
      </c>
      <c r="BG43" s="29">
        <f>SUM(BC43:BF43)</f>
        <v/>
      </c>
      <c r="BH43" s="29">
        <f>BB43+BG43</f>
        <v/>
      </c>
    </row>
    <row r="44">
      <c r="A44" s="27" t="n">
        <v>31</v>
      </c>
      <c r="B44" s="28" t="inlineStr">
        <is>
          <t>Automóveis camionetas caminhões e ônibus</t>
        </is>
      </c>
      <c r="C44" s="27" t="n">
        <v>3.413318785773697</v>
      </c>
      <c r="D44" s="27" t="n">
        <v>2.731620549933963</v>
      </c>
      <c r="E44" s="27" t="n">
        <v>47.70803757329955</v>
      </c>
      <c r="F44" s="27" t="n">
        <v>14.92764217392318</v>
      </c>
      <c r="G44" s="27" t="n">
        <v>10.77902370643696</v>
      </c>
      <c r="H44" s="27" t="n">
        <v>118.8803949344502</v>
      </c>
      <c r="I44" s="27" t="n">
        <v>5.755172531446935</v>
      </c>
      <c r="J44" s="27" t="n">
        <v>4.571045245134538</v>
      </c>
      <c r="K44" s="27" t="n">
        <v>4.160278055713089</v>
      </c>
      <c r="L44" s="27" t="n">
        <v>5.454909812702473</v>
      </c>
      <c r="M44" s="27" t="n">
        <v>3.760708578594629</v>
      </c>
      <c r="N44" s="27" t="n">
        <v>13.80099882558241</v>
      </c>
      <c r="O44" s="27" t="n">
        <v>3.818324854007712</v>
      </c>
      <c r="P44" s="27" t="n">
        <v>11.90567285637662</v>
      </c>
      <c r="Q44" s="27" t="n">
        <v>2.365896479207778</v>
      </c>
      <c r="R44" s="27" t="n">
        <v>13.63428807851946</v>
      </c>
      <c r="S44" s="27" t="n">
        <v>4.245837763167028</v>
      </c>
      <c r="T44" s="27" t="n">
        <v>14.81419891590345</v>
      </c>
      <c r="U44" s="27" t="n">
        <v>5.252131584960452</v>
      </c>
      <c r="V44" s="27" t="n">
        <v>7.616450420572455</v>
      </c>
      <c r="W44" s="27" t="n">
        <v>4.051850508294075</v>
      </c>
      <c r="X44" s="27" t="n">
        <v>22.16598864277523</v>
      </c>
      <c r="Y44" s="27" t="n">
        <v>11.25751506942805</v>
      </c>
      <c r="Z44" s="27" t="n">
        <v>14.71154857937188</v>
      </c>
      <c r="AA44" s="27" t="n">
        <v>33.41102973412374</v>
      </c>
      <c r="AB44" s="27" t="n">
        <v>8.769308638611003</v>
      </c>
      <c r="AC44" s="27" t="n">
        <v>12.00264266702702</v>
      </c>
      <c r="AD44" s="27" t="n">
        <v>147.8517739699528</v>
      </c>
      <c r="AE44" s="27" t="n">
        <v>83.797639040783</v>
      </c>
      <c r="AF44" s="27" t="n">
        <v>39.33730599721157</v>
      </c>
      <c r="AG44" s="27" t="n">
        <v>3720.622889808324</v>
      </c>
      <c r="AH44" s="27" t="n">
        <v>127.8643872692185</v>
      </c>
      <c r="AI44" s="27" t="n">
        <v>57.37306988234525</v>
      </c>
      <c r="AJ44" s="27" t="n">
        <v>6.87759671743389</v>
      </c>
      <c r="AK44" s="27" t="n">
        <v>77.62086253024609</v>
      </c>
      <c r="AL44" s="27" t="n">
        <v>156.3804074438631</v>
      </c>
      <c r="AM44" s="27" t="n">
        <v>380.4959106432235</v>
      </c>
      <c r="AN44" s="27" t="n">
        <v>471.922708066335</v>
      </c>
      <c r="AO44" s="27" t="n">
        <v>97.52221240895132</v>
      </c>
      <c r="AP44" s="27" t="n">
        <v>66.65708412312016</v>
      </c>
      <c r="AQ44" s="27" t="n">
        <v>10.2513658025304</v>
      </c>
      <c r="AR44" s="27" t="n">
        <v>1.108850761866248</v>
      </c>
      <c r="AS44" s="27" t="n">
        <v>8.949948044131888</v>
      </c>
      <c r="AT44" s="27" t="n">
        <v>114.6852327203886</v>
      </c>
      <c r="AU44" s="27" t="n">
        <v>17.30456740001808</v>
      </c>
      <c r="AV44" s="27" t="n">
        <v>7.441234770549256</v>
      </c>
      <c r="AW44" s="27" t="n">
        <v>44.61400380910043</v>
      </c>
      <c r="AX44" s="27" t="n">
        <v>0</v>
      </c>
      <c r="AY44" s="27" t="n">
        <v>16.42090896111955</v>
      </c>
      <c r="AZ44" s="27" t="n">
        <v>23.02732489603488</v>
      </c>
      <c r="BA44" s="27" t="n">
        <v>87.4458064085437</v>
      </c>
      <c r="BB44" s="27">
        <f>SUM(C44:BA44)</f>
        <v/>
      </c>
      <c r="BC44" s="27" t="n">
        <v>0</v>
      </c>
      <c r="BD44" s="27" t="n">
        <v>0</v>
      </c>
      <c r="BE44" s="27" t="n">
        <v>68099.25426202432</v>
      </c>
      <c r="BF44" s="27" t="n">
        <v>0</v>
      </c>
      <c r="BG44" s="27">
        <f>SUM(BC44:BF44)</f>
        <v/>
      </c>
      <c r="BH44" s="27">
        <f>BB44+BG44</f>
        <v/>
      </c>
    </row>
    <row r="45">
      <c r="A45" s="29" t="n">
        <v>32</v>
      </c>
      <c r="B45" s="30" t="inlineStr">
        <is>
          <t>Peças e acessórios para veículos automotores</t>
        </is>
      </c>
      <c r="C45" s="29" t="n">
        <v>7.283142524817483</v>
      </c>
      <c r="D45" s="29" t="n">
        <v>6.267865726696908</v>
      </c>
      <c r="E45" s="29" t="n">
        <v>77.51586325718391</v>
      </c>
      <c r="F45" s="29" t="n">
        <v>42.30521524085562</v>
      </c>
      <c r="G45" s="29" t="n">
        <v>28.12355739588013</v>
      </c>
      <c r="H45" s="29" t="n">
        <v>140.1971774938282</v>
      </c>
      <c r="I45" s="29" t="n">
        <v>2.689368824388731</v>
      </c>
      <c r="J45" s="29" t="n">
        <v>6.488629174343298</v>
      </c>
      <c r="K45" s="29" t="n">
        <v>7.238192233521291</v>
      </c>
      <c r="L45" s="29" t="n">
        <v>13.45321548938336</v>
      </c>
      <c r="M45" s="29" t="n">
        <v>10.58941431462633</v>
      </c>
      <c r="N45" s="29" t="n">
        <v>23.12920228605268</v>
      </c>
      <c r="O45" s="29" t="n">
        <v>20.58272929707987</v>
      </c>
      <c r="P45" s="29" t="n">
        <v>10.64740770299614</v>
      </c>
      <c r="Q45" s="29" t="n">
        <v>3.702511382968523</v>
      </c>
      <c r="R45" s="29" t="n">
        <v>18.61294783785873</v>
      </c>
      <c r="S45" s="29" t="n">
        <v>6.807706397411397</v>
      </c>
      <c r="T45" s="29" t="n">
        <v>11.43761972207577</v>
      </c>
      <c r="U45" s="29" t="n">
        <v>4.635905579820032</v>
      </c>
      <c r="V45" s="29" t="n">
        <v>16.55571932402813</v>
      </c>
      <c r="W45" s="29" t="n">
        <v>7.245484980000922</v>
      </c>
      <c r="X45" s="29" t="n">
        <v>5.774623211642927</v>
      </c>
      <c r="Y45" s="29" t="n">
        <v>94.39306075298276</v>
      </c>
      <c r="Z45" s="29" t="n">
        <v>32.28487778268558</v>
      </c>
      <c r="AA45" s="29" t="n">
        <v>128.3607428524707</v>
      </c>
      <c r="AB45" s="29" t="n">
        <v>36.42774579361952</v>
      </c>
      <c r="AC45" s="29" t="n">
        <v>89.15237495872449</v>
      </c>
      <c r="AD45" s="29" t="n">
        <v>471.5055722260231</v>
      </c>
      <c r="AE45" s="29" t="n">
        <v>134.2003788855376</v>
      </c>
      <c r="AF45" s="29" t="n">
        <v>182.849260759794</v>
      </c>
      <c r="AG45" s="29" t="n">
        <v>22546.31392936725</v>
      </c>
      <c r="AH45" s="29" t="n">
        <v>8212.014270117903</v>
      </c>
      <c r="AI45" s="29" t="n">
        <v>83.61411297733633</v>
      </c>
      <c r="AJ45" s="29" t="n">
        <v>24.36573538871115</v>
      </c>
      <c r="AK45" s="29" t="n">
        <v>67.57799325574126</v>
      </c>
      <c r="AL45" s="29" t="n">
        <v>326.3917166458797</v>
      </c>
      <c r="AM45" s="29" t="n">
        <v>7448.694198834135</v>
      </c>
      <c r="AN45" s="29" t="n">
        <v>5996.18042719845</v>
      </c>
      <c r="AO45" s="29" t="n">
        <v>68.01883103980593</v>
      </c>
      <c r="AP45" s="29" t="n">
        <v>39.86586601104956</v>
      </c>
      <c r="AQ45" s="29" t="n">
        <v>11.67916064185032</v>
      </c>
      <c r="AR45" s="29" t="n">
        <v>4.674892653061156</v>
      </c>
      <c r="AS45" s="29" t="n">
        <v>24.83509330017484</v>
      </c>
      <c r="AT45" s="29" t="n">
        <v>190.6222792413359</v>
      </c>
      <c r="AU45" s="29" t="n">
        <v>16.5054063451682</v>
      </c>
      <c r="AV45" s="29" t="n">
        <v>160.1799382749953</v>
      </c>
      <c r="AW45" s="29" t="n">
        <v>50.84735866718739</v>
      </c>
      <c r="AX45" s="29" t="n">
        <v>0</v>
      </c>
      <c r="AY45" s="29" t="n">
        <v>182.7783040223381</v>
      </c>
      <c r="AZ45" s="29" t="n">
        <v>139.0480636494964</v>
      </c>
      <c r="BA45" s="29" t="n">
        <v>618.6106342748768</v>
      </c>
      <c r="BB45" s="29">
        <f>SUM(C45:BA45)</f>
        <v/>
      </c>
      <c r="BC45" s="29" t="n">
        <v>0</v>
      </c>
      <c r="BD45" s="29" t="n">
        <v>0</v>
      </c>
      <c r="BE45" s="29" t="n">
        <v>13497.79507505227</v>
      </c>
      <c r="BF45" s="29" t="n">
        <v>0</v>
      </c>
      <c r="BG45" s="29">
        <f>SUM(BC45:BF45)</f>
        <v/>
      </c>
      <c r="BH45" s="29">
        <f>BB45+BG45</f>
        <v/>
      </c>
    </row>
    <row r="46">
      <c r="A46" s="27" t="n">
        <v>33</v>
      </c>
      <c r="B46" s="28" t="inlineStr">
        <is>
          <t>Outros equipamentos de transporte</t>
        </is>
      </c>
      <c r="C46" s="27" t="n">
        <v>1.107146964617113</v>
      </c>
      <c r="D46" s="27" t="n">
        <v>0.7763323237042925</v>
      </c>
      <c r="E46" s="27" t="n">
        <v>17.85638724369471</v>
      </c>
      <c r="F46" s="27" t="n">
        <v>7.367849287963208</v>
      </c>
      <c r="G46" s="27" t="n">
        <v>4.743004939499122</v>
      </c>
      <c r="H46" s="27" t="n">
        <v>23.32995953218286</v>
      </c>
      <c r="I46" s="27" t="n">
        <v>1.445141274175731</v>
      </c>
      <c r="J46" s="27" t="n">
        <v>1.325951770691431</v>
      </c>
      <c r="K46" s="27" t="n">
        <v>9.783885484086952</v>
      </c>
      <c r="L46" s="27" t="n">
        <v>3.295552089478281</v>
      </c>
      <c r="M46" s="27" t="n">
        <v>1.736429722609236</v>
      </c>
      <c r="N46" s="27" t="n">
        <v>4.763473201441158</v>
      </c>
      <c r="O46" s="27" t="n">
        <v>1.955266821545557</v>
      </c>
      <c r="P46" s="27" t="n">
        <v>3.603734158383387</v>
      </c>
      <c r="Q46" s="27" t="n">
        <v>0.8672316254096526</v>
      </c>
      <c r="R46" s="27" t="n">
        <v>4.46992138386952</v>
      </c>
      <c r="S46" s="27" t="n">
        <v>1.409512786729743</v>
      </c>
      <c r="T46" s="27" t="n">
        <v>4.094323025442208</v>
      </c>
      <c r="U46" s="27" t="n">
        <v>1.583773431460264</v>
      </c>
      <c r="V46" s="27" t="n">
        <v>2.511173795829358</v>
      </c>
      <c r="W46" s="27" t="n">
        <v>1.496705753603922</v>
      </c>
      <c r="X46" s="27" t="n">
        <v>1.392849911637029</v>
      </c>
      <c r="Y46" s="27" t="n">
        <v>3.026441463626977</v>
      </c>
      <c r="Z46" s="27" t="n">
        <v>5.56348061440284</v>
      </c>
      <c r="AA46" s="27" t="n">
        <v>17.49534947171119</v>
      </c>
      <c r="AB46" s="27" t="n">
        <v>3.484888624245364</v>
      </c>
      <c r="AC46" s="27" t="n">
        <v>6.7599931016513</v>
      </c>
      <c r="AD46" s="27" t="n">
        <v>1228.348188956676</v>
      </c>
      <c r="AE46" s="27" t="n">
        <v>5.501313038738568</v>
      </c>
      <c r="AF46" s="27" t="n">
        <v>5.00971925401825</v>
      </c>
      <c r="AG46" s="27" t="n">
        <v>11.85565886312793</v>
      </c>
      <c r="AH46" s="27" t="n">
        <v>7.773894005808515</v>
      </c>
      <c r="AI46" s="27" t="n">
        <v>9128.552685788298</v>
      </c>
      <c r="AJ46" s="27" t="n">
        <v>12.25119935855603</v>
      </c>
      <c r="AK46" s="27" t="n">
        <v>10.77974439962254</v>
      </c>
      <c r="AL46" s="27" t="n">
        <v>34.09717165057742</v>
      </c>
      <c r="AM46" s="27" t="n">
        <v>161.3459758588285</v>
      </c>
      <c r="AN46" s="27" t="n">
        <v>977.7342419492345</v>
      </c>
      <c r="AO46" s="27" t="n">
        <v>25.16430282190816</v>
      </c>
      <c r="AP46" s="27" t="n">
        <v>19.44330789390253</v>
      </c>
      <c r="AQ46" s="27" t="n">
        <v>2.908749880717772</v>
      </c>
      <c r="AR46" s="27" t="n">
        <v>61.85436097072457</v>
      </c>
      <c r="AS46" s="27" t="n">
        <v>4.445177854794741</v>
      </c>
      <c r="AT46" s="27" t="n">
        <v>31.18882805962323</v>
      </c>
      <c r="AU46" s="27" t="n">
        <v>5.827495655323442</v>
      </c>
      <c r="AV46" s="27" t="n">
        <v>2.953336819977895</v>
      </c>
      <c r="AW46" s="27" t="n">
        <v>13.79363075718808</v>
      </c>
      <c r="AX46" s="27" t="n">
        <v>0</v>
      </c>
      <c r="AY46" s="27" t="n">
        <v>5.397293118003963</v>
      </c>
      <c r="AZ46" s="27" t="n">
        <v>7.189789395741707</v>
      </c>
      <c r="BA46" s="27" t="n">
        <v>219.8903616375811</v>
      </c>
      <c r="BB46" s="27">
        <f>SUM(C46:BA46)</f>
        <v/>
      </c>
      <c r="BC46" s="27" t="n">
        <v>0</v>
      </c>
      <c r="BD46" s="27" t="n">
        <v>0</v>
      </c>
      <c r="BE46" s="27" t="n">
        <v>15673.37025357989</v>
      </c>
      <c r="BF46" s="27" t="n">
        <v>0</v>
      </c>
      <c r="BG46" s="27">
        <f>SUM(BC46:BF46)</f>
        <v/>
      </c>
      <c r="BH46" s="27">
        <f>BB46+BG46</f>
        <v/>
      </c>
    </row>
    <row r="47">
      <c r="A47" s="29" t="n">
        <v>34</v>
      </c>
      <c r="B47" s="30" t="inlineStr">
        <is>
          <t>Móveis e produtos das indústrias diversas</t>
        </is>
      </c>
      <c r="C47" s="29" t="n">
        <v>17.61675561596172</v>
      </c>
      <c r="D47" s="29" t="n">
        <v>9.736382386579791</v>
      </c>
      <c r="E47" s="29" t="n">
        <v>43.95974640713973</v>
      </c>
      <c r="F47" s="29" t="n">
        <v>26.44712462408368</v>
      </c>
      <c r="G47" s="29" t="n">
        <v>9.025844861268995</v>
      </c>
      <c r="H47" s="29" t="n">
        <v>147.6556714181625</v>
      </c>
      <c r="I47" s="29" t="n">
        <v>0.5378671999178606</v>
      </c>
      <c r="J47" s="29" t="n">
        <v>40.03721870280801</v>
      </c>
      <c r="K47" s="29" t="n">
        <v>1464.755149936174</v>
      </c>
      <c r="L47" s="29" t="n">
        <v>349.5651613087898</v>
      </c>
      <c r="M47" s="29" t="n">
        <v>32.58738752350625</v>
      </c>
      <c r="N47" s="29" t="n">
        <v>10.76344271807119</v>
      </c>
      <c r="O47" s="29" t="n">
        <v>8.803404788164915</v>
      </c>
      <c r="P47" s="29" t="n">
        <v>5.542778240889252</v>
      </c>
      <c r="Q47" s="29" t="n">
        <v>1.735930439044671</v>
      </c>
      <c r="R47" s="29" t="n">
        <v>75.86217801732319</v>
      </c>
      <c r="S47" s="29" t="n">
        <v>29.50399316067347</v>
      </c>
      <c r="T47" s="29" t="n">
        <v>14.01668270846645</v>
      </c>
      <c r="U47" s="29" t="n">
        <v>31.77201187479323</v>
      </c>
      <c r="V47" s="29" t="n">
        <v>14.37926257166442</v>
      </c>
      <c r="W47" s="29" t="n">
        <v>5.036952678855954</v>
      </c>
      <c r="X47" s="29" t="n">
        <v>2.376175039120264</v>
      </c>
      <c r="Y47" s="29" t="n">
        <v>90.54699667272914</v>
      </c>
      <c r="Z47" s="29" t="n">
        <v>115.5239354827878</v>
      </c>
      <c r="AA47" s="29" t="n">
        <v>33.35302005992958</v>
      </c>
      <c r="AB47" s="29" t="n">
        <v>3.282787258033363</v>
      </c>
      <c r="AC47" s="29" t="n">
        <v>39.67243233441968</v>
      </c>
      <c r="AD47" s="29" t="n">
        <v>593.0647541628213</v>
      </c>
      <c r="AE47" s="29" t="n">
        <v>26.33514906161391</v>
      </c>
      <c r="AF47" s="29" t="n">
        <v>23.40070273291174</v>
      </c>
      <c r="AG47" s="29" t="n">
        <v>289.4062484130077</v>
      </c>
      <c r="AH47" s="29" t="n">
        <v>504.5495306583212</v>
      </c>
      <c r="AI47" s="29" t="n">
        <v>67.95863681969453</v>
      </c>
      <c r="AJ47" s="29" t="n">
        <v>1806.983170611167</v>
      </c>
      <c r="AK47" s="29" t="n">
        <v>85.45124340471202</v>
      </c>
      <c r="AL47" s="29" t="n">
        <v>782.1091901522859</v>
      </c>
      <c r="AM47" s="29" t="n">
        <v>331.6986039741442</v>
      </c>
      <c r="AN47" s="29" t="n">
        <v>292.3590365048969</v>
      </c>
      <c r="AO47" s="29" t="n">
        <v>105.5282395652174</v>
      </c>
      <c r="AP47" s="29" t="n">
        <v>140.9131931716955</v>
      </c>
      <c r="AQ47" s="29" t="n">
        <v>90.15308619750851</v>
      </c>
      <c r="AR47" s="29" t="n">
        <v>4.755653499821585</v>
      </c>
      <c r="AS47" s="29" t="n">
        <v>18.03961276926979</v>
      </c>
      <c r="AT47" s="29" t="n">
        <v>1049.753588750138</v>
      </c>
      <c r="AU47" s="29" t="n">
        <v>25.87107690969783</v>
      </c>
      <c r="AV47" s="29" t="n">
        <v>48.10272473609007</v>
      </c>
      <c r="AW47" s="29" t="n">
        <v>314.8183324934846</v>
      </c>
      <c r="AX47" s="29" t="n">
        <v>0</v>
      </c>
      <c r="AY47" s="29" t="n">
        <v>78.90839665201906</v>
      </c>
      <c r="AZ47" s="29" t="n">
        <v>157.9733972301427</v>
      </c>
      <c r="BA47" s="29" t="n">
        <v>300.1134167648019</v>
      </c>
      <c r="BB47" s="29">
        <f>SUM(C47:BA47)</f>
        <v/>
      </c>
      <c r="BC47" s="29" t="n">
        <v>0</v>
      </c>
      <c r="BD47" s="29" t="n">
        <v>0</v>
      </c>
      <c r="BE47" s="29" t="n">
        <v>21787.29621252019</v>
      </c>
      <c r="BF47" s="29" t="n">
        <v>0</v>
      </c>
      <c r="BG47" s="29">
        <f>SUM(BC47:BF47)</f>
        <v/>
      </c>
      <c r="BH47" s="29">
        <f>BB47+BG47</f>
        <v/>
      </c>
    </row>
    <row r="48">
      <c r="A48" s="27" t="n">
        <v>35</v>
      </c>
      <c r="B48" s="28" t="inlineStr">
        <is>
          <t>Produção e distribuição de eletricidade gás água esgoto e limpeza urbana</t>
        </is>
      </c>
      <c r="C48" s="27" t="n">
        <v>3347.110612354253</v>
      </c>
      <c r="D48" s="27" t="n">
        <v>2379.420983551125</v>
      </c>
      <c r="E48" s="27" t="n">
        <v>139.2667907766427</v>
      </c>
      <c r="F48" s="27" t="n">
        <v>505.4443183314072</v>
      </c>
      <c r="G48" s="27" t="n">
        <v>644.5655160284513</v>
      </c>
      <c r="H48" s="27" t="n">
        <v>2847.75073755982</v>
      </c>
      <c r="I48" s="27" t="n">
        <v>55.13228218761992</v>
      </c>
      <c r="J48" s="27" t="n">
        <v>1194.862869981409</v>
      </c>
      <c r="K48" s="27" t="n">
        <v>149.2293123403475</v>
      </c>
      <c r="L48" s="27" t="n">
        <v>216.7338186555119</v>
      </c>
      <c r="M48" s="27" t="n">
        <v>657.7322596236697</v>
      </c>
      <c r="N48" s="27" t="n">
        <v>1384.902583513801</v>
      </c>
      <c r="O48" s="27" t="n">
        <v>98.15832071185892</v>
      </c>
      <c r="P48" s="27" t="n">
        <v>181.1771002826676</v>
      </c>
      <c r="Q48" s="27" t="n">
        <v>62.92553388608972</v>
      </c>
      <c r="R48" s="27" t="n">
        <v>2041.331606351823</v>
      </c>
      <c r="S48" s="27" t="n">
        <v>1176.02191649898</v>
      </c>
      <c r="T48" s="27" t="n">
        <v>141.0762007555282</v>
      </c>
      <c r="U48" s="27" t="n">
        <v>125.9508400731332</v>
      </c>
      <c r="V48" s="27" t="n">
        <v>168.1348837026745</v>
      </c>
      <c r="W48" s="27" t="n">
        <v>72.51652513368653</v>
      </c>
      <c r="X48" s="27" t="n">
        <v>319.8479912443747</v>
      </c>
      <c r="Y48" s="27" t="n">
        <v>1393.090474785306</v>
      </c>
      <c r="Z48" s="27" t="n">
        <v>2275.68139705648</v>
      </c>
      <c r="AA48" s="27" t="n">
        <v>5412.415969552642</v>
      </c>
      <c r="AB48" s="27" t="n">
        <v>2372.852661833241</v>
      </c>
      <c r="AC48" s="27" t="n">
        <v>670.4599099029651</v>
      </c>
      <c r="AD48" s="27" t="n">
        <v>461.3151924391495</v>
      </c>
      <c r="AE48" s="27" t="n">
        <v>369.3824091284105</v>
      </c>
      <c r="AF48" s="27" t="n">
        <v>147.3151395229833</v>
      </c>
      <c r="AG48" s="27" t="n">
        <v>307.7072601786019</v>
      </c>
      <c r="AH48" s="27" t="n">
        <v>1028.505077013737</v>
      </c>
      <c r="AI48" s="27" t="n">
        <v>159.1345412300611</v>
      </c>
      <c r="AJ48" s="27" t="n">
        <v>200.3871950100929</v>
      </c>
      <c r="AK48" s="27" t="n">
        <v>29739.82323961189</v>
      </c>
      <c r="AL48" s="27" t="n">
        <v>412.1823535075317</v>
      </c>
      <c r="AM48" s="27" t="n">
        <v>8259.813503133593</v>
      </c>
      <c r="AN48" s="27" t="n">
        <v>1559.624516615531</v>
      </c>
      <c r="AO48" s="27" t="n">
        <v>1605.446797995336</v>
      </c>
      <c r="AP48" s="27" t="n">
        <v>909.1117775285634</v>
      </c>
      <c r="AQ48" s="27" t="n">
        <v>303.4125145265331</v>
      </c>
      <c r="AR48" s="27" t="n">
        <v>105.2136349775628</v>
      </c>
      <c r="AS48" s="27" t="n">
        <v>1554.230751647957</v>
      </c>
      <c r="AT48" s="27" t="n">
        <v>1247.395641593168</v>
      </c>
      <c r="AU48" s="27" t="n">
        <v>1163.237925489687</v>
      </c>
      <c r="AV48" s="27" t="n">
        <v>1491.731227481125</v>
      </c>
      <c r="AW48" s="27" t="n">
        <v>6720.96173166798</v>
      </c>
      <c r="AX48" s="27" t="n">
        <v>0</v>
      </c>
      <c r="AY48" s="27" t="n">
        <v>779.2526896744336</v>
      </c>
      <c r="AZ48" s="27" t="n">
        <v>1131.599013446323</v>
      </c>
      <c r="BA48" s="27" t="n">
        <v>5981.090393215982</v>
      </c>
      <c r="BB48" s="27">
        <f>SUM(C48:BA48)</f>
        <v/>
      </c>
      <c r="BC48" s="27" t="n">
        <v>0</v>
      </c>
      <c r="BD48" s="27" t="n">
        <v>0</v>
      </c>
      <c r="BE48" s="27" t="n">
        <v>37973.38759674176</v>
      </c>
      <c r="BF48" s="27" t="n">
        <v>0</v>
      </c>
      <c r="BG48" s="27">
        <f>SUM(BC48:BF48)</f>
        <v/>
      </c>
      <c r="BH48" s="27">
        <f>BB48+BG48</f>
        <v/>
      </c>
    </row>
    <row r="49">
      <c r="A49" s="29" t="n">
        <v>36</v>
      </c>
      <c r="B49" s="30" t="inlineStr">
        <is>
          <t>Construção civil</t>
        </is>
      </c>
      <c r="C49" s="29" t="n">
        <v>27.01056864441008</v>
      </c>
      <c r="D49" s="29" t="n">
        <v>67.88809724596017</v>
      </c>
      <c r="E49" s="29" t="n">
        <v>1040.548615140795</v>
      </c>
      <c r="F49" s="29" t="n">
        <v>435.0937759536874</v>
      </c>
      <c r="G49" s="29" t="n">
        <v>124.7010218412939</v>
      </c>
      <c r="H49" s="29" t="n">
        <v>22.09361166550234</v>
      </c>
      <c r="I49" s="29" t="n">
        <v>1.15339678161502</v>
      </c>
      <c r="J49" s="29" t="n">
        <v>17.66797553023891</v>
      </c>
      <c r="K49" s="29" t="n">
        <v>3.537183867589018</v>
      </c>
      <c r="L49" s="29" t="n">
        <v>1.538035173957427</v>
      </c>
      <c r="M49" s="29" t="n">
        <v>0.5015856807130129</v>
      </c>
      <c r="N49" s="29" t="n">
        <v>10.19539150664772</v>
      </c>
      <c r="O49" s="29" t="n">
        <v>8.838100815386598</v>
      </c>
      <c r="P49" s="29" t="n">
        <v>9.29318582059997</v>
      </c>
      <c r="Q49" s="29" t="n">
        <v>9.087514783939199</v>
      </c>
      <c r="R49" s="29" t="n">
        <v>37.70576921259372</v>
      </c>
      <c r="S49" s="29" t="n">
        <v>0.6805781851901325</v>
      </c>
      <c r="T49" s="29" t="n">
        <v>3.247180200326955</v>
      </c>
      <c r="U49" s="29" t="n">
        <v>1.406460429028696</v>
      </c>
      <c r="V49" s="29" t="n">
        <v>2.074041346166394</v>
      </c>
      <c r="W49" s="29" t="n">
        <v>1.035237205117023</v>
      </c>
      <c r="X49" s="29" t="n">
        <v>0.8519089980635951</v>
      </c>
      <c r="Y49" s="29" t="n">
        <v>3.819515316419058</v>
      </c>
      <c r="Z49" s="29" t="n">
        <v>12.54320540117046</v>
      </c>
      <c r="AA49" s="29" t="n">
        <v>80.445338083761</v>
      </c>
      <c r="AB49" s="29" t="n">
        <v>525.8685868223715</v>
      </c>
      <c r="AC49" s="29" t="n">
        <v>21.75335706280912</v>
      </c>
      <c r="AD49" s="29" t="n">
        <v>36.14308111253259</v>
      </c>
      <c r="AE49" s="29" t="n">
        <v>7.649432393286075</v>
      </c>
      <c r="AF49" s="29" t="n">
        <v>38.63724019537527</v>
      </c>
      <c r="AG49" s="29" t="n">
        <v>99.29827018186565</v>
      </c>
      <c r="AH49" s="29" t="n">
        <v>17.49510401510744</v>
      </c>
      <c r="AI49" s="29" t="n">
        <v>90.20985436842916</v>
      </c>
      <c r="AJ49" s="29" t="n">
        <v>7.806729996113137</v>
      </c>
      <c r="AK49" s="29" t="n">
        <v>1926.860090805877</v>
      </c>
      <c r="AL49" s="29" t="n">
        <v>19641.21468940682</v>
      </c>
      <c r="AM49" s="29" t="n">
        <v>584.2173257740542</v>
      </c>
      <c r="AN49" s="29" t="n">
        <v>597.6895829455714</v>
      </c>
      <c r="AO49" s="29" t="n">
        <v>2178.374610849404</v>
      </c>
      <c r="AP49" s="29" t="n">
        <v>408.1990610488368</v>
      </c>
      <c r="AQ49" s="29" t="n">
        <v>577.7391714373157</v>
      </c>
      <c r="AR49" s="29" t="n">
        <v>2.211762281142089</v>
      </c>
      <c r="AS49" s="29" t="n">
        <v>212.1022843539779</v>
      </c>
      <c r="AT49" s="29" t="n">
        <v>443.2232490000143</v>
      </c>
      <c r="AU49" s="29" t="n">
        <v>180.5070209994905</v>
      </c>
      <c r="AV49" s="29" t="n">
        <v>11.49930031841763</v>
      </c>
      <c r="AW49" s="29" t="n">
        <v>1073.048971470987</v>
      </c>
      <c r="AX49" s="29" t="n">
        <v>0</v>
      </c>
      <c r="AY49" s="29" t="n">
        <v>243.7260513778292</v>
      </c>
      <c r="AZ49" s="29" t="n">
        <v>1084.722016392325</v>
      </c>
      <c r="BA49" s="29" t="n">
        <v>3998.962480960305</v>
      </c>
      <c r="BB49" s="29">
        <f>SUM(C49:BA49)</f>
        <v/>
      </c>
      <c r="BC49" s="29" t="n">
        <v>0</v>
      </c>
      <c r="BD49" s="29" t="n">
        <v>0</v>
      </c>
      <c r="BE49" s="29" t="n">
        <v>166592.9807354987</v>
      </c>
      <c r="BF49" s="29" t="n">
        <v>0</v>
      </c>
      <c r="BG49" s="29">
        <f>SUM(BC49:BF49)</f>
        <v/>
      </c>
      <c r="BH49" s="29">
        <f>BB49+BG49</f>
        <v/>
      </c>
    </row>
    <row r="50">
      <c r="A50" s="27" t="n">
        <v>37</v>
      </c>
      <c r="B50" s="28" t="inlineStr">
        <is>
          <t>Comércio</t>
        </is>
      </c>
      <c r="C50" s="27" t="n">
        <v>326.5559169713396</v>
      </c>
      <c r="D50" s="27" t="n">
        <v>473.7211420249471</v>
      </c>
      <c r="E50" s="27" t="n">
        <v>443.128880887933</v>
      </c>
      <c r="F50" s="27" t="n">
        <v>365.594018633451</v>
      </c>
      <c r="G50" s="27" t="n">
        <v>156.4027908724012</v>
      </c>
      <c r="H50" s="27" t="n">
        <v>5696.758250995967</v>
      </c>
      <c r="I50" s="27" t="n">
        <v>132.062238618488</v>
      </c>
      <c r="J50" s="27" t="n">
        <v>432.763721158228</v>
      </c>
      <c r="K50" s="27" t="n">
        <v>385.5213884857394</v>
      </c>
      <c r="L50" s="27" t="n">
        <v>464.1516990319833</v>
      </c>
      <c r="M50" s="27" t="n">
        <v>145.4218388316807</v>
      </c>
      <c r="N50" s="27" t="n">
        <v>685.5277443457267</v>
      </c>
      <c r="O50" s="27" t="n">
        <v>60.65216757410732</v>
      </c>
      <c r="P50" s="27" t="n">
        <v>738.392326071788</v>
      </c>
      <c r="Q50" s="27" t="n">
        <v>206.7555780986102</v>
      </c>
      <c r="R50" s="27" t="n">
        <v>1994.122707805356</v>
      </c>
      <c r="S50" s="27" t="n">
        <v>234.4211417994384</v>
      </c>
      <c r="T50" s="27" t="n">
        <v>561.8213940391852</v>
      </c>
      <c r="U50" s="27" t="n">
        <v>145.4373239639863</v>
      </c>
      <c r="V50" s="27" t="n">
        <v>107.8598973536837</v>
      </c>
      <c r="W50" s="27" t="n">
        <v>136.1782338070144</v>
      </c>
      <c r="X50" s="27" t="n">
        <v>313.054925161849</v>
      </c>
      <c r="Y50" s="27" t="n">
        <v>787.2431698693435</v>
      </c>
      <c r="Z50" s="27" t="n">
        <v>826.9987357397981</v>
      </c>
      <c r="AA50" s="27" t="n">
        <v>1285.043265231033</v>
      </c>
      <c r="AB50" s="27" t="n">
        <v>260.1854806342353</v>
      </c>
      <c r="AC50" s="27" t="n">
        <v>565.5709115712157</v>
      </c>
      <c r="AD50" s="27" t="n">
        <v>2298.486399718854</v>
      </c>
      <c r="AE50" s="27" t="n">
        <v>539.2013382882867</v>
      </c>
      <c r="AF50" s="27" t="n">
        <v>673.2051123321735</v>
      </c>
      <c r="AG50" s="27" t="n">
        <v>388.0599213726797</v>
      </c>
      <c r="AH50" s="27" t="n">
        <v>164.0035363293266</v>
      </c>
      <c r="AI50" s="27" t="n">
        <v>87.61836635662038</v>
      </c>
      <c r="AJ50" s="27" t="n">
        <v>224.7955005406191</v>
      </c>
      <c r="AK50" s="27" t="n">
        <v>517.0766956604491</v>
      </c>
      <c r="AL50" s="27" t="n">
        <v>1387.826283781842</v>
      </c>
      <c r="AM50" s="27" t="n">
        <v>3578.754207112972</v>
      </c>
      <c r="AN50" s="27" t="n">
        <v>3512.208319083935</v>
      </c>
      <c r="AO50" s="27" t="n">
        <v>2838.092102682709</v>
      </c>
      <c r="AP50" s="27" t="n">
        <v>347.0218585921182</v>
      </c>
      <c r="AQ50" s="27" t="n">
        <v>60.47196037394317</v>
      </c>
      <c r="AR50" s="27" t="n">
        <v>32.55192862760872</v>
      </c>
      <c r="AS50" s="27" t="n">
        <v>648.4839992153903</v>
      </c>
      <c r="AT50" s="27" t="n">
        <v>1068.836687528155</v>
      </c>
      <c r="AU50" s="27" t="n">
        <v>145.9963397321576</v>
      </c>
      <c r="AV50" s="27" t="n">
        <v>877.8621972431713</v>
      </c>
      <c r="AW50" s="27" t="n">
        <v>355.9482547963668</v>
      </c>
      <c r="AX50" s="27" t="n">
        <v>0</v>
      </c>
      <c r="AY50" s="27" t="n">
        <v>303.3612509109718</v>
      </c>
      <c r="AZ50" s="27" t="n">
        <v>646.8772588522256</v>
      </c>
      <c r="BA50" s="27" t="n">
        <v>977.7550779703088</v>
      </c>
      <c r="BB50" s="27">
        <f>SUM(C50:BA50)</f>
        <v/>
      </c>
      <c r="BC50" s="27" t="n">
        <v>0</v>
      </c>
      <c r="BD50" s="27" t="n">
        <v>0</v>
      </c>
      <c r="BE50" s="27" t="n">
        <v>139456.9433177484</v>
      </c>
      <c r="BF50" s="27" t="n">
        <v>0</v>
      </c>
      <c r="BG50" s="27">
        <f>SUM(BC50:BF50)</f>
        <v/>
      </c>
      <c r="BH50" s="27">
        <f>BB50+BG50</f>
        <v/>
      </c>
    </row>
    <row r="51">
      <c r="A51" s="29" t="n">
        <v>38</v>
      </c>
      <c r="B51" s="30" t="inlineStr">
        <is>
          <t>Transporte armazenagem e correio</t>
        </is>
      </c>
      <c r="C51" s="29" t="n">
        <v>1812.430219709825</v>
      </c>
      <c r="D51" s="29" t="n">
        <v>352.2334241108599</v>
      </c>
      <c r="E51" s="29" t="n">
        <v>4410.652117609851</v>
      </c>
      <c r="F51" s="29" t="n">
        <v>1581.148262016247</v>
      </c>
      <c r="G51" s="29" t="n">
        <v>824.9022403258792</v>
      </c>
      <c r="H51" s="29" t="n">
        <v>13078.36566954623</v>
      </c>
      <c r="I51" s="29" t="n">
        <v>164.2859840325897</v>
      </c>
      <c r="J51" s="29" t="n">
        <v>623.7862912842694</v>
      </c>
      <c r="K51" s="29" t="n">
        <v>378.425574802479</v>
      </c>
      <c r="L51" s="29" t="n">
        <v>531.5229213002598</v>
      </c>
      <c r="M51" s="29" t="n">
        <v>756.4259562613605</v>
      </c>
      <c r="N51" s="29" t="n">
        <v>1782.333245681343</v>
      </c>
      <c r="O51" s="29" t="n">
        <v>241.6819194885505</v>
      </c>
      <c r="P51" s="29" t="n">
        <v>1109.320980354126</v>
      </c>
      <c r="Q51" s="29" t="n">
        <v>400.2037497517621</v>
      </c>
      <c r="R51" s="29" t="n">
        <v>2263.583758765359</v>
      </c>
      <c r="S51" s="29" t="n">
        <v>654.8258860839999</v>
      </c>
      <c r="T51" s="29" t="n">
        <v>989.4141450298317</v>
      </c>
      <c r="U51" s="29" t="n">
        <v>437.9684961738662</v>
      </c>
      <c r="V51" s="29" t="n">
        <v>641.129389677298</v>
      </c>
      <c r="W51" s="29" t="n">
        <v>311.3576623674218</v>
      </c>
      <c r="X51" s="29" t="n">
        <v>406.5707841340186</v>
      </c>
      <c r="Y51" s="29" t="n">
        <v>1092.703496923437</v>
      </c>
      <c r="Z51" s="29" t="n">
        <v>1121.317648961848</v>
      </c>
      <c r="AA51" s="29" t="n">
        <v>3716.002912861133</v>
      </c>
      <c r="AB51" s="29" t="n">
        <v>281.7518630833551</v>
      </c>
      <c r="AC51" s="29" t="n">
        <v>1162.588074208376</v>
      </c>
      <c r="AD51" s="29" t="n">
        <v>1186.674153468313</v>
      </c>
      <c r="AE51" s="29" t="n">
        <v>973.2966786315201</v>
      </c>
      <c r="AF51" s="29" t="n">
        <v>1355.125915221585</v>
      </c>
      <c r="AG51" s="29" t="n">
        <v>2769.274593312752</v>
      </c>
      <c r="AH51" s="29" t="n">
        <v>1209.172196019951</v>
      </c>
      <c r="AI51" s="29" t="n">
        <v>380.2683743177356</v>
      </c>
      <c r="AJ51" s="29" t="n">
        <v>500.5518949255886</v>
      </c>
      <c r="AK51" s="29" t="n">
        <v>1223.260913120714</v>
      </c>
      <c r="AL51" s="29" t="n">
        <v>1644.229075010242</v>
      </c>
      <c r="AM51" s="29" t="n">
        <v>13949.4180295902</v>
      </c>
      <c r="AN51" s="29" t="n">
        <v>19243.75292207596</v>
      </c>
      <c r="AO51" s="29" t="n">
        <v>1608.675790418151</v>
      </c>
      <c r="AP51" s="29" t="n">
        <v>2711.469722775947</v>
      </c>
      <c r="AQ51" s="29" t="n">
        <v>170.2060738551991</v>
      </c>
      <c r="AR51" s="29" t="n">
        <v>49.12149432793906</v>
      </c>
      <c r="AS51" s="29" t="n">
        <v>436.5295905886543</v>
      </c>
      <c r="AT51" s="29" t="n">
        <v>2579.60080706935</v>
      </c>
      <c r="AU51" s="29" t="n">
        <v>1491.954459148555</v>
      </c>
      <c r="AV51" s="29" t="n">
        <v>157.9621120318783</v>
      </c>
      <c r="AW51" s="29" t="n">
        <v>6832.208546370608</v>
      </c>
      <c r="AX51" s="29" t="n">
        <v>0</v>
      </c>
      <c r="AY51" s="29" t="n">
        <v>638.6696205771904</v>
      </c>
      <c r="AZ51" s="29" t="n">
        <v>481.8214324497628</v>
      </c>
      <c r="BA51" s="29" t="n">
        <v>2741.72207630057</v>
      </c>
      <c r="BB51" s="29">
        <f>SUM(C51:BA51)</f>
        <v/>
      </c>
      <c r="BC51" s="29" t="n">
        <v>0</v>
      </c>
      <c r="BD51" s="29" t="n">
        <v>0</v>
      </c>
      <c r="BE51" s="29" t="n">
        <v>45339.1600566288</v>
      </c>
      <c r="BF51" s="29" t="n">
        <v>0</v>
      </c>
      <c r="BG51" s="29">
        <f>SUM(BC51:BF51)</f>
        <v/>
      </c>
      <c r="BH51" s="29">
        <f>BB51+BG51</f>
        <v/>
      </c>
    </row>
    <row r="52">
      <c r="A52" s="27" t="n">
        <v>39</v>
      </c>
      <c r="B52" s="28" t="inlineStr">
        <is>
          <t>Serviços de informação</t>
        </is>
      </c>
      <c r="C52" s="27" t="n">
        <v>18.68002247128396</v>
      </c>
      <c r="D52" s="27" t="n">
        <v>8.489440755273336</v>
      </c>
      <c r="E52" s="27" t="n">
        <v>335.5193969309604</v>
      </c>
      <c r="F52" s="27" t="n">
        <v>120.7670699573996</v>
      </c>
      <c r="G52" s="27" t="n">
        <v>59.02620401496778</v>
      </c>
      <c r="H52" s="27" t="n">
        <v>2279.253734851679</v>
      </c>
      <c r="I52" s="27" t="n">
        <v>52.02976329589814</v>
      </c>
      <c r="J52" s="27" t="n">
        <v>254.3729928127239</v>
      </c>
      <c r="K52" s="27" t="n">
        <v>427.2700381092391</v>
      </c>
      <c r="L52" s="27" t="n">
        <v>166.9275411268002</v>
      </c>
      <c r="M52" s="27" t="n">
        <v>89.56042436228211</v>
      </c>
      <c r="N52" s="27" t="n">
        <v>317.385729020012</v>
      </c>
      <c r="O52" s="27" t="n">
        <v>393.3579438389606</v>
      </c>
      <c r="P52" s="27" t="n">
        <v>163.1338642851523</v>
      </c>
      <c r="Q52" s="27" t="n">
        <v>59.04062142153111</v>
      </c>
      <c r="R52" s="27" t="n">
        <v>410.4939247894386</v>
      </c>
      <c r="S52" s="27" t="n">
        <v>109.104457923688</v>
      </c>
      <c r="T52" s="27" t="n">
        <v>276.0098596517823</v>
      </c>
      <c r="U52" s="27" t="n">
        <v>131.196684234948</v>
      </c>
      <c r="V52" s="27" t="n">
        <v>33.92809229490688</v>
      </c>
      <c r="W52" s="27" t="n">
        <v>81.39221952902253</v>
      </c>
      <c r="X52" s="27" t="n">
        <v>83.95594604366673</v>
      </c>
      <c r="Y52" s="27" t="n">
        <v>313.1950374109484</v>
      </c>
      <c r="Z52" s="27" t="n">
        <v>315.6557335139786</v>
      </c>
      <c r="AA52" s="27" t="n">
        <v>325.1638251532908</v>
      </c>
      <c r="AB52" s="27" t="n">
        <v>62.8095621056236</v>
      </c>
      <c r="AC52" s="27" t="n">
        <v>308.006250171026</v>
      </c>
      <c r="AD52" s="27" t="n">
        <v>512.3672872307386</v>
      </c>
      <c r="AE52" s="27" t="n">
        <v>504.1949525794661</v>
      </c>
      <c r="AF52" s="27" t="n">
        <v>697.3545416976797</v>
      </c>
      <c r="AG52" s="27" t="n">
        <v>1340.945365931137</v>
      </c>
      <c r="AH52" s="27" t="n">
        <v>1174.131500136498</v>
      </c>
      <c r="AI52" s="27" t="n">
        <v>139.2287799575275</v>
      </c>
      <c r="AJ52" s="27" t="n">
        <v>273.8270980648657</v>
      </c>
      <c r="AK52" s="27" t="n">
        <v>851.0975351739592</v>
      </c>
      <c r="AL52" s="27" t="n">
        <v>999.5131926280247</v>
      </c>
      <c r="AM52" s="27" t="n">
        <v>6807.797675874356</v>
      </c>
      <c r="AN52" s="27" t="n">
        <v>2211.622099360109</v>
      </c>
      <c r="AO52" s="27" t="n">
        <v>25736.78375111572</v>
      </c>
      <c r="AP52" s="27" t="n">
        <v>8880.010478897919</v>
      </c>
      <c r="AQ52" s="27" t="n">
        <v>494.9618141000619</v>
      </c>
      <c r="AR52" s="27" t="n">
        <v>144.8363492027108</v>
      </c>
      <c r="AS52" s="27" t="n">
        <v>526.1499899410035</v>
      </c>
      <c r="AT52" s="27" t="n">
        <v>20033.99237994132</v>
      </c>
      <c r="AU52" s="27" t="n">
        <v>2077.319791657109</v>
      </c>
      <c r="AV52" s="27" t="n">
        <v>760.8494426664635</v>
      </c>
      <c r="AW52" s="27" t="n">
        <v>2555.676012046402</v>
      </c>
      <c r="AX52" s="27" t="n">
        <v>0</v>
      </c>
      <c r="AY52" s="27" t="n">
        <v>2380.509174500376</v>
      </c>
      <c r="AZ52" s="27" t="n">
        <v>946.1693723290106</v>
      </c>
      <c r="BA52" s="27" t="n">
        <v>6235.630527190768</v>
      </c>
      <c r="BB52" s="27">
        <f>SUM(C52:BA52)</f>
        <v/>
      </c>
      <c r="BC52" s="27" t="n">
        <v>0</v>
      </c>
      <c r="BD52" s="27" t="n">
        <v>0</v>
      </c>
      <c r="BE52" s="27" t="n">
        <v>70643.86074277424</v>
      </c>
      <c r="BF52" s="27" t="n">
        <v>0</v>
      </c>
      <c r="BG52" s="27">
        <f>SUM(BC52:BF52)</f>
        <v/>
      </c>
      <c r="BH52" s="27">
        <f>BB52+BG52</f>
        <v/>
      </c>
    </row>
    <row r="53">
      <c r="A53" s="29" t="n">
        <v>40</v>
      </c>
      <c r="B53" s="30" t="inlineStr">
        <is>
          <t>Intermediação financeira seguros e previdência complementar e serviços relacionados</t>
        </is>
      </c>
      <c r="C53" s="29" t="n">
        <v>2169.820642770506</v>
      </c>
      <c r="D53" s="29" t="n">
        <v>1053.266984269944</v>
      </c>
      <c r="E53" s="29" t="n">
        <v>1681.856842316982</v>
      </c>
      <c r="F53" s="29" t="n">
        <v>937.577600784274</v>
      </c>
      <c r="G53" s="29" t="n">
        <v>605.3740452421747</v>
      </c>
      <c r="H53" s="29" t="n">
        <v>6990.354326184637</v>
      </c>
      <c r="I53" s="29" t="n">
        <v>348.6410797836971</v>
      </c>
      <c r="J53" s="29" t="n">
        <v>678.6187369846419</v>
      </c>
      <c r="K53" s="29" t="n">
        <v>640.5828741742331</v>
      </c>
      <c r="L53" s="29" t="n">
        <v>567.5768710665268</v>
      </c>
      <c r="M53" s="29" t="n">
        <v>436.2026508393164</v>
      </c>
      <c r="N53" s="29" t="n">
        <v>1174.515745134726</v>
      </c>
      <c r="O53" s="29" t="n">
        <v>250.6271162698035</v>
      </c>
      <c r="P53" s="29" t="n">
        <v>1374.05678232725</v>
      </c>
      <c r="Q53" s="29" t="n">
        <v>379.8666785994619</v>
      </c>
      <c r="R53" s="29" t="n">
        <v>1492.897719240004</v>
      </c>
      <c r="S53" s="29" t="n">
        <v>659.1790245089096</v>
      </c>
      <c r="T53" s="29" t="n">
        <v>421.4190363713619</v>
      </c>
      <c r="U53" s="29" t="n">
        <v>246.1820762335998</v>
      </c>
      <c r="V53" s="29" t="n">
        <v>420.3891496583268</v>
      </c>
      <c r="W53" s="29" t="n">
        <v>169.2710672176016</v>
      </c>
      <c r="X53" s="29" t="n">
        <v>329.6833394500101</v>
      </c>
      <c r="Y53" s="29" t="n">
        <v>1100.81726445996</v>
      </c>
      <c r="Z53" s="29" t="n">
        <v>1038.261926982072</v>
      </c>
      <c r="AA53" s="29" t="n">
        <v>2363.625288485547</v>
      </c>
      <c r="AB53" s="29" t="n">
        <v>683.2232245982939</v>
      </c>
      <c r="AC53" s="29" t="n">
        <v>1020.218526502203</v>
      </c>
      <c r="AD53" s="29" t="n">
        <v>1564.174271515467</v>
      </c>
      <c r="AE53" s="29" t="n">
        <v>915.1792399564685</v>
      </c>
      <c r="AF53" s="29" t="n">
        <v>1061.113784928271</v>
      </c>
      <c r="AG53" s="29" t="n">
        <v>1689.803109053065</v>
      </c>
      <c r="AH53" s="29" t="n">
        <v>989.1510849163863</v>
      </c>
      <c r="AI53" s="29" t="n">
        <v>399.6655458729088</v>
      </c>
      <c r="AJ53" s="29" t="n">
        <v>497.6477272233089</v>
      </c>
      <c r="AK53" s="29" t="n">
        <v>3165.825573635149</v>
      </c>
      <c r="AL53" s="29" t="n">
        <v>4432.647833596285</v>
      </c>
      <c r="AM53" s="29" t="n">
        <v>10782.43470324067</v>
      </c>
      <c r="AN53" s="29" t="n">
        <v>5875.140469857763</v>
      </c>
      <c r="AO53" s="29" t="n">
        <v>4669.240242010128</v>
      </c>
      <c r="AP53" s="29" t="n">
        <v>21586.66486343091</v>
      </c>
      <c r="AQ53" s="29" t="n">
        <v>14184.5525980614</v>
      </c>
      <c r="AR53" s="29" t="n">
        <v>191.2180777621761</v>
      </c>
      <c r="AS53" s="29" t="n">
        <v>1391.455929521473</v>
      </c>
      <c r="AT53" s="29" t="n">
        <v>4398.245082766261</v>
      </c>
      <c r="AU53" s="29" t="n">
        <v>697.3584947254409</v>
      </c>
      <c r="AV53" s="29" t="n">
        <v>2218.632164186339</v>
      </c>
      <c r="AW53" s="29" t="n">
        <v>2604.216937873425</v>
      </c>
      <c r="AX53" s="29" t="n">
        <v>0</v>
      </c>
      <c r="AY53" s="29" t="n">
        <v>95.21425241984417</v>
      </c>
      <c r="AZ53" s="29" t="n">
        <v>121.482203063758</v>
      </c>
      <c r="BA53" s="29" t="n">
        <v>22898.25496722985</v>
      </c>
      <c r="BB53" s="29">
        <f>SUM(C53:BA53)</f>
        <v/>
      </c>
      <c r="BC53" s="29" t="n">
        <v>0</v>
      </c>
      <c r="BD53" s="29" t="n">
        <v>0</v>
      </c>
      <c r="BE53" s="29" t="n">
        <v>42534.07120547432</v>
      </c>
      <c r="BF53" s="29" t="n">
        <v>0</v>
      </c>
      <c r="BG53" s="29">
        <f>SUM(BC53:BF53)</f>
        <v/>
      </c>
      <c r="BH53" s="29">
        <f>BB53+BG53</f>
        <v/>
      </c>
    </row>
    <row r="54">
      <c r="A54" s="27" t="n">
        <v>41</v>
      </c>
      <c r="B54" s="28" t="inlineStr">
        <is>
          <t>Atividades imobiliárias e aluguéis</t>
        </is>
      </c>
      <c r="C54" s="27" t="n">
        <v>4.521092319410309</v>
      </c>
      <c r="D54" s="27" t="n">
        <v>1.363754562787486</v>
      </c>
      <c r="E54" s="27" t="n">
        <v>204.9169144797187</v>
      </c>
      <c r="F54" s="27" t="n">
        <v>7.824391946819592</v>
      </c>
      <c r="G54" s="27" t="n">
        <v>15.03958552543257</v>
      </c>
      <c r="H54" s="27" t="n">
        <v>363.9966470907611</v>
      </c>
      <c r="I54" s="27" t="n">
        <v>15.46833216364501</v>
      </c>
      <c r="J54" s="27" t="n">
        <v>128.8503001669123</v>
      </c>
      <c r="K54" s="27" t="n">
        <v>147.8933610471961</v>
      </c>
      <c r="L54" s="27" t="n">
        <v>43.37955311435021</v>
      </c>
      <c r="M54" s="27" t="n">
        <v>14.22525054389044</v>
      </c>
      <c r="N54" s="27" t="n">
        <v>46.50074359092577</v>
      </c>
      <c r="O54" s="27" t="n">
        <v>19.90064725557966</v>
      </c>
      <c r="P54" s="27" t="n">
        <v>45.93634501192038</v>
      </c>
      <c r="Q54" s="27" t="n">
        <v>34.82976898120223</v>
      </c>
      <c r="R54" s="27" t="n">
        <v>46.39853979895492</v>
      </c>
      <c r="S54" s="27" t="n">
        <v>14.12515551966306</v>
      </c>
      <c r="T54" s="27" t="n">
        <v>58.20122199774922</v>
      </c>
      <c r="U54" s="27" t="n">
        <v>10.55002591350867</v>
      </c>
      <c r="V54" s="27" t="n">
        <v>48.19841917409905</v>
      </c>
      <c r="W54" s="27" t="n">
        <v>6.545267242399358</v>
      </c>
      <c r="X54" s="27" t="n">
        <v>15.81566240940636</v>
      </c>
      <c r="Y54" s="27" t="n">
        <v>122.024614861622</v>
      </c>
      <c r="Z54" s="27" t="n">
        <v>55.426361620604</v>
      </c>
      <c r="AA54" s="27" t="n">
        <v>125.4438846497463</v>
      </c>
      <c r="AB54" s="27" t="n">
        <v>4.133416166191576</v>
      </c>
      <c r="AC54" s="27" t="n">
        <v>66.78468307440656</v>
      </c>
      <c r="AD54" s="27" t="n">
        <v>79.79546062699981</v>
      </c>
      <c r="AE54" s="27" t="n">
        <v>38.29735734184936</v>
      </c>
      <c r="AF54" s="27" t="n">
        <v>77.20728275504119</v>
      </c>
      <c r="AG54" s="27" t="n">
        <v>36.69429374497321</v>
      </c>
      <c r="AH54" s="27" t="n">
        <v>81.9280779877366</v>
      </c>
      <c r="AI54" s="27" t="n">
        <v>15.29210301075527</v>
      </c>
      <c r="AJ54" s="27" t="n">
        <v>63.7430870070521</v>
      </c>
      <c r="AK54" s="27" t="n">
        <v>324.5831354468365</v>
      </c>
      <c r="AL54" s="27" t="n">
        <v>412.7818165914258</v>
      </c>
      <c r="AM54" s="27" t="n">
        <v>8364.121152857537</v>
      </c>
      <c r="AN54" s="27" t="n">
        <v>978.7345292092293</v>
      </c>
      <c r="AO54" s="27" t="n">
        <v>1409.582461024854</v>
      </c>
      <c r="AP54" s="27" t="n">
        <v>1308.989980597272</v>
      </c>
      <c r="AQ54" s="27" t="n">
        <v>549.3083571719084</v>
      </c>
      <c r="AR54" s="27" t="n">
        <v>99.18463026767451</v>
      </c>
      <c r="AS54" s="27" t="n">
        <v>1338.064418232057</v>
      </c>
      <c r="AT54" s="27" t="n">
        <v>2267.738371310895</v>
      </c>
      <c r="AU54" s="27" t="n">
        <v>1177.641200336513</v>
      </c>
      <c r="AV54" s="27" t="n">
        <v>491.0205991183934</v>
      </c>
      <c r="AW54" s="27" t="n">
        <v>1977.281369418546</v>
      </c>
      <c r="AX54" s="27" t="n">
        <v>0</v>
      </c>
      <c r="AY54" s="27" t="n">
        <v>143.1412109550672</v>
      </c>
      <c r="AZ54" s="27" t="n">
        <v>96.48391200621987</v>
      </c>
      <c r="BA54" s="27" t="n">
        <v>687.3420206157335</v>
      </c>
      <c r="BB54" s="27">
        <f>SUM(C54:BA54)</f>
        <v/>
      </c>
      <c r="BC54" s="27" t="n">
        <v>0</v>
      </c>
      <c r="BD54" s="27" t="n">
        <v>0</v>
      </c>
      <c r="BE54" s="27" t="n">
        <v>156314.0936729385</v>
      </c>
      <c r="BF54" s="27" t="n">
        <v>0</v>
      </c>
      <c r="BG54" s="27">
        <f>SUM(BC54:BF54)</f>
        <v/>
      </c>
      <c r="BH54" s="27">
        <f>BB54+BG54</f>
        <v/>
      </c>
    </row>
    <row r="55">
      <c r="A55" s="29" t="n">
        <v>42</v>
      </c>
      <c r="B55" s="30" t="inlineStr">
        <is>
          <t>Serviços de manutenção e reparação</t>
        </is>
      </c>
      <c r="C55" s="29" t="n">
        <v>2.128413685990024</v>
      </c>
      <c r="D55" s="29" t="n">
        <v>0.01325807722622291</v>
      </c>
      <c r="E55" s="29" t="n">
        <v>15.47263199487193</v>
      </c>
      <c r="F55" s="29" t="n">
        <v>0.1756026950348952</v>
      </c>
      <c r="G55" s="29" t="n">
        <v>0.9854403853473677</v>
      </c>
      <c r="H55" s="29" t="n">
        <v>3.303112413493976</v>
      </c>
      <c r="I55" s="29" t="n">
        <v>0.09496973675772746</v>
      </c>
      <c r="J55" s="29" t="n">
        <v>5.555867269183955</v>
      </c>
      <c r="K55" s="29" t="n">
        <v>0.2253046191553159</v>
      </c>
      <c r="L55" s="29" t="n">
        <v>3.86615560127459</v>
      </c>
      <c r="M55" s="29" t="n">
        <v>0.08721743278966781</v>
      </c>
      <c r="N55" s="29" t="n">
        <v>0.528694165856098</v>
      </c>
      <c r="O55" s="29" t="n">
        <v>6.61064619528513</v>
      </c>
      <c r="P55" s="29" t="n">
        <v>0.1146419720682857</v>
      </c>
      <c r="Q55" s="29" t="n">
        <v>0.07350061917097939</v>
      </c>
      <c r="R55" s="29" t="n">
        <v>0.1256822833335258</v>
      </c>
      <c r="S55" s="29" t="n">
        <v>0.152619003947943</v>
      </c>
      <c r="T55" s="29" t="n">
        <v>0.2638262843817227</v>
      </c>
      <c r="U55" s="29" t="n">
        <v>0.0851062141720863</v>
      </c>
      <c r="V55" s="29" t="n">
        <v>0.02641957214593758</v>
      </c>
      <c r="W55" s="29" t="n">
        <v>0.0486921000305654</v>
      </c>
      <c r="X55" s="29" t="n">
        <v>0.1897269910436177</v>
      </c>
      <c r="Y55" s="29" t="n">
        <v>0.4627194302188324</v>
      </c>
      <c r="Z55" s="29" t="n">
        <v>1.253586901338777</v>
      </c>
      <c r="AA55" s="29" t="n">
        <v>10.97820607626889</v>
      </c>
      <c r="AB55" s="29" t="n">
        <v>1.485539997004276</v>
      </c>
      <c r="AC55" s="29" t="n">
        <v>9.94374320271951</v>
      </c>
      <c r="AD55" s="29" t="n">
        <v>7.721155764636174</v>
      </c>
      <c r="AE55" s="29" t="n">
        <v>21.19554544382743</v>
      </c>
      <c r="AF55" s="29" t="n">
        <v>144.1584428798394</v>
      </c>
      <c r="AG55" s="29" t="n">
        <v>0.756371725855702</v>
      </c>
      <c r="AH55" s="29" t="n">
        <v>0.02813053450491557</v>
      </c>
      <c r="AI55" s="29" t="n">
        <v>0.0344740136680769</v>
      </c>
      <c r="AJ55" s="29" t="n">
        <v>1.86147424323725</v>
      </c>
      <c r="AK55" s="29" t="n">
        <v>159.0478035043386</v>
      </c>
      <c r="AL55" s="29" t="n">
        <v>37.47349573725671</v>
      </c>
      <c r="AM55" s="29" t="n">
        <v>629.8791499329429</v>
      </c>
      <c r="AN55" s="29" t="n">
        <v>164.5740054479116</v>
      </c>
      <c r="AO55" s="29" t="n">
        <v>1908.852994403182</v>
      </c>
      <c r="AP55" s="29" t="n">
        <v>335.3273096417137</v>
      </c>
      <c r="AQ55" s="29" t="n">
        <v>26.30581941051278</v>
      </c>
      <c r="AR55" s="29" t="n">
        <v>38.49082296479953</v>
      </c>
      <c r="AS55" s="29" t="n">
        <v>39.37376946605026</v>
      </c>
      <c r="AT55" s="29" t="n">
        <v>465.3267353603532</v>
      </c>
      <c r="AU55" s="29" t="n">
        <v>154.0127739995266</v>
      </c>
      <c r="AV55" s="29" t="n">
        <v>202.0386275679597</v>
      </c>
      <c r="AW55" s="29" t="n">
        <v>8.116503318905957</v>
      </c>
      <c r="AX55" s="29" t="n">
        <v>0</v>
      </c>
      <c r="AY55" s="29" t="n">
        <v>20.58714062717585</v>
      </c>
      <c r="AZ55" s="29" t="n">
        <v>78.06266020196688</v>
      </c>
      <c r="BA55" s="29" t="n">
        <v>221.8778135952135</v>
      </c>
      <c r="BB55" s="29">
        <f>SUM(C55:BA55)</f>
        <v/>
      </c>
      <c r="BC55" s="29" t="n">
        <v>0</v>
      </c>
      <c r="BD55" s="29" t="n">
        <v>0</v>
      </c>
      <c r="BE55" s="29" t="n">
        <v>3067.899186254891</v>
      </c>
      <c r="BF55" s="29" t="n">
        <v>0</v>
      </c>
      <c r="BG55" s="29">
        <f>SUM(BC55:BF55)</f>
        <v/>
      </c>
      <c r="BH55" s="29">
        <f>BB55+BG55</f>
        <v/>
      </c>
    </row>
    <row r="56">
      <c r="A56" s="27" t="n">
        <v>43</v>
      </c>
      <c r="B56" s="28" t="inlineStr">
        <is>
          <t>Serviços de alojamento e alimentação</t>
        </is>
      </c>
      <c r="C56" s="27" t="n">
        <v>5.499611651081457</v>
      </c>
      <c r="D56" s="27" t="n">
        <v>0.9184903273755435</v>
      </c>
      <c r="E56" s="27" t="n">
        <v>118.2016691703175</v>
      </c>
      <c r="F56" s="27" t="n">
        <v>25.77734906883432</v>
      </c>
      <c r="G56" s="27" t="n">
        <v>15.59474349288299</v>
      </c>
      <c r="H56" s="27" t="n">
        <v>313.6308526136291</v>
      </c>
      <c r="I56" s="27" t="n">
        <v>24.91714533515327</v>
      </c>
      <c r="J56" s="27" t="n">
        <v>25.8904901798473</v>
      </c>
      <c r="K56" s="27" t="n">
        <v>14.83939950352714</v>
      </c>
      <c r="L56" s="27" t="n">
        <v>19.73828664168467</v>
      </c>
      <c r="M56" s="27" t="n">
        <v>5.479611028552406</v>
      </c>
      <c r="N56" s="27" t="n">
        <v>39.6682144120645</v>
      </c>
      <c r="O56" s="27" t="n">
        <v>11.2208279174688</v>
      </c>
      <c r="P56" s="27" t="n">
        <v>15.61941659857354</v>
      </c>
      <c r="Q56" s="27" t="n">
        <v>5.373759011814028</v>
      </c>
      <c r="R56" s="27" t="n">
        <v>88.34859146033007</v>
      </c>
      <c r="S56" s="27" t="n">
        <v>10.29124149806459</v>
      </c>
      <c r="T56" s="27" t="n">
        <v>131.6978528359288</v>
      </c>
      <c r="U56" s="27" t="n">
        <v>38.00830472757887</v>
      </c>
      <c r="V56" s="27" t="n">
        <v>18.54948487293129</v>
      </c>
      <c r="W56" s="27" t="n">
        <v>15.00299931406897</v>
      </c>
      <c r="X56" s="27" t="n">
        <v>51.30990621574327</v>
      </c>
      <c r="Y56" s="27" t="n">
        <v>53.73332131100601</v>
      </c>
      <c r="Z56" s="27" t="n">
        <v>37.58493208476252</v>
      </c>
      <c r="AA56" s="27" t="n">
        <v>128.8974550735425</v>
      </c>
      <c r="AB56" s="27" t="n">
        <v>33.95748207989929</v>
      </c>
      <c r="AC56" s="27" t="n">
        <v>76.7057710260809</v>
      </c>
      <c r="AD56" s="27" t="n">
        <v>197.3624691275888</v>
      </c>
      <c r="AE56" s="27" t="n">
        <v>59.84422209713607</v>
      </c>
      <c r="AF56" s="27" t="n">
        <v>88.36501465259019</v>
      </c>
      <c r="AG56" s="27" t="n">
        <v>167.9117759540219</v>
      </c>
      <c r="AH56" s="27" t="n">
        <v>55.49342628883368</v>
      </c>
      <c r="AI56" s="27" t="n">
        <v>19.09182835310156</v>
      </c>
      <c r="AJ56" s="27" t="n">
        <v>29.04285334233047</v>
      </c>
      <c r="AK56" s="27" t="n">
        <v>134.2290391589231</v>
      </c>
      <c r="AL56" s="27" t="n">
        <v>528.7978936239722</v>
      </c>
      <c r="AM56" s="27" t="n">
        <v>1138.339287543691</v>
      </c>
      <c r="AN56" s="27" t="n">
        <v>574.1994260060061</v>
      </c>
      <c r="AO56" s="27" t="n">
        <v>455.4811575229888</v>
      </c>
      <c r="AP56" s="27" t="n">
        <v>960.9999925562217</v>
      </c>
      <c r="AQ56" s="27" t="n">
        <v>41.83913185273596</v>
      </c>
      <c r="AR56" s="27" t="n">
        <v>27.88769024112559</v>
      </c>
      <c r="AS56" s="27" t="n">
        <v>77.60173060234129</v>
      </c>
      <c r="AT56" s="27" t="n">
        <v>813.7013421459094</v>
      </c>
      <c r="AU56" s="27" t="n">
        <v>212.8112815323075</v>
      </c>
      <c r="AV56" s="27" t="n">
        <v>1016.706874482598</v>
      </c>
      <c r="AW56" s="27" t="n">
        <v>7904.900915942861</v>
      </c>
      <c r="AX56" s="27" t="n">
        <v>0</v>
      </c>
      <c r="AY56" s="27" t="n">
        <v>422.6065870593546</v>
      </c>
      <c r="AZ56" s="27" t="n">
        <v>1265.508970640278</v>
      </c>
      <c r="BA56" s="27" t="n">
        <v>3764.802257978828</v>
      </c>
      <c r="BB56" s="27">
        <f>SUM(C56:BA56)</f>
        <v/>
      </c>
      <c r="BC56" s="27" t="n">
        <v>0</v>
      </c>
      <c r="BD56" s="27" t="n">
        <v>0</v>
      </c>
      <c r="BE56" s="27" t="n">
        <v>45885.89054394123</v>
      </c>
      <c r="BF56" s="27" t="n">
        <v>0</v>
      </c>
      <c r="BG56" s="27">
        <f>SUM(BC56:BF56)</f>
        <v/>
      </c>
      <c r="BH56" s="27">
        <f>BB56+BG56</f>
        <v/>
      </c>
    </row>
    <row r="57">
      <c r="A57" s="29" t="n">
        <v>44</v>
      </c>
      <c r="B57" s="30" t="inlineStr">
        <is>
          <t>Serviços prestados às empresas</t>
        </is>
      </c>
      <c r="C57" s="29" t="n">
        <v>395.2074000390549</v>
      </c>
      <c r="D57" s="29" t="n">
        <v>209.1029192032759</v>
      </c>
      <c r="E57" s="29" t="n">
        <v>5476.607285464321</v>
      </c>
      <c r="F57" s="29" t="n">
        <v>851.1725430991303</v>
      </c>
      <c r="G57" s="29" t="n">
        <v>815.8290669662706</v>
      </c>
      <c r="H57" s="29" t="n">
        <v>10367.75291478509</v>
      </c>
      <c r="I57" s="29" t="n">
        <v>921.8884914670734</v>
      </c>
      <c r="J57" s="29" t="n">
        <v>422.9194070918903</v>
      </c>
      <c r="K57" s="29" t="n">
        <v>387.8920081955785</v>
      </c>
      <c r="L57" s="29" t="n">
        <v>678.279971142523</v>
      </c>
      <c r="M57" s="29" t="n">
        <v>223.5881425105691</v>
      </c>
      <c r="N57" s="29" t="n">
        <v>1295.571458441215</v>
      </c>
      <c r="O57" s="29" t="n">
        <v>183.3343785541045</v>
      </c>
      <c r="P57" s="29" t="n">
        <v>1760.117753037938</v>
      </c>
      <c r="Q57" s="29" t="n">
        <v>237.4477649861678</v>
      </c>
      <c r="R57" s="29" t="n">
        <v>1783.569901923294</v>
      </c>
      <c r="S57" s="29" t="n">
        <v>425.2936063810221</v>
      </c>
      <c r="T57" s="29" t="n">
        <v>2241.414774529909</v>
      </c>
      <c r="U57" s="29" t="n">
        <v>806.9945164636778</v>
      </c>
      <c r="V57" s="29" t="n">
        <v>1162.33527249478</v>
      </c>
      <c r="W57" s="29" t="n">
        <v>539.2345271147154</v>
      </c>
      <c r="X57" s="29" t="n">
        <v>576.9545000404844</v>
      </c>
      <c r="Y57" s="29" t="n">
        <v>1335.887527482739</v>
      </c>
      <c r="Z57" s="29" t="n">
        <v>1329.10792513417</v>
      </c>
      <c r="AA57" s="29" t="n">
        <v>1519.064990083379</v>
      </c>
      <c r="AB57" s="29" t="n">
        <v>586.620346923001</v>
      </c>
      <c r="AC57" s="29" t="n">
        <v>1047.68049142337</v>
      </c>
      <c r="AD57" s="29" t="n">
        <v>2417.282312059571</v>
      </c>
      <c r="AE57" s="29" t="n">
        <v>1687.38133537347</v>
      </c>
      <c r="AF57" s="29" t="n">
        <v>2531.627056557067</v>
      </c>
      <c r="AG57" s="29" t="n">
        <v>3701.059033063792</v>
      </c>
      <c r="AH57" s="29" t="n">
        <v>1308.08739046443</v>
      </c>
      <c r="AI57" s="29" t="n">
        <v>401.401148231553</v>
      </c>
      <c r="AJ57" s="29" t="n">
        <v>458.5127000827305</v>
      </c>
      <c r="AK57" s="29" t="n">
        <v>3960.661111469099</v>
      </c>
      <c r="AL57" s="29" t="n">
        <v>5881.894119706057</v>
      </c>
      <c r="AM57" s="29" t="n">
        <v>19049.23307931294</v>
      </c>
      <c r="AN57" s="29" t="n">
        <v>8540.423848616889</v>
      </c>
      <c r="AO57" s="29" t="n">
        <v>13426.03996001816</v>
      </c>
      <c r="AP57" s="29" t="n">
        <v>11291.14363347877</v>
      </c>
      <c r="AQ57" s="29" t="n">
        <v>997.9181052613576</v>
      </c>
      <c r="AR57" s="29" t="n">
        <v>76.99999573498923</v>
      </c>
      <c r="AS57" s="29" t="n">
        <v>1255.2297870853</v>
      </c>
      <c r="AT57" s="29" t="n">
        <v>13107.52104298201</v>
      </c>
      <c r="AU57" s="29" t="n">
        <v>2953.87905271157</v>
      </c>
      <c r="AV57" s="29" t="n">
        <v>1002.174468907545</v>
      </c>
      <c r="AW57" s="29" t="n">
        <v>4798.576140804468</v>
      </c>
      <c r="AX57" s="29" t="n">
        <v>0</v>
      </c>
      <c r="AY57" s="29" t="n">
        <v>2342.49181113032</v>
      </c>
      <c r="AZ57" s="29" t="n">
        <v>3417.948264620013</v>
      </c>
      <c r="BA57" s="29" t="n">
        <v>11177.22728767492</v>
      </c>
      <c r="BB57" s="29">
        <f>SUM(C57:BA57)</f>
        <v/>
      </c>
      <c r="BC57" s="29" t="n">
        <v>0</v>
      </c>
      <c r="BD57" s="29" t="n">
        <v>0</v>
      </c>
      <c r="BE57" s="29" t="n">
        <v>23079.97289206492</v>
      </c>
      <c r="BF57" s="29" t="n">
        <v>0</v>
      </c>
      <c r="BG57" s="29">
        <f>SUM(BC57:BF57)</f>
        <v/>
      </c>
      <c r="BH57" s="29">
        <f>BB57+BG57</f>
        <v/>
      </c>
    </row>
    <row r="58">
      <c r="A58" s="27" t="n">
        <v>45</v>
      </c>
      <c r="B58" s="28" t="inlineStr">
        <is>
          <t>Educação mercantil</t>
        </is>
      </c>
      <c r="C58" s="27" t="n">
        <v>4.787622040876253</v>
      </c>
      <c r="D58" s="27" t="n">
        <v>2.979703454677558</v>
      </c>
      <c r="E58" s="27" t="n">
        <v>26.14730538688138</v>
      </c>
      <c r="F58" s="27" t="n">
        <v>41.1189215514575</v>
      </c>
      <c r="G58" s="27" t="n">
        <v>11.82117504922657</v>
      </c>
      <c r="H58" s="27" t="n">
        <v>98.02911628111926</v>
      </c>
      <c r="I58" s="27" t="n">
        <v>2.589605249329417</v>
      </c>
      <c r="J58" s="27" t="n">
        <v>1.935037212952027</v>
      </c>
      <c r="K58" s="27" t="n">
        <v>1.11935373342131</v>
      </c>
      <c r="L58" s="27" t="n">
        <v>1.926487097517577</v>
      </c>
      <c r="M58" s="27" t="n">
        <v>0.6215224626885378</v>
      </c>
      <c r="N58" s="27" t="n">
        <v>18.87594736124132</v>
      </c>
      <c r="O58" s="27" t="n">
        <v>0.4968988992977471</v>
      </c>
      <c r="P58" s="27" t="n">
        <v>7.59125260117789</v>
      </c>
      <c r="Q58" s="27" t="n">
        <v>0.6705165361421211</v>
      </c>
      <c r="R58" s="27" t="n">
        <v>9.699131466481701</v>
      </c>
      <c r="S58" s="27" t="n">
        <v>1.197664521352218</v>
      </c>
      <c r="T58" s="27" t="n">
        <v>6.29598135316926</v>
      </c>
      <c r="U58" s="27" t="n">
        <v>9.918954966615608</v>
      </c>
      <c r="V58" s="27" t="n">
        <v>3.260460751618818</v>
      </c>
      <c r="W58" s="27" t="n">
        <v>2.986067474765033</v>
      </c>
      <c r="X58" s="27" t="n">
        <v>1.62562462355794</v>
      </c>
      <c r="Y58" s="27" t="n">
        <v>5.100579759915731</v>
      </c>
      <c r="Z58" s="27" t="n">
        <v>3.720168478013695</v>
      </c>
      <c r="AA58" s="27" t="n">
        <v>113.145688442846</v>
      </c>
      <c r="AB58" s="27" t="n">
        <v>28.04211323246366</v>
      </c>
      <c r="AC58" s="27" t="n">
        <v>26.51238656052269</v>
      </c>
      <c r="AD58" s="27" t="n">
        <v>19.51608486937785</v>
      </c>
      <c r="AE58" s="27" t="n">
        <v>4.729624310573229</v>
      </c>
      <c r="AF58" s="27" t="n">
        <v>7.818576106702176</v>
      </c>
      <c r="AG58" s="27" t="n">
        <v>46.97126564076587</v>
      </c>
      <c r="AH58" s="27" t="n">
        <v>5.649422304639334</v>
      </c>
      <c r="AI58" s="27" t="n">
        <v>1.115621385420862</v>
      </c>
      <c r="AJ58" s="27" t="n">
        <v>1.294828529776279</v>
      </c>
      <c r="AK58" s="27" t="n">
        <v>42.94117098293101</v>
      </c>
      <c r="AL58" s="27" t="n">
        <v>17.52250069325889</v>
      </c>
      <c r="AM58" s="27" t="n">
        <v>247.183063492431</v>
      </c>
      <c r="AN58" s="27" t="n">
        <v>457.5392763209859</v>
      </c>
      <c r="AO58" s="27" t="n">
        <v>61.39927953031363</v>
      </c>
      <c r="AP58" s="27" t="n">
        <v>498.8880076150731</v>
      </c>
      <c r="AQ58" s="27" t="n">
        <v>2.894124519426241</v>
      </c>
      <c r="AR58" s="27" t="n">
        <v>134.9560156141074</v>
      </c>
      <c r="AS58" s="27" t="n">
        <v>4.324827586747741</v>
      </c>
      <c r="AT58" s="27" t="n">
        <v>1483.715172062303</v>
      </c>
      <c r="AU58" s="27" t="n">
        <v>8.486205643436008</v>
      </c>
      <c r="AV58" s="27" t="n">
        <v>2.898636163404403</v>
      </c>
      <c r="AW58" s="27" t="n">
        <v>69.3686597682492</v>
      </c>
      <c r="AX58" s="27" t="n">
        <v>0</v>
      </c>
      <c r="AY58" s="27" t="n">
        <v>438.7177143239544</v>
      </c>
      <c r="AZ58" s="27" t="n">
        <v>185.7731415665747</v>
      </c>
      <c r="BA58" s="27" t="n">
        <v>231.3091634412378</v>
      </c>
      <c r="BB58" s="27">
        <f>SUM(C58:BA58)</f>
        <v/>
      </c>
      <c r="BC58" s="27" t="n">
        <v>0</v>
      </c>
      <c r="BD58" s="27" t="n">
        <v>0</v>
      </c>
      <c r="BE58" s="27" t="n">
        <v>34348.26212040742</v>
      </c>
      <c r="BF58" s="27" t="n">
        <v>0</v>
      </c>
      <c r="BG58" s="27">
        <f>SUM(BC58:BF58)</f>
        <v/>
      </c>
      <c r="BH58" s="27">
        <f>BB58+BG58</f>
        <v/>
      </c>
    </row>
    <row r="59">
      <c r="A59" s="29" t="n">
        <v>46</v>
      </c>
      <c r="B59" s="30" t="inlineStr">
        <is>
          <t>Saúde mercantil</t>
        </is>
      </c>
      <c r="C59" s="29" t="n">
        <v>0.3446271853545095</v>
      </c>
      <c r="D59" s="29" t="n">
        <v>0.1024787073724768</v>
      </c>
      <c r="E59" s="29" t="n">
        <v>3.369563182103315</v>
      </c>
      <c r="F59" s="29" t="n">
        <v>1.055191179238501</v>
      </c>
      <c r="G59" s="29" t="n">
        <v>0.5815735322810187</v>
      </c>
      <c r="H59" s="29" t="n">
        <v>17.73342717785404</v>
      </c>
      <c r="I59" s="29" t="n">
        <v>0.7587588091042492</v>
      </c>
      <c r="J59" s="29" t="n">
        <v>2.948137022533103</v>
      </c>
      <c r="K59" s="29" t="n">
        <v>3.075855264539667</v>
      </c>
      <c r="L59" s="29" t="n">
        <v>2.208303374406</v>
      </c>
      <c r="M59" s="29" t="n">
        <v>0.6414438899594379</v>
      </c>
      <c r="N59" s="29" t="n">
        <v>2.920312097297165</v>
      </c>
      <c r="O59" s="29" t="n">
        <v>0.3970191437073</v>
      </c>
      <c r="P59" s="29" t="n">
        <v>1.324951132147927</v>
      </c>
      <c r="Q59" s="29" t="n">
        <v>0.8399316640711081</v>
      </c>
      <c r="R59" s="29" t="n">
        <v>1.388209854877828</v>
      </c>
      <c r="S59" s="29" t="n">
        <v>0.9869882076972996</v>
      </c>
      <c r="T59" s="29" t="n">
        <v>2.275929962368652</v>
      </c>
      <c r="U59" s="29" t="n">
        <v>0.6354404071663069</v>
      </c>
      <c r="V59" s="29" t="n">
        <v>0.857946012046671</v>
      </c>
      <c r="W59" s="29" t="n">
        <v>0.3769280931144741</v>
      </c>
      <c r="X59" s="29" t="n">
        <v>1.208793079215408</v>
      </c>
      <c r="Y59" s="29" t="n">
        <v>4.019270279428317</v>
      </c>
      <c r="Z59" s="29" t="n">
        <v>2.612294603660725</v>
      </c>
      <c r="AA59" s="29" t="n">
        <v>4.511413704822623</v>
      </c>
      <c r="AB59" s="29" t="n">
        <v>0.8515312252217297</v>
      </c>
      <c r="AC59" s="29" t="n">
        <v>2.598969151761549</v>
      </c>
      <c r="AD59" s="29" t="n">
        <v>6.999628691066736</v>
      </c>
      <c r="AE59" s="29" t="n">
        <v>2.065156765637004</v>
      </c>
      <c r="AF59" s="29" t="n">
        <v>3.129853199015592</v>
      </c>
      <c r="AG59" s="29" t="n">
        <v>1.37158626977051</v>
      </c>
      <c r="AH59" s="29" t="n">
        <v>1.28570626185416</v>
      </c>
      <c r="AI59" s="29" t="n">
        <v>0.4055208576632582</v>
      </c>
      <c r="AJ59" s="29" t="n">
        <v>1.425950325079448</v>
      </c>
      <c r="AK59" s="29" t="n">
        <v>5.808163104838267</v>
      </c>
      <c r="AL59" s="29" t="n">
        <v>6.69527538160046</v>
      </c>
      <c r="AM59" s="29" t="n">
        <v>124.2480492059644</v>
      </c>
      <c r="AN59" s="29" t="n">
        <v>21.65658366845179</v>
      </c>
      <c r="AO59" s="29" t="n">
        <v>27.43880014235448</v>
      </c>
      <c r="AP59" s="29" t="n">
        <v>18.89123793198785</v>
      </c>
      <c r="AQ59" s="29" t="n">
        <v>7.558146374096956</v>
      </c>
      <c r="AR59" s="29" t="n">
        <v>1.359975743259247</v>
      </c>
      <c r="AS59" s="29" t="n">
        <v>18.3586305060063</v>
      </c>
      <c r="AT59" s="29" t="n">
        <v>33.97099474618528</v>
      </c>
      <c r="AU59" s="29" t="n">
        <v>16.25390282328988</v>
      </c>
      <c r="AV59" s="29" t="n">
        <v>6902.810458107628</v>
      </c>
      <c r="AW59" s="29" t="n">
        <v>27.38459737555641</v>
      </c>
      <c r="AX59" s="29" t="n">
        <v>0</v>
      </c>
      <c r="AY59" s="29" t="n">
        <v>3.720982511825275</v>
      </c>
      <c r="AZ59" s="29" t="n">
        <v>6.631461026335187</v>
      </c>
      <c r="BA59" s="29" t="n">
        <v>34.04712299575519</v>
      </c>
      <c r="BB59" s="29">
        <f>SUM(C59:BA59)</f>
        <v/>
      </c>
      <c r="BC59" s="29" t="n">
        <v>0</v>
      </c>
      <c r="BD59" s="29" t="n">
        <v>0</v>
      </c>
      <c r="BE59" s="29" t="n">
        <v>60036.43284652459</v>
      </c>
      <c r="BF59" s="29" t="n">
        <v>0</v>
      </c>
      <c r="BG59" s="29">
        <f>SUM(BC59:BF59)</f>
        <v/>
      </c>
      <c r="BH59" s="29">
        <f>BB59+BG59</f>
        <v/>
      </c>
    </row>
    <row r="60">
      <c r="A60" s="27" t="n">
        <v>47</v>
      </c>
      <c r="B60" s="28" t="inlineStr">
        <is>
          <t>Serviços prestados às famílias e associativas</t>
        </is>
      </c>
      <c r="C60" s="27" t="n">
        <v>78.14923366853013</v>
      </c>
      <c r="D60" s="27" t="n">
        <v>29.4798962293992</v>
      </c>
      <c r="E60" s="27" t="n">
        <v>371.9664679212297</v>
      </c>
      <c r="F60" s="27" t="n">
        <v>166.0607590532147</v>
      </c>
      <c r="G60" s="27" t="n">
        <v>79.9301583755974</v>
      </c>
      <c r="H60" s="27" t="n">
        <v>1026.46773548265</v>
      </c>
      <c r="I60" s="27" t="n">
        <v>65.45509148446102</v>
      </c>
      <c r="J60" s="27" t="n">
        <v>97.54949508848014</v>
      </c>
      <c r="K60" s="27" t="n">
        <v>86.41874294162017</v>
      </c>
      <c r="L60" s="27" t="n">
        <v>86.55197813805752</v>
      </c>
      <c r="M60" s="27" t="n">
        <v>59.56090600691917</v>
      </c>
      <c r="N60" s="27" t="n">
        <v>328.2690512028349</v>
      </c>
      <c r="O60" s="27" t="n">
        <v>43.79289040787494</v>
      </c>
      <c r="P60" s="27" t="n">
        <v>162.5619748540941</v>
      </c>
      <c r="Q60" s="27" t="n">
        <v>131.3512149551249</v>
      </c>
      <c r="R60" s="27" t="n">
        <v>193.9227005809245</v>
      </c>
      <c r="S60" s="27" t="n">
        <v>32.14630291072801</v>
      </c>
      <c r="T60" s="27" t="n">
        <v>226.3634308330198</v>
      </c>
      <c r="U60" s="27" t="n">
        <v>107.4879492155993</v>
      </c>
      <c r="V60" s="27" t="n">
        <v>104.5409146636717</v>
      </c>
      <c r="W60" s="27" t="n">
        <v>37.67605318971707</v>
      </c>
      <c r="X60" s="27" t="n">
        <v>210.928616669577</v>
      </c>
      <c r="Y60" s="27" t="n">
        <v>376.2462241855369</v>
      </c>
      <c r="Z60" s="27" t="n">
        <v>182.2141864216537</v>
      </c>
      <c r="AA60" s="27" t="n">
        <v>251.7092946906821</v>
      </c>
      <c r="AB60" s="27" t="n">
        <v>76.6805493873286</v>
      </c>
      <c r="AC60" s="27" t="n">
        <v>197.4569164847386</v>
      </c>
      <c r="AD60" s="27" t="n">
        <v>354.6344008759804</v>
      </c>
      <c r="AE60" s="27" t="n">
        <v>192.8022086231502</v>
      </c>
      <c r="AF60" s="27" t="n">
        <v>245.5054336333061</v>
      </c>
      <c r="AG60" s="27" t="n">
        <v>568.909236389634</v>
      </c>
      <c r="AH60" s="27" t="n">
        <v>224.2481028076582</v>
      </c>
      <c r="AI60" s="27" t="n">
        <v>75.46957143984004</v>
      </c>
      <c r="AJ60" s="27" t="n">
        <v>113.971378806985</v>
      </c>
      <c r="AK60" s="27" t="n">
        <v>495.2259779590312</v>
      </c>
      <c r="AL60" s="27" t="n">
        <v>655.0540175477657</v>
      </c>
      <c r="AM60" s="27" t="n">
        <v>3014.601814722053</v>
      </c>
      <c r="AN60" s="27" t="n">
        <v>1733.260703267201</v>
      </c>
      <c r="AO60" s="27" t="n">
        <v>3031.795937512871</v>
      </c>
      <c r="AP60" s="27" t="n">
        <v>1416.703567097386</v>
      </c>
      <c r="AQ60" s="27" t="n">
        <v>345.5821683388643</v>
      </c>
      <c r="AR60" s="27" t="n">
        <v>30.53699457836884</v>
      </c>
      <c r="AS60" s="27" t="n">
        <v>520.2189933955578</v>
      </c>
      <c r="AT60" s="27" t="n">
        <v>1527.10548428172</v>
      </c>
      <c r="AU60" s="27" t="n">
        <v>710.2434804347828</v>
      </c>
      <c r="AV60" s="27" t="n">
        <v>1412.864173369889</v>
      </c>
      <c r="AW60" s="27" t="n">
        <v>2768.92769615737</v>
      </c>
      <c r="AX60" s="27" t="n">
        <v>0</v>
      </c>
      <c r="AY60" s="27" t="n">
        <v>636.3029345355693</v>
      </c>
      <c r="AZ60" s="27" t="n">
        <v>853.339095624655</v>
      </c>
      <c r="BA60" s="27" t="n">
        <v>1609.136521995317</v>
      </c>
      <c r="BB60" s="27">
        <f>SUM(C60:BA60)</f>
        <v/>
      </c>
      <c r="BC60" s="27" t="n">
        <v>0</v>
      </c>
      <c r="BD60" s="27" t="n">
        <v>0</v>
      </c>
      <c r="BE60" s="27" t="n">
        <v>71552.40089026064</v>
      </c>
      <c r="BF60" s="27" t="n">
        <v>0</v>
      </c>
      <c r="BG60" s="27">
        <f>SUM(BC60:BF60)</f>
        <v/>
      </c>
      <c r="BH60" s="27">
        <f>BB60+BG60</f>
        <v/>
      </c>
    </row>
    <row r="61">
      <c r="A61" s="29" t="n">
        <v>48</v>
      </c>
      <c r="B61" s="30" t="inlineStr">
        <is>
          <t>Serviços domésticos</t>
        </is>
      </c>
      <c r="C61" s="29" t="n">
        <v>0</v>
      </c>
      <c r="D61" s="29" t="n">
        <v>0</v>
      </c>
      <c r="E61" s="29" t="n">
        <v>0</v>
      </c>
      <c r="F61" s="29" t="n">
        <v>0</v>
      </c>
      <c r="G61" s="29" t="n">
        <v>0</v>
      </c>
      <c r="H61" s="29" t="n">
        <v>0</v>
      </c>
      <c r="I61" s="29" t="n">
        <v>0</v>
      </c>
      <c r="J61" s="29" t="n">
        <v>0</v>
      </c>
      <c r="K61" s="29" t="n">
        <v>0</v>
      </c>
      <c r="L61" s="29" t="n">
        <v>0</v>
      </c>
      <c r="M61" s="29" t="n">
        <v>0</v>
      </c>
      <c r="N61" s="29" t="n">
        <v>0</v>
      </c>
      <c r="O61" s="29" t="n">
        <v>0</v>
      </c>
      <c r="P61" s="29" t="n">
        <v>0</v>
      </c>
      <c r="Q61" s="29" t="n">
        <v>0</v>
      </c>
      <c r="R61" s="29" t="n">
        <v>0</v>
      </c>
      <c r="S61" s="29" t="n">
        <v>0</v>
      </c>
      <c r="T61" s="29" t="n">
        <v>0</v>
      </c>
      <c r="U61" s="29" t="n">
        <v>0</v>
      </c>
      <c r="V61" s="29" t="n">
        <v>0</v>
      </c>
      <c r="W61" s="29" t="n">
        <v>0</v>
      </c>
      <c r="X61" s="29" t="n">
        <v>0</v>
      </c>
      <c r="Y61" s="29" t="n">
        <v>0</v>
      </c>
      <c r="Z61" s="29" t="n">
        <v>0</v>
      </c>
      <c r="AA61" s="29" t="n">
        <v>0</v>
      </c>
      <c r="AB61" s="29" t="n">
        <v>0</v>
      </c>
      <c r="AC61" s="29" t="n">
        <v>0</v>
      </c>
      <c r="AD61" s="29" t="n">
        <v>0</v>
      </c>
      <c r="AE61" s="29" t="n">
        <v>0</v>
      </c>
      <c r="AF61" s="29" t="n">
        <v>0</v>
      </c>
      <c r="AG61" s="29" t="n">
        <v>0</v>
      </c>
      <c r="AH61" s="29" t="n">
        <v>0</v>
      </c>
      <c r="AI61" s="29" t="n">
        <v>0</v>
      </c>
      <c r="AJ61" s="29" t="n">
        <v>0</v>
      </c>
      <c r="AK61" s="29" t="n">
        <v>0</v>
      </c>
      <c r="AL61" s="29" t="n">
        <v>0</v>
      </c>
      <c r="AM61" s="29" t="n">
        <v>0</v>
      </c>
      <c r="AN61" s="29" t="n">
        <v>0</v>
      </c>
      <c r="AO61" s="29" t="n">
        <v>0</v>
      </c>
      <c r="AP61" s="29" t="n">
        <v>0</v>
      </c>
      <c r="AQ61" s="29" t="n">
        <v>0</v>
      </c>
      <c r="AR61" s="29" t="n">
        <v>0</v>
      </c>
      <c r="AS61" s="29" t="n">
        <v>0</v>
      </c>
      <c r="AT61" s="29" t="n">
        <v>0</v>
      </c>
      <c r="AU61" s="29" t="n">
        <v>0</v>
      </c>
      <c r="AV61" s="29" t="n">
        <v>0</v>
      </c>
      <c r="AW61" s="29" t="n">
        <v>0</v>
      </c>
      <c r="AX61" s="29" t="n">
        <v>0</v>
      </c>
      <c r="AY61" s="29" t="n">
        <v>0</v>
      </c>
      <c r="AZ61" s="29" t="n">
        <v>0</v>
      </c>
      <c r="BA61" s="29" t="n">
        <v>0</v>
      </c>
      <c r="BB61" s="29">
        <f>SUM(C61:BA61)</f>
        <v/>
      </c>
      <c r="BC61" s="29" t="n">
        <v>0</v>
      </c>
      <c r="BD61" s="29" t="n">
        <v>0</v>
      </c>
      <c r="BE61" s="29" t="n">
        <v>19759.4869092146</v>
      </c>
      <c r="BF61" s="29" t="n">
        <v>0</v>
      </c>
      <c r="BG61" s="29">
        <f>SUM(BC61:BF61)</f>
        <v/>
      </c>
      <c r="BH61" s="29">
        <f>BB61+BG61</f>
        <v/>
      </c>
    </row>
    <row r="62">
      <c r="A62" s="27" t="n">
        <v>49</v>
      </c>
      <c r="B62" s="28" t="inlineStr">
        <is>
          <t>Educação pública</t>
        </is>
      </c>
      <c r="C62" s="27" t="n">
        <v>16.12612238130456</v>
      </c>
      <c r="D62" s="27" t="n">
        <v>9.250576297725772</v>
      </c>
      <c r="E62" s="27" t="n">
        <v>220.6309297713075</v>
      </c>
      <c r="F62" s="27" t="n">
        <v>33.791129342538</v>
      </c>
      <c r="G62" s="27" t="n">
        <v>32.56388656793077</v>
      </c>
      <c r="H62" s="27" t="n">
        <v>423.1310803683159</v>
      </c>
      <c r="I62" s="27" t="n">
        <v>37.39388085786732</v>
      </c>
      <c r="J62" s="27" t="n">
        <v>17.02430862562905</v>
      </c>
      <c r="K62" s="27" t="n">
        <v>15.52058268385058</v>
      </c>
      <c r="L62" s="27" t="n">
        <v>27.44609628727384</v>
      </c>
      <c r="M62" s="27" t="n">
        <v>8.879896478807701</v>
      </c>
      <c r="N62" s="27" t="n">
        <v>52.25191055648006</v>
      </c>
      <c r="O62" s="27" t="n">
        <v>7.675778096310014</v>
      </c>
      <c r="P62" s="27" t="n">
        <v>71.27852533916843</v>
      </c>
      <c r="Q62" s="27" t="n">
        <v>9.546809969170873</v>
      </c>
      <c r="R62" s="27" t="n">
        <v>72.1877778270381</v>
      </c>
      <c r="S62" s="27" t="n">
        <v>17.15768252585335</v>
      </c>
      <c r="T62" s="27" t="n">
        <v>90.82397639874415</v>
      </c>
      <c r="U62" s="27" t="n">
        <v>32.77254568759496</v>
      </c>
      <c r="V62" s="27" t="n">
        <v>47.09582519547644</v>
      </c>
      <c r="W62" s="27" t="n">
        <v>21.83758826358459</v>
      </c>
      <c r="X62" s="27" t="n">
        <v>23.35121824265483</v>
      </c>
      <c r="Y62" s="27" t="n">
        <v>54.00918839678267</v>
      </c>
      <c r="Z62" s="27" t="n">
        <v>53.38937511931729</v>
      </c>
      <c r="AA62" s="27" t="n">
        <v>59.95394615812289</v>
      </c>
      <c r="AB62" s="27" t="n">
        <v>23.56311771842396</v>
      </c>
      <c r="AC62" s="27" t="n">
        <v>42.48783105137213</v>
      </c>
      <c r="AD62" s="27" t="n">
        <v>89.41871211856466</v>
      </c>
      <c r="AE62" s="27" t="n">
        <v>68.15345868238627</v>
      </c>
      <c r="AF62" s="27" t="n">
        <v>102.6943198682359</v>
      </c>
      <c r="AG62" s="27" t="n">
        <v>149.9344143773621</v>
      </c>
      <c r="AH62" s="27" t="n">
        <v>52.83471783954307</v>
      </c>
      <c r="AI62" s="27" t="n">
        <v>16.09422027896877</v>
      </c>
      <c r="AJ62" s="27" t="n">
        <v>18.46223131849831</v>
      </c>
      <c r="AK62" s="27" t="n">
        <v>160.5232915408245</v>
      </c>
      <c r="AL62" s="27" t="n">
        <v>236.9523943683108</v>
      </c>
      <c r="AM62" s="27" t="n">
        <v>770.4310631897669</v>
      </c>
      <c r="AN62" s="27" t="n">
        <v>348.2702998811263</v>
      </c>
      <c r="AO62" s="27" t="n">
        <v>545.5286539001569</v>
      </c>
      <c r="AP62" s="27" t="n">
        <v>461.4873200992014</v>
      </c>
      <c r="AQ62" s="27" t="n">
        <v>40.25706375268792</v>
      </c>
      <c r="AR62" s="27" t="n">
        <v>4.082949683253732</v>
      </c>
      <c r="AS62" s="27" t="n">
        <v>50.18780810219869</v>
      </c>
      <c r="AT62" s="27" t="n">
        <v>542.5908829265024</v>
      </c>
      <c r="AU62" s="27" t="n">
        <v>119.253689190087</v>
      </c>
      <c r="AV62" s="27" t="n">
        <v>44.91754768742</v>
      </c>
      <c r="AW62" s="27" t="n">
        <v>194.832470624417</v>
      </c>
      <c r="AX62" s="27" t="n">
        <v>0</v>
      </c>
      <c r="AY62" s="27" t="n">
        <v>98.30090290779667</v>
      </c>
      <c r="AZ62" s="27" t="n">
        <v>139.9598913647866</v>
      </c>
      <c r="BA62" s="27" t="n">
        <v>455.2040937194593</v>
      </c>
      <c r="BB62" s="27">
        <f>SUM(C62:BA62)</f>
        <v/>
      </c>
      <c r="BC62" s="27" t="n">
        <v>0</v>
      </c>
      <c r="BD62" s="27" t="n">
        <v>0</v>
      </c>
      <c r="BE62" s="27" t="n">
        <v>64348.49904042132</v>
      </c>
      <c r="BF62" s="27" t="n">
        <v>0</v>
      </c>
      <c r="BG62" s="27">
        <f>SUM(BC62:BF62)</f>
        <v/>
      </c>
      <c r="BH62" s="27">
        <f>BB62+BG62</f>
        <v/>
      </c>
    </row>
    <row r="63">
      <c r="A63" s="29" t="n">
        <v>50</v>
      </c>
      <c r="B63" s="30" t="inlineStr">
        <is>
          <t>Saúde pública</t>
        </is>
      </c>
      <c r="C63" s="29" t="n">
        <v>1.144508654575391</v>
      </c>
      <c r="D63" s="29" t="n">
        <v>0.9171515831999774</v>
      </c>
      <c r="E63" s="29" t="n">
        <v>15.20368294233376</v>
      </c>
      <c r="F63" s="29" t="n">
        <v>2.306796512545818</v>
      </c>
      <c r="G63" s="29" t="n">
        <v>2.237165237640609</v>
      </c>
      <c r="H63" s="29" t="n">
        <v>28.92186258343209</v>
      </c>
      <c r="I63" s="29" t="n">
        <v>2.575336521792051</v>
      </c>
      <c r="J63" s="29" t="n">
        <v>1.16511580416813</v>
      </c>
      <c r="K63" s="29" t="n">
        <v>1.061685454000293</v>
      </c>
      <c r="L63" s="29" t="n">
        <v>1.888393420351103</v>
      </c>
      <c r="M63" s="29" t="n">
        <v>0.6103177926135877</v>
      </c>
      <c r="N63" s="29" t="n">
        <v>3.582354475449574</v>
      </c>
      <c r="O63" s="29" t="n">
        <v>0.4891949105543305</v>
      </c>
      <c r="P63" s="29" t="n">
        <v>4.906915086803831</v>
      </c>
      <c r="Q63" s="29" t="n">
        <v>0.6549042036303266</v>
      </c>
      <c r="R63" s="29" t="n">
        <v>4.96728218659085</v>
      </c>
      <c r="S63" s="29" t="n">
        <v>1.180772130792417</v>
      </c>
      <c r="T63" s="29" t="n">
        <v>6.584151236706694</v>
      </c>
      <c r="U63" s="29" t="n">
        <v>2.273954809847178</v>
      </c>
      <c r="V63" s="29" t="n">
        <v>3.242185455665581</v>
      </c>
      <c r="W63" s="29" t="n">
        <v>1.50322776006459</v>
      </c>
      <c r="X63" s="29" t="n">
        <v>1.605488735938289</v>
      </c>
      <c r="Y63" s="29" t="n">
        <v>3.712660446076594</v>
      </c>
      <c r="Z63" s="29" t="n">
        <v>3.673990248573701</v>
      </c>
      <c r="AA63" s="29" t="n">
        <v>4.063560252165284</v>
      </c>
      <c r="AB63" s="29" t="n">
        <v>1.607987449953125</v>
      </c>
      <c r="AC63" s="29" t="n">
        <v>2.910251647382378</v>
      </c>
      <c r="AD63" s="29" t="n">
        <v>6.147429895948649</v>
      </c>
      <c r="AE63" s="29" t="n">
        <v>4.692405621271835</v>
      </c>
      <c r="AF63" s="29" t="n">
        <v>7.064942682478949</v>
      </c>
      <c r="AG63" s="29" t="n">
        <v>10.30651711168714</v>
      </c>
      <c r="AH63" s="29" t="n">
        <v>3.633371098535575</v>
      </c>
      <c r="AI63" s="29" t="n">
        <v>1.107711706813272</v>
      </c>
      <c r="AJ63" s="29" t="n">
        <v>1.267938444440227</v>
      </c>
      <c r="AK63" s="29" t="n">
        <v>11.00962265748871</v>
      </c>
      <c r="AL63" s="29" t="n">
        <v>16.29924936627418</v>
      </c>
      <c r="AM63" s="29" t="n">
        <v>52.46562519465915</v>
      </c>
      <c r="AN63" s="29" t="n">
        <v>23.71117795655259</v>
      </c>
      <c r="AO63" s="29" t="n">
        <v>37.36216857932487</v>
      </c>
      <c r="AP63" s="29" t="n">
        <v>31.44433816773237</v>
      </c>
      <c r="AQ63" s="29" t="n">
        <v>2.740575935745017</v>
      </c>
      <c r="AR63" s="29" t="n">
        <v>0.205775086817566</v>
      </c>
      <c r="AS63" s="29" t="n">
        <v>3.389577239712576</v>
      </c>
      <c r="AT63" s="29" t="n">
        <v>36.40389420160395</v>
      </c>
      <c r="AU63" s="29" t="n">
        <v>8.169910309748367</v>
      </c>
      <c r="AV63" s="29" t="n">
        <v>184.3815196783181</v>
      </c>
      <c r="AW63" s="29" t="n">
        <v>13.2635957726215</v>
      </c>
      <c r="AX63" s="29" t="n">
        <v>0</v>
      </c>
      <c r="AY63" s="29" t="n">
        <v>6.597911981670292</v>
      </c>
      <c r="AZ63" s="29" t="n">
        <v>9.871741377474539</v>
      </c>
      <c r="BA63" s="29" t="n">
        <v>31.77936326796805</v>
      </c>
      <c r="BB63" s="29">
        <f>SUM(C63:BA63)</f>
        <v/>
      </c>
      <c r="BC63" s="29" t="n">
        <v>0</v>
      </c>
      <c r="BD63" s="29" t="n">
        <v>0</v>
      </c>
      <c r="BE63" s="29" t="n">
        <v>48404.9065604604</v>
      </c>
      <c r="BF63" s="29" t="n">
        <v>0</v>
      </c>
      <c r="BG63" s="29">
        <f>SUM(BC63:BF63)</f>
        <v/>
      </c>
      <c r="BH63" s="29">
        <f>BB63+BG63</f>
        <v/>
      </c>
    </row>
    <row r="64">
      <c r="A64" s="27" t="n">
        <v>51</v>
      </c>
      <c r="B64" s="28" t="inlineStr">
        <is>
          <t>Administração pública e seguridade social</t>
        </is>
      </c>
      <c r="C64" s="27" t="n">
        <v>292.3627817195243</v>
      </c>
      <c r="D64" s="27" t="n">
        <v>102.1029210145347</v>
      </c>
      <c r="E64" s="27" t="n">
        <v>263.0936846228254</v>
      </c>
      <c r="F64" s="27" t="n">
        <v>54.95224134422481</v>
      </c>
      <c r="G64" s="27" t="n">
        <v>46.62077047852554</v>
      </c>
      <c r="H64" s="27" t="n">
        <v>1046.39153416333</v>
      </c>
      <c r="I64" s="27" t="n">
        <v>36.04895175656401</v>
      </c>
      <c r="J64" s="27" t="n">
        <v>38.71497106104913</v>
      </c>
      <c r="K64" s="27" t="n">
        <v>32.49664970640141</v>
      </c>
      <c r="L64" s="27" t="n">
        <v>35.53026938784392</v>
      </c>
      <c r="M64" s="27" t="n">
        <v>31.17694287570949</v>
      </c>
      <c r="N64" s="27" t="n">
        <v>108.6921818689721</v>
      </c>
      <c r="O64" s="27" t="n">
        <v>105.0340824873106</v>
      </c>
      <c r="P64" s="27" t="n">
        <v>78.32114089764566</v>
      </c>
      <c r="Q64" s="27" t="n">
        <v>15.70914922386293</v>
      </c>
      <c r="R64" s="27" t="n">
        <v>309.3648362999837</v>
      </c>
      <c r="S64" s="27" t="n">
        <v>45.39919969774237</v>
      </c>
      <c r="T64" s="27" t="n">
        <v>103.7700842160026</v>
      </c>
      <c r="U64" s="27" t="n">
        <v>38.05110767502129</v>
      </c>
      <c r="V64" s="27" t="n">
        <v>59.45933589757087</v>
      </c>
      <c r="W64" s="27" t="n">
        <v>35.62117417933781</v>
      </c>
      <c r="X64" s="27" t="n">
        <v>40.72339907517728</v>
      </c>
      <c r="Y64" s="27" t="n">
        <v>84.0781046653851</v>
      </c>
      <c r="Z64" s="27" t="n">
        <v>98.7918713840025</v>
      </c>
      <c r="AA64" s="27" t="n">
        <v>162.5499755107691</v>
      </c>
      <c r="AB64" s="27" t="n">
        <v>55.54839534619255</v>
      </c>
      <c r="AC64" s="27" t="n">
        <v>64.94673202487235</v>
      </c>
      <c r="AD64" s="27" t="n">
        <v>107.0170216068172</v>
      </c>
      <c r="AE64" s="27" t="n">
        <v>79.14099911236997</v>
      </c>
      <c r="AF64" s="27" t="n">
        <v>119.0760754009122</v>
      </c>
      <c r="AG64" s="27" t="n">
        <v>171.5741297819677</v>
      </c>
      <c r="AH64" s="27" t="n">
        <v>75.40744726818404</v>
      </c>
      <c r="AI64" s="27" t="n">
        <v>21.62056087940168</v>
      </c>
      <c r="AJ64" s="27" t="n">
        <v>27.98748947165154</v>
      </c>
      <c r="AK64" s="27" t="n">
        <v>458.6031111278779</v>
      </c>
      <c r="AL64" s="27" t="n">
        <v>251.8830793552672</v>
      </c>
      <c r="AM64" s="27" t="n">
        <v>1324.069178578125</v>
      </c>
      <c r="AN64" s="27" t="n">
        <v>562.710291057261</v>
      </c>
      <c r="AO64" s="27" t="n">
        <v>865.7645335110002</v>
      </c>
      <c r="AP64" s="27" t="n">
        <v>578.1909337672814</v>
      </c>
      <c r="AQ64" s="27" t="n">
        <v>74.07662584878626</v>
      </c>
      <c r="AR64" s="27" t="n">
        <v>9.402319122477113</v>
      </c>
      <c r="AS64" s="27" t="n">
        <v>95.18035625237573</v>
      </c>
      <c r="AT64" s="27" t="n">
        <v>879.4554481500293</v>
      </c>
      <c r="AU64" s="27" t="n">
        <v>168.9101008572715</v>
      </c>
      <c r="AV64" s="27" t="n">
        <v>115.6385826116475</v>
      </c>
      <c r="AW64" s="27" t="n">
        <v>505.3750119431126</v>
      </c>
      <c r="AX64" s="27" t="n">
        <v>0</v>
      </c>
      <c r="AY64" s="27" t="n">
        <v>133.9370979074642</v>
      </c>
      <c r="AZ64" s="27" t="n">
        <v>164.33758558917</v>
      </c>
      <c r="BA64" s="27" t="n">
        <v>614.9270331977374</v>
      </c>
      <c r="BB64" s="27">
        <f>SUM(C64:BA64)</f>
        <v/>
      </c>
      <c r="BC64" s="27" t="n">
        <v>0</v>
      </c>
      <c r="BD64" s="27" t="n">
        <v>0</v>
      </c>
      <c r="BE64" s="27" t="n">
        <v>236241.525059027</v>
      </c>
      <c r="BF64" s="27" t="n">
        <v>0</v>
      </c>
      <c r="BG64" s="27">
        <f>SUM(BC64:BF64)</f>
        <v/>
      </c>
      <c r="BH64" s="27">
        <f>BB64+BG64</f>
        <v/>
      </c>
    </row>
    <row r="65">
      <c r="B65" s="31" t="inlineStr">
        <is>
          <t>Total consumo intermedio</t>
        </is>
      </c>
      <c r="C65" s="32">
        <f>SUM(C14:C64)</f>
        <v/>
      </c>
      <c r="D65" s="32">
        <f>SUM(D14:D64)</f>
        <v/>
      </c>
      <c r="E65" s="32">
        <f>SUM(E14:E64)</f>
        <v/>
      </c>
      <c r="F65" s="32">
        <f>SUM(F14:F64)</f>
        <v/>
      </c>
      <c r="G65" s="32">
        <f>SUM(G14:G64)</f>
        <v/>
      </c>
      <c r="H65" s="32">
        <f>SUM(H14:H64)</f>
        <v/>
      </c>
      <c r="I65" s="32">
        <f>SUM(I14:I64)</f>
        <v/>
      </c>
      <c r="J65" s="32">
        <f>SUM(J14:J64)</f>
        <v/>
      </c>
      <c r="K65" s="32">
        <f>SUM(K14:K64)</f>
        <v/>
      </c>
      <c r="L65" s="32">
        <f>SUM(L14:L64)</f>
        <v/>
      </c>
      <c r="M65" s="32">
        <f>SUM(M14:M64)</f>
        <v/>
      </c>
      <c r="N65" s="32">
        <f>SUM(N14:N64)</f>
        <v/>
      </c>
      <c r="O65" s="32">
        <f>SUM(O14:O64)</f>
        <v/>
      </c>
      <c r="P65" s="32">
        <f>SUM(P14:P64)</f>
        <v/>
      </c>
      <c r="Q65" s="32">
        <f>SUM(Q14:Q64)</f>
        <v/>
      </c>
      <c r="R65" s="32">
        <f>SUM(R14:R64)</f>
        <v/>
      </c>
      <c r="S65" s="32">
        <f>SUM(S14:S64)</f>
        <v/>
      </c>
      <c r="T65" s="32">
        <f>SUM(T14:T64)</f>
        <v/>
      </c>
      <c r="U65" s="32">
        <f>SUM(U14:U64)</f>
        <v/>
      </c>
      <c r="V65" s="32">
        <f>SUM(V14:V64)</f>
        <v/>
      </c>
      <c r="W65" s="32">
        <f>SUM(W14:W64)</f>
        <v/>
      </c>
      <c r="X65" s="32">
        <f>SUM(X14:X64)</f>
        <v/>
      </c>
      <c r="Y65" s="32">
        <f>SUM(Y14:Y64)</f>
        <v/>
      </c>
      <c r="Z65" s="32">
        <f>SUM(Z14:Z64)</f>
        <v/>
      </c>
      <c r="AA65" s="32">
        <f>SUM(AA14:AA64)</f>
        <v/>
      </c>
      <c r="AB65" s="32">
        <f>SUM(AB14:AB64)</f>
        <v/>
      </c>
      <c r="AC65" s="32">
        <f>SUM(AC14:AC64)</f>
        <v/>
      </c>
      <c r="AD65" s="32">
        <f>SUM(AD14:AD64)</f>
        <v/>
      </c>
      <c r="AE65" s="32">
        <f>SUM(AE14:AE64)</f>
        <v/>
      </c>
      <c r="AF65" s="32">
        <f>SUM(AF14:AF64)</f>
        <v/>
      </c>
      <c r="AG65" s="32">
        <f>SUM(AG14:AG64)</f>
        <v/>
      </c>
      <c r="AH65" s="32">
        <f>SUM(AH14:AH64)</f>
        <v/>
      </c>
      <c r="AI65" s="32">
        <f>SUM(AI14:AI64)</f>
        <v/>
      </c>
      <c r="AJ65" s="32">
        <f>SUM(AJ14:AJ64)</f>
        <v/>
      </c>
      <c r="AK65" s="32">
        <f>SUM(AK14:AK64)</f>
        <v/>
      </c>
      <c r="AL65" s="32">
        <f>SUM(AL14:AL64)</f>
        <v/>
      </c>
      <c r="AM65" s="32">
        <f>SUM(AM14:AM64)</f>
        <v/>
      </c>
      <c r="AN65" s="32">
        <f>SUM(AN14:AN64)</f>
        <v/>
      </c>
      <c r="AO65" s="32">
        <f>SUM(AO14:AO64)</f>
        <v/>
      </c>
      <c r="AP65" s="32">
        <f>SUM(AP14:AP64)</f>
        <v/>
      </c>
      <c r="AQ65" s="32">
        <f>SUM(AQ14:AQ64)</f>
        <v/>
      </c>
      <c r="AR65" s="32">
        <f>SUM(AR14:AR64)</f>
        <v/>
      </c>
      <c r="AS65" s="32">
        <f>SUM(AS14:AS64)</f>
        <v/>
      </c>
      <c r="AT65" s="32">
        <f>SUM(AT14:AT64)</f>
        <v/>
      </c>
      <c r="AU65" s="32">
        <f>SUM(AU14:AU64)</f>
        <v/>
      </c>
      <c r="AV65" s="32">
        <f>SUM(AV14:AV64)</f>
        <v/>
      </c>
      <c r="AW65" s="32">
        <f>SUM(AW14:AW64)</f>
        <v/>
      </c>
      <c r="AX65" s="32">
        <f>SUM(AX14:AX64)</f>
        <v/>
      </c>
      <c r="AY65" s="32">
        <f>SUM(AY14:AY64)</f>
        <v/>
      </c>
      <c r="AZ65" s="32">
        <f>SUM(AZ14:AZ64)</f>
        <v/>
      </c>
      <c r="BA65" s="32">
        <f>SUM(BA14:BA64)</f>
        <v/>
      </c>
      <c r="BB65" s="32">
        <f>SUM(BB14:BB64)</f>
        <v/>
      </c>
      <c r="BC65" s="32">
        <f>SUM(BC14:BC64)</f>
        <v/>
      </c>
      <c r="BD65" s="32">
        <f>SUM(BD14:BD64)</f>
        <v/>
      </c>
      <c r="BE65" s="32">
        <f>SUM(BE14:BE64)</f>
        <v/>
      </c>
      <c r="BF65" s="32">
        <f>SUM(BF14:BF64)</f>
        <v/>
      </c>
      <c r="BG65" s="32">
        <f>SUM(BG14:BG64)</f>
        <v/>
      </c>
      <c r="BH65" s="32">
        <f>SUM(BH14:BH64)</f>
        <v/>
      </c>
    </row>
    <row r="66"/>
    <row r="67">
      <c r="B67" s="31" t="inlineStr">
        <is>
          <t>Ajuste intermedio no asignado a matriz</t>
        </is>
      </c>
      <c r="C67" s="32" t="n">
        <v>1.818989403545856e-12</v>
      </c>
      <c r="D67" s="32" t="n">
        <v>-9.094947017729282e-13</v>
      </c>
      <c r="E67" s="32" t="n">
        <v>1.818989403545856e-12</v>
      </c>
      <c r="F67" s="32" t="n">
        <v>-6.252776074688882e-13</v>
      </c>
      <c r="G67" s="32" t="n">
        <v>-4.547473508864641e-13</v>
      </c>
      <c r="H67" s="32" t="n">
        <v>1.091393642127514e-11</v>
      </c>
      <c r="I67" s="32" t="n">
        <v>4.547473508864641e-13</v>
      </c>
      <c r="J67" s="32" t="n">
        <v>-2.273736754432321e-12</v>
      </c>
      <c r="K67" s="32" t="n">
        <v>1.364242052659392e-12</v>
      </c>
      <c r="L67" s="32" t="n">
        <v>-2.273736754432321e-13</v>
      </c>
      <c r="M67" s="32" t="n">
        <v>2.273736754432321e-13</v>
      </c>
      <c r="N67" s="32" t="n">
        <v>-1.364242052659392e-12</v>
      </c>
      <c r="O67" s="32" t="n">
        <v>-6.821210263296962e-13</v>
      </c>
      <c r="P67" s="32" t="n">
        <v>-7.275957614183426e-12</v>
      </c>
      <c r="Q67" s="32" t="n">
        <v>2.273736754432321e-13</v>
      </c>
      <c r="R67" s="32" t="n">
        <v>-3.637978807091713e-12</v>
      </c>
      <c r="S67" s="32" t="n">
        <v>-3.637978807091713e-12</v>
      </c>
      <c r="T67" s="32" t="n">
        <v>-1.13686837721616e-12</v>
      </c>
      <c r="U67" s="32" t="n">
        <v>9.094947017729282e-13</v>
      </c>
      <c r="V67" s="32" t="n">
        <v>0</v>
      </c>
      <c r="W67" s="32" t="n">
        <v>4.547473508864641e-13</v>
      </c>
      <c r="X67" s="32" t="n">
        <v>9.094947017729282e-13</v>
      </c>
      <c r="Y67" s="32" t="n">
        <v>-9.094947017729282e-13</v>
      </c>
      <c r="Z67" s="32" t="n">
        <v>-2.273736754432321e-12</v>
      </c>
      <c r="AA67" s="32" t="n">
        <v>-1.818989403545856e-12</v>
      </c>
      <c r="AB67" s="32" t="n">
        <v>1.818989403545856e-12</v>
      </c>
      <c r="AC67" s="32" t="n">
        <v>1.364242052659392e-12</v>
      </c>
      <c r="AD67" s="32" t="n">
        <v>6.366462912410498e-12</v>
      </c>
      <c r="AE67" s="32" t="n">
        <v>9.094947017729282e-13</v>
      </c>
      <c r="AF67" s="32" t="n">
        <v>1.091393642127514e-11</v>
      </c>
      <c r="AG67" s="32" t="n">
        <v>3.637978807091713e-12</v>
      </c>
      <c r="AH67" s="32" t="n">
        <v>1.818989403545856e-12</v>
      </c>
      <c r="AI67" s="32" t="n">
        <v>4.547473508864641e-13</v>
      </c>
      <c r="AJ67" s="32" t="n">
        <v>4.547473508864641e-13</v>
      </c>
      <c r="AK67" s="32" t="n">
        <v>5.456968210637569e-12</v>
      </c>
      <c r="AL67" s="32" t="n">
        <v>0</v>
      </c>
      <c r="AM67" s="32" t="n">
        <v>4.092726157978177e-12</v>
      </c>
      <c r="AN67" s="32" t="n">
        <v>9.094947017729282e-13</v>
      </c>
      <c r="AO67" s="32" t="n">
        <v>-1.364242052659392e-12</v>
      </c>
      <c r="AP67" s="32" t="n">
        <v>-1.818989403545856e-12</v>
      </c>
      <c r="AQ67" s="32" t="n">
        <v>-4.547473508864641e-13</v>
      </c>
      <c r="AR67" s="32" t="n">
        <v>-2.273736754432321e-13</v>
      </c>
      <c r="AS67" s="32" t="n">
        <v>1.818989403545856e-12</v>
      </c>
      <c r="AT67" s="32" t="n">
        <v>0</v>
      </c>
      <c r="AU67" s="32" t="n">
        <v>0</v>
      </c>
      <c r="AV67" s="32" t="n">
        <v>1.818989403545856e-12</v>
      </c>
      <c r="AW67" s="32" t="n">
        <v>-1.818989403545856e-12</v>
      </c>
      <c r="AX67" s="32" t="n">
        <v>0</v>
      </c>
      <c r="AY67" s="32" t="n">
        <v>-9.094947017729282e-13</v>
      </c>
      <c r="AZ67" s="32" t="n">
        <v>0</v>
      </c>
      <c r="BA67" s="32" t="n">
        <v>9.094947017729282e-13</v>
      </c>
      <c r="BH67" s="32">
        <f>SUM(C67:BA67)</f>
        <v/>
      </c>
    </row>
    <row r="68"/>
    <row r="69">
      <c r="B69" s="31" t="inlineStr">
        <is>
          <t>Valor agregado</t>
        </is>
      </c>
      <c r="C69" s="32" t="n">
        <v>82002.49174714449</v>
      </c>
      <c r="D69" s="32" t="n">
        <v>28910.2143655499</v>
      </c>
      <c r="E69" s="32" t="n">
        <v>29016.6755483627</v>
      </c>
      <c r="F69" s="32" t="n">
        <v>7375.90997662472</v>
      </c>
      <c r="G69" s="32" t="n">
        <v>4435.18858588914</v>
      </c>
      <c r="H69" s="32" t="n">
        <v>32127.2960055026</v>
      </c>
      <c r="I69" s="32" t="n">
        <v>1009.95926338168</v>
      </c>
      <c r="J69" s="32" t="n">
        <v>8648.025830216589</v>
      </c>
      <c r="K69" s="32" t="n">
        <v>10012.4865415269</v>
      </c>
      <c r="L69" s="32" t="n">
        <v>6619.09478761676</v>
      </c>
      <c r="M69" s="32" t="n">
        <v>7617.99708575718</v>
      </c>
      <c r="N69" s="32" t="n">
        <v>11166.210566615</v>
      </c>
      <c r="O69" s="32" t="n">
        <v>5835.27734314506</v>
      </c>
      <c r="P69" s="32" t="n">
        <v>20834.2945354897</v>
      </c>
      <c r="Q69" s="32" t="n">
        <v>2415.62215182703</v>
      </c>
      <c r="R69" s="32" t="n">
        <v>17476.4291267994</v>
      </c>
      <c r="S69" s="32" t="n">
        <v>4864.29301253827</v>
      </c>
      <c r="T69" s="32" t="n">
        <v>11546.4831642008</v>
      </c>
      <c r="U69" s="32" t="n">
        <v>3373.26031551443</v>
      </c>
      <c r="V69" s="32" t="n">
        <v>2878.27236953632</v>
      </c>
      <c r="W69" s="32" t="n">
        <v>1580.95046741299</v>
      </c>
      <c r="X69" s="32" t="n">
        <v>2870.82985684332</v>
      </c>
      <c r="Y69" s="32" t="n">
        <v>10658.958626286</v>
      </c>
      <c r="Z69" s="32" t="n">
        <v>9711.935130441791</v>
      </c>
      <c r="AA69" s="32" t="n">
        <v>17814.1306905077</v>
      </c>
      <c r="AB69" s="32" t="n">
        <v>2708.05267035875</v>
      </c>
      <c r="AC69" s="32" t="n">
        <v>14383.1299697824</v>
      </c>
      <c r="AD69" s="32" t="n">
        <v>23429.3545129074</v>
      </c>
      <c r="AE69" s="32" t="n">
        <v>5800.49116516222</v>
      </c>
      <c r="AF69" s="32" t="n">
        <v>10018.0309106744</v>
      </c>
      <c r="AG69" s="32" t="n">
        <v>18920.2774961943</v>
      </c>
      <c r="AH69" s="32" t="n">
        <v>10153.3645832619</v>
      </c>
      <c r="AI69" s="32" t="n">
        <v>8866.332173392409</v>
      </c>
      <c r="AJ69" s="32" t="n">
        <v>12270.394435424</v>
      </c>
      <c r="AK69" s="32" t="n">
        <v>57367.4772882448</v>
      </c>
      <c r="AL69" s="32" t="n">
        <v>82056.7261140881</v>
      </c>
      <c r="AM69" s="32" t="n">
        <v>164630.627225174</v>
      </c>
      <c r="AN69" s="32" t="n">
        <v>57505.219240841</v>
      </c>
      <c r="AO69" s="32" t="n">
        <v>75342.6370990767</v>
      </c>
      <c r="AP69" s="32" t="n">
        <v>108315.660921384</v>
      </c>
      <c r="AQ69" s="32" t="n">
        <v>158634.792098232</v>
      </c>
      <c r="AR69" s="32" t="n">
        <v>5265.23757059385</v>
      </c>
      <c r="AS69" s="32" t="n">
        <v>26257.9368077072</v>
      </c>
      <c r="AT69" s="32" t="n">
        <v>89456.7231369174</v>
      </c>
      <c r="AU69" s="32" t="n">
        <v>25992.6453792829</v>
      </c>
      <c r="AV69" s="32" t="n">
        <v>35434.3376611768</v>
      </c>
      <c r="AW69" s="32" t="n">
        <v>48932.2733095801</v>
      </c>
      <c r="AX69" s="32" t="n">
        <v>19759.4869092146</v>
      </c>
      <c r="AY69" s="32" t="n">
        <v>54915.2591582577</v>
      </c>
      <c r="AZ69" s="32" t="n">
        <v>31306.5601209538</v>
      </c>
      <c r="BA69" s="32" t="n">
        <v>173456.792641398</v>
      </c>
      <c r="BH69" s="32">
        <f>SUM(C69:BA69)</f>
        <v/>
      </c>
    </row>
    <row r="70"/>
    <row r="71">
      <c r="B71" s="31" t="inlineStr">
        <is>
          <t>Produccion total</t>
        </is>
      </c>
      <c r="C71" s="32">
        <f>C65+C67+C69</f>
        <v/>
      </c>
      <c r="D71" s="32">
        <f>D65+D67+D69</f>
        <v/>
      </c>
      <c r="E71" s="32">
        <f>E65+E67+E69</f>
        <v/>
      </c>
      <c r="F71" s="32">
        <f>F65+F67+F69</f>
        <v/>
      </c>
      <c r="G71" s="32">
        <f>G65+G67+G69</f>
        <v/>
      </c>
      <c r="H71" s="32">
        <f>H65+H67+H69</f>
        <v/>
      </c>
      <c r="I71" s="32">
        <f>I65+I67+I69</f>
        <v/>
      </c>
      <c r="J71" s="32">
        <f>J65+J67+J69</f>
        <v/>
      </c>
      <c r="K71" s="32">
        <f>K65+K67+K69</f>
        <v/>
      </c>
      <c r="L71" s="32">
        <f>L65+L67+L69</f>
        <v/>
      </c>
      <c r="M71" s="32">
        <f>M65+M67+M69</f>
        <v/>
      </c>
      <c r="N71" s="32">
        <f>N65+N67+N69</f>
        <v/>
      </c>
      <c r="O71" s="32">
        <f>O65+O67+O69</f>
        <v/>
      </c>
      <c r="P71" s="32">
        <f>P65+P67+P69</f>
        <v/>
      </c>
      <c r="Q71" s="32">
        <f>Q65+Q67+Q69</f>
        <v/>
      </c>
      <c r="R71" s="32">
        <f>R65+R67+R69</f>
        <v/>
      </c>
      <c r="S71" s="32">
        <f>S65+S67+S69</f>
        <v/>
      </c>
      <c r="T71" s="32">
        <f>T65+T67+T69</f>
        <v/>
      </c>
      <c r="U71" s="32">
        <f>U65+U67+U69</f>
        <v/>
      </c>
      <c r="V71" s="32">
        <f>V65+V67+V69</f>
        <v/>
      </c>
      <c r="W71" s="32">
        <f>W65+W67+W69</f>
        <v/>
      </c>
      <c r="X71" s="32">
        <f>X65+X67+X69</f>
        <v/>
      </c>
      <c r="Y71" s="32">
        <f>Y65+Y67+Y69</f>
        <v/>
      </c>
      <c r="Z71" s="32">
        <f>Z65+Z67+Z69</f>
        <v/>
      </c>
      <c r="AA71" s="32">
        <f>AA65+AA67+AA69</f>
        <v/>
      </c>
      <c r="AB71" s="32">
        <f>AB65+AB67+AB69</f>
        <v/>
      </c>
      <c r="AC71" s="32">
        <f>AC65+AC67+AC69</f>
        <v/>
      </c>
      <c r="AD71" s="32">
        <f>AD65+AD67+AD69</f>
        <v/>
      </c>
      <c r="AE71" s="32">
        <f>AE65+AE67+AE69</f>
        <v/>
      </c>
      <c r="AF71" s="32">
        <f>AF65+AF67+AF69</f>
        <v/>
      </c>
      <c r="AG71" s="32">
        <f>AG65+AG67+AG69</f>
        <v/>
      </c>
      <c r="AH71" s="32">
        <f>AH65+AH67+AH69</f>
        <v/>
      </c>
      <c r="AI71" s="32">
        <f>AI65+AI67+AI69</f>
        <v/>
      </c>
      <c r="AJ71" s="32">
        <f>AJ65+AJ67+AJ69</f>
        <v/>
      </c>
      <c r="AK71" s="32">
        <f>AK65+AK67+AK69</f>
        <v/>
      </c>
      <c r="AL71" s="32">
        <f>AL65+AL67+AL69</f>
        <v/>
      </c>
      <c r="AM71" s="32">
        <f>AM65+AM67+AM69</f>
        <v/>
      </c>
      <c r="AN71" s="32">
        <f>AN65+AN67+AN69</f>
        <v/>
      </c>
      <c r="AO71" s="32">
        <f>AO65+AO67+AO69</f>
        <v/>
      </c>
      <c r="AP71" s="32">
        <f>AP65+AP67+AP69</f>
        <v/>
      </c>
      <c r="AQ71" s="32">
        <f>AQ65+AQ67+AQ69</f>
        <v/>
      </c>
      <c r="AR71" s="32">
        <f>AR65+AR67+AR69</f>
        <v/>
      </c>
      <c r="AS71" s="32">
        <f>AS65+AS67+AS69</f>
        <v/>
      </c>
      <c r="AT71" s="32">
        <f>AT65+AT67+AT69</f>
        <v/>
      </c>
      <c r="AU71" s="32">
        <f>AU65+AU67+AU69</f>
        <v/>
      </c>
      <c r="AV71" s="32">
        <f>AV65+AV67+AV69</f>
        <v/>
      </c>
      <c r="AW71" s="32">
        <f>AW65+AW67+AW69</f>
        <v/>
      </c>
      <c r="AX71" s="32">
        <f>AX65+AX67+AX69</f>
        <v/>
      </c>
      <c r="AY71" s="32">
        <f>AY65+AY67+AY69</f>
        <v/>
      </c>
      <c r="AZ71" s="32">
        <f>AZ65+AZ67+AZ69</f>
        <v/>
      </c>
      <c r="BA71" s="32">
        <f>BA65+BA67+BA69</f>
        <v/>
      </c>
      <c r="BH71" s="32">
        <f>SUM(C71:BA71)</f>
        <v/>
      </c>
    </row>
    <row r="72">
      <c r="B72" s="31" t="inlineStr">
        <is>
          <t>Produccion fuente</t>
        </is>
      </c>
      <c r="C72" s="32" t="n">
        <v>134662.2652013173</v>
      </c>
      <c r="D72" s="32" t="n">
        <v>57267.86514701344</v>
      </c>
      <c r="E72" s="32" t="n">
        <v>58674.22282424912</v>
      </c>
      <c r="F72" s="32" t="n">
        <v>17351.81513060447</v>
      </c>
      <c r="G72" s="32" t="n">
        <v>14157.72790009211</v>
      </c>
      <c r="H72" s="32" t="n">
        <v>242547.2298067033</v>
      </c>
      <c r="I72" s="32" t="n">
        <v>9170.048670380171</v>
      </c>
      <c r="J72" s="32" t="n">
        <v>33101.84603273244</v>
      </c>
      <c r="K72" s="32" t="n">
        <v>26649.50670896305</v>
      </c>
      <c r="L72" s="32" t="n">
        <v>22848.84577257796</v>
      </c>
      <c r="M72" s="32" t="n">
        <v>18234.40252752546</v>
      </c>
      <c r="N72" s="32" t="n">
        <v>36952.96360217884</v>
      </c>
      <c r="O72" s="32" t="n">
        <v>12438.20154557475</v>
      </c>
      <c r="P72" s="32" t="n">
        <v>140698.5253237306</v>
      </c>
      <c r="Q72" s="32" t="n">
        <v>10877.67728168339</v>
      </c>
      <c r="R72" s="32" t="n">
        <v>64072.48980572711</v>
      </c>
      <c r="S72" s="32" t="n">
        <v>24834.04945745852</v>
      </c>
      <c r="T72" s="32" t="n">
        <v>22670.83893887496</v>
      </c>
      <c r="U72" s="32" t="n">
        <v>12557.24514194219</v>
      </c>
      <c r="V72" s="32" t="n">
        <v>16525.17495827349</v>
      </c>
      <c r="W72" s="32" t="n">
        <v>8170.540805453687</v>
      </c>
      <c r="X72" s="32" t="n">
        <v>13702.02265614361</v>
      </c>
      <c r="Y72" s="32" t="n">
        <v>46453.92578752152</v>
      </c>
      <c r="Z72" s="32" t="n">
        <v>33426.86575746241</v>
      </c>
      <c r="AA72" s="32" t="n">
        <v>67583.39458882457</v>
      </c>
      <c r="AB72" s="32" t="n">
        <v>22317.87384674661</v>
      </c>
      <c r="AC72" s="32" t="n">
        <v>42850.95512195332</v>
      </c>
      <c r="AD72" s="32" t="n">
        <v>74774.26832825647</v>
      </c>
      <c r="AE72" s="32" t="n">
        <v>29844.39319633042</v>
      </c>
      <c r="AF72" s="32" t="n">
        <v>52355.93379250389</v>
      </c>
      <c r="AG72" s="32" t="n">
        <v>73227.31958503688</v>
      </c>
      <c r="AH72" s="32" t="n">
        <v>46254.46973065468</v>
      </c>
      <c r="AI72" s="32" t="n">
        <v>23873.01941025305</v>
      </c>
      <c r="AJ72" s="32" t="n">
        <v>28092.23472187289</v>
      </c>
      <c r="AK72" s="32" t="n">
        <v>117424.8900546988</v>
      </c>
      <c r="AL72" s="32" t="n">
        <v>200674.7498396304</v>
      </c>
      <c r="AM72" s="32" t="n">
        <v>283167.9400809327</v>
      </c>
      <c r="AN72" s="32" t="n">
        <v>154199.7615685409</v>
      </c>
      <c r="AO72" s="32" t="n">
        <v>147421.5841577957</v>
      </c>
      <c r="AP72" s="32" t="n">
        <v>163806.9584432054</v>
      </c>
      <c r="AQ72" s="32" t="n">
        <v>179424.9371241612</v>
      </c>
      <c r="AR72" s="32" t="n">
        <v>7681.869887094506</v>
      </c>
      <c r="AS72" s="32" t="n">
        <v>63614.81836080767</v>
      </c>
      <c r="AT72" s="32" t="n">
        <v>155744.8946559051</v>
      </c>
      <c r="AU72" s="32" t="n">
        <v>38568.85041777045</v>
      </c>
      <c r="AV72" s="32" t="n">
        <v>67624.54869647136</v>
      </c>
      <c r="AW72" s="32" t="n">
        <v>97701.66901445345</v>
      </c>
      <c r="AX72" s="32" t="n">
        <v>19759.4869092146</v>
      </c>
      <c r="AY72" s="32" t="n">
        <v>69742.32912185765</v>
      </c>
      <c r="AZ72" s="32" t="n">
        <v>48950.86710055153</v>
      </c>
      <c r="BA72" s="32" t="n">
        <v>245444.5058207831</v>
      </c>
      <c r="BH72" s="32">
        <f>SUM(C72:BA72)</f>
        <v/>
      </c>
    </row>
    <row r="73">
      <c r="B73" s="33" t="inlineStr">
        <is>
          <t>Check produccion total - fuente</t>
        </is>
      </c>
      <c r="C73" s="34">
        <f>C71-C72</f>
        <v/>
      </c>
      <c r="D73" s="34">
        <f>D71-D72</f>
        <v/>
      </c>
      <c r="E73" s="34">
        <f>E71-E72</f>
        <v/>
      </c>
      <c r="F73" s="34">
        <f>F71-F72</f>
        <v/>
      </c>
      <c r="G73" s="34">
        <f>G71-G72</f>
        <v/>
      </c>
      <c r="H73" s="34">
        <f>H71-H72</f>
        <v/>
      </c>
      <c r="I73" s="34">
        <f>I71-I72</f>
        <v/>
      </c>
      <c r="J73" s="34">
        <f>J71-J72</f>
        <v/>
      </c>
      <c r="K73" s="34">
        <f>K71-K72</f>
        <v/>
      </c>
      <c r="L73" s="34">
        <f>L71-L72</f>
        <v/>
      </c>
      <c r="M73" s="34">
        <f>M71-M72</f>
        <v/>
      </c>
      <c r="N73" s="34">
        <f>N71-N72</f>
        <v/>
      </c>
      <c r="O73" s="34">
        <f>O71-O72</f>
        <v/>
      </c>
      <c r="P73" s="34">
        <f>P71-P72</f>
        <v/>
      </c>
      <c r="Q73" s="34">
        <f>Q71-Q72</f>
        <v/>
      </c>
      <c r="R73" s="34">
        <f>R71-R72</f>
        <v/>
      </c>
      <c r="S73" s="34">
        <f>S71-S72</f>
        <v/>
      </c>
      <c r="T73" s="34">
        <f>T71-T72</f>
        <v/>
      </c>
      <c r="U73" s="34">
        <f>U71-U72</f>
        <v/>
      </c>
      <c r="V73" s="34">
        <f>V71-V72</f>
        <v/>
      </c>
      <c r="W73" s="34">
        <f>W71-W72</f>
        <v/>
      </c>
      <c r="X73" s="34">
        <f>X71-X72</f>
        <v/>
      </c>
      <c r="Y73" s="34">
        <f>Y71-Y72</f>
        <v/>
      </c>
      <c r="Z73" s="34">
        <f>Z71-Z72</f>
        <v/>
      </c>
      <c r="AA73" s="34">
        <f>AA71-AA72</f>
        <v/>
      </c>
      <c r="AB73" s="34">
        <f>AB71-AB72</f>
        <v/>
      </c>
      <c r="AC73" s="34">
        <f>AC71-AC72</f>
        <v/>
      </c>
      <c r="AD73" s="34">
        <f>AD71-AD72</f>
        <v/>
      </c>
      <c r="AE73" s="34">
        <f>AE71-AE72</f>
        <v/>
      </c>
      <c r="AF73" s="34">
        <f>AF71-AF72</f>
        <v/>
      </c>
      <c r="AG73" s="34">
        <f>AG71-AG72</f>
        <v/>
      </c>
      <c r="AH73" s="34">
        <f>AH71-AH72</f>
        <v/>
      </c>
      <c r="AI73" s="34">
        <f>AI71-AI72</f>
        <v/>
      </c>
      <c r="AJ73" s="34">
        <f>AJ71-AJ72</f>
        <v/>
      </c>
      <c r="AK73" s="34">
        <f>AK71-AK72</f>
        <v/>
      </c>
      <c r="AL73" s="34">
        <f>AL71-AL72</f>
        <v/>
      </c>
      <c r="AM73" s="34">
        <f>AM71-AM72</f>
        <v/>
      </c>
      <c r="AN73" s="34">
        <f>AN71-AN72</f>
        <v/>
      </c>
      <c r="AO73" s="34">
        <f>AO71-AO72</f>
        <v/>
      </c>
      <c r="AP73" s="34">
        <f>AP71-AP72</f>
        <v/>
      </c>
      <c r="AQ73" s="34">
        <f>AQ71-AQ72</f>
        <v/>
      </c>
      <c r="AR73" s="34">
        <f>AR71-AR72</f>
        <v/>
      </c>
      <c r="AS73" s="34">
        <f>AS71-AS72</f>
        <v/>
      </c>
      <c r="AT73" s="34">
        <f>AT71-AT72</f>
        <v/>
      </c>
      <c r="AU73" s="34">
        <f>AU71-AU72</f>
        <v/>
      </c>
      <c r="AV73" s="34">
        <f>AV71-AV72</f>
        <v/>
      </c>
      <c r="AW73" s="34">
        <f>AW71-AW72</f>
        <v/>
      </c>
      <c r="AX73" s="34">
        <f>AX71-AX72</f>
        <v/>
      </c>
      <c r="AY73" s="34">
        <f>AY71-AY72</f>
        <v/>
      </c>
      <c r="AZ73" s="34">
        <f>AZ71-AZ72</f>
        <v/>
      </c>
      <c r="BA73" s="34">
        <f>BA71-BA72</f>
        <v/>
      </c>
      <c r="BH73" s="34">
        <f>SUM(C73:BA73)</f>
        <v/>
      </c>
    </row>
    <row r="74"/>
    <row r="75">
      <c r="B75" s="30" t="inlineStr">
        <is>
          <t>Nota</t>
        </is>
      </c>
      <c r="C75" s="30" t="inlineStr">
        <is>
          <t>Z total = Z nacional + matriz importada/ajuste asignada. El residuo de ajuste no asignado queda como fila firmada.</t>
        </is>
      </c>
    </row>
  </sheetData>
  <mergeCells count="9">
    <mergeCell ref="BG10:BG12"/>
    <mergeCell ref="C10:BA10"/>
    <mergeCell ref="BH10:BH12"/>
    <mergeCell ref="A3:H4"/>
    <mergeCell ref="B10:B12"/>
    <mergeCell ref="A10:A12"/>
    <mergeCell ref="A1:H1"/>
    <mergeCell ref="BB10:BB12"/>
    <mergeCell ref="BC10:BF10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1"/>
  <sheetViews>
    <sheetView showGridLines="0" zoomScale="8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</cols>
  <sheetData>
    <row r="1">
      <c r="A1" s="16" t="inlineStr">
        <is>
          <t>Matriz de multiplicadores y validacion</t>
        </is>
      </c>
      <c r="B1" s="16" t="inlineStr"/>
      <c r="C1" s="16" t="inlineStr"/>
      <c r="D1" s="16" t="inlineStr"/>
      <c r="E1" s="16" t="inlineStr"/>
      <c r="F1" s="16" t="inlineStr"/>
      <c r="G1" s="16" t="inlineStr"/>
      <c r="H1" s="16" t="inlineStr"/>
    </row>
    <row r="2"/>
    <row r="3">
      <c r="A3" s="35" t="inlineStr">
        <is>
          <t>Codigo</t>
        </is>
      </c>
      <c r="B3" s="35" t="inlineStr">
        <is>
          <t>Actividad economica</t>
        </is>
      </c>
      <c r="C3" s="35" t="inlineStr">
        <is>
          <t>Produccion</t>
        </is>
      </c>
      <c r="D3" s="35" t="inlineStr">
        <is>
          <t>Valor agregado</t>
        </is>
      </c>
      <c r="E3" s="35" t="inlineStr">
        <is>
          <t>Multiplicador Leontief</t>
        </is>
      </c>
      <c r="F3" s="35" t="inlineStr">
        <is>
          <t>Indice atras Leontief</t>
        </is>
      </c>
      <c r="G3" s="35" t="inlineStr">
        <is>
          <t>Encadenamiento adelante Ghosh</t>
        </is>
      </c>
      <c r="H3" s="35" t="inlineStr">
        <is>
          <t>Indice adelante Ghosh</t>
        </is>
      </c>
    </row>
    <row r="4">
      <c r="A4" s="10" t="inlineStr"/>
      <c r="B4" s="10" t="inlineStr">
        <is>
          <t>Agricultura silvicultura exploração florestal</t>
        </is>
      </c>
      <c r="C4" s="11" t="n">
        <v>134662.2652013173</v>
      </c>
      <c r="D4" s="11" t="n">
        <v>82002.49174714449</v>
      </c>
      <c r="E4" s="11" t="n">
        <v>1.578005385002481</v>
      </c>
      <c r="F4" s="11" t="n">
        <v>0.7870009617878597</v>
      </c>
      <c r="G4" s="11" t="n">
        <v>1.975218079010653</v>
      </c>
      <c r="H4" s="11" t="n">
        <v>0.9930319367739787</v>
      </c>
    </row>
    <row r="5">
      <c r="A5" s="10" t="inlineStr"/>
      <c r="B5" s="10" t="inlineStr">
        <is>
          <t>Pecuária e pesca</t>
        </is>
      </c>
      <c r="C5" s="11" t="n">
        <v>57267.86514701344</v>
      </c>
      <c r="D5" s="11" t="n">
        <v>28910.2143655499</v>
      </c>
      <c r="E5" s="11" t="n">
        <v>1.758965411634842</v>
      </c>
      <c r="F5" s="11" t="n">
        <v>0.8772514237687618</v>
      </c>
      <c r="G5" s="11" t="n">
        <v>1.961381227736658</v>
      </c>
      <c r="H5" s="11" t="n">
        <v>0.9860755225099141</v>
      </c>
    </row>
    <row r="6">
      <c r="A6" s="10" t="inlineStr"/>
      <c r="B6" s="10" t="inlineStr">
        <is>
          <t>Petróleo e gás natural</t>
        </is>
      </c>
      <c r="C6" s="11" t="n">
        <v>58674.22282424912</v>
      </c>
      <c r="D6" s="11" t="n">
        <v>29016.6755483627</v>
      </c>
      <c r="E6" s="11" t="n">
        <v>1.810941897268867</v>
      </c>
      <c r="F6" s="11" t="n">
        <v>0.9031737333965368</v>
      </c>
      <c r="G6" s="11" t="n">
        <v>3.026464180200593</v>
      </c>
      <c r="H6" s="11" t="n">
        <v>1.52154114949525</v>
      </c>
    </row>
    <row r="7">
      <c r="A7" s="10" t="inlineStr"/>
      <c r="B7" s="10" t="inlineStr">
        <is>
          <t>Minério de ferro</t>
        </is>
      </c>
      <c r="C7" s="11" t="n">
        <v>17351.81513060447</v>
      </c>
      <c r="D7" s="11" t="n">
        <v>7375.90997662472</v>
      </c>
      <c r="E7" s="11" t="n">
        <v>2.102561475274018</v>
      </c>
      <c r="F7" s="11" t="n">
        <v>1.048613597257244</v>
      </c>
      <c r="G7" s="11" t="n">
        <v>1.816919597610751</v>
      </c>
      <c r="H7" s="11" t="n">
        <v>0.9134480927198276</v>
      </c>
    </row>
    <row r="8">
      <c r="A8" s="10" t="inlineStr"/>
      <c r="B8" s="10" t="inlineStr">
        <is>
          <t>Outros da indústria extrativa</t>
        </is>
      </c>
      <c r="C8" s="11" t="n">
        <v>14157.72790009211</v>
      </c>
      <c r="D8" s="11" t="n">
        <v>4435.18858588914</v>
      </c>
      <c r="E8" s="11" t="n">
        <v>2.196587381628603</v>
      </c>
      <c r="F8" s="11" t="n">
        <v>1.095507276732183</v>
      </c>
      <c r="G8" s="11" t="n">
        <v>3.004702499636523</v>
      </c>
      <c r="H8" s="11" t="n">
        <v>1.510600563223976</v>
      </c>
    </row>
    <row r="9">
      <c r="A9" s="10" t="inlineStr"/>
      <c r="B9" s="10" t="inlineStr">
        <is>
          <t>Alimentos e Bebidas</t>
        </is>
      </c>
      <c r="C9" s="11" t="n">
        <v>242547.2298067033</v>
      </c>
      <c r="D9" s="11" t="n">
        <v>32127.2960055026</v>
      </c>
      <c r="E9" s="11" t="n">
        <v>2.555157431420425</v>
      </c>
      <c r="F9" s="11" t="n">
        <v>1.274337448502503</v>
      </c>
      <c r="G9" s="11" t="n">
        <v>1.432229323532213</v>
      </c>
      <c r="H9" s="11" t="n">
        <v>0.7200468009912381</v>
      </c>
    </row>
    <row r="10">
      <c r="A10" s="10" t="inlineStr"/>
      <c r="B10" s="10" t="inlineStr">
        <is>
          <t>Produtos do fumo</t>
        </is>
      </c>
      <c r="C10" s="11" t="n">
        <v>9170.048670380171</v>
      </c>
      <c r="D10" s="11" t="n">
        <v>1009.95926338168</v>
      </c>
      <c r="E10" s="11" t="n">
        <v>2.487492361175793</v>
      </c>
      <c r="F10" s="11" t="n">
        <v>1.240590747846039</v>
      </c>
      <c r="G10" s="11" t="n">
        <v>1.03866593733572</v>
      </c>
      <c r="H10" s="11" t="n">
        <v>0.5221845923617062</v>
      </c>
    </row>
    <row r="11">
      <c r="A11" s="10" t="inlineStr"/>
      <c r="B11" s="10" t="inlineStr">
        <is>
          <t>Têxteis</t>
        </is>
      </c>
      <c r="C11" s="11" t="n">
        <v>33101.84603273244</v>
      </c>
      <c r="D11" s="11" t="n">
        <v>8648.025830216589</v>
      </c>
      <c r="E11" s="11" t="n">
        <v>2.313990188734082</v>
      </c>
      <c r="F11" s="11" t="n">
        <v>1.154059752526466</v>
      </c>
      <c r="G11" s="11" t="n">
        <v>1.983124865893627</v>
      </c>
      <c r="H11" s="11" t="n">
        <v>0.9970070380427927</v>
      </c>
    </row>
    <row r="12">
      <c r="A12" s="10" t="inlineStr"/>
      <c r="B12" s="10" t="inlineStr">
        <is>
          <t>Artigos do vestuário e acessórios</t>
        </is>
      </c>
      <c r="C12" s="11" t="n">
        <v>26649.50670896305</v>
      </c>
      <c r="D12" s="11" t="n">
        <v>10012.4865415269</v>
      </c>
      <c r="E12" s="11" t="n">
        <v>2.123428967876274</v>
      </c>
      <c r="F12" s="11" t="n">
        <v>1.059020872735617</v>
      </c>
      <c r="G12" s="11" t="n">
        <v>1.157446651389409</v>
      </c>
      <c r="H12" s="11" t="n">
        <v>0.5819010579922815</v>
      </c>
    </row>
    <row r="13">
      <c r="A13" s="10" t="inlineStr"/>
      <c r="B13" s="10" t="inlineStr">
        <is>
          <t>Artefatos de couro e calçados</t>
        </is>
      </c>
      <c r="C13" s="11" t="n">
        <v>22848.84577257796</v>
      </c>
      <c r="D13" s="11" t="n">
        <v>6619.09478761676</v>
      </c>
      <c r="E13" s="11" t="n">
        <v>2.414246131567628</v>
      </c>
      <c r="F13" s="11" t="n">
        <v>1.204060547317686</v>
      </c>
      <c r="G13" s="11" t="n">
        <v>1.244975535824122</v>
      </c>
      <c r="H13" s="11" t="n">
        <v>0.6259058079272382</v>
      </c>
    </row>
    <row r="14">
      <c r="A14" s="10" t="inlineStr">
        <is>
          <t>Produtos de madeira</t>
        </is>
      </c>
      <c r="B14" s="10" t="inlineStr">
        <is>
          <t>exclusive móveis</t>
        </is>
      </c>
      <c r="C14" s="11" t="n">
        <v>18234.40252752546</v>
      </c>
      <c r="D14" s="11" t="n">
        <v>7617.99708575718</v>
      </c>
      <c r="E14" s="11" t="n">
        <v>1.955652318918401</v>
      </c>
      <c r="F14" s="11" t="n">
        <v>0.9753453762193723</v>
      </c>
      <c r="G14" s="11" t="n">
        <v>1.983884518236134</v>
      </c>
      <c r="H14" s="11" t="n">
        <v>0.9973889498149511</v>
      </c>
    </row>
    <row r="15">
      <c r="A15" s="10" t="inlineStr"/>
      <c r="B15" s="10" t="inlineStr">
        <is>
          <t>Celulose e produtos de papel</t>
        </is>
      </c>
      <c r="C15" s="11" t="n">
        <v>36952.96360217884</v>
      </c>
      <c r="D15" s="11" t="n">
        <v>11166.210566615</v>
      </c>
      <c r="E15" s="11" t="n">
        <v>2.309154363407749</v>
      </c>
      <c r="F15" s="11" t="n">
        <v>1.151647974202366</v>
      </c>
      <c r="G15" s="11" t="n">
        <v>2.449177395269345</v>
      </c>
      <c r="H15" s="11" t="n">
        <v>1.231312834856981</v>
      </c>
    </row>
    <row r="16">
      <c r="A16" s="10" t="inlineStr"/>
      <c r="B16" s="10" t="inlineStr">
        <is>
          <t>Jornais revistas discos</t>
        </is>
      </c>
      <c r="C16" s="11" t="n">
        <v>12438.20154557475</v>
      </c>
      <c r="D16" s="11" t="n">
        <v>5835.27734314506</v>
      </c>
      <c r="E16" s="11" t="n">
        <v>1.873813809210054</v>
      </c>
      <c r="F16" s="11" t="n">
        <v>0.9345299351163923</v>
      </c>
      <c r="G16" s="11" t="n">
        <v>3.133396496736289</v>
      </c>
      <c r="H16" s="11" t="n">
        <v>1.575300886975152</v>
      </c>
    </row>
    <row r="17">
      <c r="A17" s="10" t="inlineStr"/>
      <c r="B17" s="10" t="inlineStr">
        <is>
          <t>Refino de petróleo e coque</t>
        </is>
      </c>
      <c r="C17" s="11" t="n">
        <v>140698.5253237306</v>
      </c>
      <c r="D17" s="11" t="n">
        <v>20834.2945354897</v>
      </c>
      <c r="E17" s="11" t="n">
        <v>2.178900252304031</v>
      </c>
      <c r="F17" s="11" t="n">
        <v>1.086686148539592</v>
      </c>
      <c r="G17" s="11" t="n">
        <v>2.749780618639244</v>
      </c>
      <c r="H17" s="11" t="n">
        <v>1.382439742956682</v>
      </c>
    </row>
    <row r="18">
      <c r="A18" s="10" t="inlineStr"/>
      <c r="B18" s="10" t="inlineStr">
        <is>
          <t>Álcool</t>
        </is>
      </c>
      <c r="C18" s="11" t="n">
        <v>10877.67728168339</v>
      </c>
      <c r="D18" s="11" t="n">
        <v>2415.62215182703</v>
      </c>
      <c r="E18" s="11" t="n">
        <v>2.367838620081844</v>
      </c>
      <c r="F18" s="11" t="n">
        <v>1.180915660411336</v>
      </c>
      <c r="G18" s="11" t="n">
        <v>1.780070420771462</v>
      </c>
      <c r="H18" s="11" t="n">
        <v>0.8949223360785283</v>
      </c>
    </row>
    <row r="19">
      <c r="A19" s="10" t="inlineStr"/>
      <c r="B19" s="10" t="inlineStr">
        <is>
          <t>Produtos  químicos</t>
        </is>
      </c>
      <c r="C19" s="11" t="n">
        <v>64072.48980572711</v>
      </c>
      <c r="D19" s="11" t="n">
        <v>17476.4291267994</v>
      </c>
      <c r="E19" s="11" t="n">
        <v>2.119948979684248</v>
      </c>
      <c r="F19" s="11" t="n">
        <v>1.057285293072731</v>
      </c>
      <c r="G19" s="11" t="n">
        <v>3.249764088550423</v>
      </c>
      <c r="H19" s="11" t="n">
        <v>1.63380416633699</v>
      </c>
    </row>
    <row r="20">
      <c r="A20" s="10" t="inlineStr"/>
      <c r="B20" s="10" t="inlineStr">
        <is>
          <t>Fabricação de resina e elastômeros</t>
        </is>
      </c>
      <c r="C20" s="11" t="n">
        <v>24834.04945745852</v>
      </c>
      <c r="D20" s="11" t="n">
        <v>4864.29301253827</v>
      </c>
      <c r="E20" s="11" t="n">
        <v>2.314918506466026</v>
      </c>
      <c r="F20" s="11" t="n">
        <v>1.154522733803227</v>
      </c>
      <c r="G20" s="11" t="n">
        <v>2.948075626089198</v>
      </c>
      <c r="H20" s="11" t="n">
        <v>1.482131659202846</v>
      </c>
    </row>
    <row r="21">
      <c r="A21" s="10" t="inlineStr"/>
      <c r="B21" s="10" t="inlineStr">
        <is>
          <t>Produtos farmacêuticos</t>
        </is>
      </c>
      <c r="C21" s="11" t="n">
        <v>22670.83893887496</v>
      </c>
      <c r="D21" s="11" t="n">
        <v>11546.4831642008</v>
      </c>
      <c r="E21" s="11" t="n">
        <v>1.869895326651126</v>
      </c>
      <c r="F21" s="11" t="n">
        <v>0.932575664508741</v>
      </c>
      <c r="G21" s="11" t="n">
        <v>1.50105493554627</v>
      </c>
      <c r="H21" s="11" t="n">
        <v>0.7546485654871397</v>
      </c>
    </row>
    <row r="22">
      <c r="A22" s="10" t="inlineStr"/>
      <c r="B22" s="10" t="inlineStr">
        <is>
          <t>Defensivos agrícolas</t>
        </is>
      </c>
      <c r="C22" s="11" t="n">
        <v>12557.24514194219</v>
      </c>
      <c r="D22" s="11" t="n">
        <v>3373.26031551443</v>
      </c>
      <c r="E22" s="11" t="n">
        <v>2.181885789603995</v>
      </c>
      <c r="F22" s="11" t="n">
        <v>1.088175129977081</v>
      </c>
      <c r="G22" s="11" t="n">
        <v>3.111443894278214</v>
      </c>
      <c r="H22" s="11" t="n">
        <v>1.564264315586999</v>
      </c>
    </row>
    <row r="23">
      <c r="A23" s="10" t="inlineStr"/>
      <c r="B23" s="10" t="inlineStr">
        <is>
          <t>Perfumaria higiene e limpeza</t>
        </is>
      </c>
      <c r="C23" s="11" t="n">
        <v>16525.17495827349</v>
      </c>
      <c r="D23" s="11" t="n">
        <v>2878.27236953632</v>
      </c>
      <c r="E23" s="11" t="n">
        <v>2.35133686492178</v>
      </c>
      <c r="F23" s="11" t="n">
        <v>1.172685715630674</v>
      </c>
      <c r="G23" s="11" t="n">
        <v>1.540634675424011</v>
      </c>
      <c r="H23" s="11" t="n">
        <v>0.774547100320058</v>
      </c>
    </row>
    <row r="24">
      <c r="A24" s="10" t="inlineStr"/>
      <c r="B24" s="10" t="inlineStr">
        <is>
          <t>Tintas vernizes esmaltes e lacas</t>
        </is>
      </c>
      <c r="C24" s="11" t="n">
        <v>8170.540805453687</v>
      </c>
      <c r="D24" s="11" t="n">
        <v>1580.95046741299</v>
      </c>
      <c r="E24" s="11" t="n">
        <v>2.35280528088379</v>
      </c>
      <c r="F24" s="11" t="n">
        <v>1.173418060897294</v>
      </c>
      <c r="G24" s="11" t="n">
        <v>2.884978639990173</v>
      </c>
      <c r="H24" s="11" t="n">
        <v>1.450409935421389</v>
      </c>
    </row>
    <row r="25">
      <c r="A25" s="10" t="inlineStr"/>
      <c r="B25" s="10" t="inlineStr">
        <is>
          <t>Produtos e preparados químicos diversos</t>
        </is>
      </c>
      <c r="C25" s="11" t="n">
        <v>13702.02265614361</v>
      </c>
      <c r="D25" s="11" t="n">
        <v>2870.82985684332</v>
      </c>
      <c r="E25" s="11" t="n">
        <v>2.474853325533823</v>
      </c>
      <c r="F25" s="11" t="n">
        <v>1.234287262889119</v>
      </c>
      <c r="G25" s="11" t="n">
        <v>2.719675521797043</v>
      </c>
      <c r="H25" s="11" t="n">
        <v>1.367304541967152</v>
      </c>
    </row>
    <row r="26">
      <c r="A26" s="10" t="inlineStr"/>
      <c r="B26" s="10" t="inlineStr">
        <is>
          <t>Artigos de borracha e plástico</t>
        </is>
      </c>
      <c r="C26" s="11" t="n">
        <v>46453.92578752152</v>
      </c>
      <c r="D26" s="11" t="n">
        <v>10658.958626286</v>
      </c>
      <c r="E26" s="11" t="n">
        <v>2.419998862438663</v>
      </c>
      <c r="F26" s="11" t="n">
        <v>1.20692961530151</v>
      </c>
      <c r="G26" s="11" t="n">
        <v>2.56026095353876</v>
      </c>
      <c r="H26" s="11" t="n">
        <v>1.287159590303485</v>
      </c>
    </row>
    <row r="27">
      <c r="A27" s="10" t="inlineStr"/>
      <c r="B27" s="10" t="inlineStr">
        <is>
          <t>Cimento e outros produtos de minerais não-metálicos</t>
        </is>
      </c>
      <c r="C27" s="11" t="n">
        <v>33426.86575746241</v>
      </c>
      <c r="D27" s="11" t="n">
        <v>9711.935130441791</v>
      </c>
      <c r="E27" s="11" t="n">
        <v>2.29704870208487</v>
      </c>
      <c r="F27" s="11" t="n">
        <v>1.14561049980923</v>
      </c>
      <c r="G27" s="11" t="n">
        <v>2.41539364458519</v>
      </c>
      <c r="H27" s="11" t="n">
        <v>1.214328207321484</v>
      </c>
    </row>
    <row r="28">
      <c r="A28" s="10" t="inlineStr"/>
      <c r="B28" s="10" t="inlineStr">
        <is>
          <t>Fabricação de aço e derivados</t>
        </is>
      </c>
      <c r="C28" s="11" t="n">
        <v>67583.39458882457</v>
      </c>
      <c r="D28" s="11" t="n">
        <v>17814.1306905077</v>
      </c>
      <c r="E28" s="11" t="n">
        <v>2.298022310034535</v>
      </c>
      <c r="F28" s="11" t="n">
        <v>1.146096068743324</v>
      </c>
      <c r="G28" s="11" t="n">
        <v>2.463641341001083</v>
      </c>
      <c r="H28" s="11" t="n">
        <v>1.238584518017443</v>
      </c>
    </row>
    <row r="29">
      <c r="A29" s="10" t="inlineStr"/>
      <c r="B29" s="10" t="inlineStr">
        <is>
          <t>Metalurgia de metais não-ferrosos</t>
        </is>
      </c>
      <c r="C29" s="11" t="n">
        <v>22317.87384674661</v>
      </c>
      <c r="D29" s="11" t="n">
        <v>2708.05267035875</v>
      </c>
      <c r="E29" s="11" t="n">
        <v>2.452828926646631</v>
      </c>
      <c r="F29" s="11" t="n">
        <v>1.223303001826542</v>
      </c>
      <c r="G29" s="11" t="n">
        <v>2.474575478462937</v>
      </c>
      <c r="H29" s="11" t="n">
        <v>1.24408160606867</v>
      </c>
    </row>
    <row r="30">
      <c r="A30" s="10" t="inlineStr">
        <is>
          <t>Produtos de metal</t>
        </is>
      </c>
      <c r="B30" s="10" t="inlineStr">
        <is>
          <t>exclusive máquinas e equipamentos</t>
        </is>
      </c>
      <c r="C30" s="11" t="n">
        <v>42850.95512195332</v>
      </c>
      <c r="D30" s="11" t="n">
        <v>14383.1299697824</v>
      </c>
      <c r="E30" s="11" t="n">
        <v>2.274810930217937</v>
      </c>
      <c r="F30" s="11" t="n">
        <v>1.134519822924583</v>
      </c>
      <c r="G30" s="11" t="n">
        <v>2.336454412753734</v>
      </c>
      <c r="H30" s="11" t="n">
        <v>1.174641866301203</v>
      </c>
    </row>
    <row r="31">
      <c r="A31" s="10" t="inlineStr"/>
      <c r="B31" s="10" t="inlineStr">
        <is>
          <t>Máquinas e equipamentos inclusive manutenção e reparos</t>
        </is>
      </c>
      <c r="C31" s="11" t="n">
        <v>74774.26832825647</v>
      </c>
      <c r="D31" s="11" t="n">
        <v>23429.3545129074</v>
      </c>
      <c r="E31" s="11" t="n">
        <v>2.305496683163871</v>
      </c>
      <c r="F31" s="11" t="n">
        <v>1.149823773919399</v>
      </c>
      <c r="G31" s="11" t="n">
        <v>2.19718837408507</v>
      </c>
      <c r="H31" s="11" t="n">
        <v>1.104626496567825</v>
      </c>
    </row>
    <row r="32">
      <c r="A32" s="10" t="inlineStr"/>
      <c r="B32" s="10" t="inlineStr">
        <is>
          <t>Eletrodomésticos e material eletronico</t>
        </is>
      </c>
      <c r="C32" s="11" t="n">
        <v>29844.39319633042</v>
      </c>
      <c r="D32" s="11" t="n">
        <v>5800.49116516222</v>
      </c>
      <c r="E32" s="11" t="n">
        <v>2.43292965007887</v>
      </c>
      <c r="F32" s="11" t="n">
        <v>1.213378606164428</v>
      </c>
      <c r="G32" s="11" t="n">
        <v>1.950781810996546</v>
      </c>
      <c r="H32" s="11" t="n">
        <v>0.9807467137844591</v>
      </c>
    </row>
    <row r="33">
      <c r="A33" s="10" t="inlineStr"/>
      <c r="B33" s="10" t="inlineStr">
        <is>
          <t>Máquinas para escritório aparelhos e e material eletronico</t>
        </is>
      </c>
      <c r="C33" s="11" t="n">
        <v>52355.93379250389</v>
      </c>
      <c r="D33" s="11" t="n">
        <v>10018.0309106744</v>
      </c>
      <c r="E33" s="11" t="n">
        <v>2.069498653191859</v>
      </c>
      <c r="F33" s="11" t="n">
        <v>1.032124127053035</v>
      </c>
      <c r="G33" s="11" t="n">
        <v>1.834620830347664</v>
      </c>
      <c r="H33" s="11" t="n">
        <v>0.9223473072495104</v>
      </c>
    </row>
    <row r="34">
      <c r="A34" s="10" t="inlineStr"/>
      <c r="B34" s="10" t="inlineStr">
        <is>
          <t>Automóveis camionetas caminhões e ônibus</t>
        </is>
      </c>
      <c r="C34" s="11" t="n">
        <v>73227.31958503688</v>
      </c>
      <c r="D34" s="11" t="n">
        <v>18920.2774961943</v>
      </c>
      <c r="E34" s="11" t="n">
        <v>2.252814262124224</v>
      </c>
      <c r="F34" s="11" t="n">
        <v>1.123549392081691</v>
      </c>
      <c r="G34" s="11" t="n">
        <v>1.105503536668106</v>
      </c>
      <c r="H34" s="11" t="n">
        <v>0.5557868924923363</v>
      </c>
    </row>
    <row r="35">
      <c r="A35" s="10" t="inlineStr"/>
      <c r="B35" s="10" t="inlineStr">
        <is>
          <t>Peças e acessórios para veículos automotores</t>
        </is>
      </c>
      <c r="C35" s="11" t="n">
        <v>46254.46973065468</v>
      </c>
      <c r="D35" s="11" t="n">
        <v>10153.3645832619</v>
      </c>
      <c r="E35" s="11" t="n">
        <v>2.318014536083501</v>
      </c>
      <c r="F35" s="11" t="n">
        <v>1.156066821237804</v>
      </c>
      <c r="G35" s="11" t="n">
        <v>2.168877031447163</v>
      </c>
      <c r="H35" s="11" t="n">
        <v>1.09039309737452</v>
      </c>
    </row>
    <row r="36">
      <c r="A36" s="10" t="inlineStr"/>
      <c r="B36" s="10" t="inlineStr">
        <is>
          <t>Outros equipamentos de transporte</t>
        </is>
      </c>
      <c r="C36" s="11" t="n">
        <v>23873.01941025305</v>
      </c>
      <c r="D36" s="11" t="n">
        <v>8866.332173392409</v>
      </c>
      <c r="E36" s="11" t="n">
        <v>1.92225403550857</v>
      </c>
      <c r="F36" s="11" t="n">
        <v>0.9586886008905864</v>
      </c>
      <c r="G36" s="11" t="n">
        <v>1.596954011043271</v>
      </c>
      <c r="H36" s="11" t="n">
        <v>0.8028613910417337</v>
      </c>
    </row>
    <row r="37">
      <c r="A37" s="10" t="inlineStr"/>
      <c r="B37" s="10" t="inlineStr">
        <is>
          <t>Móveis e produtos das indústrias diversas</t>
        </is>
      </c>
      <c r="C37" s="11" t="n">
        <v>28092.23472187289</v>
      </c>
      <c r="D37" s="11" t="n">
        <v>12270.394435424</v>
      </c>
      <c r="E37" s="11" t="n">
        <v>1.959863076724726</v>
      </c>
      <c r="F37" s="11" t="n">
        <v>0.9774454136938506</v>
      </c>
      <c r="G37" s="11" t="n">
        <v>1.38412314730585</v>
      </c>
      <c r="H37" s="11" t="n">
        <v>0.6958616389291418</v>
      </c>
    </row>
    <row r="38">
      <c r="A38" s="10" t="inlineStr"/>
      <c r="B38" s="10" t="inlineStr">
        <is>
          <t>Produção e distribuição de eletricidade gás água esgoto e limpeza urbana</t>
        </is>
      </c>
      <c r="C38" s="11" t="n">
        <v>117424.8900546988</v>
      </c>
      <c r="D38" s="11" t="n">
        <v>57367.4772882448</v>
      </c>
      <c r="E38" s="11" t="n">
        <v>1.786373503978385</v>
      </c>
      <c r="F38" s="11" t="n">
        <v>0.8909207022390028</v>
      </c>
      <c r="G38" s="11" t="n">
        <v>2.41635872671036</v>
      </c>
      <c r="H38" s="11" t="n">
        <v>1.214813397985789</v>
      </c>
    </row>
    <row r="39">
      <c r="A39" s="10" t="inlineStr"/>
      <c r="B39" s="10" t="inlineStr">
        <is>
          <t>Construção civil</t>
        </is>
      </c>
      <c r="C39" s="11" t="n">
        <v>200674.7498396304</v>
      </c>
      <c r="D39" s="11" t="n">
        <v>82056.7261140881</v>
      </c>
      <c r="E39" s="11" t="n">
        <v>2.023098807349176</v>
      </c>
      <c r="F39" s="11" t="n">
        <v>1.008983063244217</v>
      </c>
      <c r="G39" s="11" t="n">
        <v>1.255496172920278</v>
      </c>
      <c r="H39" s="11" t="n">
        <v>0.6311950105437539</v>
      </c>
    </row>
    <row r="40">
      <c r="A40" s="10" t="inlineStr"/>
      <c r="B40" s="10" t="inlineStr">
        <is>
          <t>Comércio</t>
        </is>
      </c>
      <c r="C40" s="11" t="n">
        <v>283167.9400809327</v>
      </c>
      <c r="D40" s="11" t="n">
        <v>164630.627225174</v>
      </c>
      <c r="E40" s="11" t="n">
        <v>1.74815733131574</v>
      </c>
      <c r="F40" s="11" t="n">
        <v>0.8718610938706162</v>
      </c>
      <c r="G40" s="11" t="n">
        <v>2.012912550232985</v>
      </c>
      <c r="H40" s="11" t="n">
        <v>1.011982661335153</v>
      </c>
    </row>
    <row r="41">
      <c r="A41" s="10" t="inlineStr"/>
      <c r="B41" s="10" t="inlineStr">
        <is>
          <t>Transporte armazenagem e correio</t>
        </is>
      </c>
      <c r="C41" s="11" t="n">
        <v>154199.7615685409</v>
      </c>
      <c r="D41" s="11" t="n">
        <v>57505.219240841</v>
      </c>
      <c r="E41" s="11" t="n">
        <v>2.203197077402688</v>
      </c>
      <c r="F41" s="11" t="n">
        <v>1.09880374009078</v>
      </c>
      <c r="G41" s="11" t="n">
        <v>2.453299457756533</v>
      </c>
      <c r="H41" s="11" t="n">
        <v>1.23338518308964</v>
      </c>
    </row>
    <row r="42">
      <c r="A42" s="10" t="inlineStr"/>
      <c r="B42" s="10" t="inlineStr">
        <is>
          <t>Serviços de informação</t>
        </is>
      </c>
      <c r="C42" s="11" t="n">
        <v>147421.5841577957</v>
      </c>
      <c r="D42" s="11" t="n">
        <v>75342.6370990767</v>
      </c>
      <c r="E42" s="11" t="n">
        <v>1.855614655861101</v>
      </c>
      <c r="F42" s="11" t="n">
        <v>0.9254534444241069</v>
      </c>
      <c r="G42" s="11" t="n">
        <v>2.073736180300866</v>
      </c>
      <c r="H42" s="11" t="n">
        <v>1.042561465675677</v>
      </c>
    </row>
    <row r="43">
      <c r="A43" s="10" t="inlineStr"/>
      <c r="B43" s="10" t="inlineStr">
        <is>
          <t>Intermediação financeira seguros e previdência complementar e serviços relacionados</t>
        </is>
      </c>
      <c r="C43" s="11" t="n">
        <v>163806.9584432054</v>
      </c>
      <c r="D43" s="11" t="n">
        <v>108315.660921384</v>
      </c>
      <c r="E43" s="11" t="n">
        <v>1.493973153922636</v>
      </c>
      <c r="F43" s="11" t="n">
        <v>0.745091442777623</v>
      </c>
      <c r="G43" s="11" t="n">
        <v>2.359246493402869</v>
      </c>
      <c r="H43" s="11" t="n">
        <v>1.186100481545073</v>
      </c>
    </row>
    <row r="44">
      <c r="A44" s="10" t="inlineStr"/>
      <c r="B44" s="10" t="inlineStr">
        <is>
          <t>Atividades imobiliárias e aluguéis</t>
        </is>
      </c>
      <c r="C44" s="11" t="n">
        <v>179424.9371241612</v>
      </c>
      <c r="D44" s="11" t="n">
        <v>158634.792098232</v>
      </c>
      <c r="E44" s="11" t="n">
        <v>1.164740259943823</v>
      </c>
      <c r="F44" s="11" t="n">
        <v>0.5808926341575124</v>
      </c>
      <c r="G44" s="11" t="n">
        <v>1.248088917344668</v>
      </c>
      <c r="H44" s="11" t="n">
        <v>0.627471046375649</v>
      </c>
    </row>
    <row r="45">
      <c r="A45" s="10" t="inlineStr"/>
      <c r="B45" s="10" t="inlineStr">
        <is>
          <t>Serviços de manutenção e reparação</t>
        </is>
      </c>
      <c r="C45" s="11" t="n">
        <v>7681.869887094506</v>
      </c>
      <c r="D45" s="11" t="n">
        <v>5265.23757059385</v>
      </c>
      <c r="E45" s="11" t="n">
        <v>1.415301379802196</v>
      </c>
      <c r="F45" s="11" t="n">
        <v>0.7058553524025283</v>
      </c>
      <c r="G45" s="11" t="n">
        <v>2.210417157036392</v>
      </c>
      <c r="H45" s="11" t="n">
        <v>1.111277207238666</v>
      </c>
    </row>
    <row r="46">
      <c r="A46" s="10" t="inlineStr"/>
      <c r="B46" s="10" t="inlineStr">
        <is>
          <t>Serviços de alojamento e alimentação</t>
        </is>
      </c>
      <c r="C46" s="11" t="n">
        <v>63614.81836080767</v>
      </c>
      <c r="D46" s="11" t="n">
        <v>26257.9368077072</v>
      </c>
      <c r="E46" s="11" t="n">
        <v>1.935294236849394</v>
      </c>
      <c r="F46" s="11" t="n">
        <v>0.9651921598103927</v>
      </c>
      <c r="G46" s="11" t="n">
        <v>1.438488137061017</v>
      </c>
      <c r="H46" s="11" t="n">
        <v>0.7231933911254923</v>
      </c>
    </row>
    <row r="47">
      <c r="A47" s="10" t="inlineStr"/>
      <c r="B47" s="10" t="inlineStr">
        <is>
          <t>Serviços prestados às empresas</t>
        </is>
      </c>
      <c r="C47" s="11" t="n">
        <v>155744.8946559051</v>
      </c>
      <c r="D47" s="11" t="n">
        <v>89456.7231369174</v>
      </c>
      <c r="E47" s="11" t="n">
        <v>1.665109529800222</v>
      </c>
      <c r="F47" s="11" t="n">
        <v>0.8304425408743743</v>
      </c>
      <c r="G47" s="11" t="n">
        <v>2.676813872626758</v>
      </c>
      <c r="H47" s="11" t="n">
        <v>1.345756042112284</v>
      </c>
    </row>
    <row r="48">
      <c r="A48" s="10" t="inlineStr"/>
      <c r="B48" s="10" t="inlineStr">
        <is>
          <t>Educação mercantil</t>
        </is>
      </c>
      <c r="C48" s="11" t="n">
        <v>38568.85041777045</v>
      </c>
      <c r="D48" s="11" t="n">
        <v>25992.6453792829</v>
      </c>
      <c r="E48" s="11" t="n">
        <v>1.498009116289342</v>
      </c>
      <c r="F48" s="11" t="n">
        <v>0.7471043042637275</v>
      </c>
      <c r="G48" s="11" t="n">
        <v>1.235576358552597</v>
      </c>
      <c r="H48" s="11" t="n">
        <v>0.6211804141546683</v>
      </c>
    </row>
    <row r="49">
      <c r="A49" s="10" t="inlineStr"/>
      <c r="B49" s="10" t="inlineStr">
        <is>
          <t>Saúde mercantil</t>
        </is>
      </c>
      <c r="C49" s="11" t="n">
        <v>67624.54869647136</v>
      </c>
      <c r="D49" s="11" t="n">
        <v>35434.3376611768</v>
      </c>
      <c r="E49" s="11" t="n">
        <v>1.63117310129311</v>
      </c>
      <c r="F49" s="11" t="n">
        <v>0.8135173756445359</v>
      </c>
      <c r="G49" s="11" t="n">
        <v>1.137739355584031</v>
      </c>
      <c r="H49" s="11" t="n">
        <v>0.571993304347178</v>
      </c>
    </row>
    <row r="50">
      <c r="A50" s="10" t="inlineStr"/>
      <c r="B50" s="10" t="inlineStr">
        <is>
          <t>Serviços prestados às famílias e associativas</t>
        </is>
      </c>
      <c r="C50" s="11" t="n">
        <v>97701.66901445345</v>
      </c>
      <c r="D50" s="11" t="n">
        <v>48932.2733095801</v>
      </c>
      <c r="E50" s="11" t="n">
        <v>1.779960899762107</v>
      </c>
      <c r="F50" s="11" t="n">
        <v>0.8877225346448108</v>
      </c>
      <c r="G50" s="11" t="n">
        <v>1.496977676544754</v>
      </c>
      <c r="H50" s="11" t="n">
        <v>0.7525987420038343</v>
      </c>
    </row>
    <row r="51">
      <c r="A51" s="10" t="inlineStr"/>
      <c r="B51" s="10" t="inlineStr">
        <is>
          <t>Serviços domésticos</t>
        </is>
      </c>
      <c r="C51" s="11" t="n">
        <v>19759.4869092146</v>
      </c>
      <c r="D51" s="11" t="n">
        <v>19759.4869092146</v>
      </c>
      <c r="E51" s="11" t="n">
        <v>1</v>
      </c>
      <c r="F51" s="11" t="n">
        <v>0.4987314804294046</v>
      </c>
      <c r="G51" s="11" t="n">
        <v>1</v>
      </c>
      <c r="H51" s="11" t="n">
        <v>0.5027454676150841</v>
      </c>
    </row>
    <row r="52">
      <c r="A52" s="10" t="inlineStr"/>
      <c r="B52" s="10" t="inlineStr">
        <is>
          <t>Educação pública</t>
        </is>
      </c>
      <c r="C52" s="11" t="n">
        <v>69742.32912185765</v>
      </c>
      <c r="D52" s="11" t="n">
        <v>54915.2591582577</v>
      </c>
      <c r="E52" s="11" t="n">
        <v>1.333081758778311</v>
      </c>
      <c r="F52" s="11" t="n">
        <v>0.6648498390889416</v>
      </c>
      <c r="G52" s="11" t="n">
        <v>1.152219611533057</v>
      </c>
      <c r="H52" s="11" t="n">
        <v>0.5792731873954571</v>
      </c>
    </row>
    <row r="53">
      <c r="A53" s="10" t="inlineStr"/>
      <c r="B53" s="10" t="inlineStr">
        <is>
          <t>Saúde pública</t>
        </is>
      </c>
      <c r="C53" s="11" t="n">
        <v>48950.86710055153</v>
      </c>
      <c r="D53" s="11" t="n">
        <v>31306.5601209538</v>
      </c>
      <c r="E53" s="11" t="n">
        <v>1.574433472333544</v>
      </c>
      <c r="F53" s="11" t="n">
        <v>0.7852195364945167</v>
      </c>
      <c r="G53" s="11" t="n">
        <v>1.018925755942092</v>
      </c>
      <c r="H53" s="11" t="n">
        <v>0.5122603056361603</v>
      </c>
    </row>
    <row r="54">
      <c r="A54" s="10" t="inlineStr"/>
      <c r="B54" s="10" t="inlineStr">
        <is>
          <t>Administração pública e seguridade social</t>
        </is>
      </c>
      <c r="C54" s="11" t="n">
        <v>245444.5058207831</v>
      </c>
      <c r="D54" s="11" t="n">
        <v>173456.792641398</v>
      </c>
      <c r="E54" s="11" t="n">
        <v>1.455957209945746</v>
      </c>
      <c r="F54" s="11" t="n">
        <v>0.7261316947581071</v>
      </c>
      <c r="G54" s="11" t="n">
        <v>1.075247424685772</v>
      </c>
      <c r="H54" s="11" t="n">
        <v>0.5405757693255632</v>
      </c>
    </row>
    <row r="55"/>
    <row r="56"/>
    <row r="57">
      <c r="A57" s="10" t="inlineStr">
        <is>
          <t>Validacion contable y matematica</t>
        </is>
      </c>
    </row>
    <row r="58">
      <c r="A58" s="10" t="inlineStr">
        <is>
          <t>prueba</t>
        </is>
      </c>
      <c r="B58" s="10" t="inlineStr">
        <is>
          <t>resultado</t>
        </is>
      </c>
      <c r="C58" s="10" t="inlineStr">
        <is>
          <t>lectura</t>
        </is>
      </c>
    </row>
    <row r="59">
      <c r="A59" s="10" t="inlineStr">
        <is>
          <t>sectores</t>
        </is>
      </c>
      <c r="B59" s="11" t="n">
        <v>51</v>
      </c>
      <c r="C59" s="10" t="inlineStr">
        <is>
          <t>Cantidad de sectores de la MIP.</t>
        </is>
      </c>
    </row>
    <row r="60">
      <c r="A60" s="10" t="inlineStr">
        <is>
          <t>cuadrada_Z_A_L</t>
        </is>
      </c>
      <c r="B60" s="36" t="b">
        <v>1</v>
      </c>
      <c r="C60" s="10" t="inlineStr">
        <is>
          <t>Z, A y L son matrices cuadradas.</t>
        </is>
      </c>
    </row>
    <row r="61">
      <c r="A61" s="10" t="inlineStr">
        <is>
          <t>max_abs_A_menos_Z_sobre_x</t>
        </is>
      </c>
      <c r="B61" s="11" t="n">
        <v>1.110223024625157e-16</v>
      </c>
      <c r="C61" s="10" t="inlineStr">
        <is>
          <t>Consistencia de coeficientes tecnicos.</t>
        </is>
      </c>
    </row>
    <row r="62">
      <c r="A62" s="10" t="inlineStr">
        <is>
          <t>max_abs_Leontief</t>
        </is>
      </c>
      <c r="B62" s="11" t="n">
        <v>1.110223024625157e-15</v>
      </c>
      <c r="C62" s="10" t="inlineStr">
        <is>
          <t>Residual (I-A)L - I.</t>
        </is>
      </c>
    </row>
    <row r="63">
      <c r="A63" s="10" t="inlineStr">
        <is>
          <t>max_abs_fila_x_menos_Z_menos_y</t>
        </is>
      </c>
      <c r="B63" s="11" t="n">
        <v>603.9112367413763</v>
      </c>
      <c r="C63" s="10" t="inlineStr">
        <is>
          <t>Cierre por filas: x = ventas intermedias + demanda final.</t>
        </is>
      </c>
    </row>
    <row r="64">
      <c r="A64" s="10" t="inlineStr">
        <is>
          <t>max_abs_columna_x_menos_Z_menos_ajuste_menos_v</t>
        </is>
      </c>
      <c r="B64" s="11" t="n">
        <v>603.9112367260823</v>
      </c>
      <c r="C64" s="10" t="inlineStr">
        <is>
          <t>Cierre por columnas con ajuste procesado.</t>
        </is>
      </c>
    </row>
    <row r="65">
      <c r="A65" s="10" t="inlineStr">
        <is>
          <t>max_abs_total_x_menos_Ztotal_menos_ajuste_no_asignado_menos_v</t>
        </is>
      </c>
      <c r="B65" s="11" t="n">
        <v>603.9112367260823</v>
      </c>
      <c r="C65" s="10" t="inlineStr">
        <is>
          <t>Cierre Cuadro 3.</t>
        </is>
      </c>
    </row>
    <row r="66">
      <c r="A66" s="10" t="inlineStr">
        <is>
          <t>sectores_y_negativa</t>
        </is>
      </c>
      <c r="B66" s="11" t="n">
        <v>0</v>
      </c>
      <c r="C66" s="10" t="inlineStr">
        <is>
          <t>Demanda final total negativa.</t>
        </is>
      </c>
    </row>
    <row r="67">
      <c r="A67" s="10" t="inlineStr">
        <is>
          <t>min_y</t>
        </is>
      </c>
      <c r="B67" s="11" t="n">
        <v>0</v>
      </c>
      <c r="C67" s="10" t="inlineStr">
        <is>
          <t>Minimo de demanda final total.</t>
        </is>
      </c>
    </row>
    <row r="68">
      <c r="A68" s="10" t="inlineStr">
        <is>
          <t>sectores_va_negativo</t>
        </is>
      </c>
      <c r="B68" s="11" t="n">
        <v>0</v>
      </c>
      <c r="C68" s="10" t="inlineStr">
        <is>
          <t>Valor agregado negativo.</t>
        </is>
      </c>
    </row>
    <row r="69">
      <c r="A69" s="10" t="inlineStr">
        <is>
          <t>min_va</t>
        </is>
      </c>
      <c r="B69" s="11" t="n">
        <v>1009.95926338168</v>
      </c>
      <c r="C69" s="10" t="inlineStr">
        <is>
          <t>Minimo de valor agregado.</t>
        </is>
      </c>
    </row>
    <row r="70">
      <c r="A70" s="10" t="inlineStr">
        <is>
          <t>sectores_ajuste_negativo</t>
        </is>
      </c>
      <c r="B70" s="11" t="n">
        <v>0</v>
      </c>
      <c r="C70" s="10" t="inlineStr">
        <is>
          <t>Ajuste intermedio/importado con signo negativo.</t>
        </is>
      </c>
    </row>
    <row r="71">
      <c r="A71" s="10" t="inlineStr">
        <is>
          <t>min_ajuste</t>
        </is>
      </c>
      <c r="B71" s="11" t="n">
        <v>0</v>
      </c>
      <c r="C71" s="10" t="inlineStr">
        <is>
          <t>Minimo de ajuste intermedio/importado.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</cols>
  <sheetData>
    <row r="1">
      <c r="A1" s="16" t="inlineStr">
        <is>
          <t>Principio</t>
        </is>
      </c>
      <c r="B1" s="16" t="inlineStr">
        <is>
          <t>La matriz no fuerza balances: muestra el cierre y sus diferencias.</t>
        </is>
      </c>
    </row>
    <row r="2">
      <c r="A2" s="10" t="inlineStr">
        <is>
          <t>Diseno</t>
        </is>
      </c>
      <c r="B2" s="10" t="inlineStr">
        <is>
          <t>Estructura inspirada en el anexo MIP de Colombia: cuadros con Z, demanda final, valor agregado y produccion en una misma hoja.</t>
        </is>
      </c>
    </row>
    <row r="3">
      <c r="A3" s="35" t="inlineStr">
        <is>
          <t>Colores</t>
        </is>
      </c>
      <c r="B3" s="35" t="inlineStr">
        <is>
          <t>Paleta CEPAL: azul institucional, celeste y grises tecnicos.</t>
        </is>
      </c>
    </row>
    <row r="4">
      <c r="A4" s="10" t="inlineStr">
        <is>
          <t>Fuente</t>
        </is>
      </c>
      <c r="B4" s="10" t="inlineStr">
        <is>
          <t>COU CEPAL Brasil base 2000</t>
        </is>
      </c>
    </row>
    <row r="5">
      <c r="A5" s="10" t="inlineStr">
        <is>
          <t>Ano</t>
        </is>
      </c>
      <c r="B5" s="10" t="inlineStr">
        <is>
          <t>2004</t>
        </is>
      </c>
    </row>
    <row r="6">
      <c r="A6" s="10" t="inlineStr">
        <is>
          <t>Archivo fuente COU/referencia</t>
        </is>
      </c>
      <c r="B6" s="10" t="inlineStr">
        <is>
          <t>data\processed\brasil_early\cou_brasil_early_2004.xlsx</t>
        </is>
      </c>
    </row>
    <row r="7">
      <c r="A7" s="10" t="inlineStr">
        <is>
          <t>Ajuste intermedio</t>
        </is>
      </c>
      <c r="B7" s="10" t="inlineStr">
        <is>
          <t>U_importada/ajuste transformado a industrias con D = V * diag(q)^-1.</t>
        </is>
      </c>
    </row>
    <row r="8">
      <c r="A8" s="10" t="inlineStr">
        <is>
          <t>Convencion</t>
        </is>
      </c>
      <c r="B8" s="10" t="inlineStr">
        <is>
          <t>Demanda final se presenta como Gasto de consumo final, Formacion bruta de capital, Exportaciones netas, Sin desglose fuente y Total.</t>
        </is>
      </c>
    </row>
    <row r="9">
      <c r="A9" s="10" t="inlineStr">
        <is>
          <t>Convencion</t>
        </is>
      </c>
      <c r="B9" s="10" t="inlineStr">
        <is>
          <t>Exportaciones netas se calcula como residuo frente al total MIP para evitar ambiguedad de signo en importaciones.</t>
        </is>
      </c>
    </row>
    <row r="10">
      <c r="A10" s="10" t="inlineStr">
        <is>
          <t>Alerta</t>
        </is>
      </c>
      <c r="B10" s="10" t="inlineStr">
        <is>
          <t>Un valor agregado negativo o ajuste negativo se conserva y se marca; no se maquilla.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2026-07-07T00:55:20Z</dcterms:created>
  <dcterms:modified xmlns:dcterms="http://purl.org/dc/terms/" xmlns:xsi="http://www.w3.org/2001/XMLSchema-instance" xsi:type="dcterms:W3CDTF">2026-07-07T00:55:21Z</dcterms:modified>
</cp:coreProperties>
</file>