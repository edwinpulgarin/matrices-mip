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dice" sheetId="1" state="visible" r:id="rId1"/>
    <sheet xmlns:r="http://schemas.openxmlformats.org/officeDocument/2006/relationships" name="Cuadro 1" sheetId="2" state="visible" r:id="rId2"/>
    <sheet xmlns:r="http://schemas.openxmlformats.org/officeDocument/2006/relationships" name="Cuadro 2" sheetId="3" state="visible" r:id="rId3"/>
    <sheet xmlns:r="http://schemas.openxmlformats.org/officeDocument/2006/relationships" name="Cuadro 3" sheetId="4" state="visible" r:id="rId4"/>
    <sheet xmlns:r="http://schemas.openxmlformats.org/officeDocument/2006/relationships" name="Cuadro 4" sheetId="5" state="visible" r:id="rId5"/>
    <sheet xmlns:r="http://schemas.openxmlformats.org/officeDocument/2006/relationships" name="Nota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0;[Red]-#,##0.0000;&quot;-&quot;"/>
    <numFmt numFmtId="165" formatCode="#,##0.0;[Red]-#,##0.0;&quot;-&quot;"/>
  </numFmts>
  <fonts count="16">
    <font>
      <name val="Calibri"/>
      <family val="2"/>
      <color theme="1"/>
      <sz val="11"/>
      <scheme val="minor"/>
    </font>
    <font>
      <name val="Segoe UI"/>
      <color rgb="0017324D"/>
      <sz val="10"/>
    </font>
    <font>
      <name val="Segoe UI"/>
      <b val="1"/>
      <color rgb="00FFFFFF"/>
      <sz val="14"/>
    </font>
    <font>
      <name val="Segoe UI"/>
      <b val="1"/>
      <color rgb="0017324D"/>
      <sz val="12"/>
    </font>
    <font>
      <name val="Segoe UI"/>
      <b val="1"/>
      <color rgb="0017324D"/>
      <sz val="10"/>
    </font>
    <font>
      <name val="Segoe UI"/>
      <b val="1"/>
      <color rgb="00FFFFFF"/>
      <sz val="10"/>
    </font>
    <font>
      <name val="Segoe UI"/>
      <b val="1"/>
      <color rgb="000072BC"/>
      <sz val="10"/>
    </font>
    <font>
      <name val="Segoe UI"/>
      <b val="1"/>
      <color rgb="000072BC"/>
      <sz val="10"/>
      <u val="single"/>
    </font>
    <font>
      <name val="Segoe UI"/>
      <b val="1"/>
      <color rgb="0000558C"/>
      <sz val="9"/>
    </font>
    <font>
      <name val="Segoe UI"/>
      <color rgb="0017324D"/>
      <sz val="9"/>
    </font>
    <font>
      <name val="Segoe UI"/>
      <b val="1"/>
      <color rgb="0017324D"/>
      <sz val="9"/>
    </font>
    <font>
      <name val="Segoe UI"/>
      <color rgb="0017324D"/>
      <sz val="8"/>
    </font>
    <font>
      <name val="Segoe UI"/>
      <color rgb="000072BC"/>
      <sz val="8"/>
      <u val="single"/>
    </font>
    <font>
      <name val="Segoe UI"/>
      <b val="1"/>
      <color rgb="0017324D"/>
      <sz val="7.5"/>
    </font>
    <font>
      <name val="Segoe UI"/>
      <b val="1"/>
      <color rgb="0017324D"/>
      <sz val="8"/>
    </font>
    <font>
      <name val="Segoe UI"/>
      <b val="1"/>
      <color rgb="00842029"/>
      <sz val="8"/>
    </font>
  </fonts>
  <fills count="10">
    <fill>
      <patternFill/>
    </fill>
    <fill>
      <patternFill patternType="gray125"/>
    </fill>
    <fill>
      <patternFill patternType="solid">
        <fgColor rgb="000072BC"/>
      </patternFill>
    </fill>
    <fill>
      <patternFill patternType="solid">
        <fgColor rgb="00F2F2F2"/>
      </patternFill>
    </fill>
    <fill>
      <patternFill patternType="solid">
        <fgColor rgb="0000558C"/>
      </patternFill>
    </fill>
    <fill>
      <patternFill patternType="solid">
        <fgColor rgb="00F8D7DA"/>
      </patternFill>
    </fill>
    <fill>
      <patternFill patternType="solid">
        <fgColor rgb="00FAFBFC"/>
      </patternFill>
    </fill>
    <fill>
      <patternFill patternType="solid">
        <fgColor rgb="00EEF3F8"/>
      </patternFill>
    </fill>
    <fill>
      <patternFill patternType="solid">
        <fgColor rgb="00FFF3CD"/>
      </patternFill>
    </fill>
    <fill>
      <patternFill patternType="solid">
        <fgColor rgb="00D4EFDF"/>
      </patternFill>
    </fill>
  </fills>
  <borders count="7">
    <border>
      <left/>
      <right/>
      <top/>
      <bottom/>
      <diagonal/>
    </border>
    <border/>
    <border>
      <bottom style="thin">
        <color rgb="00D7DEE8"/>
      </bottom>
    </border>
    <border>
      <top style="thin">
        <color rgb="00D7DEE8"/>
      </top>
      <bottom style="thin">
        <color rgb="00D7DEE8"/>
      </bottom>
    </border>
    <border>
      <bottom style="hair">
        <color rgb="00E8EDF3"/>
      </bottom>
    </border>
    <border>
      <top style="thin">
        <color rgb="00D7DEE8"/>
      </top>
      <bottom style="hair">
        <color rgb="00E8EDF3"/>
      </bottom>
    </border>
    <border>
      <top style="medium">
        <color rgb="008B96A6"/>
      </top>
      <bottom style="thin">
        <color rgb="00D7DEE8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0" borderId="0" applyAlignment="1" pivotButton="0" quotePrefix="0" xfId="0">
      <alignment vertical="center" wrapText="1"/>
    </xf>
    <xf numFmtId="0" fontId="2" fillId="2" borderId="0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vertical="center" wrapText="1"/>
    </xf>
    <xf numFmtId="0" fontId="1" fillId="0" borderId="2" applyAlignment="1" pivotButton="0" quotePrefix="0" xfId="0">
      <alignment vertical="center" wrapText="1"/>
    </xf>
    <xf numFmtId="0" fontId="4" fillId="3" borderId="3" applyAlignment="1" pivotButton="0" quotePrefix="0" xfId="0">
      <alignment vertical="center" wrapText="1"/>
    </xf>
    <xf numFmtId="0" fontId="7" fillId="0" borderId="4" applyAlignment="1" pivotButton="0" quotePrefix="0" xfId="0">
      <alignment vertical="center" wrapText="1"/>
    </xf>
    <xf numFmtId="0" fontId="1" fillId="0" borderId="4" applyAlignment="1" pivotButton="0" quotePrefix="0" xfId="0">
      <alignment vertical="center" wrapText="1"/>
    </xf>
    <xf numFmtId="0" fontId="8" fillId="0" borderId="4" applyAlignment="1" pivotButton="0" quotePrefix="0" xfId="0">
      <alignment vertical="center" wrapText="1"/>
    </xf>
    <xf numFmtId="0" fontId="9" fillId="0" borderId="4" applyAlignment="1" pivotButton="0" quotePrefix="0" xfId="0">
      <alignment vertical="center" wrapText="1"/>
    </xf>
    <xf numFmtId="164" fontId="9" fillId="0" borderId="4" applyAlignment="1" pivotButton="0" quotePrefix="0" xfId="0">
      <alignment vertical="center" wrapText="1"/>
    </xf>
    <xf numFmtId="0" fontId="6" fillId="0" borderId="4" applyAlignment="1" pivotButton="0" quotePrefix="0" xfId="0">
      <alignment vertical="center" wrapText="1"/>
    </xf>
    <xf numFmtId="0" fontId="6" fillId="3" borderId="4" applyAlignment="1" pivotButton="0" quotePrefix="0" xfId="0">
      <alignment vertical="center" wrapText="1"/>
    </xf>
    <xf numFmtId="0" fontId="8" fillId="3" borderId="4" applyAlignment="1" pivotButton="0" quotePrefix="0" xfId="0">
      <alignment vertical="center" wrapText="1"/>
    </xf>
    <xf numFmtId="0" fontId="9" fillId="3" borderId="4" applyAlignment="1" pivotButton="0" quotePrefix="0" xfId="0">
      <alignment vertical="center" wrapText="1"/>
    </xf>
    <xf numFmtId="0" fontId="5" fillId="4" borderId="3" applyAlignment="1" pivotButton="0" quotePrefix="0" xfId="0">
      <alignment vertical="center" wrapText="1"/>
    </xf>
    <xf numFmtId="0" fontId="10" fillId="0" borderId="4" applyAlignment="1" pivotButton="0" quotePrefix="0" xfId="0">
      <alignment vertical="center" wrapText="1"/>
    </xf>
    <xf numFmtId="164" fontId="9" fillId="0" borderId="4" applyAlignment="1" pivotButton="0" quotePrefix="0" xfId="0">
      <alignment horizontal="right" vertical="center"/>
    </xf>
    <xf numFmtId="164" fontId="9" fillId="5" borderId="4" applyAlignment="1" pivotButton="0" quotePrefix="0" xfId="0">
      <alignment horizontal="right" vertical="center"/>
    </xf>
    <xf numFmtId="0" fontId="5" fillId="2" borderId="0" applyAlignment="1" pivotButton="0" quotePrefix="0" xfId="0">
      <alignment vertical="center" wrapText="1"/>
    </xf>
    <xf numFmtId="0" fontId="11" fillId="0" borderId="0" applyAlignment="1" pivotButton="0" quotePrefix="0" xfId="0">
      <alignment vertical="center"/>
    </xf>
    <xf numFmtId="0" fontId="12" fillId="0" borderId="0" applyAlignment="1" pivotButton="0" quotePrefix="0" xfId="0">
      <alignment horizontal="center" vertical="center"/>
    </xf>
    <xf numFmtId="0" fontId="13" fillId="3" borderId="5" applyAlignment="1" pivotButton="0" quotePrefix="0" xfId="0">
      <alignment horizontal="center" vertical="center" wrapText="1"/>
    </xf>
    <xf numFmtId="0" fontId="0" fillId="0" borderId="5" pivotButton="0" quotePrefix="0" xfId="0"/>
    <xf numFmtId="0" fontId="13" fillId="3" borderId="3" applyAlignment="1" pivotButton="0" quotePrefix="0" xfId="0">
      <alignment horizontal="center" vertical="center" wrapText="1"/>
    </xf>
    <xf numFmtId="0" fontId="0" fillId="0" borderId="2" pivotButton="0" quotePrefix="0" xfId="0"/>
    <xf numFmtId="0" fontId="13" fillId="3" borderId="2" applyAlignment="1" pivotButton="0" quotePrefix="0" xfId="0">
      <alignment horizontal="center" vertical="center" wrapText="1"/>
    </xf>
    <xf numFmtId="165" fontId="11" fillId="6" borderId="4" applyAlignment="1" pivotButton="0" quotePrefix="0" xfId="0">
      <alignment horizontal="right" vertical="center"/>
    </xf>
    <xf numFmtId="0" fontId="11" fillId="6" borderId="4" applyAlignment="1" pivotButton="0" quotePrefix="0" xfId="0">
      <alignment vertical="center"/>
    </xf>
    <xf numFmtId="165" fontId="11" fillId="0" borderId="4" applyAlignment="1" pivotButton="0" quotePrefix="0" xfId="0">
      <alignment horizontal="right" vertical="center"/>
    </xf>
    <xf numFmtId="0" fontId="11" fillId="0" borderId="4" applyAlignment="1" pivotButton="0" quotePrefix="0" xfId="0">
      <alignment vertical="center"/>
    </xf>
    <xf numFmtId="0" fontId="14" fillId="7" borderId="6" applyAlignment="1" pivotButton="0" quotePrefix="0" xfId="0">
      <alignment vertical="center"/>
    </xf>
    <xf numFmtId="165" fontId="14" fillId="7" borderId="6" applyAlignment="1" pivotButton="0" quotePrefix="0" xfId="0">
      <alignment horizontal="right" vertical="center"/>
    </xf>
    <xf numFmtId="165" fontId="15" fillId="5" borderId="6" applyAlignment="1" pivotButton="0" quotePrefix="0" xfId="0">
      <alignment horizontal="right" vertical="center"/>
    </xf>
    <xf numFmtId="0" fontId="14" fillId="8" borderId="6" applyAlignment="1" pivotButton="0" quotePrefix="0" xfId="0">
      <alignment vertical="center"/>
    </xf>
    <xf numFmtId="165" fontId="14" fillId="8" borderId="6" applyAlignment="1" pivotButton="0" quotePrefix="0" xfId="0">
      <alignment horizontal="right" vertical="center"/>
    </xf>
    <xf numFmtId="0" fontId="10" fillId="3" borderId="3" applyAlignment="1" pivotButton="0" quotePrefix="0" xfId="0">
      <alignment vertical="center" wrapText="1"/>
    </xf>
    <xf numFmtId="164" fontId="9" fillId="9" borderId="4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Cuadro 1'!A1" TargetMode="External" Id="rId1"/><Relationship Type="http://schemas.openxmlformats.org/officeDocument/2006/relationships/hyperlink" Target="#'Cuadro 2'!A1" TargetMode="External" Id="rId2"/><Relationship Type="http://schemas.openxmlformats.org/officeDocument/2006/relationships/hyperlink" Target="#'Cuadro 3'!A1" TargetMode="External" Id="rId3"/><Relationship Type="http://schemas.openxmlformats.org/officeDocument/2006/relationships/hyperlink" Target="#'Cuadro 4'!A1" TargetMode="External" Id="rId4"/><Relationship Type="http://schemas.openxmlformats.org/officeDocument/2006/relationships/hyperlink" Target="#'Notas'!A1" TargetMode="External" Id="rId5"/></Relationships>
</file>

<file path=xl/worksheets/_rels/sheet2.xml.rels><Relationships xmlns="http://schemas.openxmlformats.org/package/2006/relationships"><Relationship Type="http://schemas.openxmlformats.org/officeDocument/2006/relationships/hyperlink" Target="#'Indice'!A1" TargetMode="External" Id="rId1"/></Relationships>
</file>

<file path=xl/worksheets/_rels/sheet3.xml.rels><Relationships xmlns="http://schemas.openxmlformats.org/package/2006/relationships"><Relationship Type="http://schemas.openxmlformats.org/officeDocument/2006/relationships/hyperlink" Target="#'Indice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Indice'!A1" TargetMode="Externa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5"/>
  <sheetViews>
    <sheetView showGridLines="0" zoomScale="85" workbookViewId="0">
      <pane ySplit="21" topLeftCell="A22" activePane="bottomLeft" state="frozen"/>
      <selection pane="bottomLeft" activeCell="A1" sqref="A1"/>
    </sheetView>
  </sheetViews>
  <sheetFormatPr baseColWidth="8" defaultRowHeight="15"/>
  <cols>
    <col width="3" customWidth="1" min="1" max="1"/>
    <col width="28" customWidth="1" min="2" max="2"/>
    <col width="24" customWidth="1" min="3" max="3"/>
    <col width="86" customWidth="1" min="4" max="4"/>
    <col width="4" customWidth="1" min="5" max="5"/>
    <col width="24" customWidth="1" min="6" max="6"/>
    <col width="28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 ht="54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17" customHeight="1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</row>
    <row r="3" ht="18" customHeight="1">
      <c r="A3" s="2" t="inlineStr">
        <is>
          <t>CEPAL | MATRICES INSUMO-PRODUCTO AUDITABLES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</row>
    <row r="4" ht="18" customHeight="1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</row>
    <row r="5" ht="18" customHeight="1">
      <c r="A5" s="3" t="inlineStr">
        <is>
          <t>Matriz insumo producto
Brasil 2008</t>
        </is>
      </c>
      <c r="B5" s="4" t="n"/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</row>
    <row r="6" ht="18" customHeight="1">
      <c r="A6" s="4" t="n"/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</row>
    <row r="7" ht="18" customHeight="1">
      <c r="A7" s="5" t="n"/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</row>
    <row r="8" ht="17" customHeight="1">
      <c r="A8" s="1" t="n"/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  <c r="M8" s="1" t="n"/>
    </row>
    <row r="9" ht="17" customHeight="1">
      <c r="A9" s="1" t="n"/>
      <c r="B9" s="6" t="inlineStr">
        <is>
          <t>Matrices insumo-producto, actividad por actividad</t>
        </is>
      </c>
      <c r="C9" s="1" t="n"/>
      <c r="D9" s="1" t="n"/>
      <c r="E9" s="1" t="n"/>
      <c r="F9" s="6" t="inlineStr">
        <is>
          <t>Ficha tecnica</t>
        </is>
      </c>
      <c r="G9" s="1" t="n"/>
      <c r="H9" s="1" t="n"/>
      <c r="I9" s="1" t="n"/>
      <c r="J9" s="1" t="n"/>
      <c r="K9" s="1" t="n"/>
      <c r="L9" s="1" t="n"/>
      <c r="M9" s="1" t="n"/>
    </row>
    <row r="10" ht="22" customHeight="1">
      <c r="A10" s="1" t="n"/>
      <c r="B10" s="7" t="inlineStr">
        <is>
          <t>Cuadro 1</t>
        </is>
      </c>
      <c r="C10" s="8" t="inlineStr">
        <is>
          <t>Nacional / domestica</t>
        </is>
      </c>
      <c r="D10" s="1" t="n"/>
      <c r="E10" s="1" t="n"/>
      <c r="F10" s="9" t="inlineStr">
        <is>
          <t>Pais</t>
        </is>
      </c>
      <c r="G10" s="10" t="inlineStr">
        <is>
          <t>Brasil</t>
        </is>
      </c>
      <c r="H10" s="1" t="n"/>
      <c r="I10" s="1" t="n"/>
      <c r="J10" s="1" t="n"/>
      <c r="K10" s="1" t="n"/>
      <c r="L10" s="1" t="n"/>
      <c r="M10" s="1" t="n"/>
    </row>
    <row r="11" ht="22" customHeight="1">
      <c r="A11" s="1" t="n"/>
      <c r="B11" s="7" t="inlineStr">
        <is>
          <t>Cuadro 2</t>
        </is>
      </c>
      <c r="C11" s="8" t="inlineStr">
        <is>
          <t>Importada / ajuste intermedio</t>
        </is>
      </c>
      <c r="D11" s="1" t="n"/>
      <c r="E11" s="1" t="n"/>
      <c r="F11" s="9" t="inlineStr">
        <is>
          <t>Ano</t>
        </is>
      </c>
      <c r="G11" s="11" t="n">
        <v>2008</v>
      </c>
      <c r="H11" s="1" t="n"/>
      <c r="I11" s="1" t="n"/>
      <c r="J11" s="1" t="n"/>
      <c r="K11" s="1" t="n"/>
      <c r="L11" s="1" t="n"/>
      <c r="M11" s="1" t="n"/>
    </row>
    <row r="12" ht="22" customHeight="1">
      <c r="A12" s="1" t="n"/>
      <c r="B12" s="7" t="inlineStr">
        <is>
          <t>Cuadro 3</t>
        </is>
      </c>
      <c r="C12" s="8" t="inlineStr">
        <is>
          <t>Nacional e importada - total auditable</t>
        </is>
      </c>
      <c r="D12" s="1" t="n"/>
      <c r="E12" s="1" t="n"/>
      <c r="F12" s="9" t="inlineStr">
        <is>
          <t>Fuente metodologica</t>
        </is>
      </c>
      <c r="G12" s="10" t="inlineStr">
        <is>
          <t>COU CEPAL Brasil base 2000</t>
        </is>
      </c>
      <c r="H12" s="1" t="n"/>
      <c r="I12" s="1" t="n"/>
      <c r="J12" s="1" t="n"/>
      <c r="K12" s="1" t="n"/>
      <c r="L12" s="1" t="n"/>
      <c r="M12" s="1" t="n"/>
    </row>
    <row r="13" ht="17" customHeight="1">
      <c r="A13" s="1" t="n"/>
      <c r="B13" s="12" t="inlineStr"/>
      <c r="C13" s="8" t="inlineStr"/>
      <c r="D13" s="1" t="n"/>
      <c r="E13" s="1" t="n"/>
      <c r="F13" s="9" t="inlineStr">
        <is>
          <t>Tipo</t>
        </is>
      </c>
      <c r="G13" s="10" t="inlineStr">
        <is>
          <t>Reconstruida desde COU</t>
        </is>
      </c>
      <c r="H13" s="1" t="n"/>
      <c r="I13" s="1" t="n"/>
      <c r="J13" s="1" t="n"/>
      <c r="K13" s="1" t="n"/>
      <c r="L13" s="1" t="n"/>
      <c r="M13" s="1" t="n"/>
    </row>
    <row r="14" ht="17" customHeight="1">
      <c r="A14" s="1" t="n"/>
      <c r="B14" s="13" t="inlineStr">
        <is>
          <t>Auditoria, multiplicadores y notas</t>
        </is>
      </c>
      <c r="C14" s="1" t="n"/>
      <c r="D14" s="1" t="n"/>
      <c r="E14" s="1" t="n"/>
      <c r="F14" s="14" t="inlineStr">
        <is>
          <t>Ajuste intermedio</t>
        </is>
      </c>
      <c r="G14" s="15" t="inlineStr">
        <is>
          <t>U_importada/ajuste transformado a industrias con D = V * diag(q)^-1.</t>
        </is>
      </c>
      <c r="H14" s="1" t="n"/>
      <c r="I14" s="1" t="n"/>
      <c r="J14" s="1" t="n"/>
      <c r="K14" s="1" t="n"/>
      <c r="L14" s="1" t="n"/>
      <c r="M14" s="1" t="n"/>
    </row>
    <row r="15" ht="22" customHeight="1">
      <c r="A15" s="1" t="n"/>
      <c r="B15" s="7" t="inlineStr">
        <is>
          <t>Cuadro 4</t>
        </is>
      </c>
      <c r="C15" s="8" t="inlineStr">
        <is>
          <t>Multiplicadores y validaciones</t>
        </is>
      </c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</row>
    <row r="16" ht="22" customHeight="1">
      <c r="A16" s="1" t="n"/>
      <c r="B16" s="7" t="inlineStr">
        <is>
          <t>Notas</t>
        </is>
      </c>
      <c r="C16" s="8" t="inlineStr">
        <is>
          <t>Fuente, convenciones y lectura contable</t>
        </is>
      </c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</row>
    <row r="17" ht="17" customHeight="1">
      <c r="A17" s="1" t="n"/>
      <c r="B17" s="1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</row>
    <row r="18" ht="17" customHeight="1">
      <c r="A18" s="1" t="n"/>
      <c r="B18" s="1" t="n"/>
      <c r="C18" s="1" t="n"/>
      <c r="D18" s="1" t="n"/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</row>
    <row r="19" ht="17" customHeight="1">
      <c r="A19" s="1" t="n"/>
      <c r="B19" s="1" t="n"/>
      <c r="C19" s="1" t="n"/>
      <c r="D19" s="1" t="n"/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</row>
    <row r="20" ht="17" customHeight="1">
      <c r="A20" s="16" t="inlineStr">
        <is>
          <t>Validacion contable y matematica</t>
        </is>
      </c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  <c r="K20" s="1" t="n"/>
      <c r="L20" s="1" t="n"/>
      <c r="M20" s="1" t="n"/>
    </row>
    <row r="21" ht="17" customHeight="1">
      <c r="A21" s="1" t="n"/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</row>
    <row r="22" ht="17" customHeight="1">
      <c r="A22" s="1" t="n"/>
      <c r="B22" s="6" t="inlineStr">
        <is>
          <t>prueba</t>
        </is>
      </c>
      <c r="C22" s="6" t="inlineStr">
        <is>
          <t>resultado</t>
        </is>
      </c>
      <c r="D22" s="6" t="inlineStr">
        <is>
          <t>lectura</t>
        </is>
      </c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</row>
    <row r="23" ht="17" customHeight="1">
      <c r="A23" s="1" t="n"/>
      <c r="B23" s="17" t="inlineStr">
        <is>
          <t>sectores</t>
        </is>
      </c>
      <c r="C23" s="18" t="n">
        <v>51</v>
      </c>
      <c r="D23" s="10" t="inlineStr">
        <is>
          <t>Cantidad de sectores de la MIP.</t>
        </is>
      </c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</row>
    <row r="24" ht="17" customHeight="1">
      <c r="A24" s="1" t="n"/>
      <c r="B24" s="17" t="inlineStr">
        <is>
          <t>cuadrada_Z_A_L</t>
        </is>
      </c>
      <c r="C24" s="18" t="b">
        <v>1</v>
      </c>
      <c r="D24" s="10" t="inlineStr">
        <is>
          <t>Z, A y L son matrices cuadradas.</t>
        </is>
      </c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</row>
    <row r="25" ht="17" customHeight="1">
      <c r="A25" s="1" t="n"/>
      <c r="B25" s="17" t="inlineStr">
        <is>
          <t>max_abs_A_menos_Z_sobre_x</t>
        </is>
      </c>
      <c r="C25" s="18" t="n">
        <v>1.387778780781446e-16</v>
      </c>
      <c r="D25" s="10" t="inlineStr">
        <is>
          <t>Consistencia de coeficientes tecnicos.</t>
        </is>
      </c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</row>
    <row r="26" ht="17" customHeight="1">
      <c r="A26" s="1" t="n"/>
      <c r="B26" s="17" t="inlineStr">
        <is>
          <t>max_abs_Leontief</t>
        </is>
      </c>
      <c r="C26" s="18" t="n">
        <v>1.110223024625157e-15</v>
      </c>
      <c r="D26" s="10" t="inlineStr">
        <is>
          <t>Residual (I-A)L - I.</t>
        </is>
      </c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</row>
    <row r="27" ht="17" customHeight="1">
      <c r="A27" s="1" t="n"/>
      <c r="B27" s="17" t="inlineStr">
        <is>
          <t>max_abs_fila_x_menos_Z_menos_y</t>
        </is>
      </c>
      <c r="C27" s="18" t="n">
        <v>1208.86943459537</v>
      </c>
      <c r="D27" s="10" t="inlineStr">
        <is>
          <t>Cierre por filas: x = ventas intermedias + demanda final.</t>
        </is>
      </c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</row>
    <row r="28" ht="17" customHeight="1">
      <c r="A28" s="1" t="n"/>
      <c r="B28" s="17" t="inlineStr">
        <is>
          <t>max_abs_columna_x_menos_Z_menos_ajuste_menos_v</t>
        </is>
      </c>
      <c r="C28" s="18" t="n">
        <v>1244.604550224365</v>
      </c>
      <c r="D28" s="10" t="inlineStr">
        <is>
          <t>Cierre por columnas con ajuste procesado.</t>
        </is>
      </c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</row>
    <row r="29" ht="17" customHeight="1">
      <c r="A29" s="1" t="n"/>
      <c r="B29" s="17" t="inlineStr">
        <is>
          <t>max_abs_total_x_menos_Ztotal_menos_ajuste_no_asignado_menos_v</t>
        </is>
      </c>
      <c r="C29" s="18" t="n">
        <v>1244.604550224365</v>
      </c>
      <c r="D29" s="10" t="inlineStr">
        <is>
          <t>Cierre Cuadro 3.</t>
        </is>
      </c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</row>
    <row r="30" ht="17" customHeight="1">
      <c r="A30" s="1" t="n"/>
      <c r="B30" s="17" t="inlineStr">
        <is>
          <t>sectores_y_negativa</t>
        </is>
      </c>
      <c r="C30" s="18" t="n">
        <v>0</v>
      </c>
      <c r="D30" s="10" t="inlineStr">
        <is>
          <t>Demanda final total negativa.</t>
        </is>
      </c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</row>
    <row r="31" ht="17" customHeight="1">
      <c r="A31" s="1" t="n"/>
      <c r="B31" s="17" t="inlineStr">
        <is>
          <t>min_y</t>
        </is>
      </c>
      <c r="C31" s="18" t="n">
        <v>739.3987407752509</v>
      </c>
      <c r="D31" s="10" t="inlineStr">
        <is>
          <t>Minimo de demanda final total.</t>
        </is>
      </c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</row>
    <row r="32" ht="17" customHeight="1">
      <c r="A32" s="1" t="n"/>
      <c r="B32" s="17" t="inlineStr">
        <is>
          <t>sectores_va_negativo</t>
        </is>
      </c>
      <c r="C32" s="18" t="n">
        <v>0</v>
      </c>
      <c r="D32" s="10" t="inlineStr">
        <is>
          <t>Valor agregado negativo.</t>
        </is>
      </c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</row>
    <row r="33" ht="17" customHeight="1">
      <c r="A33" s="1" t="n"/>
      <c r="B33" s="17" t="inlineStr">
        <is>
          <t>min_va</t>
        </is>
      </c>
      <c r="C33" s="18" t="n">
        <v>1644.14244847053</v>
      </c>
      <c r="D33" s="10" t="inlineStr">
        <is>
          <t>Minimo de valor agregado.</t>
        </is>
      </c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</row>
    <row r="34" ht="17" customHeight="1">
      <c r="A34" s="1" t="n"/>
      <c r="B34" s="17" t="inlineStr">
        <is>
          <t>sectores_ajuste_negativo</t>
        </is>
      </c>
      <c r="C34" s="18" t="n">
        <v>4</v>
      </c>
      <c r="D34" s="10" t="inlineStr">
        <is>
          <t>Ajuste intermedio/importado con signo negativo.</t>
        </is>
      </c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</row>
    <row r="35" ht="17" customHeight="1">
      <c r="A35" s="1" t="n"/>
      <c r="B35" s="17" t="inlineStr">
        <is>
          <t>min_ajuste</t>
        </is>
      </c>
      <c r="C35" s="19" t="n">
        <v>-2103.884834608309</v>
      </c>
      <c r="D35" s="10" t="inlineStr">
        <is>
          <t>Minimo de ajuste intermedio/importado.</t>
        </is>
      </c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</row>
  </sheetData>
  <mergeCells count="17">
    <mergeCell ref="C12:D12"/>
    <mergeCell ref="G14:M14"/>
    <mergeCell ref="B14:D14"/>
    <mergeCell ref="A1:M1"/>
    <mergeCell ref="C10:D10"/>
    <mergeCell ref="C16:D16"/>
    <mergeCell ref="C15:D15"/>
    <mergeCell ref="G13:M13"/>
    <mergeCell ref="C11:D11"/>
    <mergeCell ref="F9:M9"/>
    <mergeCell ref="B9:D9"/>
    <mergeCell ref="G12:M12"/>
    <mergeCell ref="A3:M4"/>
    <mergeCell ref="A20:M20"/>
    <mergeCell ref="G10:M10"/>
    <mergeCell ref="G11:M11"/>
    <mergeCell ref="A5:M7"/>
  </mergeCells>
  <hyperlinks>
    <hyperlink xmlns:r="http://schemas.openxmlformats.org/officeDocument/2006/relationships" ref="B10" r:id="rId1"/>
    <hyperlink xmlns:r="http://schemas.openxmlformats.org/officeDocument/2006/relationships" ref="B11" r:id="rId2"/>
    <hyperlink xmlns:r="http://schemas.openxmlformats.org/officeDocument/2006/relationships" ref="B12" r:id="rId3"/>
    <hyperlink xmlns:r="http://schemas.openxmlformats.org/officeDocument/2006/relationships" ref="B15" r:id="rId4"/>
    <hyperlink xmlns:r="http://schemas.openxmlformats.org/officeDocument/2006/relationships" ref="B16" r:id="rId5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H75"/>
  <sheetViews>
    <sheetView showGridLines="0" zoomScale="70" workbookViewId="0">
      <pane xSplit="2" ySplit="13" topLeftCell="C1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.7" customWidth="1" min="1" max="1"/>
    <col width="77.7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</cols>
  <sheetData>
    <row r="1" ht="44" customHeight="1"/>
    <row r="2"/>
    <row r="3" ht="16" customHeight="1">
      <c r="A3" s="20" t="inlineStr">
        <is>
          <t>Matriz insumo producto, actividad por actividad - Nacional</t>
        </is>
      </c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20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20" t="n"/>
      <c r="AE3" s="20" t="n"/>
      <c r="AF3" s="20" t="n"/>
      <c r="AG3" s="20" t="n"/>
      <c r="AH3" s="20" t="n"/>
      <c r="AI3" s="20" t="n"/>
      <c r="AJ3" s="20" t="n"/>
      <c r="AK3" s="20" t="n"/>
      <c r="AL3" s="20" t="n"/>
      <c r="AM3" s="20" t="n"/>
      <c r="AN3" s="20" t="n"/>
      <c r="AO3" s="20" t="n"/>
      <c r="AP3" s="20" t="n"/>
      <c r="AQ3" s="20" t="n"/>
      <c r="AR3" s="20" t="n"/>
      <c r="AS3" s="20" t="n"/>
      <c r="AT3" s="20" t="n"/>
      <c r="AU3" s="20" t="n"/>
      <c r="AV3" s="20" t="n"/>
      <c r="AW3" s="20" t="n"/>
      <c r="AX3" s="20" t="n"/>
      <c r="AY3" s="20" t="n"/>
      <c r="AZ3" s="20" t="n"/>
      <c r="BA3" s="20" t="n"/>
      <c r="BB3" s="20" t="n"/>
      <c r="BC3" s="20" t="n"/>
      <c r="BD3" s="20" t="n"/>
      <c r="BE3" s="20" t="n"/>
      <c r="BF3" s="20" t="n"/>
      <c r="BG3" s="20" t="n"/>
      <c r="BH3" s="20" t="n"/>
    </row>
    <row r="4" ht="16" customHeight="1"/>
    <row r="5">
      <c r="A5" s="21" t="inlineStr">
        <is>
          <t>Valores a precios corrientes</t>
        </is>
      </c>
    </row>
    <row r="6" ht="16.5" customHeight="1">
      <c r="A6" s="21" t="inlineStr">
        <is>
          <t>Ano 2008</t>
        </is>
      </c>
      <c r="J6" s="22" t="inlineStr">
        <is>
          <t>Indice</t>
        </is>
      </c>
    </row>
    <row r="7">
      <c r="A7" s="21" t="inlineStr">
        <is>
          <t>Base / fuente original</t>
        </is>
      </c>
    </row>
    <row r="8">
      <c r="A8" s="21" t="inlineStr">
        <is>
          <t>Unidades monetarias de la fuente</t>
        </is>
      </c>
    </row>
    <row r="9"/>
    <row r="10" ht="16" customHeight="1">
      <c r="A10" s="23" t="inlineStr">
        <is>
          <t>Codigo</t>
        </is>
      </c>
      <c r="B10" s="23" t="inlineStr">
        <is>
          <t>Actividad economica</t>
        </is>
      </c>
      <c r="C10" s="23" t="inlineStr">
        <is>
          <t>Consumo intermedio por actividades economicas</t>
        </is>
      </c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  <c r="Q10" s="24" t="n"/>
      <c r="R10" s="24" t="n"/>
      <c r="S10" s="24" t="n"/>
      <c r="T10" s="24" t="n"/>
      <c r="U10" s="24" t="n"/>
      <c r="V10" s="24" t="n"/>
      <c r="W10" s="24" t="n"/>
      <c r="X10" s="24" t="n"/>
      <c r="Y10" s="24" t="n"/>
      <c r="Z10" s="24" t="n"/>
      <c r="AA10" s="24" t="n"/>
      <c r="AB10" s="24" t="n"/>
      <c r="AC10" s="24" t="n"/>
      <c r="AD10" s="24" t="n"/>
      <c r="AE10" s="24" t="n"/>
      <c r="AF10" s="24" t="n"/>
      <c r="AG10" s="24" t="n"/>
      <c r="AH10" s="24" t="n"/>
      <c r="AI10" s="24" t="n"/>
      <c r="AJ10" s="24" t="n"/>
      <c r="AK10" s="24" t="n"/>
      <c r="AL10" s="24" t="n"/>
      <c r="AM10" s="24" t="n"/>
      <c r="AN10" s="24" t="n"/>
      <c r="AO10" s="24" t="n"/>
      <c r="AP10" s="24" t="n"/>
      <c r="AQ10" s="24" t="n"/>
      <c r="AR10" s="24" t="n"/>
      <c r="AS10" s="24" t="n"/>
      <c r="AT10" s="24" t="n"/>
      <c r="AU10" s="24" t="n"/>
      <c r="AV10" s="24" t="n"/>
      <c r="AW10" s="24" t="n"/>
      <c r="AX10" s="24" t="n"/>
      <c r="AY10" s="24" t="n"/>
      <c r="AZ10" s="24" t="n"/>
      <c r="BA10" s="24" t="n"/>
      <c r="BB10" s="23" t="inlineStr">
        <is>
          <t>Total consumo intermedio</t>
        </is>
      </c>
      <c r="BC10" s="23" t="inlineStr">
        <is>
          <t>Demanda final</t>
        </is>
      </c>
      <c r="BD10" s="24" t="n"/>
      <c r="BE10" s="24" t="n"/>
      <c r="BF10" s="24" t="n"/>
      <c r="BG10" s="23" t="inlineStr">
        <is>
          <t>Total demanda final</t>
        </is>
      </c>
      <c r="BH10" s="23" t="inlineStr">
        <is>
          <t>Total</t>
        </is>
      </c>
    </row>
    <row r="11" ht="15" customHeight="1">
      <c r="C11" s="25" t="n">
        <v>1</v>
      </c>
      <c r="D11" s="25" t="n">
        <v>2</v>
      </c>
      <c r="E11" s="25" t="n">
        <v>3</v>
      </c>
      <c r="F11" s="25" t="n">
        <v>4</v>
      </c>
      <c r="G11" s="25" t="n">
        <v>5</v>
      </c>
      <c r="H11" s="25" t="n">
        <v>6</v>
      </c>
      <c r="I11" s="25" t="n">
        <v>7</v>
      </c>
      <c r="J11" s="25" t="n">
        <v>8</v>
      </c>
      <c r="K11" s="25" t="n">
        <v>9</v>
      </c>
      <c r="L11" s="25" t="n">
        <v>10</v>
      </c>
      <c r="M11" s="25" t="inlineStr">
        <is>
          <t>Produtos de madeira</t>
        </is>
      </c>
      <c r="N11" s="25" t="n">
        <v>12</v>
      </c>
      <c r="O11" s="25" t="n">
        <v>13</v>
      </c>
      <c r="P11" s="25" t="n">
        <v>14</v>
      </c>
      <c r="Q11" s="25" t="n">
        <v>15</v>
      </c>
      <c r="R11" s="25" t="n">
        <v>16</v>
      </c>
      <c r="S11" s="25" t="n">
        <v>17</v>
      </c>
      <c r="T11" s="25" t="n">
        <v>18</v>
      </c>
      <c r="U11" s="25" t="n">
        <v>19</v>
      </c>
      <c r="V11" s="25" t="n">
        <v>20</v>
      </c>
      <c r="W11" s="25" t="n">
        <v>21</v>
      </c>
      <c r="X11" s="25" t="n">
        <v>22</v>
      </c>
      <c r="Y11" s="25" t="n">
        <v>23</v>
      </c>
      <c r="Z11" s="25" t="n">
        <v>24</v>
      </c>
      <c r="AA11" s="25" t="n">
        <v>25</v>
      </c>
      <c r="AB11" s="25" t="n">
        <v>26</v>
      </c>
      <c r="AC11" s="25" t="inlineStr">
        <is>
          <t>Produtos de metal</t>
        </is>
      </c>
      <c r="AD11" s="25" t="n">
        <v>28</v>
      </c>
      <c r="AE11" s="25" t="n">
        <v>29</v>
      </c>
      <c r="AF11" s="25" t="n">
        <v>30</v>
      </c>
      <c r="AG11" s="25" t="n">
        <v>31</v>
      </c>
      <c r="AH11" s="25" t="n">
        <v>32</v>
      </c>
      <c r="AI11" s="25" t="n">
        <v>33</v>
      </c>
      <c r="AJ11" s="25" t="n">
        <v>34</v>
      </c>
      <c r="AK11" s="25" t="n">
        <v>35</v>
      </c>
      <c r="AL11" s="25" t="n">
        <v>36</v>
      </c>
      <c r="AM11" s="25" t="n">
        <v>37</v>
      </c>
      <c r="AN11" s="25" t="n">
        <v>38</v>
      </c>
      <c r="AO11" s="25" t="n">
        <v>39</v>
      </c>
      <c r="AP11" s="25" t="n">
        <v>40</v>
      </c>
      <c r="AQ11" s="25" t="n">
        <v>41</v>
      </c>
      <c r="AR11" s="25" t="n">
        <v>42</v>
      </c>
      <c r="AS11" s="25" t="n">
        <v>43</v>
      </c>
      <c r="AT11" s="25" t="n">
        <v>44</v>
      </c>
      <c r="AU11" s="25" t="n">
        <v>45</v>
      </c>
      <c r="AV11" s="25" t="n">
        <v>46</v>
      </c>
      <c r="AW11" s="25" t="n">
        <v>47</v>
      </c>
      <c r="AX11" s="25" t="n">
        <v>48</v>
      </c>
      <c r="AY11" s="25" t="n">
        <v>49</v>
      </c>
      <c r="AZ11" s="25" t="n">
        <v>50</v>
      </c>
      <c r="BA11" s="25" t="n">
        <v>51</v>
      </c>
      <c r="BC11" s="25" t="inlineStr"/>
      <c r="BD11" s="25" t="inlineStr"/>
      <c r="BE11" s="25" t="inlineStr"/>
      <c r="BF11" s="25" t="inlineStr"/>
    </row>
    <row r="12" ht="90" customHeight="1">
      <c r="A12" s="26" t="n"/>
      <c r="B12" s="26" t="n"/>
      <c r="C12" s="27" t="inlineStr">
        <is>
          <t>Agricultura silvicultura exploração florestal</t>
        </is>
      </c>
      <c r="D12" s="27" t="inlineStr">
        <is>
          <t>Pecuária e pesca</t>
        </is>
      </c>
      <c r="E12" s="27" t="inlineStr">
        <is>
          <t>Petróleo e gás natural</t>
        </is>
      </c>
      <c r="F12" s="27" t="inlineStr">
        <is>
          <t>Minério de ferro</t>
        </is>
      </c>
      <c r="G12" s="27" t="inlineStr">
        <is>
          <t>Outros da indústria extrativa</t>
        </is>
      </c>
      <c r="H12" s="27" t="inlineStr">
        <is>
          <t>Alimentos e Bebidas</t>
        </is>
      </c>
      <c r="I12" s="27" t="inlineStr">
        <is>
          <t>Produtos do fumo</t>
        </is>
      </c>
      <c r="J12" s="27" t="inlineStr">
        <is>
          <t>Têxteis</t>
        </is>
      </c>
      <c r="K12" s="27" t="inlineStr">
        <is>
          <t>Artigos do vestuário e acessórios</t>
        </is>
      </c>
      <c r="L12" s="27" t="inlineStr">
        <is>
          <t>Artefatos de couro e calçados</t>
        </is>
      </c>
      <c r="M12" s="27" t="inlineStr">
        <is>
          <t>exclusive móveis</t>
        </is>
      </c>
      <c r="N12" s="27" t="inlineStr">
        <is>
          <t>Celulose e produtos de papel</t>
        </is>
      </c>
      <c r="O12" s="27" t="inlineStr">
        <is>
          <t>Jornais revistas discos</t>
        </is>
      </c>
      <c r="P12" s="27" t="inlineStr">
        <is>
          <t>Refino de petróleo e coque</t>
        </is>
      </c>
      <c r="Q12" s="27" t="inlineStr">
        <is>
          <t>Álcool</t>
        </is>
      </c>
      <c r="R12" s="27" t="inlineStr">
        <is>
          <t>Produtos  químicos</t>
        </is>
      </c>
      <c r="S12" s="27" t="inlineStr">
        <is>
          <t>Fabricação de resina e elastômeros</t>
        </is>
      </c>
      <c r="T12" s="27" t="inlineStr">
        <is>
          <t>Produtos farmacêuticos</t>
        </is>
      </c>
      <c r="U12" s="27" t="inlineStr">
        <is>
          <t>Defensivos agrícolas</t>
        </is>
      </c>
      <c r="V12" s="27" t="inlineStr">
        <is>
          <t>Perfumaria higiene e limpeza</t>
        </is>
      </c>
      <c r="W12" s="27" t="inlineStr">
        <is>
          <t>Tintas vernizes esmaltes e lacas</t>
        </is>
      </c>
      <c r="X12" s="27" t="inlineStr">
        <is>
          <t>Produtos e preparados químicos diversos</t>
        </is>
      </c>
      <c r="Y12" s="27" t="inlineStr">
        <is>
          <t>Artigos de borracha e plástico</t>
        </is>
      </c>
      <c r="Z12" s="27" t="inlineStr">
        <is>
          <t>Cimento e outros produtos de minerais não-metálicos</t>
        </is>
      </c>
      <c r="AA12" s="27" t="inlineStr">
        <is>
          <t>Fabricação de aço e derivados</t>
        </is>
      </c>
      <c r="AB12" s="27" t="inlineStr">
        <is>
          <t>Metalurgia de metais não-ferrosos</t>
        </is>
      </c>
      <c r="AC12" s="27" t="inlineStr">
        <is>
          <t>exclusive máquinas e equipamentos</t>
        </is>
      </c>
      <c r="AD12" s="27" t="inlineStr">
        <is>
          <t>Máquinas e equipamentos inclusive manutenção e reparos</t>
        </is>
      </c>
      <c r="AE12" s="27" t="inlineStr">
        <is>
          <t>Eletrodomésticos e material eletronico</t>
        </is>
      </c>
      <c r="AF12" s="27" t="inlineStr">
        <is>
          <t>Máquinas para escritório aparelhos e e material eletronico</t>
        </is>
      </c>
      <c r="AG12" s="27" t="inlineStr">
        <is>
          <t>Automóveis camionetas caminhões e ônibus</t>
        </is>
      </c>
      <c r="AH12" s="27" t="inlineStr">
        <is>
          <t>Peças e acessórios para veículos automotores</t>
        </is>
      </c>
      <c r="AI12" s="27" t="inlineStr">
        <is>
          <t>Outros equipamentos de transporte</t>
        </is>
      </c>
      <c r="AJ12" s="27" t="inlineStr">
        <is>
          <t>Móveis e produtos das indústrias diversas</t>
        </is>
      </c>
      <c r="AK12" s="27" t="inlineStr">
        <is>
          <t>Produção e distribuição de eletricidade gás água esgoto e limpeza urbana</t>
        </is>
      </c>
      <c r="AL12" s="27" t="inlineStr">
        <is>
          <t>Construção civil</t>
        </is>
      </c>
      <c r="AM12" s="27" t="inlineStr">
        <is>
          <t>Comércio</t>
        </is>
      </c>
      <c r="AN12" s="27" t="inlineStr">
        <is>
          <t>Transporte armazenagem e correio</t>
        </is>
      </c>
      <c r="AO12" s="27" t="inlineStr">
        <is>
          <t>Serviços de informação</t>
        </is>
      </c>
      <c r="AP12" s="27" t="inlineStr">
        <is>
          <t>Intermediação financeira seguros e previdência complementar e serviços relacionados</t>
        </is>
      </c>
      <c r="AQ12" s="27" t="inlineStr">
        <is>
          <t>Atividades imobiliárias e aluguéis</t>
        </is>
      </c>
      <c r="AR12" s="27" t="inlineStr">
        <is>
          <t>Serviços de manutenção e reparação</t>
        </is>
      </c>
      <c r="AS12" s="27" t="inlineStr">
        <is>
          <t>Serviços de alojamento e alimentação</t>
        </is>
      </c>
      <c r="AT12" s="27" t="inlineStr">
        <is>
          <t>Serviços prestados às empresas</t>
        </is>
      </c>
      <c r="AU12" s="27" t="inlineStr">
        <is>
          <t>Educação mercantil</t>
        </is>
      </c>
      <c r="AV12" s="27" t="inlineStr">
        <is>
          <t>Saúde mercantil</t>
        </is>
      </c>
      <c r="AW12" s="27" t="inlineStr">
        <is>
          <t>Serviços prestados às famílias e associativas</t>
        </is>
      </c>
      <c r="AX12" s="27" t="inlineStr">
        <is>
          <t>Serviços domésticos</t>
        </is>
      </c>
      <c r="AY12" s="27" t="inlineStr">
        <is>
          <t>Educação pública</t>
        </is>
      </c>
      <c r="AZ12" s="27" t="inlineStr">
        <is>
          <t>Saúde pública</t>
        </is>
      </c>
      <c r="BA12" s="27" t="inlineStr">
        <is>
          <t>Administração pública e seguridade social</t>
        </is>
      </c>
      <c r="BB12" s="26" t="n"/>
      <c r="BC12" s="27" t="inlineStr">
        <is>
          <t>Gasto de consumo final</t>
        </is>
      </c>
      <c r="BD12" s="27" t="inlineStr">
        <is>
          <t>Formacion bruta de capital</t>
        </is>
      </c>
      <c r="BE12" s="27" t="inlineStr">
        <is>
          <t>Exportaciones netas</t>
        </is>
      </c>
      <c r="BF12" s="27" t="inlineStr">
        <is>
          <t>Sin desglose fuente</t>
        </is>
      </c>
      <c r="BG12" s="26" t="n"/>
      <c r="BH12" s="26" t="n"/>
    </row>
    <row r="13"/>
    <row r="14">
      <c r="A14" s="28" t="n">
        <v>1</v>
      </c>
      <c r="B14" s="29" t="inlineStr">
        <is>
          <t>Agricultura silvicultura exploração florestal</t>
        </is>
      </c>
      <c r="C14" s="28" t="n">
        <v>6023.344333659967</v>
      </c>
      <c r="D14" s="28" t="n">
        <v>4678.421156393616</v>
      </c>
      <c r="E14" s="28" t="n">
        <v>34.10663827366594</v>
      </c>
      <c r="F14" s="28" t="n">
        <v>8.42060853667828</v>
      </c>
      <c r="G14" s="28" t="n">
        <v>4.695223388353223</v>
      </c>
      <c r="H14" s="28" t="n">
        <v>63025.3416871727</v>
      </c>
      <c r="I14" s="28" t="n">
        <v>4910.824689765199</v>
      </c>
      <c r="J14" s="28" t="n">
        <v>4328.041917853169</v>
      </c>
      <c r="K14" s="28" t="n">
        <v>149.9404450128949</v>
      </c>
      <c r="L14" s="28" t="n">
        <v>30.30997454731709</v>
      </c>
      <c r="M14" s="28" t="n">
        <v>1892.987687272065</v>
      </c>
      <c r="N14" s="28" t="n">
        <v>1646.133092797112</v>
      </c>
      <c r="O14" s="28" t="n">
        <v>0.5737600012129509</v>
      </c>
      <c r="P14" s="28" t="n">
        <v>2.805323377863086</v>
      </c>
      <c r="Q14" s="28" t="n">
        <v>7564.520135601125</v>
      </c>
      <c r="R14" s="28" t="n">
        <v>205.5189833400898</v>
      </c>
      <c r="S14" s="28" t="n">
        <v>277.2414240019204</v>
      </c>
      <c r="T14" s="28" t="n">
        <v>37.33662993639708</v>
      </c>
      <c r="U14" s="28" t="n">
        <v>114.3220913639177</v>
      </c>
      <c r="V14" s="28" t="n">
        <v>72.39081152485213</v>
      </c>
      <c r="W14" s="28" t="n">
        <v>57.10286834459809</v>
      </c>
      <c r="X14" s="28" t="n">
        <v>72.76311717172172</v>
      </c>
      <c r="Y14" s="28" t="n">
        <v>818.6377581304246</v>
      </c>
      <c r="Z14" s="28" t="n">
        <v>46.2702981670649</v>
      </c>
      <c r="AA14" s="28" t="n">
        <v>394.1220208069777</v>
      </c>
      <c r="AB14" s="28" t="n">
        <v>9.117722692636837</v>
      </c>
      <c r="AC14" s="28" t="n">
        <v>13.86762053473087</v>
      </c>
      <c r="AD14" s="28" t="n">
        <v>0.6642613941191299</v>
      </c>
      <c r="AE14" s="28" t="n">
        <v>2.498630787642552</v>
      </c>
      <c r="AF14" s="28" t="n">
        <v>2.512389017730555</v>
      </c>
      <c r="AG14" s="28" t="n">
        <v>1.417768737637264</v>
      </c>
      <c r="AH14" s="28" t="n">
        <v>0.2203625717082467</v>
      </c>
      <c r="AI14" s="28" t="n">
        <v>0.8767648182497617</v>
      </c>
      <c r="AJ14" s="28" t="n">
        <v>10.24272003254425</v>
      </c>
      <c r="AK14" s="28" t="n">
        <v>26.79505916091783</v>
      </c>
      <c r="AL14" s="28" t="n">
        <v>366.2198644699743</v>
      </c>
      <c r="AM14" s="28" t="n">
        <v>4978.112603622654</v>
      </c>
      <c r="AN14" s="28" t="n">
        <v>3.661881574661872</v>
      </c>
      <c r="AO14" s="28" t="n">
        <v>13.33859371587007</v>
      </c>
      <c r="AP14" s="28" t="n">
        <v>4.118819593198848</v>
      </c>
      <c r="AQ14" s="28" t="n">
        <v>3.808035586884727</v>
      </c>
      <c r="AR14" s="28" t="n">
        <v>0.0119720932154487</v>
      </c>
      <c r="AS14" s="28" t="n">
        <v>1933.779548526527</v>
      </c>
      <c r="AT14" s="28" t="n">
        <v>22.84051421855062</v>
      </c>
      <c r="AU14" s="28" t="n">
        <v>26.05078461062003</v>
      </c>
      <c r="AV14" s="28" t="n">
        <v>100.1937876437267</v>
      </c>
      <c r="AW14" s="28" t="n">
        <v>136.6701833132684</v>
      </c>
      <c r="AX14" s="28" t="n">
        <v>0</v>
      </c>
      <c r="AY14" s="28" t="n">
        <v>278.2025006426959</v>
      </c>
      <c r="AZ14" s="28" t="n">
        <v>97.69279476716804</v>
      </c>
      <c r="BA14" s="28" t="n">
        <v>890.6790107852291</v>
      </c>
      <c r="BB14" s="28">
        <f>SUM(C14:BA14)</f>
        <v/>
      </c>
      <c r="BC14" s="28" t="n">
        <v>0</v>
      </c>
      <c r="BD14" s="28" t="n">
        <v>0</v>
      </c>
      <c r="BE14" s="28" t="n">
        <v>74691.76632565471</v>
      </c>
      <c r="BF14" s="28" t="n">
        <v>0</v>
      </c>
      <c r="BG14" s="28">
        <f>SUM(BC14:BF14)</f>
        <v/>
      </c>
      <c r="BH14" s="28">
        <f>BB14+BG14</f>
        <v/>
      </c>
    </row>
    <row r="15">
      <c r="A15" s="30" t="n">
        <v>2</v>
      </c>
      <c r="B15" s="31" t="inlineStr">
        <is>
          <t>Pecuária e pesca</t>
        </is>
      </c>
      <c r="C15" s="30" t="n">
        <v>599.2160065296547</v>
      </c>
      <c r="D15" s="30" t="n">
        <v>3306.63488797114</v>
      </c>
      <c r="E15" s="30" t="n">
        <v>12.20849312918878</v>
      </c>
      <c r="F15" s="30" t="n">
        <v>4.489957995260079</v>
      </c>
      <c r="G15" s="30" t="n">
        <v>4.217909230300659</v>
      </c>
      <c r="H15" s="30" t="n">
        <v>48778.20844698598</v>
      </c>
      <c r="I15" s="30" t="n">
        <v>174.3919501475669</v>
      </c>
      <c r="J15" s="30" t="n">
        <v>82.68177844581182</v>
      </c>
      <c r="K15" s="30" t="n">
        <v>46.46693361256518</v>
      </c>
      <c r="L15" s="30" t="n">
        <v>7.326884346537329</v>
      </c>
      <c r="M15" s="30" t="n">
        <v>97.38499746727894</v>
      </c>
      <c r="N15" s="30" t="n">
        <v>84.08771596889757</v>
      </c>
      <c r="O15" s="30" t="n">
        <v>0.0692470643976934</v>
      </c>
      <c r="P15" s="30" t="n">
        <v>0.05435449091619601</v>
      </c>
      <c r="Q15" s="30" t="n">
        <v>60.6221576357844</v>
      </c>
      <c r="R15" s="30" t="n">
        <v>32.96538005233051</v>
      </c>
      <c r="S15" s="30" t="n">
        <v>7.15118931687894</v>
      </c>
      <c r="T15" s="30" t="n">
        <v>1.856536331063747</v>
      </c>
      <c r="U15" s="30" t="n">
        <v>3.133490057873806</v>
      </c>
      <c r="V15" s="30" t="n">
        <v>3.850328813588922</v>
      </c>
      <c r="W15" s="30" t="n">
        <v>2.312157989534081</v>
      </c>
      <c r="X15" s="30" t="n">
        <v>1.831805901531659</v>
      </c>
      <c r="Y15" s="30" t="n">
        <v>41.4567219568622</v>
      </c>
      <c r="Z15" s="30" t="n">
        <v>42.8231206133532</v>
      </c>
      <c r="AA15" s="30" t="n">
        <v>24.93936738948829</v>
      </c>
      <c r="AB15" s="30" t="n">
        <v>6.575345451807123</v>
      </c>
      <c r="AC15" s="30" t="n">
        <v>0.841747267194992</v>
      </c>
      <c r="AD15" s="30" t="n">
        <v>0.3134451364761645</v>
      </c>
      <c r="AE15" s="30" t="n">
        <v>0.5384616883563937</v>
      </c>
      <c r="AF15" s="30" t="n">
        <v>0.322042301623479</v>
      </c>
      <c r="AG15" s="30" t="n">
        <v>0.9898450020164413</v>
      </c>
      <c r="AH15" s="30" t="n">
        <v>0.3913243080193284</v>
      </c>
      <c r="AI15" s="30" t="n">
        <v>1.064372303397644</v>
      </c>
      <c r="AJ15" s="30" t="n">
        <v>1.105264165875386</v>
      </c>
      <c r="AK15" s="30" t="n">
        <v>19.70446036267076</v>
      </c>
      <c r="AL15" s="30" t="n">
        <v>241.9764566586517</v>
      </c>
      <c r="AM15" s="30" t="n">
        <v>181.745070564362</v>
      </c>
      <c r="AN15" s="30" t="n">
        <v>5.075549917079754</v>
      </c>
      <c r="AO15" s="30" t="n">
        <v>18.69420513736847</v>
      </c>
      <c r="AP15" s="30" t="n">
        <v>4.234995557990509</v>
      </c>
      <c r="AQ15" s="30" t="n">
        <v>6.411553377149072</v>
      </c>
      <c r="AR15" s="30" t="n">
        <v>0.00218777281736377</v>
      </c>
      <c r="AS15" s="30" t="n">
        <v>1098.551794188139</v>
      </c>
      <c r="AT15" s="30" t="n">
        <v>8.331327818438544</v>
      </c>
      <c r="AU15" s="30" t="n">
        <v>14.98882615206038</v>
      </c>
      <c r="AV15" s="30" t="n">
        <v>85.75484944967282</v>
      </c>
      <c r="AW15" s="30" t="n">
        <v>22.53477724306816</v>
      </c>
      <c r="AX15" s="30" t="n">
        <v>0</v>
      </c>
      <c r="AY15" s="30" t="n">
        <v>110.9986287860728</v>
      </c>
      <c r="AZ15" s="30" t="n">
        <v>42.49012983414326</v>
      </c>
      <c r="BA15" s="30" t="n">
        <v>220.6998780496087</v>
      </c>
      <c r="BB15" s="30">
        <f>SUM(C15:BA15)</f>
        <v/>
      </c>
      <c r="BC15" s="30" t="n">
        <v>0</v>
      </c>
      <c r="BD15" s="30" t="n">
        <v>0</v>
      </c>
      <c r="BE15" s="30" t="n">
        <v>27206.32497347692</v>
      </c>
      <c r="BF15" s="30" t="n">
        <v>0</v>
      </c>
      <c r="BG15" s="30">
        <f>SUM(BC15:BF15)</f>
        <v/>
      </c>
      <c r="BH15" s="30">
        <f>BB15+BG15</f>
        <v/>
      </c>
    </row>
    <row r="16">
      <c r="A16" s="28" t="n">
        <v>3</v>
      </c>
      <c r="B16" s="29" t="inlineStr">
        <is>
          <t>Petróleo e gás natural</t>
        </is>
      </c>
      <c r="C16" s="28" t="n">
        <v>39.69615310845225</v>
      </c>
      <c r="D16" s="28" t="n">
        <v>48.86618101121054</v>
      </c>
      <c r="E16" s="28" t="n">
        <v>5325.171824196743</v>
      </c>
      <c r="F16" s="28" t="n">
        <v>153.9621787645106</v>
      </c>
      <c r="G16" s="28" t="n">
        <v>13.84521356002966</v>
      </c>
      <c r="H16" s="28" t="n">
        <v>492.6653687341843</v>
      </c>
      <c r="I16" s="28" t="n">
        <v>0.7297283141338098</v>
      </c>
      <c r="J16" s="28" t="n">
        <v>146.2911186677225</v>
      </c>
      <c r="K16" s="28" t="n">
        <v>1.042010543169353</v>
      </c>
      <c r="L16" s="28" t="n">
        <v>0.4001319308544741</v>
      </c>
      <c r="M16" s="28" t="n">
        <v>24.67248870273617</v>
      </c>
      <c r="N16" s="28" t="n">
        <v>371.4620311584545</v>
      </c>
      <c r="O16" s="28" t="n">
        <v>0.8696593659815889</v>
      </c>
      <c r="P16" s="28" t="n">
        <v>70956.29241766194</v>
      </c>
      <c r="Q16" s="28" t="n">
        <v>0.7282188019687513</v>
      </c>
      <c r="R16" s="28" t="n">
        <v>567.9950211594096</v>
      </c>
      <c r="S16" s="28" t="n">
        <v>312.2419885936566</v>
      </c>
      <c r="T16" s="28" t="n">
        <v>23.21350861436825</v>
      </c>
      <c r="U16" s="28" t="n">
        <v>26.57563726571354</v>
      </c>
      <c r="V16" s="28" t="n">
        <v>16.59693632746389</v>
      </c>
      <c r="W16" s="28" t="n">
        <v>17.25091568066226</v>
      </c>
      <c r="X16" s="28" t="n">
        <v>26.02679524561089</v>
      </c>
      <c r="Y16" s="28" t="n">
        <v>64.00246772793859</v>
      </c>
      <c r="Z16" s="28" t="n">
        <v>225.0373284979246</v>
      </c>
      <c r="AA16" s="28" t="n">
        <v>311.1613384878368</v>
      </c>
      <c r="AB16" s="28" t="n">
        <v>201.4155727599046</v>
      </c>
      <c r="AC16" s="28" t="n">
        <v>192.0816028451762</v>
      </c>
      <c r="AD16" s="28" t="n">
        <v>32.86153284777322</v>
      </c>
      <c r="AE16" s="28" t="n">
        <v>20.06109453824791</v>
      </c>
      <c r="AF16" s="28" t="n">
        <v>4.008172970090476</v>
      </c>
      <c r="AG16" s="28" t="n">
        <v>70.1336440781415</v>
      </c>
      <c r="AH16" s="28" t="n">
        <v>142.0803206193475</v>
      </c>
      <c r="AI16" s="28" t="n">
        <v>4.38083343778472</v>
      </c>
      <c r="AJ16" s="28" t="n">
        <v>1.352037054601656</v>
      </c>
      <c r="AK16" s="28" t="n">
        <v>7467.777229346071</v>
      </c>
      <c r="AL16" s="28" t="n">
        <v>438.3809904997226</v>
      </c>
      <c r="AM16" s="28" t="n">
        <v>95.6036688950184</v>
      </c>
      <c r="AN16" s="28" t="n">
        <v>22.33322559937027</v>
      </c>
      <c r="AO16" s="28" t="n">
        <v>60.34328521931666</v>
      </c>
      <c r="AP16" s="28" t="n">
        <v>22.84896891151251</v>
      </c>
      <c r="AQ16" s="28" t="n">
        <v>14.78639913194526</v>
      </c>
      <c r="AR16" s="28" t="n">
        <v>1.709321740437062</v>
      </c>
      <c r="AS16" s="28" t="n">
        <v>115.0372251519107</v>
      </c>
      <c r="AT16" s="28" t="n">
        <v>122.2769667718444</v>
      </c>
      <c r="AU16" s="28" t="n">
        <v>11.04972643053078</v>
      </c>
      <c r="AV16" s="28" t="n">
        <v>5.42869221090482</v>
      </c>
      <c r="AW16" s="28" t="n">
        <v>43.76898762353304</v>
      </c>
      <c r="AX16" s="28" t="n">
        <v>0</v>
      </c>
      <c r="AY16" s="28" t="n">
        <v>12.21042333803433</v>
      </c>
      <c r="AZ16" s="28" t="n">
        <v>20.93892050587692</v>
      </c>
      <c r="BA16" s="28" t="n">
        <v>99.81267648629117</v>
      </c>
      <c r="BB16" s="28">
        <f>SUM(C16:BA16)</f>
        <v/>
      </c>
      <c r="BC16" s="28" t="n">
        <v>0</v>
      </c>
      <c r="BD16" s="28" t="n">
        <v>0</v>
      </c>
      <c r="BE16" s="28" t="n">
        <v>31215.93709719348</v>
      </c>
      <c r="BF16" s="28" t="n">
        <v>0</v>
      </c>
      <c r="BG16" s="28">
        <f>SUM(BC16:BF16)</f>
        <v/>
      </c>
      <c r="BH16" s="28">
        <f>BB16+BG16</f>
        <v/>
      </c>
    </row>
    <row r="17">
      <c r="A17" s="30" t="n">
        <v>4</v>
      </c>
      <c r="B17" s="31" t="inlineStr">
        <is>
          <t>Minério de ferro</t>
        </is>
      </c>
      <c r="C17" s="30" t="n">
        <v>0.5759741419315694</v>
      </c>
      <c r="D17" s="30" t="n">
        <v>0.2840459371971632</v>
      </c>
      <c r="E17" s="30" t="n">
        <v>8.830618586228859</v>
      </c>
      <c r="F17" s="30" t="n">
        <v>501.057385629905</v>
      </c>
      <c r="G17" s="30" t="n">
        <v>21.82619205116135</v>
      </c>
      <c r="H17" s="30" t="n">
        <v>14.12964030602535</v>
      </c>
      <c r="I17" s="30" t="n">
        <v>0.9812347071531072</v>
      </c>
      <c r="J17" s="30" t="n">
        <v>0.5809103587077881</v>
      </c>
      <c r="K17" s="30" t="n">
        <v>0.5864782509451001</v>
      </c>
      <c r="L17" s="30" t="n">
        <v>0.7789582063305552</v>
      </c>
      <c r="M17" s="30" t="n">
        <v>0.2218331372892564</v>
      </c>
      <c r="N17" s="30" t="n">
        <v>1.812989376189814</v>
      </c>
      <c r="O17" s="30" t="n">
        <v>0.2526677512302357</v>
      </c>
      <c r="P17" s="30" t="n">
        <v>2.408216955451093</v>
      </c>
      <c r="Q17" s="30" t="n">
        <v>0.4354898452898537</v>
      </c>
      <c r="R17" s="30" t="n">
        <v>2.019614286004975</v>
      </c>
      <c r="S17" s="30" t="n">
        <v>0.4532506146045106</v>
      </c>
      <c r="T17" s="30" t="n">
        <v>3.668408201274608</v>
      </c>
      <c r="U17" s="30" t="n">
        <v>1.387300888704533</v>
      </c>
      <c r="V17" s="30" t="n">
        <v>1.603158389175136</v>
      </c>
      <c r="W17" s="30" t="n">
        <v>0.8876577492560838</v>
      </c>
      <c r="X17" s="30" t="n">
        <v>0.675143331904685</v>
      </c>
      <c r="Y17" s="30" t="n">
        <v>1.817049422944391</v>
      </c>
      <c r="Z17" s="30" t="n">
        <v>70.50177881933156</v>
      </c>
      <c r="AA17" s="30" t="n">
        <v>8128.673482206666</v>
      </c>
      <c r="AB17" s="30" t="n">
        <v>71.22505778794169</v>
      </c>
      <c r="AC17" s="30" t="n">
        <v>1.466873509366287</v>
      </c>
      <c r="AD17" s="30" t="n">
        <v>3.555261161289172</v>
      </c>
      <c r="AE17" s="30" t="n">
        <v>2.704426915829256</v>
      </c>
      <c r="AF17" s="30" t="n">
        <v>3.74586295183536</v>
      </c>
      <c r="AG17" s="30" t="n">
        <v>6.580377844748594</v>
      </c>
      <c r="AH17" s="30" t="n">
        <v>1.914028625574264</v>
      </c>
      <c r="AI17" s="30" t="n">
        <v>0.8073120270097565</v>
      </c>
      <c r="AJ17" s="30" t="n">
        <v>0.6337211482847867</v>
      </c>
      <c r="AK17" s="30" t="n">
        <v>5.872079381781522</v>
      </c>
      <c r="AL17" s="30" t="n">
        <v>8.894345585511292</v>
      </c>
      <c r="AM17" s="30" t="n">
        <v>29.50493017855438</v>
      </c>
      <c r="AN17" s="30" t="n">
        <v>12.88574337126877</v>
      </c>
      <c r="AO17" s="30" t="n">
        <v>20.63851657848202</v>
      </c>
      <c r="AP17" s="30" t="n">
        <v>21.14225009098283</v>
      </c>
      <c r="AQ17" s="30" t="n">
        <v>1.415771459318281</v>
      </c>
      <c r="AR17" s="30" t="n">
        <v>0.1068814924416593</v>
      </c>
      <c r="AS17" s="30" t="n">
        <v>1.85880243301485</v>
      </c>
      <c r="AT17" s="30" t="n">
        <v>27.61909010563337</v>
      </c>
      <c r="AU17" s="30" t="n">
        <v>3.926573502411825</v>
      </c>
      <c r="AV17" s="30" t="n">
        <v>1.38158856019522</v>
      </c>
      <c r="AW17" s="30" t="n">
        <v>6.894370846731158</v>
      </c>
      <c r="AX17" s="30" t="n">
        <v>0</v>
      </c>
      <c r="AY17" s="30" t="n">
        <v>4.026458979430731</v>
      </c>
      <c r="AZ17" s="30" t="n">
        <v>4.123411039770017</v>
      </c>
      <c r="BA17" s="30" t="n">
        <v>16.45385692117534</v>
      </c>
      <c r="BB17" s="30">
        <f>SUM(C17:BA17)</f>
        <v/>
      </c>
      <c r="BC17" s="30" t="n">
        <v>0</v>
      </c>
      <c r="BD17" s="30" t="n">
        <v>0</v>
      </c>
      <c r="BE17" s="30" t="n">
        <v>27143.36419551222</v>
      </c>
      <c r="BF17" s="30" t="n">
        <v>0</v>
      </c>
      <c r="BG17" s="30">
        <f>SUM(BC17:BF17)</f>
        <v/>
      </c>
      <c r="BH17" s="30">
        <f>BB17+BG17</f>
        <v/>
      </c>
    </row>
    <row r="18">
      <c r="A18" s="28" t="n">
        <v>5</v>
      </c>
      <c r="B18" s="29" t="inlineStr">
        <is>
          <t>Outros da indústria extrativa</t>
        </is>
      </c>
      <c r="C18" s="28" t="n">
        <v>404.7116014635261</v>
      </c>
      <c r="D18" s="28" t="n">
        <v>195.4534867663332</v>
      </c>
      <c r="E18" s="28" t="n">
        <v>227.5872043282278</v>
      </c>
      <c r="F18" s="28" t="n">
        <v>10.02154435575205</v>
      </c>
      <c r="G18" s="28" t="n">
        <v>918.6556651567561</v>
      </c>
      <c r="H18" s="28" t="n">
        <v>201.7348849027532</v>
      </c>
      <c r="I18" s="28" t="n">
        <v>0.08274455118739797</v>
      </c>
      <c r="J18" s="28" t="n">
        <v>6.551181957864689</v>
      </c>
      <c r="K18" s="28" t="n">
        <v>0.3162893332197098</v>
      </c>
      <c r="L18" s="28" t="n">
        <v>4.013905351575174</v>
      </c>
      <c r="M18" s="28" t="n">
        <v>0.4331760075218989</v>
      </c>
      <c r="N18" s="28" t="n">
        <v>36.38520188085801</v>
      </c>
      <c r="O18" s="28" t="n">
        <v>1.611224441636906</v>
      </c>
      <c r="P18" s="28" t="n">
        <v>4.798571501275192</v>
      </c>
      <c r="Q18" s="28" t="n">
        <v>85.1267427078663</v>
      </c>
      <c r="R18" s="28" t="n">
        <v>1691.238096434558</v>
      </c>
      <c r="S18" s="28" t="n">
        <v>14.95037296983011</v>
      </c>
      <c r="T18" s="28" t="n">
        <v>3.114907769105978</v>
      </c>
      <c r="U18" s="28" t="n">
        <v>2.741172518882824</v>
      </c>
      <c r="V18" s="28" t="n">
        <v>16.87018696217116</v>
      </c>
      <c r="W18" s="28" t="n">
        <v>64.17437057641969</v>
      </c>
      <c r="X18" s="28" t="n">
        <v>18.08025818891249</v>
      </c>
      <c r="Y18" s="28" t="n">
        <v>18.52104419650505</v>
      </c>
      <c r="Z18" s="28" t="n">
        <v>2344.665954213695</v>
      </c>
      <c r="AA18" s="28" t="n">
        <v>2848.581243735289</v>
      </c>
      <c r="AB18" s="28" t="n">
        <v>6407.262769291396</v>
      </c>
      <c r="AC18" s="28" t="n">
        <v>13.1256465448061</v>
      </c>
      <c r="AD18" s="28" t="n">
        <v>21.13796671644238</v>
      </c>
      <c r="AE18" s="28" t="n">
        <v>53.89372849981143</v>
      </c>
      <c r="AF18" s="28" t="n">
        <v>1.922007765430128</v>
      </c>
      <c r="AG18" s="28" t="n">
        <v>19.12941109435857</v>
      </c>
      <c r="AH18" s="28" t="n">
        <v>47.31605017746951</v>
      </c>
      <c r="AI18" s="28" t="n">
        <v>7.412506656220103</v>
      </c>
      <c r="AJ18" s="28" t="n">
        <v>25.74049576825004</v>
      </c>
      <c r="AK18" s="28" t="n">
        <v>277.6376441248325</v>
      </c>
      <c r="AL18" s="28" t="n">
        <v>3087.167791603146</v>
      </c>
      <c r="AM18" s="28" t="n">
        <v>43.04506962456621</v>
      </c>
      <c r="AN18" s="28" t="n">
        <v>6.18673271272953</v>
      </c>
      <c r="AO18" s="28" t="n">
        <v>3.546296246045361</v>
      </c>
      <c r="AP18" s="28" t="n">
        <v>3.164317189405534</v>
      </c>
      <c r="AQ18" s="28" t="n">
        <v>101.8005261615017</v>
      </c>
      <c r="AR18" s="28" t="n">
        <v>0.1352754687798915</v>
      </c>
      <c r="AS18" s="28" t="n">
        <v>23.11836823837271</v>
      </c>
      <c r="AT18" s="28" t="n">
        <v>12.58069229566271</v>
      </c>
      <c r="AU18" s="28" t="n">
        <v>2.007425486381619</v>
      </c>
      <c r="AV18" s="28" t="n">
        <v>17.51198728343845</v>
      </c>
      <c r="AW18" s="28" t="n">
        <v>8.958066989138462</v>
      </c>
      <c r="AX18" s="28" t="n">
        <v>0</v>
      </c>
      <c r="AY18" s="28" t="n">
        <v>16.75083436078661</v>
      </c>
      <c r="AZ18" s="28" t="n">
        <v>9.023623358508681</v>
      </c>
      <c r="BA18" s="28" t="n">
        <v>33.83092608571859</v>
      </c>
      <c r="BB18" s="28">
        <f>SUM(C18:BA18)</f>
        <v/>
      </c>
      <c r="BC18" s="28" t="n">
        <v>0</v>
      </c>
      <c r="BD18" s="28" t="n">
        <v>0</v>
      </c>
      <c r="BE18" s="28" t="n">
        <v>3526.844338510923</v>
      </c>
      <c r="BF18" s="28" t="n">
        <v>0</v>
      </c>
      <c r="BG18" s="28">
        <f>SUM(BC18:BF18)</f>
        <v/>
      </c>
      <c r="BH18" s="28">
        <f>BB18+BG18</f>
        <v/>
      </c>
    </row>
    <row r="19">
      <c r="A19" s="30" t="n">
        <v>6</v>
      </c>
      <c r="B19" s="31" t="inlineStr">
        <is>
          <t>Alimentos e Bebidas</t>
        </is>
      </c>
      <c r="C19" s="30" t="n">
        <v>1104.066522548874</v>
      </c>
      <c r="D19" s="30" t="n">
        <v>7087.550594959436</v>
      </c>
      <c r="E19" s="30" t="n">
        <v>175.5214395410674</v>
      </c>
      <c r="F19" s="30" t="n">
        <v>57.51388941504194</v>
      </c>
      <c r="G19" s="30" t="n">
        <v>113.4322125883724</v>
      </c>
      <c r="H19" s="30" t="n">
        <v>44534.6124154916</v>
      </c>
      <c r="I19" s="30" t="n">
        <v>11.19828547154673</v>
      </c>
      <c r="J19" s="30" t="n">
        <v>62.75767691221556</v>
      </c>
      <c r="K19" s="30" t="n">
        <v>30.93187171331567</v>
      </c>
      <c r="L19" s="30" t="n">
        <v>1764.407254062605</v>
      </c>
      <c r="M19" s="30" t="n">
        <v>22.45265098115307</v>
      </c>
      <c r="N19" s="30" t="n">
        <v>472.6954719256118</v>
      </c>
      <c r="O19" s="30" t="n">
        <v>17.47169422597283</v>
      </c>
      <c r="P19" s="30" t="n">
        <v>2946.269909035627</v>
      </c>
      <c r="Q19" s="30" t="n">
        <v>2011.578139431587</v>
      </c>
      <c r="R19" s="30" t="n">
        <v>404.6168131020867</v>
      </c>
      <c r="S19" s="30" t="n">
        <v>177.2503158074474</v>
      </c>
      <c r="T19" s="30" t="n">
        <v>259.8873985943421</v>
      </c>
      <c r="U19" s="30" t="n">
        <v>136.0343978443886</v>
      </c>
      <c r="V19" s="30" t="n">
        <v>1348.028261898395</v>
      </c>
      <c r="W19" s="30" t="n">
        <v>180.6998128149339</v>
      </c>
      <c r="X19" s="30" t="n">
        <v>695.0805673122557</v>
      </c>
      <c r="Y19" s="30" t="n">
        <v>134.1313543052701</v>
      </c>
      <c r="Z19" s="30" t="n">
        <v>97.8372120311994</v>
      </c>
      <c r="AA19" s="30" t="n">
        <v>154.0947712094638</v>
      </c>
      <c r="AB19" s="30" t="n">
        <v>48.54586676325199</v>
      </c>
      <c r="AC19" s="30" t="n">
        <v>115.450049269275</v>
      </c>
      <c r="AD19" s="30" t="n">
        <v>309.9240524579558</v>
      </c>
      <c r="AE19" s="30" t="n">
        <v>66.41217858217756</v>
      </c>
      <c r="AF19" s="30" t="n">
        <v>60.1331106784241</v>
      </c>
      <c r="AG19" s="30" t="n">
        <v>58.96380112836929</v>
      </c>
      <c r="AH19" s="30" t="n">
        <v>27.38260171084593</v>
      </c>
      <c r="AI19" s="30" t="n">
        <v>23.359751278456</v>
      </c>
      <c r="AJ19" s="30" t="n">
        <v>39.7094638379983</v>
      </c>
      <c r="AK19" s="30" t="n">
        <v>205.623874658941</v>
      </c>
      <c r="AL19" s="30" t="n">
        <v>268.1147235767864</v>
      </c>
      <c r="AM19" s="30" t="n">
        <v>2390.924247217301</v>
      </c>
      <c r="AN19" s="30" t="n">
        <v>444.9700132643031</v>
      </c>
      <c r="AO19" s="30" t="n">
        <v>252.8372234870603</v>
      </c>
      <c r="AP19" s="30" t="n">
        <v>224.0746974502466</v>
      </c>
      <c r="AQ19" s="30" t="n">
        <v>20.94501960582956</v>
      </c>
      <c r="AR19" s="30" t="n">
        <v>9.874685769496168</v>
      </c>
      <c r="AS19" s="30" t="n">
        <v>23780.74967449205</v>
      </c>
      <c r="AT19" s="30" t="n">
        <v>220.80219340179</v>
      </c>
      <c r="AU19" s="30" t="n">
        <v>223.2190371299293</v>
      </c>
      <c r="AV19" s="30" t="n">
        <v>836.2731951487581</v>
      </c>
      <c r="AW19" s="30" t="n">
        <v>698.6646913633533</v>
      </c>
      <c r="AX19" s="30" t="n">
        <v>0</v>
      </c>
      <c r="AY19" s="30" t="n">
        <v>1830.855664972976</v>
      </c>
      <c r="AZ19" s="30" t="n">
        <v>1052.228291987559</v>
      </c>
      <c r="BA19" s="30" t="n">
        <v>2418.220961927885</v>
      </c>
      <c r="BB19" s="30">
        <f>SUM(C19:BA19)</f>
        <v/>
      </c>
      <c r="BC19" s="30" t="n">
        <v>0</v>
      </c>
      <c r="BD19" s="30" t="n">
        <v>0</v>
      </c>
      <c r="BE19" s="30" t="n">
        <v>251665.427417786</v>
      </c>
      <c r="BF19" s="30" t="n">
        <v>0</v>
      </c>
      <c r="BG19" s="30">
        <f>SUM(BC19:BF19)</f>
        <v/>
      </c>
      <c r="BH19" s="30">
        <f>BB19+BG19</f>
        <v/>
      </c>
    </row>
    <row r="20">
      <c r="A20" s="28" t="n">
        <v>7</v>
      </c>
      <c r="B20" s="29" t="inlineStr">
        <is>
          <t>Produtos do fumo</t>
        </is>
      </c>
      <c r="C20" s="28" t="n">
        <v>0.07350930318315313</v>
      </c>
      <c r="D20" s="28" t="n">
        <v>0.03623001243264189</v>
      </c>
      <c r="E20" s="28" t="n">
        <v>1.074111561686266</v>
      </c>
      <c r="F20" s="28" t="n">
        <v>0.182776370642711</v>
      </c>
      <c r="G20" s="28" t="n">
        <v>0.1396582853282043</v>
      </c>
      <c r="H20" s="28" t="n">
        <v>1.808411189740951</v>
      </c>
      <c r="I20" s="28" t="n">
        <v>329.4719859096433</v>
      </c>
      <c r="J20" s="28" t="n">
        <v>0.07676857809322866</v>
      </c>
      <c r="K20" s="28" t="n">
        <v>0.07771652134999671</v>
      </c>
      <c r="L20" s="28" t="n">
        <v>0.1000401924724382</v>
      </c>
      <c r="M20" s="28" t="n">
        <v>0.02849290341406752</v>
      </c>
      <c r="N20" s="28" t="n">
        <v>0.2320685777245992</v>
      </c>
      <c r="O20" s="28" t="n">
        <v>0.03264036717587434</v>
      </c>
      <c r="P20" s="28" t="n">
        <v>0.3078910795326742</v>
      </c>
      <c r="Q20" s="28" t="n">
        <v>0.05648946817938876</v>
      </c>
      <c r="R20" s="28" t="n">
        <v>0.2582054412419363</v>
      </c>
      <c r="S20" s="28" t="n">
        <v>0.05799761464410233</v>
      </c>
      <c r="T20" s="28" t="n">
        <v>0.4689919894533542</v>
      </c>
      <c r="U20" s="28" t="n">
        <v>0.1770889350504732</v>
      </c>
      <c r="V20" s="28" t="n">
        <v>0.2053366124548671</v>
      </c>
      <c r="W20" s="28" t="n">
        <v>0.1133007448723475</v>
      </c>
      <c r="X20" s="28" t="n">
        <v>0.08633051496488342</v>
      </c>
      <c r="Y20" s="28" t="n">
        <v>0.2341220235789364</v>
      </c>
      <c r="Z20" s="28" t="n">
        <v>0.2581709231541202</v>
      </c>
      <c r="AA20" s="28" t="n">
        <v>0.2410940133262602</v>
      </c>
      <c r="AB20" s="28" t="n">
        <v>0.100229784903667</v>
      </c>
      <c r="AC20" s="28" t="n">
        <v>0.1883857451940713</v>
      </c>
      <c r="AD20" s="28" t="n">
        <v>0.4550561093479379</v>
      </c>
      <c r="AE20" s="28" t="n">
        <v>0.3455930342925028</v>
      </c>
      <c r="AF20" s="28" t="n">
        <v>0.4791514863486531</v>
      </c>
      <c r="AG20" s="28" t="n">
        <v>0.8396761532484351</v>
      </c>
      <c r="AH20" s="28" t="n">
        <v>0.2316209481929346</v>
      </c>
      <c r="AI20" s="28" t="n">
        <v>0.103365871891797</v>
      </c>
      <c r="AJ20" s="28" t="n">
        <v>0.0821242166601267</v>
      </c>
      <c r="AK20" s="28" t="n">
        <v>0.7557587313327762</v>
      </c>
      <c r="AL20" s="28" t="n">
        <v>1.143053118614821</v>
      </c>
      <c r="AM20" s="28" t="n">
        <v>3.960711731639641</v>
      </c>
      <c r="AN20" s="28" t="n">
        <v>1.66494322946253</v>
      </c>
      <c r="AO20" s="28" t="n">
        <v>2.663223815798843</v>
      </c>
      <c r="AP20" s="28" t="n">
        <v>2.732081149130921</v>
      </c>
      <c r="AQ20" s="28" t="n">
        <v>0.1925183221905053</v>
      </c>
      <c r="AR20" s="28" t="n">
        <v>0.01581519756813385</v>
      </c>
      <c r="AS20" s="28" t="n">
        <v>0.2681416530790665</v>
      </c>
      <c r="AT20" s="28" t="n">
        <v>2.731662355498356</v>
      </c>
      <c r="AU20" s="28" t="n">
        <v>0.5245002134085632</v>
      </c>
      <c r="AV20" s="28" t="n">
        <v>0.1865859885496559</v>
      </c>
      <c r="AW20" s="28" t="n">
        <v>0.9226250288683974</v>
      </c>
      <c r="AX20" s="28" t="n">
        <v>0</v>
      </c>
      <c r="AY20" s="28" t="n">
        <v>0.5152310038433273</v>
      </c>
      <c r="AZ20" s="28" t="n">
        <v>0.5274079641292604</v>
      </c>
      <c r="BA20" s="28" t="n">
        <v>2.113499139836776</v>
      </c>
      <c r="BB20" s="28">
        <f>SUM(C20:BA20)</f>
        <v/>
      </c>
      <c r="BC20" s="28" t="n">
        <v>0</v>
      </c>
      <c r="BD20" s="28" t="n">
        <v>0</v>
      </c>
      <c r="BE20" s="28" t="n">
        <v>10596.16548104516</v>
      </c>
      <c r="BF20" s="28" t="n">
        <v>0</v>
      </c>
      <c r="BG20" s="28">
        <f>SUM(BC20:BF20)</f>
        <v/>
      </c>
      <c r="BH20" s="28">
        <f>BB20+BG20</f>
        <v/>
      </c>
    </row>
    <row r="21">
      <c r="A21" s="30" t="n">
        <v>8</v>
      </c>
      <c r="B21" s="31" t="inlineStr">
        <is>
          <t>Têxteis</t>
        </is>
      </c>
      <c r="C21" s="30" t="n">
        <v>305.8634781978147</v>
      </c>
      <c r="D21" s="30" t="n">
        <v>6.514927175016376</v>
      </c>
      <c r="E21" s="30" t="n">
        <v>51.4457820957344</v>
      </c>
      <c r="F21" s="30" t="n">
        <v>1.949900425172564</v>
      </c>
      <c r="G21" s="30" t="n">
        <v>109.2708733458891</v>
      </c>
      <c r="H21" s="30" t="n">
        <v>184.9530215079479</v>
      </c>
      <c r="I21" s="30" t="n">
        <v>1.041707516206625</v>
      </c>
      <c r="J21" s="30" t="n">
        <v>6517.479332985853</v>
      </c>
      <c r="K21" s="30" t="n">
        <v>8667.680602739707</v>
      </c>
      <c r="L21" s="30" t="n">
        <v>1561.924763993914</v>
      </c>
      <c r="M21" s="30" t="n">
        <v>6.316598498992665</v>
      </c>
      <c r="N21" s="30" t="n">
        <v>70.84797643890946</v>
      </c>
      <c r="O21" s="30" t="n">
        <v>3.185933993774341</v>
      </c>
      <c r="P21" s="30" t="n">
        <v>1.811794106459001</v>
      </c>
      <c r="Q21" s="30" t="n">
        <v>1.068424609833589</v>
      </c>
      <c r="R21" s="30" t="n">
        <v>6.059883138180966</v>
      </c>
      <c r="S21" s="30" t="n">
        <v>17.92303804305881</v>
      </c>
      <c r="T21" s="30" t="n">
        <v>55.24894272674118</v>
      </c>
      <c r="U21" s="30" t="n">
        <v>4.008877889276705</v>
      </c>
      <c r="V21" s="30" t="n">
        <v>12.53512304346621</v>
      </c>
      <c r="W21" s="30" t="n">
        <v>9.356244409221789</v>
      </c>
      <c r="X21" s="30" t="n">
        <v>22.98207915790826</v>
      </c>
      <c r="Y21" s="30" t="n">
        <v>403.1823501697654</v>
      </c>
      <c r="Z21" s="30" t="n">
        <v>28.53032521599838</v>
      </c>
      <c r="AA21" s="30" t="n">
        <v>5.130661730263596</v>
      </c>
      <c r="AB21" s="30" t="n">
        <v>2.924237215205229</v>
      </c>
      <c r="AC21" s="30" t="n">
        <v>31.50389878065742</v>
      </c>
      <c r="AD21" s="30" t="n">
        <v>20.67835848280327</v>
      </c>
      <c r="AE21" s="30" t="n">
        <v>40.79920293682162</v>
      </c>
      <c r="AF21" s="30" t="n">
        <v>19.04331608868157</v>
      </c>
      <c r="AG21" s="30" t="n">
        <v>95.86968366308167</v>
      </c>
      <c r="AH21" s="30" t="n">
        <v>928.655867105398</v>
      </c>
      <c r="AI21" s="30" t="n">
        <v>54.07219672180512</v>
      </c>
      <c r="AJ21" s="30" t="n">
        <v>702.4026619583367</v>
      </c>
      <c r="AK21" s="30" t="n">
        <v>19.60704563691078</v>
      </c>
      <c r="AL21" s="30" t="n">
        <v>333.3288243089508</v>
      </c>
      <c r="AM21" s="30" t="n">
        <v>151.4498521697059</v>
      </c>
      <c r="AN21" s="30" t="n">
        <v>62.94998397886251</v>
      </c>
      <c r="AO21" s="30" t="n">
        <v>26.06661419626276</v>
      </c>
      <c r="AP21" s="30" t="n">
        <v>20.0579400407819</v>
      </c>
      <c r="AQ21" s="30" t="n">
        <v>4.757177935739469</v>
      </c>
      <c r="AR21" s="30" t="n">
        <v>13.20873999342065</v>
      </c>
      <c r="AS21" s="30" t="n">
        <v>215.5521979119213</v>
      </c>
      <c r="AT21" s="30" t="n">
        <v>38.00311391922747</v>
      </c>
      <c r="AU21" s="30" t="n">
        <v>8.058459116296381</v>
      </c>
      <c r="AV21" s="30" t="n">
        <v>12.2941481628825</v>
      </c>
      <c r="AW21" s="30" t="n">
        <v>300.5344229748137</v>
      </c>
      <c r="AX21" s="30" t="n">
        <v>0</v>
      </c>
      <c r="AY21" s="30" t="n">
        <v>25.56656507653491</v>
      </c>
      <c r="AZ21" s="30" t="n">
        <v>16.0227734536028</v>
      </c>
      <c r="BA21" s="30" t="n">
        <v>38.7148379851592</v>
      </c>
      <c r="BB21" s="30">
        <f>SUM(C21:BA21)</f>
        <v/>
      </c>
      <c r="BC21" s="30" t="n">
        <v>0</v>
      </c>
      <c r="BD21" s="30" t="n">
        <v>0</v>
      </c>
      <c r="BE21" s="30" t="n">
        <v>16311.34225408976</v>
      </c>
      <c r="BF21" s="30" t="n">
        <v>0</v>
      </c>
      <c r="BG21" s="30">
        <f>SUM(BC21:BF21)</f>
        <v/>
      </c>
      <c r="BH21" s="30">
        <f>BB21+BG21</f>
        <v/>
      </c>
    </row>
    <row r="22">
      <c r="A22" s="28" t="n">
        <v>9</v>
      </c>
      <c r="B22" s="29" t="inlineStr">
        <is>
          <t>Artigos do vestuário e acessórios</t>
        </is>
      </c>
      <c r="C22" s="28" t="n">
        <v>13.89723064407473</v>
      </c>
      <c r="D22" s="28" t="n">
        <v>0.8257902689523928</v>
      </c>
      <c r="E22" s="28" t="n">
        <v>51.59632864599249</v>
      </c>
      <c r="F22" s="28" t="n">
        <v>3.324524104307427</v>
      </c>
      <c r="G22" s="28" t="n">
        <v>5.746096456637305</v>
      </c>
      <c r="H22" s="28" t="n">
        <v>26.09001372600044</v>
      </c>
      <c r="I22" s="28" t="n">
        <v>0.6896547951414141</v>
      </c>
      <c r="J22" s="28" t="n">
        <v>79.89867942642012</v>
      </c>
      <c r="K22" s="28" t="n">
        <v>1593.476701875441</v>
      </c>
      <c r="L22" s="28" t="n">
        <v>53.49935044517039</v>
      </c>
      <c r="M22" s="28" t="n">
        <v>0.5949786167792985</v>
      </c>
      <c r="N22" s="28" t="n">
        <v>5.008256887652548</v>
      </c>
      <c r="O22" s="28" t="n">
        <v>0.7814286858366395</v>
      </c>
      <c r="P22" s="28" t="n">
        <v>1.446606506765664</v>
      </c>
      <c r="Q22" s="28" t="n">
        <v>0.7469254107518102</v>
      </c>
      <c r="R22" s="28" t="n">
        <v>1.370936022955618</v>
      </c>
      <c r="S22" s="28" t="n">
        <v>0.7957985957260688</v>
      </c>
      <c r="T22" s="28" t="n">
        <v>3.084489535905422</v>
      </c>
      <c r="U22" s="28" t="n">
        <v>3.901651314145945</v>
      </c>
      <c r="V22" s="28" t="n">
        <v>0.7117360135563414</v>
      </c>
      <c r="W22" s="28" t="n">
        <v>1.150084423418346</v>
      </c>
      <c r="X22" s="28" t="n">
        <v>1.319065550558385</v>
      </c>
      <c r="Y22" s="28" t="n">
        <v>7.20876405196404</v>
      </c>
      <c r="Z22" s="28" t="n">
        <v>13.13762564027406</v>
      </c>
      <c r="AA22" s="28" t="n">
        <v>10.17549254561836</v>
      </c>
      <c r="AB22" s="28" t="n">
        <v>1.638892667510914</v>
      </c>
      <c r="AC22" s="28" t="n">
        <v>36.02026508890491</v>
      </c>
      <c r="AD22" s="28" t="n">
        <v>23.51672047740948</v>
      </c>
      <c r="AE22" s="28" t="n">
        <v>3.87451696148828</v>
      </c>
      <c r="AF22" s="28" t="n">
        <v>3.605122962229582</v>
      </c>
      <c r="AG22" s="28" t="n">
        <v>3.746521973076163</v>
      </c>
      <c r="AH22" s="28" t="n">
        <v>16.82917504031136</v>
      </c>
      <c r="AI22" s="28" t="n">
        <v>2.253726215153567</v>
      </c>
      <c r="AJ22" s="28" t="n">
        <v>12.67632413417158</v>
      </c>
      <c r="AK22" s="28" t="n">
        <v>129.3266116437045</v>
      </c>
      <c r="AL22" s="28" t="n">
        <v>38.46997685405159</v>
      </c>
      <c r="AM22" s="28" t="n">
        <v>192.0131885850415</v>
      </c>
      <c r="AN22" s="28" t="n">
        <v>324.4662620647935</v>
      </c>
      <c r="AO22" s="28" t="n">
        <v>121.8783125949657</v>
      </c>
      <c r="AP22" s="28" t="n">
        <v>426.6293112678874</v>
      </c>
      <c r="AQ22" s="28" t="n">
        <v>20.32435477075843</v>
      </c>
      <c r="AR22" s="28" t="n">
        <v>0.2877458179703234</v>
      </c>
      <c r="AS22" s="28" t="n">
        <v>149.5769301986573</v>
      </c>
      <c r="AT22" s="28" t="n">
        <v>253.5234438141804</v>
      </c>
      <c r="AU22" s="28" t="n">
        <v>1.237250517444046</v>
      </c>
      <c r="AV22" s="28" t="n">
        <v>21.416031975108</v>
      </c>
      <c r="AW22" s="28" t="n">
        <v>791.0411517548167</v>
      </c>
      <c r="AX22" s="28" t="n">
        <v>0</v>
      </c>
      <c r="AY22" s="28" t="n">
        <v>219.7018970418944</v>
      </c>
      <c r="AZ22" s="28" t="n">
        <v>19.85750594845118</v>
      </c>
      <c r="BA22" s="28" t="n">
        <v>336.2911550362185</v>
      </c>
      <c r="BB22" s="28">
        <f>SUM(C22:BA22)</f>
        <v/>
      </c>
      <c r="BC22" s="28" t="n">
        <v>0</v>
      </c>
      <c r="BD22" s="28" t="n">
        <v>0</v>
      </c>
      <c r="BE22" s="28" t="n">
        <v>37419.74426468535</v>
      </c>
      <c r="BF22" s="28" t="n">
        <v>0</v>
      </c>
      <c r="BG22" s="28">
        <f>SUM(BC22:BF22)</f>
        <v/>
      </c>
      <c r="BH22" s="28">
        <f>BB22+BG22</f>
        <v/>
      </c>
    </row>
    <row r="23">
      <c r="A23" s="30" t="n">
        <v>10</v>
      </c>
      <c r="B23" s="31" t="inlineStr">
        <is>
          <t>Artefatos de couro e calçados</t>
        </is>
      </c>
      <c r="C23" s="30" t="n">
        <v>2.839995242551067</v>
      </c>
      <c r="D23" s="30" t="n">
        <v>2.18679071810896</v>
      </c>
      <c r="E23" s="30" t="n">
        <v>6.356838331071917</v>
      </c>
      <c r="F23" s="30" t="n">
        <v>2.88804455153491</v>
      </c>
      <c r="G23" s="30" t="n">
        <v>7.274545800837592</v>
      </c>
      <c r="H23" s="30" t="n">
        <v>38.11118889773407</v>
      </c>
      <c r="I23" s="30" t="n">
        <v>0.8067006098221956</v>
      </c>
      <c r="J23" s="30" t="n">
        <v>2.161710386304614</v>
      </c>
      <c r="K23" s="30" t="n">
        <v>9.018339664431531</v>
      </c>
      <c r="L23" s="30" t="n">
        <v>3652.291535490963</v>
      </c>
      <c r="M23" s="30" t="n">
        <v>1.560680816086125</v>
      </c>
      <c r="N23" s="30" t="n">
        <v>65.48689530630354</v>
      </c>
      <c r="O23" s="30" t="n">
        <v>1.918126639744108</v>
      </c>
      <c r="P23" s="30" t="n">
        <v>2.320464952268008</v>
      </c>
      <c r="Q23" s="30" t="n">
        <v>1.367308023863667</v>
      </c>
      <c r="R23" s="30" t="n">
        <v>3.259449008174253</v>
      </c>
      <c r="S23" s="30" t="n">
        <v>1.937742919736632</v>
      </c>
      <c r="T23" s="30" t="n">
        <v>5.158754100247436</v>
      </c>
      <c r="U23" s="30" t="n">
        <v>2.773408419018985</v>
      </c>
      <c r="V23" s="30" t="n">
        <v>4.448581580014917</v>
      </c>
      <c r="W23" s="30" t="n">
        <v>3.142048600035352</v>
      </c>
      <c r="X23" s="30" t="n">
        <v>6.470171964093332</v>
      </c>
      <c r="Y23" s="30" t="n">
        <v>9.452950569332081</v>
      </c>
      <c r="Z23" s="30" t="n">
        <v>5.020374610186667</v>
      </c>
      <c r="AA23" s="30" t="n">
        <v>6.314277148604653</v>
      </c>
      <c r="AB23" s="30" t="n">
        <v>1.392100495908057</v>
      </c>
      <c r="AC23" s="30" t="n">
        <v>20.20057238890695</v>
      </c>
      <c r="AD23" s="30" t="n">
        <v>16.38983202167961</v>
      </c>
      <c r="AE23" s="30" t="n">
        <v>4.492277593108602</v>
      </c>
      <c r="AF23" s="30" t="n">
        <v>25.84003921946303</v>
      </c>
      <c r="AG23" s="30" t="n">
        <v>7.876407896273972</v>
      </c>
      <c r="AH23" s="30" t="n">
        <v>7.125589912419195</v>
      </c>
      <c r="AI23" s="30" t="n">
        <v>1.662685964038222</v>
      </c>
      <c r="AJ23" s="30" t="n">
        <v>5.727581245259964</v>
      </c>
      <c r="AK23" s="30" t="n">
        <v>51.68987231102172</v>
      </c>
      <c r="AL23" s="30" t="n">
        <v>35.20351030121461</v>
      </c>
      <c r="AM23" s="30" t="n">
        <v>31.22982652753412</v>
      </c>
      <c r="AN23" s="30" t="n">
        <v>16.0044576882865</v>
      </c>
      <c r="AO23" s="30" t="n">
        <v>33.465007069723</v>
      </c>
      <c r="AP23" s="30" t="n">
        <v>10.65680542275291</v>
      </c>
      <c r="AQ23" s="30" t="n">
        <v>1.481527401730454</v>
      </c>
      <c r="AR23" s="30" t="n">
        <v>0.09760124208732197</v>
      </c>
      <c r="AS23" s="30" t="n">
        <v>7.701479858192878</v>
      </c>
      <c r="AT23" s="30" t="n">
        <v>38.17560638944155</v>
      </c>
      <c r="AU23" s="30" t="n">
        <v>1.903066198669158</v>
      </c>
      <c r="AV23" s="30" t="n">
        <v>1.94398916513235</v>
      </c>
      <c r="AW23" s="30" t="n">
        <v>9.216082856494625</v>
      </c>
      <c r="AX23" s="30" t="n">
        <v>0</v>
      </c>
      <c r="AY23" s="30" t="n">
        <v>5.320382412332687</v>
      </c>
      <c r="AZ23" s="30" t="n">
        <v>5.140984621020579</v>
      </c>
      <c r="BA23" s="30" t="n">
        <v>25.9134972479577</v>
      </c>
      <c r="BB23" s="30">
        <f>SUM(C23:BA23)</f>
        <v/>
      </c>
      <c r="BC23" s="30" t="n">
        <v>0</v>
      </c>
      <c r="BD23" s="30" t="n">
        <v>0</v>
      </c>
      <c r="BE23" s="30" t="n">
        <v>22186.73958358719</v>
      </c>
      <c r="BF23" s="30" t="n">
        <v>0</v>
      </c>
      <c r="BG23" s="30">
        <f>SUM(BC23:BF23)</f>
        <v/>
      </c>
      <c r="BH23" s="30">
        <f>BB23+BG23</f>
        <v/>
      </c>
    </row>
    <row r="24">
      <c r="A24" s="29" t="inlineStr">
        <is>
          <t>Produtos de madeira</t>
        </is>
      </c>
      <c r="B24" s="29" t="inlineStr">
        <is>
          <t>exclusive móveis</t>
        </is>
      </c>
      <c r="C24" s="28" t="n">
        <v>273.3339884072432</v>
      </c>
      <c r="D24" s="28" t="n">
        <v>173.8962247508577</v>
      </c>
      <c r="E24" s="28" t="n">
        <v>3.059608517312339</v>
      </c>
      <c r="F24" s="28" t="n">
        <v>1.252235851051568</v>
      </c>
      <c r="G24" s="28" t="n">
        <v>4.874749963445294</v>
      </c>
      <c r="H24" s="28" t="n">
        <v>276.4022994942563</v>
      </c>
      <c r="I24" s="28" t="n">
        <v>0.2300552501665485</v>
      </c>
      <c r="J24" s="28" t="n">
        <v>24.1948334344987</v>
      </c>
      <c r="K24" s="28" t="n">
        <v>3.279608944428582</v>
      </c>
      <c r="L24" s="28" t="n">
        <v>1.05559669219022</v>
      </c>
      <c r="M24" s="28" t="n">
        <v>2464.375349395063</v>
      </c>
      <c r="N24" s="28" t="n">
        <v>298.0690078982221</v>
      </c>
      <c r="O24" s="28" t="n">
        <v>1.420712288978413</v>
      </c>
      <c r="P24" s="28" t="n">
        <v>0.8156151037236654</v>
      </c>
      <c r="Q24" s="28" t="n">
        <v>0.4987232958174873</v>
      </c>
      <c r="R24" s="28" t="n">
        <v>12.41441186560967</v>
      </c>
      <c r="S24" s="28" t="n">
        <v>0.6963382082735935</v>
      </c>
      <c r="T24" s="28" t="n">
        <v>1.413947150953971</v>
      </c>
      <c r="U24" s="28" t="n">
        <v>8.179096688191459</v>
      </c>
      <c r="V24" s="28" t="n">
        <v>1.765773768936391</v>
      </c>
      <c r="W24" s="28" t="n">
        <v>2.178688842972856</v>
      </c>
      <c r="X24" s="28" t="n">
        <v>19.93106984849543</v>
      </c>
      <c r="Y24" s="28" t="n">
        <v>10.32237634071389</v>
      </c>
      <c r="Z24" s="28" t="n">
        <v>26.54965552989515</v>
      </c>
      <c r="AA24" s="28" t="n">
        <v>16.62333614847292</v>
      </c>
      <c r="AB24" s="28" t="n">
        <v>3.577210183951652</v>
      </c>
      <c r="AC24" s="28" t="n">
        <v>148.5563167973333</v>
      </c>
      <c r="AD24" s="28" t="n">
        <v>273.0386597579883</v>
      </c>
      <c r="AE24" s="28" t="n">
        <v>7.867200629008403</v>
      </c>
      <c r="AF24" s="28" t="n">
        <v>2.729177399699789</v>
      </c>
      <c r="AG24" s="28" t="n">
        <v>179.6348719066646</v>
      </c>
      <c r="AH24" s="28" t="n">
        <v>61.96653137784107</v>
      </c>
      <c r="AI24" s="28" t="n">
        <v>138.4142023265607</v>
      </c>
      <c r="AJ24" s="28" t="n">
        <v>4122.908508004726</v>
      </c>
      <c r="AK24" s="28" t="n">
        <v>242.7004498091873</v>
      </c>
      <c r="AL24" s="28" t="n">
        <v>3584.068386920099</v>
      </c>
      <c r="AM24" s="28" t="n">
        <v>1125.954670136622</v>
      </c>
      <c r="AN24" s="28" t="n">
        <v>53.45498538315712</v>
      </c>
      <c r="AO24" s="28" t="n">
        <v>139.9831337364803</v>
      </c>
      <c r="AP24" s="28" t="n">
        <v>15.1655259800357</v>
      </c>
      <c r="AQ24" s="28" t="n">
        <v>235.4851599267175</v>
      </c>
      <c r="AR24" s="28" t="n">
        <v>1.395462277056256</v>
      </c>
      <c r="AS24" s="28" t="n">
        <v>10.38475466955082</v>
      </c>
      <c r="AT24" s="28" t="n">
        <v>22.91160450076953</v>
      </c>
      <c r="AU24" s="28" t="n">
        <v>8.132969865063341</v>
      </c>
      <c r="AV24" s="28" t="n">
        <v>3.913217161384237</v>
      </c>
      <c r="AW24" s="28" t="n">
        <v>206.5780820721212</v>
      </c>
      <c r="AX24" s="28" t="n">
        <v>0</v>
      </c>
      <c r="AY24" s="28" t="n">
        <v>19.75312334853569</v>
      </c>
      <c r="AZ24" s="28" t="n">
        <v>3.457996157442055</v>
      </c>
      <c r="BA24" s="28" t="n">
        <v>52.94294703050931</v>
      </c>
      <c r="BB24" s="28">
        <f>SUM(C24:BA24)</f>
        <v/>
      </c>
      <c r="BC24" s="28" t="n">
        <v>0</v>
      </c>
      <c r="BD24" s="28" t="n">
        <v>0</v>
      </c>
      <c r="BE24" s="28" t="n">
        <v>5248.254884463969</v>
      </c>
      <c r="BF24" s="28" t="n">
        <v>0</v>
      </c>
      <c r="BG24" s="28">
        <f>SUM(BC24:BF24)</f>
        <v/>
      </c>
      <c r="BH24" s="28">
        <f>BB24+BG24</f>
        <v/>
      </c>
    </row>
    <row r="25">
      <c r="A25" s="30" t="n">
        <v>12</v>
      </c>
      <c r="B25" s="31" t="inlineStr">
        <is>
          <t>Celulose e produtos de papel</t>
        </is>
      </c>
      <c r="C25" s="30" t="n">
        <v>215.7353125829844</v>
      </c>
      <c r="D25" s="30" t="n">
        <v>75.09358565954669</v>
      </c>
      <c r="E25" s="30" t="n">
        <v>36.05294220713731</v>
      </c>
      <c r="F25" s="30" t="n">
        <v>53.7553257223618</v>
      </c>
      <c r="G25" s="30" t="n">
        <v>18.494798504757</v>
      </c>
      <c r="H25" s="30" t="n">
        <v>3015.893718750895</v>
      </c>
      <c r="I25" s="30" t="n">
        <v>591.6569111928732</v>
      </c>
      <c r="J25" s="30" t="n">
        <v>481.9948736547116</v>
      </c>
      <c r="K25" s="30" t="n">
        <v>366.1902886101329</v>
      </c>
      <c r="L25" s="30" t="n">
        <v>388.7725605628655</v>
      </c>
      <c r="M25" s="30" t="n">
        <v>332.8723184024414</v>
      </c>
      <c r="N25" s="30" t="n">
        <v>7272.309873768814</v>
      </c>
      <c r="O25" s="30" t="n">
        <v>902.1592546207955</v>
      </c>
      <c r="P25" s="30" t="n">
        <v>71.5626794157903</v>
      </c>
      <c r="Q25" s="30" t="n">
        <v>23.59924190163752</v>
      </c>
      <c r="R25" s="30" t="n">
        <v>47.27878565994303</v>
      </c>
      <c r="S25" s="30" t="n">
        <v>11.75724085078248</v>
      </c>
      <c r="T25" s="30" t="n">
        <v>427.3931456922696</v>
      </c>
      <c r="U25" s="30" t="n">
        <v>70.33951775302522</v>
      </c>
      <c r="V25" s="30" t="n">
        <v>792.3060711523153</v>
      </c>
      <c r="W25" s="30" t="n">
        <v>10.01271714857113</v>
      </c>
      <c r="X25" s="30" t="n">
        <v>33.5283420298852</v>
      </c>
      <c r="Y25" s="30" t="n">
        <v>1026.656575075815</v>
      </c>
      <c r="Z25" s="30" t="n">
        <v>926.2836823209529</v>
      </c>
      <c r="AA25" s="30" t="n">
        <v>41.60445926217054</v>
      </c>
      <c r="AB25" s="30" t="n">
        <v>11.54065206889089</v>
      </c>
      <c r="AC25" s="30" t="n">
        <v>598.2652066470804</v>
      </c>
      <c r="AD25" s="30" t="n">
        <v>173.376079666191</v>
      </c>
      <c r="AE25" s="30" t="n">
        <v>274.5646130310176</v>
      </c>
      <c r="AF25" s="30" t="n">
        <v>1044.720961468931</v>
      </c>
      <c r="AG25" s="30" t="n">
        <v>230.4013293537228</v>
      </c>
      <c r="AH25" s="30" t="n">
        <v>485.9783153691948</v>
      </c>
      <c r="AI25" s="30" t="n">
        <v>44.85147771577053</v>
      </c>
      <c r="AJ25" s="30" t="n">
        <v>369.052353659001</v>
      </c>
      <c r="AK25" s="30" t="n">
        <v>91.08691006334743</v>
      </c>
      <c r="AL25" s="30" t="n">
        <v>313.2827172329422</v>
      </c>
      <c r="AM25" s="30" t="n">
        <v>2716.312096435922</v>
      </c>
      <c r="AN25" s="30" t="n">
        <v>305.570956245679</v>
      </c>
      <c r="AO25" s="30" t="n">
        <v>1474.952796963983</v>
      </c>
      <c r="AP25" s="30" t="n">
        <v>864.7399933748286</v>
      </c>
      <c r="AQ25" s="30" t="n">
        <v>133.3731080695196</v>
      </c>
      <c r="AR25" s="30" t="n">
        <v>20.82353502773402</v>
      </c>
      <c r="AS25" s="30" t="n">
        <v>600.8882402903954</v>
      </c>
      <c r="AT25" s="30" t="n">
        <v>2314.082518109237</v>
      </c>
      <c r="AU25" s="30" t="n">
        <v>220.410861082311</v>
      </c>
      <c r="AV25" s="30" t="n">
        <v>420.5748210429649</v>
      </c>
      <c r="AW25" s="30" t="n">
        <v>432.5159546481572</v>
      </c>
      <c r="AX25" s="30" t="n">
        <v>0</v>
      </c>
      <c r="AY25" s="30" t="n">
        <v>366.1916097506634</v>
      </c>
      <c r="AZ25" s="30" t="n">
        <v>68.2765005162087</v>
      </c>
      <c r="BA25" s="30" t="n">
        <v>546.7176457778293</v>
      </c>
      <c r="BB25" s="30">
        <f>SUM(C25:BA25)</f>
        <v/>
      </c>
      <c r="BC25" s="30" t="n">
        <v>0</v>
      </c>
      <c r="BD25" s="30" t="n">
        <v>0</v>
      </c>
      <c r="BE25" s="30" t="n">
        <v>15810.56124101923</v>
      </c>
      <c r="BF25" s="30" t="n">
        <v>0</v>
      </c>
      <c r="BG25" s="30">
        <f>SUM(BC25:BF25)</f>
        <v/>
      </c>
      <c r="BH25" s="30">
        <f>BB25+BG25</f>
        <v/>
      </c>
    </row>
    <row r="26">
      <c r="A26" s="28" t="n">
        <v>13</v>
      </c>
      <c r="B26" s="29" t="inlineStr">
        <is>
          <t>Jornais revistas discos</t>
        </is>
      </c>
      <c r="C26" s="28" t="n">
        <v>6.143575446806655</v>
      </c>
      <c r="D26" s="28" t="n">
        <v>1.69139686946316</v>
      </c>
      <c r="E26" s="28" t="n">
        <v>5.382256039363001</v>
      </c>
      <c r="F26" s="28" t="n">
        <v>9.262130721684416</v>
      </c>
      <c r="G26" s="28" t="n">
        <v>5.232928432254405</v>
      </c>
      <c r="H26" s="28" t="n">
        <v>294.0910315474716</v>
      </c>
      <c r="I26" s="28" t="n">
        <v>6.256023940649436</v>
      </c>
      <c r="J26" s="28" t="n">
        <v>20.25918763377193</v>
      </c>
      <c r="K26" s="28" t="n">
        <v>23.0418298631467</v>
      </c>
      <c r="L26" s="28" t="n">
        <v>12.26949443639808</v>
      </c>
      <c r="M26" s="28" t="n">
        <v>12.8626795082263</v>
      </c>
      <c r="N26" s="28" t="n">
        <v>137.7140108493422</v>
      </c>
      <c r="O26" s="28" t="n">
        <v>1181.051985103775</v>
      </c>
      <c r="P26" s="28" t="n">
        <v>4.319366691660107</v>
      </c>
      <c r="Q26" s="28" t="n">
        <v>4.806238250540604</v>
      </c>
      <c r="R26" s="28" t="n">
        <v>3.231506178077817</v>
      </c>
      <c r="S26" s="28" t="n">
        <v>2.235086685445259</v>
      </c>
      <c r="T26" s="28" t="n">
        <v>11.55509902188835</v>
      </c>
      <c r="U26" s="28" t="n">
        <v>11.14789262695805</v>
      </c>
      <c r="V26" s="28" t="n">
        <v>10.97594967765989</v>
      </c>
      <c r="W26" s="28" t="n">
        <v>3.273244195407202</v>
      </c>
      <c r="X26" s="28" t="n">
        <v>3.726527585645155</v>
      </c>
      <c r="Y26" s="28" t="n">
        <v>47.63993176792162</v>
      </c>
      <c r="Z26" s="28" t="n">
        <v>21.26731776401732</v>
      </c>
      <c r="AA26" s="28" t="n">
        <v>16.85301162945045</v>
      </c>
      <c r="AB26" s="28" t="n">
        <v>1.944755907142053</v>
      </c>
      <c r="AC26" s="28" t="n">
        <v>21.49045650312782</v>
      </c>
      <c r="AD26" s="28" t="n">
        <v>27.48493387714167</v>
      </c>
      <c r="AE26" s="28" t="n">
        <v>17.12511957075131</v>
      </c>
      <c r="AF26" s="28" t="n">
        <v>134.7455104298341</v>
      </c>
      <c r="AG26" s="28" t="n">
        <v>26.59508001860953</v>
      </c>
      <c r="AH26" s="28" t="n">
        <v>26.25635149318746</v>
      </c>
      <c r="AI26" s="28" t="n">
        <v>5.317159591045376</v>
      </c>
      <c r="AJ26" s="28" t="n">
        <v>35.47815413434269</v>
      </c>
      <c r="AK26" s="28" t="n">
        <v>23.59448813886805</v>
      </c>
      <c r="AL26" s="28" t="n">
        <v>46.37889257165758</v>
      </c>
      <c r="AM26" s="28" t="n">
        <v>3575.240290096273</v>
      </c>
      <c r="AN26" s="28" t="n">
        <v>116.0206264854548</v>
      </c>
      <c r="AO26" s="28" t="n">
        <v>3527.998009598322</v>
      </c>
      <c r="AP26" s="28" t="n">
        <v>1241.165289389675</v>
      </c>
      <c r="AQ26" s="28" t="n">
        <v>180.3865617830466</v>
      </c>
      <c r="AR26" s="28" t="n">
        <v>1.28077619919485</v>
      </c>
      <c r="AS26" s="28" t="n">
        <v>50.76358312626403</v>
      </c>
      <c r="AT26" s="28" t="n">
        <v>3573.683194888638</v>
      </c>
      <c r="AU26" s="28" t="n">
        <v>22.49601704350028</v>
      </c>
      <c r="AV26" s="28" t="n">
        <v>21.96048593835655</v>
      </c>
      <c r="AW26" s="28" t="n">
        <v>669.5833586224963</v>
      </c>
      <c r="AX26" s="28" t="n">
        <v>0</v>
      </c>
      <c r="AY26" s="28" t="n">
        <v>152.4667826777911</v>
      </c>
      <c r="AZ26" s="28" t="n">
        <v>43.45316889807517</v>
      </c>
      <c r="BA26" s="28" t="n">
        <v>663.8738611662616</v>
      </c>
      <c r="BB26" s="28">
        <f>SUM(C26:BA26)</f>
        <v/>
      </c>
      <c r="BC26" s="28" t="n">
        <v>0</v>
      </c>
      <c r="BD26" s="28" t="n">
        <v>0</v>
      </c>
      <c r="BE26" s="28" t="n">
        <v>739.3987407752509</v>
      </c>
      <c r="BF26" s="28" t="n">
        <v>0</v>
      </c>
      <c r="BG26" s="28">
        <f>SUM(BC26:BF26)</f>
        <v/>
      </c>
      <c r="BH26" s="28">
        <f>BB26+BG26</f>
        <v/>
      </c>
    </row>
    <row r="27">
      <c r="A27" s="30" t="n">
        <v>14</v>
      </c>
      <c r="B27" s="31" t="inlineStr">
        <is>
          <t>Refino de petróleo e coque</t>
        </is>
      </c>
      <c r="C27" s="30" t="n">
        <v>5773.819417017567</v>
      </c>
      <c r="D27" s="30" t="n">
        <v>2397.474139579947</v>
      </c>
      <c r="E27" s="30" t="n">
        <v>909.4156194589705</v>
      </c>
      <c r="F27" s="30" t="n">
        <v>1404.471992532645</v>
      </c>
      <c r="G27" s="30" t="n">
        <v>1461.152936519687</v>
      </c>
      <c r="H27" s="30" t="n">
        <v>4398.987603423244</v>
      </c>
      <c r="I27" s="30" t="n">
        <v>20.5425822639318</v>
      </c>
      <c r="J27" s="30" t="n">
        <v>218.3863023244243</v>
      </c>
      <c r="K27" s="30" t="n">
        <v>74.55122829807792</v>
      </c>
      <c r="L27" s="30" t="n">
        <v>133.4035240886581</v>
      </c>
      <c r="M27" s="30" t="n">
        <v>126.8300484189321</v>
      </c>
      <c r="N27" s="30" t="n">
        <v>920.5327476199742</v>
      </c>
      <c r="O27" s="30" t="n">
        <v>23.53147112483462</v>
      </c>
      <c r="P27" s="30" t="n">
        <v>66457.9032799605</v>
      </c>
      <c r="Q27" s="30" t="n">
        <v>415.5987697585651</v>
      </c>
      <c r="R27" s="30" t="n">
        <v>6239.482633732663</v>
      </c>
      <c r="S27" s="30" t="n">
        <v>197.1002374140023</v>
      </c>
      <c r="T27" s="30" t="n">
        <v>109.2191452031541</v>
      </c>
      <c r="U27" s="30" t="n">
        <v>150.0150910916293</v>
      </c>
      <c r="V27" s="30" t="n">
        <v>285.9595235703802</v>
      </c>
      <c r="W27" s="30" t="n">
        <v>264.8135229448973</v>
      </c>
      <c r="X27" s="30" t="n">
        <v>308.9891315970663</v>
      </c>
      <c r="Y27" s="30" t="n">
        <v>1008.354149341968</v>
      </c>
      <c r="Z27" s="30" t="n">
        <v>2071.357006408178</v>
      </c>
      <c r="AA27" s="30" t="n">
        <v>1977.795531479806</v>
      </c>
      <c r="AB27" s="30" t="n">
        <v>1284.417447073229</v>
      </c>
      <c r="AC27" s="30" t="n">
        <v>237.4241013089919</v>
      </c>
      <c r="AD27" s="30" t="n">
        <v>506.96744256843</v>
      </c>
      <c r="AE27" s="30" t="n">
        <v>483.817617669511</v>
      </c>
      <c r="AF27" s="30" t="n">
        <v>145.503196696096</v>
      </c>
      <c r="AG27" s="30" t="n">
        <v>683.6522605377896</v>
      </c>
      <c r="AH27" s="30" t="n">
        <v>288.4254342711606</v>
      </c>
      <c r="AI27" s="30" t="n">
        <v>90.71748192929599</v>
      </c>
      <c r="AJ27" s="30" t="n">
        <v>152.5998287001435</v>
      </c>
      <c r="AK27" s="30" t="n">
        <v>3856.833102477133</v>
      </c>
      <c r="AL27" s="30" t="n">
        <v>5345.414982506732</v>
      </c>
      <c r="AM27" s="30" t="n">
        <v>6719.380616585613</v>
      </c>
      <c r="AN27" s="30" t="n">
        <v>42119.43042816564</v>
      </c>
      <c r="AO27" s="30" t="n">
        <v>267.4466698979486</v>
      </c>
      <c r="AP27" s="30" t="n">
        <v>432.6650688123317</v>
      </c>
      <c r="AQ27" s="30" t="n">
        <v>56.23263565502963</v>
      </c>
      <c r="AR27" s="30" t="n">
        <v>52.98292477784774</v>
      </c>
      <c r="AS27" s="30" t="n">
        <v>586.6122530808112</v>
      </c>
      <c r="AT27" s="30" t="n">
        <v>1334.701189897939</v>
      </c>
      <c r="AU27" s="30" t="n">
        <v>75.35295561205123</v>
      </c>
      <c r="AV27" s="30" t="n">
        <v>180.8121666043541</v>
      </c>
      <c r="AW27" s="30" t="n">
        <v>587.5901352102509</v>
      </c>
      <c r="AX27" s="30" t="n">
        <v>0</v>
      </c>
      <c r="AY27" s="30" t="n">
        <v>186.8324206386475</v>
      </c>
      <c r="AZ27" s="30" t="n">
        <v>61.89481325251554</v>
      </c>
      <c r="BA27" s="30" t="n">
        <v>1455.776841697681</v>
      </c>
      <c r="BB27" s="30">
        <f>SUM(C27:BA27)</f>
        <v/>
      </c>
      <c r="BC27" s="30" t="n">
        <v>0</v>
      </c>
      <c r="BD27" s="30" t="n">
        <v>0</v>
      </c>
      <c r="BE27" s="30" t="n">
        <v>56325.21561480239</v>
      </c>
      <c r="BF27" s="30" t="n">
        <v>0</v>
      </c>
      <c r="BG27" s="30">
        <f>SUM(BC27:BF27)</f>
        <v/>
      </c>
      <c r="BH27" s="30">
        <f>BB27+BG27</f>
        <v/>
      </c>
    </row>
    <row r="28">
      <c r="A28" s="28" t="n">
        <v>15</v>
      </c>
      <c r="B28" s="29" t="inlineStr">
        <is>
          <t>Álcool</t>
        </is>
      </c>
      <c r="C28" s="28" t="n">
        <v>49.16886154358824</v>
      </c>
      <c r="D28" s="28" t="n">
        <v>62.63870537658622</v>
      </c>
      <c r="E28" s="28" t="n">
        <v>132.1645816453488</v>
      </c>
      <c r="F28" s="28" t="n">
        <v>1.972942699095238</v>
      </c>
      <c r="G28" s="28" t="n">
        <v>2.629635554244872</v>
      </c>
      <c r="H28" s="28" t="n">
        <v>958.1440948678495</v>
      </c>
      <c r="I28" s="28" t="n">
        <v>0.09349398039521077</v>
      </c>
      <c r="J28" s="28" t="n">
        <v>1.323324798815944</v>
      </c>
      <c r="K28" s="28" t="n">
        <v>0.2912685235844549</v>
      </c>
      <c r="L28" s="28" t="n">
        <v>0.2627809578123209</v>
      </c>
      <c r="M28" s="28" t="n">
        <v>0.6537746137116031</v>
      </c>
      <c r="N28" s="28" t="n">
        <v>2.487643777893672</v>
      </c>
      <c r="O28" s="28" t="n">
        <v>0.4078831971440784</v>
      </c>
      <c r="P28" s="28" t="n">
        <v>3627.001400944884</v>
      </c>
      <c r="Q28" s="28" t="n">
        <v>174.1677861722607</v>
      </c>
      <c r="R28" s="28" t="n">
        <v>92.5350096622997</v>
      </c>
      <c r="S28" s="28" t="n">
        <v>1.067939655699462</v>
      </c>
      <c r="T28" s="28" t="n">
        <v>207.0468657523184</v>
      </c>
      <c r="U28" s="28" t="n">
        <v>51.67813372074395</v>
      </c>
      <c r="V28" s="28" t="n">
        <v>356.9977344471608</v>
      </c>
      <c r="W28" s="28" t="n">
        <v>61.01860559487044</v>
      </c>
      <c r="X28" s="28" t="n">
        <v>48.80649644191035</v>
      </c>
      <c r="Y28" s="28" t="n">
        <v>1.691915431427869</v>
      </c>
      <c r="Z28" s="28" t="n">
        <v>3.238533276965328</v>
      </c>
      <c r="AA28" s="28" t="n">
        <v>7.924861934415444</v>
      </c>
      <c r="AB28" s="28" t="n">
        <v>3.142619143383206</v>
      </c>
      <c r="AC28" s="28" t="n">
        <v>11.04452478928266</v>
      </c>
      <c r="AD28" s="28" t="n">
        <v>9.157816098460119</v>
      </c>
      <c r="AE28" s="28" t="n">
        <v>1.816798879023651</v>
      </c>
      <c r="AF28" s="28" t="n">
        <v>0.401159365133958</v>
      </c>
      <c r="AG28" s="28" t="n">
        <v>5.312534428733489</v>
      </c>
      <c r="AH28" s="28" t="n">
        <v>1.837008404105512</v>
      </c>
      <c r="AI28" s="28" t="n">
        <v>0.5577259589022153</v>
      </c>
      <c r="AJ28" s="28" t="n">
        <v>1.222740262773418</v>
      </c>
      <c r="AK28" s="28" t="n">
        <v>38.51440529207024</v>
      </c>
      <c r="AL28" s="28" t="n">
        <v>122.8216776791306</v>
      </c>
      <c r="AM28" s="28" t="n">
        <v>87.702992545027</v>
      </c>
      <c r="AN28" s="28" t="n">
        <v>193.4658750581597</v>
      </c>
      <c r="AO28" s="28" t="n">
        <v>4.55622952089632</v>
      </c>
      <c r="AP28" s="28" t="n">
        <v>2.657868928191685</v>
      </c>
      <c r="AQ28" s="28" t="n">
        <v>0.6374103800466876</v>
      </c>
      <c r="AR28" s="28" t="n">
        <v>9.470197597210046</v>
      </c>
      <c r="AS28" s="28" t="n">
        <v>63.56183538807974</v>
      </c>
      <c r="AT28" s="28" t="n">
        <v>47.69515189220808</v>
      </c>
      <c r="AU28" s="28" t="n">
        <v>2.012635577399888</v>
      </c>
      <c r="AV28" s="28" t="n">
        <v>16.82931257132124</v>
      </c>
      <c r="AW28" s="28" t="n">
        <v>27.17432115756102</v>
      </c>
      <c r="AX28" s="28" t="n">
        <v>0</v>
      </c>
      <c r="AY28" s="28" t="n">
        <v>41.43641747492352</v>
      </c>
      <c r="AZ28" s="28" t="n">
        <v>15.52737176481802</v>
      </c>
      <c r="BA28" s="28" t="n">
        <v>300.8939936107953</v>
      </c>
      <c r="BB28" s="28">
        <f>SUM(C28:BA28)</f>
        <v/>
      </c>
      <c r="BC28" s="28" t="n">
        <v>0</v>
      </c>
      <c r="BD28" s="28" t="n">
        <v>0</v>
      </c>
      <c r="BE28" s="28" t="n">
        <v>13712.25365150527</v>
      </c>
      <c r="BF28" s="28" t="n">
        <v>0</v>
      </c>
      <c r="BG28" s="28">
        <f>SUM(BC28:BF28)</f>
        <v/>
      </c>
      <c r="BH28" s="28">
        <f>BB28+BG28</f>
        <v/>
      </c>
    </row>
    <row r="29">
      <c r="A29" s="30" t="n">
        <v>16</v>
      </c>
      <c r="B29" s="31" t="inlineStr">
        <is>
          <t>Produtos  químicos</t>
        </is>
      </c>
      <c r="C29" s="30" t="n">
        <v>17674.30864198279</v>
      </c>
      <c r="D29" s="30" t="n">
        <v>2223.436876713453</v>
      </c>
      <c r="E29" s="30" t="n">
        <v>1484.695675925943</v>
      </c>
      <c r="F29" s="30" t="n">
        <v>164.9234179931658</v>
      </c>
      <c r="G29" s="30" t="n">
        <v>259.7380942248016</v>
      </c>
      <c r="H29" s="30" t="n">
        <v>1208.715036140464</v>
      </c>
      <c r="I29" s="30" t="n">
        <v>3.274862810782504</v>
      </c>
      <c r="J29" s="30" t="n">
        <v>1176.735665419934</v>
      </c>
      <c r="K29" s="30" t="n">
        <v>106.6722758249349</v>
      </c>
      <c r="L29" s="30" t="n">
        <v>565.1188553375073</v>
      </c>
      <c r="M29" s="30" t="n">
        <v>25.52920776257761</v>
      </c>
      <c r="N29" s="30" t="n">
        <v>2285.658879698326</v>
      </c>
      <c r="O29" s="30" t="n">
        <v>24.65950068142314</v>
      </c>
      <c r="P29" s="30" t="n">
        <v>757.6452900059641</v>
      </c>
      <c r="Q29" s="30" t="n">
        <v>304.8150386177391</v>
      </c>
      <c r="R29" s="30" t="n">
        <v>15956.03382814046</v>
      </c>
      <c r="S29" s="30" t="n">
        <v>7717.524013984785</v>
      </c>
      <c r="T29" s="30" t="n">
        <v>1025.719564138648</v>
      </c>
      <c r="U29" s="30" t="n">
        <v>3032.884536481185</v>
      </c>
      <c r="V29" s="30" t="n">
        <v>2547.019266579173</v>
      </c>
      <c r="W29" s="30" t="n">
        <v>2279.667466242699</v>
      </c>
      <c r="X29" s="30" t="n">
        <v>2619.049586167773</v>
      </c>
      <c r="Y29" s="30" t="n">
        <v>1849.007645096124</v>
      </c>
      <c r="Z29" s="30" t="n">
        <v>1229.006463373077</v>
      </c>
      <c r="AA29" s="30" t="n">
        <v>1137.824574733028</v>
      </c>
      <c r="AB29" s="30" t="n">
        <v>770.216431021213</v>
      </c>
      <c r="AC29" s="30" t="n">
        <v>491.3967486897738</v>
      </c>
      <c r="AD29" s="30" t="n">
        <v>228.4082113987091</v>
      </c>
      <c r="AE29" s="30" t="n">
        <v>295.3340317560196</v>
      </c>
      <c r="AF29" s="30" t="n">
        <v>91.79966523861805</v>
      </c>
      <c r="AG29" s="30" t="n">
        <v>41.98498035234628</v>
      </c>
      <c r="AH29" s="30" t="n">
        <v>54.05936297854924</v>
      </c>
      <c r="AI29" s="30" t="n">
        <v>149.3684074114599</v>
      </c>
      <c r="AJ29" s="30" t="n">
        <v>237.0792279163198</v>
      </c>
      <c r="AK29" s="30" t="n">
        <v>920.4088182186256</v>
      </c>
      <c r="AL29" s="30" t="n">
        <v>101.7840162011869</v>
      </c>
      <c r="AM29" s="30" t="n">
        <v>582.7897777996983</v>
      </c>
      <c r="AN29" s="30" t="n">
        <v>80.38533408246862</v>
      </c>
      <c r="AO29" s="30" t="n">
        <v>77.48493783149588</v>
      </c>
      <c r="AP29" s="30" t="n">
        <v>60.48219229061048</v>
      </c>
      <c r="AQ29" s="30" t="n">
        <v>16.59694787680787</v>
      </c>
      <c r="AR29" s="30" t="n">
        <v>2.337808735711237</v>
      </c>
      <c r="AS29" s="30" t="n">
        <v>42.49233408148071</v>
      </c>
      <c r="AT29" s="30" t="n">
        <v>178.5424213403272</v>
      </c>
      <c r="AU29" s="30" t="n">
        <v>29.48416902491909</v>
      </c>
      <c r="AV29" s="30" t="n">
        <v>723.9464183060518</v>
      </c>
      <c r="AW29" s="30" t="n">
        <v>275.0809374525865</v>
      </c>
      <c r="AX29" s="30" t="n">
        <v>0</v>
      </c>
      <c r="AY29" s="30" t="n">
        <v>56.72572561638356</v>
      </c>
      <c r="AZ29" s="30" t="n">
        <v>189.8473807079653</v>
      </c>
      <c r="BA29" s="30" t="n">
        <v>56.9403630132254</v>
      </c>
      <c r="BB29" s="30">
        <f>SUM(C29:BA29)</f>
        <v/>
      </c>
      <c r="BC29" s="30" t="n">
        <v>0</v>
      </c>
      <c r="BD29" s="30" t="n">
        <v>0</v>
      </c>
      <c r="BE29" s="30" t="n">
        <v>7177.680685766196</v>
      </c>
      <c r="BF29" s="30" t="n">
        <v>0</v>
      </c>
      <c r="BG29" s="30">
        <f>SUM(BC29:BF29)</f>
        <v/>
      </c>
      <c r="BH29" s="30">
        <f>BB29+BG29</f>
        <v/>
      </c>
    </row>
    <row r="30">
      <c r="A30" s="28" t="n">
        <v>17</v>
      </c>
      <c r="B30" s="29" t="inlineStr">
        <is>
          <t>Fabricação de resina e elastômeros</t>
        </is>
      </c>
      <c r="C30" s="28" t="n">
        <v>150.2028656889095</v>
      </c>
      <c r="D30" s="28" t="n">
        <v>15.42767542091028</v>
      </c>
      <c r="E30" s="28" t="n">
        <v>550.6021787055178</v>
      </c>
      <c r="F30" s="28" t="n">
        <v>5.104335894802943</v>
      </c>
      <c r="G30" s="28" t="n">
        <v>9.462290835807799</v>
      </c>
      <c r="H30" s="28" t="n">
        <v>54.23214206262405</v>
      </c>
      <c r="I30" s="28" t="n">
        <v>21.32860692411427</v>
      </c>
      <c r="J30" s="28" t="n">
        <v>3121.104158565834</v>
      </c>
      <c r="K30" s="28" t="n">
        <v>37.80725481623268</v>
      </c>
      <c r="L30" s="28" t="n">
        <v>773.5526301323165</v>
      </c>
      <c r="M30" s="28" t="n">
        <v>331.0954609906939</v>
      </c>
      <c r="N30" s="28" t="n">
        <v>926.1628129968622</v>
      </c>
      <c r="O30" s="28" t="n">
        <v>39.22627157220467</v>
      </c>
      <c r="P30" s="28" t="n">
        <v>2.080498577141059</v>
      </c>
      <c r="Q30" s="28" t="n">
        <v>3.714434925293448</v>
      </c>
      <c r="R30" s="28" t="n">
        <v>230.1692192833162</v>
      </c>
      <c r="S30" s="28" t="n">
        <v>1265.633477642386</v>
      </c>
      <c r="T30" s="28" t="n">
        <v>50.9436504384778</v>
      </c>
      <c r="U30" s="28" t="n">
        <v>65.18175510591612</v>
      </c>
      <c r="V30" s="28" t="n">
        <v>604.2345717765925</v>
      </c>
      <c r="W30" s="28" t="n">
        <v>618.9015754136079</v>
      </c>
      <c r="X30" s="28" t="n">
        <v>526.8595700957383</v>
      </c>
      <c r="Y30" s="28" t="n">
        <v>9031.962273031089</v>
      </c>
      <c r="Z30" s="28" t="n">
        <v>1015.607511051763</v>
      </c>
      <c r="AA30" s="28" t="n">
        <v>16.6713685949615</v>
      </c>
      <c r="AB30" s="28" t="n">
        <v>136.65339295824</v>
      </c>
      <c r="AC30" s="28" t="n">
        <v>556.090644368725</v>
      </c>
      <c r="AD30" s="28" t="n">
        <v>148.2136109752547</v>
      </c>
      <c r="AE30" s="28" t="n">
        <v>2202.394708090258</v>
      </c>
      <c r="AF30" s="28" t="n">
        <v>420.7373566001791</v>
      </c>
      <c r="AG30" s="28" t="n">
        <v>64.25882387951978</v>
      </c>
      <c r="AH30" s="28" t="n">
        <v>1126.461394004047</v>
      </c>
      <c r="AI30" s="28" t="n">
        <v>230.2314057643779</v>
      </c>
      <c r="AJ30" s="28" t="n">
        <v>719.8719805960725</v>
      </c>
      <c r="AK30" s="28" t="n">
        <v>13.64605608238464</v>
      </c>
      <c r="AL30" s="28" t="n">
        <v>74.72512176956344</v>
      </c>
      <c r="AM30" s="28" t="n">
        <v>84.64386853843412</v>
      </c>
      <c r="AN30" s="28" t="n">
        <v>14.11443775713532</v>
      </c>
      <c r="AO30" s="28" t="n">
        <v>17.98160674700521</v>
      </c>
      <c r="AP30" s="28" t="n">
        <v>16.16499473286745</v>
      </c>
      <c r="AQ30" s="28" t="n">
        <v>7.859432220935615</v>
      </c>
      <c r="AR30" s="28" t="n">
        <v>0.8379578469977249</v>
      </c>
      <c r="AS30" s="28" t="n">
        <v>11.46619222229371</v>
      </c>
      <c r="AT30" s="28" t="n">
        <v>45.683960129711</v>
      </c>
      <c r="AU30" s="28" t="n">
        <v>7.587347706737959</v>
      </c>
      <c r="AV30" s="28" t="n">
        <v>7.955442852993352</v>
      </c>
      <c r="AW30" s="28" t="n">
        <v>19.90133396796812</v>
      </c>
      <c r="AX30" s="28" t="n">
        <v>0</v>
      </c>
      <c r="AY30" s="28" t="n">
        <v>3.713960071641237</v>
      </c>
      <c r="AZ30" s="28" t="n">
        <v>5.934834673176133</v>
      </c>
      <c r="BA30" s="28" t="n">
        <v>11.70915710732795</v>
      </c>
      <c r="BB30" s="28">
        <f>SUM(C30:BA30)</f>
        <v/>
      </c>
      <c r="BC30" s="28" t="n">
        <v>0</v>
      </c>
      <c r="BD30" s="28" t="n">
        <v>0</v>
      </c>
      <c r="BE30" s="28" t="n">
        <v>2753.932552169534</v>
      </c>
      <c r="BF30" s="28" t="n">
        <v>0</v>
      </c>
      <c r="BG30" s="28">
        <f>SUM(BC30:BF30)</f>
        <v/>
      </c>
      <c r="BH30" s="28">
        <f>BB30+BG30</f>
        <v/>
      </c>
    </row>
    <row r="31">
      <c r="A31" s="30" t="n">
        <v>18</v>
      </c>
      <c r="B31" s="31" t="inlineStr">
        <is>
          <t>Produtos farmacêuticos</t>
        </is>
      </c>
      <c r="C31" s="30" t="n">
        <v>282.8734422943302</v>
      </c>
      <c r="D31" s="30" t="n">
        <v>1354.884311768104</v>
      </c>
      <c r="E31" s="30" t="n">
        <v>121.3259062654565</v>
      </c>
      <c r="F31" s="30" t="n">
        <v>8.597283238740564</v>
      </c>
      <c r="G31" s="30" t="n">
        <v>6.90728910117133</v>
      </c>
      <c r="H31" s="30" t="n">
        <v>136.4458327397279</v>
      </c>
      <c r="I31" s="30" t="n">
        <v>3.38851857093867</v>
      </c>
      <c r="J31" s="30" t="n">
        <v>36.6825714904197</v>
      </c>
      <c r="K31" s="30" t="n">
        <v>5.772335291580696</v>
      </c>
      <c r="L31" s="30" t="n">
        <v>13.54577692579256</v>
      </c>
      <c r="M31" s="30" t="n">
        <v>4.807800354021957</v>
      </c>
      <c r="N31" s="30" t="n">
        <v>22.03286635465926</v>
      </c>
      <c r="O31" s="30" t="n">
        <v>2.512173725813208</v>
      </c>
      <c r="P31" s="30" t="n">
        <v>7.584521754586782</v>
      </c>
      <c r="Q31" s="30" t="n">
        <v>3.584259765283009</v>
      </c>
      <c r="R31" s="30" t="n">
        <v>21.40851477529934</v>
      </c>
      <c r="S31" s="30" t="n">
        <v>41.47455886397844</v>
      </c>
      <c r="T31" s="30" t="n">
        <v>1610.251411495421</v>
      </c>
      <c r="U31" s="30" t="n">
        <v>145.5182781211571</v>
      </c>
      <c r="V31" s="30" t="n">
        <v>25.32330040977461</v>
      </c>
      <c r="W31" s="30" t="n">
        <v>15.24787254278501</v>
      </c>
      <c r="X31" s="30" t="n">
        <v>19.51349462309383</v>
      </c>
      <c r="Y31" s="30" t="n">
        <v>99.06905866917506</v>
      </c>
      <c r="Z31" s="30" t="n">
        <v>27.84866283462069</v>
      </c>
      <c r="AA31" s="30" t="n">
        <v>16.5023612047069</v>
      </c>
      <c r="AB31" s="30" t="n">
        <v>6.123093826835553</v>
      </c>
      <c r="AC31" s="30" t="n">
        <v>15.28296185312988</v>
      </c>
      <c r="AD31" s="30" t="n">
        <v>41.51296658171397</v>
      </c>
      <c r="AE31" s="30" t="n">
        <v>31.86368617311758</v>
      </c>
      <c r="AF31" s="30" t="n">
        <v>23.31230499115297</v>
      </c>
      <c r="AG31" s="30" t="n">
        <v>25.58359605782322</v>
      </c>
      <c r="AH31" s="30" t="n">
        <v>16.18171686946653</v>
      </c>
      <c r="AI31" s="30" t="n">
        <v>5.512036946706182</v>
      </c>
      <c r="AJ31" s="30" t="n">
        <v>12.6204888382085</v>
      </c>
      <c r="AK31" s="30" t="n">
        <v>22.39301036560913</v>
      </c>
      <c r="AL31" s="30" t="n">
        <v>130.6826596281354</v>
      </c>
      <c r="AM31" s="30" t="n">
        <v>212.9177703749959</v>
      </c>
      <c r="AN31" s="30" t="n">
        <v>55.33290992121952</v>
      </c>
      <c r="AO31" s="30" t="n">
        <v>71.88823529860638</v>
      </c>
      <c r="AP31" s="30" t="n">
        <v>56.84211376928624</v>
      </c>
      <c r="AQ31" s="30" t="n">
        <v>8.123941547609771</v>
      </c>
      <c r="AR31" s="30" t="n">
        <v>0.6642537712082982</v>
      </c>
      <c r="AS31" s="30" t="n">
        <v>14.42658147841653</v>
      </c>
      <c r="AT31" s="30" t="n">
        <v>92.03921029400645</v>
      </c>
      <c r="AU31" s="30" t="n">
        <v>72.97614079812014</v>
      </c>
      <c r="AV31" s="30" t="n">
        <v>3056.758339587624</v>
      </c>
      <c r="AW31" s="30" t="n">
        <v>273.1126397926897</v>
      </c>
      <c r="AX31" s="30" t="n">
        <v>0</v>
      </c>
      <c r="AY31" s="30" t="n">
        <v>208.417251870323</v>
      </c>
      <c r="AZ31" s="30" t="n">
        <v>1208.914762443553</v>
      </c>
      <c r="BA31" s="30" t="n">
        <v>214.0687929273656</v>
      </c>
      <c r="BB31" s="30">
        <f>SUM(C31:BA31)</f>
        <v/>
      </c>
      <c r="BC31" s="30" t="n">
        <v>0</v>
      </c>
      <c r="BD31" s="30" t="n">
        <v>0</v>
      </c>
      <c r="BE31" s="30" t="n">
        <v>24735.12904290266</v>
      </c>
      <c r="BF31" s="30" t="n">
        <v>0</v>
      </c>
      <c r="BG31" s="30">
        <f>SUM(BC31:BF31)</f>
        <v/>
      </c>
      <c r="BH31" s="30">
        <f>BB31+BG31</f>
        <v/>
      </c>
    </row>
    <row r="32">
      <c r="A32" s="28" t="n">
        <v>19</v>
      </c>
      <c r="B32" s="29" t="inlineStr">
        <is>
          <t>Defensivos agrícolas</t>
        </is>
      </c>
      <c r="C32" s="28" t="n">
        <v>7842.404859367751</v>
      </c>
      <c r="D32" s="28" t="n">
        <v>698.9453923122439</v>
      </c>
      <c r="E32" s="28" t="n">
        <v>70.44875200254482</v>
      </c>
      <c r="F32" s="28" t="n">
        <v>13.63406229736496</v>
      </c>
      <c r="G32" s="28" t="n">
        <v>43.85118507465818</v>
      </c>
      <c r="H32" s="28" t="n">
        <v>130.4308315925876</v>
      </c>
      <c r="I32" s="28" t="n">
        <v>3.78698608746078</v>
      </c>
      <c r="J32" s="28" t="n">
        <v>205.9021844109443</v>
      </c>
      <c r="K32" s="28" t="n">
        <v>5.983250789004247</v>
      </c>
      <c r="L32" s="28" t="n">
        <v>59.38901936570296</v>
      </c>
      <c r="M32" s="28" t="n">
        <v>24.81106309808561</v>
      </c>
      <c r="N32" s="28" t="n">
        <v>90.72005299752315</v>
      </c>
      <c r="O32" s="28" t="n">
        <v>8.521647618876642</v>
      </c>
      <c r="P32" s="28" t="n">
        <v>9.597166760754478</v>
      </c>
      <c r="Q32" s="28" t="n">
        <v>11.82455113415153</v>
      </c>
      <c r="R32" s="28" t="n">
        <v>122.0774117307755</v>
      </c>
      <c r="S32" s="28" t="n">
        <v>274.6137282677147</v>
      </c>
      <c r="T32" s="28" t="n">
        <v>48.93070177093734</v>
      </c>
      <c r="U32" s="28" t="n">
        <v>2036.155123589896</v>
      </c>
      <c r="V32" s="28" t="n">
        <v>350.7488158320899</v>
      </c>
      <c r="W32" s="28" t="n">
        <v>125.9640074795758</v>
      </c>
      <c r="X32" s="28" t="n">
        <v>116.7262236229745</v>
      </c>
      <c r="Y32" s="28" t="n">
        <v>564.6216953240199</v>
      </c>
      <c r="Z32" s="28" t="n">
        <v>72.6472657945036</v>
      </c>
      <c r="AA32" s="28" t="n">
        <v>29.42811691126227</v>
      </c>
      <c r="AB32" s="28" t="n">
        <v>16.51842707541141</v>
      </c>
      <c r="AC32" s="28" t="n">
        <v>63.06744103206638</v>
      </c>
      <c r="AD32" s="28" t="n">
        <v>41.38253557106632</v>
      </c>
      <c r="AE32" s="28" t="n">
        <v>135.2890683896434</v>
      </c>
      <c r="AF32" s="28" t="n">
        <v>35.68036756077112</v>
      </c>
      <c r="AG32" s="28" t="n">
        <v>18.23290432982119</v>
      </c>
      <c r="AH32" s="28" t="n">
        <v>66.44244832969436</v>
      </c>
      <c r="AI32" s="28" t="n">
        <v>15.58203822532607</v>
      </c>
      <c r="AJ32" s="28" t="n">
        <v>49.10779028958834</v>
      </c>
      <c r="AK32" s="28" t="n">
        <v>20.31219079401276</v>
      </c>
      <c r="AL32" s="28" t="n">
        <v>33.9991113116</v>
      </c>
      <c r="AM32" s="28" t="n">
        <v>97.24074477558156</v>
      </c>
      <c r="AN32" s="28" t="n">
        <v>40.76595440027499</v>
      </c>
      <c r="AO32" s="28" t="n">
        <v>51.34733573937503</v>
      </c>
      <c r="AP32" s="28" t="n">
        <v>36.7115472911252</v>
      </c>
      <c r="AQ32" s="28" t="n">
        <v>3.501506500376147</v>
      </c>
      <c r="AR32" s="28" t="n">
        <v>0.207021756032378</v>
      </c>
      <c r="AS32" s="28" t="n">
        <v>6.493152064451969</v>
      </c>
      <c r="AT32" s="28" t="n">
        <v>102.6309610028228</v>
      </c>
      <c r="AU32" s="28" t="n">
        <v>6.681049150502554</v>
      </c>
      <c r="AV32" s="28" t="n">
        <v>6.345689925832773</v>
      </c>
      <c r="AW32" s="28" t="n">
        <v>409.0937915113802</v>
      </c>
      <c r="AX32" s="28" t="n">
        <v>0</v>
      </c>
      <c r="AY32" s="28" t="n">
        <v>14.34106665757986</v>
      </c>
      <c r="AZ32" s="28" t="n">
        <v>25.09784144865643</v>
      </c>
      <c r="BA32" s="28" t="n">
        <v>34.27593607383529</v>
      </c>
      <c r="BB32" s="28">
        <f>SUM(C32:BA32)</f>
        <v/>
      </c>
      <c r="BC32" s="28" t="n">
        <v>0</v>
      </c>
      <c r="BD32" s="28" t="n">
        <v>0</v>
      </c>
      <c r="BE32" s="28" t="n">
        <v>1959.158083942996</v>
      </c>
      <c r="BF32" s="28" t="n">
        <v>0</v>
      </c>
      <c r="BG32" s="28">
        <f>SUM(BC32:BF32)</f>
        <v/>
      </c>
      <c r="BH32" s="28">
        <f>BB32+BG32</f>
        <v/>
      </c>
    </row>
    <row r="33">
      <c r="A33" s="30" t="n">
        <v>20</v>
      </c>
      <c r="B33" s="31" t="inlineStr">
        <is>
          <t>Perfumaria higiene e limpeza</t>
        </is>
      </c>
      <c r="C33" s="30" t="n">
        <v>288.1378658953399</v>
      </c>
      <c r="D33" s="30" t="n">
        <v>58.49475984654287</v>
      </c>
      <c r="E33" s="30" t="n">
        <v>61.56104196760223</v>
      </c>
      <c r="F33" s="30" t="n">
        <v>37.93436253315739</v>
      </c>
      <c r="G33" s="30" t="n">
        <v>40.63774832344026</v>
      </c>
      <c r="H33" s="30" t="n">
        <v>246.3817687169511</v>
      </c>
      <c r="I33" s="30" t="n">
        <v>5.686763970142906</v>
      </c>
      <c r="J33" s="30" t="n">
        <v>39.62611317816557</v>
      </c>
      <c r="K33" s="30" t="n">
        <v>28.65896527459171</v>
      </c>
      <c r="L33" s="30" t="n">
        <v>14.48883106038337</v>
      </c>
      <c r="M33" s="30" t="n">
        <v>14.00451858853158</v>
      </c>
      <c r="N33" s="30" t="n">
        <v>54.61633211955427</v>
      </c>
      <c r="O33" s="30" t="n">
        <v>7.855031956228174</v>
      </c>
      <c r="P33" s="30" t="n">
        <v>42.0849789196664</v>
      </c>
      <c r="Q33" s="30" t="n">
        <v>10.5955183173256</v>
      </c>
      <c r="R33" s="30" t="n">
        <v>141.9501104107134</v>
      </c>
      <c r="S33" s="30" t="n">
        <v>36.51884027205853</v>
      </c>
      <c r="T33" s="30" t="n">
        <v>53.98378642899215</v>
      </c>
      <c r="U33" s="30" t="n">
        <v>108.1412782646311</v>
      </c>
      <c r="V33" s="30" t="n">
        <v>558.4838026216291</v>
      </c>
      <c r="W33" s="30" t="n">
        <v>30.12374500241568</v>
      </c>
      <c r="X33" s="30" t="n">
        <v>51.77669025412767</v>
      </c>
      <c r="Y33" s="30" t="n">
        <v>49.67747461982724</v>
      </c>
      <c r="Z33" s="30" t="n">
        <v>150.0177937995773</v>
      </c>
      <c r="AA33" s="30" t="n">
        <v>51.3114358789277</v>
      </c>
      <c r="AB33" s="30" t="n">
        <v>33.37265999568906</v>
      </c>
      <c r="AC33" s="30" t="n">
        <v>191.0032240028581</v>
      </c>
      <c r="AD33" s="30" t="n">
        <v>82.01226960343035</v>
      </c>
      <c r="AE33" s="30" t="n">
        <v>24.90393900286418</v>
      </c>
      <c r="AF33" s="30" t="n">
        <v>62.21672847213351</v>
      </c>
      <c r="AG33" s="30" t="n">
        <v>31.87234027721069</v>
      </c>
      <c r="AH33" s="30" t="n">
        <v>22.42089247719725</v>
      </c>
      <c r="AI33" s="30" t="n">
        <v>5.78199905306611</v>
      </c>
      <c r="AJ33" s="30" t="n">
        <v>15.76067998816324</v>
      </c>
      <c r="AK33" s="30" t="n">
        <v>56.52619333061635</v>
      </c>
      <c r="AL33" s="30" t="n">
        <v>209.1897656153295</v>
      </c>
      <c r="AM33" s="30" t="n">
        <v>886.8876819238218</v>
      </c>
      <c r="AN33" s="30" t="n">
        <v>249.7302895966604</v>
      </c>
      <c r="AO33" s="30" t="n">
        <v>179.9615423753198</v>
      </c>
      <c r="AP33" s="30" t="n">
        <v>57.72548730527896</v>
      </c>
      <c r="AQ33" s="30" t="n">
        <v>8.653307067907537</v>
      </c>
      <c r="AR33" s="30" t="n">
        <v>0.3761976877831857</v>
      </c>
      <c r="AS33" s="30" t="n">
        <v>64.54568099421054</v>
      </c>
      <c r="AT33" s="30" t="n">
        <v>381.4271672828584</v>
      </c>
      <c r="AU33" s="30" t="n">
        <v>61.17123938463553</v>
      </c>
      <c r="AV33" s="30" t="n">
        <v>270.23577741118</v>
      </c>
      <c r="AW33" s="30" t="n">
        <v>1076.446696242569</v>
      </c>
      <c r="AX33" s="30" t="n">
        <v>0</v>
      </c>
      <c r="AY33" s="30" t="n">
        <v>132.9124815532895</v>
      </c>
      <c r="AZ33" s="30" t="n">
        <v>77.69804230354681</v>
      </c>
      <c r="BA33" s="30" t="n">
        <v>138.6073675631355</v>
      </c>
      <c r="BB33" s="30">
        <f>SUM(C33:BA33)</f>
        <v/>
      </c>
      <c r="BC33" s="30" t="n">
        <v>0</v>
      </c>
      <c r="BD33" s="30" t="n">
        <v>0</v>
      </c>
      <c r="BE33" s="30" t="n">
        <v>16815.82896316507</v>
      </c>
      <c r="BF33" s="30" t="n">
        <v>0</v>
      </c>
      <c r="BG33" s="30">
        <f>SUM(BC33:BF33)</f>
        <v/>
      </c>
      <c r="BH33" s="30">
        <f>BB33+BG33</f>
        <v/>
      </c>
    </row>
    <row r="34">
      <c r="A34" s="28" t="n">
        <v>21</v>
      </c>
      <c r="B34" s="29" t="inlineStr">
        <is>
          <t>Tintas vernizes esmaltes e lacas</t>
        </is>
      </c>
      <c r="C34" s="28" t="n">
        <v>47.24919654947474</v>
      </c>
      <c r="D34" s="28" t="n">
        <v>24.7874927807877</v>
      </c>
      <c r="E34" s="28" t="n">
        <v>16.12495001547011</v>
      </c>
      <c r="F34" s="28" t="n">
        <v>3.655888117123933</v>
      </c>
      <c r="G34" s="28" t="n">
        <v>22.51518055520894</v>
      </c>
      <c r="H34" s="28" t="n">
        <v>68.05933529253196</v>
      </c>
      <c r="I34" s="28" t="n">
        <v>0.7731914748337756</v>
      </c>
      <c r="J34" s="28" t="n">
        <v>87.02309924446233</v>
      </c>
      <c r="K34" s="28" t="n">
        <v>32.87697960074892</v>
      </c>
      <c r="L34" s="28" t="n">
        <v>71.56047679882434</v>
      </c>
      <c r="M34" s="28" t="n">
        <v>166.3022645334377</v>
      </c>
      <c r="N34" s="28" t="n">
        <v>701.2956129574891</v>
      </c>
      <c r="O34" s="28" t="n">
        <v>608.5032383058217</v>
      </c>
      <c r="P34" s="28" t="n">
        <v>5.698444891241086</v>
      </c>
      <c r="Q34" s="28" t="n">
        <v>2.456934583885526</v>
      </c>
      <c r="R34" s="28" t="n">
        <v>50.15253988818596</v>
      </c>
      <c r="S34" s="28" t="n">
        <v>41.30804299023035</v>
      </c>
      <c r="T34" s="28" t="n">
        <v>13.07111192603766</v>
      </c>
      <c r="U34" s="28" t="n">
        <v>13.69138406014764</v>
      </c>
      <c r="V34" s="28" t="n">
        <v>31.37342201778887</v>
      </c>
      <c r="W34" s="28" t="n">
        <v>95.06750782643998</v>
      </c>
      <c r="X34" s="28" t="n">
        <v>38.88414685793995</v>
      </c>
      <c r="Y34" s="28" t="n">
        <v>937.306603733505</v>
      </c>
      <c r="Z34" s="28" t="n">
        <v>491.1351024090296</v>
      </c>
      <c r="AA34" s="28" t="n">
        <v>10.77541386793109</v>
      </c>
      <c r="AB34" s="28" t="n">
        <v>3.893096626344395</v>
      </c>
      <c r="AC34" s="28" t="n">
        <v>305.8902208073713</v>
      </c>
      <c r="AD34" s="28" t="n">
        <v>349.6705349347216</v>
      </c>
      <c r="AE34" s="28" t="n">
        <v>41.11666074785075</v>
      </c>
      <c r="AF34" s="28" t="n">
        <v>304.9985675550689</v>
      </c>
      <c r="AG34" s="28" t="n">
        <v>383.2129854578493</v>
      </c>
      <c r="AH34" s="28" t="n">
        <v>181.1350506211801</v>
      </c>
      <c r="AI34" s="28" t="n">
        <v>93.81575906001234</v>
      </c>
      <c r="AJ34" s="28" t="n">
        <v>146.8799190014287</v>
      </c>
      <c r="AK34" s="28" t="n">
        <v>99.53438377705906</v>
      </c>
      <c r="AL34" s="28" t="n">
        <v>3423.451493468308</v>
      </c>
      <c r="AM34" s="28" t="n">
        <v>673.627608776583</v>
      </c>
      <c r="AN34" s="28" t="n">
        <v>166.0407878630216</v>
      </c>
      <c r="AO34" s="28" t="n">
        <v>248.3431190649691</v>
      </c>
      <c r="AP34" s="28" t="n">
        <v>17.43100980021338</v>
      </c>
      <c r="AQ34" s="28" t="n">
        <v>402.3350488192839</v>
      </c>
      <c r="AR34" s="28" t="n">
        <v>0.4758562931938073</v>
      </c>
      <c r="AS34" s="28" t="n">
        <v>10.71160302095232</v>
      </c>
      <c r="AT34" s="28" t="n">
        <v>36.30999125020156</v>
      </c>
      <c r="AU34" s="28" t="n">
        <v>6.455257894966251</v>
      </c>
      <c r="AV34" s="28" t="n">
        <v>4.416699882298274</v>
      </c>
      <c r="AW34" s="28" t="n">
        <v>213.1898008287648</v>
      </c>
      <c r="AX34" s="28" t="n">
        <v>0</v>
      </c>
      <c r="AY34" s="28" t="n">
        <v>41.75111351771815</v>
      </c>
      <c r="AZ34" s="28" t="n">
        <v>11.79658359279676</v>
      </c>
      <c r="BA34" s="28" t="n">
        <v>115.8908809064863</v>
      </c>
      <c r="BB34" s="28">
        <f>SUM(C34:BA34)</f>
        <v/>
      </c>
      <c r="BC34" s="28" t="n">
        <v>0</v>
      </c>
      <c r="BD34" s="28" t="n">
        <v>0</v>
      </c>
      <c r="BE34" s="28" t="n">
        <v>1191.855602873446</v>
      </c>
      <c r="BF34" s="28" t="n">
        <v>0</v>
      </c>
      <c r="BG34" s="28">
        <f>SUM(BC34:BF34)</f>
        <v/>
      </c>
      <c r="BH34" s="28">
        <f>BB34+BG34</f>
        <v/>
      </c>
    </row>
    <row r="35">
      <c r="A35" s="30" t="n">
        <v>22</v>
      </c>
      <c r="B35" s="31" t="inlineStr">
        <is>
          <t>Produtos e preparados químicos diversos</t>
        </is>
      </c>
      <c r="C35" s="30" t="n">
        <v>253.3437528295148</v>
      </c>
      <c r="D35" s="30" t="n">
        <v>44.31059224937324</v>
      </c>
      <c r="E35" s="30" t="n">
        <v>150.7274285611536</v>
      </c>
      <c r="F35" s="30" t="n">
        <v>118.2579049868464</v>
      </c>
      <c r="G35" s="30" t="n">
        <v>1125.014099389811</v>
      </c>
      <c r="H35" s="30" t="n">
        <v>1534.401672853332</v>
      </c>
      <c r="I35" s="30" t="n">
        <v>6.438751454445675</v>
      </c>
      <c r="J35" s="30" t="n">
        <v>224.3434236814407</v>
      </c>
      <c r="K35" s="30" t="n">
        <v>7.842628283442135</v>
      </c>
      <c r="L35" s="30" t="n">
        <v>91.89258143344489</v>
      </c>
      <c r="M35" s="30" t="n">
        <v>158.266955585033</v>
      </c>
      <c r="N35" s="30" t="n">
        <v>309.0761561157804</v>
      </c>
      <c r="O35" s="30" t="n">
        <v>158.8837308804799</v>
      </c>
      <c r="P35" s="30" t="n">
        <v>130.2119754336358</v>
      </c>
      <c r="Q35" s="30" t="n">
        <v>59.68135875134134</v>
      </c>
      <c r="R35" s="30" t="n">
        <v>381.1408353565379</v>
      </c>
      <c r="S35" s="30" t="n">
        <v>371.8987932386954</v>
      </c>
      <c r="T35" s="30" t="n">
        <v>385.5281868436153</v>
      </c>
      <c r="U35" s="30" t="n">
        <v>174.6503782759813</v>
      </c>
      <c r="V35" s="30" t="n">
        <v>482.9160942204006</v>
      </c>
      <c r="W35" s="30" t="n">
        <v>359.0813633826472</v>
      </c>
      <c r="X35" s="30" t="n">
        <v>1012.488249957531</v>
      </c>
      <c r="Y35" s="30" t="n">
        <v>866.7731898114311</v>
      </c>
      <c r="Z35" s="30" t="n">
        <v>244.1237580702638</v>
      </c>
      <c r="AA35" s="30" t="n">
        <v>294.2718879901194</v>
      </c>
      <c r="AB35" s="30" t="n">
        <v>43.86456066876883</v>
      </c>
      <c r="AC35" s="30" t="n">
        <v>108.9870648510682</v>
      </c>
      <c r="AD35" s="30" t="n">
        <v>220.0865092085979</v>
      </c>
      <c r="AE35" s="30" t="n">
        <v>140.7221188735475</v>
      </c>
      <c r="AF35" s="30" t="n">
        <v>32.84892880627316</v>
      </c>
      <c r="AG35" s="30" t="n">
        <v>63.32123210597808</v>
      </c>
      <c r="AH35" s="30" t="n">
        <v>56.82437930461163</v>
      </c>
      <c r="AI35" s="30" t="n">
        <v>24.52349103538005</v>
      </c>
      <c r="AJ35" s="30" t="n">
        <v>170.6527903638652</v>
      </c>
      <c r="AK35" s="30" t="n">
        <v>118.9757536585989</v>
      </c>
      <c r="AL35" s="30" t="n">
        <v>414.3987735732543</v>
      </c>
      <c r="AM35" s="30" t="n">
        <v>774.1951675051291</v>
      </c>
      <c r="AN35" s="30" t="n">
        <v>69.39703961711913</v>
      </c>
      <c r="AO35" s="30" t="n">
        <v>32.66702542927268</v>
      </c>
      <c r="AP35" s="30" t="n">
        <v>34.45141614495733</v>
      </c>
      <c r="AQ35" s="30" t="n">
        <v>26.55684026903202</v>
      </c>
      <c r="AR35" s="30" t="n">
        <v>0.7395270461502496</v>
      </c>
      <c r="AS35" s="30" t="n">
        <v>11.77543190379685</v>
      </c>
      <c r="AT35" s="30" t="n">
        <v>86.44548037244097</v>
      </c>
      <c r="AU35" s="30" t="n">
        <v>9.450629133143689</v>
      </c>
      <c r="AV35" s="30" t="n">
        <v>17.52662710451473</v>
      </c>
      <c r="AW35" s="30" t="n">
        <v>45.4612217442555</v>
      </c>
      <c r="AX35" s="30" t="n">
        <v>0</v>
      </c>
      <c r="AY35" s="30" t="n">
        <v>161.1583752773996</v>
      </c>
      <c r="AZ35" s="30" t="n">
        <v>345.7789369651286</v>
      </c>
      <c r="BA35" s="30" t="n">
        <v>51.04558820903179</v>
      </c>
      <c r="BB35" s="30">
        <f>SUM(C35:BA35)</f>
        <v/>
      </c>
      <c r="BC35" s="30" t="n">
        <v>0</v>
      </c>
      <c r="BD35" s="30" t="n">
        <v>0</v>
      </c>
      <c r="BE35" s="30" t="n">
        <v>2877.445500884213</v>
      </c>
      <c r="BF35" s="30" t="n">
        <v>0</v>
      </c>
      <c r="BG35" s="30">
        <f>SUM(BC35:BF35)</f>
        <v/>
      </c>
      <c r="BH35" s="30">
        <f>BB35+BG35</f>
        <v/>
      </c>
    </row>
    <row r="36">
      <c r="A36" s="28" t="n">
        <v>23</v>
      </c>
      <c r="B36" s="29" t="inlineStr">
        <is>
          <t>Artigos de borracha e plástico</t>
        </is>
      </c>
      <c r="C36" s="28" t="n">
        <v>305.8101716634121</v>
      </c>
      <c r="D36" s="28" t="n">
        <v>117.3432338684025</v>
      </c>
      <c r="E36" s="28" t="n">
        <v>121.5858149043145</v>
      </c>
      <c r="F36" s="28" t="n">
        <v>299.5746454120244</v>
      </c>
      <c r="G36" s="28" t="n">
        <v>160.268852529503</v>
      </c>
      <c r="H36" s="28" t="n">
        <v>5988.073685564038</v>
      </c>
      <c r="I36" s="28" t="n">
        <v>6.587713771080712</v>
      </c>
      <c r="J36" s="28" t="n">
        <v>229.449285139158</v>
      </c>
      <c r="K36" s="28" t="n">
        <v>239.3972720017908</v>
      </c>
      <c r="L36" s="28" t="n">
        <v>511.6660858564299</v>
      </c>
      <c r="M36" s="28" t="n">
        <v>110.9430476056348</v>
      </c>
      <c r="N36" s="28" t="n">
        <v>433.8099589854253</v>
      </c>
      <c r="O36" s="28" t="n">
        <v>645.1202942242465</v>
      </c>
      <c r="P36" s="28" t="n">
        <v>50.87613003532532</v>
      </c>
      <c r="Q36" s="28" t="n">
        <v>21.58873490211255</v>
      </c>
      <c r="R36" s="28" t="n">
        <v>477.410152520343</v>
      </c>
      <c r="S36" s="28" t="n">
        <v>188.0913613245632</v>
      </c>
      <c r="T36" s="28" t="n">
        <v>224.0138713267763</v>
      </c>
      <c r="U36" s="28" t="n">
        <v>208.576121638993</v>
      </c>
      <c r="V36" s="28" t="n">
        <v>850.8853779417449</v>
      </c>
      <c r="W36" s="28" t="n">
        <v>101.5227795731337</v>
      </c>
      <c r="X36" s="28" t="n">
        <v>117.8158751050413</v>
      </c>
      <c r="Y36" s="28" t="n">
        <v>7730.748059576383</v>
      </c>
      <c r="Z36" s="28" t="n">
        <v>1163.977829648852</v>
      </c>
      <c r="AA36" s="28" t="n">
        <v>389.8635326307589</v>
      </c>
      <c r="AB36" s="28" t="n">
        <v>29.89797237194996</v>
      </c>
      <c r="AC36" s="28" t="n">
        <v>418.8540943441953</v>
      </c>
      <c r="AD36" s="28" t="n">
        <v>1960.771002916357</v>
      </c>
      <c r="AE36" s="28" t="n">
        <v>1358.67818934998</v>
      </c>
      <c r="AF36" s="28" t="n">
        <v>1158.855555086491</v>
      </c>
      <c r="AG36" s="28" t="n">
        <v>5321.31210766785</v>
      </c>
      <c r="AH36" s="28" t="n">
        <v>2643.664587609914</v>
      </c>
      <c r="AI36" s="28" t="n">
        <v>563.4294874847556</v>
      </c>
      <c r="AJ36" s="28" t="n">
        <v>1065.637258090314</v>
      </c>
      <c r="AK36" s="28" t="n">
        <v>284.0772392580355</v>
      </c>
      <c r="AL36" s="28" t="n">
        <v>6023.447930290675</v>
      </c>
      <c r="AM36" s="28" t="n">
        <v>3090.040937470102</v>
      </c>
      <c r="AN36" s="28" t="n">
        <v>3346.502748504802</v>
      </c>
      <c r="AO36" s="28" t="n">
        <v>86.35558698848904</v>
      </c>
      <c r="AP36" s="28" t="n">
        <v>80.19749791443174</v>
      </c>
      <c r="AQ36" s="28" t="n">
        <v>56.7893240518628</v>
      </c>
      <c r="AR36" s="28" t="n">
        <v>41.64082307237416</v>
      </c>
      <c r="AS36" s="28" t="n">
        <v>227.0402660785749</v>
      </c>
      <c r="AT36" s="28" t="n">
        <v>608.5548667503882</v>
      </c>
      <c r="AU36" s="28" t="n">
        <v>25.14061644874883</v>
      </c>
      <c r="AV36" s="28" t="n">
        <v>226.4984968886662</v>
      </c>
      <c r="AW36" s="28" t="n">
        <v>198.8811200470369</v>
      </c>
      <c r="AX36" s="28" t="n">
        <v>0</v>
      </c>
      <c r="AY36" s="28" t="n">
        <v>135.5790363000379</v>
      </c>
      <c r="AZ36" s="28" t="n">
        <v>296.4912542079412</v>
      </c>
      <c r="BA36" s="28" t="n">
        <v>132.9692991539608</v>
      </c>
      <c r="BB36" s="28">
        <f>SUM(C36:BA36)</f>
        <v/>
      </c>
      <c r="BC36" s="28" t="n">
        <v>0</v>
      </c>
      <c r="BD36" s="28" t="n">
        <v>0</v>
      </c>
      <c r="BE36" s="28" t="n">
        <v>12836.90480066148</v>
      </c>
      <c r="BF36" s="28" t="n">
        <v>0</v>
      </c>
      <c r="BG36" s="28">
        <f>SUM(BC36:BF36)</f>
        <v/>
      </c>
      <c r="BH36" s="28">
        <f>BB36+BG36</f>
        <v/>
      </c>
    </row>
    <row r="37">
      <c r="A37" s="30" t="n">
        <v>24</v>
      </c>
      <c r="B37" s="31" t="inlineStr">
        <is>
          <t>Cimento e outros produtos de minerais não-metálicos</t>
        </is>
      </c>
      <c r="C37" s="30" t="n">
        <v>1649.859580845913</v>
      </c>
      <c r="D37" s="30" t="n">
        <v>1182.21405508895</v>
      </c>
      <c r="E37" s="30" t="n">
        <v>101.0473015506825</v>
      </c>
      <c r="F37" s="30" t="n">
        <v>7.867332851293692</v>
      </c>
      <c r="G37" s="30" t="n">
        <v>62.49953077386441</v>
      </c>
      <c r="H37" s="30" t="n">
        <v>1695.082581609169</v>
      </c>
      <c r="I37" s="30" t="n">
        <v>1.029944211887044</v>
      </c>
      <c r="J37" s="30" t="n">
        <v>8.99225960070207</v>
      </c>
      <c r="K37" s="30" t="n">
        <v>4.53030257850536</v>
      </c>
      <c r="L37" s="30" t="n">
        <v>6.301917223458733</v>
      </c>
      <c r="M37" s="30" t="n">
        <v>8.747854362462933</v>
      </c>
      <c r="N37" s="30" t="n">
        <v>132.3438609943825</v>
      </c>
      <c r="O37" s="30" t="n">
        <v>23.36666249301657</v>
      </c>
      <c r="P37" s="30" t="n">
        <v>10.38355113397635</v>
      </c>
      <c r="Q37" s="30" t="n">
        <v>5.006486220892503</v>
      </c>
      <c r="R37" s="30" t="n">
        <v>319.0408090559891</v>
      </c>
      <c r="S37" s="30" t="n">
        <v>7.087603250198809</v>
      </c>
      <c r="T37" s="30" t="n">
        <v>40.47916979480557</v>
      </c>
      <c r="U37" s="30" t="n">
        <v>4.867728967519649</v>
      </c>
      <c r="V37" s="30" t="n">
        <v>178.131100460489</v>
      </c>
      <c r="W37" s="30" t="n">
        <v>41.75321629975806</v>
      </c>
      <c r="X37" s="30" t="n">
        <v>102.2995426886772</v>
      </c>
      <c r="Y37" s="30" t="n">
        <v>303.4211369276455</v>
      </c>
      <c r="Z37" s="30" t="n">
        <v>5032.572591659288</v>
      </c>
      <c r="AA37" s="30" t="n">
        <v>269.7500724586206</v>
      </c>
      <c r="AB37" s="30" t="n">
        <v>17.01931957910623</v>
      </c>
      <c r="AC37" s="30" t="n">
        <v>101.7710502031393</v>
      </c>
      <c r="AD37" s="30" t="n">
        <v>345.2322052494334</v>
      </c>
      <c r="AE37" s="30" t="n">
        <v>206.6930459518404</v>
      </c>
      <c r="AF37" s="30" t="n">
        <v>29.11611542065546</v>
      </c>
      <c r="AG37" s="30" t="n">
        <v>1279.561527313966</v>
      </c>
      <c r="AH37" s="30" t="n">
        <v>79.30882932866919</v>
      </c>
      <c r="AI37" s="30" t="n">
        <v>97.99284622282458</v>
      </c>
      <c r="AJ37" s="30" t="n">
        <v>262.1118026654156</v>
      </c>
      <c r="AK37" s="30" t="n">
        <v>1032.792449155353</v>
      </c>
      <c r="AL37" s="30" t="n">
        <v>28054.77059759661</v>
      </c>
      <c r="AM37" s="30" t="n">
        <v>281.3276444064803</v>
      </c>
      <c r="AN37" s="30" t="n">
        <v>56.6680715953568</v>
      </c>
      <c r="AO37" s="30" t="n">
        <v>44.89268469837014</v>
      </c>
      <c r="AP37" s="30" t="n">
        <v>32.3482978704557</v>
      </c>
      <c r="AQ37" s="30" t="n">
        <v>959.6667655610387</v>
      </c>
      <c r="AR37" s="30" t="n">
        <v>1.496568803747662</v>
      </c>
      <c r="AS37" s="30" t="n">
        <v>357.7382162802386</v>
      </c>
      <c r="AT37" s="30" t="n">
        <v>53.56869503072682</v>
      </c>
      <c r="AU37" s="30" t="n">
        <v>16.95182254464281</v>
      </c>
      <c r="AV37" s="30" t="n">
        <v>61.64367702358335</v>
      </c>
      <c r="AW37" s="30" t="n">
        <v>158.3448286474792</v>
      </c>
      <c r="AX37" s="30" t="n">
        <v>0</v>
      </c>
      <c r="AY37" s="30" t="n">
        <v>99.15666817876654</v>
      </c>
      <c r="AZ37" s="30" t="n">
        <v>80.96930350624551</v>
      </c>
      <c r="BA37" s="30" t="n">
        <v>265.7168027147667</v>
      </c>
      <c r="BB37" s="30">
        <f>SUM(C37:BA37)</f>
        <v/>
      </c>
      <c r="BC37" s="30" t="n">
        <v>0</v>
      </c>
      <c r="BD37" s="30" t="n">
        <v>0</v>
      </c>
      <c r="BE37" s="30" t="n">
        <v>7599.912517479726</v>
      </c>
      <c r="BF37" s="30" t="n">
        <v>0</v>
      </c>
      <c r="BG37" s="30">
        <f>SUM(BC37:BF37)</f>
        <v/>
      </c>
      <c r="BH37" s="30">
        <f>BB37+BG37</f>
        <v/>
      </c>
    </row>
    <row r="38">
      <c r="A38" s="28" t="n">
        <v>25</v>
      </c>
      <c r="B38" s="29" t="inlineStr">
        <is>
          <t>Fabricação de aço e derivados</t>
        </is>
      </c>
      <c r="C38" s="28" t="n">
        <v>143.5892185080018</v>
      </c>
      <c r="D38" s="28" t="n">
        <v>239.7829238383068</v>
      </c>
      <c r="E38" s="28" t="n">
        <v>1714.989929147754</v>
      </c>
      <c r="F38" s="28" t="n">
        <v>24.23954869022342</v>
      </c>
      <c r="G38" s="28" t="n">
        <v>190.7889951492603</v>
      </c>
      <c r="H38" s="28" t="n">
        <v>356.0669220504585</v>
      </c>
      <c r="I38" s="28" t="n">
        <v>3.074144972465642</v>
      </c>
      <c r="J38" s="28" t="n">
        <v>8.521209431276711</v>
      </c>
      <c r="K38" s="28" t="n">
        <v>7.483754943833874</v>
      </c>
      <c r="L38" s="28" t="n">
        <v>5.629169790842464</v>
      </c>
      <c r="M38" s="28" t="n">
        <v>8.941261481922695</v>
      </c>
      <c r="N38" s="28" t="n">
        <v>143.1321676121566</v>
      </c>
      <c r="O38" s="28" t="n">
        <v>6.749573652797843</v>
      </c>
      <c r="P38" s="28" t="n">
        <v>12.65523848065253</v>
      </c>
      <c r="Q38" s="28" t="n">
        <v>4.642753334281378</v>
      </c>
      <c r="R38" s="28" t="n">
        <v>23.01092936100699</v>
      </c>
      <c r="S38" s="28" t="n">
        <v>6.690389945921612</v>
      </c>
      <c r="T38" s="28" t="n">
        <v>18.25673688808931</v>
      </c>
      <c r="U38" s="28" t="n">
        <v>5.932898901885344</v>
      </c>
      <c r="V38" s="28" t="n">
        <v>21.92854698244922</v>
      </c>
      <c r="W38" s="28" t="n">
        <v>17.78028836282105</v>
      </c>
      <c r="X38" s="28" t="n">
        <v>16.91684935223163</v>
      </c>
      <c r="Y38" s="28" t="n">
        <v>749.7348341379977</v>
      </c>
      <c r="Z38" s="28" t="n">
        <v>547.0509204005897</v>
      </c>
      <c r="AA38" s="28" t="n">
        <v>13738.10027379669</v>
      </c>
      <c r="AB38" s="28" t="n">
        <v>1022.741223248841</v>
      </c>
      <c r="AC38" s="28" t="n">
        <v>17445.95978966631</v>
      </c>
      <c r="AD38" s="28" t="n">
        <v>9686.069219349505</v>
      </c>
      <c r="AE38" s="28" t="n">
        <v>3401.775380843373</v>
      </c>
      <c r="AF38" s="28" t="n">
        <v>174.5811455589854</v>
      </c>
      <c r="AG38" s="28" t="n">
        <v>6951.703205807832</v>
      </c>
      <c r="AH38" s="28" t="n">
        <v>8681.594389605174</v>
      </c>
      <c r="AI38" s="28" t="n">
        <v>1033.054534869698</v>
      </c>
      <c r="AJ38" s="28" t="n">
        <v>1155.215379489461</v>
      </c>
      <c r="AK38" s="28" t="n">
        <v>273.1719493608083</v>
      </c>
      <c r="AL38" s="28" t="n">
        <v>14315.69467430676</v>
      </c>
      <c r="AM38" s="28" t="n">
        <v>1005.936504396974</v>
      </c>
      <c r="AN38" s="28" t="n">
        <v>96.64793759921774</v>
      </c>
      <c r="AO38" s="28" t="n">
        <v>95.61218887950322</v>
      </c>
      <c r="AP38" s="28" t="n">
        <v>79.51391483823761</v>
      </c>
      <c r="AQ38" s="28" t="n">
        <v>20.53377094114942</v>
      </c>
      <c r="AR38" s="28" t="n">
        <v>2.524224471915872</v>
      </c>
      <c r="AS38" s="28" t="n">
        <v>58.38351563761043</v>
      </c>
      <c r="AT38" s="28" t="n">
        <v>303.6691183121083</v>
      </c>
      <c r="AU38" s="28" t="n">
        <v>31.87795668677349</v>
      </c>
      <c r="AV38" s="28" t="n">
        <v>15.60039707248811</v>
      </c>
      <c r="AW38" s="28" t="n">
        <v>65.34783322148778</v>
      </c>
      <c r="AX38" s="28" t="n">
        <v>0</v>
      </c>
      <c r="AY38" s="28" t="n">
        <v>42.90305559627521</v>
      </c>
      <c r="AZ38" s="28" t="n">
        <v>21.37017861107175</v>
      </c>
      <c r="BA38" s="28" t="n">
        <v>179.8047193805307</v>
      </c>
      <c r="BB38" s="28">
        <f>SUM(C38:BA38)</f>
        <v/>
      </c>
      <c r="BC38" s="28" t="n">
        <v>0</v>
      </c>
      <c r="BD38" s="28" t="n">
        <v>0</v>
      </c>
      <c r="BE38" s="28" t="n">
        <v>22933.78033875576</v>
      </c>
      <c r="BF38" s="28" t="n">
        <v>0</v>
      </c>
      <c r="BG38" s="28">
        <f>SUM(BC38:BF38)</f>
        <v/>
      </c>
      <c r="BH38" s="28">
        <f>BB38+BG38</f>
        <v/>
      </c>
    </row>
    <row r="39">
      <c r="A39" s="30" t="n">
        <v>26</v>
      </c>
      <c r="B39" s="31" t="inlineStr">
        <is>
          <t>Metalurgia de metais não-ferrosos</t>
        </is>
      </c>
      <c r="C39" s="30" t="n">
        <v>542.580720262757</v>
      </c>
      <c r="D39" s="30" t="n">
        <v>70.65413586501631</v>
      </c>
      <c r="E39" s="30" t="n">
        <v>45.19305182405609</v>
      </c>
      <c r="F39" s="30" t="n">
        <v>12.27307864673408</v>
      </c>
      <c r="G39" s="30" t="n">
        <v>57.86597200002664</v>
      </c>
      <c r="H39" s="30" t="n">
        <v>574.1454442720442</v>
      </c>
      <c r="I39" s="30" t="n">
        <v>0.9247332490556487</v>
      </c>
      <c r="J39" s="30" t="n">
        <v>10.9760946100002</v>
      </c>
      <c r="K39" s="30" t="n">
        <v>8.269429398640943</v>
      </c>
      <c r="L39" s="30" t="n">
        <v>7.46978635495716</v>
      </c>
      <c r="M39" s="30" t="n">
        <v>3.07898496148401</v>
      </c>
      <c r="N39" s="30" t="n">
        <v>205.3515876769915</v>
      </c>
      <c r="O39" s="30" t="n">
        <v>213.3934959628256</v>
      </c>
      <c r="P39" s="30" t="n">
        <v>4.420046131855541</v>
      </c>
      <c r="Q39" s="30" t="n">
        <v>2.692011394115796</v>
      </c>
      <c r="R39" s="30" t="n">
        <v>418.972427348244</v>
      </c>
      <c r="S39" s="30" t="n">
        <v>25.12941548637558</v>
      </c>
      <c r="T39" s="30" t="n">
        <v>12.87031500228815</v>
      </c>
      <c r="U39" s="30" t="n">
        <v>15.77492656976008</v>
      </c>
      <c r="V39" s="30" t="n">
        <v>27.96689835260273</v>
      </c>
      <c r="W39" s="30" t="n">
        <v>29.80051247483553</v>
      </c>
      <c r="X39" s="30" t="n">
        <v>155.4131490692004</v>
      </c>
      <c r="Y39" s="30" t="n">
        <v>67.59154214999984</v>
      </c>
      <c r="Z39" s="30" t="n">
        <v>103.5079277534197</v>
      </c>
      <c r="AA39" s="30" t="n">
        <v>1148.24528036922</v>
      </c>
      <c r="AB39" s="30" t="n">
        <v>4783.713780792044</v>
      </c>
      <c r="AC39" s="30" t="n">
        <v>1206.355811788129</v>
      </c>
      <c r="AD39" s="30" t="n">
        <v>2288.251359022684</v>
      </c>
      <c r="AE39" s="30" t="n">
        <v>5408.175385979411</v>
      </c>
      <c r="AF39" s="30" t="n">
        <v>197.1964164842819</v>
      </c>
      <c r="AG39" s="30" t="n">
        <v>482.6666964433044</v>
      </c>
      <c r="AH39" s="30" t="n">
        <v>4001.225725793939</v>
      </c>
      <c r="AI39" s="30" t="n">
        <v>648.1184334842895</v>
      </c>
      <c r="AJ39" s="30" t="n">
        <v>1284.395256397362</v>
      </c>
      <c r="AK39" s="30" t="n">
        <v>151.8478948094604</v>
      </c>
      <c r="AL39" s="30" t="n">
        <v>2464.080139107695</v>
      </c>
      <c r="AM39" s="30" t="n">
        <v>501.9793924698411</v>
      </c>
      <c r="AN39" s="30" t="n">
        <v>52.77197932569949</v>
      </c>
      <c r="AO39" s="30" t="n">
        <v>50.99502217991821</v>
      </c>
      <c r="AP39" s="30" t="n">
        <v>52.25026781526293</v>
      </c>
      <c r="AQ39" s="30" t="n">
        <v>48.83768814915246</v>
      </c>
      <c r="AR39" s="30" t="n">
        <v>2.664793988530084</v>
      </c>
      <c r="AS39" s="30" t="n">
        <v>43.56912046684418</v>
      </c>
      <c r="AT39" s="30" t="n">
        <v>80.06745764829479</v>
      </c>
      <c r="AU39" s="30" t="n">
        <v>28.48657664456686</v>
      </c>
      <c r="AV39" s="30" t="n">
        <v>33.48053955097296</v>
      </c>
      <c r="AW39" s="30" t="n">
        <v>63.51953443975812</v>
      </c>
      <c r="AX39" s="30" t="n">
        <v>0</v>
      </c>
      <c r="AY39" s="30" t="n">
        <v>7.17508991657947</v>
      </c>
      <c r="AZ39" s="30" t="n">
        <v>8.858051563613556</v>
      </c>
      <c r="BA39" s="30" t="n">
        <v>43.30682764455713</v>
      </c>
      <c r="BB39" s="30">
        <f>SUM(C39:BA39)</f>
        <v/>
      </c>
      <c r="BC39" s="30" t="n">
        <v>0</v>
      </c>
      <c r="BD39" s="30" t="n">
        <v>0</v>
      </c>
      <c r="BE39" s="30" t="n">
        <v>9461.860048991752</v>
      </c>
      <c r="BF39" s="30" t="n">
        <v>0</v>
      </c>
      <c r="BG39" s="30">
        <f>SUM(BC39:BF39)</f>
        <v/>
      </c>
      <c r="BH39" s="30">
        <f>BB39+BG39</f>
        <v/>
      </c>
    </row>
    <row r="40">
      <c r="A40" s="29" t="inlineStr">
        <is>
          <t>Produtos de metal</t>
        </is>
      </c>
      <c r="B40" s="29" t="inlineStr">
        <is>
          <t>exclusive máquinas e equipamentos</t>
        </is>
      </c>
      <c r="C40" s="28" t="n">
        <v>253.0279224520779</v>
      </c>
      <c r="D40" s="28" t="n">
        <v>375.5871098395556</v>
      </c>
      <c r="E40" s="28" t="n">
        <v>921.9391271876514</v>
      </c>
      <c r="F40" s="28" t="n">
        <v>478.6631649243466</v>
      </c>
      <c r="G40" s="28" t="n">
        <v>210.7216453725707</v>
      </c>
      <c r="H40" s="28" t="n">
        <v>4867.627508332203</v>
      </c>
      <c r="I40" s="28" t="n">
        <v>22.63188028355491</v>
      </c>
      <c r="J40" s="28" t="n">
        <v>83.42253355270832</v>
      </c>
      <c r="K40" s="28" t="n">
        <v>91.21054130053363</v>
      </c>
      <c r="L40" s="28" t="n">
        <v>54.5623105334836</v>
      </c>
      <c r="M40" s="28" t="n">
        <v>253.4235816075195</v>
      </c>
      <c r="N40" s="28" t="n">
        <v>108.0513235595864</v>
      </c>
      <c r="O40" s="28" t="n">
        <v>36.80126699159223</v>
      </c>
      <c r="P40" s="28" t="n">
        <v>194.5594844328159</v>
      </c>
      <c r="Q40" s="28" t="n">
        <v>41.17120073125479</v>
      </c>
      <c r="R40" s="28" t="n">
        <v>205.1263846562526</v>
      </c>
      <c r="S40" s="28" t="n">
        <v>84.23128380101613</v>
      </c>
      <c r="T40" s="28" t="n">
        <v>97.13710901170778</v>
      </c>
      <c r="U40" s="28" t="n">
        <v>39.96441699578139</v>
      </c>
      <c r="V40" s="28" t="n">
        <v>578.5109529810352</v>
      </c>
      <c r="W40" s="28" t="n">
        <v>514.8270770068413</v>
      </c>
      <c r="X40" s="28" t="n">
        <v>41.6896435934998</v>
      </c>
      <c r="Y40" s="28" t="n">
        <v>174.7574203769057</v>
      </c>
      <c r="Z40" s="28" t="n">
        <v>175.2989722411764</v>
      </c>
      <c r="AA40" s="28" t="n">
        <v>2008.930314816928</v>
      </c>
      <c r="AB40" s="28" t="n">
        <v>204.707720643067</v>
      </c>
      <c r="AC40" s="28" t="n">
        <v>5143.318345895134</v>
      </c>
      <c r="AD40" s="28" t="n">
        <v>6136.911190877208</v>
      </c>
      <c r="AE40" s="28" t="n">
        <v>1902.925855153107</v>
      </c>
      <c r="AF40" s="28" t="n">
        <v>931.4313157975705</v>
      </c>
      <c r="AG40" s="28" t="n">
        <v>3251.031029634489</v>
      </c>
      <c r="AH40" s="28" t="n">
        <v>2343.95168213475</v>
      </c>
      <c r="AI40" s="28" t="n">
        <v>1659.318290452218</v>
      </c>
      <c r="AJ40" s="28" t="n">
        <v>784.4187493282861</v>
      </c>
      <c r="AK40" s="28" t="n">
        <v>1706.037361490751</v>
      </c>
      <c r="AL40" s="28" t="n">
        <v>15310.94901437105</v>
      </c>
      <c r="AM40" s="28" t="n">
        <v>1114.665502026046</v>
      </c>
      <c r="AN40" s="28" t="n">
        <v>202.6283607319913</v>
      </c>
      <c r="AO40" s="28" t="n">
        <v>109.1120498204763</v>
      </c>
      <c r="AP40" s="28" t="n">
        <v>58.41393046860162</v>
      </c>
      <c r="AQ40" s="28" t="n">
        <v>259.8815143336366</v>
      </c>
      <c r="AR40" s="28" t="n">
        <v>3.68099873263909</v>
      </c>
      <c r="AS40" s="28" t="n">
        <v>1119.405887278207</v>
      </c>
      <c r="AT40" s="28" t="n">
        <v>210.7797826018091</v>
      </c>
      <c r="AU40" s="28" t="n">
        <v>29.35419670592055</v>
      </c>
      <c r="AV40" s="28" t="n">
        <v>36.15183720446085</v>
      </c>
      <c r="AW40" s="28" t="n">
        <v>269.7634484734699</v>
      </c>
      <c r="AX40" s="28" t="n">
        <v>0</v>
      </c>
      <c r="AY40" s="28" t="n">
        <v>51.01454073836518</v>
      </c>
      <c r="AZ40" s="28" t="n">
        <v>54.71471915171816</v>
      </c>
      <c r="BA40" s="28" t="n">
        <v>771.2837425836044</v>
      </c>
      <c r="BB40" s="28">
        <f>SUM(C40:BA40)</f>
        <v/>
      </c>
      <c r="BC40" s="28" t="n">
        <v>0</v>
      </c>
      <c r="BD40" s="28" t="n">
        <v>0</v>
      </c>
      <c r="BE40" s="28" t="n">
        <v>18310.97299404817</v>
      </c>
      <c r="BF40" s="28" t="n">
        <v>0</v>
      </c>
      <c r="BG40" s="28">
        <f>SUM(BC40:BF40)</f>
        <v/>
      </c>
      <c r="BH40" s="28">
        <f>BB40+BG40</f>
        <v/>
      </c>
    </row>
    <row r="41">
      <c r="A41" s="30" t="n">
        <v>28</v>
      </c>
      <c r="B41" s="31" t="inlineStr">
        <is>
          <t>Máquinas e equipamentos inclusive manutenção e reparos</t>
        </is>
      </c>
      <c r="C41" s="30" t="n">
        <v>116.3960278436209</v>
      </c>
      <c r="D41" s="30" t="n">
        <v>53.70127822577834</v>
      </c>
      <c r="E41" s="30" t="n">
        <v>2964.802162309103</v>
      </c>
      <c r="F41" s="30" t="n">
        <v>2365.922626654495</v>
      </c>
      <c r="G41" s="30" t="n">
        <v>1152.483035228649</v>
      </c>
      <c r="H41" s="30" t="n">
        <v>1381.058595726855</v>
      </c>
      <c r="I41" s="30" t="n">
        <v>11.73813801160268</v>
      </c>
      <c r="J41" s="30" t="n">
        <v>168.6092645339245</v>
      </c>
      <c r="K41" s="30" t="n">
        <v>276.4562809509071</v>
      </c>
      <c r="L41" s="30" t="n">
        <v>92.96216808036391</v>
      </c>
      <c r="M41" s="30" t="n">
        <v>288.3331574693225</v>
      </c>
      <c r="N41" s="30" t="n">
        <v>1035.869441631957</v>
      </c>
      <c r="O41" s="30" t="n">
        <v>656.5536169399638</v>
      </c>
      <c r="P41" s="30" t="n">
        <v>278.9841240104719</v>
      </c>
      <c r="Q41" s="30" t="n">
        <v>237.0357947192025</v>
      </c>
      <c r="R41" s="30" t="n">
        <v>381.0806122269443</v>
      </c>
      <c r="S41" s="30" t="n">
        <v>152.1241751350235</v>
      </c>
      <c r="T41" s="30" t="n">
        <v>263.2935110616871</v>
      </c>
      <c r="U41" s="30" t="n">
        <v>89.94410315425901</v>
      </c>
      <c r="V41" s="30" t="n">
        <v>112.9635314000905</v>
      </c>
      <c r="W41" s="30" t="n">
        <v>139.2135909096189</v>
      </c>
      <c r="X41" s="30" t="n">
        <v>161.1196596797475</v>
      </c>
      <c r="Y41" s="30" t="n">
        <v>382.5785682500514</v>
      </c>
      <c r="Z41" s="30" t="n">
        <v>1194.149411772367</v>
      </c>
      <c r="AA41" s="30" t="n">
        <v>4707.899939509695</v>
      </c>
      <c r="AB41" s="30" t="n">
        <v>911.8258349384166</v>
      </c>
      <c r="AC41" s="30" t="n">
        <v>551.8074163583649</v>
      </c>
      <c r="AD41" s="30" t="n">
        <v>18514.92365466711</v>
      </c>
      <c r="AE41" s="30" t="n">
        <v>850.8534257754681</v>
      </c>
      <c r="AF41" s="30" t="n">
        <v>322.850818027173</v>
      </c>
      <c r="AG41" s="30" t="n">
        <v>1767.883563522862</v>
      </c>
      <c r="AH41" s="30" t="n">
        <v>736.1650175209198</v>
      </c>
      <c r="AI41" s="30" t="n">
        <v>639.9455136963443</v>
      </c>
      <c r="AJ41" s="30" t="n">
        <v>292.2390400396438</v>
      </c>
      <c r="AK41" s="30" t="n">
        <v>1190.96295236623</v>
      </c>
      <c r="AL41" s="30" t="n">
        <v>3894.179890828209</v>
      </c>
      <c r="AM41" s="30" t="n">
        <v>2676.870269728361</v>
      </c>
      <c r="AN41" s="30" t="n">
        <v>2545.5018017876</v>
      </c>
      <c r="AO41" s="30" t="n">
        <v>1259.257943931905</v>
      </c>
      <c r="AP41" s="30" t="n">
        <v>223.732907180327</v>
      </c>
      <c r="AQ41" s="30" t="n">
        <v>58.98402964379471</v>
      </c>
      <c r="AR41" s="30" t="n">
        <v>36.06792928163627</v>
      </c>
      <c r="AS41" s="30" t="n">
        <v>148.8443901184244</v>
      </c>
      <c r="AT41" s="30" t="n">
        <v>1406.211697227472</v>
      </c>
      <c r="AU41" s="30" t="n">
        <v>18.38596100421232</v>
      </c>
      <c r="AV41" s="30" t="n">
        <v>318.4327277093002</v>
      </c>
      <c r="AW41" s="30" t="n">
        <v>975.0953626956286</v>
      </c>
      <c r="AX41" s="30" t="n">
        <v>0</v>
      </c>
      <c r="AY41" s="30" t="n">
        <v>83.47807166994869</v>
      </c>
      <c r="AZ41" s="30" t="n">
        <v>425.3136511269018</v>
      </c>
      <c r="BA41" s="30" t="n">
        <v>569.4036732421863</v>
      </c>
      <c r="BB41" s="30">
        <f>SUM(C41:BA41)</f>
        <v/>
      </c>
      <c r="BC41" s="30" t="n">
        <v>0</v>
      </c>
      <c r="BD41" s="30" t="n">
        <v>0</v>
      </c>
      <c r="BE41" s="30" t="n">
        <v>64933.94500951286</v>
      </c>
      <c r="BF41" s="30" t="n">
        <v>0</v>
      </c>
      <c r="BG41" s="30">
        <f>SUM(BC41:BF41)</f>
        <v/>
      </c>
      <c r="BH41" s="30">
        <f>BB41+BG41</f>
        <v/>
      </c>
    </row>
    <row r="42">
      <c r="A42" s="28" t="n">
        <v>29</v>
      </c>
      <c r="B42" s="29" t="inlineStr">
        <is>
          <t>Eletrodomésticos e material eletronico</t>
        </is>
      </c>
      <c r="C42" s="28" t="n">
        <v>28.82397142315252</v>
      </c>
      <c r="D42" s="28" t="n">
        <v>58.38671197649704</v>
      </c>
      <c r="E42" s="28" t="n">
        <v>146.7569698352269</v>
      </c>
      <c r="F42" s="28" t="n">
        <v>43.94492787846293</v>
      </c>
      <c r="G42" s="28" t="n">
        <v>37.29196190130266</v>
      </c>
      <c r="H42" s="28" t="n">
        <v>196.7786857078136</v>
      </c>
      <c r="I42" s="28" t="n">
        <v>4.942974818126284</v>
      </c>
      <c r="J42" s="28" t="n">
        <v>40.32773054759994</v>
      </c>
      <c r="K42" s="28" t="n">
        <v>14.03098389785794</v>
      </c>
      <c r="L42" s="28" t="n">
        <v>10.85750789192827</v>
      </c>
      <c r="M42" s="28" t="n">
        <v>17.73007596325181</v>
      </c>
      <c r="N42" s="28" t="n">
        <v>53.17105838131095</v>
      </c>
      <c r="O42" s="28" t="n">
        <v>19.12082359388023</v>
      </c>
      <c r="P42" s="28" t="n">
        <v>11.00801212751512</v>
      </c>
      <c r="Q42" s="28" t="n">
        <v>7.290392763946543</v>
      </c>
      <c r="R42" s="28" t="n">
        <v>48.33098234978709</v>
      </c>
      <c r="S42" s="28" t="n">
        <v>20.54310547775702</v>
      </c>
      <c r="T42" s="28" t="n">
        <v>16.6482237227292</v>
      </c>
      <c r="U42" s="28" t="n">
        <v>5.94392717336959</v>
      </c>
      <c r="V42" s="28" t="n">
        <v>17.42314491518118</v>
      </c>
      <c r="W42" s="28" t="n">
        <v>9.025627570977385</v>
      </c>
      <c r="X42" s="28" t="n">
        <v>14.14080488965187</v>
      </c>
      <c r="Y42" s="28" t="n">
        <v>76.48718713327617</v>
      </c>
      <c r="Z42" s="28" t="n">
        <v>98.60187499491823</v>
      </c>
      <c r="AA42" s="28" t="n">
        <v>106.1817477778547</v>
      </c>
      <c r="AB42" s="28" t="n">
        <v>115.3520940313929</v>
      </c>
      <c r="AC42" s="28" t="n">
        <v>100.0455925183729</v>
      </c>
      <c r="AD42" s="28" t="n">
        <v>3023.303906083815</v>
      </c>
      <c r="AE42" s="28" t="n">
        <v>4803.818350147322</v>
      </c>
      <c r="AF42" s="28" t="n">
        <v>1333.860248305715</v>
      </c>
      <c r="AG42" s="28" t="n">
        <v>764.479716106798</v>
      </c>
      <c r="AH42" s="28" t="n">
        <v>803.2678930159495</v>
      </c>
      <c r="AI42" s="28" t="n">
        <v>233.8003058737795</v>
      </c>
      <c r="AJ42" s="28" t="n">
        <v>160.9159978917511</v>
      </c>
      <c r="AK42" s="28" t="n">
        <v>2670.768693117682</v>
      </c>
      <c r="AL42" s="28" t="n">
        <v>5739.446529330005</v>
      </c>
      <c r="AM42" s="28" t="n">
        <v>760.6569631846136</v>
      </c>
      <c r="AN42" s="28" t="n">
        <v>725.5987630115897</v>
      </c>
      <c r="AO42" s="28" t="n">
        <v>636.3994500956728</v>
      </c>
      <c r="AP42" s="28" t="n">
        <v>74.34968928448546</v>
      </c>
      <c r="AQ42" s="28" t="n">
        <v>224.7200807702885</v>
      </c>
      <c r="AR42" s="28" t="n">
        <v>174.2803702748014</v>
      </c>
      <c r="AS42" s="28" t="n">
        <v>53.05052417481414</v>
      </c>
      <c r="AT42" s="28" t="n">
        <v>484.849370255816</v>
      </c>
      <c r="AU42" s="28" t="n">
        <v>17.55992213375752</v>
      </c>
      <c r="AV42" s="28" t="n">
        <v>95.06370659990885</v>
      </c>
      <c r="AW42" s="28" t="n">
        <v>693.0874236905015</v>
      </c>
      <c r="AX42" s="28" t="n">
        <v>0</v>
      </c>
      <c r="AY42" s="28" t="n">
        <v>55.02890687499253</v>
      </c>
      <c r="AZ42" s="28" t="n">
        <v>39.10816490903214</v>
      </c>
      <c r="BA42" s="28" t="n">
        <v>112.030023390512</v>
      </c>
      <c r="BB42" s="28">
        <f>SUM(C42:BA42)</f>
        <v/>
      </c>
      <c r="BC42" s="28" t="n">
        <v>0</v>
      </c>
      <c r="BD42" s="28" t="n">
        <v>0</v>
      </c>
      <c r="BE42" s="28" t="n">
        <v>27739.35136964409</v>
      </c>
      <c r="BF42" s="28" t="n">
        <v>0</v>
      </c>
      <c r="BG42" s="28">
        <f>SUM(BC42:BF42)</f>
        <v/>
      </c>
      <c r="BH42" s="28">
        <f>BB42+BG42</f>
        <v/>
      </c>
    </row>
    <row r="43">
      <c r="A43" s="30" t="n">
        <v>30</v>
      </c>
      <c r="B43" s="31" t="inlineStr">
        <is>
          <t>Máquinas para escritório aparelhos e e material eletronico</t>
        </is>
      </c>
      <c r="C43" s="30" t="n">
        <v>5.799712850335704</v>
      </c>
      <c r="D43" s="30" t="n">
        <v>3.93294237453142</v>
      </c>
      <c r="E43" s="30" t="n">
        <v>159.9013619035915</v>
      </c>
      <c r="F43" s="30" t="n">
        <v>34.68809470110864</v>
      </c>
      <c r="G43" s="30" t="n">
        <v>65.1698097816263</v>
      </c>
      <c r="H43" s="30" t="n">
        <v>191.3363983122982</v>
      </c>
      <c r="I43" s="30" t="n">
        <v>5.488264958281961</v>
      </c>
      <c r="J43" s="30" t="n">
        <v>14.05995132628634</v>
      </c>
      <c r="K43" s="30" t="n">
        <v>9.616502971538253</v>
      </c>
      <c r="L43" s="30" t="n">
        <v>11.36229912392581</v>
      </c>
      <c r="M43" s="30" t="n">
        <v>11.54719667700984</v>
      </c>
      <c r="N43" s="30" t="n">
        <v>37.41752572437026</v>
      </c>
      <c r="O43" s="30" t="n">
        <v>171.9238028767183</v>
      </c>
      <c r="P43" s="30" t="n">
        <v>18.31149376410697</v>
      </c>
      <c r="Q43" s="30" t="n">
        <v>7.908076859313646</v>
      </c>
      <c r="R43" s="30" t="n">
        <v>19.67136769976997</v>
      </c>
      <c r="S43" s="30" t="n">
        <v>13.41914843908649</v>
      </c>
      <c r="T43" s="30" t="n">
        <v>43.63020931287964</v>
      </c>
      <c r="U43" s="30" t="n">
        <v>12.24220646292842</v>
      </c>
      <c r="V43" s="30" t="n">
        <v>27.56333487698821</v>
      </c>
      <c r="W43" s="30" t="n">
        <v>18.87832194976712</v>
      </c>
      <c r="X43" s="30" t="n">
        <v>48.917516877973</v>
      </c>
      <c r="Y43" s="30" t="n">
        <v>52.31427101483339</v>
      </c>
      <c r="Z43" s="30" t="n">
        <v>35.8219458885039</v>
      </c>
      <c r="AA43" s="30" t="n">
        <v>68.78095363847542</v>
      </c>
      <c r="AB43" s="30" t="n">
        <v>15.06586019612508</v>
      </c>
      <c r="AC43" s="30" t="n">
        <v>24.23816710547455</v>
      </c>
      <c r="AD43" s="30" t="n">
        <v>737.9614350861975</v>
      </c>
      <c r="AE43" s="30" t="n">
        <v>334.9272180110726</v>
      </c>
      <c r="AF43" s="30" t="n">
        <v>13096.63317467981</v>
      </c>
      <c r="AG43" s="30" t="n">
        <v>226.752347200297</v>
      </c>
      <c r="AH43" s="30" t="n">
        <v>132.041537865363</v>
      </c>
      <c r="AI43" s="30" t="n">
        <v>48.80537183418888</v>
      </c>
      <c r="AJ43" s="30" t="n">
        <v>38.66916032696849</v>
      </c>
      <c r="AK43" s="30" t="n">
        <v>172.7548473558542</v>
      </c>
      <c r="AL43" s="30" t="n">
        <v>386.4961046347872</v>
      </c>
      <c r="AM43" s="30" t="n">
        <v>399.0507681471889</v>
      </c>
      <c r="AN43" s="30" t="n">
        <v>224.2513745711826</v>
      </c>
      <c r="AO43" s="30" t="n">
        <v>1970.511628637008</v>
      </c>
      <c r="AP43" s="30" t="n">
        <v>373.6256832740926</v>
      </c>
      <c r="AQ43" s="30" t="n">
        <v>16.77468691415487</v>
      </c>
      <c r="AR43" s="30" t="n">
        <v>463.4191595022795</v>
      </c>
      <c r="AS43" s="30" t="n">
        <v>21.1563390671782</v>
      </c>
      <c r="AT43" s="30" t="n">
        <v>1598.049241801673</v>
      </c>
      <c r="AU43" s="30" t="n">
        <v>114.41918081675</v>
      </c>
      <c r="AV43" s="30" t="n">
        <v>2596.976704476495</v>
      </c>
      <c r="AW43" s="30" t="n">
        <v>223.5946896449086</v>
      </c>
      <c r="AX43" s="30" t="n">
        <v>0</v>
      </c>
      <c r="AY43" s="30" t="n">
        <v>819.7131178388173</v>
      </c>
      <c r="AZ43" s="30" t="n">
        <v>763.4819042053492</v>
      </c>
      <c r="BA43" s="30" t="n">
        <v>481.6656098343804</v>
      </c>
      <c r="BB43" s="30">
        <f>SUM(C43:BA43)</f>
        <v/>
      </c>
      <c r="BC43" s="30" t="n">
        <v>0</v>
      </c>
      <c r="BD43" s="30" t="n">
        <v>0</v>
      </c>
      <c r="BE43" s="30" t="n">
        <v>42945.58044515397</v>
      </c>
      <c r="BF43" s="30" t="n">
        <v>0</v>
      </c>
      <c r="BG43" s="30">
        <f>SUM(BC43:BF43)</f>
        <v/>
      </c>
      <c r="BH43" s="30">
        <f>BB43+BG43</f>
        <v/>
      </c>
    </row>
    <row r="44">
      <c r="A44" s="28" t="n">
        <v>31</v>
      </c>
      <c r="B44" s="29" t="inlineStr">
        <is>
          <t>Automóveis camionetas caminhões e ônibus</t>
        </is>
      </c>
      <c r="C44" s="28" t="n">
        <v>6.612706747893235</v>
      </c>
      <c r="D44" s="28" t="n">
        <v>3.524722384597021</v>
      </c>
      <c r="E44" s="28" t="n">
        <v>74.44865744497748</v>
      </c>
      <c r="F44" s="28" t="n">
        <v>29.68912654097186</v>
      </c>
      <c r="G44" s="28" t="n">
        <v>15.77938489188089</v>
      </c>
      <c r="H44" s="28" t="n">
        <v>227.2564650464516</v>
      </c>
      <c r="I44" s="28" t="n">
        <v>9.356668454653963</v>
      </c>
      <c r="J44" s="28" t="n">
        <v>13.49988181082425</v>
      </c>
      <c r="K44" s="28" t="n">
        <v>12.20275826323783</v>
      </c>
      <c r="L44" s="28" t="n">
        <v>14.80272065023358</v>
      </c>
      <c r="M44" s="28" t="n">
        <v>5.339919521427517</v>
      </c>
      <c r="N44" s="28" t="n">
        <v>33.51198045432505</v>
      </c>
      <c r="O44" s="28" t="n">
        <v>6.021323762271463</v>
      </c>
      <c r="P44" s="28" t="n">
        <v>21.38495150964537</v>
      </c>
      <c r="Q44" s="28" t="n">
        <v>7.437731133527668</v>
      </c>
      <c r="R44" s="28" t="n">
        <v>19.58701626789685</v>
      </c>
      <c r="S44" s="28" t="n">
        <v>8.190085083422151</v>
      </c>
      <c r="T44" s="28" t="n">
        <v>36.65573474486068</v>
      </c>
      <c r="U44" s="28" t="n">
        <v>13.41683411234678</v>
      </c>
      <c r="V44" s="28" t="n">
        <v>11.99268140264142</v>
      </c>
      <c r="W44" s="28" t="n">
        <v>8.670728415933299</v>
      </c>
      <c r="X44" s="28" t="n">
        <v>26.39707951123813</v>
      </c>
      <c r="Y44" s="28" t="n">
        <v>29.88730844361186</v>
      </c>
      <c r="Z44" s="28" t="n">
        <v>33.82709008155044</v>
      </c>
      <c r="AA44" s="28" t="n">
        <v>54.06549149856003</v>
      </c>
      <c r="AB44" s="28" t="n">
        <v>15.80338235390836</v>
      </c>
      <c r="AC44" s="28" t="n">
        <v>23.35811127818968</v>
      </c>
      <c r="AD44" s="28" t="n">
        <v>220.4906404638589</v>
      </c>
      <c r="AE44" s="28" t="n">
        <v>110.2389934994148</v>
      </c>
      <c r="AF44" s="28" t="n">
        <v>61.77820600938792</v>
      </c>
      <c r="AG44" s="28" t="n">
        <v>4749.501810603811</v>
      </c>
      <c r="AH44" s="28" t="n">
        <v>130.2720861000919</v>
      </c>
      <c r="AI44" s="28" t="n">
        <v>58.06630767431932</v>
      </c>
      <c r="AJ44" s="28" t="n">
        <v>11.42562427813157</v>
      </c>
      <c r="AK44" s="28" t="n">
        <v>101.514300911445</v>
      </c>
      <c r="AL44" s="28" t="n">
        <v>182.5133591626499</v>
      </c>
      <c r="AM44" s="28" t="n">
        <v>557.9624196149215</v>
      </c>
      <c r="AN44" s="28" t="n">
        <v>618.0903739428334</v>
      </c>
      <c r="AO44" s="28" t="n">
        <v>208.3135496195617</v>
      </c>
      <c r="AP44" s="28" t="n">
        <v>144.9175383315754</v>
      </c>
      <c r="AQ44" s="28" t="n">
        <v>13.80877829476316</v>
      </c>
      <c r="AR44" s="28" t="n">
        <v>1.349661390631922</v>
      </c>
      <c r="AS44" s="28" t="n">
        <v>14.23198210379347</v>
      </c>
      <c r="AT44" s="28" t="n">
        <v>196.1299747161738</v>
      </c>
      <c r="AU44" s="28" t="n">
        <v>26.57483124252487</v>
      </c>
      <c r="AV44" s="28" t="n">
        <v>20.15208376392247</v>
      </c>
      <c r="AW44" s="28" t="n">
        <v>64.21897875844311</v>
      </c>
      <c r="AX44" s="28" t="n">
        <v>0</v>
      </c>
      <c r="AY44" s="28" t="n">
        <v>32.31774529014767</v>
      </c>
      <c r="AZ44" s="28" t="n">
        <v>38.19741583356275</v>
      </c>
      <c r="BA44" s="28" t="n">
        <v>146.202369033882</v>
      </c>
      <c r="BB44" s="28">
        <f>SUM(C44:BA44)</f>
        <v/>
      </c>
      <c r="BC44" s="28" t="n">
        <v>0</v>
      </c>
      <c r="BD44" s="28" t="n">
        <v>0</v>
      </c>
      <c r="BE44" s="28" t="n">
        <v>122966.3227455141</v>
      </c>
      <c r="BF44" s="28" t="n">
        <v>0</v>
      </c>
      <c r="BG44" s="28">
        <f>SUM(BC44:BF44)</f>
        <v/>
      </c>
      <c r="BH44" s="28">
        <f>BB44+BG44</f>
        <v/>
      </c>
    </row>
    <row r="45">
      <c r="A45" s="30" t="n">
        <v>32</v>
      </c>
      <c r="B45" s="31" t="inlineStr">
        <is>
          <t>Peças e acessórios para veículos automotores</t>
        </is>
      </c>
      <c r="C45" s="30" t="n">
        <v>12.95545165752513</v>
      </c>
      <c r="D45" s="30" t="n">
        <v>12.19074816323541</v>
      </c>
      <c r="E45" s="30" t="n">
        <v>93.30123992536566</v>
      </c>
      <c r="F45" s="30" t="n">
        <v>55.54384873375706</v>
      </c>
      <c r="G45" s="30" t="n">
        <v>34.61746305928733</v>
      </c>
      <c r="H45" s="30" t="n">
        <v>171.8246894538493</v>
      </c>
      <c r="I45" s="30" t="n">
        <v>2.749097239771873</v>
      </c>
      <c r="J45" s="30" t="n">
        <v>7.39039410406718</v>
      </c>
      <c r="K45" s="30" t="n">
        <v>8.633038409919322</v>
      </c>
      <c r="L45" s="30" t="n">
        <v>12.64355393067567</v>
      </c>
      <c r="M45" s="30" t="n">
        <v>9.181625670528323</v>
      </c>
      <c r="N45" s="30" t="n">
        <v>28.4429498937394</v>
      </c>
      <c r="O45" s="30" t="n">
        <v>21.64636611156061</v>
      </c>
      <c r="P45" s="30" t="n">
        <v>13.01595617344037</v>
      </c>
      <c r="Q45" s="30" t="n">
        <v>7.334495495056507</v>
      </c>
      <c r="R45" s="30" t="n">
        <v>39.40249380717918</v>
      </c>
      <c r="S45" s="30" t="n">
        <v>6.092572988767022</v>
      </c>
      <c r="T45" s="30" t="n">
        <v>16.49957975459002</v>
      </c>
      <c r="U45" s="30" t="n">
        <v>7.020226268866016</v>
      </c>
      <c r="V45" s="30" t="n">
        <v>19.77866826281789</v>
      </c>
      <c r="W45" s="30" t="n">
        <v>11.37099593378727</v>
      </c>
      <c r="X45" s="30" t="n">
        <v>6.470161118820926</v>
      </c>
      <c r="Y45" s="30" t="n">
        <v>95.19745662752815</v>
      </c>
      <c r="Z45" s="30" t="n">
        <v>78.28229334995478</v>
      </c>
      <c r="AA45" s="30" t="n">
        <v>164.8298779100548</v>
      </c>
      <c r="AB45" s="30" t="n">
        <v>65.49242130559334</v>
      </c>
      <c r="AC45" s="30" t="n">
        <v>133.1877430997344</v>
      </c>
      <c r="AD45" s="30" t="n">
        <v>611.481755232136</v>
      </c>
      <c r="AE45" s="30" t="n">
        <v>205.1621724821409</v>
      </c>
      <c r="AF45" s="30" t="n">
        <v>107.8583812208246</v>
      </c>
      <c r="AG45" s="30" t="n">
        <v>26644.18371320982</v>
      </c>
      <c r="AH45" s="30" t="n">
        <v>7631.170367962541</v>
      </c>
      <c r="AI45" s="30" t="n">
        <v>99.88132818256113</v>
      </c>
      <c r="AJ45" s="30" t="n">
        <v>35.10057290041074</v>
      </c>
      <c r="AK45" s="30" t="n">
        <v>86.53104954234269</v>
      </c>
      <c r="AL45" s="30" t="n">
        <v>529.6559672761804</v>
      </c>
      <c r="AM45" s="30" t="n">
        <v>7843.82967821024</v>
      </c>
      <c r="AN45" s="30" t="n">
        <v>6070.01838821789</v>
      </c>
      <c r="AO45" s="30" t="n">
        <v>88.17136845073543</v>
      </c>
      <c r="AP45" s="30" t="n">
        <v>67.23040809166166</v>
      </c>
      <c r="AQ45" s="30" t="n">
        <v>16.83924609781796</v>
      </c>
      <c r="AR45" s="30" t="n">
        <v>3.305434510375575</v>
      </c>
      <c r="AS45" s="30" t="n">
        <v>33.20269966472787</v>
      </c>
      <c r="AT45" s="30" t="n">
        <v>218.208924538433</v>
      </c>
      <c r="AU45" s="30" t="n">
        <v>18.71240650266746</v>
      </c>
      <c r="AV45" s="30" t="n">
        <v>89.48284269718843</v>
      </c>
      <c r="AW45" s="30" t="n">
        <v>59.81764561865068</v>
      </c>
      <c r="AX45" s="30" t="n">
        <v>0</v>
      </c>
      <c r="AY45" s="30" t="n">
        <v>166.7139554792929</v>
      </c>
      <c r="AZ45" s="30" t="n">
        <v>110.2385828661087</v>
      </c>
      <c r="BA45" s="30" t="n">
        <v>669.1654459182884</v>
      </c>
      <c r="BB45" s="30">
        <f>SUM(C45:BA45)</f>
        <v/>
      </c>
      <c r="BC45" s="30" t="n">
        <v>0</v>
      </c>
      <c r="BD45" s="30" t="n">
        <v>0</v>
      </c>
      <c r="BE45" s="30" t="n">
        <v>16272.19978107393</v>
      </c>
      <c r="BF45" s="30" t="n">
        <v>0</v>
      </c>
      <c r="BG45" s="30">
        <f>SUM(BC45:BF45)</f>
        <v/>
      </c>
      <c r="BH45" s="30">
        <f>BB45+BG45</f>
        <v/>
      </c>
    </row>
    <row r="46">
      <c r="A46" s="28" t="n">
        <v>33</v>
      </c>
      <c r="B46" s="29" t="inlineStr">
        <is>
          <t>Outros equipamentos de transporte</t>
        </is>
      </c>
      <c r="C46" s="28" t="n">
        <v>1.791939833362248</v>
      </c>
      <c r="D46" s="28" t="n">
        <v>1.067764092481318</v>
      </c>
      <c r="E46" s="28" t="n">
        <v>28.32179576161901</v>
      </c>
      <c r="F46" s="28" t="n">
        <v>11.40014783345916</v>
      </c>
      <c r="G46" s="28" t="n">
        <v>6.289287739076481</v>
      </c>
      <c r="H46" s="28" t="n">
        <v>37.50908086810589</v>
      </c>
      <c r="I46" s="28" t="n">
        <v>2.09097105196416</v>
      </c>
      <c r="J46" s="28" t="n">
        <v>1.859678182662124</v>
      </c>
      <c r="K46" s="28" t="n">
        <v>9.312998830644343</v>
      </c>
      <c r="L46" s="28" t="n">
        <v>3.302077700514894</v>
      </c>
      <c r="M46" s="28" t="n">
        <v>1.636838138264257</v>
      </c>
      <c r="N46" s="28" t="n">
        <v>7.254872929653478</v>
      </c>
      <c r="O46" s="28" t="n">
        <v>2.705774163531377</v>
      </c>
      <c r="P46" s="28" t="n">
        <v>6.077776662622487</v>
      </c>
      <c r="Q46" s="28" t="n">
        <v>1.726603770956139</v>
      </c>
      <c r="R46" s="28" t="n">
        <v>5.858586821234604</v>
      </c>
      <c r="S46" s="28" t="n">
        <v>1.597987176398252</v>
      </c>
      <c r="T46" s="28" t="n">
        <v>8.605685302776847</v>
      </c>
      <c r="U46" s="28" t="n">
        <v>3.376946069608626</v>
      </c>
      <c r="V46" s="28" t="n">
        <v>4.113699241311203</v>
      </c>
      <c r="W46" s="28" t="n">
        <v>2.711042732223493</v>
      </c>
      <c r="X46" s="28" t="n">
        <v>1.949245851462151</v>
      </c>
      <c r="Y46" s="28" t="n">
        <v>4.858008486172566</v>
      </c>
      <c r="Z46" s="28" t="n">
        <v>8.751058952230597</v>
      </c>
      <c r="AA46" s="28" t="n">
        <v>20.94856243097854</v>
      </c>
      <c r="AB46" s="28" t="n">
        <v>4.761769741583493</v>
      </c>
      <c r="AC46" s="28" t="n">
        <v>8.526053281745771</v>
      </c>
      <c r="AD46" s="28" t="n">
        <v>865.7715617420162</v>
      </c>
      <c r="AE46" s="28" t="n">
        <v>9.262819518798002</v>
      </c>
      <c r="AF46" s="28" t="n">
        <v>9.124317764749369</v>
      </c>
      <c r="AG46" s="28" t="n">
        <v>21.88952160579639</v>
      </c>
      <c r="AH46" s="28" t="n">
        <v>9.4530432372447</v>
      </c>
      <c r="AI46" s="28" t="n">
        <v>7737.560169434892</v>
      </c>
      <c r="AJ46" s="28" t="n">
        <v>11.57037138503296</v>
      </c>
      <c r="AK46" s="28" t="n">
        <v>17.79442674960031</v>
      </c>
      <c r="AL46" s="28" t="n">
        <v>47.53514659270571</v>
      </c>
      <c r="AM46" s="28" t="n">
        <v>147.7434446393228</v>
      </c>
      <c r="AN46" s="28" t="n">
        <v>641.8848871015753</v>
      </c>
      <c r="AO46" s="28" t="n">
        <v>47.68044732154246</v>
      </c>
      <c r="AP46" s="28" t="n">
        <v>45.63882757266142</v>
      </c>
      <c r="AQ46" s="28" t="n">
        <v>3.79779274434654</v>
      </c>
      <c r="AR46" s="28" t="n">
        <v>37.57141101384686</v>
      </c>
      <c r="AS46" s="28" t="n">
        <v>5.236225893811175</v>
      </c>
      <c r="AT46" s="28" t="n">
        <v>54.24447588901522</v>
      </c>
      <c r="AU46" s="28" t="n">
        <v>8.33713304742103</v>
      </c>
      <c r="AV46" s="28" t="n">
        <v>3.961472064331453</v>
      </c>
      <c r="AW46" s="28" t="n">
        <v>19.32104660934228</v>
      </c>
      <c r="AX46" s="28" t="n">
        <v>0</v>
      </c>
      <c r="AY46" s="28" t="n">
        <v>9.925433374597215</v>
      </c>
      <c r="AZ46" s="28" t="n">
        <v>10.62868132558743</v>
      </c>
      <c r="BA46" s="28" t="n">
        <v>174.0810594065095</v>
      </c>
      <c r="BB46" s="28">
        <f>SUM(C46:BA46)</f>
        <v/>
      </c>
      <c r="BC46" s="28" t="n">
        <v>0</v>
      </c>
      <c r="BD46" s="28" t="n">
        <v>0</v>
      </c>
      <c r="BE46" s="28" t="n">
        <v>26546.77187605257</v>
      </c>
      <c r="BF46" s="28" t="n">
        <v>0</v>
      </c>
      <c r="BG46" s="28">
        <f>SUM(BC46:BF46)</f>
        <v/>
      </c>
      <c r="BH46" s="28">
        <f>BB46+BG46</f>
        <v/>
      </c>
    </row>
    <row r="47">
      <c r="A47" s="30" t="n">
        <v>34</v>
      </c>
      <c r="B47" s="31" t="inlineStr">
        <is>
          <t>Móveis e produtos das indústrias diversas</t>
        </is>
      </c>
      <c r="C47" s="30" t="n">
        <v>19.54268931026613</v>
      </c>
      <c r="D47" s="30" t="n">
        <v>10.59563106483389</v>
      </c>
      <c r="E47" s="30" t="n">
        <v>44.77649795435632</v>
      </c>
      <c r="F47" s="30" t="n">
        <v>30.01724827964805</v>
      </c>
      <c r="G47" s="30" t="n">
        <v>9.091100785941826</v>
      </c>
      <c r="H47" s="30" t="n">
        <v>166.2395622092967</v>
      </c>
      <c r="I47" s="30" t="n">
        <v>1.165097852644932</v>
      </c>
      <c r="J47" s="30" t="n">
        <v>43.99693310979004</v>
      </c>
      <c r="K47" s="30" t="n">
        <v>1228.064403819158</v>
      </c>
      <c r="L47" s="30" t="n">
        <v>248.4326461849416</v>
      </c>
      <c r="M47" s="30" t="n">
        <v>23.01311283794069</v>
      </c>
      <c r="N47" s="30" t="n">
        <v>17.43037580543606</v>
      </c>
      <c r="O47" s="30" t="n">
        <v>10.09753524651504</v>
      </c>
      <c r="P47" s="30" t="n">
        <v>6.462138927498939</v>
      </c>
      <c r="Q47" s="30" t="n">
        <v>2.909152383291037</v>
      </c>
      <c r="R47" s="30" t="n">
        <v>57.35496580579692</v>
      </c>
      <c r="S47" s="30" t="n">
        <v>22.9622369287526</v>
      </c>
      <c r="T47" s="30" t="n">
        <v>16.72503596921953</v>
      </c>
      <c r="U47" s="30" t="n">
        <v>33.54880022522171</v>
      </c>
      <c r="V47" s="30" t="n">
        <v>17.56671917868049</v>
      </c>
      <c r="W47" s="30" t="n">
        <v>8.048234327385678</v>
      </c>
      <c r="X47" s="30" t="n">
        <v>4.493791857712624</v>
      </c>
      <c r="Y47" s="30" t="n">
        <v>118.5379980244438</v>
      </c>
      <c r="Z47" s="30" t="n">
        <v>118.8933355793355</v>
      </c>
      <c r="AA47" s="30" t="n">
        <v>35.96648758720261</v>
      </c>
      <c r="AB47" s="30" t="n">
        <v>4.738384519757541</v>
      </c>
      <c r="AC47" s="30" t="n">
        <v>47.19497336454192</v>
      </c>
      <c r="AD47" s="30" t="n">
        <v>587.7510535279271</v>
      </c>
      <c r="AE47" s="30" t="n">
        <v>39.48790559792037</v>
      </c>
      <c r="AF47" s="30" t="n">
        <v>29.40048207468055</v>
      </c>
      <c r="AG47" s="30" t="n">
        <v>309.2615623439366</v>
      </c>
      <c r="AH47" s="30" t="n">
        <v>420.7308510443361</v>
      </c>
      <c r="AI47" s="30" t="n">
        <v>66.81823370398475</v>
      </c>
      <c r="AJ47" s="30" t="n">
        <v>1493.516627241491</v>
      </c>
      <c r="AK47" s="30" t="n">
        <v>82.01521773698721</v>
      </c>
      <c r="AL47" s="30" t="n">
        <v>782.1487550998863</v>
      </c>
      <c r="AM47" s="30" t="n">
        <v>323.4127538762265</v>
      </c>
      <c r="AN47" s="30" t="n">
        <v>271.9343451796916</v>
      </c>
      <c r="AO47" s="30" t="n">
        <v>112.8231674475359</v>
      </c>
      <c r="AP47" s="30" t="n">
        <v>156.1910012606144</v>
      </c>
      <c r="AQ47" s="30" t="n">
        <v>77.80499850129455</v>
      </c>
      <c r="AR47" s="30" t="n">
        <v>4.025854499820606</v>
      </c>
      <c r="AS47" s="30" t="n">
        <v>18.94124347961176</v>
      </c>
      <c r="AT47" s="30" t="n">
        <v>992.3045965959756</v>
      </c>
      <c r="AU47" s="30" t="n">
        <v>19.88802180317156</v>
      </c>
      <c r="AV47" s="30" t="n">
        <v>41.22750831484813</v>
      </c>
      <c r="AW47" s="30" t="n">
        <v>269.9490824882278</v>
      </c>
      <c r="AX47" s="30" t="n">
        <v>0</v>
      </c>
      <c r="AY47" s="30" t="n">
        <v>106.4166233592613</v>
      </c>
      <c r="AZ47" s="30" t="n">
        <v>104.3522806962921</v>
      </c>
      <c r="BA47" s="30" t="n">
        <v>268.3703373845788</v>
      </c>
      <c r="BB47" s="30">
        <f>SUM(C47:BA47)</f>
        <v/>
      </c>
      <c r="BC47" s="30" t="n">
        <v>0</v>
      </c>
      <c r="BD47" s="30" t="n">
        <v>0</v>
      </c>
      <c r="BE47" s="30" t="n">
        <v>30330.21730801477</v>
      </c>
      <c r="BF47" s="30" t="n">
        <v>0</v>
      </c>
      <c r="BG47" s="30">
        <f>SUM(BC47:BF47)</f>
        <v/>
      </c>
      <c r="BH47" s="30">
        <f>BB47+BG47</f>
        <v/>
      </c>
    </row>
    <row r="48">
      <c r="A48" s="28" t="n">
        <v>35</v>
      </c>
      <c r="B48" s="29" t="inlineStr">
        <is>
          <t>Produção e distribuição de eletricidade gás água esgoto e limpeza urbana</t>
        </is>
      </c>
      <c r="C48" s="28" t="n">
        <v>3570.503834363416</v>
      </c>
      <c r="D48" s="28" t="n">
        <v>2367.179431836341</v>
      </c>
      <c r="E48" s="28" t="n">
        <v>163.4888284090861</v>
      </c>
      <c r="F48" s="28" t="n">
        <v>642.1163368957979</v>
      </c>
      <c r="G48" s="28" t="n">
        <v>644.5425210418318</v>
      </c>
      <c r="H48" s="28" t="n">
        <v>2860.190300024086</v>
      </c>
      <c r="I48" s="28" t="n">
        <v>45.90251696080612</v>
      </c>
      <c r="J48" s="28" t="n">
        <v>1144.567417435443</v>
      </c>
      <c r="K48" s="28" t="n">
        <v>144.3224872859918</v>
      </c>
      <c r="L48" s="28" t="n">
        <v>183.1882914290545</v>
      </c>
      <c r="M48" s="28" t="n">
        <v>488.789887389482</v>
      </c>
      <c r="N48" s="28" t="n">
        <v>1433.007890351883</v>
      </c>
      <c r="O48" s="28" t="n">
        <v>103.877991801149</v>
      </c>
      <c r="P48" s="28" t="n">
        <v>183.3311171674128</v>
      </c>
      <c r="Q48" s="28" t="n">
        <v>86.20480705374526</v>
      </c>
      <c r="R48" s="28" t="n">
        <v>1689.798880761362</v>
      </c>
      <c r="S48" s="28" t="n">
        <v>920.952865489071</v>
      </c>
      <c r="T48" s="28" t="n">
        <v>170.203285267022</v>
      </c>
      <c r="U48" s="28" t="n">
        <v>158.2172322925785</v>
      </c>
      <c r="V48" s="28" t="n">
        <v>169.9311977107343</v>
      </c>
      <c r="W48" s="28" t="n">
        <v>88.75376047002669</v>
      </c>
      <c r="X48" s="28" t="n">
        <v>274.6486539748619</v>
      </c>
      <c r="Y48" s="28" t="n">
        <v>1391.556511239192</v>
      </c>
      <c r="Z48" s="28" t="n">
        <v>2467.913561730556</v>
      </c>
      <c r="AA48" s="28" t="n">
        <v>5419.585626164746</v>
      </c>
      <c r="AB48" s="28" t="n">
        <v>2361.637665476601</v>
      </c>
      <c r="AC48" s="28" t="n">
        <v>690.9773616128664</v>
      </c>
      <c r="AD48" s="28" t="n">
        <v>538.2917049394183</v>
      </c>
      <c r="AE48" s="28" t="n">
        <v>422.007894156174</v>
      </c>
      <c r="AF48" s="28" t="n">
        <v>157.1433851978657</v>
      </c>
      <c r="AG48" s="28" t="n">
        <v>405.065350590186</v>
      </c>
      <c r="AH48" s="28" t="n">
        <v>1038.919136212024</v>
      </c>
      <c r="AI48" s="28" t="n">
        <v>237.0647358267174</v>
      </c>
      <c r="AJ48" s="28" t="n">
        <v>205.1280775615041</v>
      </c>
      <c r="AK48" s="28" t="n">
        <v>31858.64938353609</v>
      </c>
      <c r="AL48" s="28" t="n">
        <v>462.2468820073455</v>
      </c>
      <c r="AM48" s="28" t="n">
        <v>9515.223037813537</v>
      </c>
      <c r="AN48" s="28" t="n">
        <v>1759.130856996679</v>
      </c>
      <c r="AO48" s="28" t="n">
        <v>1772.0586542877</v>
      </c>
      <c r="AP48" s="28" t="n">
        <v>1252.986990124529</v>
      </c>
      <c r="AQ48" s="28" t="n">
        <v>320.6600957882587</v>
      </c>
      <c r="AR48" s="28" t="n">
        <v>111.7226494226164</v>
      </c>
      <c r="AS48" s="28" t="n">
        <v>1742.313441519016</v>
      </c>
      <c r="AT48" s="28" t="n">
        <v>1462.050516511911</v>
      </c>
      <c r="AU48" s="28" t="n">
        <v>1141.212095395523</v>
      </c>
      <c r="AV48" s="28" t="n">
        <v>1531.001971825759</v>
      </c>
      <c r="AW48" s="28" t="n">
        <v>7168.868200929599</v>
      </c>
      <c r="AX48" s="28" t="n">
        <v>0</v>
      </c>
      <c r="AY48" s="28" t="n">
        <v>1560.371251547437</v>
      </c>
      <c r="AZ48" s="28" t="n">
        <v>1136.838935321387</v>
      </c>
      <c r="BA48" s="28" t="n">
        <v>7114.348528323</v>
      </c>
      <c r="BB48" s="28">
        <f>SUM(C48:BA48)</f>
        <v/>
      </c>
      <c r="BC48" s="28" t="n">
        <v>0</v>
      </c>
      <c r="BD48" s="28" t="n">
        <v>0</v>
      </c>
      <c r="BE48" s="28" t="n">
        <v>56963.1412768308</v>
      </c>
      <c r="BF48" s="28" t="n">
        <v>0</v>
      </c>
      <c r="BG48" s="28">
        <f>SUM(BC48:BF48)</f>
        <v/>
      </c>
      <c r="BH48" s="28">
        <f>BB48+BG48</f>
        <v/>
      </c>
    </row>
    <row r="49">
      <c r="A49" s="30" t="n">
        <v>36</v>
      </c>
      <c r="B49" s="31" t="inlineStr">
        <is>
          <t>Construção civil</t>
        </is>
      </c>
      <c r="C49" s="30" t="n">
        <v>41.21065132461495</v>
      </c>
      <c r="D49" s="30" t="n">
        <v>96.55523836523763</v>
      </c>
      <c r="E49" s="30" t="n">
        <v>1521.171645352396</v>
      </c>
      <c r="F49" s="30" t="n">
        <v>786.9279645316578</v>
      </c>
      <c r="G49" s="30" t="n">
        <v>177.8690139149475</v>
      </c>
      <c r="H49" s="30" t="n">
        <v>30.01898405755569</v>
      </c>
      <c r="I49" s="30" t="n">
        <v>1.211943485606439</v>
      </c>
      <c r="J49" s="30" t="n">
        <v>25.49739182436333</v>
      </c>
      <c r="K49" s="30" t="n">
        <v>4.739576541625198</v>
      </c>
      <c r="L49" s="30" t="n">
        <v>1.746483739998896</v>
      </c>
      <c r="M49" s="30" t="n">
        <v>0.5020476648832343</v>
      </c>
      <c r="N49" s="30" t="n">
        <v>14.85965300554743</v>
      </c>
      <c r="O49" s="30" t="n">
        <v>13.28595609219789</v>
      </c>
      <c r="P49" s="30" t="n">
        <v>13.06901059978809</v>
      </c>
      <c r="Q49" s="30" t="n">
        <v>17.55731092696153</v>
      </c>
      <c r="R49" s="30" t="n">
        <v>44.52156850588478</v>
      </c>
      <c r="S49" s="30" t="n">
        <v>0.7124560731406131</v>
      </c>
      <c r="T49" s="30" t="n">
        <v>5.173435313387259</v>
      </c>
      <c r="U49" s="30" t="n">
        <v>2.394319669640758</v>
      </c>
      <c r="V49" s="30" t="n">
        <v>2.802452622165348</v>
      </c>
      <c r="W49" s="30" t="n">
        <v>1.719377412267366</v>
      </c>
      <c r="X49" s="30" t="n">
        <v>0.9750232336407036</v>
      </c>
      <c r="Y49" s="30" t="n">
        <v>5.162529125663097</v>
      </c>
      <c r="Z49" s="30" t="n">
        <v>19.26333962344031</v>
      </c>
      <c r="AA49" s="30" t="n">
        <v>107.6103199788732</v>
      </c>
      <c r="AB49" s="30" t="n">
        <v>748.1104685378833</v>
      </c>
      <c r="AC49" s="30" t="n">
        <v>31.78693669248462</v>
      </c>
      <c r="AD49" s="30" t="n">
        <v>61.34192490178119</v>
      </c>
      <c r="AE49" s="30" t="n">
        <v>12.17566862081306</v>
      </c>
      <c r="AF49" s="30" t="n">
        <v>52.94631548115518</v>
      </c>
      <c r="AG49" s="30" t="n">
        <v>182.9233210004352</v>
      </c>
      <c r="AH49" s="30" t="n">
        <v>24.99380279857101</v>
      </c>
      <c r="AI49" s="30" t="n">
        <v>191.5081804111388</v>
      </c>
      <c r="AJ49" s="30" t="n">
        <v>11.26415325833359</v>
      </c>
      <c r="AK49" s="30" t="n">
        <v>2998.610243085013</v>
      </c>
      <c r="AL49" s="30" t="n">
        <v>32430.20205202754</v>
      </c>
      <c r="AM49" s="30" t="n">
        <v>946.1918992552402</v>
      </c>
      <c r="AN49" s="30" t="n">
        <v>946.2790485282598</v>
      </c>
      <c r="AO49" s="30" t="n">
        <v>3439.962409278141</v>
      </c>
      <c r="AP49" s="30" t="n">
        <v>797.7754743941182</v>
      </c>
      <c r="AQ49" s="30" t="n">
        <v>870.8288032911629</v>
      </c>
      <c r="AR49" s="30" t="n">
        <v>3.224687137117819</v>
      </c>
      <c r="AS49" s="30" t="n">
        <v>338.2869215957808</v>
      </c>
      <c r="AT49" s="30" t="n">
        <v>735.8396297816148</v>
      </c>
      <c r="AU49" s="30" t="n">
        <v>251.2878527995792</v>
      </c>
      <c r="AV49" s="30" t="n">
        <v>16.19487287284293</v>
      </c>
      <c r="AW49" s="30" t="n">
        <v>1632.65473942504</v>
      </c>
      <c r="AX49" s="30" t="n">
        <v>0</v>
      </c>
      <c r="AY49" s="30" t="n">
        <v>570.6020011781902</v>
      </c>
      <c r="AZ49" s="30" t="n">
        <v>1400.472943030603</v>
      </c>
      <c r="BA49" s="30" t="n">
        <v>6467.191917220815</v>
      </c>
      <c r="BB49" s="30">
        <f>SUM(C49:BA49)</f>
        <v/>
      </c>
      <c r="BC49" s="30" t="n">
        <v>0</v>
      </c>
      <c r="BD49" s="30" t="n">
        <v>0</v>
      </c>
      <c r="BE49" s="30" t="n">
        <v>251797.0993005464</v>
      </c>
      <c r="BF49" s="30" t="n">
        <v>0</v>
      </c>
      <c r="BG49" s="30">
        <f>SUM(BC49:BF49)</f>
        <v/>
      </c>
      <c r="BH49" s="30">
        <f>BB49+BG49</f>
        <v/>
      </c>
    </row>
    <row r="50">
      <c r="A50" s="28" t="n">
        <v>37</v>
      </c>
      <c r="B50" s="29" t="inlineStr">
        <is>
          <t>Comércio</t>
        </is>
      </c>
      <c r="C50" s="28" t="n">
        <v>1104.0451442263</v>
      </c>
      <c r="D50" s="28" t="n">
        <v>614.6867948808391</v>
      </c>
      <c r="E50" s="28" t="n">
        <v>831.2365470591976</v>
      </c>
      <c r="F50" s="28" t="n">
        <v>3458.935369438787</v>
      </c>
      <c r="G50" s="28" t="n">
        <v>986.0345520664342</v>
      </c>
      <c r="H50" s="28" t="n">
        <v>38332.14412545586</v>
      </c>
      <c r="I50" s="28" t="n">
        <v>1156.293398826135</v>
      </c>
      <c r="J50" s="28" t="n">
        <v>3618.992322144427</v>
      </c>
      <c r="K50" s="28" t="n">
        <v>3067.074450008324</v>
      </c>
      <c r="L50" s="28" t="n">
        <v>3940.346042079414</v>
      </c>
      <c r="M50" s="28" t="n">
        <v>969.9713844242128</v>
      </c>
      <c r="N50" s="28" t="n">
        <v>6794.079718261079</v>
      </c>
      <c r="O50" s="28" t="n">
        <v>382.6310284409354</v>
      </c>
      <c r="P50" s="28" t="n">
        <v>2257.909103937207</v>
      </c>
      <c r="Q50" s="28" t="n">
        <v>1605.320570408851</v>
      </c>
      <c r="R50" s="28" t="n">
        <v>2830.594244129824</v>
      </c>
      <c r="S50" s="28" t="n">
        <v>1817.084003908053</v>
      </c>
      <c r="T50" s="28" t="n">
        <v>4744.185247367144</v>
      </c>
      <c r="U50" s="28" t="n">
        <v>1612.663569246652</v>
      </c>
      <c r="V50" s="28" t="n">
        <v>394.1764807410819</v>
      </c>
      <c r="W50" s="28" t="n">
        <v>955.0272750828525</v>
      </c>
      <c r="X50" s="28" t="n">
        <v>2463.369678461794</v>
      </c>
      <c r="Y50" s="28" t="n">
        <v>6826.421034472682</v>
      </c>
      <c r="Z50" s="28" t="n">
        <v>5940.874609109071</v>
      </c>
      <c r="AA50" s="28" t="n">
        <v>7982.624777344017</v>
      </c>
      <c r="AB50" s="28" t="n">
        <v>2275.888443425391</v>
      </c>
      <c r="AC50" s="28" t="n">
        <v>5043.015249423934</v>
      </c>
      <c r="AD50" s="28" t="n">
        <v>21075.83771995144</v>
      </c>
      <c r="AE50" s="28" t="n">
        <v>4925.628576989588</v>
      </c>
      <c r="AF50" s="28" t="n">
        <v>5879.695977819664</v>
      </c>
      <c r="AG50" s="28" t="n">
        <v>2463.75122716144</v>
      </c>
      <c r="AH50" s="28" t="n">
        <v>338.8825658751176</v>
      </c>
      <c r="AI50" s="28" t="n">
        <v>790.6407345986305</v>
      </c>
      <c r="AJ50" s="28" t="n">
        <v>1666.406859871349</v>
      </c>
      <c r="AK50" s="28" t="n">
        <v>3739.536944576044</v>
      </c>
      <c r="AL50" s="28" t="n">
        <v>3516.353278845268</v>
      </c>
      <c r="AM50" s="28" t="n">
        <v>32605.03063149892</v>
      </c>
      <c r="AN50" s="28" t="n">
        <v>26792.35735276543</v>
      </c>
      <c r="AO50" s="28" t="n">
        <v>24222.51862178894</v>
      </c>
      <c r="AP50" s="28" t="n">
        <v>1093.880612717414</v>
      </c>
      <c r="AQ50" s="28" t="n">
        <v>131.5619704080031</v>
      </c>
      <c r="AR50" s="28" t="n">
        <v>59.0371992865898</v>
      </c>
      <c r="AS50" s="28" t="n">
        <v>1067.14827330974</v>
      </c>
      <c r="AT50" s="28" t="n">
        <v>7837.748573893375</v>
      </c>
      <c r="AU50" s="28" t="n">
        <v>221.7840896175448</v>
      </c>
      <c r="AV50" s="28" t="n">
        <v>2843.065370510212</v>
      </c>
      <c r="AW50" s="28" t="n">
        <v>819.0724672717341</v>
      </c>
      <c r="AX50" s="28" t="n">
        <v>0</v>
      </c>
      <c r="AY50" s="28" t="n">
        <v>1200.586525862666</v>
      </c>
      <c r="AZ50" s="28" t="n">
        <v>3132.245789905507</v>
      </c>
      <c r="BA50" s="28" t="n">
        <v>6779.179401988013</v>
      </c>
      <c r="BB50" s="28">
        <f>SUM(C50:BA50)</f>
        <v/>
      </c>
      <c r="BC50" s="28" t="n">
        <v>0</v>
      </c>
      <c r="BD50" s="28" t="n">
        <v>0</v>
      </c>
      <c r="BE50" s="28" t="n">
        <v>244680.7297990018</v>
      </c>
      <c r="BF50" s="28" t="n">
        <v>0</v>
      </c>
      <c r="BG50" s="28">
        <f>SUM(BC50:BF50)</f>
        <v/>
      </c>
      <c r="BH50" s="28">
        <f>BB50+BG50</f>
        <v/>
      </c>
    </row>
    <row r="51">
      <c r="A51" s="30" t="n">
        <v>38</v>
      </c>
      <c r="B51" s="31" t="inlineStr">
        <is>
          <t>Transporte armazenagem e correio</t>
        </is>
      </c>
      <c r="C51" s="30" t="n">
        <v>3592.240981251654</v>
      </c>
      <c r="D51" s="30" t="n">
        <v>650.7957346294201</v>
      </c>
      <c r="E51" s="30" t="n">
        <v>8626.158545263888</v>
      </c>
      <c r="F51" s="30" t="n">
        <v>3601.520034995347</v>
      </c>
      <c r="G51" s="30" t="n">
        <v>1472.334436554718</v>
      </c>
      <c r="H51" s="30" t="n">
        <v>23796.51986003684</v>
      </c>
      <c r="I51" s="30" t="n">
        <v>222.9704400990297</v>
      </c>
      <c r="J51" s="30" t="n">
        <v>1124.438128876393</v>
      </c>
      <c r="K51" s="30" t="n">
        <v>580.2758255595883</v>
      </c>
      <c r="L51" s="30" t="n">
        <v>806.5929381836745</v>
      </c>
      <c r="M51" s="30" t="n">
        <v>849.4770633421367</v>
      </c>
      <c r="N51" s="30" t="n">
        <v>3338.711476917032</v>
      </c>
      <c r="O51" s="30" t="n">
        <v>448.3581808990255</v>
      </c>
      <c r="P51" s="30" t="n">
        <v>2016.358704095372</v>
      </c>
      <c r="Q51" s="30" t="n">
        <v>982.8322987868238</v>
      </c>
      <c r="R51" s="30" t="n">
        <v>3362.457949624904</v>
      </c>
      <c r="S51" s="30" t="n">
        <v>913.66769872243</v>
      </c>
      <c r="T51" s="30" t="n">
        <v>2055.442556582286</v>
      </c>
      <c r="U51" s="30" t="n">
        <v>856.0248901751954</v>
      </c>
      <c r="V51" s="30" t="n">
        <v>1168.974258266307</v>
      </c>
      <c r="W51" s="30" t="n">
        <v>584.9641106415993</v>
      </c>
      <c r="X51" s="30" t="n">
        <v>617.4876758609731</v>
      </c>
      <c r="Y51" s="30" t="n">
        <v>1913.667048187196</v>
      </c>
      <c r="Z51" s="30" t="n">
        <v>2128.013017804197</v>
      </c>
      <c r="AA51" s="30" t="n">
        <v>6399.275927785234</v>
      </c>
      <c r="AB51" s="30" t="n">
        <v>498.5349720110537</v>
      </c>
      <c r="AC51" s="30" t="n">
        <v>2061.507181257908</v>
      </c>
      <c r="AD51" s="30" t="n">
        <v>2258.265046096827</v>
      </c>
      <c r="AE51" s="30" t="n">
        <v>1924.230346298237</v>
      </c>
      <c r="AF51" s="30" t="n">
        <v>2465.224970854819</v>
      </c>
      <c r="AG51" s="30" t="n">
        <v>6477.184159105696</v>
      </c>
      <c r="AH51" s="30" t="n">
        <v>2081.449394379046</v>
      </c>
      <c r="AI51" s="30" t="n">
        <v>967.3689698185261</v>
      </c>
      <c r="AJ51" s="30" t="n">
        <v>893.4046055660358</v>
      </c>
      <c r="AK51" s="30" t="n">
        <v>2135.994169112459</v>
      </c>
      <c r="AL51" s="30" t="n">
        <v>2680.467245558816</v>
      </c>
      <c r="AM51" s="30" t="n">
        <v>27597.88310647248</v>
      </c>
      <c r="AN51" s="30" t="n">
        <v>38968.36051622149</v>
      </c>
      <c r="AO51" s="30" t="n">
        <v>2496.426013140882</v>
      </c>
      <c r="AP51" s="30" t="n">
        <v>4695.264899859049</v>
      </c>
      <c r="AQ51" s="30" t="n">
        <v>224.9429767525286</v>
      </c>
      <c r="AR51" s="30" t="n">
        <v>76.78237113084715</v>
      </c>
      <c r="AS51" s="30" t="n">
        <v>745.8391723617077</v>
      </c>
      <c r="AT51" s="30" t="n">
        <v>3978.119261339617</v>
      </c>
      <c r="AU51" s="30" t="n">
        <v>1634.486047628957</v>
      </c>
      <c r="AV51" s="30" t="n">
        <v>205.1530759056214</v>
      </c>
      <c r="AW51" s="30" t="n">
        <v>8531.733687782989</v>
      </c>
      <c r="AX51" s="30" t="n">
        <v>0</v>
      </c>
      <c r="AY51" s="30" t="n">
        <v>953.8433203146594</v>
      </c>
      <c r="AZ51" s="30" t="n">
        <v>722.2597004048297</v>
      </c>
      <c r="BA51" s="30" t="n">
        <v>4601.555388950889</v>
      </c>
      <c r="BB51" s="30">
        <f>SUM(C51:BA51)</f>
        <v/>
      </c>
      <c r="BC51" s="30" t="n">
        <v>0</v>
      </c>
      <c r="BD51" s="30" t="n">
        <v>0</v>
      </c>
      <c r="BE51" s="30" t="n">
        <v>69936.52161343339</v>
      </c>
      <c r="BF51" s="30" t="n">
        <v>0</v>
      </c>
      <c r="BG51" s="30">
        <f>SUM(BC51:BF51)</f>
        <v/>
      </c>
      <c r="BH51" s="30">
        <f>BB51+BG51</f>
        <v/>
      </c>
    </row>
    <row r="52">
      <c r="A52" s="28" t="n">
        <v>39</v>
      </c>
      <c r="B52" s="29" t="inlineStr">
        <is>
          <t>Serviços de informação</t>
        </is>
      </c>
      <c r="C52" s="28" t="n">
        <v>23.08193822121665</v>
      </c>
      <c r="D52" s="28" t="n">
        <v>10.00135963525591</v>
      </c>
      <c r="E52" s="28" t="n">
        <v>442.4215977038626</v>
      </c>
      <c r="F52" s="28" t="n">
        <v>175.4474168088699</v>
      </c>
      <c r="G52" s="28" t="n">
        <v>68.6105350684407</v>
      </c>
      <c r="H52" s="28" t="n">
        <v>2606.421435494447</v>
      </c>
      <c r="I52" s="28" t="n">
        <v>49.74659561257847</v>
      </c>
      <c r="J52" s="28" t="n">
        <v>296.7734165690357</v>
      </c>
      <c r="K52" s="28" t="n">
        <v>532.5695851764415</v>
      </c>
      <c r="L52" s="28" t="n">
        <v>162.0246467633126</v>
      </c>
      <c r="M52" s="28" t="n">
        <v>76.25787009808252</v>
      </c>
      <c r="N52" s="28" t="n">
        <v>374.6311887014655</v>
      </c>
      <c r="O52" s="28" t="n">
        <v>452.7746157140479</v>
      </c>
      <c r="P52" s="28" t="n">
        <v>188.7497101221928</v>
      </c>
      <c r="Q52" s="28" t="n">
        <v>92.54423231896268</v>
      </c>
      <c r="R52" s="28" t="n">
        <v>391.1912447697106</v>
      </c>
      <c r="S52" s="28" t="n">
        <v>93.91573553232206</v>
      </c>
      <c r="T52" s="28" t="n">
        <v>380.1393491246613</v>
      </c>
      <c r="U52" s="28" t="n">
        <v>192.0022592710093</v>
      </c>
      <c r="V52" s="28" t="n">
        <v>40.45950507132524</v>
      </c>
      <c r="W52" s="28" t="n">
        <v>115.86916351901</v>
      </c>
      <c r="X52" s="28" t="n">
        <v>83.31418509309917</v>
      </c>
      <c r="Y52" s="28" t="n">
        <v>360.4846366711621</v>
      </c>
      <c r="Z52" s="28" t="n">
        <v>416.1603007202544</v>
      </c>
      <c r="AA52" s="28" t="n">
        <v>349.228122505916</v>
      </c>
      <c r="AB52" s="28" t="n">
        <v>72.11367023492336</v>
      </c>
      <c r="AC52" s="28" t="n">
        <v>364.0607788111377</v>
      </c>
      <c r="AD52" s="28" t="n">
        <v>689.8773843827408</v>
      </c>
      <c r="AE52" s="28" t="n">
        <v>659.019176900012</v>
      </c>
      <c r="AF52" s="28" t="n">
        <v>891.9432388744333</v>
      </c>
      <c r="AG52" s="28" t="n">
        <v>2001.785358355638</v>
      </c>
      <c r="AH52" s="28" t="n">
        <v>1361.307197683744</v>
      </c>
      <c r="AI52" s="28" t="n">
        <v>237.6189624409245</v>
      </c>
      <c r="AJ52" s="28" t="n">
        <v>320.9037625892879</v>
      </c>
      <c r="AK52" s="28" t="n">
        <v>1062.553934960764</v>
      </c>
      <c r="AL52" s="28" t="n">
        <v>1285.554605972779</v>
      </c>
      <c r="AM52" s="28" t="n">
        <v>8900.220592641797</v>
      </c>
      <c r="AN52" s="28" t="n">
        <v>2806.095917720181</v>
      </c>
      <c r="AO52" s="28" t="n">
        <v>32412.58903442419</v>
      </c>
      <c r="AP52" s="28" t="n">
        <v>13925.092895103</v>
      </c>
      <c r="AQ52" s="28" t="n">
        <v>594.2927104132121</v>
      </c>
      <c r="AR52" s="28" t="n">
        <v>176.2939543622903</v>
      </c>
      <c r="AS52" s="28" t="n">
        <v>676.9952652334642</v>
      </c>
      <c r="AT52" s="28" t="n">
        <v>26718.27153379113</v>
      </c>
      <c r="AU52" s="28" t="n">
        <v>2299.04636531172</v>
      </c>
      <c r="AV52" s="28" t="n">
        <v>894.3282216546917</v>
      </c>
      <c r="AW52" s="28" t="n">
        <v>3122.408122079536</v>
      </c>
      <c r="AX52" s="28" t="n">
        <v>0</v>
      </c>
      <c r="AY52" s="28" t="n">
        <v>2675.689867270641</v>
      </c>
      <c r="AZ52" s="28" t="n">
        <v>1207.444854553846</v>
      </c>
      <c r="BA52" s="28" t="n">
        <v>8528.776485962604</v>
      </c>
      <c r="BB52" s="28">
        <f>SUM(C52:BA52)</f>
        <v/>
      </c>
      <c r="BC52" s="28" t="n">
        <v>0</v>
      </c>
      <c r="BD52" s="28" t="n">
        <v>0</v>
      </c>
      <c r="BE52" s="28" t="n">
        <v>105308.4202522428</v>
      </c>
      <c r="BF52" s="28" t="n">
        <v>0</v>
      </c>
      <c r="BG52" s="28">
        <f>SUM(BC52:BF52)</f>
        <v/>
      </c>
      <c r="BH52" s="28">
        <f>BB52+BG52</f>
        <v/>
      </c>
    </row>
    <row r="53">
      <c r="A53" s="30" t="n">
        <v>40</v>
      </c>
      <c r="B53" s="31" t="inlineStr">
        <is>
          <t>Intermediação financeira seguros e previdência complementar e serviços relacionados</t>
        </is>
      </c>
      <c r="C53" s="30" t="n">
        <v>2464.557426860722</v>
      </c>
      <c r="D53" s="30" t="n">
        <v>1114.056142623708</v>
      </c>
      <c r="E53" s="30" t="n">
        <v>2011.946453997035</v>
      </c>
      <c r="F53" s="30" t="n">
        <v>1261.557524916351</v>
      </c>
      <c r="G53" s="30" t="n">
        <v>642.9688955731069</v>
      </c>
      <c r="H53" s="30" t="n">
        <v>7429.062372089033</v>
      </c>
      <c r="I53" s="30" t="n">
        <v>307.3830741171482</v>
      </c>
      <c r="J53" s="30" t="n">
        <v>737.5405988573993</v>
      </c>
      <c r="K53" s="30" t="n">
        <v>694.4809769774539</v>
      </c>
      <c r="L53" s="30" t="n">
        <v>509.371433197668</v>
      </c>
      <c r="M53" s="30" t="n">
        <v>344.5776753892745</v>
      </c>
      <c r="N53" s="30" t="n">
        <v>1292.211442328227</v>
      </c>
      <c r="O53" s="30" t="n">
        <v>281.7008605663634</v>
      </c>
      <c r="P53" s="30" t="n">
        <v>1465.942035168403</v>
      </c>
      <c r="Q53" s="30" t="n">
        <v>550.0999992942964</v>
      </c>
      <c r="R53" s="30" t="n">
        <v>1318.227629259371</v>
      </c>
      <c r="S53" s="30" t="n">
        <v>548.8183463094551</v>
      </c>
      <c r="T53" s="30" t="n">
        <v>537.5141739393814</v>
      </c>
      <c r="U53" s="30" t="n">
        <v>328.3519473159052</v>
      </c>
      <c r="V53" s="30" t="n">
        <v>451.5364815445022</v>
      </c>
      <c r="W53" s="30" t="n">
        <v>221.0854056591562</v>
      </c>
      <c r="X53" s="30" t="n">
        <v>301.5026842564687</v>
      </c>
      <c r="Y53" s="30" t="n">
        <v>1171.690888275715</v>
      </c>
      <c r="Z53" s="30" t="n">
        <v>1243.140497431579</v>
      </c>
      <c r="AA53" s="30" t="n">
        <v>2360.589767823036</v>
      </c>
      <c r="AB53" s="30" t="n">
        <v>722.9798228691795</v>
      </c>
      <c r="AC53" s="30" t="n">
        <v>1117.52123365453</v>
      </c>
      <c r="AD53" s="30" t="n">
        <v>1942.43061408154</v>
      </c>
      <c r="AE53" s="30" t="n">
        <v>1108.911875042355</v>
      </c>
      <c r="AF53" s="30" t="n">
        <v>1211.113619384172</v>
      </c>
      <c r="AG53" s="30" t="n">
        <v>2333.130458042232</v>
      </c>
      <c r="AH53" s="30" t="n">
        <v>1063.221912487073</v>
      </c>
      <c r="AI53" s="30" t="n">
        <v>631.9794965468507</v>
      </c>
      <c r="AJ53" s="30" t="n">
        <v>541.8554306496638</v>
      </c>
      <c r="AK53" s="30" t="n">
        <v>3675.41502558577</v>
      </c>
      <c r="AL53" s="30" t="n">
        <v>5266.626081121563</v>
      </c>
      <c r="AM53" s="30" t="n">
        <v>13442.7299179173</v>
      </c>
      <c r="AN53" s="30" t="n">
        <v>6966.701961969336</v>
      </c>
      <c r="AO53" s="30" t="n">
        <v>5580.495460671881</v>
      </c>
      <c r="AP53" s="30" t="n">
        <v>31567.83256284914</v>
      </c>
      <c r="AQ53" s="30" t="n">
        <v>14326.42428925801</v>
      </c>
      <c r="AR53" s="30" t="n">
        <v>218.5984672934288</v>
      </c>
      <c r="AS53" s="30" t="n">
        <v>1699.244950100663</v>
      </c>
      <c r="AT53" s="30" t="n">
        <v>5542.118405619354</v>
      </c>
      <c r="AU53" s="30" t="n">
        <v>760.1471609478098</v>
      </c>
      <c r="AV53" s="30" t="n">
        <v>2436.846017671898</v>
      </c>
      <c r="AW53" s="30" t="n">
        <v>3015.979539292049</v>
      </c>
      <c r="AX53" s="30" t="n">
        <v>0</v>
      </c>
      <c r="AY53" s="30" t="n">
        <v>157.7580871654297</v>
      </c>
      <c r="AZ53" s="30" t="n">
        <v>176.9999440553937</v>
      </c>
      <c r="BA53" s="30" t="n">
        <v>28960.53802251003</v>
      </c>
      <c r="BB53" s="30">
        <f>SUM(C53:BA53)</f>
        <v/>
      </c>
      <c r="BC53" s="30" t="n">
        <v>0</v>
      </c>
      <c r="BD53" s="30" t="n">
        <v>0</v>
      </c>
      <c r="BE53" s="30" t="n">
        <v>108804.7354657252</v>
      </c>
      <c r="BF53" s="30" t="n">
        <v>0</v>
      </c>
      <c r="BG53" s="30">
        <f>SUM(BC53:BF53)</f>
        <v/>
      </c>
      <c r="BH53" s="30">
        <f>BB53+BG53</f>
        <v/>
      </c>
    </row>
    <row r="54">
      <c r="A54" s="28" t="n">
        <v>41</v>
      </c>
      <c r="B54" s="29" t="inlineStr">
        <is>
          <t>Atividades imobiliárias e aluguéis</t>
        </is>
      </c>
      <c r="C54" s="28" t="n">
        <v>6.784736010835559</v>
      </c>
      <c r="D54" s="28" t="n">
        <v>1.903114392217546</v>
      </c>
      <c r="E54" s="28" t="n">
        <v>107.5936156049101</v>
      </c>
      <c r="F54" s="28" t="n">
        <v>14.03136162123173</v>
      </c>
      <c r="G54" s="28" t="n">
        <v>20.96369694161171</v>
      </c>
      <c r="H54" s="28" t="n">
        <v>508.3872832689873</v>
      </c>
      <c r="I54" s="28" t="n">
        <v>17.91493114550822</v>
      </c>
      <c r="J54" s="28" t="n">
        <v>182.681465264187</v>
      </c>
      <c r="K54" s="28" t="n">
        <v>198.5363957259181</v>
      </c>
      <c r="L54" s="28" t="n">
        <v>51.15968704791797</v>
      </c>
      <c r="M54" s="28" t="n">
        <v>14.77211313162674</v>
      </c>
      <c r="N54" s="28" t="n">
        <v>67.39856970022858</v>
      </c>
      <c r="O54" s="28" t="n">
        <v>29.24488512672194</v>
      </c>
      <c r="P54" s="28" t="n">
        <v>64.21374327900998</v>
      </c>
      <c r="Q54" s="28" t="n">
        <v>65.94696607991118</v>
      </c>
      <c r="R54" s="28" t="n">
        <v>53.69246081482532</v>
      </c>
      <c r="S54" s="28" t="n">
        <v>15.52573657340409</v>
      </c>
      <c r="T54" s="28" t="n">
        <v>97.02305884105186</v>
      </c>
      <c r="U54" s="28" t="n">
        <v>18.49967552777888</v>
      </c>
      <c r="V54" s="28" t="n">
        <v>67.54251924203678</v>
      </c>
      <c r="W54" s="28" t="n">
        <v>11.24046765376567</v>
      </c>
      <c r="X54" s="28" t="n">
        <v>19.07656962022273</v>
      </c>
      <c r="Y54" s="28" t="n">
        <v>169.965375173211</v>
      </c>
      <c r="Z54" s="28" t="n">
        <v>87.250290072707</v>
      </c>
      <c r="AA54" s="28" t="n">
        <v>164.3534677058174</v>
      </c>
      <c r="AB54" s="28" t="n">
        <v>5.892936276295797</v>
      </c>
      <c r="AC54" s="28" t="n">
        <v>95.96636781669984</v>
      </c>
      <c r="AD54" s="28" t="n">
        <v>130.9374014862784</v>
      </c>
      <c r="AE54" s="28" t="n">
        <v>61.13453134359519</v>
      </c>
      <c r="AF54" s="28" t="n">
        <v>116.357226483746</v>
      </c>
      <c r="AG54" s="28" t="n">
        <v>66.65537421573441</v>
      </c>
      <c r="AH54" s="28" t="n">
        <v>115.0081492197485</v>
      </c>
      <c r="AI54" s="28" t="n">
        <v>31.66972187959824</v>
      </c>
      <c r="AJ54" s="28" t="n">
        <v>90.65655598628922</v>
      </c>
      <c r="AK54" s="28" t="n">
        <v>492.0637693643323</v>
      </c>
      <c r="AL54" s="28" t="n">
        <v>640.5399522972525</v>
      </c>
      <c r="AM54" s="28" t="n">
        <v>13375.90316650759</v>
      </c>
      <c r="AN54" s="28" t="n">
        <v>1513.937536604377</v>
      </c>
      <c r="AO54" s="28" t="n">
        <v>2193.864478377373</v>
      </c>
      <c r="AP54" s="28" t="n">
        <v>2501.91187183888</v>
      </c>
      <c r="AQ54" s="28" t="n">
        <v>806.6478029405357</v>
      </c>
      <c r="AR54" s="28" t="n">
        <v>146.4461759317483</v>
      </c>
      <c r="AS54" s="28" t="n">
        <v>2086.263584260638</v>
      </c>
      <c r="AT54" s="28" t="n">
        <v>3689.02522855105</v>
      </c>
      <c r="AU54" s="28" t="n">
        <v>1606.17221366518</v>
      </c>
      <c r="AV54" s="28" t="n">
        <v>701.4168974299672</v>
      </c>
      <c r="AW54" s="28" t="n">
        <v>2933.72733056227</v>
      </c>
      <c r="AX54" s="28" t="n">
        <v>0</v>
      </c>
      <c r="AY54" s="28" t="n">
        <v>137.2423564426813</v>
      </c>
      <c r="AZ54" s="28" t="n">
        <v>125.637323120111</v>
      </c>
      <c r="BA54" s="28" t="n">
        <v>1099.173978842525</v>
      </c>
      <c r="BB54" s="28">
        <f>SUM(C54:BA54)</f>
        <v/>
      </c>
      <c r="BC54" s="28" t="n">
        <v>0</v>
      </c>
      <c r="BD54" s="28" t="n">
        <v>0</v>
      </c>
      <c r="BE54" s="28" t="n">
        <v>210337.8903382634</v>
      </c>
      <c r="BF54" s="28" t="n">
        <v>0</v>
      </c>
      <c r="BG54" s="28">
        <f>SUM(BC54:BF54)</f>
        <v/>
      </c>
      <c r="BH54" s="28">
        <f>BB54+BG54</f>
        <v/>
      </c>
    </row>
    <row r="55">
      <c r="A55" s="30" t="n">
        <v>42</v>
      </c>
      <c r="B55" s="31" t="inlineStr">
        <is>
          <t>Serviços de manutenção e reparação</t>
        </is>
      </c>
      <c r="C55" s="30" t="n">
        <v>3.663599955093604</v>
      </c>
      <c r="D55" s="30" t="n">
        <v>0.1724467291330122</v>
      </c>
      <c r="E55" s="30" t="n">
        <v>23.6935535715714</v>
      </c>
      <c r="F55" s="30" t="n">
        <v>2.914147220941744</v>
      </c>
      <c r="G55" s="30" t="n">
        <v>2.037377730536299</v>
      </c>
      <c r="H55" s="30" t="n">
        <v>32.28594260190697</v>
      </c>
      <c r="I55" s="30" t="n">
        <v>1.014961426834621</v>
      </c>
      <c r="J55" s="30" t="n">
        <v>10.33941086783972</v>
      </c>
      <c r="K55" s="30" t="n">
        <v>2.642748149555397</v>
      </c>
      <c r="L55" s="30" t="n">
        <v>3.445445919872769</v>
      </c>
      <c r="M55" s="30" t="n">
        <v>0.8354307812334636</v>
      </c>
      <c r="N55" s="30" t="n">
        <v>5.890155471998813</v>
      </c>
      <c r="O55" s="30" t="n">
        <v>9.596756056280221</v>
      </c>
      <c r="P55" s="30" t="n">
        <v>1.442813901412168</v>
      </c>
      <c r="Q55" s="30" t="n">
        <v>1.242721826087439</v>
      </c>
      <c r="R55" s="30" t="n">
        <v>1.314375955833128</v>
      </c>
      <c r="S55" s="30" t="n">
        <v>1.554212274640856</v>
      </c>
      <c r="T55" s="30" t="n">
        <v>4.036642218593236</v>
      </c>
      <c r="U55" s="30" t="n">
        <v>1.38100912114226</v>
      </c>
      <c r="V55" s="30" t="n">
        <v>0.2777020531257728</v>
      </c>
      <c r="W55" s="30" t="n">
        <v>0.7731600652077605</v>
      </c>
      <c r="X55" s="30" t="n">
        <v>2.120298023106324</v>
      </c>
      <c r="Y55" s="30" t="n">
        <v>5.88723101316998</v>
      </c>
      <c r="Z55" s="30" t="n">
        <v>6.192129991342724</v>
      </c>
      <c r="AA55" s="30" t="n">
        <v>19.67805769846777</v>
      </c>
      <c r="AB55" s="30" t="n">
        <v>3.728469709517454</v>
      </c>
      <c r="AC55" s="30" t="n">
        <v>17.53613869545172</v>
      </c>
      <c r="AD55" s="30" t="n">
        <v>28.23726972509326</v>
      </c>
      <c r="AE55" s="30" t="n">
        <v>35.66326199954314</v>
      </c>
      <c r="AF55" s="30" t="n">
        <v>231.2086883568157</v>
      </c>
      <c r="AG55" s="30" t="n">
        <v>2.991917326669585</v>
      </c>
      <c r="AH55" s="30" t="n">
        <v>0.174849778334724</v>
      </c>
      <c r="AI55" s="30" t="n">
        <v>0.6415050315199027</v>
      </c>
      <c r="AJ55" s="30" t="n">
        <v>3.789776742201724</v>
      </c>
      <c r="AK55" s="30" t="n">
        <v>234.1691102690967</v>
      </c>
      <c r="AL55" s="30" t="n">
        <v>57.87346530797134</v>
      </c>
      <c r="AM55" s="30" t="n">
        <v>992.1569460360226</v>
      </c>
      <c r="AN55" s="30" t="n">
        <v>264.0805200913308</v>
      </c>
      <c r="AO55" s="30" t="n">
        <v>2845.830608872576</v>
      </c>
      <c r="AP55" s="30" t="n">
        <v>615.9379581769205</v>
      </c>
      <c r="AQ55" s="30" t="n">
        <v>37.18396247219938</v>
      </c>
      <c r="AR55" s="30" t="n">
        <v>54.59435079615102</v>
      </c>
      <c r="AS55" s="30" t="n">
        <v>59.27856753637163</v>
      </c>
      <c r="AT55" s="30" t="n">
        <v>732.7105964588746</v>
      </c>
      <c r="AU55" s="30" t="n">
        <v>201.803915225742</v>
      </c>
      <c r="AV55" s="30" t="n">
        <v>278.9331327386429</v>
      </c>
      <c r="AW55" s="30" t="n">
        <v>12.05381171293431</v>
      </c>
      <c r="AX55" s="30" t="n">
        <v>0</v>
      </c>
      <c r="AY55" s="30" t="n">
        <v>29.81033232654296</v>
      </c>
      <c r="AZ55" s="30" t="n">
        <v>100.6426864159338</v>
      </c>
      <c r="BA55" s="30" t="n">
        <v>357.7956446850636</v>
      </c>
      <c r="BB55" s="30">
        <f>SUM(C55:BA55)</f>
        <v/>
      </c>
      <c r="BC55" s="30" t="n">
        <v>0</v>
      </c>
      <c r="BD55" s="30" t="n">
        <v>0</v>
      </c>
      <c r="BE55" s="30" t="n">
        <v>4402.182006045842</v>
      </c>
      <c r="BF55" s="30" t="n">
        <v>0</v>
      </c>
      <c r="BG55" s="30">
        <f>SUM(BC55:BF55)</f>
        <v/>
      </c>
      <c r="BH55" s="30">
        <f>BB55+BG55</f>
        <v/>
      </c>
    </row>
    <row r="56">
      <c r="A56" s="28" t="n">
        <v>43</v>
      </c>
      <c r="B56" s="29" t="inlineStr">
        <is>
          <t>Serviços de alojamento e alimentação</t>
        </is>
      </c>
      <c r="C56" s="28" t="n">
        <v>8.2479370969744</v>
      </c>
      <c r="D56" s="28" t="n">
        <v>1.431300906399789</v>
      </c>
      <c r="E56" s="28" t="n">
        <v>156.196807465694</v>
      </c>
      <c r="F56" s="28" t="n">
        <v>43.75626518430815</v>
      </c>
      <c r="G56" s="28" t="n">
        <v>19.82375886732982</v>
      </c>
      <c r="H56" s="28" t="n">
        <v>426.0991518418128</v>
      </c>
      <c r="I56" s="28" t="n">
        <v>26.03649457060214</v>
      </c>
      <c r="J56" s="28" t="n">
        <v>36.82833681135583</v>
      </c>
      <c r="K56" s="28" t="n">
        <v>21.98173657604902</v>
      </c>
      <c r="L56" s="28" t="n">
        <v>26.06872372528043</v>
      </c>
      <c r="M56" s="28" t="n">
        <v>6.369003149953375</v>
      </c>
      <c r="N56" s="28" t="n">
        <v>59.25605019737372</v>
      </c>
      <c r="O56" s="28" t="n">
        <v>14.43788632582588</v>
      </c>
      <c r="P56" s="28" t="n">
        <v>21.32069009401852</v>
      </c>
      <c r="Q56" s="28" t="n">
        <v>10.96687462167481</v>
      </c>
      <c r="R56" s="28" t="n">
        <v>88.20009102600933</v>
      </c>
      <c r="S56" s="28" t="n">
        <v>12.41477547055718</v>
      </c>
      <c r="T56" s="28" t="n">
        <v>191.3535904299469</v>
      </c>
      <c r="U56" s="28" t="n">
        <v>58.2502778793794</v>
      </c>
      <c r="V56" s="28" t="n">
        <v>22.52309863483988</v>
      </c>
      <c r="W56" s="28" t="n">
        <v>23.0115607216486</v>
      </c>
      <c r="X56" s="28" t="n">
        <v>55.44255631970155</v>
      </c>
      <c r="Y56" s="28" t="n">
        <v>74.02443437702027</v>
      </c>
      <c r="Z56" s="28" t="n">
        <v>57.17971711244345</v>
      </c>
      <c r="AA56" s="28" t="n">
        <v>153.8268458774255</v>
      </c>
      <c r="AB56" s="28" t="n">
        <v>43.20871791964082</v>
      </c>
      <c r="AC56" s="28" t="n">
        <v>100.39580692755</v>
      </c>
      <c r="AD56" s="28" t="n">
        <v>306.5749718503181</v>
      </c>
      <c r="AE56" s="28" t="n">
        <v>87.81452158882759</v>
      </c>
      <c r="AF56" s="28" t="n">
        <v>120.4741848839721</v>
      </c>
      <c r="AG56" s="28" t="n">
        <v>258.7976229795787</v>
      </c>
      <c r="AH56" s="28" t="n">
        <v>65.84621073176537</v>
      </c>
      <c r="AI56" s="28" t="n">
        <v>34.39166499032194</v>
      </c>
      <c r="AJ56" s="28" t="n">
        <v>37.34869906355296</v>
      </c>
      <c r="AK56" s="28" t="n">
        <v>177.3249953104275</v>
      </c>
      <c r="AL56" s="28" t="n">
        <v>693.2130173661604</v>
      </c>
      <c r="AM56" s="28" t="n">
        <v>1591.964944232466</v>
      </c>
      <c r="AN56" s="28" t="n">
        <v>787.9054323637869</v>
      </c>
      <c r="AO56" s="28" t="n">
        <v>660.1213583578266</v>
      </c>
      <c r="AP56" s="28" t="n">
        <v>1543.673893543186</v>
      </c>
      <c r="AQ56" s="28" t="n">
        <v>52.48993055168517</v>
      </c>
      <c r="AR56" s="28" t="n">
        <v>34.66499614763871</v>
      </c>
      <c r="AS56" s="28" t="n">
        <v>104.0085649042237</v>
      </c>
      <c r="AT56" s="28" t="n">
        <v>1126.980684788745</v>
      </c>
      <c r="AU56" s="28" t="n">
        <v>245.0796855184129</v>
      </c>
      <c r="AV56" s="28" t="n">
        <v>1220.470011008344</v>
      </c>
      <c r="AW56" s="28" t="n">
        <v>9824.826800809647</v>
      </c>
      <c r="AX56" s="28" t="n">
        <v>0</v>
      </c>
      <c r="AY56" s="28" t="n">
        <v>590.3590670705414</v>
      </c>
      <c r="AZ56" s="28" t="n">
        <v>1846.35892978509</v>
      </c>
      <c r="BA56" s="28" t="n">
        <v>5207.061916058645</v>
      </c>
      <c r="BB56" s="28">
        <f>SUM(C56:BA56)</f>
        <v/>
      </c>
      <c r="BC56" s="28" t="n">
        <v>0</v>
      </c>
      <c r="BD56" s="28" t="n">
        <v>0</v>
      </c>
      <c r="BE56" s="28" t="n">
        <v>78501.57185591379</v>
      </c>
      <c r="BF56" s="28" t="n">
        <v>0</v>
      </c>
      <c r="BG56" s="28">
        <f>SUM(BC56:BF56)</f>
        <v/>
      </c>
      <c r="BH56" s="28">
        <f>BB56+BG56</f>
        <v/>
      </c>
    </row>
    <row r="57">
      <c r="A57" s="30" t="n">
        <v>44</v>
      </c>
      <c r="B57" s="31" t="inlineStr">
        <is>
          <t>Serviços prestados às empresas</t>
        </is>
      </c>
      <c r="C57" s="30" t="n">
        <v>547.1109521026907</v>
      </c>
      <c r="D57" s="30" t="n">
        <v>269.8363553377611</v>
      </c>
      <c r="E57" s="30" t="n">
        <v>8000.130013024495</v>
      </c>
      <c r="F57" s="30" t="n">
        <v>1386.684762702329</v>
      </c>
      <c r="G57" s="30" t="n">
        <v>1049.302478214454</v>
      </c>
      <c r="H57" s="30" t="n">
        <v>13425.12206725435</v>
      </c>
      <c r="I57" s="30" t="n">
        <v>929.6802642899238</v>
      </c>
      <c r="J57" s="30" t="n">
        <v>558.8490240194783</v>
      </c>
      <c r="K57" s="30" t="n">
        <v>565.2890191849627</v>
      </c>
      <c r="L57" s="30" t="n">
        <v>742.1457465212542</v>
      </c>
      <c r="M57" s="30" t="n">
        <v>214.5184223455865</v>
      </c>
      <c r="N57" s="30" t="n">
        <v>1733.962820724565</v>
      </c>
      <c r="O57" s="30" t="n">
        <v>247.7282281187244</v>
      </c>
      <c r="P57" s="30" t="n">
        <v>2287.500180992794</v>
      </c>
      <c r="Q57" s="30" t="n">
        <v>417.5228856738349</v>
      </c>
      <c r="R57" s="30" t="n">
        <v>1917.598180334636</v>
      </c>
      <c r="S57" s="30" t="n">
        <v>432.3202780834468</v>
      </c>
      <c r="T57" s="30" t="n">
        <v>3479.224915277817</v>
      </c>
      <c r="U57" s="30" t="n">
        <v>1315.0498232656</v>
      </c>
      <c r="V57" s="30" t="n">
        <v>1520.204091098727</v>
      </c>
      <c r="W57" s="30" t="n">
        <v>842.7246024188834</v>
      </c>
      <c r="X57" s="30" t="n">
        <v>642.8360608963756</v>
      </c>
      <c r="Y57" s="30" t="n">
        <v>1731.861465869458</v>
      </c>
      <c r="Z57" s="30" t="n">
        <v>1926.923780551313</v>
      </c>
      <c r="AA57" s="30" t="n">
        <v>1837.850136895941</v>
      </c>
      <c r="AB57" s="30" t="n">
        <v>756.2010374757854</v>
      </c>
      <c r="AC57" s="30" t="n">
        <v>1403.937296639351</v>
      </c>
      <c r="AD57" s="30" t="n">
        <v>3603.579552857372</v>
      </c>
      <c r="AE57" s="30" t="n">
        <v>2573.017913198357</v>
      </c>
      <c r="AF57" s="30" t="n">
        <v>3553.769683783922</v>
      </c>
      <c r="AG57" s="30" t="n">
        <v>6246.228092416675</v>
      </c>
      <c r="AH57" s="30" t="n">
        <v>1717.683411904917</v>
      </c>
      <c r="AI57" s="30" t="n">
        <v>773.119113856558</v>
      </c>
      <c r="AJ57" s="30" t="n">
        <v>606.7002649828129</v>
      </c>
      <c r="AK57" s="30" t="n">
        <v>5586.777502402218</v>
      </c>
      <c r="AL57" s="30" t="n">
        <v>8506.386787511874</v>
      </c>
      <c r="AM57" s="30" t="n">
        <v>28307.25953767049</v>
      </c>
      <c r="AN57" s="30" t="n">
        <v>12276.17616132184</v>
      </c>
      <c r="AO57" s="30" t="n">
        <v>19615.90922841618</v>
      </c>
      <c r="AP57" s="30" t="n">
        <v>20068.6287264556</v>
      </c>
      <c r="AQ57" s="30" t="n">
        <v>1361.323587847932</v>
      </c>
      <c r="AR57" s="30" t="n">
        <v>105.1857766227651</v>
      </c>
      <c r="AS57" s="30" t="n">
        <v>1814.874893725098</v>
      </c>
      <c r="AT57" s="30" t="n">
        <v>19983.71450977044</v>
      </c>
      <c r="AU57" s="30" t="n">
        <v>3756.078092608856</v>
      </c>
      <c r="AV57" s="30" t="n">
        <v>1329.810840959745</v>
      </c>
      <c r="AW57" s="30" t="n">
        <v>6609.837607901384</v>
      </c>
      <c r="AX57" s="30" t="n">
        <v>0</v>
      </c>
      <c r="AY57" s="30" t="n">
        <v>3814.508385815293</v>
      </c>
      <c r="AZ57" s="30" t="n">
        <v>3911.648970346439</v>
      </c>
      <c r="BA57" s="30" t="n">
        <v>15609.1080771579</v>
      </c>
      <c r="BB57" s="30">
        <f>SUM(C57:BA57)</f>
        <v/>
      </c>
      <c r="BC57" s="30" t="n">
        <v>0</v>
      </c>
      <c r="BD57" s="30" t="n">
        <v>0</v>
      </c>
      <c r="BE57" s="30" t="n">
        <v>42455.91270993852</v>
      </c>
      <c r="BF57" s="30" t="n">
        <v>0</v>
      </c>
      <c r="BG57" s="30">
        <f>SUM(BC57:BF57)</f>
        <v/>
      </c>
      <c r="BH57" s="30">
        <f>BB57+BG57</f>
        <v/>
      </c>
    </row>
    <row r="58">
      <c r="A58" s="28" t="n">
        <v>45</v>
      </c>
      <c r="B58" s="29" t="inlineStr">
        <is>
          <t>Educação mercantil</t>
        </is>
      </c>
      <c r="C58" s="28" t="n">
        <v>3.418181024091564</v>
      </c>
      <c r="D58" s="28" t="n">
        <v>1.703348790743107</v>
      </c>
      <c r="E58" s="28" t="n">
        <v>39.3783854582427</v>
      </c>
      <c r="F58" s="28" t="n">
        <v>74.31179795927368</v>
      </c>
      <c r="G58" s="28" t="n">
        <v>16.58161393389564</v>
      </c>
      <c r="H58" s="28" t="n">
        <v>51.75660936924569</v>
      </c>
      <c r="I58" s="28" t="n">
        <v>2.593610236551985</v>
      </c>
      <c r="J58" s="28" t="n">
        <v>2.785449464885485</v>
      </c>
      <c r="K58" s="28" t="n">
        <v>1.727334407393115</v>
      </c>
      <c r="L58" s="28" t="n">
        <v>2.241317916484587</v>
      </c>
      <c r="M58" s="28" t="n">
        <v>0.6287294228497973</v>
      </c>
      <c r="N58" s="28" t="n">
        <v>27.66702256237851</v>
      </c>
      <c r="O58" s="28" t="n">
        <v>0.6769291170178481</v>
      </c>
      <c r="P58" s="28" t="n">
        <v>10.12443958360105</v>
      </c>
      <c r="Q58" s="28" t="n">
        <v>1.216657524422787</v>
      </c>
      <c r="R58" s="28" t="n">
        <v>10.89270006758971</v>
      </c>
      <c r="S58" s="28" t="n">
        <v>1.271204287376407</v>
      </c>
      <c r="T58" s="28" t="n">
        <v>9.719208971589589</v>
      </c>
      <c r="U58" s="28" t="n">
        <v>17.40881499316155</v>
      </c>
      <c r="V58" s="28" t="n">
        <v>4.155294518861532</v>
      </c>
      <c r="W58" s="28" t="n">
        <v>4.932555873284208</v>
      </c>
      <c r="X58" s="28" t="n">
        <v>1.879772638440204</v>
      </c>
      <c r="Y58" s="28" t="n">
        <v>6.981927141368096</v>
      </c>
      <c r="Z58" s="28" t="n">
        <v>5.525958009485946</v>
      </c>
      <c r="AA58" s="28" t="n">
        <v>152.0101457436786</v>
      </c>
      <c r="AB58" s="28" t="n">
        <v>39.87887732092139</v>
      </c>
      <c r="AC58" s="28" t="n">
        <v>38.83853970445655</v>
      </c>
      <c r="AD58" s="28" t="n">
        <v>32.59841941722444</v>
      </c>
      <c r="AE58" s="28" t="n">
        <v>7.241617747081468</v>
      </c>
      <c r="AF58" s="28" t="n">
        <v>10.99520605607183</v>
      </c>
      <c r="AG58" s="28" t="n">
        <v>86.42734565889528</v>
      </c>
      <c r="AH58" s="28" t="n">
        <v>7.553567803789437</v>
      </c>
      <c r="AI58" s="28" t="n">
        <v>2.126120013104458</v>
      </c>
      <c r="AJ58" s="28" t="n">
        <v>1.742621230620137</v>
      </c>
      <c r="AK58" s="28" t="n">
        <v>65.13704619570045</v>
      </c>
      <c r="AL58" s="28" t="n">
        <v>25.0879492180088</v>
      </c>
      <c r="AM58" s="28" t="n">
        <v>397.808710136119</v>
      </c>
      <c r="AN58" s="28" t="n">
        <v>725.3062836922057</v>
      </c>
      <c r="AO58" s="28" t="n">
        <v>91.40156623470141</v>
      </c>
      <c r="AP58" s="28" t="n">
        <v>975.3884046033352</v>
      </c>
      <c r="AQ58" s="28" t="n">
        <v>3.842490218202098</v>
      </c>
      <c r="AR58" s="28" t="n">
        <v>205.409031907127</v>
      </c>
      <c r="AS58" s="28" t="n">
        <v>6.206209324151329</v>
      </c>
      <c r="AT58" s="28" t="n">
        <v>2482.657857291599</v>
      </c>
      <c r="AU58" s="28" t="n">
        <v>10.48442958130449</v>
      </c>
      <c r="AV58" s="28" t="n">
        <v>3.85662165419684</v>
      </c>
      <c r="AW58" s="28" t="n">
        <v>103.5257170808542</v>
      </c>
      <c r="AX58" s="28" t="n">
        <v>0</v>
      </c>
      <c r="AY58" s="28" t="n">
        <v>705.9660151200844</v>
      </c>
      <c r="AZ58" s="28" t="n">
        <v>250.6088500522201</v>
      </c>
      <c r="BA58" s="28" t="n">
        <v>329.8763122315011</v>
      </c>
      <c r="BB58" s="28">
        <f>SUM(C58:BA58)</f>
        <v/>
      </c>
      <c r="BC58" s="28" t="n">
        <v>0</v>
      </c>
      <c r="BD58" s="28" t="n">
        <v>0</v>
      </c>
      <c r="BE58" s="28" t="n">
        <v>40230.4973023233</v>
      </c>
      <c r="BF58" s="28" t="n">
        <v>0</v>
      </c>
      <c r="BG58" s="28">
        <f>SUM(BC58:BF58)</f>
        <v/>
      </c>
      <c r="BH58" s="28">
        <f>BB58+BG58</f>
        <v/>
      </c>
    </row>
    <row r="59">
      <c r="A59" s="30" t="n">
        <v>46</v>
      </c>
      <c r="B59" s="31" t="inlineStr">
        <is>
          <t>Saúde mercantil</t>
        </is>
      </c>
      <c r="C59" s="30" t="n">
        <v>3.201691281925932</v>
      </c>
      <c r="D59" s="30" t="n">
        <v>0.8035626786572234</v>
      </c>
      <c r="E59" s="30" t="n">
        <v>3.430977042105591</v>
      </c>
      <c r="F59" s="30" t="n">
        <v>13.13519280500535</v>
      </c>
      <c r="G59" s="30" t="n">
        <v>3.886269971461489</v>
      </c>
      <c r="H59" s="30" t="n">
        <v>144.4073708314347</v>
      </c>
      <c r="I59" s="30" t="n">
        <v>4.771758585804058</v>
      </c>
      <c r="J59" s="30" t="n">
        <v>15.89211462261376</v>
      </c>
      <c r="K59" s="30" t="n">
        <v>13.9356872830238</v>
      </c>
      <c r="L59" s="30" t="n">
        <v>15.87756541752177</v>
      </c>
      <c r="M59" s="30" t="n">
        <v>3.878790041053916</v>
      </c>
      <c r="N59" s="30" t="n">
        <v>26.96192920046817</v>
      </c>
      <c r="O59" s="30" t="n">
        <v>1.725922566475421</v>
      </c>
      <c r="P59" s="30" t="n">
        <v>7.295579869678549</v>
      </c>
      <c r="Q59" s="30" t="n">
        <v>6.263238091001842</v>
      </c>
      <c r="R59" s="30" t="n">
        <v>6.576950230984437</v>
      </c>
      <c r="S59" s="30" t="n">
        <v>7.087446483298631</v>
      </c>
      <c r="T59" s="30" t="n">
        <v>19.24272992626519</v>
      </c>
      <c r="U59" s="30" t="n">
        <v>6.432191775408028</v>
      </c>
      <c r="V59" s="30" t="n">
        <v>2.109049160112899</v>
      </c>
      <c r="W59" s="30" t="n">
        <v>3.620131245230284</v>
      </c>
      <c r="X59" s="30" t="n">
        <v>9.650433988215278</v>
      </c>
      <c r="Y59" s="30" t="n">
        <v>28.08187782387058</v>
      </c>
      <c r="Z59" s="30" t="n">
        <v>22.92280984484099</v>
      </c>
      <c r="AA59" s="30" t="n">
        <v>31.19892495650361</v>
      </c>
      <c r="AB59" s="30" t="n">
        <v>8.731735486964494</v>
      </c>
      <c r="AC59" s="30" t="n">
        <v>20.30216775814881</v>
      </c>
      <c r="AD59" s="30" t="n">
        <v>80.94723897805022</v>
      </c>
      <c r="AE59" s="30" t="n">
        <v>19.36043352689127</v>
      </c>
      <c r="AF59" s="30" t="n">
        <v>23.75280100088542</v>
      </c>
      <c r="AG59" s="30" t="n">
        <v>9.62867674541871</v>
      </c>
      <c r="AH59" s="30" t="n">
        <v>2.193633815777399</v>
      </c>
      <c r="AI59" s="30" t="n">
        <v>3.247477892796688</v>
      </c>
      <c r="AJ59" s="30" t="n">
        <v>7.272795574151021</v>
      </c>
      <c r="AK59" s="30" t="n">
        <v>19.67105100294241</v>
      </c>
      <c r="AL59" s="30" t="n">
        <v>16.65348024104882</v>
      </c>
      <c r="AM59" s="30" t="n">
        <v>280.9637336359125</v>
      </c>
      <c r="AN59" s="30" t="n">
        <v>116.8995501991495</v>
      </c>
      <c r="AO59" s="30" t="n">
        <v>116.5431007526446</v>
      </c>
      <c r="AP59" s="30" t="n">
        <v>33.37566803012241</v>
      </c>
      <c r="AQ59" s="30" t="n">
        <v>9.86130540532025</v>
      </c>
      <c r="AR59" s="30" t="n">
        <v>1.827471264303483</v>
      </c>
      <c r="AS59" s="30" t="n">
        <v>25.96576310340738</v>
      </c>
      <c r="AT59" s="30" t="n">
        <v>72.92061358466631</v>
      </c>
      <c r="AU59" s="30" t="n">
        <v>19.43581365333495</v>
      </c>
      <c r="AV59" s="30" t="n">
        <v>9555.8474087296</v>
      </c>
      <c r="AW59" s="30" t="n">
        <v>36.86055145982703</v>
      </c>
      <c r="AX59" s="30" t="n">
        <v>0</v>
      </c>
      <c r="AY59" s="30" t="n">
        <v>7.393143848099855</v>
      </c>
      <c r="AZ59" s="30" t="n">
        <v>18.41212821509282</v>
      </c>
      <c r="BA59" s="30" t="n">
        <v>73.27865965223006</v>
      </c>
      <c r="BB59" s="30">
        <f>SUM(C59:BA59)</f>
        <v/>
      </c>
      <c r="BC59" s="30" t="n">
        <v>0</v>
      </c>
      <c r="BD59" s="30" t="n">
        <v>0</v>
      </c>
      <c r="BE59" s="30" t="n">
        <v>85309.16311789588</v>
      </c>
      <c r="BF59" s="30" t="n">
        <v>0</v>
      </c>
      <c r="BG59" s="30">
        <f>SUM(BC59:BF59)</f>
        <v/>
      </c>
      <c r="BH59" s="30">
        <f>BB59+BG59</f>
        <v/>
      </c>
    </row>
    <row r="60">
      <c r="A60" s="28" t="n">
        <v>47</v>
      </c>
      <c r="B60" s="29" t="inlineStr">
        <is>
          <t>Serviços prestados às famílias e associativas</t>
        </is>
      </c>
      <c r="C60" s="28" t="n">
        <v>89.03570591585196</v>
      </c>
      <c r="D60" s="28" t="n">
        <v>31.58679447079631</v>
      </c>
      <c r="E60" s="28" t="n">
        <v>477.1763386321637</v>
      </c>
      <c r="F60" s="28" t="n">
        <v>238.9137784847492</v>
      </c>
      <c r="G60" s="28" t="n">
        <v>87.68145429146261</v>
      </c>
      <c r="H60" s="28" t="n">
        <v>1233.322284910682</v>
      </c>
      <c r="I60" s="28" t="n">
        <v>64.96775436218253</v>
      </c>
      <c r="J60" s="28" t="n">
        <v>117.2173501493975</v>
      </c>
      <c r="K60" s="28" t="n">
        <v>92.64996072058311</v>
      </c>
      <c r="L60" s="28" t="n">
        <v>84.57254270975659</v>
      </c>
      <c r="M60" s="28" t="n">
        <v>49.06766085179071</v>
      </c>
      <c r="N60" s="28" t="n">
        <v>419.9378680486521</v>
      </c>
      <c r="O60" s="28" t="n">
        <v>52.18478605886582</v>
      </c>
      <c r="P60" s="28" t="n">
        <v>189.6084502248808</v>
      </c>
      <c r="Q60" s="28" t="n">
        <v>224.9895247583431</v>
      </c>
      <c r="R60" s="28" t="n">
        <v>194.3006370181594</v>
      </c>
      <c r="S60" s="28" t="n">
        <v>27.42021592328761</v>
      </c>
      <c r="T60" s="28" t="n">
        <v>332.2700834206775</v>
      </c>
      <c r="U60" s="28" t="n">
        <v>170.9622471992079</v>
      </c>
      <c r="V60" s="28" t="n">
        <v>126.9149230723967</v>
      </c>
      <c r="W60" s="28" t="n">
        <v>56.04548706929108</v>
      </c>
      <c r="X60" s="28" t="n">
        <v>228.2877715171307</v>
      </c>
      <c r="Y60" s="28" t="n">
        <v>460.3099694770127</v>
      </c>
      <c r="Z60" s="28" t="n">
        <v>233.2569167649062</v>
      </c>
      <c r="AA60" s="28" t="n">
        <v>282.9896929654388</v>
      </c>
      <c r="AB60" s="28" t="n">
        <v>90.16119789341431</v>
      </c>
      <c r="AC60" s="28" t="n">
        <v>233.0340245726846</v>
      </c>
      <c r="AD60" s="28" t="n">
        <v>510.7576390496476</v>
      </c>
      <c r="AE60" s="28" t="n">
        <v>263.7588914120788</v>
      </c>
      <c r="AF60" s="28" t="n">
        <v>317.3529328898165</v>
      </c>
      <c r="AG60" s="28" t="n">
        <v>905.6126102492033</v>
      </c>
      <c r="AH60" s="28" t="n">
        <v>262.4295030880876</v>
      </c>
      <c r="AI60" s="28" t="n">
        <v>135.2624437888615</v>
      </c>
      <c r="AJ60" s="28" t="n">
        <v>136.9942232505792</v>
      </c>
      <c r="AK60" s="28" t="n">
        <v>691.2300412294215</v>
      </c>
      <c r="AL60" s="28" t="n">
        <v>936.4684970979977</v>
      </c>
      <c r="AM60" s="28" t="n">
        <v>4446.160592448964</v>
      </c>
      <c r="AN60" s="28" t="n">
        <v>2347.693125724934</v>
      </c>
      <c r="AO60" s="28" t="n">
        <v>4327.760295120544</v>
      </c>
      <c r="AP60" s="28" t="n">
        <v>2482.643343814098</v>
      </c>
      <c r="AQ60" s="28" t="n">
        <v>469.106567312523</v>
      </c>
      <c r="AR60" s="28" t="n">
        <v>41.03029344859598</v>
      </c>
      <c r="AS60" s="28" t="n">
        <v>748.3676563895374</v>
      </c>
      <c r="AT60" s="28" t="n">
        <v>2258.544471996409</v>
      </c>
      <c r="AU60" s="28" t="n">
        <v>897.3810484143986</v>
      </c>
      <c r="AV60" s="28" t="n">
        <v>1878.643771200535</v>
      </c>
      <c r="AW60" s="28" t="n">
        <v>3814.223118287831</v>
      </c>
      <c r="AX60" s="28" t="n">
        <v>0</v>
      </c>
      <c r="AY60" s="28" t="n">
        <v>1093.660955066344</v>
      </c>
      <c r="AZ60" s="28" t="n">
        <v>1322.804022819458</v>
      </c>
      <c r="BA60" s="28" t="n">
        <v>2515.889143723752</v>
      </c>
      <c r="BB60" s="28">
        <f>SUM(C60:BA60)</f>
        <v/>
      </c>
      <c r="BC60" s="28" t="n">
        <v>0</v>
      </c>
      <c r="BD60" s="28" t="n">
        <v>0</v>
      </c>
      <c r="BE60" s="28" t="n">
        <v>107089.3168943564</v>
      </c>
      <c r="BF60" s="28" t="n">
        <v>0</v>
      </c>
      <c r="BG60" s="28">
        <f>SUM(BC60:BF60)</f>
        <v/>
      </c>
      <c r="BH60" s="28">
        <f>BB60+BG60</f>
        <v/>
      </c>
    </row>
    <row r="61">
      <c r="A61" s="30" t="n">
        <v>48</v>
      </c>
      <c r="B61" s="31" t="inlineStr">
        <is>
          <t>Serviços domésticos</t>
        </is>
      </c>
      <c r="C61" s="30" t="n">
        <v>0</v>
      </c>
      <c r="D61" s="30" t="n">
        <v>0</v>
      </c>
      <c r="E61" s="30" t="n">
        <v>0</v>
      </c>
      <c r="F61" s="30" t="n">
        <v>0</v>
      </c>
      <c r="G61" s="30" t="n">
        <v>0</v>
      </c>
      <c r="H61" s="30" t="n">
        <v>0</v>
      </c>
      <c r="I61" s="30" t="n">
        <v>0</v>
      </c>
      <c r="J61" s="30" t="n">
        <v>0</v>
      </c>
      <c r="K61" s="30" t="n">
        <v>0</v>
      </c>
      <c r="L61" s="30" t="n">
        <v>0</v>
      </c>
      <c r="M61" s="30" t="n">
        <v>0</v>
      </c>
      <c r="N61" s="30" t="n">
        <v>0</v>
      </c>
      <c r="O61" s="30" t="n">
        <v>0</v>
      </c>
      <c r="P61" s="30" t="n">
        <v>0</v>
      </c>
      <c r="Q61" s="30" t="n">
        <v>0</v>
      </c>
      <c r="R61" s="30" t="n">
        <v>0</v>
      </c>
      <c r="S61" s="30" t="n">
        <v>0</v>
      </c>
      <c r="T61" s="30" t="n">
        <v>0</v>
      </c>
      <c r="U61" s="30" t="n">
        <v>0</v>
      </c>
      <c r="V61" s="30" t="n">
        <v>0</v>
      </c>
      <c r="W61" s="30" t="n">
        <v>0</v>
      </c>
      <c r="X61" s="30" t="n">
        <v>0</v>
      </c>
      <c r="Y61" s="30" t="n">
        <v>0</v>
      </c>
      <c r="Z61" s="30" t="n">
        <v>0</v>
      </c>
      <c r="AA61" s="30" t="n">
        <v>0</v>
      </c>
      <c r="AB61" s="30" t="n">
        <v>0</v>
      </c>
      <c r="AC61" s="30" t="n">
        <v>0</v>
      </c>
      <c r="AD61" s="30" t="n">
        <v>0</v>
      </c>
      <c r="AE61" s="30" t="n">
        <v>0</v>
      </c>
      <c r="AF61" s="30" t="n">
        <v>0</v>
      </c>
      <c r="AG61" s="30" t="n">
        <v>0</v>
      </c>
      <c r="AH61" s="30" t="n">
        <v>0</v>
      </c>
      <c r="AI61" s="30" t="n">
        <v>0</v>
      </c>
      <c r="AJ61" s="30" t="n">
        <v>0</v>
      </c>
      <c r="AK61" s="30" t="n">
        <v>0</v>
      </c>
      <c r="AL61" s="30" t="n">
        <v>0</v>
      </c>
      <c r="AM61" s="30" t="n">
        <v>0</v>
      </c>
      <c r="AN61" s="30" t="n">
        <v>0</v>
      </c>
      <c r="AO61" s="30" t="n">
        <v>0</v>
      </c>
      <c r="AP61" s="30" t="n">
        <v>0</v>
      </c>
      <c r="AQ61" s="30" t="n">
        <v>0</v>
      </c>
      <c r="AR61" s="30" t="n">
        <v>0</v>
      </c>
      <c r="AS61" s="30" t="n">
        <v>0</v>
      </c>
      <c r="AT61" s="30" t="n">
        <v>0</v>
      </c>
      <c r="AU61" s="30" t="n">
        <v>0</v>
      </c>
      <c r="AV61" s="30" t="n">
        <v>0</v>
      </c>
      <c r="AW61" s="30" t="n">
        <v>0</v>
      </c>
      <c r="AX61" s="30" t="n">
        <v>0</v>
      </c>
      <c r="AY61" s="30" t="n">
        <v>0</v>
      </c>
      <c r="AZ61" s="30" t="n">
        <v>0</v>
      </c>
      <c r="BA61" s="30" t="n">
        <v>0</v>
      </c>
      <c r="BB61" s="30">
        <f>SUM(C61:BA61)</f>
        <v/>
      </c>
      <c r="BC61" s="30" t="n">
        <v>0</v>
      </c>
      <c r="BD61" s="30" t="n">
        <v>0</v>
      </c>
      <c r="BE61" s="30" t="n">
        <v>30216.7038422306</v>
      </c>
      <c r="BF61" s="30" t="n">
        <v>0</v>
      </c>
      <c r="BG61" s="30">
        <f>SUM(BC61:BF61)</f>
        <v/>
      </c>
      <c r="BH61" s="30">
        <f>BB61+BG61</f>
        <v/>
      </c>
    </row>
    <row r="62">
      <c r="A62" s="28" t="n">
        <v>49</v>
      </c>
      <c r="B62" s="29" t="inlineStr">
        <is>
          <t>Educação pública</t>
        </is>
      </c>
      <c r="C62" s="28" t="n">
        <v>19.71230640488115</v>
      </c>
      <c r="D62" s="28" t="n">
        <v>10.29145097051276</v>
      </c>
      <c r="E62" s="28" t="n">
        <v>286.2011032885296</v>
      </c>
      <c r="F62" s="28" t="n">
        <v>49.32926317642436</v>
      </c>
      <c r="G62" s="28" t="n">
        <v>37.29808691327302</v>
      </c>
      <c r="H62" s="28" t="n">
        <v>484.2201167077453</v>
      </c>
      <c r="I62" s="28" t="n">
        <v>33.35862579473654</v>
      </c>
      <c r="J62" s="28" t="n">
        <v>19.89722747471967</v>
      </c>
      <c r="K62" s="28" t="n">
        <v>20.07817919842417</v>
      </c>
      <c r="L62" s="28" t="n">
        <v>26.51169261325703</v>
      </c>
      <c r="M62" s="28" t="n">
        <v>7.557430773489413</v>
      </c>
      <c r="N62" s="28" t="n">
        <v>61.96300453926765</v>
      </c>
      <c r="O62" s="28" t="n">
        <v>9.297970833755466</v>
      </c>
      <c r="P62" s="28" t="n">
        <v>81.91678956988197</v>
      </c>
      <c r="Q62" s="28" t="n">
        <v>14.86565094622327</v>
      </c>
      <c r="R62" s="28" t="n">
        <v>68.73839483066494</v>
      </c>
      <c r="S62" s="28" t="n">
        <v>15.41950122492965</v>
      </c>
      <c r="T62" s="28" t="n">
        <v>124.7508310231156</v>
      </c>
      <c r="U62" s="28" t="n">
        <v>47.29187890950493</v>
      </c>
      <c r="V62" s="28" t="n">
        <v>54.52765033252498</v>
      </c>
      <c r="W62" s="28" t="n">
        <v>30.19852935938957</v>
      </c>
      <c r="X62" s="28" t="n">
        <v>22.98792322960317</v>
      </c>
      <c r="Y62" s="28" t="n">
        <v>61.90949283350592</v>
      </c>
      <c r="Z62" s="28" t="n">
        <v>68.57391764078865</v>
      </c>
      <c r="AA62" s="28" t="n">
        <v>65.11356478200375</v>
      </c>
      <c r="AB62" s="28" t="n">
        <v>27.06228541604084</v>
      </c>
      <c r="AC62" s="28" t="n">
        <v>50.24891917604408</v>
      </c>
      <c r="AD62" s="28" t="n">
        <v>121.1498135244431</v>
      </c>
      <c r="AE62" s="28" t="n">
        <v>91.96340201243746</v>
      </c>
      <c r="AF62" s="28" t="n">
        <v>127.4848070165626</v>
      </c>
      <c r="AG62" s="28" t="n">
        <v>224.325622642194</v>
      </c>
      <c r="AH62" s="28" t="n">
        <v>61.42912574166871</v>
      </c>
      <c r="AI62" s="28" t="n">
        <v>27.46449621509027</v>
      </c>
      <c r="AJ62" s="28" t="n">
        <v>21.61500791410101</v>
      </c>
      <c r="AK62" s="28" t="n">
        <v>200.5860433769213</v>
      </c>
      <c r="AL62" s="28" t="n">
        <v>302.8113966711873</v>
      </c>
      <c r="AM62" s="28" t="n">
        <v>1017.404179070882</v>
      </c>
      <c r="AN62" s="28" t="n">
        <v>445.2967165173328</v>
      </c>
      <c r="AO62" s="28" t="n">
        <v>705.7124812071423</v>
      </c>
      <c r="AP62" s="28" t="n">
        <v>729.4345102668487</v>
      </c>
      <c r="AQ62" s="28" t="n">
        <v>48.79907995322057</v>
      </c>
      <c r="AR62" s="28" t="n">
        <v>5.576781606029551</v>
      </c>
      <c r="AS62" s="28" t="n">
        <v>64.71511173716098</v>
      </c>
      <c r="AT62" s="28" t="n">
        <v>740.2234403155761</v>
      </c>
      <c r="AU62" s="28" t="n">
        <v>134.6405403082015</v>
      </c>
      <c r="AV62" s="28" t="n">
        <v>52.27585755696936</v>
      </c>
      <c r="AW62" s="28" t="n">
        <v>238.8506538303617</v>
      </c>
      <c r="AX62" s="28" t="n">
        <v>0</v>
      </c>
      <c r="AY62" s="28" t="n">
        <v>143.3224593368384</v>
      </c>
      <c r="AZ62" s="28" t="n">
        <v>142.6331650585929</v>
      </c>
      <c r="BA62" s="28" t="n">
        <v>563.6251308547994</v>
      </c>
      <c r="BB62" s="28">
        <f>SUM(C62:BA62)</f>
        <v/>
      </c>
      <c r="BC62" s="28" t="n">
        <v>0</v>
      </c>
      <c r="BD62" s="28" t="n">
        <v>0</v>
      </c>
      <c r="BE62" s="28" t="n">
        <v>117806.7053112685</v>
      </c>
      <c r="BF62" s="28" t="n">
        <v>0</v>
      </c>
      <c r="BG62" s="28">
        <f>SUM(BC62:BF62)</f>
        <v/>
      </c>
      <c r="BH62" s="28">
        <f>BB62+BG62</f>
        <v/>
      </c>
    </row>
    <row r="63">
      <c r="A63" s="30" t="n">
        <v>50</v>
      </c>
      <c r="B63" s="31" t="inlineStr">
        <is>
          <t>Saúde pública</t>
        </is>
      </c>
      <c r="C63" s="30" t="n">
        <v>1.707268638944385</v>
      </c>
      <c r="D63" s="30" t="n">
        <v>0.9425348225143477</v>
      </c>
      <c r="E63" s="30" t="n">
        <v>24.7298333081501</v>
      </c>
      <c r="F63" s="30" t="n">
        <v>4.210011333737869</v>
      </c>
      <c r="G63" s="30" t="n">
        <v>3.21235142751642</v>
      </c>
      <c r="H63" s="30" t="n">
        <v>41.51602752871948</v>
      </c>
      <c r="I63" s="30" t="n">
        <v>2.882748126243224</v>
      </c>
      <c r="J63" s="30" t="n">
        <v>1.706666357986389</v>
      </c>
      <c r="K63" s="30" t="n">
        <v>1.723001710670826</v>
      </c>
      <c r="L63" s="30" t="n">
        <v>2.288484389465046</v>
      </c>
      <c r="M63" s="30" t="n">
        <v>0.6517187541344041</v>
      </c>
      <c r="N63" s="30" t="n">
        <v>5.326827767412079</v>
      </c>
      <c r="O63" s="30" t="n">
        <v>0.7423070964686113</v>
      </c>
      <c r="P63" s="30" t="n">
        <v>7.075130423481747</v>
      </c>
      <c r="Q63" s="30" t="n">
        <v>1.279416154316064</v>
      </c>
      <c r="R63" s="30" t="n">
        <v>5.933586951869618</v>
      </c>
      <c r="S63" s="30" t="n">
        <v>1.33159513258622</v>
      </c>
      <c r="T63" s="30" t="n">
        <v>10.90565123643642</v>
      </c>
      <c r="U63" s="30" t="n">
        <v>4.084666200306329</v>
      </c>
      <c r="V63" s="30" t="n">
        <v>4.709884198729848</v>
      </c>
      <c r="W63" s="30" t="n">
        <v>2.607886217382564</v>
      </c>
      <c r="X63" s="30" t="n">
        <v>1.983643155075639</v>
      </c>
      <c r="Y63" s="30" t="n">
        <v>5.338310496065024</v>
      </c>
      <c r="Z63" s="30" t="n">
        <v>5.921135353407021</v>
      </c>
      <c r="AA63" s="30" t="n">
        <v>5.5041074134582</v>
      </c>
      <c r="AB63" s="30" t="n">
        <v>2.309306852670455</v>
      </c>
      <c r="AC63" s="30" t="n">
        <v>4.310242729835247</v>
      </c>
      <c r="AD63" s="30" t="n">
        <v>10.44540258959558</v>
      </c>
      <c r="AE63" s="30" t="n">
        <v>7.945277075235018</v>
      </c>
      <c r="AF63" s="30" t="n">
        <v>11.0049110426576</v>
      </c>
      <c r="AG63" s="30" t="n">
        <v>19.33383966969973</v>
      </c>
      <c r="AH63" s="30" t="n">
        <v>5.299436685208503</v>
      </c>
      <c r="AI63" s="30" t="n">
        <v>2.371784463177226</v>
      </c>
      <c r="AJ63" s="30" t="n">
        <v>1.861795592289031</v>
      </c>
      <c r="AK63" s="30" t="n">
        <v>17.25252244441566</v>
      </c>
      <c r="AL63" s="30" t="n">
        <v>26.13054189557471</v>
      </c>
      <c r="AM63" s="30" t="n">
        <v>86.69525501717806</v>
      </c>
      <c r="AN63" s="30" t="n">
        <v>37.87157939016311</v>
      </c>
      <c r="AO63" s="30" t="n">
        <v>60.63423306765341</v>
      </c>
      <c r="AP63" s="30" t="n">
        <v>62.13313421726124</v>
      </c>
      <c r="AQ63" s="30" t="n">
        <v>4.159364208976743</v>
      </c>
      <c r="AR63" s="30" t="n">
        <v>0.3184118537041667</v>
      </c>
      <c r="AS63" s="30" t="n">
        <v>5.460954758161477</v>
      </c>
      <c r="AT63" s="30" t="n">
        <v>61.74797581337735</v>
      </c>
      <c r="AU63" s="30" t="n">
        <v>11.5405866081936</v>
      </c>
      <c r="AV63" s="30" t="n">
        <v>201.2423224568111</v>
      </c>
      <c r="AW63" s="30" t="n">
        <v>20.2756053673177</v>
      </c>
      <c r="AX63" s="30" t="n">
        <v>0</v>
      </c>
      <c r="AY63" s="30" t="n">
        <v>11.89275821931911</v>
      </c>
      <c r="AZ63" s="30" t="n">
        <v>12.33094951393739</v>
      </c>
      <c r="BA63" s="30" t="n">
        <v>49.08474091154486</v>
      </c>
      <c r="BB63" s="30">
        <f>SUM(C63:BA63)</f>
        <v/>
      </c>
      <c r="BC63" s="30" t="n">
        <v>0</v>
      </c>
      <c r="BD63" s="30" t="n">
        <v>0</v>
      </c>
      <c r="BE63" s="30" t="n">
        <v>77653.07118980506</v>
      </c>
      <c r="BF63" s="30" t="n">
        <v>0</v>
      </c>
      <c r="BG63" s="30">
        <f>SUM(BC63:BF63)</f>
        <v/>
      </c>
      <c r="BH63" s="30">
        <f>BB63+BG63</f>
        <v/>
      </c>
    </row>
    <row r="64">
      <c r="A64" s="28" t="n">
        <v>51</v>
      </c>
      <c r="B64" s="29" t="inlineStr">
        <is>
          <t>Administração pública e seguridade social</t>
        </is>
      </c>
      <c r="C64" s="28" t="n">
        <v>342.1125243870007</v>
      </c>
      <c r="D64" s="28" t="n">
        <v>108.8634838496528</v>
      </c>
      <c r="E64" s="28" t="n">
        <v>528.9859982672023</v>
      </c>
      <c r="F64" s="28" t="n">
        <v>118.4593305234749</v>
      </c>
      <c r="G64" s="28" t="n">
        <v>77.79820360729704</v>
      </c>
      <c r="H64" s="28" t="n">
        <v>1346.256879548587</v>
      </c>
      <c r="I64" s="28" t="n">
        <v>52.39036930274538</v>
      </c>
      <c r="J64" s="28" t="n">
        <v>57.24774342353166</v>
      </c>
      <c r="K64" s="28" t="n">
        <v>53.1445832375707</v>
      </c>
      <c r="L64" s="28" t="n">
        <v>52.29007318058126</v>
      </c>
      <c r="M64" s="28" t="n">
        <v>32.62231530017129</v>
      </c>
      <c r="N64" s="28" t="n">
        <v>168.6281412301062</v>
      </c>
      <c r="O64" s="28" t="n">
        <v>123.7573710997869</v>
      </c>
      <c r="P64" s="28" t="n">
        <v>143.9761842483724</v>
      </c>
      <c r="Q64" s="28" t="n">
        <v>36.03603240040797</v>
      </c>
      <c r="R64" s="28" t="n">
        <v>323.4870421418519</v>
      </c>
      <c r="S64" s="28" t="n">
        <v>49.73655366857731</v>
      </c>
      <c r="T64" s="28" t="n">
        <v>215.7519208612843</v>
      </c>
      <c r="U64" s="28" t="n">
        <v>83.85418487601305</v>
      </c>
      <c r="V64" s="28" t="n">
        <v>102.152242595707</v>
      </c>
      <c r="W64" s="28" t="n">
        <v>62.01990166468538</v>
      </c>
      <c r="X64" s="28" t="n">
        <v>54.11510351201327</v>
      </c>
      <c r="Y64" s="28" t="n">
        <v>136.0627999600132</v>
      </c>
      <c r="Z64" s="28" t="n">
        <v>166.1044185873213</v>
      </c>
      <c r="AA64" s="28" t="n">
        <v>224.5031787980124</v>
      </c>
      <c r="AB64" s="28" t="n">
        <v>74.95233970772412</v>
      </c>
      <c r="AC64" s="28" t="n">
        <v>111.2302861789631</v>
      </c>
      <c r="AD64" s="28" t="n">
        <v>226.4118440595113</v>
      </c>
      <c r="AE64" s="28" t="n">
        <v>164.6529800111934</v>
      </c>
      <c r="AF64" s="28" t="n">
        <v>226.9984403512054</v>
      </c>
      <c r="AG64" s="28" t="n">
        <v>402.7862093487909</v>
      </c>
      <c r="AH64" s="28" t="n">
        <v>126.722480169159</v>
      </c>
      <c r="AI64" s="28" t="n">
        <v>54.63199812009473</v>
      </c>
      <c r="AJ64" s="28" t="n">
        <v>47.33069891280442</v>
      </c>
      <c r="AK64" s="28" t="n">
        <v>618.7868424141136</v>
      </c>
      <c r="AL64" s="28" t="n">
        <v>506.8825456180265</v>
      </c>
      <c r="AM64" s="28" t="n">
        <v>2379.970589220882</v>
      </c>
      <c r="AN64" s="28" t="n">
        <v>1089.536197137105</v>
      </c>
      <c r="AO64" s="28" t="n">
        <v>1492.515472519086</v>
      </c>
      <c r="AP64" s="28" t="n">
        <v>1330.40985662967</v>
      </c>
      <c r="AQ64" s="28" t="n">
        <v>115.4634671633337</v>
      </c>
      <c r="AR64" s="28" t="n">
        <v>15.29272103790366</v>
      </c>
      <c r="AS64" s="28" t="n">
        <v>161.9063168904866</v>
      </c>
      <c r="AT64" s="28" t="n">
        <v>1601.974566391048</v>
      </c>
      <c r="AU64" s="28" t="n">
        <v>276.8409130076496</v>
      </c>
      <c r="AV64" s="28" t="n">
        <v>150.8652592223775</v>
      </c>
      <c r="AW64" s="28" t="n">
        <v>793.3729014425768</v>
      </c>
      <c r="AX64" s="28" t="n">
        <v>0</v>
      </c>
      <c r="AY64" s="28" t="n">
        <v>284.424938461076</v>
      </c>
      <c r="AZ64" s="28" t="n">
        <v>258.7657028898795</v>
      </c>
      <c r="BA64" s="28" t="n">
        <v>1098.94896937536</v>
      </c>
      <c r="BB64" s="28">
        <f>SUM(C64:BA64)</f>
        <v/>
      </c>
      <c r="BC64" s="28" t="n">
        <v>0</v>
      </c>
      <c r="BD64" s="28" t="n">
        <v>0</v>
      </c>
      <c r="BE64" s="28" t="n">
        <v>373195.7628718225</v>
      </c>
      <c r="BF64" s="28" t="n">
        <v>0</v>
      </c>
      <c r="BG64" s="28">
        <f>SUM(BC64:BF64)</f>
        <v/>
      </c>
      <c r="BH64" s="28">
        <f>BB64+BG64</f>
        <v/>
      </c>
    </row>
    <row r="65">
      <c r="B65" s="32" t="inlineStr">
        <is>
          <t>Total consumo intermedio</t>
        </is>
      </c>
      <c r="C65" s="33">
        <f>SUM(C14:C64)</f>
        <v/>
      </c>
      <c r="D65" s="33">
        <f>SUM(D14:D64)</f>
        <v/>
      </c>
      <c r="E65" s="33">
        <f>SUM(E14:E64)</f>
        <v/>
      </c>
      <c r="F65" s="33">
        <f>SUM(F14:F64)</f>
        <v/>
      </c>
      <c r="G65" s="33">
        <f>SUM(G14:G64)</f>
        <v/>
      </c>
      <c r="H65" s="33">
        <f>SUM(H14:H64)</f>
        <v/>
      </c>
      <c r="I65" s="33">
        <f>SUM(I14:I64)</f>
        <v/>
      </c>
      <c r="J65" s="33">
        <f>SUM(J14:J64)</f>
        <v/>
      </c>
      <c r="K65" s="33">
        <f>SUM(K14:K64)</f>
        <v/>
      </c>
      <c r="L65" s="33">
        <f>SUM(L14:L64)</f>
        <v/>
      </c>
      <c r="M65" s="33">
        <f>SUM(M14:M64)</f>
        <v/>
      </c>
      <c r="N65" s="33">
        <f>SUM(N14:N64)</f>
        <v/>
      </c>
      <c r="O65" s="33">
        <f>SUM(O14:O64)</f>
        <v/>
      </c>
      <c r="P65" s="33">
        <f>SUM(P14:P64)</f>
        <v/>
      </c>
      <c r="Q65" s="33">
        <f>SUM(Q14:Q64)</f>
        <v/>
      </c>
      <c r="R65" s="33">
        <f>SUM(R14:R64)</f>
        <v/>
      </c>
      <c r="S65" s="33">
        <f>SUM(S14:S64)</f>
        <v/>
      </c>
      <c r="T65" s="33">
        <f>SUM(T14:T64)</f>
        <v/>
      </c>
      <c r="U65" s="33">
        <f>SUM(U14:U64)</f>
        <v/>
      </c>
      <c r="V65" s="33">
        <f>SUM(V14:V64)</f>
        <v/>
      </c>
      <c r="W65" s="33">
        <f>SUM(W14:W64)</f>
        <v/>
      </c>
      <c r="X65" s="33">
        <f>SUM(X14:X64)</f>
        <v/>
      </c>
      <c r="Y65" s="33">
        <f>SUM(Y14:Y64)</f>
        <v/>
      </c>
      <c r="Z65" s="33">
        <f>SUM(Z14:Z64)</f>
        <v/>
      </c>
      <c r="AA65" s="33">
        <f>SUM(AA14:AA64)</f>
        <v/>
      </c>
      <c r="AB65" s="33">
        <f>SUM(AB14:AB64)</f>
        <v/>
      </c>
      <c r="AC65" s="33">
        <f>SUM(AC14:AC64)</f>
        <v/>
      </c>
      <c r="AD65" s="33">
        <f>SUM(AD14:AD64)</f>
        <v/>
      </c>
      <c r="AE65" s="33">
        <f>SUM(AE14:AE64)</f>
        <v/>
      </c>
      <c r="AF65" s="33">
        <f>SUM(AF14:AF64)</f>
        <v/>
      </c>
      <c r="AG65" s="33">
        <f>SUM(AG14:AG64)</f>
        <v/>
      </c>
      <c r="AH65" s="33">
        <f>SUM(AH14:AH64)</f>
        <v/>
      </c>
      <c r="AI65" s="33">
        <f>SUM(AI14:AI64)</f>
        <v/>
      </c>
      <c r="AJ65" s="33">
        <f>SUM(AJ14:AJ64)</f>
        <v/>
      </c>
      <c r="AK65" s="33">
        <f>SUM(AK14:AK64)</f>
        <v/>
      </c>
      <c r="AL65" s="33">
        <f>SUM(AL14:AL64)</f>
        <v/>
      </c>
      <c r="AM65" s="33">
        <f>SUM(AM14:AM64)</f>
        <v/>
      </c>
      <c r="AN65" s="33">
        <f>SUM(AN14:AN64)</f>
        <v/>
      </c>
      <c r="AO65" s="33">
        <f>SUM(AO14:AO64)</f>
        <v/>
      </c>
      <c r="AP65" s="33">
        <f>SUM(AP14:AP64)</f>
        <v/>
      </c>
      <c r="AQ65" s="33">
        <f>SUM(AQ14:AQ64)</f>
        <v/>
      </c>
      <c r="AR65" s="33">
        <f>SUM(AR14:AR64)</f>
        <v/>
      </c>
      <c r="AS65" s="33">
        <f>SUM(AS14:AS64)</f>
        <v/>
      </c>
      <c r="AT65" s="33">
        <f>SUM(AT14:AT64)</f>
        <v/>
      </c>
      <c r="AU65" s="33">
        <f>SUM(AU14:AU64)</f>
        <v/>
      </c>
      <c r="AV65" s="33">
        <f>SUM(AV14:AV64)</f>
        <v/>
      </c>
      <c r="AW65" s="33">
        <f>SUM(AW14:AW64)</f>
        <v/>
      </c>
      <c r="AX65" s="33">
        <f>SUM(AX14:AX64)</f>
        <v/>
      </c>
      <c r="AY65" s="33">
        <f>SUM(AY14:AY64)</f>
        <v/>
      </c>
      <c r="AZ65" s="33">
        <f>SUM(AZ14:AZ64)</f>
        <v/>
      </c>
      <c r="BA65" s="33">
        <f>SUM(BA14:BA64)</f>
        <v/>
      </c>
      <c r="BB65" s="33">
        <f>SUM(BB14:BB64)</f>
        <v/>
      </c>
      <c r="BC65" s="33">
        <f>SUM(BC14:BC64)</f>
        <v/>
      </c>
      <c r="BD65" s="33">
        <f>SUM(BD14:BD64)</f>
        <v/>
      </c>
      <c r="BE65" s="33">
        <f>SUM(BE14:BE64)</f>
        <v/>
      </c>
      <c r="BF65" s="33">
        <f>SUM(BF14:BF64)</f>
        <v/>
      </c>
      <c r="BG65" s="33">
        <f>SUM(BG14:BG64)</f>
        <v/>
      </c>
      <c r="BH65" s="33">
        <f>SUM(BH14:BH64)</f>
        <v/>
      </c>
    </row>
    <row r="66"/>
    <row r="67">
      <c r="B67" s="32" t="inlineStr">
        <is>
          <t>Ajuste intermedio no asignado a matriz</t>
        </is>
      </c>
      <c r="C67" s="33" t="n">
        <v>23990.36707004206</v>
      </c>
      <c r="D67" s="33" t="n">
        <v>10564.95772839818</v>
      </c>
      <c r="E67" s="33" t="n">
        <v>7787.834089765286</v>
      </c>
      <c r="F67" s="34" t="n">
        <v>-125.7657065494095</v>
      </c>
      <c r="G67" s="33" t="n">
        <v>2272.492244357781</v>
      </c>
      <c r="H67" s="33" t="n">
        <v>15971.55933807489</v>
      </c>
      <c r="I67" s="34" t="n">
        <v>-18.193050001541</v>
      </c>
      <c r="J67" s="33" t="n">
        <v>4437.963434411096</v>
      </c>
      <c r="K67" s="33" t="n">
        <v>4972.324166368566</v>
      </c>
      <c r="L67" s="33" t="n">
        <v>1691.608930902855</v>
      </c>
      <c r="M67" s="33" t="n">
        <v>1880.972941346334</v>
      </c>
      <c r="N67" s="33" t="n">
        <v>2174.335917015187</v>
      </c>
      <c r="O67" s="33" t="n">
        <v>2216.919957103728</v>
      </c>
      <c r="P67" s="33" t="n">
        <v>50140.0866347444</v>
      </c>
      <c r="Q67" s="33" t="n">
        <v>658.265090275477</v>
      </c>
      <c r="R67" s="33" t="n">
        <v>18932.9143998501</v>
      </c>
      <c r="S67" s="33" t="n">
        <v>5412.063350816591</v>
      </c>
      <c r="T67" s="33" t="n">
        <v>41.21969408134964</v>
      </c>
      <c r="U67" s="33" t="n">
        <v>2783.62927372732</v>
      </c>
      <c r="V67" s="33" t="n">
        <v>5014.155102425615</v>
      </c>
      <c r="W67" s="33" t="n">
        <v>2301.999180669557</v>
      </c>
      <c r="X67" s="33" t="n">
        <v>1469.63869560567</v>
      </c>
      <c r="Y67" s="33" t="n">
        <v>7212.816019414581</v>
      </c>
      <c r="Z67" s="33" t="n">
        <v>4681.526063915569</v>
      </c>
      <c r="AA67" s="33" t="n">
        <v>11753.54195664146</v>
      </c>
      <c r="AB67" s="33" t="n">
        <v>6970.233830262073</v>
      </c>
      <c r="AC67" s="33" t="n">
        <v>5352.747772156927</v>
      </c>
      <c r="AD67" s="33" t="n">
        <v>5851.125004423776</v>
      </c>
      <c r="AE67" s="33" t="n">
        <v>7649.657914645104</v>
      </c>
      <c r="AF67" s="33" t="n">
        <v>18741.51747056488</v>
      </c>
      <c r="AG67" s="33" t="n">
        <v>22606.8460294927</v>
      </c>
      <c r="AH67" s="33" t="n">
        <v>13620.67608341283</v>
      </c>
      <c r="AI67" s="33" t="n">
        <v>7354.699189146379</v>
      </c>
      <c r="AJ67" s="33" t="n">
        <v>4898.094053159266</v>
      </c>
      <c r="AK67" s="33" t="n">
        <v>15849.93606894235</v>
      </c>
      <c r="AL67" s="33" t="n">
        <v>41390.84328044468</v>
      </c>
      <c r="AM67" s="34" t="n">
        <v>-1233.306722598443</v>
      </c>
      <c r="AN67" s="33" t="n">
        <v>349.8124054288437</v>
      </c>
      <c r="AO67" s="34" t="n">
        <v>-2103.884834608309</v>
      </c>
      <c r="AP67" s="33" t="n">
        <v>13402.32803063927</v>
      </c>
      <c r="AQ67" s="33" t="n">
        <v>3466.836364331035</v>
      </c>
      <c r="AR67" s="33" t="n">
        <v>974.5005970354003</v>
      </c>
      <c r="AS67" s="33" t="n">
        <v>18395.22417879742</v>
      </c>
      <c r="AT67" s="33" t="n">
        <v>13526.53112697219</v>
      </c>
      <c r="AU67" s="33" t="n">
        <v>2434.751002538469</v>
      </c>
      <c r="AV67" s="33" t="n">
        <v>11450.9148854398</v>
      </c>
      <c r="AW67" s="33" t="n">
        <v>13009.86101674952</v>
      </c>
      <c r="AX67" s="33" t="n">
        <v>0</v>
      </c>
      <c r="AY67" s="33" t="n">
        <v>4598.454671314477</v>
      </c>
      <c r="AZ67" s="33" t="n">
        <v>3968.156781951249</v>
      </c>
      <c r="BA67" s="33" t="n">
        <v>11654.12453653118</v>
      </c>
      <c r="BH67" s="33">
        <f>SUM(C67:BA67)</f>
        <v/>
      </c>
    </row>
    <row r="68"/>
    <row r="69">
      <c r="B69" s="32" t="inlineStr">
        <is>
          <t>Valor agregado</t>
        </is>
      </c>
      <c r="C69" s="33" t="n">
        <v>99762.7371457682</v>
      </c>
      <c r="D69" s="33" t="n">
        <v>42288.440006774</v>
      </c>
      <c r="E69" s="33" t="n">
        <v>72721.116815366</v>
      </c>
      <c r="F69" s="33" t="n">
        <v>18462.2499312295</v>
      </c>
      <c r="G69" s="33" t="n">
        <v>9104.752474493769</v>
      </c>
      <c r="H69" s="33" t="n">
        <v>57111.1542360376</v>
      </c>
      <c r="I69" s="33" t="n">
        <v>1889.32637664723</v>
      </c>
      <c r="J69" s="33" t="n">
        <v>7665.74088369105</v>
      </c>
      <c r="K69" s="33" t="n">
        <v>18381.5868087249</v>
      </c>
      <c r="L69" s="33" t="n">
        <v>7915.73389867525</v>
      </c>
      <c r="M69" s="33" t="n">
        <v>8147.63116934507</v>
      </c>
      <c r="N69" s="33" t="n">
        <v>11156.9722399899</v>
      </c>
      <c r="O69" s="33" t="n">
        <v>7614.70771443783</v>
      </c>
      <c r="P69" s="33" t="n">
        <v>16125.3072760639</v>
      </c>
      <c r="Q69" s="33" t="n">
        <v>4705.6279519846</v>
      </c>
      <c r="R69" s="33" t="n">
        <v>21124.8472751465</v>
      </c>
      <c r="S69" s="33" t="n">
        <v>6590.75340681454</v>
      </c>
      <c r="T69" s="33" t="n">
        <v>17095.5539607778</v>
      </c>
      <c r="U69" s="33" t="n">
        <v>1992.74870844539</v>
      </c>
      <c r="V69" s="33" t="n">
        <v>4781.18176014582</v>
      </c>
      <c r="W69" s="33" t="n">
        <v>1644.14244847053</v>
      </c>
      <c r="X69" s="33" t="n">
        <v>2292.60104346396</v>
      </c>
      <c r="Y69" s="33" t="n">
        <v>14573.901762593</v>
      </c>
      <c r="Z69" s="33" t="n">
        <v>15555.1994254587</v>
      </c>
      <c r="AA69" s="33" t="n">
        <v>31587.1046125562</v>
      </c>
      <c r="AB69" s="33" t="n">
        <v>6202.20257602702</v>
      </c>
      <c r="AC69" s="33" t="n">
        <v>28776.2407707042</v>
      </c>
      <c r="AD69" s="33" t="n">
        <v>39041.5233465067</v>
      </c>
      <c r="AE69" s="33" t="n">
        <v>10239.7684501948</v>
      </c>
      <c r="AF69" s="33" t="n">
        <v>15304.8200711144</v>
      </c>
      <c r="AG69" s="33" t="n">
        <v>32956.8158139122</v>
      </c>
      <c r="AH69" s="33" t="n">
        <v>15746.4852248711</v>
      </c>
      <c r="AI69" s="33" t="n">
        <v>11421.9277274679</v>
      </c>
      <c r="AJ69" s="33" t="n">
        <v>16336.9153872166</v>
      </c>
      <c r="AK69" s="33" t="n">
        <v>68838.5797578051</v>
      </c>
      <c r="AL69" s="33" t="n">
        <v>114801.95695688</v>
      </c>
      <c r="AM69" s="33" t="n">
        <v>322108.956314723</v>
      </c>
      <c r="AN69" s="33" t="n">
        <v>104512.689725205</v>
      </c>
      <c r="AO69" s="33" t="n">
        <v>114634.255049789</v>
      </c>
      <c r="AP69" s="33" t="n">
        <v>170819.279064624</v>
      </c>
      <c r="AQ69" s="33" t="n">
        <v>221299.433069087</v>
      </c>
      <c r="AR69" s="33" t="n">
        <v>8626.935216074089</v>
      </c>
      <c r="AS69" s="33" t="n">
        <v>46237.0475554843</v>
      </c>
      <c r="AT69" s="33" t="n">
        <v>156649.416446613</v>
      </c>
      <c r="AU69" s="33" t="n">
        <v>30219.0851296454</v>
      </c>
      <c r="AV69" s="33" t="n">
        <v>52194.4303026218</v>
      </c>
      <c r="AW69" s="33" t="n">
        <v>74778.4337918793</v>
      </c>
      <c r="AX69" s="33" t="n">
        <v>30216.7038422306</v>
      </c>
      <c r="AY69" s="33" t="n">
        <v>101782.209625919</v>
      </c>
      <c r="AZ69" s="33" t="n">
        <v>53521.328974797</v>
      </c>
      <c r="BA69" s="33" t="n">
        <v>278919.142093289</v>
      </c>
      <c r="BH69" s="33">
        <f>SUM(C69:BA69)</f>
        <v/>
      </c>
    </row>
    <row r="70"/>
    <row r="71">
      <c r="B71" s="32" t="inlineStr">
        <is>
          <t>Produccion total</t>
        </is>
      </c>
      <c r="C71" s="33">
        <f>C65+C67+C69</f>
        <v/>
      </c>
      <c r="D71" s="33">
        <f>D65+D67+D69</f>
        <v/>
      </c>
      <c r="E71" s="33">
        <f>E65+E67+E69</f>
        <v/>
      </c>
      <c r="F71" s="33">
        <f>F65+F67+F69</f>
        <v/>
      </c>
      <c r="G71" s="33">
        <f>G65+G67+G69</f>
        <v/>
      </c>
      <c r="H71" s="33">
        <f>H65+H67+H69</f>
        <v/>
      </c>
      <c r="I71" s="33">
        <f>I65+I67+I69</f>
        <v/>
      </c>
      <c r="J71" s="33">
        <f>J65+J67+J69</f>
        <v/>
      </c>
      <c r="K71" s="33">
        <f>K65+K67+K69</f>
        <v/>
      </c>
      <c r="L71" s="33">
        <f>L65+L67+L69</f>
        <v/>
      </c>
      <c r="M71" s="33">
        <f>M65+M67+M69</f>
        <v/>
      </c>
      <c r="N71" s="33">
        <f>N65+N67+N69</f>
        <v/>
      </c>
      <c r="O71" s="33">
        <f>O65+O67+O69</f>
        <v/>
      </c>
      <c r="P71" s="33">
        <f>P65+P67+P69</f>
        <v/>
      </c>
      <c r="Q71" s="33">
        <f>Q65+Q67+Q69</f>
        <v/>
      </c>
      <c r="R71" s="33">
        <f>R65+R67+R69</f>
        <v/>
      </c>
      <c r="S71" s="33">
        <f>S65+S67+S69</f>
        <v/>
      </c>
      <c r="T71" s="33">
        <f>T65+T67+T69</f>
        <v/>
      </c>
      <c r="U71" s="33">
        <f>U65+U67+U69</f>
        <v/>
      </c>
      <c r="V71" s="33">
        <f>V65+V67+V69</f>
        <v/>
      </c>
      <c r="W71" s="33">
        <f>W65+W67+W69</f>
        <v/>
      </c>
      <c r="X71" s="33">
        <f>X65+X67+X69</f>
        <v/>
      </c>
      <c r="Y71" s="33">
        <f>Y65+Y67+Y69</f>
        <v/>
      </c>
      <c r="Z71" s="33">
        <f>Z65+Z67+Z69</f>
        <v/>
      </c>
      <c r="AA71" s="33">
        <f>AA65+AA67+AA69</f>
        <v/>
      </c>
      <c r="AB71" s="33">
        <f>AB65+AB67+AB69</f>
        <v/>
      </c>
      <c r="AC71" s="33">
        <f>AC65+AC67+AC69</f>
        <v/>
      </c>
      <c r="AD71" s="33">
        <f>AD65+AD67+AD69</f>
        <v/>
      </c>
      <c r="AE71" s="33">
        <f>AE65+AE67+AE69</f>
        <v/>
      </c>
      <c r="AF71" s="33">
        <f>AF65+AF67+AF69</f>
        <v/>
      </c>
      <c r="AG71" s="33">
        <f>AG65+AG67+AG69</f>
        <v/>
      </c>
      <c r="AH71" s="33">
        <f>AH65+AH67+AH69</f>
        <v/>
      </c>
      <c r="AI71" s="33">
        <f>AI65+AI67+AI69</f>
        <v/>
      </c>
      <c r="AJ71" s="33">
        <f>AJ65+AJ67+AJ69</f>
        <v/>
      </c>
      <c r="AK71" s="33">
        <f>AK65+AK67+AK69</f>
        <v/>
      </c>
      <c r="AL71" s="33">
        <f>AL65+AL67+AL69</f>
        <v/>
      </c>
      <c r="AM71" s="33">
        <f>AM65+AM67+AM69</f>
        <v/>
      </c>
      <c r="AN71" s="33">
        <f>AN65+AN67+AN69</f>
        <v/>
      </c>
      <c r="AO71" s="33">
        <f>AO65+AO67+AO69</f>
        <v/>
      </c>
      <c r="AP71" s="33">
        <f>AP65+AP67+AP69</f>
        <v/>
      </c>
      <c r="AQ71" s="33">
        <f>AQ65+AQ67+AQ69</f>
        <v/>
      </c>
      <c r="AR71" s="33">
        <f>AR65+AR67+AR69</f>
        <v/>
      </c>
      <c r="AS71" s="33">
        <f>AS65+AS67+AS69</f>
        <v/>
      </c>
      <c r="AT71" s="33">
        <f>AT65+AT67+AT69</f>
        <v/>
      </c>
      <c r="AU71" s="33">
        <f>AU65+AU67+AU69</f>
        <v/>
      </c>
      <c r="AV71" s="33">
        <f>AV65+AV67+AV69</f>
        <v/>
      </c>
      <c r="AW71" s="33">
        <f>AW65+AW67+AW69</f>
        <v/>
      </c>
      <c r="AX71" s="33">
        <f>AX65+AX67+AX69</f>
        <v/>
      </c>
      <c r="AY71" s="33">
        <f>AY65+AY67+AY69</f>
        <v/>
      </c>
      <c r="AZ71" s="33">
        <f>AZ65+AZ67+AZ69</f>
        <v/>
      </c>
      <c r="BA71" s="33">
        <f>BA65+BA67+BA69</f>
        <v/>
      </c>
      <c r="BH71" s="33">
        <f>SUM(C71:BA71)</f>
        <v/>
      </c>
    </row>
    <row r="72">
      <c r="B72" s="32" t="inlineStr">
        <is>
          <t>Produccion fuente</t>
        </is>
      </c>
      <c r="C72" s="33" t="n">
        <v>180011.5357927211</v>
      </c>
      <c r="D72" s="33" t="n">
        <v>82721.04333141484</v>
      </c>
      <c r="E72" s="33" t="n">
        <v>119605.4152783296</v>
      </c>
      <c r="F72" s="33" t="n">
        <v>36169.19126716175</v>
      </c>
      <c r="G72" s="33" t="n">
        <v>22890.67153052581</v>
      </c>
      <c r="H72" s="33" t="n">
        <v>351303.2844506832</v>
      </c>
      <c r="I72" s="33" t="n">
        <v>10955.70787217154</v>
      </c>
      <c r="J72" s="33" t="n">
        <v>37550.16041162379</v>
      </c>
      <c r="K72" s="33" t="n">
        <v>42450.79609359061</v>
      </c>
      <c r="L72" s="33" t="n">
        <v>26397.57111409403</v>
      </c>
      <c r="M72" s="33" t="n">
        <v>19540.06333550223</v>
      </c>
      <c r="N72" s="33" t="n">
        <v>47166.41671713419</v>
      </c>
      <c r="O72" s="33" t="n">
        <v>16802.64916708744</v>
      </c>
      <c r="P72" s="33" t="n">
        <v>220868.3872656036</v>
      </c>
      <c r="Q72" s="33" t="n">
        <v>20567.11854984396</v>
      </c>
      <c r="R72" s="33" t="n">
        <v>80593.31152800945</v>
      </c>
      <c r="S72" s="33" t="n">
        <v>28170.04016437652</v>
      </c>
      <c r="T72" s="33" t="n">
        <v>34646.62070021381</v>
      </c>
      <c r="U72" s="33" t="n">
        <v>16252.49368870814</v>
      </c>
      <c r="V72" s="33" t="n">
        <v>23322.50313666971</v>
      </c>
      <c r="W72" s="33" t="n">
        <v>12055.87719772069</v>
      </c>
      <c r="X72" s="33" t="n">
        <v>14885.13595586721</v>
      </c>
      <c r="Y72" s="33" t="n">
        <v>62913.96457609033</v>
      </c>
      <c r="Z72" s="33" t="n">
        <v>52775.84208340917</v>
      </c>
      <c r="AA72" s="33" t="n">
        <v>107111.17187697</v>
      </c>
      <c r="AB72" s="33" t="n">
        <v>37160.41025808445</v>
      </c>
      <c r="AC72" s="33" t="n">
        <v>73891.51979704158</v>
      </c>
      <c r="AD72" s="33" t="n">
        <v>124020.0593400872</v>
      </c>
      <c r="AE72" s="33" t="n">
        <v>52738.38714942258</v>
      </c>
      <c r="AF72" s="33" t="n">
        <v>69317.79524761312</v>
      </c>
      <c r="AG72" s="33" t="n">
        <v>131440.1259066513</v>
      </c>
      <c r="AH72" s="33" t="n">
        <v>68813.25752439648</v>
      </c>
      <c r="AI72" s="33" t="n">
        <v>36685.1918457339</v>
      </c>
      <c r="AJ72" s="33" t="n">
        <v>39257.40746447233</v>
      </c>
      <c r="AK72" s="33" t="n">
        <v>159741.8582308338</v>
      </c>
      <c r="AL72" s="33" t="n">
        <v>309896.3132601352</v>
      </c>
      <c r="AM72" s="33" t="n">
        <v>511097.1751644803</v>
      </c>
      <c r="AN72" s="33" t="n">
        <v>261922.5383374235</v>
      </c>
      <c r="AO72" s="33" t="n">
        <v>227167.5247902578</v>
      </c>
      <c r="AP72" s="33" t="n">
        <v>272862.2505562823</v>
      </c>
      <c r="AQ72" s="33" t="n">
        <v>247157.9612972761</v>
      </c>
      <c r="AR72" s="33" t="n">
        <v>11746.51012750534</v>
      </c>
      <c r="AS72" s="33" t="n">
        <v>106880.2635962482</v>
      </c>
      <c r="AT72" s="33" t="n">
        <v>264370.2711029037</v>
      </c>
      <c r="AU72" s="33" t="n">
        <v>47292.1225296886</v>
      </c>
      <c r="AV72" s="33" t="n">
        <v>96297.62868880319</v>
      </c>
      <c r="AW72" s="33" t="n">
        <v>145782.4402914446</v>
      </c>
      <c r="AX72" s="33" t="n">
        <v>30216.7038422306</v>
      </c>
      <c r="AY72" s="33" t="n">
        <v>125817.3669219663</v>
      </c>
      <c r="AZ72" s="33" t="n">
        <v>78535.03891644411</v>
      </c>
      <c r="BA72" s="33" t="n">
        <v>391468.1725327049</v>
      </c>
      <c r="BH72" s="33">
        <f>SUM(C72:BA72)</f>
        <v/>
      </c>
    </row>
    <row r="73">
      <c r="B73" s="35" t="inlineStr">
        <is>
          <t>Check produccion total - fuente</t>
        </is>
      </c>
      <c r="C73" s="36">
        <f>C71-C72</f>
        <v/>
      </c>
      <c r="D73" s="36">
        <f>D71-D72</f>
        <v/>
      </c>
      <c r="E73" s="36">
        <f>E71-E72</f>
        <v/>
      </c>
      <c r="F73" s="36">
        <f>F71-F72</f>
        <v/>
      </c>
      <c r="G73" s="36">
        <f>G71-G72</f>
        <v/>
      </c>
      <c r="H73" s="36">
        <f>H71-H72</f>
        <v/>
      </c>
      <c r="I73" s="36">
        <f>I71-I72</f>
        <v/>
      </c>
      <c r="J73" s="36">
        <f>J71-J72</f>
        <v/>
      </c>
      <c r="K73" s="36">
        <f>K71-K72</f>
        <v/>
      </c>
      <c r="L73" s="36">
        <f>L71-L72</f>
        <v/>
      </c>
      <c r="M73" s="36">
        <f>M71-M72</f>
        <v/>
      </c>
      <c r="N73" s="36">
        <f>N71-N72</f>
        <v/>
      </c>
      <c r="O73" s="36">
        <f>O71-O72</f>
        <v/>
      </c>
      <c r="P73" s="36">
        <f>P71-P72</f>
        <v/>
      </c>
      <c r="Q73" s="36">
        <f>Q71-Q72</f>
        <v/>
      </c>
      <c r="R73" s="36">
        <f>R71-R72</f>
        <v/>
      </c>
      <c r="S73" s="36">
        <f>S71-S72</f>
        <v/>
      </c>
      <c r="T73" s="36">
        <f>T71-T72</f>
        <v/>
      </c>
      <c r="U73" s="36">
        <f>U71-U72</f>
        <v/>
      </c>
      <c r="V73" s="36">
        <f>V71-V72</f>
        <v/>
      </c>
      <c r="W73" s="36">
        <f>W71-W72</f>
        <v/>
      </c>
      <c r="X73" s="36">
        <f>X71-X72</f>
        <v/>
      </c>
      <c r="Y73" s="36">
        <f>Y71-Y72</f>
        <v/>
      </c>
      <c r="Z73" s="36">
        <f>Z71-Z72</f>
        <v/>
      </c>
      <c r="AA73" s="36">
        <f>AA71-AA72</f>
        <v/>
      </c>
      <c r="AB73" s="36">
        <f>AB71-AB72</f>
        <v/>
      </c>
      <c r="AC73" s="36">
        <f>AC71-AC72</f>
        <v/>
      </c>
      <c r="AD73" s="36">
        <f>AD71-AD72</f>
        <v/>
      </c>
      <c r="AE73" s="36">
        <f>AE71-AE72</f>
        <v/>
      </c>
      <c r="AF73" s="36">
        <f>AF71-AF72</f>
        <v/>
      </c>
      <c r="AG73" s="36">
        <f>AG71-AG72</f>
        <v/>
      </c>
      <c r="AH73" s="36">
        <f>AH71-AH72</f>
        <v/>
      </c>
      <c r="AI73" s="36">
        <f>AI71-AI72</f>
        <v/>
      </c>
      <c r="AJ73" s="36">
        <f>AJ71-AJ72</f>
        <v/>
      </c>
      <c r="AK73" s="36">
        <f>AK71-AK72</f>
        <v/>
      </c>
      <c r="AL73" s="36">
        <f>AL71-AL72</f>
        <v/>
      </c>
      <c r="AM73" s="36">
        <f>AM71-AM72</f>
        <v/>
      </c>
      <c r="AN73" s="36">
        <f>AN71-AN72</f>
        <v/>
      </c>
      <c r="AO73" s="36">
        <f>AO71-AO72</f>
        <v/>
      </c>
      <c r="AP73" s="36">
        <f>AP71-AP72</f>
        <v/>
      </c>
      <c r="AQ73" s="36">
        <f>AQ71-AQ72</f>
        <v/>
      </c>
      <c r="AR73" s="36">
        <f>AR71-AR72</f>
        <v/>
      </c>
      <c r="AS73" s="36">
        <f>AS71-AS72</f>
        <v/>
      </c>
      <c r="AT73" s="36">
        <f>AT71-AT72</f>
        <v/>
      </c>
      <c r="AU73" s="36">
        <f>AU71-AU72</f>
        <v/>
      </c>
      <c r="AV73" s="36">
        <f>AV71-AV72</f>
        <v/>
      </c>
      <c r="AW73" s="36">
        <f>AW71-AW72</f>
        <v/>
      </c>
      <c r="AX73" s="36">
        <f>AX71-AX72</f>
        <v/>
      </c>
      <c r="AY73" s="36">
        <f>AY71-AY72</f>
        <v/>
      </c>
      <c r="AZ73" s="36">
        <f>AZ71-AZ72</f>
        <v/>
      </c>
      <c r="BA73" s="36">
        <f>BA71-BA72</f>
        <v/>
      </c>
      <c r="BH73" s="36">
        <f>SUM(C73:BA73)</f>
        <v/>
      </c>
    </row>
    <row r="74"/>
    <row r="75">
      <c r="B75" s="31" t="inlineStr">
        <is>
          <t>Nota</t>
        </is>
      </c>
      <c r="C75" s="31" t="inlineStr">
        <is>
          <t>Z contiene consumo intermedio nacional/domestico. El ajuste intermedio fuera de Z queda visible antes del valor agregado.</t>
        </is>
      </c>
    </row>
  </sheetData>
  <mergeCells count="9">
    <mergeCell ref="BG10:BG12"/>
    <mergeCell ref="C10:BA10"/>
    <mergeCell ref="BH10:BH12"/>
    <mergeCell ref="A3:H4"/>
    <mergeCell ref="B10:B12"/>
    <mergeCell ref="A10:A12"/>
    <mergeCell ref="A1:H1"/>
    <mergeCell ref="BB10:BB12"/>
    <mergeCell ref="BC10:BF10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H75"/>
  <sheetViews>
    <sheetView showGridLines="0" zoomScale="70" workbookViewId="0">
      <pane xSplit="2" ySplit="13" topLeftCell="C1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.7" customWidth="1" min="1" max="1"/>
    <col width="77.7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</cols>
  <sheetData>
    <row r="1" ht="44" customHeight="1"/>
    <row r="2"/>
    <row r="3" ht="16" customHeight="1">
      <c r="A3" s="20" t="inlineStr">
        <is>
          <t>Matriz insumo producto, actividad por actividad - Importada / ajuste</t>
        </is>
      </c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20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20" t="n"/>
      <c r="AE3" s="20" t="n"/>
      <c r="AF3" s="20" t="n"/>
      <c r="AG3" s="20" t="n"/>
      <c r="AH3" s="20" t="n"/>
      <c r="AI3" s="20" t="n"/>
      <c r="AJ3" s="20" t="n"/>
      <c r="AK3" s="20" t="n"/>
      <c r="AL3" s="20" t="n"/>
      <c r="AM3" s="20" t="n"/>
      <c r="AN3" s="20" t="n"/>
      <c r="AO3" s="20" t="n"/>
      <c r="AP3" s="20" t="n"/>
      <c r="AQ3" s="20" t="n"/>
      <c r="AR3" s="20" t="n"/>
      <c r="AS3" s="20" t="n"/>
      <c r="AT3" s="20" t="n"/>
      <c r="AU3" s="20" t="n"/>
      <c r="AV3" s="20" t="n"/>
      <c r="AW3" s="20" t="n"/>
      <c r="AX3" s="20" t="n"/>
      <c r="AY3" s="20" t="n"/>
      <c r="AZ3" s="20" t="n"/>
      <c r="BA3" s="20" t="n"/>
      <c r="BB3" s="20" t="n"/>
      <c r="BC3" s="20" t="n"/>
      <c r="BD3" s="20" t="n"/>
      <c r="BE3" s="20" t="n"/>
      <c r="BF3" s="20" t="n"/>
      <c r="BG3" s="20" t="n"/>
      <c r="BH3" s="20" t="n"/>
    </row>
    <row r="4" ht="16" customHeight="1"/>
    <row r="5">
      <c r="A5" s="21" t="inlineStr">
        <is>
          <t>Valores a precios corrientes</t>
        </is>
      </c>
    </row>
    <row r="6" ht="16.5" customHeight="1">
      <c r="A6" s="21" t="inlineStr">
        <is>
          <t>Ano 2008</t>
        </is>
      </c>
      <c r="J6" s="22" t="inlineStr">
        <is>
          <t>Indice</t>
        </is>
      </c>
    </row>
    <row r="7">
      <c r="A7" s="21" t="inlineStr">
        <is>
          <t>Base / fuente original</t>
        </is>
      </c>
    </row>
    <row r="8">
      <c r="A8" s="21" t="inlineStr">
        <is>
          <t>Unidades monetarias de la fuente</t>
        </is>
      </c>
    </row>
    <row r="9"/>
    <row r="10" ht="16" customHeight="1">
      <c r="A10" s="23" t="inlineStr">
        <is>
          <t>Codigo</t>
        </is>
      </c>
      <c r="B10" s="23" t="inlineStr">
        <is>
          <t>Actividad economica</t>
        </is>
      </c>
      <c r="C10" s="23" t="inlineStr">
        <is>
          <t>Consumo intermedio por actividades economicas</t>
        </is>
      </c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  <c r="Q10" s="24" t="n"/>
      <c r="R10" s="24" t="n"/>
      <c r="S10" s="24" t="n"/>
      <c r="T10" s="24" t="n"/>
      <c r="U10" s="24" t="n"/>
      <c r="V10" s="24" t="n"/>
      <c r="W10" s="24" t="n"/>
      <c r="X10" s="24" t="n"/>
      <c r="Y10" s="24" t="n"/>
      <c r="Z10" s="24" t="n"/>
      <c r="AA10" s="24" t="n"/>
      <c r="AB10" s="24" t="n"/>
      <c r="AC10" s="24" t="n"/>
      <c r="AD10" s="24" t="n"/>
      <c r="AE10" s="24" t="n"/>
      <c r="AF10" s="24" t="n"/>
      <c r="AG10" s="24" t="n"/>
      <c r="AH10" s="24" t="n"/>
      <c r="AI10" s="24" t="n"/>
      <c r="AJ10" s="24" t="n"/>
      <c r="AK10" s="24" t="n"/>
      <c r="AL10" s="24" t="n"/>
      <c r="AM10" s="24" t="n"/>
      <c r="AN10" s="24" t="n"/>
      <c r="AO10" s="24" t="n"/>
      <c r="AP10" s="24" t="n"/>
      <c r="AQ10" s="24" t="n"/>
      <c r="AR10" s="24" t="n"/>
      <c r="AS10" s="24" t="n"/>
      <c r="AT10" s="24" t="n"/>
      <c r="AU10" s="24" t="n"/>
      <c r="AV10" s="24" t="n"/>
      <c r="AW10" s="24" t="n"/>
      <c r="AX10" s="24" t="n"/>
      <c r="AY10" s="24" t="n"/>
      <c r="AZ10" s="24" t="n"/>
      <c r="BA10" s="24" t="n"/>
      <c r="BB10" s="23" t="inlineStr">
        <is>
          <t>Total consumo intermedio</t>
        </is>
      </c>
      <c r="BC10" s="23" t="inlineStr">
        <is>
          <t>Demanda final</t>
        </is>
      </c>
      <c r="BD10" s="24" t="n"/>
      <c r="BE10" s="24" t="n"/>
      <c r="BF10" s="24" t="n"/>
      <c r="BG10" s="23" t="inlineStr">
        <is>
          <t>Total demanda final</t>
        </is>
      </c>
      <c r="BH10" s="23" t="inlineStr">
        <is>
          <t>Total</t>
        </is>
      </c>
    </row>
    <row r="11" ht="15" customHeight="1">
      <c r="C11" s="25" t="n">
        <v>1</v>
      </c>
      <c r="D11" s="25" t="n">
        <v>2</v>
      </c>
      <c r="E11" s="25" t="n">
        <v>3</v>
      </c>
      <c r="F11" s="25" t="n">
        <v>4</v>
      </c>
      <c r="G11" s="25" t="n">
        <v>5</v>
      </c>
      <c r="H11" s="25" t="n">
        <v>6</v>
      </c>
      <c r="I11" s="25" t="n">
        <v>7</v>
      </c>
      <c r="J11" s="25" t="n">
        <v>8</v>
      </c>
      <c r="K11" s="25" t="n">
        <v>9</v>
      </c>
      <c r="L11" s="25" t="n">
        <v>10</v>
      </c>
      <c r="M11" s="25" t="inlineStr">
        <is>
          <t>Produtos de madeira</t>
        </is>
      </c>
      <c r="N11" s="25" t="n">
        <v>12</v>
      </c>
      <c r="O11" s="25" t="n">
        <v>13</v>
      </c>
      <c r="P11" s="25" t="n">
        <v>14</v>
      </c>
      <c r="Q11" s="25" t="n">
        <v>15</v>
      </c>
      <c r="R11" s="25" t="n">
        <v>16</v>
      </c>
      <c r="S11" s="25" t="n">
        <v>17</v>
      </c>
      <c r="T11" s="25" t="n">
        <v>18</v>
      </c>
      <c r="U11" s="25" t="n">
        <v>19</v>
      </c>
      <c r="V11" s="25" t="n">
        <v>20</v>
      </c>
      <c r="W11" s="25" t="n">
        <v>21</v>
      </c>
      <c r="X11" s="25" t="n">
        <v>22</v>
      </c>
      <c r="Y11" s="25" t="n">
        <v>23</v>
      </c>
      <c r="Z11" s="25" t="n">
        <v>24</v>
      </c>
      <c r="AA11" s="25" t="n">
        <v>25</v>
      </c>
      <c r="AB11" s="25" t="n">
        <v>26</v>
      </c>
      <c r="AC11" s="25" t="inlineStr">
        <is>
          <t>Produtos de metal</t>
        </is>
      </c>
      <c r="AD11" s="25" t="n">
        <v>28</v>
      </c>
      <c r="AE11" s="25" t="n">
        <v>29</v>
      </c>
      <c r="AF11" s="25" t="n">
        <v>30</v>
      </c>
      <c r="AG11" s="25" t="n">
        <v>31</v>
      </c>
      <c r="AH11" s="25" t="n">
        <v>32</v>
      </c>
      <c r="AI11" s="25" t="n">
        <v>33</v>
      </c>
      <c r="AJ11" s="25" t="n">
        <v>34</v>
      </c>
      <c r="AK11" s="25" t="n">
        <v>35</v>
      </c>
      <c r="AL11" s="25" t="n">
        <v>36</v>
      </c>
      <c r="AM11" s="25" t="n">
        <v>37</v>
      </c>
      <c r="AN11" s="25" t="n">
        <v>38</v>
      </c>
      <c r="AO11" s="25" t="n">
        <v>39</v>
      </c>
      <c r="AP11" s="25" t="n">
        <v>40</v>
      </c>
      <c r="AQ11" s="25" t="n">
        <v>41</v>
      </c>
      <c r="AR11" s="25" t="n">
        <v>42</v>
      </c>
      <c r="AS11" s="25" t="n">
        <v>43</v>
      </c>
      <c r="AT11" s="25" t="n">
        <v>44</v>
      </c>
      <c r="AU11" s="25" t="n">
        <v>45</v>
      </c>
      <c r="AV11" s="25" t="n">
        <v>46</v>
      </c>
      <c r="AW11" s="25" t="n">
        <v>47</v>
      </c>
      <c r="AX11" s="25" t="n">
        <v>48</v>
      </c>
      <c r="AY11" s="25" t="n">
        <v>49</v>
      </c>
      <c r="AZ11" s="25" t="n">
        <v>50</v>
      </c>
      <c r="BA11" s="25" t="n">
        <v>51</v>
      </c>
      <c r="BC11" s="25" t="inlineStr"/>
      <c r="BD11" s="25" t="inlineStr"/>
      <c r="BE11" s="25" t="inlineStr"/>
      <c r="BF11" s="25" t="inlineStr"/>
    </row>
    <row r="12" ht="90" customHeight="1">
      <c r="A12" s="26" t="n"/>
      <c r="B12" s="26" t="n"/>
      <c r="C12" s="27" t="inlineStr">
        <is>
          <t>Agricultura silvicultura exploração florestal</t>
        </is>
      </c>
      <c r="D12" s="27" t="inlineStr">
        <is>
          <t>Pecuária e pesca</t>
        </is>
      </c>
      <c r="E12" s="27" t="inlineStr">
        <is>
          <t>Petróleo e gás natural</t>
        </is>
      </c>
      <c r="F12" s="27" t="inlineStr">
        <is>
          <t>Minério de ferro</t>
        </is>
      </c>
      <c r="G12" s="27" t="inlineStr">
        <is>
          <t>Outros da indústria extrativa</t>
        </is>
      </c>
      <c r="H12" s="27" t="inlineStr">
        <is>
          <t>Alimentos e Bebidas</t>
        </is>
      </c>
      <c r="I12" s="27" t="inlineStr">
        <is>
          <t>Produtos do fumo</t>
        </is>
      </c>
      <c r="J12" s="27" t="inlineStr">
        <is>
          <t>Têxteis</t>
        </is>
      </c>
      <c r="K12" s="27" t="inlineStr">
        <is>
          <t>Artigos do vestuário e acessórios</t>
        </is>
      </c>
      <c r="L12" s="27" t="inlineStr">
        <is>
          <t>Artefatos de couro e calçados</t>
        </is>
      </c>
      <c r="M12" s="27" t="inlineStr">
        <is>
          <t>exclusive móveis</t>
        </is>
      </c>
      <c r="N12" s="27" t="inlineStr">
        <is>
          <t>Celulose e produtos de papel</t>
        </is>
      </c>
      <c r="O12" s="27" t="inlineStr">
        <is>
          <t>Jornais revistas discos</t>
        </is>
      </c>
      <c r="P12" s="27" t="inlineStr">
        <is>
          <t>Refino de petróleo e coque</t>
        </is>
      </c>
      <c r="Q12" s="27" t="inlineStr">
        <is>
          <t>Álcool</t>
        </is>
      </c>
      <c r="R12" s="27" t="inlineStr">
        <is>
          <t>Produtos  químicos</t>
        </is>
      </c>
      <c r="S12" s="27" t="inlineStr">
        <is>
          <t>Fabricação de resina e elastômeros</t>
        </is>
      </c>
      <c r="T12" s="27" t="inlineStr">
        <is>
          <t>Produtos farmacêuticos</t>
        </is>
      </c>
      <c r="U12" s="27" t="inlineStr">
        <is>
          <t>Defensivos agrícolas</t>
        </is>
      </c>
      <c r="V12" s="27" t="inlineStr">
        <is>
          <t>Perfumaria higiene e limpeza</t>
        </is>
      </c>
      <c r="W12" s="27" t="inlineStr">
        <is>
          <t>Tintas vernizes esmaltes e lacas</t>
        </is>
      </c>
      <c r="X12" s="27" t="inlineStr">
        <is>
          <t>Produtos e preparados químicos diversos</t>
        </is>
      </c>
      <c r="Y12" s="27" t="inlineStr">
        <is>
          <t>Artigos de borracha e plástico</t>
        </is>
      </c>
      <c r="Z12" s="27" t="inlineStr">
        <is>
          <t>Cimento e outros produtos de minerais não-metálicos</t>
        </is>
      </c>
      <c r="AA12" s="27" t="inlineStr">
        <is>
          <t>Fabricação de aço e derivados</t>
        </is>
      </c>
      <c r="AB12" s="27" t="inlineStr">
        <is>
          <t>Metalurgia de metais não-ferrosos</t>
        </is>
      </c>
      <c r="AC12" s="27" t="inlineStr">
        <is>
          <t>exclusive máquinas e equipamentos</t>
        </is>
      </c>
      <c r="AD12" s="27" t="inlineStr">
        <is>
          <t>Máquinas e equipamentos inclusive manutenção e reparos</t>
        </is>
      </c>
      <c r="AE12" s="27" t="inlineStr">
        <is>
          <t>Eletrodomésticos e material eletronico</t>
        </is>
      </c>
      <c r="AF12" s="27" t="inlineStr">
        <is>
          <t>Máquinas para escritório aparelhos e e material eletronico</t>
        </is>
      </c>
      <c r="AG12" s="27" t="inlineStr">
        <is>
          <t>Automóveis camionetas caminhões e ônibus</t>
        </is>
      </c>
      <c r="AH12" s="27" t="inlineStr">
        <is>
          <t>Peças e acessórios para veículos automotores</t>
        </is>
      </c>
      <c r="AI12" s="27" t="inlineStr">
        <is>
          <t>Outros equipamentos de transporte</t>
        </is>
      </c>
      <c r="AJ12" s="27" t="inlineStr">
        <is>
          <t>Móveis e produtos das indústrias diversas</t>
        </is>
      </c>
      <c r="AK12" s="27" t="inlineStr">
        <is>
          <t>Produção e distribuição de eletricidade gás água esgoto e limpeza urbana</t>
        </is>
      </c>
      <c r="AL12" s="27" t="inlineStr">
        <is>
          <t>Construção civil</t>
        </is>
      </c>
      <c r="AM12" s="27" t="inlineStr">
        <is>
          <t>Comércio</t>
        </is>
      </c>
      <c r="AN12" s="27" t="inlineStr">
        <is>
          <t>Transporte armazenagem e correio</t>
        </is>
      </c>
      <c r="AO12" s="27" t="inlineStr">
        <is>
          <t>Serviços de informação</t>
        </is>
      </c>
      <c r="AP12" s="27" t="inlineStr">
        <is>
          <t>Intermediação financeira seguros e previdência complementar e serviços relacionados</t>
        </is>
      </c>
      <c r="AQ12" s="27" t="inlineStr">
        <is>
          <t>Atividades imobiliárias e aluguéis</t>
        </is>
      </c>
      <c r="AR12" s="27" t="inlineStr">
        <is>
          <t>Serviços de manutenção e reparação</t>
        </is>
      </c>
      <c r="AS12" s="27" t="inlineStr">
        <is>
          <t>Serviços de alojamento e alimentação</t>
        </is>
      </c>
      <c r="AT12" s="27" t="inlineStr">
        <is>
          <t>Serviços prestados às empresas</t>
        </is>
      </c>
      <c r="AU12" s="27" t="inlineStr">
        <is>
          <t>Educação mercantil</t>
        </is>
      </c>
      <c r="AV12" s="27" t="inlineStr">
        <is>
          <t>Saúde mercantil</t>
        </is>
      </c>
      <c r="AW12" s="27" t="inlineStr">
        <is>
          <t>Serviços prestados às famílias e associativas</t>
        </is>
      </c>
      <c r="AX12" s="27" t="inlineStr">
        <is>
          <t>Serviços domésticos</t>
        </is>
      </c>
      <c r="AY12" s="27" t="inlineStr">
        <is>
          <t>Educação pública</t>
        </is>
      </c>
      <c r="AZ12" s="27" t="inlineStr">
        <is>
          <t>Saúde pública</t>
        </is>
      </c>
      <c r="BA12" s="27" t="inlineStr">
        <is>
          <t>Administração pública e seguridade social</t>
        </is>
      </c>
      <c r="BB12" s="26" t="n"/>
      <c r="BC12" s="27" t="inlineStr">
        <is>
          <t>Gasto de consumo final</t>
        </is>
      </c>
      <c r="BD12" s="27" t="inlineStr">
        <is>
          <t>Formacion bruta de capital</t>
        </is>
      </c>
      <c r="BE12" s="27" t="inlineStr">
        <is>
          <t>Exportaciones netas</t>
        </is>
      </c>
      <c r="BF12" s="27" t="inlineStr">
        <is>
          <t>Sin desglose fuente</t>
        </is>
      </c>
      <c r="BG12" s="26" t="n"/>
      <c r="BH12" s="26" t="n"/>
    </row>
    <row r="13"/>
    <row r="14">
      <c r="A14" s="28" t="n">
        <v>1</v>
      </c>
      <c r="B14" s="29" t="inlineStr">
        <is>
          <t>Agricultura silvicultura exploração florestal</t>
        </is>
      </c>
      <c r="C14" s="28" t="n">
        <v>1602.919594170353</v>
      </c>
      <c r="D14" s="28" t="n">
        <v>1051.164027288999</v>
      </c>
      <c r="E14" s="28" t="n">
        <v>18.41380000733018</v>
      </c>
      <c r="F14" s="28" t="n">
        <v>3.724221047589981</v>
      </c>
      <c r="G14" s="28" t="n">
        <v>2.418066253729012</v>
      </c>
      <c r="H14" s="28" t="n">
        <v>12384.89073294281</v>
      </c>
      <c r="I14" s="28" t="n">
        <v>177.7762046222115</v>
      </c>
      <c r="J14" s="28" t="n">
        <v>541.3108164913392</v>
      </c>
      <c r="K14" s="28" t="n">
        <v>65.97009937763831</v>
      </c>
      <c r="L14" s="28" t="n">
        <v>14.89682038682601</v>
      </c>
      <c r="M14" s="28" t="n">
        <v>702.0760461093108</v>
      </c>
      <c r="N14" s="28" t="n">
        <v>617.7574950381082</v>
      </c>
      <c r="O14" s="28" t="n">
        <v>0.2098306245196664</v>
      </c>
      <c r="P14" s="28" t="n">
        <v>0.8761207131881869</v>
      </c>
      <c r="Q14" s="28" t="n">
        <v>761.3979997694109</v>
      </c>
      <c r="R14" s="28" t="n">
        <v>107.9331453319727</v>
      </c>
      <c r="S14" s="28" t="n">
        <v>172.2932289670679</v>
      </c>
      <c r="T14" s="28" t="n">
        <v>22.6297588294697</v>
      </c>
      <c r="U14" s="28" t="n">
        <v>71.02010591414555</v>
      </c>
      <c r="V14" s="28" t="n">
        <v>44.64177318652293</v>
      </c>
      <c r="W14" s="28" t="n">
        <v>35.50432950982347</v>
      </c>
      <c r="X14" s="28" t="n">
        <v>44.48904545178851</v>
      </c>
      <c r="Y14" s="28" t="n">
        <v>315.1160638362205</v>
      </c>
      <c r="Z14" s="28" t="n">
        <v>21.98655028367835</v>
      </c>
      <c r="AA14" s="28" t="n">
        <v>149.9689832395727</v>
      </c>
      <c r="AB14" s="28" t="n">
        <v>4.331441231981667</v>
      </c>
      <c r="AC14" s="28" t="n">
        <v>7.106578373639199</v>
      </c>
      <c r="AD14" s="28" t="n">
        <v>0.1712232109716688</v>
      </c>
      <c r="AE14" s="28" t="n">
        <v>1.536786174755593</v>
      </c>
      <c r="AF14" s="28" t="n">
        <v>1.438909487570621</v>
      </c>
      <c r="AG14" s="28" t="n">
        <v>0.4901106330452692</v>
      </c>
      <c r="AH14" s="28" t="n">
        <v>0.08976101930293133</v>
      </c>
      <c r="AI14" s="28" t="n">
        <v>0.1379209692793844</v>
      </c>
      <c r="AJ14" s="28" t="n">
        <v>4.514989340442958</v>
      </c>
      <c r="AK14" s="28" t="n">
        <v>8.434371340293305</v>
      </c>
      <c r="AL14" s="28" t="n">
        <v>107.8314360076565</v>
      </c>
      <c r="AM14" s="28" t="n">
        <v>837.7565483720817</v>
      </c>
      <c r="AN14" s="28" t="n">
        <v>0.3505129161921627</v>
      </c>
      <c r="AO14" s="28" t="n">
        <v>1.352852912402332</v>
      </c>
      <c r="AP14" s="28" t="n">
        <v>0.8709896857326351</v>
      </c>
      <c r="AQ14" s="28" t="n">
        <v>0.7107058912065236</v>
      </c>
      <c r="AR14" s="28" t="n">
        <v>0.002543464536530002</v>
      </c>
      <c r="AS14" s="28" t="n">
        <v>624.8781124376922</v>
      </c>
      <c r="AT14" s="28" t="n">
        <v>5.474448821877856</v>
      </c>
      <c r="AU14" s="28" t="n">
        <v>10.15454459062378</v>
      </c>
      <c r="AV14" s="28" t="n">
        <v>39.05144760736979</v>
      </c>
      <c r="AW14" s="28" t="n">
        <v>52.2126032559572</v>
      </c>
      <c r="AX14" s="28" t="n">
        <v>0</v>
      </c>
      <c r="AY14" s="28" t="n">
        <v>110.8785678343064</v>
      </c>
      <c r="AZ14" s="28" t="n">
        <v>38.35754043137725</v>
      </c>
      <c r="BA14" s="28" t="n">
        <v>328.5985147588172</v>
      </c>
      <c r="BB14" s="28">
        <f>SUM(C14:BA14)</f>
        <v/>
      </c>
      <c r="BC14" s="28" t="n">
        <v>0</v>
      </c>
      <c r="BD14" s="28" t="n">
        <v>0</v>
      </c>
      <c r="BE14" s="28" t="n">
        <v>0</v>
      </c>
      <c r="BF14" s="28" t="n">
        <v>0</v>
      </c>
      <c r="BG14" s="28">
        <f>SUM(BC14:BF14)</f>
        <v/>
      </c>
      <c r="BH14" s="28">
        <f>BB14+BG14</f>
        <v/>
      </c>
    </row>
    <row r="15">
      <c r="A15" s="30" t="n">
        <v>2</v>
      </c>
      <c r="B15" s="31" t="inlineStr">
        <is>
          <t>Pecuária e pesca</t>
        </is>
      </c>
      <c r="C15" s="30" t="n">
        <v>114.2634517913539</v>
      </c>
      <c r="D15" s="30" t="n">
        <v>481.6017239549913</v>
      </c>
      <c r="E15" s="30" t="n">
        <v>3.350526079819351</v>
      </c>
      <c r="F15" s="30" t="n">
        <v>0.3662617060285451</v>
      </c>
      <c r="G15" s="30" t="n">
        <v>2.492110824851954</v>
      </c>
      <c r="H15" s="30" t="n">
        <v>5752.458989178972</v>
      </c>
      <c r="I15" s="30" t="n">
        <v>6.288925623867161</v>
      </c>
      <c r="J15" s="30" t="n">
        <v>34.71202680220413</v>
      </c>
      <c r="K15" s="30" t="n">
        <v>20.40536055362691</v>
      </c>
      <c r="L15" s="30" t="n">
        <v>2.43009792065138</v>
      </c>
      <c r="M15" s="30" t="n">
        <v>36.12034242914238</v>
      </c>
      <c r="N15" s="30" t="n">
        <v>31.36506743205713</v>
      </c>
      <c r="O15" s="30" t="n">
        <v>0.004361659323083197</v>
      </c>
      <c r="P15" s="30" t="n">
        <v>0.003401192506077871</v>
      </c>
      <c r="Q15" s="30" t="n">
        <v>8.623513621311002</v>
      </c>
      <c r="R15" s="30" t="n">
        <v>22.79229036506481</v>
      </c>
      <c r="S15" s="30" t="n">
        <v>4.444160979397228</v>
      </c>
      <c r="T15" s="30" t="n">
        <v>0.9746343634596711</v>
      </c>
      <c r="U15" s="30" t="n">
        <v>1.900428330162949</v>
      </c>
      <c r="V15" s="30" t="n">
        <v>1.743620046371724</v>
      </c>
      <c r="W15" s="30" t="n">
        <v>1.550379297025142</v>
      </c>
      <c r="X15" s="30" t="n">
        <v>1.139353783245562</v>
      </c>
      <c r="Y15" s="30" t="n">
        <v>15.70630395735808</v>
      </c>
      <c r="Z15" s="30" t="n">
        <v>31.76039275760754</v>
      </c>
      <c r="AA15" s="30" t="n">
        <v>10.9103782424978</v>
      </c>
      <c r="AB15" s="30" t="n">
        <v>2.094757761239922</v>
      </c>
      <c r="AC15" s="30" t="n">
        <v>0.3216055709857462</v>
      </c>
      <c r="AD15" s="30" t="n">
        <v>0.02214612334954859</v>
      </c>
      <c r="AE15" s="30" t="n">
        <v>0.3666855393030082</v>
      </c>
      <c r="AF15" s="30" t="n">
        <v>0.0531453667583816</v>
      </c>
      <c r="AG15" s="30" t="n">
        <v>0.07161131006772628</v>
      </c>
      <c r="AH15" s="30" t="n">
        <v>0.2149043198512486</v>
      </c>
      <c r="AI15" s="30" t="n">
        <v>0.07231240354211378</v>
      </c>
      <c r="AJ15" s="30" t="n">
        <v>0.5468843145586108</v>
      </c>
      <c r="AK15" s="30" t="n">
        <v>3.278786098516903</v>
      </c>
      <c r="AL15" s="30" t="n">
        <v>54.26435560229838</v>
      </c>
      <c r="AM15" s="30" t="n">
        <v>32.11523391208138</v>
      </c>
      <c r="AN15" s="30" t="n">
        <v>0.3642360319579627</v>
      </c>
      <c r="AO15" s="30" t="n">
        <v>1.180595838847378</v>
      </c>
      <c r="AP15" s="30" t="n">
        <v>0.4074709984274894</v>
      </c>
      <c r="AQ15" s="30" t="n">
        <v>1.578554522575585</v>
      </c>
      <c r="AR15" s="30" t="n">
        <v>5.844037444923537e-05</v>
      </c>
      <c r="AS15" s="30" t="n">
        <v>238.7216025389638</v>
      </c>
      <c r="AT15" s="30" t="n">
        <v>0.9129436573824606</v>
      </c>
      <c r="AU15" s="30" t="n">
        <v>2.762627550719024</v>
      </c>
      <c r="AV15" s="30" t="n">
        <v>13.79574707606371</v>
      </c>
      <c r="AW15" s="30" t="n">
        <v>4.170629625891663</v>
      </c>
      <c r="AX15" s="30" t="n">
        <v>0</v>
      </c>
      <c r="AY15" s="30" t="n">
        <v>22.75080460739211</v>
      </c>
      <c r="AZ15" s="30" t="n">
        <v>8.43465718979898</v>
      </c>
      <c r="BA15" s="30" t="n">
        <v>41.03071966878181</v>
      </c>
      <c r="BB15" s="30">
        <f>SUM(C15:BA15)</f>
        <v/>
      </c>
      <c r="BC15" s="30" t="n">
        <v>0</v>
      </c>
      <c r="BD15" s="30" t="n">
        <v>0</v>
      </c>
      <c r="BE15" s="30" t="n">
        <v>0</v>
      </c>
      <c r="BF15" s="30" t="n">
        <v>0</v>
      </c>
      <c r="BG15" s="30">
        <f>SUM(BC15:BF15)</f>
        <v/>
      </c>
      <c r="BH15" s="30">
        <f>BB15+BG15</f>
        <v/>
      </c>
    </row>
    <row r="16">
      <c r="A16" s="28" t="n">
        <v>3</v>
      </c>
      <c r="B16" s="29" t="inlineStr">
        <is>
          <t>Petróleo e gás natural</t>
        </is>
      </c>
      <c r="C16" s="28" t="n">
        <v>53.9506997501755</v>
      </c>
      <c r="D16" s="28" t="n">
        <v>65.79074901200912</v>
      </c>
      <c r="E16" s="28" t="n">
        <v>1811.005565569725</v>
      </c>
      <c r="F16" s="28" t="n">
        <v>49.96900382345979</v>
      </c>
      <c r="G16" s="28" t="n">
        <v>4.664259851327803</v>
      </c>
      <c r="H16" s="28" t="n">
        <v>190.3882393229762</v>
      </c>
      <c r="I16" s="28" t="n">
        <v>0.6855618010990603</v>
      </c>
      <c r="J16" s="28" t="n">
        <v>56.26509227085952</v>
      </c>
      <c r="K16" s="28" t="n">
        <v>0.1581634202450018</v>
      </c>
      <c r="L16" s="28" t="n">
        <v>0.06644769517530592</v>
      </c>
      <c r="M16" s="28" t="n">
        <v>8.441615773266378</v>
      </c>
      <c r="N16" s="28" t="n">
        <v>128.9666900369626</v>
      </c>
      <c r="O16" s="28" t="n">
        <v>0.3249140243684979</v>
      </c>
      <c r="P16" s="28" t="n">
        <v>24204.01986809471</v>
      </c>
      <c r="Q16" s="28" t="n">
        <v>0.1426145397846036</v>
      </c>
      <c r="R16" s="28" t="n">
        <v>201.3581777072166</v>
      </c>
      <c r="S16" s="28" t="n">
        <v>106.5028609768475</v>
      </c>
      <c r="T16" s="28" t="n">
        <v>7.889027949338906</v>
      </c>
      <c r="U16" s="28" t="n">
        <v>12.98864846318076</v>
      </c>
      <c r="V16" s="28" t="n">
        <v>5.629352000187361</v>
      </c>
      <c r="W16" s="28" t="n">
        <v>6.258770621045448</v>
      </c>
      <c r="X16" s="28" t="n">
        <v>8.860857909674657</v>
      </c>
      <c r="Y16" s="28" t="n">
        <v>22.75844842469857</v>
      </c>
      <c r="Z16" s="28" t="n">
        <v>78.48981381193427</v>
      </c>
      <c r="AA16" s="28" t="n">
        <v>110.2714074000584</v>
      </c>
      <c r="AB16" s="28" t="n">
        <v>66.06643965882012</v>
      </c>
      <c r="AC16" s="28" t="n">
        <v>66.33216610623094</v>
      </c>
      <c r="AD16" s="28" t="n">
        <v>16.32319365464378</v>
      </c>
      <c r="AE16" s="28" t="n">
        <v>8.035184533172346</v>
      </c>
      <c r="AF16" s="28" t="n">
        <v>1.068520986674604</v>
      </c>
      <c r="AG16" s="28" t="n">
        <v>24.31780537034932</v>
      </c>
      <c r="AH16" s="28" t="n">
        <v>51.99194992348573</v>
      </c>
      <c r="AI16" s="28" t="n">
        <v>2.015063567715152</v>
      </c>
      <c r="AJ16" s="28" t="n">
        <v>0.9592163998850468</v>
      </c>
      <c r="AK16" s="28" t="n">
        <v>2535.841561973811</v>
      </c>
      <c r="AL16" s="28" t="n">
        <v>29.51287292253697</v>
      </c>
      <c r="AM16" s="28" t="n">
        <v>46.7045644732595</v>
      </c>
      <c r="AN16" s="28" t="n">
        <v>2.974701236178119</v>
      </c>
      <c r="AO16" s="28" t="n">
        <v>5.202446970971972</v>
      </c>
      <c r="AP16" s="28" t="n">
        <v>1.585324263814327</v>
      </c>
      <c r="AQ16" s="28" t="n">
        <v>1.199622811689294</v>
      </c>
      <c r="AR16" s="28" t="n">
        <v>1.61075572247151</v>
      </c>
      <c r="AS16" s="28" t="n">
        <v>143.3432654845963</v>
      </c>
      <c r="AT16" s="28" t="n">
        <v>48.60403343455419</v>
      </c>
      <c r="AU16" s="28" t="n">
        <v>1.036215369655927</v>
      </c>
      <c r="AV16" s="28" t="n">
        <v>3.597928381650104</v>
      </c>
      <c r="AW16" s="28" t="n">
        <v>16.53631467574838</v>
      </c>
      <c r="AX16" s="28" t="n">
        <v>0</v>
      </c>
      <c r="AY16" s="28" t="n">
        <v>5.320722465845307</v>
      </c>
      <c r="AZ16" s="28" t="n">
        <v>2.604060042091632</v>
      </c>
      <c r="BA16" s="28" t="n">
        <v>15.52786578615935</v>
      </c>
      <c r="BB16" s="28">
        <f>SUM(C16:BA16)</f>
        <v/>
      </c>
      <c r="BC16" s="28" t="n">
        <v>0</v>
      </c>
      <c r="BD16" s="28" t="n">
        <v>0</v>
      </c>
      <c r="BE16" s="28" t="n">
        <v>0</v>
      </c>
      <c r="BF16" s="28" t="n">
        <v>0</v>
      </c>
      <c r="BG16" s="28">
        <f>SUM(BC16:BF16)</f>
        <v/>
      </c>
      <c r="BH16" s="28">
        <f>BB16+BG16</f>
        <v/>
      </c>
    </row>
    <row r="17">
      <c r="A17" s="30" t="n">
        <v>4</v>
      </c>
      <c r="B17" s="31" t="inlineStr">
        <is>
          <t>Minério de ferro</t>
        </is>
      </c>
      <c r="C17" s="30" t="n">
        <v>0.0936019556763666</v>
      </c>
      <c r="D17" s="30" t="n">
        <v>0.04616050146699065</v>
      </c>
      <c r="E17" s="30" t="n">
        <v>1.57526096164804</v>
      </c>
      <c r="F17" s="30" t="n">
        <v>67.38876354039964</v>
      </c>
      <c r="G17" s="30" t="n">
        <v>6.051101752802339</v>
      </c>
      <c r="H17" s="30" t="n">
        <v>2.296217606596512</v>
      </c>
      <c r="I17" s="30" t="n">
        <v>0.1594611300761653</v>
      </c>
      <c r="J17" s="30" t="n">
        <v>0.09440414367450667</v>
      </c>
      <c r="K17" s="30" t="n">
        <v>0.0953089856881776</v>
      </c>
      <c r="L17" s="30" t="n">
        <v>0.1265890361990542</v>
      </c>
      <c r="M17" s="30" t="n">
        <v>0.03605025637863664</v>
      </c>
      <c r="N17" s="30" t="n">
        <v>0.2946301559003048</v>
      </c>
      <c r="O17" s="30" t="n">
        <v>0.04106121079010102</v>
      </c>
      <c r="P17" s="30" t="n">
        <v>0.3913610009770004</v>
      </c>
      <c r="Q17" s="30" t="n">
        <v>0.07077175558546446</v>
      </c>
      <c r="R17" s="30" t="n">
        <v>0.3282089127265957</v>
      </c>
      <c r="S17" s="30" t="n">
        <v>0.07365807047556275</v>
      </c>
      <c r="T17" s="30" t="n">
        <v>0.5961555508499216</v>
      </c>
      <c r="U17" s="30" t="n">
        <v>0.2254512257422373</v>
      </c>
      <c r="V17" s="30" t="n">
        <v>0.2605303772536279</v>
      </c>
      <c r="W17" s="30" t="n">
        <v>0.1442538740072861</v>
      </c>
      <c r="X17" s="30" t="n">
        <v>0.1097180092429304</v>
      </c>
      <c r="Y17" s="30" t="n">
        <v>0.2952899569029876</v>
      </c>
      <c r="Z17" s="30" t="n">
        <v>9.656613014819884</v>
      </c>
      <c r="AA17" s="30" t="n">
        <v>1098.881111020413</v>
      </c>
      <c r="AB17" s="30" t="n">
        <v>35.33421135303363</v>
      </c>
      <c r="AC17" s="30" t="n">
        <v>0.2383826272931054</v>
      </c>
      <c r="AD17" s="30" t="n">
        <v>0.577767947222245</v>
      </c>
      <c r="AE17" s="30" t="n">
        <v>0.4394982862537917</v>
      </c>
      <c r="AF17" s="30" t="n">
        <v>0.6087427758676944</v>
      </c>
      <c r="AG17" s="30" t="n">
        <v>1.069381749139497</v>
      </c>
      <c r="AH17" s="30" t="n">
        <v>0.3482271064661464</v>
      </c>
      <c r="AI17" s="30" t="n">
        <v>0.1311968351838663</v>
      </c>
      <c r="AJ17" s="30" t="n">
        <v>0.1029864615692698</v>
      </c>
      <c r="AK17" s="30" t="n">
        <v>0.9542756766447372</v>
      </c>
      <c r="AL17" s="30" t="n">
        <v>1.445426245132072</v>
      </c>
      <c r="AM17" s="30" t="n">
        <v>4.794866584714586</v>
      </c>
      <c r="AN17" s="30" t="n">
        <v>2.094071056470852</v>
      </c>
      <c r="AO17" s="30" t="n">
        <v>3.353979585831038</v>
      </c>
      <c r="AP17" s="30" t="n">
        <v>3.435841666916274</v>
      </c>
      <c r="AQ17" s="30" t="n">
        <v>0.2300779978395609</v>
      </c>
      <c r="AR17" s="30" t="n">
        <v>0.01736938516822636</v>
      </c>
      <c r="AS17" s="30" t="n">
        <v>0.3020752674116569</v>
      </c>
      <c r="AT17" s="30" t="n">
        <v>4.313677881312401</v>
      </c>
      <c r="AU17" s="30" t="n">
        <v>0.6381101722730002</v>
      </c>
      <c r="AV17" s="30" t="n">
        <v>0.2245229112902302</v>
      </c>
      <c r="AW17" s="30" t="n">
        <v>1.120408968791578</v>
      </c>
      <c r="AX17" s="30" t="n">
        <v>0</v>
      </c>
      <c r="AY17" s="30" t="n">
        <v>0.6543426301421716</v>
      </c>
      <c r="AZ17" s="30" t="n">
        <v>0.6700983764403944</v>
      </c>
      <c r="BA17" s="30" t="n">
        <v>2.673927654245477</v>
      </c>
      <c r="BB17" s="30">
        <f>SUM(C17:BA17)</f>
        <v/>
      </c>
      <c r="BC17" s="30" t="n">
        <v>0</v>
      </c>
      <c r="BD17" s="30" t="n">
        <v>0</v>
      </c>
      <c r="BE17" s="30" t="n">
        <v>0</v>
      </c>
      <c r="BF17" s="30" t="n">
        <v>0</v>
      </c>
      <c r="BG17" s="30">
        <f>SUM(BC17:BF17)</f>
        <v/>
      </c>
      <c r="BH17" s="30">
        <f>BB17+BG17</f>
        <v/>
      </c>
    </row>
    <row r="18">
      <c r="A18" s="28" t="n">
        <v>5</v>
      </c>
      <c r="B18" s="29" t="inlineStr">
        <is>
          <t>Outros da indústria extrativa</t>
        </is>
      </c>
      <c r="C18" s="28" t="n">
        <v>276.6417794808215</v>
      </c>
      <c r="D18" s="28" t="n">
        <v>139.5990836986247</v>
      </c>
      <c r="E18" s="28" t="n">
        <v>161.3841741272394</v>
      </c>
      <c r="F18" s="28" t="n">
        <v>4.090199645111997</v>
      </c>
      <c r="G18" s="28" t="n">
        <v>506.6195055326465</v>
      </c>
      <c r="H18" s="28" t="n">
        <v>142.8978718147773</v>
      </c>
      <c r="I18" s="28" t="n">
        <v>0.01881337865464183</v>
      </c>
      <c r="J18" s="28" t="n">
        <v>4.012278005979604</v>
      </c>
      <c r="K18" s="28" t="n">
        <v>0.07889292457269628</v>
      </c>
      <c r="L18" s="28" t="n">
        <v>2.635407890421551</v>
      </c>
      <c r="M18" s="28" t="n">
        <v>0.2198244456586941</v>
      </c>
      <c r="N18" s="28" t="n">
        <v>24.60132444050024</v>
      </c>
      <c r="O18" s="28" t="n">
        <v>0.8645381345373599</v>
      </c>
      <c r="P18" s="28" t="n">
        <v>24.66663855864259</v>
      </c>
      <c r="Q18" s="28" t="n">
        <v>64.50974568661039</v>
      </c>
      <c r="R18" s="28" t="n">
        <v>1302.279481580078</v>
      </c>
      <c r="S18" s="28" t="n">
        <v>10.20993570823945</v>
      </c>
      <c r="T18" s="28" t="n">
        <v>1.902625653473776</v>
      </c>
      <c r="U18" s="28" t="n">
        <v>1.840653347103252</v>
      </c>
      <c r="V18" s="28" t="n">
        <v>10.94235005715207</v>
      </c>
      <c r="W18" s="28" t="n">
        <v>47.35861789273104</v>
      </c>
      <c r="X18" s="28" t="n">
        <v>12.05180638966477</v>
      </c>
      <c r="Y18" s="28" t="n">
        <v>10.50214699410185</v>
      </c>
      <c r="Z18" s="28" t="n">
        <v>1763.602703015038</v>
      </c>
      <c r="AA18" s="28" t="n">
        <v>6268.84357606094</v>
      </c>
      <c r="AB18" s="28" t="n">
        <v>3535.096134016434</v>
      </c>
      <c r="AC18" s="28" t="n">
        <v>7.71612151090422</v>
      </c>
      <c r="AD18" s="28" t="n">
        <v>11.21808603412535</v>
      </c>
      <c r="AE18" s="28" t="n">
        <v>34.11860122672516</v>
      </c>
      <c r="AF18" s="28" t="n">
        <v>0.9050628804522293</v>
      </c>
      <c r="AG18" s="28" t="n">
        <v>7.750287938508325</v>
      </c>
      <c r="AH18" s="28" t="n">
        <v>73.24521325703954</v>
      </c>
      <c r="AI18" s="28" t="n">
        <v>4.21816335669198</v>
      </c>
      <c r="AJ18" s="28" t="n">
        <v>16.55740376712392</v>
      </c>
      <c r="AK18" s="28" t="n">
        <v>747.2856589721616</v>
      </c>
      <c r="AL18" s="28" t="n">
        <v>2235.702760529274</v>
      </c>
      <c r="AM18" s="28" t="n">
        <v>22.56992245207758</v>
      </c>
      <c r="AN18" s="28" t="n">
        <v>3.109747726919851</v>
      </c>
      <c r="AO18" s="28" t="n">
        <v>0.5737764958844725</v>
      </c>
      <c r="AP18" s="28" t="n">
        <v>0.2687220867728651</v>
      </c>
      <c r="AQ18" s="28" t="n">
        <v>73.81136057951041</v>
      </c>
      <c r="AR18" s="28" t="n">
        <v>0.01058452063045177</v>
      </c>
      <c r="AS18" s="28" t="n">
        <v>9.875187476356363</v>
      </c>
      <c r="AT18" s="28" t="n">
        <v>27.90495324064183</v>
      </c>
      <c r="AU18" s="28" t="n">
        <v>0.3156745990337384</v>
      </c>
      <c r="AV18" s="28" t="n">
        <v>11.18085187937456</v>
      </c>
      <c r="AW18" s="28" t="n">
        <v>3.818618247233676</v>
      </c>
      <c r="AX18" s="28" t="n">
        <v>0</v>
      </c>
      <c r="AY18" s="28" t="n">
        <v>11.0642815262794</v>
      </c>
      <c r="AZ18" s="28" t="n">
        <v>4.984364013413605</v>
      </c>
      <c r="BA18" s="28" t="n">
        <v>22.54062321815041</v>
      </c>
      <c r="BB18" s="28">
        <f>SUM(C18:BA18)</f>
        <v/>
      </c>
      <c r="BC18" s="28" t="n">
        <v>0</v>
      </c>
      <c r="BD18" s="28" t="n">
        <v>0</v>
      </c>
      <c r="BE18" s="28" t="n">
        <v>0</v>
      </c>
      <c r="BF18" s="28" t="n">
        <v>0</v>
      </c>
      <c r="BG18" s="28">
        <f>SUM(BC18:BF18)</f>
        <v/>
      </c>
      <c r="BH18" s="28">
        <f>BB18+BG18</f>
        <v/>
      </c>
    </row>
    <row r="19">
      <c r="A19" s="30" t="n">
        <v>6</v>
      </c>
      <c r="B19" s="31" t="inlineStr">
        <is>
          <t>Alimentos e Bebidas</t>
        </is>
      </c>
      <c r="C19" s="30" t="n">
        <v>481.9895077579333</v>
      </c>
      <c r="D19" s="30" t="n">
        <v>2592.259976604991</v>
      </c>
      <c r="E19" s="30" t="n">
        <v>64.11846134163622</v>
      </c>
      <c r="F19" s="30" t="n">
        <v>-7.493944395937398</v>
      </c>
      <c r="G19" s="30" t="n">
        <v>43.77539697320017</v>
      </c>
      <c r="H19" s="30" t="n">
        <v>15645.71749199247</v>
      </c>
      <c r="I19" s="30" t="n">
        <v>-7.242073682479203</v>
      </c>
      <c r="J19" s="30" t="n">
        <v>-5.66504538716616</v>
      </c>
      <c r="K19" s="30" t="n">
        <v>-16.90114087273595</v>
      </c>
      <c r="L19" s="30" t="n">
        <v>499.4640258995738</v>
      </c>
      <c r="M19" s="30" t="n">
        <v>0.212632570178016</v>
      </c>
      <c r="N19" s="30" t="n">
        <v>139.170840708405</v>
      </c>
      <c r="O19" s="30" t="n">
        <v>4.612364712570898</v>
      </c>
      <c r="P19" s="30" t="n">
        <v>919.7335451783832</v>
      </c>
      <c r="Q19" s="30" t="n">
        <v>397.6248605410004</v>
      </c>
      <c r="R19" s="30" t="n">
        <v>223.9313447442884</v>
      </c>
      <c r="S19" s="30" t="n">
        <v>87.07173368239678</v>
      </c>
      <c r="T19" s="30" t="n">
        <v>51.96631307234654</v>
      </c>
      <c r="U19" s="30" t="n">
        <v>47.56699152933516</v>
      </c>
      <c r="V19" s="30" t="n">
        <v>496.6742234143144</v>
      </c>
      <c r="W19" s="30" t="n">
        <v>60.53115169194536</v>
      </c>
      <c r="X19" s="30" t="n">
        <v>211.7321089652227</v>
      </c>
      <c r="Y19" s="30" t="n">
        <v>-4.277331317915585</v>
      </c>
      <c r="Z19" s="30" t="n">
        <v>-10.1857525908403</v>
      </c>
      <c r="AA19" s="30" t="n">
        <v>-6.518811824411673</v>
      </c>
      <c r="AB19" s="30" t="n">
        <v>0.5645232862034997</v>
      </c>
      <c r="AC19" s="30" t="n">
        <v>-3.884340711358615</v>
      </c>
      <c r="AD19" s="30" t="n">
        <v>-63.25998966507313</v>
      </c>
      <c r="AE19" s="30" t="n">
        <v>-19.95892339621169</v>
      </c>
      <c r="AF19" s="30" t="n">
        <v>-33.31187855087195</v>
      </c>
      <c r="AG19" s="30" t="n">
        <v>0.2466954801134427</v>
      </c>
      <c r="AH19" s="30" t="n">
        <v>7.64619341567139</v>
      </c>
      <c r="AI19" s="30" t="n">
        <v>2.563828563418894</v>
      </c>
      <c r="AJ19" s="30" t="n">
        <v>1.925856143114234</v>
      </c>
      <c r="AK19" s="30" t="n">
        <v>29.73573059979978</v>
      </c>
      <c r="AL19" s="30" t="n">
        <v>70.11009888502819</v>
      </c>
      <c r="AM19" s="30" t="n">
        <v>500.3113627051919</v>
      </c>
      <c r="AN19" s="30" t="n">
        <v>-85.79725915853469</v>
      </c>
      <c r="AO19" s="30" t="n">
        <v>-138.4696494120255</v>
      </c>
      <c r="AP19" s="30" t="n">
        <v>96.14148071862509</v>
      </c>
      <c r="AQ19" s="30" t="n">
        <v>4.321364065712068</v>
      </c>
      <c r="AR19" s="30" t="n">
        <v>2.470667271854801</v>
      </c>
      <c r="AS19" s="30" t="n">
        <v>14129.88088976117</v>
      </c>
      <c r="AT19" s="30" t="n">
        <v>-1.658706741505264</v>
      </c>
      <c r="AU19" s="30" t="n">
        <v>78.79868558893384</v>
      </c>
      <c r="AV19" s="30" t="n">
        <v>336.2807094499044</v>
      </c>
      <c r="AW19" s="30" t="n">
        <v>260.3690087772919</v>
      </c>
      <c r="AX19" s="30" t="n">
        <v>0</v>
      </c>
      <c r="AY19" s="30" t="n">
        <v>693.1241414508934</v>
      </c>
      <c r="AZ19" s="30" t="n">
        <v>413.6832024853838</v>
      </c>
      <c r="BA19" s="30" t="n">
        <v>818.7491306853773</v>
      </c>
      <c r="BB19" s="30">
        <f>SUM(C19:BA19)</f>
        <v/>
      </c>
      <c r="BC19" s="30" t="n">
        <v>0</v>
      </c>
      <c r="BD19" s="30" t="n">
        <v>0</v>
      </c>
      <c r="BE19" s="30" t="n">
        <v>0</v>
      </c>
      <c r="BF19" s="30" t="n">
        <v>0</v>
      </c>
      <c r="BG19" s="30">
        <f>SUM(BC19:BF19)</f>
        <v/>
      </c>
      <c r="BH19" s="30">
        <f>BB19+BG19</f>
        <v/>
      </c>
    </row>
    <row r="20">
      <c r="A20" s="28" t="n">
        <v>7</v>
      </c>
      <c r="B20" s="29" t="inlineStr">
        <is>
          <t>Produtos do fumo</t>
        </is>
      </c>
      <c r="C20" s="28" t="n">
        <v>0.01193242842780944</v>
      </c>
      <c r="D20" s="28" t="n">
        <v>0.005883987673590649</v>
      </c>
      <c r="E20" s="28" t="n">
        <v>0.1743367583835512</v>
      </c>
      <c r="F20" s="28" t="n">
        <v>0.02967567806138924</v>
      </c>
      <c r="G20" s="28" t="n">
        <v>0.0226536137319818</v>
      </c>
      <c r="H20" s="28" t="n">
        <v>0.2928593349948787</v>
      </c>
      <c r="I20" s="28" t="n">
        <v>287.2307174587001</v>
      </c>
      <c r="J20" s="28" t="n">
        <v>0.01210492596019144</v>
      </c>
      <c r="K20" s="28" t="n">
        <v>0.01222661547519131</v>
      </c>
      <c r="L20" s="28" t="n">
        <v>0.01615433024000709</v>
      </c>
      <c r="M20" s="28" t="n">
        <v>0.004600547085545855</v>
      </c>
      <c r="N20" s="28" t="n">
        <v>0.03757788195321837</v>
      </c>
      <c r="O20" s="28" t="n">
        <v>0.005245013668441408</v>
      </c>
      <c r="P20" s="28" t="n">
        <v>0.04990533523583411</v>
      </c>
      <c r="Q20" s="28" t="n">
        <v>0.00904632007920066</v>
      </c>
      <c r="R20" s="28" t="n">
        <v>0.04185227335977496</v>
      </c>
      <c r="S20" s="28" t="n">
        <v>0.009394005409443974</v>
      </c>
      <c r="T20" s="28" t="n">
        <v>0.07601980669412695</v>
      </c>
      <c r="U20" s="28" t="n">
        <v>0.02874153238838056</v>
      </c>
      <c r="V20" s="28" t="n">
        <v>0.03323210398096919</v>
      </c>
      <c r="W20" s="28" t="n">
        <v>0.01838989640388722</v>
      </c>
      <c r="X20" s="28" t="n">
        <v>0.01399130964658401</v>
      </c>
      <c r="Y20" s="28" t="n">
        <v>0.03770300450679694</v>
      </c>
      <c r="Z20" s="28" t="n">
        <v>0.04177920957438343</v>
      </c>
      <c r="AA20" s="28" t="n">
        <v>0.03884765803050487</v>
      </c>
      <c r="AB20" s="28" t="n">
        <v>0.01627728950237334</v>
      </c>
      <c r="AC20" s="28" t="n">
        <v>0.03042052045953207</v>
      </c>
      <c r="AD20" s="28" t="n">
        <v>0.073689224737469</v>
      </c>
      <c r="AE20" s="28" t="n">
        <v>0.05603917394801664</v>
      </c>
      <c r="AF20" s="28" t="n">
        <v>0.07763175893923747</v>
      </c>
      <c r="AG20" s="28" t="n">
        <v>0.1363213235013954</v>
      </c>
      <c r="AH20" s="28" t="n">
        <v>0.03740705394800472</v>
      </c>
      <c r="AI20" s="28" t="n">
        <v>0.01673390809891104</v>
      </c>
      <c r="AJ20" s="28" t="n">
        <v>0.01316202423459376</v>
      </c>
      <c r="AK20" s="28" t="n">
        <v>0.1218206316480415</v>
      </c>
      <c r="AL20" s="28" t="n">
        <v>0.1844748327412042</v>
      </c>
      <c r="AM20" s="28" t="n">
        <v>0.6164641513101532</v>
      </c>
      <c r="AN20" s="28" t="n">
        <v>0.2674978978127496</v>
      </c>
      <c r="AO20" s="28" t="n">
        <v>0.4283474552230786</v>
      </c>
      <c r="AP20" s="28" t="n">
        <v>0.4389052947570902</v>
      </c>
      <c r="AQ20" s="28" t="n">
        <v>0.02964644841625129</v>
      </c>
      <c r="AR20" s="28" t="n">
        <v>0.002272340130659151</v>
      </c>
      <c r="AS20" s="28" t="n">
        <v>0.0393343974884637</v>
      </c>
      <c r="AT20" s="28" t="n">
        <v>0.4364243440281642</v>
      </c>
      <c r="AU20" s="28" t="n">
        <v>0.0819708230195168</v>
      </c>
      <c r="AV20" s="28" t="n">
        <v>0.02889635255915449</v>
      </c>
      <c r="AW20" s="28" t="n">
        <v>0.1439715949037094</v>
      </c>
      <c r="AX20" s="28" t="n">
        <v>0</v>
      </c>
      <c r="AY20" s="28" t="n">
        <v>0.08345201630841259</v>
      </c>
      <c r="AZ20" s="28" t="n">
        <v>0.08545531453775804</v>
      </c>
      <c r="BA20" s="28" t="n">
        <v>0.3412359336824748</v>
      </c>
      <c r="BB20" s="28">
        <f>SUM(C20:BA20)</f>
        <v/>
      </c>
      <c r="BC20" s="28" t="n">
        <v>0</v>
      </c>
      <c r="BD20" s="28" t="n">
        <v>0</v>
      </c>
      <c r="BE20" s="28" t="n">
        <v>0</v>
      </c>
      <c r="BF20" s="28" t="n">
        <v>0</v>
      </c>
      <c r="BG20" s="28">
        <f>SUM(BC20:BF20)</f>
        <v/>
      </c>
      <c r="BH20" s="28">
        <f>BB20+BG20</f>
        <v/>
      </c>
    </row>
    <row r="21">
      <c r="A21" s="30" t="n">
        <v>8</v>
      </c>
      <c r="B21" s="31" t="inlineStr">
        <is>
          <t>Têxteis</t>
        </is>
      </c>
      <c r="C21" s="30" t="n">
        <v>157.0558381163274</v>
      </c>
      <c r="D21" s="30" t="n">
        <v>3.029263876171721</v>
      </c>
      <c r="E21" s="30" t="n">
        <v>25.60926108765301</v>
      </c>
      <c r="F21" s="30" t="n">
        <v>-0.5982923964569354</v>
      </c>
      <c r="G21" s="30" t="n">
        <v>56.46062295701715</v>
      </c>
      <c r="H21" s="30" t="n">
        <v>74.5767456407854</v>
      </c>
      <c r="I21" s="30" t="n">
        <v>-0.1069553374744663</v>
      </c>
      <c r="J21" s="30" t="n">
        <v>3114.963968435065</v>
      </c>
      <c r="K21" s="30" t="n">
        <v>4352.969811015361</v>
      </c>
      <c r="L21" s="30" t="n">
        <v>812.8479287597631</v>
      </c>
      <c r="M21" s="30" t="n">
        <v>2.639038775225526</v>
      </c>
      <c r="N21" s="30" t="n">
        <v>33.55701818037495</v>
      </c>
      <c r="O21" s="30" t="n">
        <v>1.016768516782946</v>
      </c>
      <c r="P21" s="30" t="n">
        <v>-0.2014460147768436</v>
      </c>
      <c r="Q21" s="30" t="n">
        <v>-0.2544008461106554</v>
      </c>
      <c r="R21" s="30" t="n">
        <v>2.0506505162877</v>
      </c>
      <c r="S21" s="30" t="n">
        <v>8.500335896782326</v>
      </c>
      <c r="T21" s="30" t="n">
        <v>22.50754394893807</v>
      </c>
      <c r="U21" s="30" t="n">
        <v>1.117417880393728</v>
      </c>
      <c r="V21" s="30" t="n">
        <v>5.569171529794982</v>
      </c>
      <c r="W21" s="30" t="n">
        <v>4.365082156099268</v>
      </c>
      <c r="X21" s="30" t="n">
        <v>10.795282324492</v>
      </c>
      <c r="Y21" s="30" t="n">
        <v>201.2825016551125</v>
      </c>
      <c r="Z21" s="30" t="n">
        <v>11.39713485822304</v>
      </c>
      <c r="AA21" s="30" t="n">
        <v>-1.242080008217218</v>
      </c>
      <c r="AB21" s="30" t="n">
        <v>0.4717249235877672</v>
      </c>
      <c r="AC21" s="30" t="n">
        <v>13.27956360447281</v>
      </c>
      <c r="AD21" s="30" t="n">
        <v>1.134272832278765</v>
      </c>
      <c r="AE21" s="30" t="n">
        <v>18.14982234903009</v>
      </c>
      <c r="AF21" s="30" t="n">
        <v>6.14114615404817</v>
      </c>
      <c r="AG21" s="30" t="n">
        <v>43.94747558147859</v>
      </c>
      <c r="AH21" s="30" t="n">
        <v>483.2058135831312</v>
      </c>
      <c r="AI21" s="30" t="n">
        <v>27.69267423638356</v>
      </c>
      <c r="AJ21" s="30" t="n">
        <v>363.9770333775309</v>
      </c>
      <c r="AK21" s="30" t="n">
        <v>7.021376409409402</v>
      </c>
      <c r="AL21" s="30" t="n">
        <v>165.7362278694465</v>
      </c>
      <c r="AM21" s="30" t="n">
        <v>32.24004058793608</v>
      </c>
      <c r="AN21" s="30" t="n">
        <v>17.0055298165488</v>
      </c>
      <c r="AO21" s="30" t="n">
        <v>-3.103645395316009</v>
      </c>
      <c r="AP21" s="30" t="n">
        <v>3.215218771819429</v>
      </c>
      <c r="AQ21" s="30" t="n">
        <v>0.6252563329719251</v>
      </c>
      <c r="AR21" s="30" t="n">
        <v>6.55792154775895</v>
      </c>
      <c r="AS21" s="30" t="n">
        <v>107.9731999466251</v>
      </c>
      <c r="AT21" s="30" t="n">
        <v>7.392961238851907</v>
      </c>
      <c r="AU21" s="30" t="n">
        <v>0.4237542113185433</v>
      </c>
      <c r="AV21" s="30" t="n">
        <v>3.717493941756684</v>
      </c>
      <c r="AW21" s="30" t="n">
        <v>150.9837524162942</v>
      </c>
      <c r="AX21" s="30" t="n">
        <v>0</v>
      </c>
      <c r="AY21" s="30" t="n">
        <v>12.41105121469475</v>
      </c>
      <c r="AZ21" s="30" t="n">
        <v>6.311563374462331</v>
      </c>
      <c r="BA21" s="30" t="n">
        <v>13.79651366148642</v>
      </c>
      <c r="BB21" s="30">
        <f>SUM(C21:BA21)</f>
        <v/>
      </c>
      <c r="BC21" s="30" t="n">
        <v>0</v>
      </c>
      <c r="BD21" s="30" t="n">
        <v>0</v>
      </c>
      <c r="BE21" s="30" t="n">
        <v>0</v>
      </c>
      <c r="BF21" s="30" t="n">
        <v>0</v>
      </c>
      <c r="BG21" s="30">
        <f>SUM(BC21:BF21)</f>
        <v/>
      </c>
      <c r="BH21" s="30">
        <f>BB21+BG21</f>
        <v/>
      </c>
    </row>
    <row r="22">
      <c r="A22" s="28" t="n">
        <v>9</v>
      </c>
      <c r="B22" s="29" t="inlineStr">
        <is>
          <t>Artigos do vestuário e acessórios</t>
        </is>
      </c>
      <c r="C22" s="28" t="n">
        <v>8.766491265407607</v>
      </c>
      <c r="D22" s="28" t="n">
        <v>0.4458791623181733</v>
      </c>
      <c r="E22" s="28" t="n">
        <v>36.45617732713026</v>
      </c>
      <c r="F22" s="28" t="n">
        <v>0.2236544472247339</v>
      </c>
      <c r="G22" s="28" t="n">
        <v>3.047830659166038</v>
      </c>
      <c r="H22" s="28" t="n">
        <v>-1.184767130539509</v>
      </c>
      <c r="I22" s="28" t="n">
        <v>-0.2369071959865468</v>
      </c>
      <c r="J22" s="28" t="n">
        <v>40.6198673813595</v>
      </c>
      <c r="K22" s="28" t="n">
        <v>1166.410834699253</v>
      </c>
      <c r="L22" s="28" t="n">
        <v>26.33666556779614</v>
      </c>
      <c r="M22" s="28" t="n">
        <v>-0.1094453916910787</v>
      </c>
      <c r="N22" s="28" t="n">
        <v>-0.453279825404635</v>
      </c>
      <c r="O22" s="28" t="n">
        <v>0.2855659342110138</v>
      </c>
      <c r="P22" s="28" t="n">
        <v>-0.1938375401121668</v>
      </c>
      <c r="Q22" s="28" t="n">
        <v>-0.2451155652063972</v>
      </c>
      <c r="R22" s="28" t="n">
        <v>-0.129265779091793</v>
      </c>
      <c r="S22" s="28" t="n">
        <v>-0.3778899311538249</v>
      </c>
      <c r="T22" s="28" t="n">
        <v>-0.7381929824136889</v>
      </c>
      <c r="U22" s="28" t="n">
        <v>1.88688318979633</v>
      </c>
      <c r="V22" s="28" t="n">
        <v>0.06193189414076947</v>
      </c>
      <c r="W22" s="28" t="n">
        <v>0.2514473860392208</v>
      </c>
      <c r="X22" s="28" t="n">
        <v>-0.4006064190253125</v>
      </c>
      <c r="Y22" s="28" t="n">
        <v>0.7115102252353813</v>
      </c>
      <c r="Z22" s="28" t="n">
        <v>6.524996277500422</v>
      </c>
      <c r="AA22" s="28" t="n">
        <v>2.893194291248294</v>
      </c>
      <c r="AB22" s="28" t="n">
        <v>-0.156204440896792</v>
      </c>
      <c r="AC22" s="28" t="n">
        <v>24.2603553241232</v>
      </c>
      <c r="AD22" s="28" t="n">
        <v>4.220936042084049</v>
      </c>
      <c r="AE22" s="28" t="n">
        <v>-0.03192793711883876</v>
      </c>
      <c r="AF22" s="28" t="n">
        <v>-0.4933021492675297</v>
      </c>
      <c r="AG22" s="28" t="n">
        <v>0.3724851778942094</v>
      </c>
      <c r="AH22" s="28" t="n">
        <v>8.51942241994152</v>
      </c>
      <c r="AI22" s="28" t="n">
        <v>0.8642773336652526</v>
      </c>
      <c r="AJ22" s="28" t="n">
        <v>5.872957722452115</v>
      </c>
      <c r="AK22" s="28" t="n">
        <v>94.16151452759189</v>
      </c>
      <c r="AL22" s="28" t="n">
        <v>23.81734720132306</v>
      </c>
      <c r="AM22" s="28" t="n">
        <v>123.1203669140868</v>
      </c>
      <c r="AN22" s="28" t="n">
        <v>228.701547107201</v>
      </c>
      <c r="AO22" s="28" t="n">
        <v>76.33613717835436</v>
      </c>
      <c r="AP22" s="28" t="n">
        <v>316.5953796576248</v>
      </c>
      <c r="AQ22" s="28" t="n">
        <v>14.96655100964028</v>
      </c>
      <c r="AR22" s="28" t="n">
        <v>0.1334128114010482</v>
      </c>
      <c r="AS22" s="28" t="n">
        <v>111.0928795901592</v>
      </c>
      <c r="AT22" s="28" t="n">
        <v>183.153765922762</v>
      </c>
      <c r="AU22" s="28" t="n">
        <v>0.1904396755642496</v>
      </c>
      <c r="AV22" s="28" t="n">
        <v>15.95293689795851</v>
      </c>
      <c r="AW22" s="28" t="n">
        <v>591.9105692146096</v>
      </c>
      <c r="AX22" s="28" t="n">
        <v>0</v>
      </c>
      <c r="AY22" s="28" t="n">
        <v>163.9804855579097</v>
      </c>
      <c r="AZ22" s="28" t="n">
        <v>12.9956594579058</v>
      </c>
      <c r="BA22" s="28" t="n">
        <v>246.5201605159156</v>
      </c>
      <c r="BB22" s="28">
        <f>SUM(C22:BA22)</f>
        <v/>
      </c>
      <c r="BC22" s="28" t="n">
        <v>0</v>
      </c>
      <c r="BD22" s="28" t="n">
        <v>0</v>
      </c>
      <c r="BE22" s="28" t="n">
        <v>0</v>
      </c>
      <c r="BF22" s="28" t="n">
        <v>0</v>
      </c>
      <c r="BG22" s="28">
        <f>SUM(BC22:BF22)</f>
        <v/>
      </c>
      <c r="BH22" s="28">
        <f>BB22+BG22</f>
        <v/>
      </c>
    </row>
    <row r="23">
      <c r="A23" s="30" t="n">
        <v>10</v>
      </c>
      <c r="B23" s="31" t="inlineStr">
        <is>
          <t>Artefatos de couro e calçados</t>
        </is>
      </c>
      <c r="C23" s="30" t="n">
        <v>1.339209672733792</v>
      </c>
      <c r="D23" s="30" t="n">
        <v>0.832175957292136</v>
      </c>
      <c r="E23" s="30" t="n">
        <v>2.166520409520926</v>
      </c>
      <c r="F23" s="30" t="n">
        <v>-0.2865525131717484</v>
      </c>
      <c r="G23" s="30" t="n">
        <v>2.976417050256789</v>
      </c>
      <c r="H23" s="30" t="n">
        <v>0.7611626588951859</v>
      </c>
      <c r="I23" s="30" t="n">
        <v>-0.2597750251728803</v>
      </c>
      <c r="J23" s="30" t="n">
        <v>-0.6461810440477486</v>
      </c>
      <c r="K23" s="30" t="n">
        <v>5.036023444022813</v>
      </c>
      <c r="L23" s="30" t="n">
        <v>1930.033705371437</v>
      </c>
      <c r="M23" s="30" t="n">
        <v>0.2656768300474669</v>
      </c>
      <c r="N23" s="30" t="n">
        <v>23.63037991377181</v>
      </c>
      <c r="O23" s="30" t="n">
        <v>0.6540480884882843</v>
      </c>
      <c r="P23" s="30" t="n">
        <v>0.06740033297914846</v>
      </c>
      <c r="Q23" s="30" t="n">
        <v>-0.1049069965692434</v>
      </c>
      <c r="R23" s="30" t="n">
        <v>0.808177689671617</v>
      </c>
      <c r="S23" s="30" t="n">
        <v>0.07955053129554449</v>
      </c>
      <c r="T23" s="30" t="n">
        <v>-0.06045157588721384</v>
      </c>
      <c r="U23" s="30" t="n">
        <v>0.652144832556583</v>
      </c>
      <c r="V23" s="30" t="n">
        <v>1.605258939221393</v>
      </c>
      <c r="W23" s="30" t="n">
        <v>1.066083266567566</v>
      </c>
      <c r="X23" s="30" t="n">
        <v>1.955765626284444</v>
      </c>
      <c r="Y23" s="30" t="n">
        <v>0.8397998404977999</v>
      </c>
      <c r="Z23" s="30" t="n">
        <v>-0.4065475544828406</v>
      </c>
      <c r="AA23" s="30" t="n">
        <v>-0.6708816316551341</v>
      </c>
      <c r="AB23" s="30" t="n">
        <v>-0.4274163566785013</v>
      </c>
      <c r="AC23" s="30" t="n">
        <v>9.884586805110434</v>
      </c>
      <c r="AD23" s="30" t="n">
        <v>-1.826978324840492</v>
      </c>
      <c r="AE23" s="30" t="n">
        <v>-0.4981569331374696</v>
      </c>
      <c r="AF23" s="30" t="n">
        <v>7.638035505829611</v>
      </c>
      <c r="AG23" s="30" t="n">
        <v>1.774453075954332</v>
      </c>
      <c r="AH23" s="30" t="n">
        <v>2.818217895562751</v>
      </c>
      <c r="AI23" s="30" t="n">
        <v>0.2685219039670039</v>
      </c>
      <c r="AJ23" s="30" t="n">
        <v>2.563499216802744</v>
      </c>
      <c r="AK23" s="30" t="n">
        <v>31.78413730875309</v>
      </c>
      <c r="AL23" s="30" t="n">
        <v>16.52616591353017</v>
      </c>
      <c r="AM23" s="30" t="n">
        <v>-3.705299008824911</v>
      </c>
      <c r="AN23" s="30" t="n">
        <v>-5.045165405791665</v>
      </c>
      <c r="AO23" s="30" t="n">
        <v>5.805300485783727</v>
      </c>
      <c r="AP23" s="30" t="n">
        <v>2.626169290425775</v>
      </c>
      <c r="AQ23" s="30" t="n">
        <v>0.4575373263816369</v>
      </c>
      <c r="AR23" s="30" t="n">
        <v>0.01143872367417362</v>
      </c>
      <c r="AS23" s="30" t="n">
        <v>2.457020425629518</v>
      </c>
      <c r="AT23" s="30" t="n">
        <v>17.41602902334624</v>
      </c>
      <c r="AU23" s="30" t="n">
        <v>0.2857048243292458</v>
      </c>
      <c r="AV23" s="30" t="n">
        <v>-0.3608206174032251</v>
      </c>
      <c r="AW23" s="30" t="n">
        <v>4.438532034155132</v>
      </c>
      <c r="AX23" s="30" t="n">
        <v>0</v>
      </c>
      <c r="AY23" s="30" t="n">
        <v>1.69871382411747</v>
      </c>
      <c r="AZ23" s="30" t="n">
        <v>0.6870609544902329</v>
      </c>
      <c r="BA23" s="30" t="n">
        <v>6.789468028747332</v>
      </c>
      <c r="BB23" s="30">
        <f>SUM(C23:BA23)</f>
        <v/>
      </c>
      <c r="BC23" s="30" t="n">
        <v>0</v>
      </c>
      <c r="BD23" s="30" t="n">
        <v>0</v>
      </c>
      <c r="BE23" s="30" t="n">
        <v>0</v>
      </c>
      <c r="BF23" s="30" t="n">
        <v>0</v>
      </c>
      <c r="BG23" s="30">
        <f>SUM(BC23:BF23)</f>
        <v/>
      </c>
      <c r="BH23" s="30">
        <f>BB23+BG23</f>
        <v/>
      </c>
    </row>
    <row r="24">
      <c r="A24" s="29" t="inlineStr">
        <is>
          <t>Produtos de madeira</t>
        </is>
      </c>
      <c r="B24" s="29" t="inlineStr">
        <is>
          <t>exclusive móveis</t>
        </is>
      </c>
      <c r="C24" s="28" t="n">
        <v>97.14437569061519</v>
      </c>
      <c r="D24" s="28" t="n">
        <v>61.80623641476843</v>
      </c>
      <c r="E24" s="28" t="n">
        <v>0.9132118160362085</v>
      </c>
      <c r="F24" s="28" t="n">
        <v>0.5682016905800079</v>
      </c>
      <c r="G24" s="28" t="n">
        <v>1.75656643240093</v>
      </c>
      <c r="H24" s="28" t="n">
        <v>97.1850992352168</v>
      </c>
      <c r="I24" s="28" t="n">
        <v>0.02703116246870618</v>
      </c>
      <c r="J24" s="28" t="n">
        <v>8.347104258599765</v>
      </c>
      <c r="K24" s="28" t="n">
        <v>1.722940551820067</v>
      </c>
      <c r="L24" s="28" t="n">
        <v>0.4486696075232242</v>
      </c>
      <c r="M24" s="28" t="n">
        <v>875.9921774555191</v>
      </c>
      <c r="N24" s="28" t="n">
        <v>105.8982765788074</v>
      </c>
      <c r="O24" s="28" t="n">
        <v>0.5198033216438001</v>
      </c>
      <c r="P24" s="28" t="n">
        <v>0.143658072344875</v>
      </c>
      <c r="Q24" s="28" t="n">
        <v>0.08476566232424872</v>
      </c>
      <c r="R24" s="28" t="n">
        <v>4.357824601401149</v>
      </c>
      <c r="S24" s="28" t="n">
        <v>0.3056631451751212</v>
      </c>
      <c r="T24" s="28" t="n">
        <v>0.2824405774201525</v>
      </c>
      <c r="U24" s="28" t="n">
        <v>2.895781585416271</v>
      </c>
      <c r="V24" s="28" t="n">
        <v>0.4945963316619574</v>
      </c>
      <c r="W24" s="28" t="n">
        <v>0.7561601825247447</v>
      </c>
      <c r="X24" s="28" t="n">
        <v>7.081668552491001</v>
      </c>
      <c r="Y24" s="28" t="n">
        <v>3.326126604164781</v>
      </c>
      <c r="Z24" s="28" t="n">
        <v>9.393285975136131</v>
      </c>
      <c r="AA24" s="28" t="n">
        <v>6.074759390681868</v>
      </c>
      <c r="AB24" s="28" t="n">
        <v>1.833303444976621</v>
      </c>
      <c r="AC24" s="28" t="n">
        <v>52.78143553204828</v>
      </c>
      <c r="AD24" s="28" t="n">
        <v>98.59003333639619</v>
      </c>
      <c r="AE24" s="28" t="n">
        <v>3.204074859307994</v>
      </c>
      <c r="AF24" s="28" t="n">
        <v>0.709782376196064</v>
      </c>
      <c r="AG24" s="28" t="n">
        <v>63.86546876961263</v>
      </c>
      <c r="AH24" s="28" t="n">
        <v>22.36618811873291</v>
      </c>
      <c r="AI24" s="28" t="n">
        <v>49.24054733139259</v>
      </c>
      <c r="AJ24" s="28" t="n">
        <v>1466.563014802205</v>
      </c>
      <c r="AK24" s="28" t="n">
        <v>85.44454281146162</v>
      </c>
      <c r="AL24" s="28" t="n">
        <v>1273.193782315913</v>
      </c>
      <c r="AM24" s="28" t="n">
        <v>379.1500413525691</v>
      </c>
      <c r="AN24" s="28" t="n">
        <v>16.6488272969462</v>
      </c>
      <c r="AO24" s="28" t="n">
        <v>45.91232400341207</v>
      </c>
      <c r="AP24" s="28" t="n">
        <v>1.049131855179706</v>
      </c>
      <c r="AQ24" s="28" t="n">
        <v>82.47283876708369</v>
      </c>
      <c r="AR24" s="28" t="n">
        <v>0.271523743775916</v>
      </c>
      <c r="AS24" s="28" t="n">
        <v>0.4427894620934718</v>
      </c>
      <c r="AT24" s="28" t="n">
        <v>2.643532385229793</v>
      </c>
      <c r="AU24" s="28" t="n">
        <v>0.3195302656855682</v>
      </c>
      <c r="AV24" s="28" t="n">
        <v>0.3170659065369478</v>
      </c>
      <c r="AW24" s="28" t="n">
        <v>68.95602370033781</v>
      </c>
      <c r="AX24" s="28" t="n">
        <v>0</v>
      </c>
      <c r="AY24" s="28" t="n">
        <v>6.765617378280143</v>
      </c>
      <c r="AZ24" s="28" t="n">
        <v>0.9995530202132725</v>
      </c>
      <c r="BA24" s="28" t="n">
        <v>16.80014692282264</v>
      </c>
      <c r="BB24" s="28">
        <f>SUM(C24:BA24)</f>
        <v/>
      </c>
      <c r="BC24" s="28" t="n">
        <v>0</v>
      </c>
      <c r="BD24" s="28" t="n">
        <v>0</v>
      </c>
      <c r="BE24" s="28" t="n">
        <v>0</v>
      </c>
      <c r="BF24" s="28" t="n">
        <v>0</v>
      </c>
      <c r="BG24" s="28">
        <f>SUM(BC24:BF24)</f>
        <v/>
      </c>
      <c r="BH24" s="28">
        <f>BB24+BG24</f>
        <v/>
      </c>
    </row>
    <row r="25">
      <c r="A25" s="30" t="n">
        <v>12</v>
      </c>
      <c r="B25" s="31" t="inlineStr">
        <is>
          <t>Celulose e produtos de papel</t>
        </is>
      </c>
      <c r="C25" s="30" t="n">
        <v>97.28693238723834</v>
      </c>
      <c r="D25" s="30" t="n">
        <v>34.08035996406231</v>
      </c>
      <c r="E25" s="30" t="n">
        <v>14.94250791405398</v>
      </c>
      <c r="F25" s="30" t="n">
        <v>25.26305223543816</v>
      </c>
      <c r="G25" s="30" t="n">
        <v>8.341067715633356</v>
      </c>
      <c r="H25" s="30" t="n">
        <v>1358.032245817961</v>
      </c>
      <c r="I25" s="30" t="n">
        <v>268.0620501953228</v>
      </c>
      <c r="J25" s="30" t="n">
        <v>218.4362485603451</v>
      </c>
      <c r="K25" s="30" t="n">
        <v>166.1849587248537</v>
      </c>
      <c r="L25" s="30" t="n">
        <v>175.8830836086256</v>
      </c>
      <c r="M25" s="30" t="n">
        <v>149.6347384634515</v>
      </c>
      <c r="N25" s="30" t="n">
        <v>2547.491321213431</v>
      </c>
      <c r="O25" s="30" t="n">
        <v>406.4903273051291</v>
      </c>
      <c r="P25" s="30" t="n">
        <v>31.88768514364926</v>
      </c>
      <c r="Q25" s="30" t="n">
        <v>10.29229268375841</v>
      </c>
      <c r="R25" s="30" t="n">
        <v>19.25825218572118</v>
      </c>
      <c r="S25" s="30" t="n">
        <v>3.426906639032918</v>
      </c>
      <c r="T25" s="30" t="n">
        <v>192.4542623059059</v>
      </c>
      <c r="U25" s="30" t="n">
        <v>32.15107436982623</v>
      </c>
      <c r="V25" s="30" t="n">
        <v>374.8353743495766</v>
      </c>
      <c r="W25" s="30" t="n">
        <v>4.470722442189712</v>
      </c>
      <c r="X25" s="30" t="n">
        <v>15.42258077060656</v>
      </c>
      <c r="Y25" s="30" t="n">
        <v>457.9452909173572</v>
      </c>
      <c r="Z25" s="30" t="n">
        <v>419.2047871400001</v>
      </c>
      <c r="AA25" s="30" t="n">
        <v>18.76474637143477</v>
      </c>
      <c r="AB25" s="30" t="n">
        <v>5.799385935928218</v>
      </c>
      <c r="AC25" s="30" t="n">
        <v>275.6294128735369</v>
      </c>
      <c r="AD25" s="30" t="n">
        <v>81.19658764967127</v>
      </c>
      <c r="AE25" s="30" t="n">
        <v>122.5758382060206</v>
      </c>
      <c r="AF25" s="30" t="n">
        <v>473.7501744172585</v>
      </c>
      <c r="AG25" s="30" t="n">
        <v>101.4297859297317</v>
      </c>
      <c r="AH25" s="30" t="n">
        <v>218.5188745185428</v>
      </c>
      <c r="AI25" s="30" t="n">
        <v>19.94443855788056</v>
      </c>
      <c r="AJ25" s="30" t="n">
        <v>163.9606325520864</v>
      </c>
      <c r="AK25" s="30" t="n">
        <v>37.76023686707978</v>
      </c>
      <c r="AL25" s="30" t="n">
        <v>129.8099189731607</v>
      </c>
      <c r="AM25" s="30" t="n">
        <v>1170.104093065534</v>
      </c>
      <c r="AN25" s="30" t="n">
        <v>132.8671344346195</v>
      </c>
      <c r="AO25" s="30" t="n">
        <v>648.7494611067627</v>
      </c>
      <c r="AP25" s="30" t="n">
        <v>371.6979791754084</v>
      </c>
      <c r="AQ25" s="30" t="n">
        <v>55.46743079742983</v>
      </c>
      <c r="AR25" s="30" t="n">
        <v>8.663759679598282</v>
      </c>
      <c r="AS25" s="30" t="n">
        <v>262.7764313710346</v>
      </c>
      <c r="AT25" s="30" t="n">
        <v>1028.990333487861</v>
      </c>
      <c r="AU25" s="30" t="n">
        <v>92.25391750578964</v>
      </c>
      <c r="AV25" s="30" t="n">
        <v>193.9575562396535</v>
      </c>
      <c r="AW25" s="30" t="n">
        <v>211.7269237185674</v>
      </c>
      <c r="AX25" s="30" t="n">
        <v>0</v>
      </c>
      <c r="AY25" s="30" t="n">
        <v>167.6278028367187</v>
      </c>
      <c r="AZ25" s="30" t="n">
        <v>30.25313187727581</v>
      </c>
      <c r="BA25" s="30" t="n">
        <v>239.2612666262777</v>
      </c>
      <c r="BB25" s="30">
        <f>SUM(C25:BA25)</f>
        <v/>
      </c>
      <c r="BC25" s="30" t="n">
        <v>0</v>
      </c>
      <c r="BD25" s="30" t="n">
        <v>0</v>
      </c>
      <c r="BE25" s="30" t="n">
        <v>0</v>
      </c>
      <c r="BF25" s="30" t="n">
        <v>0</v>
      </c>
      <c r="BG25" s="30">
        <f>SUM(BC25:BF25)</f>
        <v/>
      </c>
      <c r="BH25" s="30">
        <f>BB25+BG25</f>
        <v/>
      </c>
    </row>
    <row r="26">
      <c r="A26" s="28" t="n">
        <v>13</v>
      </c>
      <c r="B26" s="29" t="inlineStr">
        <is>
          <t>Jornais revistas discos</t>
        </is>
      </c>
      <c r="C26" s="28" t="n">
        <v>2.382151701885566</v>
      </c>
      <c r="D26" s="28" t="n">
        <v>0.6712959758228702</v>
      </c>
      <c r="E26" s="28" t="n">
        <v>1.920068544101993</v>
      </c>
      <c r="F26" s="28" t="n">
        <v>3.118216200236678</v>
      </c>
      <c r="G26" s="28" t="n">
        <v>2.022282648154139</v>
      </c>
      <c r="H26" s="28" t="n">
        <v>109.1575454790145</v>
      </c>
      <c r="I26" s="28" t="n">
        <v>2.557172142630025</v>
      </c>
      <c r="J26" s="28" t="n">
        <v>7.565257672212595</v>
      </c>
      <c r="K26" s="28" t="n">
        <v>12.29852285799546</v>
      </c>
      <c r="L26" s="28" t="n">
        <v>5.070884931825521</v>
      </c>
      <c r="M26" s="28" t="n">
        <v>5.10416838507044</v>
      </c>
      <c r="N26" s="28" t="n">
        <v>55.41619140796639</v>
      </c>
      <c r="O26" s="28" t="n">
        <v>463.6235108559596</v>
      </c>
      <c r="P26" s="28" t="n">
        <v>1.284924122958851</v>
      </c>
      <c r="Q26" s="28" t="n">
        <v>1.488420065773717</v>
      </c>
      <c r="R26" s="28" t="n">
        <v>1.020771053367532</v>
      </c>
      <c r="S26" s="28" t="n">
        <v>0.734068370907362</v>
      </c>
      <c r="T26" s="28" t="n">
        <v>3.763656267494626</v>
      </c>
      <c r="U26" s="28" t="n">
        <v>4.174941990075985</v>
      </c>
      <c r="V26" s="28" t="n">
        <v>4.605154349311244</v>
      </c>
      <c r="W26" s="28" t="n">
        <v>1.211236526721271</v>
      </c>
      <c r="X26" s="28" t="n">
        <v>1.192511507895742</v>
      </c>
      <c r="Y26" s="28" t="n">
        <v>18.24072730680853</v>
      </c>
      <c r="Z26" s="28" t="n">
        <v>8.028459302148304</v>
      </c>
      <c r="AA26" s="28" t="n">
        <v>4.923201538996613</v>
      </c>
      <c r="AB26" s="28" t="n">
        <v>0.3694407897018755</v>
      </c>
      <c r="AC26" s="28" t="n">
        <v>7.703321020324526</v>
      </c>
      <c r="AD26" s="28" t="n">
        <v>8.595238546413391</v>
      </c>
      <c r="AE26" s="28" t="n">
        <v>6.034747225983565</v>
      </c>
      <c r="AF26" s="28" t="n">
        <v>52.68296950945001</v>
      </c>
      <c r="AG26" s="28" t="n">
        <v>10.76650297950594</v>
      </c>
      <c r="AH26" s="28" t="n">
        <v>11.57601404271978</v>
      </c>
      <c r="AI26" s="28" t="n">
        <v>1.932650013056751</v>
      </c>
      <c r="AJ26" s="28" t="n">
        <v>18.65360104756814</v>
      </c>
      <c r="AK26" s="28" t="n">
        <v>7.617666041660844</v>
      </c>
      <c r="AL26" s="28" t="n">
        <v>17.67511121309682</v>
      </c>
      <c r="AM26" s="28" t="n">
        <v>1365.72169633336</v>
      </c>
      <c r="AN26" s="28" t="n">
        <v>38.09102347858534</v>
      </c>
      <c r="AO26" s="28" t="n">
        <v>1375.203171303543</v>
      </c>
      <c r="AP26" s="28" t="n">
        <v>481.3992159993991</v>
      </c>
      <c r="AQ26" s="28" t="n">
        <v>69.06680002991399</v>
      </c>
      <c r="AR26" s="28" t="n">
        <v>0.1682962058419325</v>
      </c>
      <c r="AS26" s="28" t="n">
        <v>15.05599518586317</v>
      </c>
      <c r="AT26" s="28" t="n">
        <v>1395.883533137393</v>
      </c>
      <c r="AU26" s="28" t="n">
        <v>5.013043454135151</v>
      </c>
      <c r="AV26" s="28" t="n">
        <v>6.801889552206538</v>
      </c>
      <c r="AW26" s="28" t="n">
        <v>256.3760526365665</v>
      </c>
      <c r="AX26" s="28" t="n">
        <v>0</v>
      </c>
      <c r="AY26" s="28" t="n">
        <v>59.83776989883498</v>
      </c>
      <c r="AZ26" s="28" t="n">
        <v>16.58842209412519</v>
      </c>
      <c r="BA26" s="28" t="n">
        <v>257.6082030287746</v>
      </c>
      <c r="BB26" s="28">
        <f>SUM(C26:BA26)</f>
        <v/>
      </c>
      <c r="BC26" s="28" t="n">
        <v>0</v>
      </c>
      <c r="BD26" s="28" t="n">
        <v>0</v>
      </c>
      <c r="BE26" s="28" t="n">
        <v>0</v>
      </c>
      <c r="BF26" s="28" t="n">
        <v>0</v>
      </c>
      <c r="BG26" s="28">
        <f>SUM(BC26:BF26)</f>
        <v/>
      </c>
      <c r="BH26" s="28">
        <f>BB26+BG26</f>
        <v/>
      </c>
    </row>
    <row r="27">
      <c r="A27" s="30" t="n">
        <v>14</v>
      </c>
      <c r="B27" s="31" t="inlineStr">
        <is>
          <t>Refino de petróleo e coque</t>
        </is>
      </c>
      <c r="C27" s="30" t="n">
        <v>2245.205700547513</v>
      </c>
      <c r="D27" s="30" t="n">
        <v>1149.36644978661</v>
      </c>
      <c r="E27" s="30" t="n">
        <v>600.4953015707604</v>
      </c>
      <c r="F27" s="30" t="n">
        <v>533.9448165587787</v>
      </c>
      <c r="G27" s="30" t="n">
        <v>447.834492584747</v>
      </c>
      <c r="H27" s="30" t="n">
        <v>1634.941453644066</v>
      </c>
      <c r="I27" s="30" t="n">
        <v>8.79525122064577</v>
      </c>
      <c r="J27" s="30" t="n">
        <v>106.2237831671399</v>
      </c>
      <c r="K27" s="30" t="n">
        <v>23.9296098667171</v>
      </c>
      <c r="L27" s="30" t="n">
        <v>67.36992653295599</v>
      </c>
      <c r="M27" s="30" t="n">
        <v>62.41218295531372</v>
      </c>
      <c r="N27" s="30" t="n">
        <v>331.2514359579996</v>
      </c>
      <c r="O27" s="30" t="n">
        <v>7.866145556408798</v>
      </c>
      <c r="P27" s="30" t="n">
        <v>23896.9925990035</v>
      </c>
      <c r="Q27" s="30" t="n">
        <v>135.2312615395443</v>
      </c>
      <c r="R27" s="30" t="n">
        <v>4297.030971000756</v>
      </c>
      <c r="S27" s="30" t="n">
        <v>101.3819766743185</v>
      </c>
      <c r="T27" s="30" t="n">
        <v>39.25341084342548</v>
      </c>
      <c r="U27" s="30" t="n">
        <v>94.19667500098001</v>
      </c>
      <c r="V27" s="30" t="n">
        <v>151.5578520740242</v>
      </c>
      <c r="W27" s="30" t="n">
        <v>173.3991153646291</v>
      </c>
      <c r="X27" s="30" t="n">
        <v>150.8524916681907</v>
      </c>
      <c r="Y27" s="30" t="n">
        <v>593.6229541068525</v>
      </c>
      <c r="Z27" s="30" t="n">
        <v>1132.031054478396</v>
      </c>
      <c r="AA27" s="30" t="n">
        <v>1120.43203209645</v>
      </c>
      <c r="AB27" s="30" t="n">
        <v>328.1205140131329</v>
      </c>
      <c r="AC27" s="30" t="n">
        <v>100.9274657074972</v>
      </c>
      <c r="AD27" s="30" t="n">
        <v>237.5964831839838</v>
      </c>
      <c r="AE27" s="30" t="n">
        <v>296.7225814717725</v>
      </c>
      <c r="AF27" s="30" t="n">
        <v>46.57401464497441</v>
      </c>
      <c r="AG27" s="30" t="n">
        <v>261.0688166304075</v>
      </c>
      <c r="AH27" s="30" t="n">
        <v>164.6231978288052</v>
      </c>
      <c r="AI27" s="30" t="n">
        <v>34.16112935825836</v>
      </c>
      <c r="AJ27" s="30" t="n">
        <v>64.68116433897148</v>
      </c>
      <c r="AK27" s="30" t="n">
        <v>1226.529497203153</v>
      </c>
      <c r="AL27" s="30" t="n">
        <v>2308.421077996985</v>
      </c>
      <c r="AM27" s="30" t="n">
        <v>3228.321792885166</v>
      </c>
      <c r="AN27" s="30" t="n">
        <v>15833.39751499626</v>
      </c>
      <c r="AO27" s="30" t="n">
        <v>146.2176495373747</v>
      </c>
      <c r="AP27" s="30" t="n">
        <v>254.4272897080962</v>
      </c>
      <c r="AQ27" s="30" t="n">
        <v>32.04914039812222</v>
      </c>
      <c r="AR27" s="30" t="n">
        <v>37.46418366427557</v>
      </c>
      <c r="AS27" s="30" t="n">
        <v>705.9852371630799</v>
      </c>
      <c r="AT27" s="30" t="n">
        <v>816.267242562272</v>
      </c>
      <c r="AU27" s="30" t="n">
        <v>25.43829348344861</v>
      </c>
      <c r="AV27" s="30" t="n">
        <v>113.9487067303836</v>
      </c>
      <c r="AW27" s="30" t="n">
        <v>332.122010088415</v>
      </c>
      <c r="AX27" s="30" t="n">
        <v>0</v>
      </c>
      <c r="AY27" s="30" t="n">
        <v>110.5702413258917</v>
      </c>
      <c r="AZ27" s="30" t="n">
        <v>33.36755251154604</v>
      </c>
      <c r="BA27" s="30" t="n">
        <v>915.3756180436108</v>
      </c>
      <c r="BB27" s="30">
        <f>SUM(C27:BA27)</f>
        <v/>
      </c>
      <c r="BC27" s="30" t="n">
        <v>0</v>
      </c>
      <c r="BD27" s="30" t="n">
        <v>0</v>
      </c>
      <c r="BE27" s="30" t="n">
        <v>0</v>
      </c>
      <c r="BF27" s="30" t="n">
        <v>0</v>
      </c>
      <c r="BG27" s="30">
        <f>SUM(BC27:BF27)</f>
        <v/>
      </c>
      <c r="BH27" s="30">
        <f>BB27+BG27</f>
        <v/>
      </c>
    </row>
    <row r="28">
      <c r="A28" s="28" t="n">
        <v>15</v>
      </c>
      <c r="B28" s="29" t="inlineStr">
        <is>
          <t>Álcool</t>
        </is>
      </c>
      <c r="C28" s="28" t="n">
        <v>14.16284063388184</v>
      </c>
      <c r="D28" s="28" t="n">
        <v>14.52200069749034</v>
      </c>
      <c r="E28" s="28" t="n">
        <v>42.01587391343841</v>
      </c>
      <c r="F28" s="28" t="n">
        <v>0.7515586819517635</v>
      </c>
      <c r="G28" s="28" t="n">
        <v>0.8769303808461225</v>
      </c>
      <c r="H28" s="28" t="n">
        <v>200.1302174746669</v>
      </c>
      <c r="I28" s="28" t="n">
        <v>0.0198501850327047</v>
      </c>
      <c r="J28" s="28" t="n">
        <v>0.3323111620540088</v>
      </c>
      <c r="K28" s="28" t="n">
        <v>0.1025541148847998</v>
      </c>
      <c r="L28" s="28" t="n">
        <v>0.07059929415588953</v>
      </c>
      <c r="M28" s="28" t="n">
        <v>0.1924174467227602</v>
      </c>
      <c r="N28" s="28" t="n">
        <v>0.757461455082564</v>
      </c>
      <c r="O28" s="28" t="n">
        <v>0.1844476819746216</v>
      </c>
      <c r="P28" s="28" t="n">
        <v>1149.417324639289</v>
      </c>
      <c r="Q28" s="28" t="n">
        <v>44.27049673058522</v>
      </c>
      <c r="R28" s="28" t="n">
        <v>29.20130815906708</v>
      </c>
      <c r="S28" s="28" t="n">
        <v>0.27143916730985</v>
      </c>
      <c r="T28" s="28" t="n">
        <v>65.59416655292763</v>
      </c>
      <c r="U28" s="28" t="n">
        <v>16.36265524767575</v>
      </c>
      <c r="V28" s="28" t="n">
        <v>113.1185691485922</v>
      </c>
      <c r="W28" s="28" t="n">
        <v>19.3360699638409</v>
      </c>
      <c r="X28" s="28" t="n">
        <v>10.96736428139514</v>
      </c>
      <c r="Y28" s="28" t="n">
        <v>0.4347559447469038</v>
      </c>
      <c r="Z28" s="28" t="n">
        <v>0.9197352874724748</v>
      </c>
      <c r="AA28" s="28" t="n">
        <v>2.503426597470491</v>
      </c>
      <c r="AB28" s="28" t="n">
        <v>0.8309564735805801</v>
      </c>
      <c r="AC28" s="28" t="n">
        <v>3.465576257176491</v>
      </c>
      <c r="AD28" s="28" t="n">
        <v>4.701409629726933</v>
      </c>
      <c r="AE28" s="28" t="n">
        <v>0.5849407651679311</v>
      </c>
      <c r="AF28" s="28" t="n">
        <v>0.1011275194101851</v>
      </c>
      <c r="AG28" s="28" t="n">
        <v>1.716729242879936</v>
      </c>
      <c r="AH28" s="28" t="n">
        <v>0.5278372527274475</v>
      </c>
      <c r="AI28" s="28" t="n">
        <v>0.1909531408839862</v>
      </c>
      <c r="AJ28" s="28" t="n">
        <v>0.3894886742339668</v>
      </c>
      <c r="AK28" s="28" t="n">
        <v>9.350844291187014</v>
      </c>
      <c r="AL28" s="28" t="n">
        <v>37.0431025506992</v>
      </c>
      <c r="AM28" s="28" t="n">
        <v>26.42523453515508</v>
      </c>
      <c r="AN28" s="28" t="n">
        <v>61.26468393788324</v>
      </c>
      <c r="AO28" s="28" t="n">
        <v>1.050788535846911</v>
      </c>
      <c r="AP28" s="28" t="n">
        <v>0.5739270612973014</v>
      </c>
      <c r="AQ28" s="28" t="n">
        <v>0.1137116509437565</v>
      </c>
      <c r="AR28" s="28" t="n">
        <v>2.993431366172371</v>
      </c>
      <c r="AS28" s="28" t="n">
        <v>19.75142882686499</v>
      </c>
      <c r="AT28" s="28" t="n">
        <v>14.92159579736159</v>
      </c>
      <c r="AU28" s="28" t="n">
        <v>0.4471584767915714</v>
      </c>
      <c r="AV28" s="28" t="n">
        <v>5.069086144549355</v>
      </c>
      <c r="AW28" s="28" t="n">
        <v>7.878905783637062</v>
      </c>
      <c r="AX28" s="28" t="n">
        <v>0</v>
      </c>
      <c r="AY28" s="28" t="n">
        <v>12.55497862308492</v>
      </c>
      <c r="AZ28" s="28" t="n">
        <v>4.599272359840314</v>
      </c>
      <c r="BA28" s="28" t="n">
        <v>93.78744592005776</v>
      </c>
      <c r="BB28" s="28">
        <f>SUM(C28:BA28)</f>
        <v/>
      </c>
      <c r="BC28" s="28" t="n">
        <v>0</v>
      </c>
      <c r="BD28" s="28" t="n">
        <v>0</v>
      </c>
      <c r="BE28" s="28" t="n">
        <v>0</v>
      </c>
      <c r="BF28" s="28" t="n">
        <v>0</v>
      </c>
      <c r="BG28" s="28">
        <f>SUM(BC28:BF28)</f>
        <v/>
      </c>
      <c r="BH28" s="28">
        <f>BB28+BG28</f>
        <v/>
      </c>
    </row>
    <row r="29">
      <c r="A29" s="30" t="n">
        <v>16</v>
      </c>
      <c r="B29" s="31" t="inlineStr">
        <is>
          <t>Produtos  químicos</t>
        </is>
      </c>
      <c r="C29" s="30" t="n">
        <v>12285.74516348906</v>
      </c>
      <c r="D29" s="30" t="n">
        <v>1543.947680165807</v>
      </c>
      <c r="E29" s="30" t="n">
        <v>969.7617675751145</v>
      </c>
      <c r="F29" s="30" t="n">
        <v>96.70148860436937</v>
      </c>
      <c r="G29" s="30" t="n">
        <v>155.0858457293252</v>
      </c>
      <c r="H29" s="30" t="n">
        <v>727.334205448758</v>
      </c>
      <c r="I29" s="30" t="n">
        <v>-0.08624747801369141</v>
      </c>
      <c r="J29" s="30" t="n">
        <v>728.7409503735637</v>
      </c>
      <c r="K29" s="30" t="n">
        <v>60.98451582354941</v>
      </c>
      <c r="L29" s="30" t="n">
        <v>353.7691798704523</v>
      </c>
      <c r="M29" s="30" t="n">
        <v>11.71828664237211</v>
      </c>
      <c r="N29" s="30" t="n">
        <v>1516.80599043646</v>
      </c>
      <c r="O29" s="30" t="n">
        <v>12.96472522266685</v>
      </c>
      <c r="P29" s="30" t="n">
        <v>304.8007664506831</v>
      </c>
      <c r="Q29" s="30" t="n">
        <v>186.554770976107</v>
      </c>
      <c r="R29" s="30" t="n">
        <v>10881.66353204917</v>
      </c>
      <c r="S29" s="30" t="n">
        <v>4837.653723296413</v>
      </c>
      <c r="T29" s="30" t="n">
        <v>634.9565775214214</v>
      </c>
      <c r="U29" s="30" t="n">
        <v>1889.373667883793</v>
      </c>
      <c r="V29" s="30" t="n">
        <v>1635.679379119842</v>
      </c>
      <c r="W29" s="30" t="n">
        <v>1469.548026077304</v>
      </c>
      <c r="X29" s="30" t="n">
        <v>1666.841961268557</v>
      </c>
      <c r="Y29" s="30" t="n">
        <v>1131.973283725157</v>
      </c>
      <c r="Z29" s="30" t="n">
        <v>837.9636699288792</v>
      </c>
      <c r="AA29" s="30" t="n">
        <v>753.4635564568013</v>
      </c>
      <c r="AB29" s="30" t="n">
        <v>520.9709402755441</v>
      </c>
      <c r="AC29" s="30" t="n">
        <v>317.6200624663824</v>
      </c>
      <c r="AD29" s="30" t="n">
        <v>120.1412412201523</v>
      </c>
      <c r="AE29" s="30" t="n">
        <v>180.0415206453218</v>
      </c>
      <c r="AF29" s="30" t="n">
        <v>47.33327228329828</v>
      </c>
      <c r="AG29" s="30" t="n">
        <v>19.41337870709105</v>
      </c>
      <c r="AH29" s="30" t="n">
        <v>29.11097405133732</v>
      </c>
      <c r="AI29" s="30" t="n">
        <v>100.4929943882488</v>
      </c>
      <c r="AJ29" s="30" t="n">
        <v>150.2092722328373</v>
      </c>
      <c r="AK29" s="30" t="n">
        <v>619.9921130059195</v>
      </c>
      <c r="AL29" s="30" t="n">
        <v>44.31019587526341</v>
      </c>
      <c r="AM29" s="30" t="n">
        <v>217.0662111737478</v>
      </c>
      <c r="AN29" s="30" t="n">
        <v>4.535633623149444</v>
      </c>
      <c r="AO29" s="30" t="n">
        <v>-6.861788368395522</v>
      </c>
      <c r="AP29" s="30" t="n">
        <v>5.19132411094073</v>
      </c>
      <c r="AQ29" s="30" t="n">
        <v>2.081505294102208</v>
      </c>
      <c r="AR29" s="30" t="n">
        <v>0.08662156087619875</v>
      </c>
      <c r="AS29" s="30" t="n">
        <v>5.873520862943059</v>
      </c>
      <c r="AT29" s="30" t="n">
        <v>67.15627466517275</v>
      </c>
      <c r="AU29" s="30" t="n">
        <v>3.428876052638193</v>
      </c>
      <c r="AV29" s="30" t="n">
        <v>495.8762842671501</v>
      </c>
      <c r="AW29" s="30" t="n">
        <v>176.1265237573937</v>
      </c>
      <c r="AX29" s="30" t="n">
        <v>0</v>
      </c>
      <c r="AY29" s="30" t="n">
        <v>32.09709322364134</v>
      </c>
      <c r="AZ29" s="30" t="n">
        <v>116.1340621806143</v>
      </c>
      <c r="BA29" s="30" t="n">
        <v>12.16914706032935</v>
      </c>
      <c r="BB29" s="30">
        <f>SUM(C29:BA29)</f>
        <v/>
      </c>
      <c r="BC29" s="30" t="n">
        <v>0</v>
      </c>
      <c r="BD29" s="30" t="n">
        <v>0</v>
      </c>
      <c r="BE29" s="30" t="n">
        <v>0</v>
      </c>
      <c r="BF29" s="30" t="n">
        <v>0</v>
      </c>
      <c r="BG29" s="30">
        <f>SUM(BC29:BF29)</f>
        <v/>
      </c>
      <c r="BH29" s="30">
        <f>BB29+BG29</f>
        <v/>
      </c>
    </row>
    <row r="30">
      <c r="A30" s="28" t="n">
        <v>17</v>
      </c>
      <c r="B30" s="29" t="inlineStr">
        <is>
          <t>Fabricação de resina e elastômeros</t>
        </is>
      </c>
      <c r="C30" s="28" t="n">
        <v>93.76168881936209</v>
      </c>
      <c r="D30" s="28" t="n">
        <v>9.826530298322339</v>
      </c>
      <c r="E30" s="28" t="n">
        <v>290.0301089351963</v>
      </c>
      <c r="F30" s="28" t="n">
        <v>2.635217569966568</v>
      </c>
      <c r="G30" s="28" t="n">
        <v>4.686620373883172</v>
      </c>
      <c r="H30" s="28" t="n">
        <v>22.38373882569872</v>
      </c>
      <c r="I30" s="28" t="n">
        <v>11.09387218867918</v>
      </c>
      <c r="J30" s="28" t="n">
        <v>1643.52065687634</v>
      </c>
      <c r="K30" s="28" t="n">
        <v>19.32545531882008</v>
      </c>
      <c r="L30" s="28" t="n">
        <v>407.3002863572729</v>
      </c>
      <c r="M30" s="28" t="n">
        <v>173.9471734781185</v>
      </c>
      <c r="N30" s="28" t="n">
        <v>488.052557774824</v>
      </c>
      <c r="O30" s="28" t="n">
        <v>19.36241096168003</v>
      </c>
      <c r="P30" s="28" t="n">
        <v>0.6645165582191908</v>
      </c>
      <c r="Q30" s="28" t="n">
        <v>2.023635731392555</v>
      </c>
      <c r="R30" s="28" t="n">
        <v>134.2198148545705</v>
      </c>
      <c r="S30" s="28" t="n">
        <v>672.8447524548784</v>
      </c>
      <c r="T30" s="28" t="n">
        <v>26.91225171439294</v>
      </c>
      <c r="U30" s="28" t="n">
        <v>36.63120496346792</v>
      </c>
      <c r="V30" s="28" t="n">
        <v>319.2968564113115</v>
      </c>
      <c r="W30" s="28" t="n">
        <v>327.4230713788866</v>
      </c>
      <c r="X30" s="28" t="n">
        <v>279.2077888322744</v>
      </c>
      <c r="Y30" s="28" t="n">
        <v>4750.360601937807</v>
      </c>
      <c r="Z30" s="28" t="n">
        <v>534.0457216970814</v>
      </c>
      <c r="AA30" s="28" t="n">
        <v>8.977655443162186</v>
      </c>
      <c r="AB30" s="28" t="n">
        <v>72.49683379421013</v>
      </c>
      <c r="AC30" s="28" t="n">
        <v>291.79148545954</v>
      </c>
      <c r="AD30" s="28" t="n">
        <v>76.45192227887918</v>
      </c>
      <c r="AE30" s="28" t="n">
        <v>1158.354770667906</v>
      </c>
      <c r="AF30" s="28" t="n">
        <v>219.8025997033546</v>
      </c>
      <c r="AG30" s="28" t="n">
        <v>31.40862226135228</v>
      </c>
      <c r="AH30" s="28" t="n">
        <v>591.2632112310913</v>
      </c>
      <c r="AI30" s="28" t="n">
        <v>120.8582213519115</v>
      </c>
      <c r="AJ30" s="28" t="n">
        <v>377.9992647596321</v>
      </c>
      <c r="AK30" s="28" t="n">
        <v>5.707942164595153</v>
      </c>
      <c r="AL30" s="28" t="n">
        <v>27.50438732890791</v>
      </c>
      <c r="AM30" s="28" t="n">
        <v>12.28387643978856</v>
      </c>
      <c r="AN30" s="28" t="n">
        <v>2.894775702118492</v>
      </c>
      <c r="AO30" s="28" t="n">
        <v>2.689920343130515</v>
      </c>
      <c r="AP30" s="28" t="n">
        <v>1.349250554681362</v>
      </c>
      <c r="AQ30" s="28" t="n">
        <v>1.799573747784327</v>
      </c>
      <c r="AR30" s="28" t="n">
        <v>0.1125929648280844</v>
      </c>
      <c r="AS30" s="28" t="n">
        <v>1.40567607614498</v>
      </c>
      <c r="AT30" s="28" t="n">
        <v>14.35049825527141</v>
      </c>
      <c r="AU30" s="28" t="n">
        <v>0.3528119483558931</v>
      </c>
      <c r="AV30" s="28" t="n">
        <v>3.097010856008183</v>
      </c>
      <c r="AW30" s="28" t="n">
        <v>3.618334643570503</v>
      </c>
      <c r="AX30" s="28" t="n">
        <v>0</v>
      </c>
      <c r="AY30" s="28" t="n">
        <v>1.133534399387056</v>
      </c>
      <c r="AZ30" s="28" t="n">
        <v>2.323143733734936</v>
      </c>
      <c r="BA30" s="28" t="n">
        <v>1.97810256574184</v>
      </c>
      <c r="BB30" s="28">
        <f>SUM(C30:BA30)</f>
        <v/>
      </c>
      <c r="BC30" s="28" t="n">
        <v>0</v>
      </c>
      <c r="BD30" s="28" t="n">
        <v>0</v>
      </c>
      <c r="BE30" s="28" t="n">
        <v>0</v>
      </c>
      <c r="BF30" s="28" t="n">
        <v>0</v>
      </c>
      <c r="BG30" s="28">
        <f>SUM(BC30:BF30)</f>
        <v/>
      </c>
      <c r="BH30" s="28">
        <f>BB30+BG30</f>
        <v/>
      </c>
    </row>
    <row r="31">
      <c r="A31" s="30" t="n">
        <v>18</v>
      </c>
      <c r="B31" s="31" t="inlineStr">
        <is>
          <t>Produtos farmacêuticos</t>
        </is>
      </c>
      <c r="C31" s="30" t="n">
        <v>246.2118496316025</v>
      </c>
      <c r="D31" s="30" t="n">
        <v>1415.735029267827</v>
      </c>
      <c r="E31" s="30" t="n">
        <v>104.300105130671</v>
      </c>
      <c r="F31" s="30" t="n">
        <v>0.3295312985564711</v>
      </c>
      <c r="G31" s="30" t="n">
        <v>1.739791741500586</v>
      </c>
      <c r="H31" s="30" t="n">
        <v>54.4417589138193</v>
      </c>
      <c r="I31" s="30" t="n">
        <v>-0.1920070868198607</v>
      </c>
      <c r="J31" s="30" t="n">
        <v>15.72450561798633</v>
      </c>
      <c r="K31" s="30" t="n">
        <v>-0.067784065761034</v>
      </c>
      <c r="L31" s="30" t="n">
        <v>2.855373836324576</v>
      </c>
      <c r="M31" s="30" t="n">
        <v>1.458661038410489</v>
      </c>
      <c r="N31" s="30" t="n">
        <v>3.858539960526115</v>
      </c>
      <c r="O31" s="30" t="n">
        <v>1.661734178718033</v>
      </c>
      <c r="P31" s="30" t="n">
        <v>0.3421069378737587</v>
      </c>
      <c r="Q31" s="30" t="n">
        <v>0.206246072731912</v>
      </c>
      <c r="R31" s="30" t="n">
        <v>9.681684987681612</v>
      </c>
      <c r="S31" s="30" t="n">
        <v>22.35364676844122</v>
      </c>
      <c r="T31" s="30" t="n">
        <v>1675.997631584547</v>
      </c>
      <c r="U31" s="30" t="n">
        <v>131.7885876714005</v>
      </c>
      <c r="V31" s="30" t="n">
        <v>15.53918217307633</v>
      </c>
      <c r="W31" s="30" t="n">
        <v>6.965623857623079</v>
      </c>
      <c r="X31" s="30" t="n">
        <v>9.016409978323571</v>
      </c>
      <c r="Y31" s="30" t="n">
        <v>44.33284251429357</v>
      </c>
      <c r="Z31" s="30" t="n">
        <v>6.509400995210403</v>
      </c>
      <c r="AA31" s="30" t="n">
        <v>-0.1755327724771427</v>
      </c>
      <c r="AB31" s="30" t="n">
        <v>0.5879630878636414</v>
      </c>
      <c r="AC31" s="30" t="n">
        <v>3.116827979842372</v>
      </c>
      <c r="AD31" s="30" t="n">
        <v>1.997100962918885</v>
      </c>
      <c r="AE31" s="30" t="n">
        <v>9.909859597375243</v>
      </c>
      <c r="AF31" s="30" t="n">
        <v>13.28604429951208</v>
      </c>
      <c r="AG31" s="30" t="n">
        <v>5.578679706547048</v>
      </c>
      <c r="AH31" s="30" t="n">
        <v>6.82082316734624</v>
      </c>
      <c r="AI31" s="30" t="n">
        <v>1.54506572172792</v>
      </c>
      <c r="AJ31" s="30" t="n">
        <v>4.756450067220372</v>
      </c>
      <c r="AK31" s="30" t="n">
        <v>2.596229616726157</v>
      </c>
      <c r="AL31" s="30" t="n">
        <v>46.00771879017466</v>
      </c>
      <c r="AM31" s="30" t="n">
        <v>89.80315609170549</v>
      </c>
      <c r="AN31" s="30" t="n">
        <v>-6.620757494626464</v>
      </c>
      <c r="AO31" s="30" t="n">
        <v>-3.691511418839839</v>
      </c>
      <c r="AP31" s="30" t="n">
        <v>8.353355873779607</v>
      </c>
      <c r="AQ31" s="30" t="n">
        <v>1.723292118432994</v>
      </c>
      <c r="AR31" s="30" t="n">
        <v>0.1613186366881127</v>
      </c>
      <c r="AS31" s="30" t="n">
        <v>3.429383145099178</v>
      </c>
      <c r="AT31" s="30" t="n">
        <v>36.19311100784002</v>
      </c>
      <c r="AU31" s="30" t="n">
        <v>64.73715814314089</v>
      </c>
      <c r="AV31" s="30" t="n">
        <v>3226.979955779307</v>
      </c>
      <c r="AW31" s="30" t="n">
        <v>264.3438131274294</v>
      </c>
      <c r="AX31" s="30" t="n">
        <v>0</v>
      </c>
      <c r="AY31" s="30" t="n">
        <v>210.4625172837529</v>
      </c>
      <c r="AZ31" s="30" t="n">
        <v>1262.126404211279</v>
      </c>
      <c r="BA31" s="30" t="n">
        <v>178.8358848022211</v>
      </c>
      <c r="BB31" s="30">
        <f>SUM(C31:BA31)</f>
        <v/>
      </c>
      <c r="BC31" s="30" t="n">
        <v>0</v>
      </c>
      <c r="BD31" s="30" t="n">
        <v>0</v>
      </c>
      <c r="BE31" s="30" t="n">
        <v>0</v>
      </c>
      <c r="BF31" s="30" t="n">
        <v>0</v>
      </c>
      <c r="BG31" s="30">
        <f>SUM(BC31:BF31)</f>
        <v/>
      </c>
      <c r="BH31" s="30">
        <f>BB31+BG31</f>
        <v/>
      </c>
    </row>
    <row r="32">
      <c r="A32" s="28" t="n">
        <v>19</v>
      </c>
      <c r="B32" s="29" t="inlineStr">
        <is>
          <t>Defensivos agrícolas</t>
        </is>
      </c>
      <c r="C32" s="28" t="n">
        <v>4249.578689075149</v>
      </c>
      <c r="D32" s="28" t="n">
        <v>378.6234424043452</v>
      </c>
      <c r="E32" s="28" t="n">
        <v>33.54646345315255</v>
      </c>
      <c r="F32" s="28" t="n">
        <v>3.438310112057711</v>
      </c>
      <c r="G32" s="28" t="n">
        <v>20.1231724350994</v>
      </c>
      <c r="H32" s="28" t="n">
        <v>26.00430588574308</v>
      </c>
      <c r="I32" s="28" t="n">
        <v>0.2993331401508473</v>
      </c>
      <c r="J32" s="28" t="n">
        <v>107.0121974963436</v>
      </c>
      <c r="K32" s="28" t="n">
        <v>0.2606662777469707</v>
      </c>
      <c r="L32" s="28" t="n">
        <v>28.07146054218093</v>
      </c>
      <c r="M32" s="28" t="n">
        <v>11.79787261989407</v>
      </c>
      <c r="N32" s="28" t="n">
        <v>42.30235839948065</v>
      </c>
      <c r="O32" s="28" t="n">
        <v>3.675297771514035</v>
      </c>
      <c r="P32" s="28" t="n">
        <v>1.862175821394702</v>
      </c>
      <c r="Q32" s="28" t="n">
        <v>5.346087565548218</v>
      </c>
      <c r="R32" s="28" t="n">
        <v>73.17968727460382</v>
      </c>
      <c r="S32" s="28" t="n">
        <v>161.4093503648525</v>
      </c>
      <c r="T32" s="28" t="n">
        <v>21.05068480180833</v>
      </c>
      <c r="U32" s="28" t="n">
        <v>1106.334004923884</v>
      </c>
      <c r="V32" s="28" t="n">
        <v>191.5421187768669</v>
      </c>
      <c r="W32" s="28" t="n">
        <v>69.16566790100029</v>
      </c>
      <c r="X32" s="28" t="n">
        <v>62.44439748719618</v>
      </c>
      <c r="Y32" s="28" t="n">
        <v>292.1663183025101</v>
      </c>
      <c r="Z32" s="28" t="n">
        <v>31.76189759996821</v>
      </c>
      <c r="AA32" s="28" t="n">
        <v>8.156317968890862</v>
      </c>
      <c r="AB32" s="28" t="n">
        <v>6.695266618112713</v>
      </c>
      <c r="AC32" s="28" t="n">
        <v>28.40467516550529</v>
      </c>
      <c r="AD32" s="28" t="n">
        <v>0.3654459168762703</v>
      </c>
      <c r="AE32" s="28" t="n">
        <v>65.23264446138438</v>
      </c>
      <c r="AF32" s="28" t="n">
        <v>11.22519918568628</v>
      </c>
      <c r="AG32" s="28" t="n">
        <v>3.459647126621979</v>
      </c>
      <c r="AH32" s="28" t="n">
        <v>33.66233262902897</v>
      </c>
      <c r="AI32" s="28" t="n">
        <v>7.042263061664837</v>
      </c>
      <c r="AJ32" s="28" t="n">
        <v>23.96265239490427</v>
      </c>
      <c r="AK32" s="28" t="n">
        <v>4.166740725056201</v>
      </c>
      <c r="AL32" s="28" t="n">
        <v>9.139926452726703</v>
      </c>
      <c r="AM32" s="28" t="n">
        <v>2.886963780370108</v>
      </c>
      <c r="AN32" s="28" t="n">
        <v>-10.20714794254969</v>
      </c>
      <c r="AO32" s="28" t="n">
        <v>-7.248436345112841</v>
      </c>
      <c r="AP32" s="28" t="n">
        <v>5.766710138339761</v>
      </c>
      <c r="AQ32" s="28" t="n">
        <v>0.8087884398285426</v>
      </c>
      <c r="AR32" s="28" t="n">
        <v>0.02132928059490313</v>
      </c>
      <c r="AS32" s="28" t="n">
        <v>2.026358001594212</v>
      </c>
      <c r="AT32" s="28" t="n">
        <v>35.35587080592025</v>
      </c>
      <c r="AU32" s="28" t="n">
        <v>1.056919042481189</v>
      </c>
      <c r="AV32" s="28" t="n">
        <v>0.586322044165399</v>
      </c>
      <c r="AW32" s="28" t="n">
        <v>216.6269426227539</v>
      </c>
      <c r="AX32" s="28" t="n">
        <v>0</v>
      </c>
      <c r="AY32" s="28" t="n">
        <v>3.978488665260969</v>
      </c>
      <c r="AZ32" s="28" t="n">
        <v>7.742602597292016</v>
      </c>
      <c r="BA32" s="28" t="n">
        <v>2.089462155159565</v>
      </c>
      <c r="BB32" s="28">
        <f>SUM(C32:BA32)</f>
        <v/>
      </c>
      <c r="BC32" s="28" t="n">
        <v>0</v>
      </c>
      <c r="BD32" s="28" t="n">
        <v>0</v>
      </c>
      <c r="BE32" s="28" t="n">
        <v>0</v>
      </c>
      <c r="BF32" s="28" t="n">
        <v>0</v>
      </c>
      <c r="BG32" s="28">
        <f>SUM(BC32:BF32)</f>
        <v/>
      </c>
      <c r="BH32" s="28">
        <f>BB32+BG32</f>
        <v/>
      </c>
    </row>
    <row r="33">
      <c r="A33" s="30" t="n">
        <v>20</v>
      </c>
      <c r="B33" s="31" t="inlineStr">
        <is>
          <t>Perfumaria higiene e limpeza</t>
        </is>
      </c>
      <c r="C33" s="30" t="n">
        <v>162.1889127432048</v>
      </c>
      <c r="D33" s="30" t="n">
        <v>47.6713534136877</v>
      </c>
      <c r="E33" s="30" t="n">
        <v>47.24017489082903</v>
      </c>
      <c r="F33" s="30" t="n">
        <v>28.01561082208069</v>
      </c>
      <c r="G33" s="30" t="n">
        <v>22.80355130030591</v>
      </c>
      <c r="H33" s="30" t="n">
        <v>85.30765997613678</v>
      </c>
      <c r="I33" s="30" t="n">
        <v>-1.109292993769058</v>
      </c>
      <c r="J33" s="30" t="n">
        <v>29.74239528899677</v>
      </c>
      <c r="K33" s="30" t="n">
        <v>20.18964507266663</v>
      </c>
      <c r="L33" s="30" t="n">
        <v>-3.499230307485698</v>
      </c>
      <c r="M33" s="30" t="n">
        <v>10.24849652847685</v>
      </c>
      <c r="N33" s="30" t="n">
        <v>20.18280904899022</v>
      </c>
      <c r="O33" s="30" t="n">
        <v>2.834065588045133</v>
      </c>
      <c r="P33" s="30" t="n">
        <v>22.22757241206141</v>
      </c>
      <c r="Q33" s="30" t="n">
        <v>2.375208475182672</v>
      </c>
      <c r="R33" s="30" t="n">
        <v>106.6864176434902</v>
      </c>
      <c r="S33" s="30" t="n">
        <v>16.56071248322016</v>
      </c>
      <c r="T33" s="30" t="n">
        <v>26.70122842373609</v>
      </c>
      <c r="U33" s="30" t="n">
        <v>76.05029890833575</v>
      </c>
      <c r="V33" s="30" t="n">
        <v>705.1116879097682</v>
      </c>
      <c r="W33" s="30" t="n">
        <v>20.92389598018046</v>
      </c>
      <c r="X33" s="30" t="n">
        <v>33.64197384055</v>
      </c>
      <c r="Y33" s="30" t="n">
        <v>15.45558598985052</v>
      </c>
      <c r="Z33" s="30" t="n">
        <v>104.0234282835242</v>
      </c>
      <c r="AA33" s="30" t="n">
        <v>14.59672339777404</v>
      </c>
      <c r="AB33" s="30" t="n">
        <v>26.83654864022068</v>
      </c>
      <c r="AC33" s="30" t="n">
        <v>220.6732690021072</v>
      </c>
      <c r="AD33" s="30" t="n">
        <v>-5.123590062886015</v>
      </c>
      <c r="AE33" s="30" t="n">
        <v>2.248641298825787</v>
      </c>
      <c r="AF33" s="30" t="n">
        <v>44.69177979628096</v>
      </c>
      <c r="AG33" s="30" t="n">
        <v>13.77968646340396</v>
      </c>
      <c r="AH33" s="30" t="n">
        <v>21.77957149659991</v>
      </c>
      <c r="AI33" s="30" t="n">
        <v>1.553161907073315</v>
      </c>
      <c r="AJ33" s="30" t="n">
        <v>6.061283086823069</v>
      </c>
      <c r="AK33" s="30" t="n">
        <v>37.17329051944608</v>
      </c>
      <c r="AL33" s="30" t="n">
        <v>160.7217765025308</v>
      </c>
      <c r="AM33" s="30" t="n">
        <v>933.0724606628595</v>
      </c>
      <c r="AN33" s="30" t="n">
        <v>178.1069386772835</v>
      </c>
      <c r="AO33" s="30" t="n">
        <v>81.33532073424009</v>
      </c>
      <c r="AP33" s="30" t="n">
        <v>20.68794499117303</v>
      </c>
      <c r="AQ33" s="30" t="n">
        <v>4.171353162347017</v>
      </c>
      <c r="AR33" s="30" t="n">
        <v>0.04133023249827086</v>
      </c>
      <c r="AS33" s="30" t="n">
        <v>72.62353544161529</v>
      </c>
      <c r="AT33" s="30" t="n">
        <v>409.376173748499</v>
      </c>
      <c r="AU33" s="30" t="n">
        <v>69.86069812257377</v>
      </c>
      <c r="AV33" s="30" t="n">
        <v>328.7494720386698</v>
      </c>
      <c r="AW33" s="30" t="n">
        <v>1379.675763769846</v>
      </c>
      <c r="AX33" s="30" t="n">
        <v>0</v>
      </c>
      <c r="AY33" s="30" t="n">
        <v>154.4357566918474</v>
      </c>
      <c r="AZ33" s="30" t="n">
        <v>68.06965455797418</v>
      </c>
      <c r="BA33" s="30" t="n">
        <v>109.1813051008818</v>
      </c>
      <c r="BB33" s="30">
        <f>SUM(C33:BA33)</f>
        <v/>
      </c>
      <c r="BC33" s="30" t="n">
        <v>0</v>
      </c>
      <c r="BD33" s="30" t="n">
        <v>0</v>
      </c>
      <c r="BE33" s="30" t="n">
        <v>0</v>
      </c>
      <c r="BF33" s="30" t="n">
        <v>0</v>
      </c>
      <c r="BG33" s="30">
        <f>SUM(BC33:BF33)</f>
        <v/>
      </c>
      <c r="BH33" s="30">
        <f>BB33+BG33</f>
        <v/>
      </c>
    </row>
    <row r="34">
      <c r="A34" s="28" t="n">
        <v>21</v>
      </c>
      <c r="B34" s="29" t="inlineStr">
        <is>
          <t>Tintas vernizes esmaltes e lacas</t>
        </is>
      </c>
      <c r="C34" s="28" t="n">
        <v>29.62685581115728</v>
      </c>
      <c r="D34" s="28" t="n">
        <v>11.13284781936339</v>
      </c>
      <c r="E34" s="28" t="n">
        <v>7.609019483361155</v>
      </c>
      <c r="F34" s="28" t="n">
        <v>1.703913268132308</v>
      </c>
      <c r="G34" s="28" t="n">
        <v>10.83904909635677</v>
      </c>
      <c r="H34" s="28" t="n">
        <v>28.19238487602236</v>
      </c>
      <c r="I34" s="28" t="n">
        <v>0.2179898825923513</v>
      </c>
      <c r="J34" s="28" t="n">
        <v>38.69754178502171</v>
      </c>
      <c r="K34" s="28" t="n">
        <v>12.69396660313543</v>
      </c>
      <c r="L34" s="28" t="n">
        <v>29.34510767494372</v>
      </c>
      <c r="M34" s="28" t="n">
        <v>65.71454378685624</v>
      </c>
      <c r="N34" s="28" t="n">
        <v>277.3547639102065</v>
      </c>
      <c r="O34" s="28" t="n">
        <v>238.3778895300065</v>
      </c>
      <c r="P34" s="28" t="n">
        <v>2.883421907672269</v>
      </c>
      <c r="Q34" s="28" t="n">
        <v>1.189569654077279</v>
      </c>
      <c r="R34" s="28" t="n">
        <v>33.06943159720618</v>
      </c>
      <c r="S34" s="28" t="n">
        <v>24.16236733080722</v>
      </c>
      <c r="T34" s="28" t="n">
        <v>6.132115910971716</v>
      </c>
      <c r="U34" s="28" t="n">
        <v>7.942464829537307</v>
      </c>
      <c r="V34" s="28" t="n">
        <v>15.90950919418565</v>
      </c>
      <c r="W34" s="28" t="n">
        <v>40.17294709180282</v>
      </c>
      <c r="X34" s="28" t="n">
        <v>19.47177672255921</v>
      </c>
      <c r="Y34" s="28" t="n">
        <v>380.0287316540764</v>
      </c>
      <c r="Z34" s="28" t="n">
        <v>194.8372603200629</v>
      </c>
      <c r="AA34" s="28" t="n">
        <v>5.623453015705745</v>
      </c>
      <c r="AB34" s="28" t="n">
        <v>2.196407996151958</v>
      </c>
      <c r="AC34" s="28" t="n">
        <v>120.750273078226</v>
      </c>
      <c r="AD34" s="28" t="n">
        <v>137.0482684103312</v>
      </c>
      <c r="AE34" s="28" t="n">
        <v>18.88906132248264</v>
      </c>
      <c r="AF34" s="28" t="n">
        <v>119.4626891273244</v>
      </c>
      <c r="AG34" s="28" t="n">
        <v>149.4074594268766</v>
      </c>
      <c r="AH34" s="28" t="n">
        <v>72.06137384078812</v>
      </c>
      <c r="AI34" s="28" t="n">
        <v>37.18494370116001</v>
      </c>
      <c r="AJ34" s="28" t="n">
        <v>58.59924098630567</v>
      </c>
      <c r="AK34" s="28" t="n">
        <v>38.66379376385273</v>
      </c>
      <c r="AL34" s="28" t="n">
        <v>1339.16743987129</v>
      </c>
      <c r="AM34" s="28" t="n">
        <v>249.1564958550381</v>
      </c>
      <c r="AN34" s="28" t="n">
        <v>64.66082709683009</v>
      </c>
      <c r="AO34" s="28" t="n">
        <v>92.83152422233182</v>
      </c>
      <c r="AP34" s="28" t="n">
        <v>2.048377643959702</v>
      </c>
      <c r="AQ34" s="28" t="n">
        <v>156.4747434074043</v>
      </c>
      <c r="AR34" s="28" t="n">
        <v>0.02156629436078942</v>
      </c>
      <c r="AS34" s="28" t="n">
        <v>1.839755846351149</v>
      </c>
      <c r="AT34" s="28" t="n">
        <v>8.645430929505464</v>
      </c>
      <c r="AU34" s="28" t="n">
        <v>0.4698553989770649</v>
      </c>
      <c r="AV34" s="28" t="n">
        <v>1.47600486612185</v>
      </c>
      <c r="AW34" s="28" t="n">
        <v>80.61957074496424</v>
      </c>
      <c r="AX34" s="28" t="n">
        <v>0</v>
      </c>
      <c r="AY34" s="28" t="n">
        <v>16.19108954529075</v>
      </c>
      <c r="AZ34" s="28" t="n">
        <v>4.807269173930783</v>
      </c>
      <c r="BA34" s="28" t="n">
        <v>42.85508756487783</v>
      </c>
      <c r="BB34" s="28">
        <f>SUM(C34:BA34)</f>
        <v/>
      </c>
      <c r="BC34" s="28" t="n">
        <v>0</v>
      </c>
      <c r="BD34" s="28" t="n">
        <v>0</v>
      </c>
      <c r="BE34" s="28" t="n">
        <v>0</v>
      </c>
      <c r="BF34" s="28" t="n">
        <v>0</v>
      </c>
      <c r="BG34" s="28">
        <f>SUM(BC34:BF34)</f>
        <v/>
      </c>
      <c r="BH34" s="28">
        <f>BB34+BG34</f>
        <v/>
      </c>
    </row>
    <row r="35">
      <c r="A35" s="30" t="n">
        <v>22</v>
      </c>
      <c r="B35" s="31" t="inlineStr">
        <is>
          <t>Produtos e preparados químicos diversos</t>
        </is>
      </c>
      <c r="C35" s="30" t="n">
        <v>170.0460520913306</v>
      </c>
      <c r="D35" s="30" t="n">
        <v>27.9187893474332</v>
      </c>
      <c r="E35" s="30" t="n">
        <v>77.29811682025012</v>
      </c>
      <c r="F35" s="30" t="n">
        <v>57.02720277383999</v>
      </c>
      <c r="G35" s="30" t="n">
        <v>546.3356312379973</v>
      </c>
      <c r="H35" s="30" t="n">
        <v>734.989353295273</v>
      </c>
      <c r="I35" s="30" t="n">
        <v>2.627117491228665</v>
      </c>
      <c r="J35" s="30" t="n">
        <v>114.7898241609002</v>
      </c>
      <c r="K35" s="30" t="n">
        <v>3.012583956066076</v>
      </c>
      <c r="L35" s="30" t="n">
        <v>45.74488097398411</v>
      </c>
      <c r="M35" s="30" t="n">
        <v>76.59794334087641</v>
      </c>
      <c r="N35" s="30" t="n">
        <v>153.3440195900137</v>
      </c>
      <c r="O35" s="30" t="n">
        <v>75.47767137318756</v>
      </c>
      <c r="P35" s="30" t="n">
        <v>63.77674926924592</v>
      </c>
      <c r="Q35" s="30" t="n">
        <v>29.23548789053759</v>
      </c>
      <c r="R35" s="30" t="n">
        <v>231.7776983938046</v>
      </c>
      <c r="S35" s="30" t="n">
        <v>203.4627589402992</v>
      </c>
      <c r="T35" s="30" t="n">
        <v>188.6703967301438</v>
      </c>
      <c r="U35" s="30" t="n">
        <v>93.47954042763843</v>
      </c>
      <c r="V35" s="30" t="n">
        <v>245.1167865186463</v>
      </c>
      <c r="W35" s="30" t="n">
        <v>181.0026368490929</v>
      </c>
      <c r="X35" s="30" t="n">
        <v>498.6549165022375</v>
      </c>
      <c r="Y35" s="30" t="n">
        <v>433.6049459819515</v>
      </c>
      <c r="Z35" s="30" t="n">
        <v>121.2001986787376</v>
      </c>
      <c r="AA35" s="30" t="n">
        <v>132.2617237060781</v>
      </c>
      <c r="AB35" s="30" t="n">
        <v>20.90691082028222</v>
      </c>
      <c r="AC35" s="30" t="n">
        <v>53.41112726941216</v>
      </c>
      <c r="AD35" s="30" t="n">
        <v>100.4774257895547</v>
      </c>
      <c r="AE35" s="30" t="n">
        <v>70.39111286530654</v>
      </c>
      <c r="AF35" s="30" t="n">
        <v>13.72309886958327</v>
      </c>
      <c r="AG35" s="30" t="n">
        <v>28.76128386233401</v>
      </c>
      <c r="AH35" s="30" t="n">
        <v>28.64265836243845</v>
      </c>
      <c r="AI35" s="30" t="n">
        <v>12.02532279894515</v>
      </c>
      <c r="AJ35" s="30" t="n">
        <v>83.57215907683062</v>
      </c>
      <c r="AK35" s="30" t="n">
        <v>57.29189697408226</v>
      </c>
      <c r="AL35" s="30" t="n">
        <v>190.4770099254125</v>
      </c>
      <c r="AM35" s="30" t="n">
        <v>340.2978549409793</v>
      </c>
      <c r="AN35" s="30" t="n">
        <v>27.03652355676315</v>
      </c>
      <c r="AO35" s="30" t="n">
        <v>1.570535257554022</v>
      </c>
      <c r="AP35" s="30" t="n">
        <v>8.528971160997489</v>
      </c>
      <c r="AQ35" s="30" t="n">
        <v>10.02053747549894</v>
      </c>
      <c r="AR35" s="30" t="n">
        <v>0.03917487338573936</v>
      </c>
      <c r="AS35" s="30" t="n">
        <v>1.465307676771544</v>
      </c>
      <c r="AT35" s="30" t="n">
        <v>31.73567828029586</v>
      </c>
      <c r="AU35" s="30" t="n">
        <v>1.084993205403219</v>
      </c>
      <c r="AV35" s="30" t="n">
        <v>10.69920445618081</v>
      </c>
      <c r="AW35" s="30" t="n">
        <v>21.65008585508726</v>
      </c>
      <c r="AX35" s="30" t="n">
        <v>0</v>
      </c>
      <c r="AY35" s="30" t="n">
        <v>77.95386165133785</v>
      </c>
      <c r="AZ35" s="30" t="n">
        <v>167.3933312091504</v>
      </c>
      <c r="BA35" s="30" t="n">
        <v>19.22060652632851</v>
      </c>
      <c r="BB35" s="30">
        <f>SUM(C35:BA35)</f>
        <v/>
      </c>
      <c r="BC35" s="30" t="n">
        <v>0</v>
      </c>
      <c r="BD35" s="30" t="n">
        <v>0</v>
      </c>
      <c r="BE35" s="30" t="n">
        <v>0</v>
      </c>
      <c r="BF35" s="30" t="n">
        <v>0</v>
      </c>
      <c r="BG35" s="30">
        <f>SUM(BC35:BF35)</f>
        <v/>
      </c>
      <c r="BH35" s="30">
        <f>BB35+BG35</f>
        <v/>
      </c>
    </row>
    <row r="36">
      <c r="A36" s="28" t="n">
        <v>23</v>
      </c>
      <c r="B36" s="29" t="inlineStr">
        <is>
          <t>Artigos de borracha e plástico</t>
        </is>
      </c>
      <c r="C36" s="28" t="n">
        <v>107.37619728485</v>
      </c>
      <c r="D36" s="28" t="n">
        <v>40.82238181307873</v>
      </c>
      <c r="E36" s="28" t="n">
        <v>52.13582322829679</v>
      </c>
      <c r="F36" s="28" t="n">
        <v>155.3649902987479</v>
      </c>
      <c r="G36" s="28" t="n">
        <v>67.04351356789083</v>
      </c>
      <c r="H36" s="28" t="n">
        <v>2058.701953457638</v>
      </c>
      <c r="I36" s="28" t="n">
        <v>1.720355566796826</v>
      </c>
      <c r="J36" s="28" t="n">
        <v>105.715299274307</v>
      </c>
      <c r="K36" s="28" t="n">
        <v>115.8330711187487</v>
      </c>
      <c r="L36" s="28" t="n">
        <v>235.1478187569121</v>
      </c>
      <c r="M36" s="28" t="n">
        <v>39.56233931857058</v>
      </c>
      <c r="N36" s="28" t="n">
        <v>153.2500925137184</v>
      </c>
      <c r="O36" s="28" t="n">
        <v>226.6676893313467</v>
      </c>
      <c r="P36" s="28" t="n">
        <v>16.30260929391517</v>
      </c>
      <c r="Q36" s="28" t="n">
        <v>6.580823645608411</v>
      </c>
      <c r="R36" s="28" t="n">
        <v>167.1057891901335</v>
      </c>
      <c r="S36" s="28" t="n">
        <v>72.38179222157638</v>
      </c>
      <c r="T36" s="28" t="n">
        <v>75.45574892515459</v>
      </c>
      <c r="U36" s="28" t="n">
        <v>73.23342260873459</v>
      </c>
      <c r="V36" s="28" t="n">
        <v>299.2673270809748</v>
      </c>
      <c r="W36" s="28" t="n">
        <v>37.91702760488849</v>
      </c>
      <c r="X36" s="28" t="n">
        <v>44.12610419933854</v>
      </c>
      <c r="Y36" s="28" t="n">
        <v>2869.516547024363</v>
      </c>
      <c r="Z36" s="28" t="n">
        <v>412.6437584424185</v>
      </c>
      <c r="AA36" s="28" t="n">
        <v>162.830558859056</v>
      </c>
      <c r="AB36" s="28" t="n">
        <v>13.56706167049976</v>
      </c>
      <c r="AC36" s="28" t="n">
        <v>144.356397240229</v>
      </c>
      <c r="AD36" s="28" t="n">
        <v>849.7572971866787</v>
      </c>
      <c r="AE36" s="28" t="n">
        <v>494.1278849847334</v>
      </c>
      <c r="AF36" s="28" t="n">
        <v>481.6380535680268</v>
      </c>
      <c r="AG36" s="28" t="n">
        <v>2545.61963196032</v>
      </c>
      <c r="AH36" s="28" t="n">
        <v>1122.303150747408</v>
      </c>
      <c r="AI36" s="28" t="n">
        <v>276.2446806507027</v>
      </c>
      <c r="AJ36" s="28" t="n">
        <v>384.7034112625807</v>
      </c>
      <c r="AK36" s="28" t="n">
        <v>97.16242004183576</v>
      </c>
      <c r="AL36" s="28" t="n">
        <v>2102.541216804607</v>
      </c>
      <c r="AM36" s="28" t="n">
        <v>1080.538837822854</v>
      </c>
      <c r="AN36" s="28" t="n">
        <v>1725.481076827556</v>
      </c>
      <c r="AO36" s="28" t="n">
        <v>5.557322061093923</v>
      </c>
      <c r="AP36" s="28" t="n">
        <v>15.9080268486704</v>
      </c>
      <c r="AQ36" s="28" t="n">
        <v>16.84025181715987</v>
      </c>
      <c r="AR36" s="28" t="n">
        <v>16.50236049296992</v>
      </c>
      <c r="AS36" s="28" t="n">
        <v>71.89341071520053</v>
      </c>
      <c r="AT36" s="28" t="n">
        <v>227.311916946243</v>
      </c>
      <c r="AU36" s="28" t="n">
        <v>1.891530131818478</v>
      </c>
      <c r="AV36" s="28" t="n">
        <v>95.84148409980797</v>
      </c>
      <c r="AW36" s="28" t="n">
        <v>60.53389748846352</v>
      </c>
      <c r="AX36" s="28" t="n">
        <v>0</v>
      </c>
      <c r="AY36" s="28" t="n">
        <v>49.17918425180517</v>
      </c>
      <c r="AZ36" s="28" t="n">
        <v>107.6340359965965</v>
      </c>
      <c r="BA36" s="28" t="n">
        <v>38.3969039760773</v>
      </c>
      <c r="BB36" s="28">
        <f>SUM(C36:BA36)</f>
        <v/>
      </c>
      <c r="BC36" s="28" t="n">
        <v>0</v>
      </c>
      <c r="BD36" s="28" t="n">
        <v>0</v>
      </c>
      <c r="BE36" s="28" t="n">
        <v>0</v>
      </c>
      <c r="BF36" s="28" t="n">
        <v>0</v>
      </c>
      <c r="BG36" s="28">
        <f>SUM(BC36:BF36)</f>
        <v/>
      </c>
      <c r="BH36" s="28">
        <f>BB36+BG36</f>
        <v/>
      </c>
    </row>
    <row r="37">
      <c r="A37" s="30" t="n">
        <v>24</v>
      </c>
      <c r="B37" s="31" t="inlineStr">
        <is>
          <t>Cimento e outros produtos de minerais não-metálicos</t>
        </is>
      </c>
      <c r="C37" s="30" t="n">
        <v>653.211702484946</v>
      </c>
      <c r="D37" s="30" t="n">
        <v>456.6224966091067</v>
      </c>
      <c r="E37" s="30" t="n">
        <v>35.71478172446284</v>
      </c>
      <c r="F37" s="30" t="n">
        <v>2.217943052861189</v>
      </c>
      <c r="G37" s="30" t="n">
        <v>27.88344569604261</v>
      </c>
      <c r="H37" s="30" t="n">
        <v>645.3682388860746</v>
      </c>
      <c r="I37" s="30" t="n">
        <v>-0.201023427588304</v>
      </c>
      <c r="J37" s="30" t="n">
        <v>2.012776403692167</v>
      </c>
      <c r="K37" s="30" t="n">
        <v>-0.06037708805785962</v>
      </c>
      <c r="L37" s="30" t="n">
        <v>1.017658343896608</v>
      </c>
      <c r="M37" s="30" t="n">
        <v>3.249694575661068</v>
      </c>
      <c r="N37" s="30" t="n">
        <v>50.55868180095712</v>
      </c>
      <c r="O37" s="30" t="n">
        <v>9.197396617378791</v>
      </c>
      <c r="P37" s="30" t="n">
        <v>5.26250606069</v>
      </c>
      <c r="Q37" s="30" t="n">
        <v>2.205218999789579</v>
      </c>
      <c r="R37" s="30" t="n">
        <v>158.9345570641552</v>
      </c>
      <c r="S37" s="30" t="n">
        <v>3.025111051064103</v>
      </c>
      <c r="T37" s="30" t="n">
        <v>18.54832480760744</v>
      </c>
      <c r="U37" s="30" t="n">
        <v>1.736240646135193</v>
      </c>
      <c r="V37" s="30" t="n">
        <v>70.14282203972736</v>
      </c>
      <c r="W37" s="30" t="n">
        <v>17.83111942901428</v>
      </c>
      <c r="X37" s="30" t="n">
        <v>41.13186415461762</v>
      </c>
      <c r="Y37" s="30" t="n">
        <v>116.9471685456865</v>
      </c>
      <c r="Z37" s="30" t="n">
        <v>1540.847709276895</v>
      </c>
      <c r="AA37" s="30" t="n">
        <v>107.1452221871</v>
      </c>
      <c r="AB37" s="30" t="n">
        <v>8.482123468385241</v>
      </c>
      <c r="AC37" s="30" t="n">
        <v>37.65111144600656</v>
      </c>
      <c r="AD37" s="30" t="n">
        <v>128.0416747494976</v>
      </c>
      <c r="AE37" s="30" t="n">
        <v>79.63078740534681</v>
      </c>
      <c r="AF37" s="30" t="n">
        <v>8.349730892104928</v>
      </c>
      <c r="AG37" s="30" t="n">
        <v>495.1481437649604</v>
      </c>
      <c r="AH37" s="30" t="n">
        <v>30.95794924912256</v>
      </c>
      <c r="AI37" s="30" t="n">
        <v>38.90124486905641</v>
      </c>
      <c r="AJ37" s="30" t="n">
        <v>101.5644841733587</v>
      </c>
      <c r="AK37" s="30" t="n">
        <v>354.5838494671793</v>
      </c>
      <c r="AL37" s="30" t="n">
        <v>10123.27314600993</v>
      </c>
      <c r="AM37" s="30" t="n">
        <v>52.62520417795242</v>
      </c>
      <c r="AN37" s="30" t="n">
        <v>12.76229596676528</v>
      </c>
      <c r="AO37" s="30" t="n">
        <v>-1.140755215999719</v>
      </c>
      <c r="AP37" s="30" t="n">
        <v>1.998712923721882</v>
      </c>
      <c r="AQ37" s="30" t="n">
        <v>325.2593353721194</v>
      </c>
      <c r="AR37" s="30" t="n">
        <v>0.07059815998685122</v>
      </c>
      <c r="AS37" s="30" t="n">
        <v>131.3916406640679</v>
      </c>
      <c r="AT37" s="30" t="n">
        <v>3.991528117691685</v>
      </c>
      <c r="AU37" s="30" t="n">
        <v>0.9130074885792978</v>
      </c>
      <c r="AV37" s="30" t="n">
        <v>29.83792014255286</v>
      </c>
      <c r="AW37" s="30" t="n">
        <v>51.5860572858471</v>
      </c>
      <c r="AX37" s="30" t="n">
        <v>0</v>
      </c>
      <c r="AY37" s="30" t="n">
        <v>36.22403188390884</v>
      </c>
      <c r="AZ37" s="30" t="n">
        <v>33.37633955808215</v>
      </c>
      <c r="BA37" s="30" t="n">
        <v>90.47541722360299</v>
      </c>
      <c r="BB37" s="30">
        <f>SUM(C37:BA37)</f>
        <v/>
      </c>
      <c r="BC37" s="30" t="n">
        <v>0</v>
      </c>
      <c r="BD37" s="30" t="n">
        <v>0</v>
      </c>
      <c r="BE37" s="30" t="n">
        <v>0</v>
      </c>
      <c r="BF37" s="30" t="n">
        <v>0</v>
      </c>
      <c r="BG37" s="30">
        <f>SUM(BC37:BF37)</f>
        <v/>
      </c>
      <c r="BH37" s="30">
        <f>BB37+BG37</f>
        <v/>
      </c>
    </row>
    <row r="38">
      <c r="A38" s="28" t="n">
        <v>25</v>
      </c>
      <c r="B38" s="29" t="inlineStr">
        <is>
          <t>Fabricação de aço e derivados</t>
        </is>
      </c>
      <c r="C38" s="28" t="n">
        <v>43.80424058727061</v>
      </c>
      <c r="D38" s="28" t="n">
        <v>63.89121039993048</v>
      </c>
      <c r="E38" s="28" t="n">
        <v>449.9250048016435</v>
      </c>
      <c r="F38" s="28" t="n">
        <v>8.725765470636771</v>
      </c>
      <c r="G38" s="28" t="n">
        <v>59.71509839394869</v>
      </c>
      <c r="H38" s="28" t="n">
        <v>91.46023044368484</v>
      </c>
      <c r="I38" s="28" t="n">
        <v>0.1768575716559966</v>
      </c>
      <c r="J38" s="28" t="n">
        <v>0.7804288159309298</v>
      </c>
      <c r="K38" s="28" t="n">
        <v>0.430711954886258</v>
      </c>
      <c r="L38" s="28" t="n">
        <v>0.02882867375861194</v>
      </c>
      <c r="M38" s="28" t="n">
        <v>3.12255499339265</v>
      </c>
      <c r="N38" s="28" t="n">
        <v>36.77242703961622</v>
      </c>
      <c r="O38" s="28" t="n">
        <v>2.921083189525469</v>
      </c>
      <c r="P38" s="28" t="n">
        <v>3.044484320846756</v>
      </c>
      <c r="Q38" s="28" t="n">
        <v>0.8523070776195111</v>
      </c>
      <c r="R38" s="28" t="n">
        <v>10.69734958235894</v>
      </c>
      <c r="S38" s="28" t="n">
        <v>1.997645457704848</v>
      </c>
      <c r="T38" s="28" t="n">
        <v>3.499558742145683</v>
      </c>
      <c r="U38" s="28" t="n">
        <v>1.125807117003065</v>
      </c>
      <c r="V38" s="28" t="n">
        <v>7.772348256209965</v>
      </c>
      <c r="W38" s="28" t="n">
        <v>6.468218487727181</v>
      </c>
      <c r="X38" s="28" t="n">
        <v>6.666552156729688</v>
      </c>
      <c r="Y38" s="28" t="n">
        <v>193.6745780077296</v>
      </c>
      <c r="Z38" s="28" t="n">
        <v>138.861337090245</v>
      </c>
      <c r="AA38" s="28" t="n">
        <v>3013.818202053163</v>
      </c>
      <c r="AB38" s="28" t="n">
        <v>219.9900480243184</v>
      </c>
      <c r="AC38" s="28" t="n">
        <v>4547.688158124595</v>
      </c>
      <c r="AD38" s="28" t="n">
        <v>2544.215132755544</v>
      </c>
      <c r="AE38" s="28" t="n">
        <v>892.7167740905379</v>
      </c>
      <c r="AF38" s="28" t="n">
        <v>44.46035500899341</v>
      </c>
      <c r="AG38" s="28" t="n">
        <v>1812.188256576918</v>
      </c>
      <c r="AH38" s="28" t="n">
        <v>2265.482925684436</v>
      </c>
      <c r="AI38" s="28" t="n">
        <v>273.0436019828551</v>
      </c>
      <c r="AJ38" s="28" t="n">
        <v>303.2764875986319</v>
      </c>
      <c r="AK38" s="28" t="n">
        <v>72.36880844998485</v>
      </c>
      <c r="AL38" s="28" t="n">
        <v>3757.833478339357</v>
      </c>
      <c r="AM38" s="28" t="n">
        <v>203.3611412131887</v>
      </c>
      <c r="AN38" s="28" t="n">
        <v>10.70811590546598</v>
      </c>
      <c r="AO38" s="28" t="n">
        <v>5.759406099134234</v>
      </c>
      <c r="AP38" s="28" t="n">
        <v>7.864606172012277</v>
      </c>
      <c r="AQ38" s="28" t="n">
        <v>2.840292339740859</v>
      </c>
      <c r="AR38" s="28" t="n">
        <v>0.1386947715896381</v>
      </c>
      <c r="AS38" s="28" t="n">
        <v>9.843304784119775</v>
      </c>
      <c r="AT38" s="28" t="n">
        <v>60.47274323846089</v>
      </c>
      <c r="AU38" s="28" t="n">
        <v>1.866488180746805</v>
      </c>
      <c r="AV38" s="28" t="n">
        <v>0.9451180871584185</v>
      </c>
      <c r="AW38" s="28" t="n">
        <v>6.680511298964148</v>
      </c>
      <c r="AX38" s="28" t="n">
        <v>0</v>
      </c>
      <c r="AY38" s="28" t="n">
        <v>10.11971815870548</v>
      </c>
      <c r="AZ38" s="28" t="n">
        <v>4.763112541236397</v>
      </c>
      <c r="BA38" s="28" t="n">
        <v>39.58198074287498</v>
      </c>
      <c r="BB38" s="28">
        <f>SUM(C38:BA38)</f>
        <v/>
      </c>
      <c r="BC38" s="28" t="n">
        <v>0</v>
      </c>
      <c r="BD38" s="28" t="n">
        <v>0</v>
      </c>
      <c r="BE38" s="28" t="n">
        <v>0</v>
      </c>
      <c r="BF38" s="28" t="n">
        <v>0</v>
      </c>
      <c r="BG38" s="28">
        <f>SUM(BC38:BF38)</f>
        <v/>
      </c>
      <c r="BH38" s="28">
        <f>BB38+BG38</f>
        <v/>
      </c>
    </row>
    <row r="39">
      <c r="A39" s="30" t="n">
        <v>26</v>
      </c>
      <c r="B39" s="31" t="inlineStr">
        <is>
          <t>Metalurgia de metais não-ferrosos</t>
        </is>
      </c>
      <c r="C39" s="30" t="n">
        <v>376.6290106625073</v>
      </c>
      <c r="D39" s="30" t="n">
        <v>48.14478199103926</v>
      </c>
      <c r="E39" s="30" t="n">
        <v>24.53534908307539</v>
      </c>
      <c r="F39" s="30" t="n">
        <v>5.827860704165948</v>
      </c>
      <c r="G39" s="30" t="n">
        <v>23.78721407031987</v>
      </c>
      <c r="H39" s="30" t="n">
        <v>295.1420448605506</v>
      </c>
      <c r="I39" s="30" t="n">
        <v>0.1500216754518039</v>
      </c>
      <c r="J39" s="30" t="n">
        <v>5.01447137880638</v>
      </c>
      <c r="K39" s="30" t="n">
        <v>3.446102400808992</v>
      </c>
      <c r="L39" s="30" t="n">
        <v>4.326072394974444</v>
      </c>
      <c r="M39" s="30" t="n">
        <v>1.208199368792364</v>
      </c>
      <c r="N39" s="30" t="n">
        <v>115.5354964740798</v>
      </c>
      <c r="O39" s="30" t="n">
        <v>112.8036688337393</v>
      </c>
      <c r="P39" s="30" t="n">
        <v>1.195984456760973</v>
      </c>
      <c r="Q39" s="30" t="n">
        <v>0.8257925025753532</v>
      </c>
      <c r="R39" s="30" t="n">
        <v>287.3697999526154</v>
      </c>
      <c r="S39" s="30" t="n">
        <v>16.70449313493879</v>
      </c>
      <c r="T39" s="30" t="n">
        <v>5.919735522514537</v>
      </c>
      <c r="U39" s="30" t="n">
        <v>8.676490987124485</v>
      </c>
      <c r="V39" s="30" t="n">
        <v>16.81865025873404</v>
      </c>
      <c r="W39" s="30" t="n">
        <v>19.07318451658039</v>
      </c>
      <c r="X39" s="30" t="n">
        <v>85.83519770793386</v>
      </c>
      <c r="Y39" s="30" t="n">
        <v>35.42351004777213</v>
      </c>
      <c r="Z39" s="30" t="n">
        <v>59.5146217962584</v>
      </c>
      <c r="AA39" s="30" t="n">
        <v>586.6503623183683</v>
      </c>
      <c r="AB39" s="30" t="n">
        <v>2496.42059136542</v>
      </c>
      <c r="AC39" s="30" t="n">
        <v>632.5686511574266</v>
      </c>
      <c r="AD39" s="30" t="n">
        <v>1032.602971612465</v>
      </c>
      <c r="AE39" s="30" t="n">
        <v>2739.255044051885</v>
      </c>
      <c r="AF39" s="30" t="n">
        <v>104.8037009530189</v>
      </c>
      <c r="AG39" s="30" t="n">
        <v>250.0471486566404</v>
      </c>
      <c r="AH39" s="30" t="n">
        <v>1869.147770150533</v>
      </c>
      <c r="AI39" s="30" t="n">
        <v>340.0934630025828</v>
      </c>
      <c r="AJ39" s="30" t="n">
        <v>680.3113666569089</v>
      </c>
      <c r="AK39" s="30" t="n">
        <v>77.90893522998847</v>
      </c>
      <c r="AL39" s="30" t="n">
        <v>1248.309640847038</v>
      </c>
      <c r="AM39" s="30" t="n">
        <v>114.175727770968</v>
      </c>
      <c r="AN39" s="30" t="n">
        <v>13.4749064937349</v>
      </c>
      <c r="AO39" s="30" t="n">
        <v>5.494611621714588</v>
      </c>
      <c r="AP39" s="30" t="n">
        <v>3.355852511279523</v>
      </c>
      <c r="AQ39" s="30" t="n">
        <v>18.70387941693093</v>
      </c>
      <c r="AR39" s="30" t="n">
        <v>0.23779353143434</v>
      </c>
      <c r="AS39" s="30" t="n">
        <v>4.1166338896071</v>
      </c>
      <c r="AT39" s="30" t="n">
        <v>9.055461672405798</v>
      </c>
      <c r="AU39" s="30" t="n">
        <v>1.050471413511176</v>
      </c>
      <c r="AV39" s="30" t="n">
        <v>15.0422688363703</v>
      </c>
      <c r="AW39" s="30" t="n">
        <v>9.122896047910476</v>
      </c>
      <c r="AX39" s="30" t="n">
        <v>0</v>
      </c>
      <c r="AY39" s="30" t="n">
        <v>2.053282184444975</v>
      </c>
      <c r="AZ39" s="30" t="n">
        <v>3.466118716760298</v>
      </c>
      <c r="BA39" s="30" t="n">
        <v>10.37791999328959</v>
      </c>
      <c r="BB39" s="30">
        <f>SUM(C39:BA39)</f>
        <v/>
      </c>
      <c r="BC39" s="30" t="n">
        <v>0</v>
      </c>
      <c r="BD39" s="30" t="n">
        <v>0</v>
      </c>
      <c r="BE39" s="30" t="n">
        <v>0</v>
      </c>
      <c r="BF39" s="30" t="n">
        <v>0</v>
      </c>
      <c r="BG39" s="30">
        <f>SUM(BC39:BF39)</f>
        <v/>
      </c>
      <c r="BH39" s="30">
        <f>BB39+BG39</f>
        <v/>
      </c>
    </row>
    <row r="40">
      <c r="A40" s="29" t="inlineStr">
        <is>
          <t>Produtos de metal</t>
        </is>
      </c>
      <c r="B40" s="29" t="inlineStr">
        <is>
          <t>exclusive máquinas e equipamentos</t>
        </is>
      </c>
      <c r="C40" s="28" t="n">
        <v>91.66803873343841</v>
      </c>
      <c r="D40" s="28" t="n">
        <v>136.780184804361</v>
      </c>
      <c r="E40" s="28" t="n">
        <v>340.4966294201944</v>
      </c>
      <c r="F40" s="28" t="n">
        <v>178.4169989195039</v>
      </c>
      <c r="G40" s="28" t="n">
        <v>79.19878749613899</v>
      </c>
      <c r="H40" s="28" t="n">
        <v>1746.371663282085</v>
      </c>
      <c r="I40" s="28" t="n">
        <v>7.080008034956083</v>
      </c>
      <c r="J40" s="28" t="n">
        <v>28.14402857799902</v>
      </c>
      <c r="K40" s="28" t="n">
        <v>36.53385104753146</v>
      </c>
      <c r="L40" s="28" t="n">
        <v>17.63530141097208</v>
      </c>
      <c r="M40" s="28" t="n">
        <v>92.43634715701518</v>
      </c>
      <c r="N40" s="28" t="n">
        <v>36.55457814085489</v>
      </c>
      <c r="O40" s="28" t="n">
        <v>15.91991181746528</v>
      </c>
      <c r="P40" s="28" t="n">
        <v>69.95235065558366</v>
      </c>
      <c r="Q40" s="28" t="n">
        <v>14.08800456300747</v>
      </c>
      <c r="R40" s="28" t="n">
        <v>74.69986889524188</v>
      </c>
      <c r="S40" s="28" t="n">
        <v>29.60572047141786</v>
      </c>
      <c r="T40" s="28" t="n">
        <v>31.59545511350513</v>
      </c>
      <c r="U40" s="28" t="n">
        <v>14.09594251724879</v>
      </c>
      <c r="V40" s="28" t="n">
        <v>224.5359684873752</v>
      </c>
      <c r="W40" s="28" t="n">
        <v>187.40196415828</v>
      </c>
      <c r="X40" s="28" t="n">
        <v>14.52380215636401</v>
      </c>
      <c r="Y40" s="28" t="n">
        <v>56.60618841207206</v>
      </c>
      <c r="Z40" s="28" t="n">
        <v>62.05135781319544</v>
      </c>
      <c r="AA40" s="28" t="n">
        <v>724.9565141139722</v>
      </c>
      <c r="AB40" s="28" t="n">
        <v>85.49297026372182</v>
      </c>
      <c r="AC40" s="28" t="n">
        <v>1851.71840307368</v>
      </c>
      <c r="AD40" s="28" t="n">
        <v>2263.801555982858</v>
      </c>
      <c r="AE40" s="28" t="n">
        <v>701.7074482302512</v>
      </c>
      <c r="AF40" s="28" t="n">
        <v>368.7535043389331</v>
      </c>
      <c r="AG40" s="28" t="n">
        <v>1197.688422359122</v>
      </c>
      <c r="AH40" s="28" t="n">
        <v>855.8805921467051</v>
      </c>
      <c r="AI40" s="28" t="n">
        <v>617.6606876603531</v>
      </c>
      <c r="AJ40" s="28" t="n">
        <v>291.7134930477378</v>
      </c>
      <c r="AK40" s="28" t="n">
        <v>622.4815328210528</v>
      </c>
      <c r="AL40" s="28" t="n">
        <v>5577.122410318956</v>
      </c>
      <c r="AM40" s="28" t="n">
        <v>339.500439072774</v>
      </c>
      <c r="AN40" s="28" t="n">
        <v>61.28731855476795</v>
      </c>
      <c r="AO40" s="28" t="n">
        <v>13.44281081281672</v>
      </c>
      <c r="AP40" s="28" t="n">
        <v>6.099029273709896</v>
      </c>
      <c r="AQ40" s="28" t="n">
        <v>90.98461391275727</v>
      </c>
      <c r="AR40" s="28" t="n">
        <v>1.280201658751963</v>
      </c>
      <c r="AS40" s="28" t="n">
        <v>398.3427405641353</v>
      </c>
      <c r="AT40" s="28" t="n">
        <v>68.03450884151887</v>
      </c>
      <c r="AU40" s="28" t="n">
        <v>3.172810621677558</v>
      </c>
      <c r="AV40" s="28" t="n">
        <v>34.45556166239381</v>
      </c>
      <c r="AW40" s="28" t="n">
        <v>114.2133487451112</v>
      </c>
      <c r="AX40" s="28" t="n">
        <v>0</v>
      </c>
      <c r="AY40" s="28" t="n">
        <v>22.35560017631601</v>
      </c>
      <c r="AZ40" s="28" t="n">
        <v>24.23344726391219</v>
      </c>
      <c r="BA40" s="28" t="n">
        <v>273.7037754388467</v>
      </c>
      <c r="BB40" s="28">
        <f>SUM(C40:BA40)</f>
        <v/>
      </c>
      <c r="BC40" s="28" t="n">
        <v>0</v>
      </c>
      <c r="BD40" s="28" t="n">
        <v>0</v>
      </c>
      <c r="BE40" s="28" t="n">
        <v>0</v>
      </c>
      <c r="BF40" s="28" t="n">
        <v>0</v>
      </c>
      <c r="BG40" s="28">
        <f>SUM(BC40:BF40)</f>
        <v/>
      </c>
      <c r="BH40" s="28">
        <f>BB40+BG40</f>
        <v/>
      </c>
    </row>
    <row r="41">
      <c r="A41" s="30" t="n">
        <v>28</v>
      </c>
      <c r="B41" s="31" t="inlineStr">
        <is>
          <t>Máquinas e equipamentos inclusive manutenção e reparos</t>
        </is>
      </c>
      <c r="C41" s="30" t="n">
        <v>59.5981679990037</v>
      </c>
      <c r="D41" s="30" t="n">
        <v>26.2234335167981</v>
      </c>
      <c r="E41" s="30" t="n">
        <v>1621.067934227315</v>
      </c>
      <c r="F41" s="30" t="n">
        <v>1295.084944807483</v>
      </c>
      <c r="G41" s="30" t="n">
        <v>631.3421133511421</v>
      </c>
      <c r="H41" s="30" t="n">
        <v>639.2069130223106</v>
      </c>
      <c r="I41" s="30" t="n">
        <v>2.946376250377187</v>
      </c>
      <c r="J41" s="30" t="n">
        <v>84.9457757879091</v>
      </c>
      <c r="K41" s="30" t="n">
        <v>147.260684810239</v>
      </c>
      <c r="L41" s="30" t="n">
        <v>42.5711942256773</v>
      </c>
      <c r="M41" s="30" t="n">
        <v>155.2880046924294</v>
      </c>
      <c r="N41" s="30" t="n">
        <v>555.2282633530814</v>
      </c>
      <c r="O41" s="30" t="n">
        <v>362.4287308810412</v>
      </c>
      <c r="P41" s="30" t="n">
        <v>145.9510749890187</v>
      </c>
      <c r="Q41" s="30" t="n">
        <v>127.293803822287</v>
      </c>
      <c r="R41" s="30" t="n">
        <v>203.4400650846907</v>
      </c>
      <c r="S41" s="30" t="n">
        <v>79.35182581555243</v>
      </c>
      <c r="T41" s="30" t="n">
        <v>131.2783937354482</v>
      </c>
      <c r="U41" s="30" t="n">
        <v>44.36229512559557</v>
      </c>
      <c r="V41" s="30" t="n">
        <v>55.02034329635843</v>
      </c>
      <c r="W41" s="30" t="n">
        <v>71.20727537750453</v>
      </c>
      <c r="X41" s="30" t="n">
        <v>83.06531990505647</v>
      </c>
      <c r="Y41" s="30" t="n">
        <v>180.6432302888373</v>
      </c>
      <c r="Z41" s="30" t="n">
        <v>641.8837779040899</v>
      </c>
      <c r="AA41" s="30" t="n">
        <v>2563.125766691</v>
      </c>
      <c r="AB41" s="30" t="n">
        <v>496.1135043905741</v>
      </c>
      <c r="AC41" s="30" t="n">
        <v>253.2587256217434</v>
      </c>
      <c r="AD41" s="30" t="n">
        <v>10143.58454357073</v>
      </c>
      <c r="AE41" s="30" t="n">
        <v>454.4119204446522</v>
      </c>
      <c r="AF41" s="30" t="n">
        <v>224.7256416023274</v>
      </c>
      <c r="AG41" s="30" t="n">
        <v>906.6038891040383</v>
      </c>
      <c r="AH41" s="30" t="n">
        <v>371.0405931174747</v>
      </c>
      <c r="AI41" s="30" t="n">
        <v>349.8437522023164</v>
      </c>
      <c r="AJ41" s="30" t="n">
        <v>152.5895613528336</v>
      </c>
      <c r="AK41" s="30" t="n">
        <v>637.9864752075902</v>
      </c>
      <c r="AL41" s="30" t="n">
        <v>2035.706078775441</v>
      </c>
      <c r="AM41" s="30" t="n">
        <v>1347.912927285875</v>
      </c>
      <c r="AN41" s="30" t="n">
        <v>1334.039662672628</v>
      </c>
      <c r="AO41" s="30" t="n">
        <v>633.5782108138428</v>
      </c>
      <c r="AP41" s="30" t="n">
        <v>94.24303610885822</v>
      </c>
      <c r="AQ41" s="30" t="n">
        <v>28.42591142926488</v>
      </c>
      <c r="AR41" s="30" t="n">
        <v>23.80089018098717</v>
      </c>
      <c r="AS41" s="30" t="n">
        <v>70.35856741900885</v>
      </c>
      <c r="AT41" s="30" t="n">
        <v>746.8407621734443</v>
      </c>
      <c r="AU41" s="30" t="n">
        <v>3.558217310940015</v>
      </c>
      <c r="AV41" s="30" t="n">
        <v>254.4955580576498</v>
      </c>
      <c r="AW41" s="30" t="n">
        <v>525.792550306106</v>
      </c>
      <c r="AX41" s="30" t="n">
        <v>0</v>
      </c>
      <c r="AY41" s="30" t="n">
        <v>50.48624219222066</v>
      </c>
      <c r="AZ41" s="30" t="n">
        <v>245.9470774882702</v>
      </c>
      <c r="BA41" s="30" t="n">
        <v>280.840426366618</v>
      </c>
      <c r="BB41" s="30">
        <f>SUM(C41:BA41)</f>
        <v/>
      </c>
      <c r="BC41" s="30" t="n">
        <v>0</v>
      </c>
      <c r="BD41" s="30" t="n">
        <v>0</v>
      </c>
      <c r="BE41" s="30" t="n">
        <v>0</v>
      </c>
      <c r="BF41" s="30" t="n">
        <v>0</v>
      </c>
      <c r="BG41" s="30">
        <f>SUM(BC41:BF41)</f>
        <v/>
      </c>
      <c r="BH41" s="30">
        <f>BB41+BG41</f>
        <v/>
      </c>
    </row>
    <row r="42">
      <c r="A42" s="28" t="n">
        <v>29</v>
      </c>
      <c r="B42" s="29" t="inlineStr">
        <is>
          <t>Eletrodomésticos e material eletronico</t>
        </is>
      </c>
      <c r="C42" s="28" t="n">
        <v>15.82886007848752</v>
      </c>
      <c r="D42" s="28" t="n">
        <v>34.93782217133221</v>
      </c>
      <c r="E42" s="28" t="n">
        <v>83.6530250461846</v>
      </c>
      <c r="F42" s="28" t="n">
        <v>22.18681910931824</v>
      </c>
      <c r="G42" s="28" t="n">
        <v>20.61165632734874</v>
      </c>
      <c r="H42" s="28" t="n">
        <v>76.00237964085733</v>
      </c>
      <c r="I42" s="28" t="n">
        <v>1.625552771470396</v>
      </c>
      <c r="J42" s="28" t="n">
        <v>21.93132750203399</v>
      </c>
      <c r="K42" s="28" t="n">
        <v>6.396991777567441</v>
      </c>
      <c r="L42" s="28" t="n">
        <v>3.843342832272484</v>
      </c>
      <c r="M42" s="28" t="n">
        <v>9.598632566287494</v>
      </c>
      <c r="N42" s="28" t="n">
        <v>26.35463935047579</v>
      </c>
      <c r="O42" s="28" t="n">
        <v>15.00181554023281</v>
      </c>
      <c r="P42" s="28" t="n">
        <v>3.456987228732064</v>
      </c>
      <c r="Q42" s="28" t="n">
        <v>3.024467826608289</v>
      </c>
      <c r="R42" s="28" t="n">
        <v>26.64920583283159</v>
      </c>
      <c r="S42" s="28" t="n">
        <v>11.17849398893876</v>
      </c>
      <c r="T42" s="28" t="n">
        <v>4.821041412353661</v>
      </c>
      <c r="U42" s="28" t="n">
        <v>1.528480944837786</v>
      </c>
      <c r="V42" s="28" t="n">
        <v>8.159079356830045</v>
      </c>
      <c r="W42" s="28" t="n">
        <v>3.342088927242146</v>
      </c>
      <c r="X42" s="28" t="n">
        <v>6.629408116763295</v>
      </c>
      <c r="Y42" s="28" t="n">
        <v>34.66170617368133</v>
      </c>
      <c r="Z42" s="28" t="n">
        <v>54.02299050097598</v>
      </c>
      <c r="AA42" s="28" t="n">
        <v>48.06354833626084</v>
      </c>
      <c r="AB42" s="28" t="n">
        <v>63.73950848942884</v>
      </c>
      <c r="AC42" s="28" t="n">
        <v>39.54006982131214</v>
      </c>
      <c r="AD42" s="28" t="n">
        <v>1861.93691125305</v>
      </c>
      <c r="AE42" s="28" t="n">
        <v>3168.258626815048</v>
      </c>
      <c r="AF42" s="28" t="n">
        <v>1009.184480656829</v>
      </c>
      <c r="AG42" s="28" t="n">
        <v>459.3001198305107</v>
      </c>
      <c r="AH42" s="28" t="n">
        <v>486.6886344488806</v>
      </c>
      <c r="AI42" s="28" t="n">
        <v>142.2588327756855</v>
      </c>
      <c r="AJ42" s="28" t="n">
        <v>95.5635463008726</v>
      </c>
      <c r="AK42" s="28" t="n">
        <v>1659.066588437985</v>
      </c>
      <c r="AL42" s="28" t="n">
        <v>3535.683520312409</v>
      </c>
      <c r="AM42" s="28" t="n">
        <v>377.7505513953794</v>
      </c>
      <c r="AN42" s="28" t="n">
        <v>423.9127362445897</v>
      </c>
      <c r="AO42" s="28" t="n">
        <v>367.1003262278546</v>
      </c>
      <c r="AP42" s="28" t="n">
        <v>21.33865743088209</v>
      </c>
      <c r="AQ42" s="28" t="n">
        <v>135.5099473983546</v>
      </c>
      <c r="AR42" s="28" t="n">
        <v>169.0482368523123</v>
      </c>
      <c r="AS42" s="28" t="n">
        <v>21.043047795631</v>
      </c>
      <c r="AT42" s="28" t="n">
        <v>290.5224250212502</v>
      </c>
      <c r="AU42" s="28" t="n">
        <v>1.585337813488524</v>
      </c>
      <c r="AV42" s="28" t="n">
        <v>184.4073349868139</v>
      </c>
      <c r="AW42" s="28" t="n">
        <v>416.0351593845709</v>
      </c>
      <c r="AX42" s="28" t="n">
        <v>0</v>
      </c>
      <c r="AY42" s="28" t="n">
        <v>43.99151612024539</v>
      </c>
      <c r="AZ42" s="28" t="n">
        <v>52.75749853141478</v>
      </c>
      <c r="BA42" s="28" t="n">
        <v>53.35181208698131</v>
      </c>
      <c r="BB42" s="28">
        <f>SUM(C42:BA42)</f>
        <v/>
      </c>
      <c r="BC42" s="28" t="n">
        <v>0</v>
      </c>
      <c r="BD42" s="28" t="n">
        <v>0</v>
      </c>
      <c r="BE42" s="28" t="n">
        <v>0</v>
      </c>
      <c r="BF42" s="28" t="n">
        <v>0</v>
      </c>
      <c r="BG42" s="28">
        <f>SUM(BC42:BF42)</f>
        <v/>
      </c>
      <c r="BH42" s="28">
        <f>BB42+BG42</f>
        <v/>
      </c>
    </row>
    <row r="43">
      <c r="A43" s="30" t="n">
        <v>30</v>
      </c>
      <c r="B43" s="31" t="inlineStr">
        <is>
          <t>Máquinas para escritório aparelhos e e material eletronico</t>
        </is>
      </c>
      <c r="C43" s="30" t="n">
        <v>1.094129626197844</v>
      </c>
      <c r="D43" s="30" t="n">
        <v>1.413621753572814</v>
      </c>
      <c r="E43" s="30" t="n">
        <v>189.5221284928318</v>
      </c>
      <c r="F43" s="30" t="n">
        <v>11.1812320097989</v>
      </c>
      <c r="G43" s="30" t="n">
        <v>29.58834484712318</v>
      </c>
      <c r="H43" s="30" t="n">
        <v>25.93841116062469</v>
      </c>
      <c r="I43" s="30" t="n">
        <v>-0.316491567911459</v>
      </c>
      <c r="J43" s="30" t="n">
        <v>0.1657246350452149</v>
      </c>
      <c r="K43" s="30" t="n">
        <v>-0.9001518635552846</v>
      </c>
      <c r="L43" s="30" t="n">
        <v>-1.782281846895833</v>
      </c>
      <c r="M43" s="30" t="n">
        <v>3.928317745097159</v>
      </c>
      <c r="N43" s="30" t="n">
        <v>5.618547878837233</v>
      </c>
      <c r="O43" s="30" t="n">
        <v>302.1441990376902</v>
      </c>
      <c r="P43" s="30" t="n">
        <v>3.624265785768293</v>
      </c>
      <c r="Q43" s="30" t="n">
        <v>1.082832704538629</v>
      </c>
      <c r="R43" s="30" t="n">
        <v>5.051258997590047</v>
      </c>
      <c r="S43" s="30" t="n">
        <v>3.205332304391338</v>
      </c>
      <c r="T43" s="30" t="n">
        <v>21.04094919996117</v>
      </c>
      <c r="U43" s="30" t="n">
        <v>1.854101741207979</v>
      </c>
      <c r="V43" s="30" t="n">
        <v>10.96187573114953</v>
      </c>
      <c r="W43" s="30" t="n">
        <v>6.745640066888076</v>
      </c>
      <c r="X43" s="30" t="n">
        <v>19.13890557788756</v>
      </c>
      <c r="Y43" s="30" t="n">
        <v>10.95088743400951</v>
      </c>
      <c r="Z43" s="30" t="n">
        <v>6.532158834969928</v>
      </c>
      <c r="AA43" s="30" t="n">
        <v>21.0271474978424</v>
      </c>
      <c r="AB43" s="30" t="n">
        <v>3.44811184727334</v>
      </c>
      <c r="AC43" s="30" t="n">
        <v>1.408738062096244</v>
      </c>
      <c r="AD43" s="30" t="n">
        <v>905.6006958874134</v>
      </c>
      <c r="AE43" s="30" t="n">
        <v>400.1362111904237</v>
      </c>
      <c r="AF43" s="30" t="n">
        <v>19433.37210862139</v>
      </c>
      <c r="AG43" s="30" t="n">
        <v>286.4700929943819</v>
      </c>
      <c r="AH43" s="30" t="n">
        <v>166.3118909626133</v>
      </c>
      <c r="AI43" s="30" t="n">
        <v>56.10130350552244</v>
      </c>
      <c r="AJ43" s="30" t="n">
        <v>39.29320609624605</v>
      </c>
      <c r="AK43" s="30" t="n">
        <v>129.0087055902498</v>
      </c>
      <c r="AL43" s="30" t="n">
        <v>443.4135378494675</v>
      </c>
      <c r="AM43" s="30" t="n">
        <v>152.00029441782</v>
      </c>
      <c r="AN43" s="30" t="n">
        <v>143.4460669552844</v>
      </c>
      <c r="AO43" s="30" t="n">
        <v>1747.114021850738</v>
      </c>
      <c r="AP43" s="30" t="n">
        <v>288.4038035048065</v>
      </c>
      <c r="AQ43" s="30" t="n">
        <v>5.35117924676682</v>
      </c>
      <c r="AR43" s="30" t="n">
        <v>557.8607892885564</v>
      </c>
      <c r="AS43" s="30" t="n">
        <v>3.080256163121289</v>
      </c>
      <c r="AT43" s="30" t="n">
        <v>2021.231347719525</v>
      </c>
      <c r="AU43" s="30" t="n">
        <v>81.2056494574577</v>
      </c>
      <c r="AV43" s="30" t="n">
        <v>5626.563334225334</v>
      </c>
      <c r="AW43" s="30" t="n">
        <v>191.1062471297627</v>
      </c>
      <c r="AX43" s="30" t="n">
        <v>0</v>
      </c>
      <c r="AY43" s="30" t="n">
        <v>1059.556276440301</v>
      </c>
      <c r="AZ43" s="30" t="n">
        <v>1517.85665663121</v>
      </c>
      <c r="BA43" s="30" t="n">
        <v>488.3108027792861</v>
      </c>
      <c r="BB43" s="30">
        <f>SUM(C43:BA43)</f>
        <v/>
      </c>
      <c r="BC43" s="30" t="n">
        <v>0</v>
      </c>
      <c r="BD43" s="30" t="n">
        <v>0</v>
      </c>
      <c r="BE43" s="30" t="n">
        <v>0</v>
      </c>
      <c r="BF43" s="30" t="n">
        <v>0</v>
      </c>
      <c r="BG43" s="30">
        <f>SUM(BC43:BF43)</f>
        <v/>
      </c>
      <c r="BH43" s="30">
        <f>BB43+BG43</f>
        <v/>
      </c>
    </row>
    <row r="44">
      <c r="A44" s="28" t="n">
        <v>31</v>
      </c>
      <c r="B44" s="29" t="inlineStr">
        <is>
          <t>Automóveis camionetas caminhões e ônibus</t>
        </is>
      </c>
      <c r="C44" s="28" t="n">
        <v>-0.4186642045040773</v>
      </c>
      <c r="D44" s="28" t="n">
        <v>0.6339736608512221</v>
      </c>
      <c r="E44" s="28" t="n">
        <v>18.05512879751172</v>
      </c>
      <c r="F44" s="28" t="n">
        <v>1.830972265377623</v>
      </c>
      <c r="G44" s="28" t="n">
        <v>2.8826859898433</v>
      </c>
      <c r="H44" s="28" t="n">
        <v>-39.4250062646616</v>
      </c>
      <c r="I44" s="28" t="n">
        <v>-1.175924570569661</v>
      </c>
      <c r="J44" s="28" t="n">
        <v>-5.542760915223652</v>
      </c>
      <c r="K44" s="28" t="n">
        <v>-4.51250261226137</v>
      </c>
      <c r="L44" s="28" t="n">
        <v>-6.661827644031676</v>
      </c>
      <c r="M44" s="28" t="n">
        <v>-0.7198895397656186</v>
      </c>
      <c r="N44" s="28" t="n">
        <v>-8.106443929244005</v>
      </c>
      <c r="O44" s="28" t="n">
        <v>1.714691481048984</v>
      </c>
      <c r="P44" s="28" t="n">
        <v>0.1526435280249685</v>
      </c>
      <c r="Q44" s="28" t="n">
        <v>-1.617888711659812</v>
      </c>
      <c r="R44" s="28" t="n">
        <v>0.7006629808218926</v>
      </c>
      <c r="S44" s="28" t="n">
        <v>-2.423312113243726</v>
      </c>
      <c r="T44" s="28" t="n">
        <v>-4.34227952322538</v>
      </c>
      <c r="U44" s="28" t="n">
        <v>-1.365208296137882</v>
      </c>
      <c r="V44" s="28" t="n">
        <v>1.423036223095363</v>
      </c>
      <c r="W44" s="28" t="n">
        <v>-0.413602641160867</v>
      </c>
      <c r="X44" s="28" t="n">
        <v>0.5118973022006754</v>
      </c>
      <c r="Y44" s="28" t="n">
        <v>-10.02993660139579</v>
      </c>
      <c r="Z44" s="28" t="n">
        <v>-4.799103438355156</v>
      </c>
      <c r="AA44" s="28" t="n">
        <v>0.4592239253411469</v>
      </c>
      <c r="AB44" s="28" t="n">
        <v>-0.5148298617528428</v>
      </c>
      <c r="AC44" s="28" t="n">
        <v>-6.958313154874796</v>
      </c>
      <c r="AD44" s="28" t="n">
        <v>50.54419629353833</v>
      </c>
      <c r="AE44" s="28" t="n">
        <v>44.03137672320226</v>
      </c>
      <c r="AF44" s="28" t="n">
        <v>9.632259002199064</v>
      </c>
      <c r="AG44" s="28" t="n">
        <v>1715.532247249622</v>
      </c>
      <c r="AH44" s="28" t="n">
        <v>54.83893671139109</v>
      </c>
      <c r="AI44" s="28" t="n">
        <v>32.65106953995297</v>
      </c>
      <c r="AJ44" s="28" t="n">
        <v>-0.3592565829282282</v>
      </c>
      <c r="AK44" s="28" t="n">
        <v>32.93788848563857</v>
      </c>
      <c r="AL44" s="28" t="n">
        <v>78.1021474593614</v>
      </c>
      <c r="AM44" s="28" t="n">
        <v>98.71081061030679</v>
      </c>
      <c r="AN44" s="28" t="n">
        <v>111.3534779949378</v>
      </c>
      <c r="AO44" s="28" t="n">
        <v>-13.20116450851386</v>
      </c>
      <c r="AP44" s="28" t="n">
        <v>22.74376638448016</v>
      </c>
      <c r="AQ44" s="28" t="n">
        <v>4.000330198954479</v>
      </c>
      <c r="AR44" s="28" t="n">
        <v>0.4545656652442033</v>
      </c>
      <c r="AS44" s="28" t="n">
        <v>1.992487006878944</v>
      </c>
      <c r="AT44" s="28" t="n">
        <v>34.77959783449532</v>
      </c>
      <c r="AU44" s="28" t="n">
        <v>4.223325322647863</v>
      </c>
      <c r="AV44" s="28" t="n">
        <v>6.533492641734129</v>
      </c>
      <c r="AW44" s="28" t="n">
        <v>16.81295730528557</v>
      </c>
      <c r="AX44" s="28" t="n">
        <v>0</v>
      </c>
      <c r="AY44" s="28" t="n">
        <v>4.673456064982932</v>
      </c>
      <c r="AZ44" s="28" t="n">
        <v>2.72180200815734</v>
      </c>
      <c r="BA44" s="28" t="n">
        <v>19.07803659854816</v>
      </c>
      <c r="BB44" s="28">
        <f>SUM(C44:BA44)</f>
        <v/>
      </c>
      <c r="BC44" s="28" t="n">
        <v>0</v>
      </c>
      <c r="BD44" s="28" t="n">
        <v>0</v>
      </c>
      <c r="BE44" s="28" t="n">
        <v>0</v>
      </c>
      <c r="BF44" s="28" t="n">
        <v>0</v>
      </c>
      <c r="BG44" s="28">
        <f>SUM(BC44:BF44)</f>
        <v/>
      </c>
      <c r="BH44" s="28">
        <f>BB44+BG44</f>
        <v/>
      </c>
    </row>
    <row r="45">
      <c r="A45" s="30" t="n">
        <v>32</v>
      </c>
      <c r="B45" s="31" t="inlineStr">
        <is>
          <t>Peças e acessórios para veículos automotores</t>
        </is>
      </c>
      <c r="C45" s="30" t="n">
        <v>4.911622899141548</v>
      </c>
      <c r="D45" s="30" t="n">
        <v>5.289539755235364</v>
      </c>
      <c r="E45" s="30" t="n">
        <v>43.56462156727817</v>
      </c>
      <c r="F45" s="30" t="n">
        <v>28.26991099016979</v>
      </c>
      <c r="G45" s="30" t="n">
        <v>17.03638468166139</v>
      </c>
      <c r="H45" s="30" t="n">
        <v>59.12484039711693</v>
      </c>
      <c r="I45" s="30" t="n">
        <v>0.5327334365491798</v>
      </c>
      <c r="J45" s="30" t="n">
        <v>2.72952974620938</v>
      </c>
      <c r="K45" s="30" t="n">
        <v>3.490199599694713</v>
      </c>
      <c r="L45" s="30" t="n">
        <v>5.351284674784191</v>
      </c>
      <c r="M45" s="30" t="n">
        <v>4.143621841014247</v>
      </c>
      <c r="N45" s="30" t="n">
        <v>12.81621251419952</v>
      </c>
      <c r="O45" s="30" t="n">
        <v>14.35838991504936</v>
      </c>
      <c r="P45" s="30" t="n">
        <v>4.339216086430662</v>
      </c>
      <c r="Q45" s="30" t="n">
        <v>3.602149922049087</v>
      </c>
      <c r="R45" s="30" t="n">
        <v>22.71189506913914</v>
      </c>
      <c r="S45" s="30" t="n">
        <v>2.47368685551805</v>
      </c>
      <c r="T45" s="30" t="n">
        <v>5.244215804076388</v>
      </c>
      <c r="U45" s="30" t="n">
        <v>2.116993893114206</v>
      </c>
      <c r="V45" s="30" t="n">
        <v>6.479048448588367</v>
      </c>
      <c r="W45" s="30" t="n">
        <v>4.36575137421172</v>
      </c>
      <c r="X45" s="30" t="n">
        <v>2.599584243425563</v>
      </c>
      <c r="Y45" s="30" t="n">
        <v>36.13395926331096</v>
      </c>
      <c r="Z45" s="30" t="n">
        <v>44.48680700210701</v>
      </c>
      <c r="AA45" s="30" t="n">
        <v>73.29058604037294</v>
      </c>
      <c r="AB45" s="30" t="n">
        <v>30.38213506247923</v>
      </c>
      <c r="AC45" s="30" t="n">
        <v>43.15271151768129</v>
      </c>
      <c r="AD45" s="30" t="n">
        <v>302.203382019611</v>
      </c>
      <c r="AE45" s="30" t="n">
        <v>90.60495158646027</v>
      </c>
      <c r="AF45" s="30" t="n">
        <v>134.6416027194795</v>
      </c>
      <c r="AG45" s="30" t="n">
        <v>12758.03850773959</v>
      </c>
      <c r="AH45" s="30" t="n">
        <v>3630.007394414696</v>
      </c>
      <c r="AI45" s="30" t="n">
        <v>52.94832202098559</v>
      </c>
      <c r="AJ45" s="30" t="n">
        <v>14.18161915547899</v>
      </c>
      <c r="AK45" s="30" t="n">
        <v>39.04994535136399</v>
      </c>
      <c r="AL45" s="30" t="n">
        <v>232.4099473800661</v>
      </c>
      <c r="AM45" s="30" t="n">
        <v>3699.440903637099</v>
      </c>
      <c r="AN45" s="30" t="n">
        <v>2902.367457786918</v>
      </c>
      <c r="AO45" s="30" t="n">
        <v>25.29071273129568</v>
      </c>
      <c r="AP45" s="30" t="n">
        <v>10.3711061082449</v>
      </c>
      <c r="AQ45" s="30" t="n">
        <v>5.100274060322208</v>
      </c>
      <c r="AR45" s="30" t="n">
        <v>2.485520517491895</v>
      </c>
      <c r="AS45" s="30" t="n">
        <v>7.421551498505305</v>
      </c>
      <c r="AT45" s="30" t="n">
        <v>97.96262525485083</v>
      </c>
      <c r="AU45" s="30" t="n">
        <v>1.752712947135645</v>
      </c>
      <c r="AV45" s="30" t="n">
        <v>171.2709533128767</v>
      </c>
      <c r="AW45" s="30" t="n">
        <v>17.58339588236331</v>
      </c>
      <c r="AX45" s="30" t="n">
        <v>0</v>
      </c>
      <c r="AY45" s="30" t="n">
        <v>90.04775135664791</v>
      </c>
      <c r="AZ45" s="30" t="n">
        <v>83.55743905738022</v>
      </c>
      <c r="BA45" s="30" t="n">
        <v>309.7002797563829</v>
      </c>
      <c r="BB45" s="30">
        <f>SUM(C45:BA45)</f>
        <v/>
      </c>
      <c r="BC45" s="30" t="n">
        <v>0</v>
      </c>
      <c r="BD45" s="30" t="n">
        <v>0</v>
      </c>
      <c r="BE45" s="30" t="n">
        <v>0</v>
      </c>
      <c r="BF45" s="30" t="n">
        <v>0</v>
      </c>
      <c r="BG45" s="30">
        <f>SUM(BC45:BF45)</f>
        <v/>
      </c>
      <c r="BH45" s="30">
        <f>BB45+BG45</f>
        <v/>
      </c>
    </row>
    <row r="46">
      <c r="A46" s="28" t="n">
        <v>33</v>
      </c>
      <c r="B46" s="29" t="inlineStr">
        <is>
          <t>Outros equipamentos de transporte</t>
        </is>
      </c>
      <c r="C46" s="28" t="n">
        <v>0.4898677809545531</v>
      </c>
      <c r="D46" s="28" t="n">
        <v>0.3001193486118401</v>
      </c>
      <c r="E46" s="28" t="n">
        <v>8.634491934293305</v>
      </c>
      <c r="F46" s="28" t="n">
        <v>5.058036996330575</v>
      </c>
      <c r="G46" s="28" t="n">
        <v>2.548505831660933</v>
      </c>
      <c r="H46" s="28" t="n">
        <v>8.454486926456022</v>
      </c>
      <c r="I46" s="28" t="n">
        <v>0.3517784882578275</v>
      </c>
      <c r="J46" s="28" t="n">
        <v>0.5551758695808627</v>
      </c>
      <c r="K46" s="28" t="n">
        <v>6.377297618931436</v>
      </c>
      <c r="L46" s="28" t="n">
        <v>1.510879140417922</v>
      </c>
      <c r="M46" s="28" t="n">
        <v>0.6912690777589209</v>
      </c>
      <c r="N46" s="28" t="n">
        <v>2.515892718296388</v>
      </c>
      <c r="O46" s="28" t="n">
        <v>1.283868931079869</v>
      </c>
      <c r="P46" s="28" t="n">
        <v>1.365990191212811</v>
      </c>
      <c r="Q46" s="28" t="n">
        <v>0.593553722419718</v>
      </c>
      <c r="R46" s="28" t="n">
        <v>1.620811504191001</v>
      </c>
      <c r="S46" s="28" t="n">
        <v>0.5238949409753881</v>
      </c>
      <c r="T46" s="28" t="n">
        <v>1.763435074648106</v>
      </c>
      <c r="U46" s="28" t="n">
        <v>0.7718516951721188</v>
      </c>
      <c r="V46" s="28" t="n">
        <v>0.8741487154498614</v>
      </c>
      <c r="W46" s="28" t="n">
        <v>0.6909457397619738</v>
      </c>
      <c r="X46" s="28" t="n">
        <v>0.5209928440226271</v>
      </c>
      <c r="Y46" s="28" t="n">
        <v>1.186686827538358</v>
      </c>
      <c r="Z46" s="28" t="n">
        <v>3.29940734110296</v>
      </c>
      <c r="AA46" s="28" t="n">
        <v>9.750310216566636</v>
      </c>
      <c r="AB46" s="28" t="n">
        <v>1.945114940644266</v>
      </c>
      <c r="AC46" s="28" t="n">
        <v>2.713858669349181</v>
      </c>
      <c r="AD46" s="28" t="n">
        <v>559.6437307862468</v>
      </c>
      <c r="AE46" s="28" t="n">
        <v>2.625390817277439</v>
      </c>
      <c r="AF46" s="28" t="n">
        <v>1.846010506104437</v>
      </c>
      <c r="AG46" s="28" t="n">
        <v>6.6265732155179</v>
      </c>
      <c r="AH46" s="28" t="n">
        <v>3.953718175160267</v>
      </c>
      <c r="AI46" s="28" t="n">
        <v>5101.3912228012</v>
      </c>
      <c r="AJ46" s="28" t="n">
        <v>7.876541569178833</v>
      </c>
      <c r="AK46" s="28" t="n">
        <v>4.762587588683949</v>
      </c>
      <c r="AL46" s="28" t="n">
        <v>16.32918776852119</v>
      </c>
      <c r="AM46" s="28" t="n">
        <v>65.93660101541568</v>
      </c>
      <c r="AN46" s="28" t="n">
        <v>409.2326923318433</v>
      </c>
      <c r="AO46" s="28" t="n">
        <v>9.542151720566531</v>
      </c>
      <c r="AP46" s="28" t="n">
        <v>8.173666038844491</v>
      </c>
      <c r="AQ46" s="28" t="n">
        <v>0.9844817865590567</v>
      </c>
      <c r="AR46" s="28" t="n">
        <v>24.66060203711457</v>
      </c>
      <c r="AS46" s="28" t="n">
        <v>1.197949688221234</v>
      </c>
      <c r="AT46" s="28" t="n">
        <v>14.23974737645925</v>
      </c>
      <c r="AU46" s="28" t="n">
        <v>1.425648987028026</v>
      </c>
      <c r="AV46" s="28" t="n">
        <v>1.115171008272782</v>
      </c>
      <c r="AW46" s="28" t="n">
        <v>5.355836679808559</v>
      </c>
      <c r="AX46" s="28" t="n">
        <v>0</v>
      </c>
      <c r="AY46" s="28" t="n">
        <v>2.39744049645413</v>
      </c>
      <c r="AZ46" s="28" t="n">
        <v>2.603072225049604</v>
      </c>
      <c r="BA46" s="28" t="n">
        <v>97.31735546004349</v>
      </c>
      <c r="BB46" s="28">
        <f>SUM(C46:BA46)</f>
        <v/>
      </c>
      <c r="BC46" s="28" t="n">
        <v>0</v>
      </c>
      <c r="BD46" s="28" t="n">
        <v>0</v>
      </c>
      <c r="BE46" s="28" t="n">
        <v>0</v>
      </c>
      <c r="BF46" s="28" t="n">
        <v>0</v>
      </c>
      <c r="BG46" s="28">
        <f>SUM(BC46:BF46)</f>
        <v/>
      </c>
      <c r="BH46" s="28">
        <f>BB46+BG46</f>
        <v/>
      </c>
    </row>
    <row r="47">
      <c r="A47" s="30" t="n">
        <v>34</v>
      </c>
      <c r="B47" s="31" t="inlineStr">
        <is>
          <t>Móveis e produtos das indústrias diversas</t>
        </is>
      </c>
      <c r="C47" s="30" t="n">
        <v>10.30775829032501</v>
      </c>
      <c r="D47" s="30" t="n">
        <v>5.478846217805978</v>
      </c>
      <c r="E47" s="30" t="n">
        <v>29.19854308987789</v>
      </c>
      <c r="F47" s="30" t="n">
        <v>18.7104617407989</v>
      </c>
      <c r="G47" s="30" t="n">
        <v>4.519516523049895</v>
      </c>
      <c r="H47" s="30" t="n">
        <v>51.29456430475338</v>
      </c>
      <c r="I47" s="30" t="n">
        <v>-0.2440646663072702</v>
      </c>
      <c r="J47" s="30" t="n">
        <v>23.11085450160288</v>
      </c>
      <c r="K47" s="30" t="n">
        <v>956.6693247260139</v>
      </c>
      <c r="L47" s="30" t="n">
        <v>188.2725733073052</v>
      </c>
      <c r="M47" s="30" t="n">
        <v>10.38187764289676</v>
      </c>
      <c r="N47" s="30" t="n">
        <v>3.802724397896355</v>
      </c>
      <c r="O47" s="30" t="n">
        <v>3.580970262653435</v>
      </c>
      <c r="P47" s="30" t="n">
        <v>2.548566389912702</v>
      </c>
      <c r="Q47" s="30" t="n">
        <v>0.8374786705719136</v>
      </c>
      <c r="R47" s="30" t="n">
        <v>40.22123124667223</v>
      </c>
      <c r="S47" s="30" t="n">
        <v>14.85081625832895</v>
      </c>
      <c r="T47" s="30" t="n">
        <v>7.562129636095674</v>
      </c>
      <c r="U47" s="30" t="n">
        <v>23.83994028232993</v>
      </c>
      <c r="V47" s="30" t="n">
        <v>6.309912501986277</v>
      </c>
      <c r="W47" s="30" t="n">
        <v>3.134273881317469</v>
      </c>
      <c r="X47" s="30" t="n">
        <v>0.5303398371783837</v>
      </c>
      <c r="Y47" s="30" t="n">
        <v>42.47729330422948</v>
      </c>
      <c r="Z47" s="30" t="n">
        <v>80.62414986662628</v>
      </c>
      <c r="AA47" s="30" t="n">
        <v>13.89399717986581</v>
      </c>
      <c r="AB47" s="30" t="n">
        <v>1.082162638355055</v>
      </c>
      <c r="AC47" s="30" t="n">
        <v>15.74389049980205</v>
      </c>
      <c r="AD47" s="30" t="n">
        <v>418.2672938229497</v>
      </c>
      <c r="AE47" s="30" t="n">
        <v>13.16733598997282</v>
      </c>
      <c r="AF47" s="30" t="n">
        <v>9.123893888601621</v>
      </c>
      <c r="AG47" s="30" t="n">
        <v>223.6984080668096</v>
      </c>
      <c r="AH47" s="30" t="n">
        <v>314.8803677768173</v>
      </c>
      <c r="AI47" s="30" t="n">
        <v>39.8323042271738</v>
      </c>
      <c r="AJ47" s="30" t="n">
        <v>1163.169285832966</v>
      </c>
      <c r="AK47" s="30" t="n">
        <v>53.59803497057911</v>
      </c>
      <c r="AL47" s="30" t="n">
        <v>515.8667456342546</v>
      </c>
      <c r="AM47" s="30" t="n">
        <v>208.1728295022218</v>
      </c>
      <c r="AN47" s="30" t="n">
        <v>191.9282492621723</v>
      </c>
      <c r="AO47" s="30" t="n">
        <v>67.61258839235653</v>
      </c>
      <c r="AP47" s="30" t="n">
        <v>119.5268672839846</v>
      </c>
      <c r="AQ47" s="30" t="n">
        <v>59.53448546364645</v>
      </c>
      <c r="AR47" s="30" t="n">
        <v>2.89361115271369</v>
      </c>
      <c r="AS47" s="30" t="n">
        <v>9.389034506778012</v>
      </c>
      <c r="AT47" s="30" t="n">
        <v>774.3320839388266</v>
      </c>
      <c r="AU47" s="30" t="n">
        <v>15.0384689944558</v>
      </c>
      <c r="AV47" s="30" t="n">
        <v>29.34317656560365</v>
      </c>
      <c r="AW47" s="30" t="n">
        <v>209.5962376128162</v>
      </c>
      <c r="AX47" s="30" t="n">
        <v>0</v>
      </c>
      <c r="AY47" s="30" t="n">
        <v>81.90845757127516</v>
      </c>
      <c r="AZ47" s="30" t="n">
        <v>77.89462889043654</v>
      </c>
      <c r="BA47" s="30" t="n">
        <v>201.816523724377</v>
      </c>
      <c r="BB47" s="30">
        <f>SUM(C47:BA47)</f>
        <v/>
      </c>
      <c r="BC47" s="30" t="n">
        <v>0</v>
      </c>
      <c r="BD47" s="30" t="n">
        <v>0</v>
      </c>
      <c r="BE47" s="30" t="n">
        <v>0</v>
      </c>
      <c r="BF47" s="30" t="n">
        <v>0</v>
      </c>
      <c r="BG47" s="30">
        <f>SUM(BC47:BF47)</f>
        <v/>
      </c>
      <c r="BH47" s="30">
        <f>BB47+BG47</f>
        <v/>
      </c>
    </row>
    <row r="48">
      <c r="A48" s="28" t="n">
        <v>35</v>
      </c>
      <c r="B48" s="29" t="inlineStr">
        <is>
          <t>Produção e distribuição de eletricidade gás água esgoto e limpeza urbana</t>
        </is>
      </c>
      <c r="C48" s="28" t="n">
        <v>843.7379479763654</v>
      </c>
      <c r="D48" s="28" t="n">
        <v>560.4458744673678</v>
      </c>
      <c r="E48" s="28" t="n">
        <v>33.4797300161952</v>
      </c>
      <c r="F48" s="28" t="n">
        <v>149.8841874135445</v>
      </c>
      <c r="G48" s="28" t="n">
        <v>151.7757328472797</v>
      </c>
      <c r="H48" s="28" t="n">
        <v>661.8867242837073</v>
      </c>
      <c r="I48" s="28" t="n">
        <v>10.67599935498036</v>
      </c>
      <c r="J48" s="28" t="n">
        <v>270.4047349314951</v>
      </c>
      <c r="K48" s="28" t="n">
        <v>33.79186252317208</v>
      </c>
      <c r="L48" s="28" t="n">
        <v>42.8296368227422</v>
      </c>
      <c r="M48" s="28" t="n">
        <v>115.4318799340556</v>
      </c>
      <c r="N48" s="28" t="n">
        <v>337.3271039836837</v>
      </c>
      <c r="O48" s="28" t="n">
        <v>24.3399799906548</v>
      </c>
      <c r="P48" s="28" t="n">
        <v>42.05867062551334</v>
      </c>
      <c r="Q48" s="28" t="n">
        <v>19.77838990103573</v>
      </c>
      <c r="R48" s="28" t="n">
        <v>398.2669449918245</v>
      </c>
      <c r="S48" s="28" t="n">
        <v>217.6119778657976</v>
      </c>
      <c r="T48" s="28" t="n">
        <v>38.86254619450344</v>
      </c>
      <c r="U48" s="28" t="n">
        <v>37.01764280903065</v>
      </c>
      <c r="V48" s="28" t="n">
        <v>39.45512213611865</v>
      </c>
      <c r="W48" s="28" t="n">
        <v>20.70458160903026</v>
      </c>
      <c r="X48" s="28" t="n">
        <v>64.62790717407033</v>
      </c>
      <c r="Y48" s="28" t="n">
        <v>328.3543011943001</v>
      </c>
      <c r="Z48" s="28" t="n">
        <v>583.3551578073943</v>
      </c>
      <c r="AA48" s="28" t="n">
        <v>1279.937332796248</v>
      </c>
      <c r="AB48" s="28" t="n">
        <v>559.1700268301157</v>
      </c>
      <c r="AC48" s="28" t="n">
        <v>162.3912578482995</v>
      </c>
      <c r="AD48" s="28" t="n">
        <v>125.8209765217902</v>
      </c>
      <c r="AE48" s="28" t="n">
        <v>98.66604529221559</v>
      </c>
      <c r="AF48" s="28" t="n">
        <v>35.52258025819234</v>
      </c>
      <c r="AG48" s="28" t="n">
        <v>91.7605634531905</v>
      </c>
      <c r="AH48" s="28" t="n">
        <v>244.9218144350384</v>
      </c>
      <c r="AI48" s="28" t="n">
        <v>55.57438263815386</v>
      </c>
      <c r="AJ48" s="28" t="n">
        <v>48.02593290961855</v>
      </c>
      <c r="AK48" s="28" t="n">
        <v>7546.810142858339</v>
      </c>
      <c r="AL48" s="28" t="n">
        <v>107.7716156074429</v>
      </c>
      <c r="AM48" s="28" t="n">
        <v>2233.831705298116</v>
      </c>
      <c r="AN48" s="28" t="n">
        <v>392.1614723587096</v>
      </c>
      <c r="AO48" s="28" t="n">
        <v>416.8890354136242</v>
      </c>
      <c r="AP48" s="28" t="n">
        <v>294.4838313420883</v>
      </c>
      <c r="AQ48" s="28" t="n">
        <v>75.64704878499627</v>
      </c>
      <c r="AR48" s="28" t="n">
        <v>26.397851045166</v>
      </c>
      <c r="AS48" s="28" t="n">
        <v>411.8238711174151</v>
      </c>
      <c r="AT48" s="28" t="n">
        <v>343.1006350515334</v>
      </c>
      <c r="AU48" s="28" t="n">
        <v>269.6828620231263</v>
      </c>
      <c r="AV48" s="28" t="n">
        <v>362.4081922035449</v>
      </c>
      <c r="AW48" s="28" t="n">
        <v>1696.420797619744</v>
      </c>
      <c r="AX48" s="28" t="n">
        <v>0</v>
      </c>
      <c r="AY48" s="28" t="n">
        <v>369.3172706770909</v>
      </c>
      <c r="AZ48" s="28" t="n">
        <v>268.8624685413191</v>
      </c>
      <c r="BA48" s="28" t="n">
        <v>1682.891424591596</v>
      </c>
      <c r="BB48" s="28">
        <f>SUM(C48:BA48)</f>
        <v/>
      </c>
      <c r="BC48" s="28" t="n">
        <v>0</v>
      </c>
      <c r="BD48" s="28" t="n">
        <v>0</v>
      </c>
      <c r="BE48" s="28" t="n">
        <v>0</v>
      </c>
      <c r="BF48" s="28" t="n">
        <v>0</v>
      </c>
      <c r="BG48" s="28">
        <f>SUM(BC48:BF48)</f>
        <v/>
      </c>
      <c r="BH48" s="28">
        <f>BB48+BG48</f>
        <v/>
      </c>
    </row>
    <row r="49">
      <c r="A49" s="30" t="n">
        <v>36</v>
      </c>
      <c r="B49" s="31" t="inlineStr">
        <is>
          <t>Construção civil</t>
        </is>
      </c>
      <c r="C49" s="30" t="n">
        <v>2.648407467278304</v>
      </c>
      <c r="D49" s="30" t="n">
        <v>6.126359116987709</v>
      </c>
      <c r="E49" s="30" t="n">
        <v>96.78766722293878</v>
      </c>
      <c r="F49" s="30" t="n">
        <v>49.85708715038583</v>
      </c>
      <c r="G49" s="30" t="n">
        <v>11.31999263836919</v>
      </c>
      <c r="H49" s="30" t="n">
        <v>2.715408198352315</v>
      </c>
      <c r="I49" s="30" t="n">
        <v>0.1452084245155164</v>
      </c>
      <c r="J49" s="30" t="n">
        <v>1.518256032906937</v>
      </c>
      <c r="K49" s="30" t="n">
        <v>0.1940454600942575</v>
      </c>
      <c r="L49" s="30" t="n">
        <v>0.1362269198948284</v>
      </c>
      <c r="M49" s="30" t="n">
        <v>0.03891998639877212</v>
      </c>
      <c r="N49" s="30" t="n">
        <v>1.039667918321672</v>
      </c>
      <c r="O49" s="30" t="n">
        <v>0.8383229191607779</v>
      </c>
      <c r="P49" s="30" t="n">
        <v>0.978623920410055</v>
      </c>
      <c r="Q49" s="30" t="n">
        <v>1.095122203375285</v>
      </c>
      <c r="R49" s="30" t="n">
        <v>2.942500731205328</v>
      </c>
      <c r="S49" s="30" t="n">
        <v>0.07115175427338183</v>
      </c>
      <c r="T49" s="30" t="n">
        <v>0.5600337452042845</v>
      </c>
      <c r="U49" s="30" t="n">
        <v>0.2536716117953968</v>
      </c>
      <c r="V49" s="30" t="n">
        <v>0.2592111111528012</v>
      </c>
      <c r="W49" s="30" t="n">
        <v>0.1746129779902856</v>
      </c>
      <c r="X49" s="30" t="n">
        <v>0.1036815244458811</v>
      </c>
      <c r="Y49" s="30" t="n">
        <v>0.3468499797688636</v>
      </c>
      <c r="Z49" s="30" t="n">
        <v>1.319486702245305</v>
      </c>
      <c r="AA49" s="30" t="n">
        <v>6.832410820579643</v>
      </c>
      <c r="AB49" s="30" t="n">
        <v>47.35505415983815</v>
      </c>
      <c r="AC49" s="30" t="n">
        <v>2.058207356517651</v>
      </c>
      <c r="AD49" s="30" t="n">
        <v>4.076020535381893</v>
      </c>
      <c r="AE49" s="30" t="n">
        <v>0.9496937789255427</v>
      </c>
      <c r="AF49" s="30" t="n">
        <v>3.571589571406</v>
      </c>
      <c r="AG49" s="30" t="n">
        <v>12.06526013445505</v>
      </c>
      <c r="AH49" s="30" t="n">
        <v>1.641863112581521</v>
      </c>
      <c r="AI49" s="30" t="n">
        <v>12.14979526799844</v>
      </c>
      <c r="AJ49" s="30" t="n">
        <v>0.6946625764437065</v>
      </c>
      <c r="AK49" s="30" t="n">
        <v>189.6731926442914</v>
      </c>
      <c r="AL49" s="30" t="n">
        <v>2050.393053337741</v>
      </c>
      <c r="AM49" s="30" t="n">
        <v>51.86241737014087</v>
      </c>
      <c r="AN49" s="30" t="n">
        <v>59.72898590618971</v>
      </c>
      <c r="AO49" s="30" t="n">
        <v>217.4876818783151</v>
      </c>
      <c r="AP49" s="30" t="n">
        <v>50.27874733534095</v>
      </c>
      <c r="AQ49" s="30" t="n">
        <v>54.54169401640333</v>
      </c>
      <c r="AR49" s="30" t="n">
        <v>0.0984292815545719</v>
      </c>
      <c r="AS49" s="30" t="n">
        <v>20.08970476770482</v>
      </c>
      <c r="AT49" s="30" t="n">
        <v>45.40304623233828</v>
      </c>
      <c r="AU49" s="30" t="n">
        <v>14.96201666668167</v>
      </c>
      <c r="AV49" s="30" t="n">
        <v>0.5988928943704919</v>
      </c>
      <c r="AW49" s="30" t="n">
        <v>101.5023738676716</v>
      </c>
      <c r="AX49" s="30" t="n">
        <v>0</v>
      </c>
      <c r="AY49" s="30" t="n">
        <v>36.31242129095882</v>
      </c>
      <c r="AZ49" s="30" t="n">
        <v>88.78668046477419</v>
      </c>
      <c r="BA49" s="30" t="n">
        <v>409.3733455066516</v>
      </c>
      <c r="BB49" s="30">
        <f>SUM(C49:BA49)</f>
        <v/>
      </c>
      <c r="BC49" s="30" t="n">
        <v>0</v>
      </c>
      <c r="BD49" s="30" t="n">
        <v>0</v>
      </c>
      <c r="BE49" s="30" t="n">
        <v>0</v>
      </c>
      <c r="BF49" s="30" t="n">
        <v>0</v>
      </c>
      <c r="BG49" s="30">
        <f>SUM(BC49:BF49)</f>
        <v/>
      </c>
      <c r="BH49" s="30">
        <f>BB49+BG49</f>
        <v/>
      </c>
    </row>
    <row r="50">
      <c r="A50" s="28" t="n">
        <v>37</v>
      </c>
      <c r="B50" s="29" t="inlineStr">
        <is>
          <t>Comércio</t>
        </is>
      </c>
      <c r="C50" s="28" t="n">
        <v>-511.4085799234985</v>
      </c>
      <c r="D50" s="28" t="n">
        <v>44.06609619970231</v>
      </c>
      <c r="E50" s="28" t="n">
        <v>-122.4724052213819</v>
      </c>
      <c r="F50" s="28" t="n">
        <v>-2756.925674720324</v>
      </c>
      <c r="G50" s="28" t="n">
        <v>-749.4864418827874</v>
      </c>
      <c r="H50" s="28" t="n">
        <v>-29391.66994130532</v>
      </c>
      <c r="I50" s="28" t="n">
        <v>-985.0389681175803</v>
      </c>
      <c r="J50" s="28" t="n">
        <v>-2970.485216443004</v>
      </c>
      <c r="K50" s="28" t="n">
        <v>-2485.917595973407</v>
      </c>
      <c r="L50" s="28" t="n">
        <v>-3329.509026629101</v>
      </c>
      <c r="M50" s="28" t="n">
        <v>-803.4595771934522</v>
      </c>
      <c r="N50" s="28" t="n">
        <v>-5672.995158730178</v>
      </c>
      <c r="O50" s="28" t="n">
        <v>-284.1501446338943</v>
      </c>
      <c r="P50" s="28" t="n">
        <v>-1060.531921224092</v>
      </c>
      <c r="Q50" s="28" t="n">
        <v>-1168.635659051725</v>
      </c>
      <c r="R50" s="28" t="n">
        <v>-312.3639056469662</v>
      </c>
      <c r="S50" s="28" t="n">
        <v>-1482.019184064127</v>
      </c>
      <c r="T50" s="28" t="n">
        <v>-3776.980510888073</v>
      </c>
      <c r="U50" s="28" t="n">
        <v>-1315.849273752349</v>
      </c>
      <c r="V50" s="28" t="n">
        <v>-220.14458782219</v>
      </c>
      <c r="W50" s="28" t="n">
        <v>-705.5583680328158</v>
      </c>
      <c r="X50" s="28" t="n">
        <v>-2029.032734519999</v>
      </c>
      <c r="Y50" s="28" t="n">
        <v>-5596.546176898654</v>
      </c>
      <c r="Z50" s="28" t="n">
        <v>-4549.726711577568</v>
      </c>
      <c r="AA50" s="28" t="n">
        <v>-6123.143381486781</v>
      </c>
      <c r="AB50" s="28" t="n">
        <v>-1854.713313572031</v>
      </c>
      <c r="AC50" s="28" t="n">
        <v>-4139.294037980113</v>
      </c>
      <c r="AD50" s="28" t="n">
        <v>-16993.89984721287</v>
      </c>
      <c r="AE50" s="28" t="n">
        <v>-3951.971893423462</v>
      </c>
      <c r="AF50" s="28" t="n">
        <v>-4763.294054352461</v>
      </c>
      <c r="AG50" s="28" t="n">
        <v>-1717.604144894952</v>
      </c>
      <c r="AH50" s="28" t="n">
        <v>-84.63863911714489</v>
      </c>
      <c r="AI50" s="28" t="n">
        <v>-593.247312570854</v>
      </c>
      <c r="AJ50" s="28" t="n">
        <v>-1310.411614160831</v>
      </c>
      <c r="AK50" s="28" t="n">
        <v>-2860.161593479291</v>
      </c>
      <c r="AL50" s="28" t="n">
        <v>-1271.568710939077</v>
      </c>
      <c r="AM50" s="28" t="n">
        <v>-26213.87125942055</v>
      </c>
      <c r="AN50" s="28" t="n">
        <v>-20768.98148425345</v>
      </c>
      <c r="AO50" s="28" t="n">
        <v>-19438.10710526329</v>
      </c>
      <c r="AP50" s="28" t="n">
        <v>-394.2817603072962</v>
      </c>
      <c r="AQ50" s="28" t="n">
        <v>-37.22379616544571</v>
      </c>
      <c r="AR50" s="28" t="n">
        <v>-10.17620348582623</v>
      </c>
      <c r="AS50" s="28" t="n">
        <v>49.18454551190209</v>
      </c>
      <c r="AT50" s="28" t="n">
        <v>-5944.098785760115</v>
      </c>
      <c r="AU50" s="28" t="n">
        <v>-10.58185890521625</v>
      </c>
      <c r="AV50" s="28" t="n">
        <v>-1622.532661278413</v>
      </c>
      <c r="AW50" s="28" t="n">
        <v>-273.4704107920848</v>
      </c>
      <c r="AX50" s="28" t="n">
        <v>0</v>
      </c>
      <c r="AY50" s="28" t="n">
        <v>-746.166832960963</v>
      </c>
      <c r="AZ50" s="28" t="n">
        <v>-2224.6454178195</v>
      </c>
      <c r="BA50" s="28" t="n">
        <v>-5031.809030521625</v>
      </c>
      <c r="BB50" s="28">
        <f>SUM(C50:BA50)</f>
        <v/>
      </c>
      <c r="BC50" s="28" t="n">
        <v>0</v>
      </c>
      <c r="BD50" s="28" t="n">
        <v>0</v>
      </c>
      <c r="BE50" s="28" t="n">
        <v>0</v>
      </c>
      <c r="BF50" s="28" t="n">
        <v>0</v>
      </c>
      <c r="BG50" s="28">
        <f>SUM(BC50:BF50)</f>
        <v/>
      </c>
      <c r="BH50" s="28">
        <f>BB50+BG50</f>
        <v/>
      </c>
    </row>
    <row r="51">
      <c r="A51" s="30" t="n">
        <v>38</v>
      </c>
      <c r="B51" s="31" t="inlineStr">
        <is>
          <t>Transporte armazenagem e correio</t>
        </is>
      </c>
      <c r="C51" s="30" t="n">
        <v>-663.5405976520154</v>
      </c>
      <c r="D51" s="30" t="n">
        <v>-118.8411277958018</v>
      </c>
      <c r="E51" s="30" t="n">
        <v>-1251.087817526134</v>
      </c>
      <c r="F51" s="30" t="n">
        <v>-608.082205217875</v>
      </c>
      <c r="G51" s="30" t="n">
        <v>-242.1906220191692</v>
      </c>
      <c r="H51" s="30" t="n">
        <v>-4192.56590876648</v>
      </c>
      <c r="I51" s="30" t="n">
        <v>-25.84167518406767</v>
      </c>
      <c r="J51" s="30" t="n">
        <v>-178.9636205897498</v>
      </c>
      <c r="K51" s="30" t="n">
        <v>-51.6670913177012</v>
      </c>
      <c r="L51" s="30" t="n">
        <v>-121.5576542677159</v>
      </c>
      <c r="M51" s="30" t="n">
        <v>-43.86642101221176</v>
      </c>
      <c r="N51" s="30" t="n">
        <v>-570.4897806920687</v>
      </c>
      <c r="O51" s="30" t="n">
        <v>-68.82169452421607</v>
      </c>
      <c r="P51" s="30" t="n">
        <v>-348.2350964213617</v>
      </c>
      <c r="Q51" s="30" t="n">
        <v>-168.447128165837</v>
      </c>
      <c r="R51" s="30" t="n">
        <v>-555.4769618538753</v>
      </c>
      <c r="S51" s="30" t="n">
        <v>-149.2788384825921</v>
      </c>
      <c r="T51" s="30" t="n">
        <v>-304.8464231141749</v>
      </c>
      <c r="U51" s="30" t="n">
        <v>-66.81413652010289</v>
      </c>
      <c r="V51" s="30" t="n">
        <v>-201.1141949936744</v>
      </c>
      <c r="W51" s="30" t="n">
        <v>-52.01013984647295</v>
      </c>
      <c r="X51" s="30" t="n">
        <v>-98.12879871062327</v>
      </c>
      <c r="Y51" s="30" t="n">
        <v>-291.7324427703658</v>
      </c>
      <c r="Z51" s="30" t="n">
        <v>-283.7984403770893</v>
      </c>
      <c r="AA51" s="30" t="n">
        <v>-1150.257646770349</v>
      </c>
      <c r="AB51" s="30" t="n">
        <v>-79.60050362640506</v>
      </c>
      <c r="AC51" s="30" t="n">
        <v>-295.4669843312094</v>
      </c>
      <c r="AD51" s="30" t="n">
        <v>-211.4747624359591</v>
      </c>
      <c r="AE51" s="30" t="n">
        <v>-282.7849106119331</v>
      </c>
      <c r="AF51" s="30" t="n">
        <v>-367.9907332617028</v>
      </c>
      <c r="AG51" s="30" t="n">
        <v>-1097.473071573957</v>
      </c>
      <c r="AH51" s="30" t="n">
        <v>-284.2745513327533</v>
      </c>
      <c r="AI51" s="30" t="n">
        <v>-139.1350449830624</v>
      </c>
      <c r="AJ51" s="30" t="n">
        <v>-134.8907556888695</v>
      </c>
      <c r="AK51" s="30" t="n">
        <v>-203.8802535953635</v>
      </c>
      <c r="AL51" s="30" t="n">
        <v>-77.62210122369359</v>
      </c>
      <c r="AM51" s="30" t="n">
        <v>-3923.159584212724</v>
      </c>
      <c r="AN51" s="30" t="n">
        <v>-6878.242247776393</v>
      </c>
      <c r="AO51" s="30" t="n">
        <v>58.57845676318453</v>
      </c>
      <c r="AP51" s="30" t="n">
        <v>402.819969360324</v>
      </c>
      <c r="AQ51" s="30" t="n">
        <v>20.43862273994917</v>
      </c>
      <c r="AR51" s="30" t="n">
        <v>-3.043335621708561</v>
      </c>
      <c r="AS51" s="30" t="n">
        <v>-48.37550695258398</v>
      </c>
      <c r="AT51" s="30" t="n">
        <v>183.3802182347664</v>
      </c>
      <c r="AU51" s="30" t="n">
        <v>300.9311791031604</v>
      </c>
      <c r="AV51" s="30" t="n">
        <v>17.23522618551766</v>
      </c>
      <c r="AW51" s="30" t="n">
        <v>1195.435482515117</v>
      </c>
      <c r="AX51" s="30" t="n">
        <v>0</v>
      </c>
      <c r="AY51" s="30" t="n">
        <v>138.1217862585555</v>
      </c>
      <c r="AZ51" s="30" t="n">
        <v>43.66626434029067</v>
      </c>
      <c r="BA51" s="30" t="n">
        <v>8.853508099565989</v>
      </c>
      <c r="BB51" s="30">
        <f>SUM(C51:BA51)</f>
        <v/>
      </c>
      <c r="BC51" s="30" t="n">
        <v>0</v>
      </c>
      <c r="BD51" s="30" t="n">
        <v>0</v>
      </c>
      <c r="BE51" s="30" t="n">
        <v>0</v>
      </c>
      <c r="BF51" s="30" t="n">
        <v>0</v>
      </c>
      <c r="BG51" s="30">
        <f>SUM(BC51:BF51)</f>
        <v/>
      </c>
      <c r="BH51" s="30">
        <f>BB51+BG51</f>
        <v/>
      </c>
    </row>
    <row r="52">
      <c r="A52" s="28" t="n">
        <v>39</v>
      </c>
      <c r="B52" s="29" t="inlineStr">
        <is>
          <t>Serviços de informação</t>
        </is>
      </c>
      <c r="C52" s="28" t="n">
        <v>4.679661399779833</v>
      </c>
      <c r="D52" s="28" t="n">
        <v>2.009825191506483</v>
      </c>
      <c r="E52" s="28" t="n">
        <v>89.41014740222141</v>
      </c>
      <c r="F52" s="28" t="n">
        <v>35.98607164281768</v>
      </c>
      <c r="G52" s="28" t="n">
        <v>13.93994900240284</v>
      </c>
      <c r="H52" s="28" t="n">
        <v>537.8376526983658</v>
      </c>
      <c r="I52" s="28" t="n">
        <v>10.03690627021116</v>
      </c>
      <c r="J52" s="28" t="n">
        <v>61.09347289170439</v>
      </c>
      <c r="K52" s="28" t="n">
        <v>109.6774453228549</v>
      </c>
      <c r="L52" s="28" t="n">
        <v>33.27552008743475</v>
      </c>
      <c r="M52" s="28" t="n">
        <v>15.80072087851738</v>
      </c>
      <c r="N52" s="28" t="n">
        <v>78.18940802942809</v>
      </c>
      <c r="O52" s="28" t="n">
        <v>110.7534547341637</v>
      </c>
      <c r="P52" s="28" t="n">
        <v>38.40506705057391</v>
      </c>
      <c r="Q52" s="28" t="n">
        <v>18.99584317183041</v>
      </c>
      <c r="R52" s="28" t="n">
        <v>80.23358401865785</v>
      </c>
      <c r="S52" s="28" t="n">
        <v>19.26450130971179</v>
      </c>
      <c r="T52" s="28" t="n">
        <v>77.62364662819996</v>
      </c>
      <c r="U52" s="28" t="n">
        <v>39.43547952351653</v>
      </c>
      <c r="V52" s="28" t="n">
        <v>7.942770316530757</v>
      </c>
      <c r="W52" s="28" t="n">
        <v>23.73048137869911</v>
      </c>
      <c r="X52" s="28" t="n">
        <v>17.0367854130685</v>
      </c>
      <c r="Y52" s="28" t="n">
        <v>74.03556321161544</v>
      </c>
      <c r="Z52" s="28" t="n">
        <v>85.44441866207767</v>
      </c>
      <c r="AA52" s="28" t="n">
        <v>71.69637437269697</v>
      </c>
      <c r="AB52" s="28" t="n">
        <v>14.71808115530917</v>
      </c>
      <c r="AC52" s="28" t="n">
        <v>74.89986148122178</v>
      </c>
      <c r="AD52" s="28" t="n">
        <v>141.6716111058907</v>
      </c>
      <c r="AE52" s="28" t="n">
        <v>135.4582050315506</v>
      </c>
      <c r="AF52" s="28" t="n">
        <v>184.8901716936199</v>
      </c>
      <c r="AG52" s="28" t="n">
        <v>411.7848802156483</v>
      </c>
      <c r="AH52" s="28" t="n">
        <v>280.5578853281727</v>
      </c>
      <c r="AI52" s="28" t="n">
        <v>48.87968787113588</v>
      </c>
      <c r="AJ52" s="28" t="n">
        <v>66.22449143226898</v>
      </c>
      <c r="AK52" s="28" t="n">
        <v>217.7519195072639</v>
      </c>
      <c r="AL52" s="28" t="n">
        <v>262.8556726631333</v>
      </c>
      <c r="AM52" s="28" t="n">
        <v>1869.052398101363</v>
      </c>
      <c r="AN52" s="28" t="n">
        <v>576.2206230820995</v>
      </c>
      <c r="AO52" s="28" t="n">
        <v>6732.518310959445</v>
      </c>
      <c r="AP52" s="28" t="n">
        <v>2884.112912551374</v>
      </c>
      <c r="AQ52" s="28" t="n">
        <v>124.1416131992992</v>
      </c>
      <c r="AR52" s="28" t="n">
        <v>36.21499702308817</v>
      </c>
      <c r="AS52" s="28" t="n">
        <v>137.8325735300479</v>
      </c>
      <c r="AT52" s="28" t="n">
        <v>5556.6468590185</v>
      </c>
      <c r="AU52" s="28" t="n">
        <v>472.1509087375848</v>
      </c>
      <c r="AV52" s="28" t="n">
        <v>183.7553240928588</v>
      </c>
      <c r="AW52" s="28" t="n">
        <v>649.6080849472089</v>
      </c>
      <c r="AX52" s="28" t="n">
        <v>0</v>
      </c>
      <c r="AY52" s="28" t="n">
        <v>553.2006843948639</v>
      </c>
      <c r="AZ52" s="28" t="n">
        <v>248.6864094486183</v>
      </c>
      <c r="BA52" s="28" t="n">
        <v>1764.620168234333</v>
      </c>
      <c r="BB52" s="28">
        <f>SUM(C52:BA52)</f>
        <v/>
      </c>
      <c r="BC52" s="28" t="n">
        <v>0</v>
      </c>
      <c r="BD52" s="28" t="n">
        <v>0</v>
      </c>
      <c r="BE52" s="28" t="n">
        <v>0</v>
      </c>
      <c r="BF52" s="28" t="n">
        <v>0</v>
      </c>
      <c r="BG52" s="28">
        <f>SUM(BC52:BF52)</f>
        <v/>
      </c>
      <c r="BH52" s="28">
        <f>BB52+BG52</f>
        <v/>
      </c>
    </row>
    <row r="53">
      <c r="A53" s="30" t="n">
        <v>40</v>
      </c>
      <c r="B53" s="31" t="inlineStr">
        <is>
          <t>Intermediação financeira seguros e previdência complementar e serviços relacionados</t>
        </is>
      </c>
      <c r="C53" s="30" t="n">
        <v>295.4954706996596</v>
      </c>
      <c r="D53" s="30" t="n">
        <v>133.584457253168</v>
      </c>
      <c r="E53" s="30" t="n">
        <v>240.5248046231556</v>
      </c>
      <c r="F53" s="30" t="n">
        <v>151.1586689479947</v>
      </c>
      <c r="G53" s="30" t="n">
        <v>76.94695385298817</v>
      </c>
      <c r="H53" s="30" t="n">
        <v>886.6254375356096</v>
      </c>
      <c r="I53" s="30" t="n">
        <v>36.72004399954837</v>
      </c>
      <c r="J53" s="30" t="n">
        <v>86.864356123562</v>
      </c>
      <c r="K53" s="30" t="n">
        <v>81.58503800011754</v>
      </c>
      <c r="L53" s="30" t="n">
        <v>60.65241708906019</v>
      </c>
      <c r="M53" s="30" t="n">
        <v>41.19303105399408</v>
      </c>
      <c r="N53" s="30" t="n">
        <v>154.2838033416167</v>
      </c>
      <c r="O53" s="30" t="n">
        <v>33.52660187023618</v>
      </c>
      <c r="P53" s="30" t="n">
        <v>175.2723255624333</v>
      </c>
      <c r="Q53" s="30" t="n">
        <v>65.31959391897904</v>
      </c>
      <c r="R53" s="30" t="n">
        <v>157.6210173045521</v>
      </c>
      <c r="S53" s="30" t="n">
        <v>65.69376106846381</v>
      </c>
      <c r="T53" s="30" t="n">
        <v>63.63010795002033</v>
      </c>
      <c r="U53" s="30" t="n">
        <v>39.19084253587175</v>
      </c>
      <c r="V53" s="30" t="n">
        <v>53.57826108413859</v>
      </c>
      <c r="W53" s="30" t="n">
        <v>26.42736866213844</v>
      </c>
      <c r="X53" s="30" t="n">
        <v>35.91906035370105</v>
      </c>
      <c r="Y53" s="30" t="n">
        <v>138.9421757215026</v>
      </c>
      <c r="Z53" s="30" t="n">
        <v>148.3346693548411</v>
      </c>
      <c r="AA53" s="30" t="n">
        <v>281.6447749052614</v>
      </c>
      <c r="AB53" s="30" t="n">
        <v>86.65122832578133</v>
      </c>
      <c r="AC53" s="30" t="n">
        <v>133.1822989781877</v>
      </c>
      <c r="AD53" s="30" t="n">
        <v>231.7741478866909</v>
      </c>
      <c r="AE53" s="30" t="n">
        <v>132.4632182786635</v>
      </c>
      <c r="AF53" s="30" t="n">
        <v>144.264033910784</v>
      </c>
      <c r="AG53" s="30" t="n">
        <v>279.0974576197607</v>
      </c>
      <c r="AH53" s="30" t="n">
        <v>126.4988616139299</v>
      </c>
      <c r="AI53" s="30" t="n">
        <v>75.49469715201826</v>
      </c>
      <c r="AJ53" s="30" t="n">
        <v>64.18088375158111</v>
      </c>
      <c r="AK53" s="30" t="n">
        <v>436.4243753553237</v>
      </c>
      <c r="AL53" s="30" t="n">
        <v>626.0326633864468</v>
      </c>
      <c r="AM53" s="30" t="n">
        <v>1496.260129859132</v>
      </c>
      <c r="AN53" s="30" t="n">
        <v>822.0364921075253</v>
      </c>
      <c r="AO53" s="30" t="n">
        <v>649.1263031267973</v>
      </c>
      <c r="AP53" s="30" t="n">
        <v>3763.689897775037</v>
      </c>
      <c r="AQ53" s="30" t="n">
        <v>1710.902551355199</v>
      </c>
      <c r="AR53" s="30" t="n">
        <v>24.94273338921342</v>
      </c>
      <c r="AS53" s="30" t="n">
        <v>185.587086233706</v>
      </c>
      <c r="AT53" s="30" t="n">
        <v>632.6966337385762</v>
      </c>
      <c r="AU53" s="30" t="n">
        <v>77.08609901611662</v>
      </c>
      <c r="AV53" s="30" t="n">
        <v>285.3456362579779</v>
      </c>
      <c r="AW53" s="30" t="n">
        <v>334.9156975577147</v>
      </c>
      <c r="AX53" s="30" t="n">
        <v>0</v>
      </c>
      <c r="AY53" s="30" t="n">
        <v>17.36588693385981</v>
      </c>
      <c r="AZ53" s="30" t="n">
        <v>19.6693074900032</v>
      </c>
      <c r="BA53" s="30" t="n">
        <v>3462.880315662925</v>
      </c>
      <c r="BB53" s="30">
        <f>SUM(C53:BA53)</f>
        <v/>
      </c>
      <c r="BC53" s="30" t="n">
        <v>0</v>
      </c>
      <c r="BD53" s="30" t="n">
        <v>0</v>
      </c>
      <c r="BE53" s="30" t="n">
        <v>0</v>
      </c>
      <c r="BF53" s="30" t="n">
        <v>0</v>
      </c>
      <c r="BG53" s="30">
        <f>SUM(BC53:BF53)</f>
        <v/>
      </c>
      <c r="BH53" s="30">
        <f>BB53+BG53</f>
        <v/>
      </c>
    </row>
    <row r="54">
      <c r="A54" s="28" t="n">
        <v>41</v>
      </c>
      <c r="B54" s="29" t="inlineStr">
        <is>
          <t>Atividades imobiliárias e aluguéis</t>
        </is>
      </c>
      <c r="C54" s="28" t="n">
        <v>0.1141870265461741</v>
      </c>
      <c r="D54" s="28" t="n">
        <v>0.03519899010183489</v>
      </c>
      <c r="E54" s="28" t="n">
        <v>2.857605881277582</v>
      </c>
      <c r="F54" s="28" t="n">
        <v>0.1007836200914295</v>
      </c>
      <c r="G54" s="28" t="n">
        <v>0.4839283267928675</v>
      </c>
      <c r="H54" s="28" t="n">
        <v>10.58866535233452</v>
      </c>
      <c r="I54" s="28" t="n">
        <v>0.3802477792805855</v>
      </c>
      <c r="J54" s="28" t="n">
        <v>4.579565678624417</v>
      </c>
      <c r="K54" s="28" t="n">
        <v>5.049933598290704</v>
      </c>
      <c r="L54" s="28" t="n">
        <v>1.032733369549516</v>
      </c>
      <c r="M54" s="28" t="n">
        <v>0.3136842508627538</v>
      </c>
      <c r="N54" s="28" t="n">
        <v>1.229422123089006</v>
      </c>
      <c r="O54" s="28" t="n">
        <v>0.7514759665306915</v>
      </c>
      <c r="P54" s="28" t="n">
        <v>1.576310089617665</v>
      </c>
      <c r="Q54" s="28" t="n">
        <v>1.642144238143894</v>
      </c>
      <c r="R54" s="28" t="n">
        <v>1.307924796116687</v>
      </c>
      <c r="S54" s="28" t="n">
        <v>0.2640012630178783</v>
      </c>
      <c r="T54" s="28" t="n">
        <v>2.201179997875507</v>
      </c>
      <c r="U54" s="28" t="n">
        <v>0.3603267123918644</v>
      </c>
      <c r="V54" s="28" t="n">
        <v>1.778361641683554</v>
      </c>
      <c r="W54" s="28" t="n">
        <v>0.2253446840804986</v>
      </c>
      <c r="X54" s="28" t="n">
        <v>0.3039184280806564</v>
      </c>
      <c r="Y54" s="28" t="n">
        <v>3.971073240474204</v>
      </c>
      <c r="Z54" s="28" t="n">
        <v>1.853925173624662</v>
      </c>
      <c r="AA54" s="28" t="n">
        <v>3.752440200071048</v>
      </c>
      <c r="AB54" s="28" t="n">
        <v>-0.02363814986321065</v>
      </c>
      <c r="AC54" s="28" t="n">
        <v>2.145655691527681</v>
      </c>
      <c r="AD54" s="28" t="n">
        <v>1.76172529746851</v>
      </c>
      <c r="AE54" s="28" t="n">
        <v>1.228949847182367</v>
      </c>
      <c r="AF54" s="28" t="n">
        <v>2.624268579624667</v>
      </c>
      <c r="AG54" s="28" t="n">
        <v>1.600343134139995</v>
      </c>
      <c r="AH54" s="28" t="n">
        <v>3.057295096975621</v>
      </c>
      <c r="AI54" s="28" t="n">
        <v>0.7863177596076926</v>
      </c>
      <c r="AJ54" s="28" t="n">
        <v>2.286723984928588</v>
      </c>
      <c r="AK54" s="28" t="n">
        <v>12.88110472375004</v>
      </c>
      <c r="AL54" s="28" t="n">
        <v>17.25875105846773</v>
      </c>
      <c r="AM54" s="28" t="n">
        <v>354.6694344011179</v>
      </c>
      <c r="AN54" s="28" t="n">
        <v>38.30416810892928</v>
      </c>
      <c r="AO54" s="28" t="n">
        <v>56.68544820571746</v>
      </c>
      <c r="AP54" s="28" t="n">
        <v>66.81271524484818</v>
      </c>
      <c r="AQ54" s="28" t="n">
        <v>21.55244033118041</v>
      </c>
      <c r="AR54" s="28" t="n">
        <v>3.909910572007785</v>
      </c>
      <c r="AS54" s="28" t="n">
        <v>55.85769251264399</v>
      </c>
      <c r="AT54" s="28" t="n">
        <v>97.94309449872735</v>
      </c>
      <c r="AU54" s="28" t="n">
        <v>42.90404907321619</v>
      </c>
      <c r="AV54" s="28" t="n">
        <v>18.54139512057998</v>
      </c>
      <c r="AW54" s="28" t="n">
        <v>78.34821132554167</v>
      </c>
      <c r="AX54" s="28" t="n">
        <v>0</v>
      </c>
      <c r="AY54" s="28" t="n">
        <v>3.595450761186786</v>
      </c>
      <c r="AZ54" s="28" t="n">
        <v>3.132991655164401</v>
      </c>
      <c r="BA54" s="28" t="n">
        <v>28.91450751815333</v>
      </c>
      <c r="BB54" s="28">
        <f>SUM(C54:BA54)</f>
        <v/>
      </c>
      <c r="BC54" s="28" t="n">
        <v>0</v>
      </c>
      <c r="BD54" s="28" t="n">
        <v>0</v>
      </c>
      <c r="BE54" s="28" t="n">
        <v>0</v>
      </c>
      <c r="BF54" s="28" t="n">
        <v>0</v>
      </c>
      <c r="BG54" s="28">
        <f>SUM(BC54:BF54)</f>
        <v/>
      </c>
      <c r="BH54" s="28">
        <f>BB54+BG54</f>
        <v/>
      </c>
    </row>
    <row r="55">
      <c r="A55" s="30" t="n">
        <v>42</v>
      </c>
      <c r="B55" s="31" t="inlineStr">
        <is>
          <t>Serviços de manutenção e reparação</t>
        </is>
      </c>
      <c r="C55" s="30" t="n">
        <v>-0.4493412500480234</v>
      </c>
      <c r="D55" s="30" t="n">
        <v>-0.1474115914928467</v>
      </c>
      <c r="E55" s="30" t="n">
        <v>0.8879247279360212</v>
      </c>
      <c r="F55" s="30" t="n">
        <v>-2.501382056882758</v>
      </c>
      <c r="G55" s="30" t="n">
        <v>-0.6287022783870043</v>
      </c>
      <c r="H55" s="30" t="n">
        <v>-26.65177290223648</v>
      </c>
      <c r="I55" s="30" t="n">
        <v>-0.8716661581016445</v>
      </c>
      <c r="J55" s="30" t="n">
        <v>-2.301897235704014</v>
      </c>
      <c r="K55" s="30" t="n">
        <v>-2.246499499747638</v>
      </c>
      <c r="L55" s="30" t="n">
        <v>-2.960478449628606</v>
      </c>
      <c r="M55" s="30" t="n">
        <v>-0.7174782139671805</v>
      </c>
      <c r="N55" s="30" t="n">
        <v>-5.064029692541792</v>
      </c>
      <c r="O55" s="30" t="n">
        <v>0.2013230985477041</v>
      </c>
      <c r="P55" s="30" t="n">
        <v>-1.233124255970258</v>
      </c>
      <c r="Q55" s="30" t="n">
        <v>-1.060424914772192</v>
      </c>
      <c r="R55" s="30" t="n">
        <v>-1.123790250933977</v>
      </c>
      <c r="S55" s="30" t="n">
        <v>-1.336597849359365</v>
      </c>
      <c r="T55" s="30" t="n">
        <v>-3.462811050620143</v>
      </c>
      <c r="U55" s="30" t="n">
        <v>-1.186921893589107</v>
      </c>
      <c r="V55" s="30" t="n">
        <v>-0.2289530628376184</v>
      </c>
      <c r="W55" s="30" t="n">
        <v>-0.6643630822585513</v>
      </c>
      <c r="X55" s="30" t="n">
        <v>-1.823743108723525</v>
      </c>
      <c r="Y55" s="30" t="n">
        <v>-5.045992626730607</v>
      </c>
      <c r="Z55" s="30" t="n">
        <v>-4.16510819878394</v>
      </c>
      <c r="AA55" s="30" t="n">
        <v>-5.008824952237775</v>
      </c>
      <c r="AB55" s="30" t="n">
        <v>-1.58426838204483</v>
      </c>
      <c r="AC55" s="30" t="n">
        <v>-3.044331682624595</v>
      </c>
      <c r="AD55" s="30" t="n">
        <v>-14.87998291515765</v>
      </c>
      <c r="AE55" s="30" t="n">
        <v>-2.00377327860545</v>
      </c>
      <c r="AF55" s="30" t="n">
        <v>7.055875673976261</v>
      </c>
      <c r="AG55" s="30" t="n">
        <v>-1.55800958004268</v>
      </c>
      <c r="AH55" s="30" t="n">
        <v>-0.1329265550423739</v>
      </c>
      <c r="AI55" s="30" t="n">
        <v>-0.5461327854498436</v>
      </c>
      <c r="AJ55" s="30" t="n">
        <v>-1.077213170944815</v>
      </c>
      <c r="AK55" s="30" t="n">
        <v>8.991945739504926</v>
      </c>
      <c r="AL55" s="30" t="n">
        <v>1.163080240860094</v>
      </c>
      <c r="AM55" s="30" t="n">
        <v>24.86542509919902</v>
      </c>
      <c r="AN55" s="30" t="n">
        <v>-6.935718027627794</v>
      </c>
      <c r="AO55" s="30" t="n">
        <v>124.473417997064</v>
      </c>
      <c r="AP55" s="30" t="n">
        <v>30.4672836229141</v>
      </c>
      <c r="AQ55" s="30" t="n">
        <v>1.815324383224731</v>
      </c>
      <c r="AR55" s="30" t="n">
        <v>2.720219916112504</v>
      </c>
      <c r="AS55" s="30" t="n">
        <v>2.717780814820958</v>
      </c>
      <c r="AT55" s="30" t="n">
        <v>31.05791656240928</v>
      </c>
      <c r="AU55" s="30" t="n">
        <v>10.08703779099322</v>
      </c>
      <c r="AV55" s="30" t="n">
        <v>12.10942886457633</v>
      </c>
      <c r="AW55" s="30" t="n">
        <v>0.2468621619573554</v>
      </c>
      <c r="AX55" s="30" t="n">
        <v>0</v>
      </c>
      <c r="AY55" s="30" t="n">
        <v>0.7043895130537557</v>
      </c>
      <c r="AZ55" s="30" t="n">
        <v>2.789508178433066</v>
      </c>
      <c r="BA55" s="30" t="n">
        <v>13.04874935310697</v>
      </c>
      <c r="BB55" s="30">
        <f>SUM(C55:BA55)</f>
        <v/>
      </c>
      <c r="BC55" s="30" t="n">
        <v>0</v>
      </c>
      <c r="BD55" s="30" t="n">
        <v>0</v>
      </c>
      <c r="BE55" s="30" t="n">
        <v>0</v>
      </c>
      <c r="BF55" s="30" t="n">
        <v>0</v>
      </c>
      <c r="BG55" s="30">
        <f>SUM(BC55:BF55)</f>
        <v/>
      </c>
      <c r="BH55" s="30">
        <f>BB55+BG55</f>
        <v/>
      </c>
    </row>
    <row r="56">
      <c r="A56" s="28" t="n">
        <v>43</v>
      </c>
      <c r="B56" s="29" t="inlineStr">
        <is>
          <t>Serviços de alojamento e alimentação</t>
        </is>
      </c>
      <c r="C56" s="28" t="n">
        <v>0.05348293895737656</v>
      </c>
      <c r="D56" s="28" t="n">
        <v>-0.1084161906011917</v>
      </c>
      <c r="E56" s="28" t="n">
        <v>30.35645824122205</v>
      </c>
      <c r="F56" s="28" t="n">
        <v>2.162774252368759</v>
      </c>
      <c r="G56" s="28" t="n">
        <v>2.110354367733443</v>
      </c>
      <c r="H56" s="28" t="n">
        <v>14.83497731015106</v>
      </c>
      <c r="I56" s="28" t="n">
        <v>2.901523175732169</v>
      </c>
      <c r="J56" s="28" t="n">
        <v>0.1385311463585797</v>
      </c>
      <c r="K56" s="28" t="n">
        <v>-1.789911488818735</v>
      </c>
      <c r="L56" s="28" t="n">
        <v>-2.652746262162716</v>
      </c>
      <c r="M56" s="28" t="n">
        <v>-0.6374215322605735</v>
      </c>
      <c r="N56" s="28" t="n">
        <v>-1.559511376546286</v>
      </c>
      <c r="O56" s="28" t="n">
        <v>2.174488529364875</v>
      </c>
      <c r="P56" s="28" t="n">
        <v>0.8562922075394587</v>
      </c>
      <c r="Q56" s="28" t="n">
        <v>-0.6940375220699133</v>
      </c>
      <c r="R56" s="28" t="n">
        <v>14.73815854470482</v>
      </c>
      <c r="S56" s="28" t="n">
        <v>-1.061128649153412</v>
      </c>
      <c r="T56" s="28" t="n">
        <v>29.32734807509833</v>
      </c>
      <c r="U56" s="28" t="n">
        <v>8.578748890198099</v>
      </c>
      <c r="V56" s="28" t="n">
        <v>3.789721794112875</v>
      </c>
      <c r="W56" s="28" t="n">
        <v>2.850268980791509</v>
      </c>
      <c r="X56" s="28" t="n">
        <v>6.359611488351836</v>
      </c>
      <c r="Y56" s="28" t="n">
        <v>1.338985553026315</v>
      </c>
      <c r="Z56" s="28" t="n">
        <v>0.1910456451133644</v>
      </c>
      <c r="AA56" s="28" t="n">
        <v>15.88667553593011</v>
      </c>
      <c r="AB56" s="28" t="n">
        <v>4.283950039457534</v>
      </c>
      <c r="AC56" s="28" t="n">
        <v>10.34551722374766</v>
      </c>
      <c r="AD56" s="28" t="n">
        <v>21.07975960137912</v>
      </c>
      <c r="AE56" s="28" t="n">
        <v>8.110553471600896</v>
      </c>
      <c r="AF56" s="28" t="n">
        <v>12.72455654973977</v>
      </c>
      <c r="AG56" s="28" t="n">
        <v>47.79349644366918</v>
      </c>
      <c r="AH56" s="28" t="n">
        <v>12.75129064418588</v>
      </c>
      <c r="AI56" s="28" t="n">
        <v>5.444262963239999</v>
      </c>
      <c r="AJ56" s="28" t="n">
        <v>4.249982957380728</v>
      </c>
      <c r="AK56" s="28" t="n">
        <v>28.08350719477514</v>
      </c>
      <c r="AL56" s="28" t="n">
        <v>134.7146577851702</v>
      </c>
      <c r="AM56" s="28" t="n">
        <v>240.6857611875176</v>
      </c>
      <c r="AN56" s="28" t="n">
        <v>106.5925145608282</v>
      </c>
      <c r="AO56" s="28" t="n">
        <v>84.00247049237566</v>
      </c>
      <c r="AP56" s="28" t="n">
        <v>307.4151108523738</v>
      </c>
      <c r="AQ56" s="28" t="n">
        <v>9.333921116608385</v>
      </c>
      <c r="AR56" s="28" t="n">
        <v>6.773336094729705</v>
      </c>
      <c r="AS56" s="28" t="n">
        <v>17.70652813233238</v>
      </c>
      <c r="AT56" s="28" t="n">
        <v>208.141544128789</v>
      </c>
      <c r="AU56" s="28" t="n">
        <v>47.19868834617736</v>
      </c>
      <c r="AV56" s="28" t="n">
        <v>241.7278435226438</v>
      </c>
      <c r="AW56" s="28" t="n">
        <v>1986.688772770369</v>
      </c>
      <c r="AX56" s="28" t="n">
        <v>0</v>
      </c>
      <c r="AY56" s="28" t="n">
        <v>117.3820614088575</v>
      </c>
      <c r="AZ56" s="28" t="n">
        <v>368.3758969606456</v>
      </c>
      <c r="BA56" s="28" t="n">
        <v>1041.163343945344</v>
      </c>
      <c r="BB56" s="28">
        <f>SUM(C56:BA56)</f>
        <v/>
      </c>
      <c r="BC56" s="28" t="n">
        <v>0</v>
      </c>
      <c r="BD56" s="28" t="n">
        <v>0</v>
      </c>
      <c r="BE56" s="28" t="n">
        <v>0</v>
      </c>
      <c r="BF56" s="28" t="n">
        <v>0</v>
      </c>
      <c r="BG56" s="28">
        <f>SUM(BC56:BF56)</f>
        <v/>
      </c>
      <c r="BH56" s="28">
        <f>BB56+BG56</f>
        <v/>
      </c>
    </row>
    <row r="57">
      <c r="A57" s="30" t="n">
        <v>44</v>
      </c>
      <c r="B57" s="31" t="inlineStr">
        <is>
          <t>Serviços prestados às empresas</t>
        </is>
      </c>
      <c r="C57" s="30" t="n">
        <v>88.78200196238721</v>
      </c>
      <c r="D57" s="30" t="n">
        <v>43.94553175729919</v>
      </c>
      <c r="E57" s="30" t="n">
        <v>1312.95588476673</v>
      </c>
      <c r="F57" s="30" t="n">
        <v>233.5894838066856</v>
      </c>
      <c r="G57" s="30" t="n">
        <v>175.0187363434919</v>
      </c>
      <c r="H57" s="30" t="n">
        <v>2158.894186551109</v>
      </c>
      <c r="I57" s="30" t="n">
        <v>150.1664006933348</v>
      </c>
      <c r="J57" s="30" t="n">
        <v>88.2038215369887</v>
      </c>
      <c r="K57" s="30" t="n">
        <v>90.08114565277776</v>
      </c>
      <c r="L57" s="30" t="n">
        <v>117.7830740631924</v>
      </c>
      <c r="M57" s="30" t="n">
        <v>35.41120039805589</v>
      </c>
      <c r="N57" s="30" t="n">
        <v>281.0678088096694</v>
      </c>
      <c r="O57" s="30" t="n">
        <v>42.86047627854455</v>
      </c>
      <c r="P57" s="30" t="n">
        <v>372.0591632215204</v>
      </c>
      <c r="Q57" s="30" t="n">
        <v>67.61745382835301</v>
      </c>
      <c r="R57" s="30" t="n">
        <v>311.9925496969837</v>
      </c>
      <c r="S57" s="30" t="n">
        <v>69.52371121684816</v>
      </c>
      <c r="T57" s="30" t="n">
        <v>562.6692400394322</v>
      </c>
      <c r="U57" s="30" t="n">
        <v>212.8123329646698</v>
      </c>
      <c r="V57" s="30" t="n">
        <v>247.0968283193104</v>
      </c>
      <c r="W57" s="30" t="n">
        <v>136.9122809859886</v>
      </c>
      <c r="X57" s="30" t="n">
        <v>103.2513951721907</v>
      </c>
      <c r="Y57" s="30" t="n">
        <v>277.0599715128159</v>
      </c>
      <c r="Z57" s="30" t="n">
        <v>313.8789596160942</v>
      </c>
      <c r="AA57" s="30" t="n">
        <v>313.9398988339979</v>
      </c>
      <c r="AB57" s="30" t="n">
        <v>125.2183310989221</v>
      </c>
      <c r="AC57" s="30" t="n">
        <v>226.8498488488192</v>
      </c>
      <c r="AD57" s="30" t="n">
        <v>654.4017942197223</v>
      </c>
      <c r="AE57" s="30" t="n">
        <v>417.5487441776239</v>
      </c>
      <c r="AF57" s="30" t="n">
        <v>573.6354568654931</v>
      </c>
      <c r="AG57" s="30" t="n">
        <v>1019.371586678671</v>
      </c>
      <c r="AH57" s="30" t="n">
        <v>281.2623042646553</v>
      </c>
      <c r="AI57" s="30" t="n">
        <v>127.6797981246846</v>
      </c>
      <c r="AJ57" s="30" t="n">
        <v>98.31781741996423</v>
      </c>
      <c r="AK57" s="30" t="n">
        <v>908.6642895432569</v>
      </c>
      <c r="AL57" s="30" t="n">
        <v>1394.701586285065</v>
      </c>
      <c r="AM57" s="30" t="n">
        <v>4540.613746944426</v>
      </c>
      <c r="AN57" s="30" t="n">
        <v>1981.030995866504</v>
      </c>
      <c r="AO57" s="30" t="n">
        <v>3167.586641412125</v>
      </c>
      <c r="AP57" s="30" t="n">
        <v>3252.926243379017</v>
      </c>
      <c r="AQ57" s="30" t="n">
        <v>218.5635943527274</v>
      </c>
      <c r="AR57" s="30" t="n">
        <v>16.67961263386393</v>
      </c>
      <c r="AS57" s="30" t="n">
        <v>288.1707547227215</v>
      </c>
      <c r="AT57" s="30" t="n">
        <v>3235.217805288314</v>
      </c>
      <c r="AU57" s="30" t="n">
        <v>604.7819204288481</v>
      </c>
      <c r="AV57" s="30" t="n">
        <v>213.0243962439451</v>
      </c>
      <c r="AW57" s="30" t="n">
        <v>1067.817797617638</v>
      </c>
      <c r="AX57" s="30" t="n">
        <v>0</v>
      </c>
      <c r="AY57" s="30" t="n">
        <v>618.867713896112</v>
      </c>
      <c r="AZ57" s="30" t="n">
        <v>634.7845203659663</v>
      </c>
      <c r="BA57" s="30" t="n">
        <v>2530.076086261098</v>
      </c>
      <c r="BB57" s="30">
        <f>SUM(C57:BA57)</f>
        <v/>
      </c>
      <c r="BC57" s="30" t="n">
        <v>0</v>
      </c>
      <c r="BD57" s="30" t="n">
        <v>0</v>
      </c>
      <c r="BE57" s="30" t="n">
        <v>0</v>
      </c>
      <c r="BF57" s="30" t="n">
        <v>0</v>
      </c>
      <c r="BG57" s="30">
        <f>SUM(BC57:BF57)</f>
        <v/>
      </c>
      <c r="BH57" s="30">
        <f>BB57+BG57</f>
        <v/>
      </c>
    </row>
    <row r="58">
      <c r="A58" s="28" t="n">
        <v>45</v>
      </c>
      <c r="B58" s="29" t="inlineStr">
        <is>
          <t>Educação mercantil</t>
        </is>
      </c>
      <c r="C58" s="28" t="n">
        <v>0.2489419379350752</v>
      </c>
      <c r="D58" s="28" t="n">
        <v>0.1332425822988154</v>
      </c>
      <c r="E58" s="28" t="n">
        <v>3.944539775867121</v>
      </c>
      <c r="F58" s="28" t="n">
        <v>2.210803069852491</v>
      </c>
      <c r="G58" s="28" t="n">
        <v>0.7573978190831536</v>
      </c>
      <c r="H58" s="28" t="n">
        <v>4.480594724227031</v>
      </c>
      <c r="I58" s="28" t="n">
        <v>0.3526159647497211</v>
      </c>
      <c r="J58" s="28" t="n">
        <v>0.09459567294954055</v>
      </c>
      <c r="K58" s="28" t="n">
        <v>0.09818054775662904</v>
      </c>
      <c r="L58" s="28" t="n">
        <v>0.1306397357035713</v>
      </c>
      <c r="M58" s="28" t="n">
        <v>0.04548389929271918</v>
      </c>
      <c r="N58" s="28" t="n">
        <v>0.9943350686270936</v>
      </c>
      <c r="O58" s="28" t="n">
        <v>0.08830980365335706</v>
      </c>
      <c r="P58" s="28" t="n">
        <v>1.021724073304111</v>
      </c>
      <c r="Q58" s="28" t="n">
        <v>0.1124647428415212</v>
      </c>
      <c r="R58" s="28" t="n">
        <v>0.9113763331436452</v>
      </c>
      <c r="S58" s="28" t="n">
        <v>0.101368968846505</v>
      </c>
      <c r="T58" s="28" t="n">
        <v>1.305013612728756</v>
      </c>
      <c r="U58" s="28" t="n">
        <v>0.8483058365509303</v>
      </c>
      <c r="V58" s="28" t="n">
        <v>0.6551166636538939</v>
      </c>
      <c r="W58" s="28" t="n">
        <v>0.3926590296341367</v>
      </c>
      <c r="X58" s="28" t="n">
        <v>0.1619898906632465</v>
      </c>
      <c r="Y58" s="28" t="n">
        <v>0.4751478548885839</v>
      </c>
      <c r="Z58" s="28" t="n">
        <v>0.5638778807425272</v>
      </c>
      <c r="AA58" s="28" t="n">
        <v>4.111522700039278</v>
      </c>
      <c r="AB58" s="28" t="n">
        <v>1.170027973050995</v>
      </c>
      <c r="AC58" s="28" t="n">
        <v>1.246042939246989</v>
      </c>
      <c r="AD58" s="28" t="n">
        <v>1.03258772685754</v>
      </c>
      <c r="AE58" s="28" t="n">
        <v>0.8940581783636653</v>
      </c>
      <c r="AF58" s="28" t="n">
        <v>1.308095274335461</v>
      </c>
      <c r="AG58" s="28" t="n">
        <v>4.39344688820372</v>
      </c>
      <c r="AH58" s="28" t="n">
        <v>0.8181869096016335</v>
      </c>
      <c r="AI58" s="28" t="n">
        <v>0.3015610398638339</v>
      </c>
      <c r="AJ58" s="28" t="n">
        <v>0.1864412352977685</v>
      </c>
      <c r="AK58" s="28" t="n">
        <v>3.53992942963416</v>
      </c>
      <c r="AL58" s="28" t="n">
        <v>3.668577504564645</v>
      </c>
      <c r="AM58" s="28" t="n">
        <v>18.86018710398309</v>
      </c>
      <c r="AN58" s="28" t="n">
        <v>21.55304113410957</v>
      </c>
      <c r="AO58" s="28" t="n">
        <v>8.417030656474106</v>
      </c>
      <c r="AP58" s="28" t="n">
        <v>32.04256351865347</v>
      </c>
      <c r="AQ58" s="28" t="n">
        <v>0.5940739460190398</v>
      </c>
      <c r="AR58" s="28" t="n">
        <v>5.218655193283362</v>
      </c>
      <c r="AS58" s="28" t="n">
        <v>0.7974990408497965</v>
      </c>
      <c r="AT58" s="28" t="n">
        <v>69.68071416725053</v>
      </c>
      <c r="AU58" s="28" t="n">
        <v>1.64883896805002</v>
      </c>
      <c r="AV58" s="28" t="n">
        <v>0.4643419532415209</v>
      </c>
      <c r="AW58" s="28" t="n">
        <v>5.024267790748524</v>
      </c>
      <c r="AX58" s="28" t="n">
        <v>0</v>
      </c>
      <c r="AY58" s="28" t="n">
        <v>19.18076229717383</v>
      </c>
      <c r="AZ58" s="28" t="n">
        <v>7.633181408813299</v>
      </c>
      <c r="BA58" s="28" t="n">
        <v>13.81708453407155</v>
      </c>
      <c r="BB58" s="28">
        <f>SUM(C58:BA58)</f>
        <v/>
      </c>
      <c r="BC58" s="28" t="n">
        <v>0</v>
      </c>
      <c r="BD58" s="28" t="n">
        <v>0</v>
      </c>
      <c r="BE58" s="28" t="n">
        <v>0</v>
      </c>
      <c r="BF58" s="28" t="n">
        <v>0</v>
      </c>
      <c r="BG58" s="28">
        <f>SUM(BC58:BF58)</f>
        <v/>
      </c>
      <c r="BH58" s="28">
        <f>BB58+BG58</f>
        <v/>
      </c>
    </row>
    <row r="59">
      <c r="A59" s="30" t="n">
        <v>46</v>
      </c>
      <c r="B59" s="31" t="inlineStr">
        <is>
          <t>Saúde mercantil</t>
        </is>
      </c>
      <c r="C59" s="30" t="n">
        <v>-2.63851493925738</v>
      </c>
      <c r="D59" s="30" t="n">
        <v>-0.6483717534975036</v>
      </c>
      <c r="E59" s="30" t="n">
        <v>-1.109568719198434</v>
      </c>
      <c r="F59" s="30" t="n">
        <v>-11.05126235721143</v>
      </c>
      <c r="G59" s="30" t="n">
        <v>-3.035747171919586</v>
      </c>
      <c r="H59" s="30" t="n">
        <v>-117.8998328999608</v>
      </c>
      <c r="I59" s="30" t="n">
        <v>-3.839887342637535</v>
      </c>
      <c r="J59" s="30" t="n">
        <v>-11.73058419491853</v>
      </c>
      <c r="K59" s="30" t="n">
        <v>-9.877935622878448</v>
      </c>
      <c r="L59" s="30" t="n">
        <v>-13.07929273296788</v>
      </c>
      <c r="M59" s="30" t="n">
        <v>-3.168643391614168</v>
      </c>
      <c r="N59" s="30" t="n">
        <v>-22.37211352397892</v>
      </c>
      <c r="O59" s="30" t="n">
        <v>-1.159123468350127</v>
      </c>
      <c r="P59" s="30" t="n">
        <v>-5.406835911848385</v>
      </c>
      <c r="Q59" s="30" t="n">
        <v>-4.668790114881562</v>
      </c>
      <c r="R59" s="30" t="n">
        <v>-4.931348392097074</v>
      </c>
      <c r="S59" s="30" t="n">
        <v>-5.905889543024663</v>
      </c>
      <c r="T59" s="30" t="n">
        <v>-15.24998216695983</v>
      </c>
      <c r="U59" s="30" t="n">
        <v>-5.229701882564737</v>
      </c>
      <c r="V59" s="30" t="n">
        <v>-0.971700101831828</v>
      </c>
      <c r="W59" s="30" t="n">
        <v>-2.925475836719251</v>
      </c>
      <c r="X59" s="30" t="n">
        <v>-8.058236422988601</v>
      </c>
      <c r="Y59" s="30" t="n">
        <v>-22.26194319460688</v>
      </c>
      <c r="Z59" s="30" t="n">
        <v>-18.66595762774848</v>
      </c>
      <c r="AA59" s="30" t="n">
        <v>-25.00240479160452</v>
      </c>
      <c r="AB59" s="30" t="n">
        <v>-7.397408780474784</v>
      </c>
      <c r="AC59" s="30" t="n">
        <v>-16.36351288548609</v>
      </c>
      <c r="AD59" s="30" t="n">
        <v>-68.07820177500798</v>
      </c>
      <c r="AE59" s="30" t="n">
        <v>-15.81048375405153</v>
      </c>
      <c r="AF59" s="30" t="n">
        <v>-18.92738172873531</v>
      </c>
      <c r="AG59" s="30" t="n">
        <v>-7.033339821350094</v>
      </c>
      <c r="AH59" s="30" t="n">
        <v>-0.5299508781814808</v>
      </c>
      <c r="AI59" s="30" t="n">
        <v>-2.397717125703064</v>
      </c>
      <c r="AJ59" s="30" t="n">
        <v>-5.262742977961119</v>
      </c>
      <c r="AK59" s="30" t="n">
        <v>-11.29830587660825</v>
      </c>
      <c r="AL59" s="30" t="n">
        <v>-6.968980210580239</v>
      </c>
      <c r="AM59" s="30" t="n">
        <v>-99.40439503685602</v>
      </c>
      <c r="AN59" s="30" t="n">
        <v>-83.76610846568656</v>
      </c>
      <c r="AO59" s="30" t="n">
        <v>-75.67351721827701</v>
      </c>
      <c r="AP59" s="30" t="n">
        <v>-0.7251316647643812</v>
      </c>
      <c r="AQ59" s="30" t="n">
        <v>0.0749474243788162</v>
      </c>
      <c r="AR59" s="30" t="n">
        <v>-0.03086967610523895</v>
      </c>
      <c r="AS59" s="30" t="n">
        <v>-0.3568322597736995</v>
      </c>
      <c r="AT59" s="30" t="n">
        <v>-22.37351594291177</v>
      </c>
      <c r="AU59" s="30" t="n">
        <v>0.4210565700456385</v>
      </c>
      <c r="AV59" s="30" t="n">
        <v>308.309406272621</v>
      </c>
      <c r="AW59" s="30" t="n">
        <v>-0.4306216280546674</v>
      </c>
      <c r="AX59" s="30" t="n">
        <v>0</v>
      </c>
      <c r="AY59" s="30" t="n">
        <v>-3.157768002681769</v>
      </c>
      <c r="AZ59" s="30" t="n">
        <v>-9.173735641762246</v>
      </c>
      <c r="BA59" s="30" t="n">
        <v>-18.77011198918012</v>
      </c>
      <c r="BB59" s="30">
        <f>SUM(C59:BA59)</f>
        <v/>
      </c>
      <c r="BC59" s="30" t="n">
        <v>0</v>
      </c>
      <c r="BD59" s="30" t="n">
        <v>0</v>
      </c>
      <c r="BE59" s="30" t="n">
        <v>0</v>
      </c>
      <c r="BF59" s="30" t="n">
        <v>0</v>
      </c>
      <c r="BG59" s="30">
        <f>SUM(BC59:BF59)</f>
        <v/>
      </c>
      <c r="BH59" s="30">
        <f>BB59+BG59</f>
        <v/>
      </c>
    </row>
    <row r="60">
      <c r="A60" s="28" t="n">
        <v>47</v>
      </c>
      <c r="B60" s="29" t="inlineStr">
        <is>
          <t>Serviços prestados às famílias e associativas</t>
        </is>
      </c>
      <c r="C60" s="28" t="n">
        <v>1.689523079963733</v>
      </c>
      <c r="D60" s="28" t="n">
        <v>0.7730905670870217</v>
      </c>
      <c r="E60" s="28" t="n">
        <v>22.01166407702085</v>
      </c>
      <c r="F60" s="28" t="n">
        <v>7.733670819661896</v>
      </c>
      <c r="G60" s="28" t="n">
        <v>2.640908969519098</v>
      </c>
      <c r="H60" s="28" t="n">
        <v>53.08110884840069</v>
      </c>
      <c r="I60" s="28" t="n">
        <v>3.287976627719834</v>
      </c>
      <c r="J60" s="28" t="n">
        <v>3.859738337969032</v>
      </c>
      <c r="K60" s="28" t="n">
        <v>1.329084909617475</v>
      </c>
      <c r="L60" s="28" t="n">
        <v>2.113902276342394</v>
      </c>
      <c r="M60" s="28" t="n">
        <v>1.125609337799554</v>
      </c>
      <c r="N60" s="28" t="n">
        <v>20.93521735686762</v>
      </c>
      <c r="O60" s="28" t="n">
        <v>1.7179236201607</v>
      </c>
      <c r="P60" s="28" t="n">
        <v>8.51171433482676</v>
      </c>
      <c r="Q60" s="28" t="n">
        <v>12.69040383920778</v>
      </c>
      <c r="R60" s="28" t="n">
        <v>10.15137540536927</v>
      </c>
      <c r="S60" s="28" t="n">
        <v>0.1932030048063177</v>
      </c>
      <c r="T60" s="28" t="n">
        <v>17.9691220553655</v>
      </c>
      <c r="U60" s="28" t="n">
        <v>10.47093766462302</v>
      </c>
      <c r="V60" s="28" t="n">
        <v>7.143089912262662</v>
      </c>
      <c r="W60" s="28" t="n">
        <v>3.024931265957271</v>
      </c>
      <c r="X60" s="28" t="n">
        <v>12.63840663922537</v>
      </c>
      <c r="Y60" s="28" t="n">
        <v>22.09585743788413</v>
      </c>
      <c r="Z60" s="28" t="n">
        <v>8.374137786383512</v>
      </c>
      <c r="AA60" s="28" t="n">
        <v>11.14777437508269</v>
      </c>
      <c r="AB60" s="28" t="n">
        <v>3.475357830355615</v>
      </c>
      <c r="AC60" s="28" t="n">
        <v>7.370068176866106</v>
      </c>
      <c r="AD60" s="28" t="n">
        <v>18.86655206930295</v>
      </c>
      <c r="AE60" s="28" t="n">
        <v>12.17881331933249</v>
      </c>
      <c r="AF60" s="28" t="n">
        <v>15.07576931130015</v>
      </c>
      <c r="AG60" s="28" t="n">
        <v>50.01632230018939</v>
      </c>
      <c r="AH60" s="28" t="n">
        <v>11.40684035333403</v>
      </c>
      <c r="AI60" s="28" t="n">
        <v>6.744505820048714</v>
      </c>
      <c r="AJ60" s="28" t="n">
        <v>5.549483347782748</v>
      </c>
      <c r="AK60" s="28" t="n">
        <v>44.86750677245378</v>
      </c>
      <c r="AL60" s="28" t="n">
        <v>62.05087072311021</v>
      </c>
      <c r="AM60" s="28" t="n">
        <v>276.146314134832</v>
      </c>
      <c r="AN60" s="28" t="n">
        <v>116.3572613122638</v>
      </c>
      <c r="AO60" s="28" t="n">
        <v>270.315432817147</v>
      </c>
      <c r="AP60" s="28" t="n">
        <v>163.8124807895977</v>
      </c>
      <c r="AQ60" s="28" t="n">
        <v>29.77934046989932</v>
      </c>
      <c r="AR60" s="28" t="n">
        <v>2.415777297376899</v>
      </c>
      <c r="AS60" s="28" t="n">
        <v>46.54355671309315</v>
      </c>
      <c r="AT60" s="28" t="n">
        <v>142.6289444358169</v>
      </c>
      <c r="AU60" s="28" t="n">
        <v>58.27792062671486</v>
      </c>
      <c r="AV60" s="28" t="n">
        <v>119.3255116156839</v>
      </c>
      <c r="AW60" s="28" t="n">
        <v>244.1938124452735</v>
      </c>
      <c r="AX60" s="28" t="n">
        <v>0</v>
      </c>
      <c r="AY60" s="28" t="n">
        <v>70.85588643111832</v>
      </c>
      <c r="AZ60" s="28" t="n">
        <v>84.83979212825338</v>
      </c>
      <c r="BA60" s="28" t="n">
        <v>164.0279231682869</v>
      </c>
      <c r="BB60" s="28">
        <f>SUM(C60:BA60)</f>
        <v/>
      </c>
      <c r="BC60" s="28" t="n">
        <v>0</v>
      </c>
      <c r="BD60" s="28" t="n">
        <v>0</v>
      </c>
      <c r="BE60" s="28" t="n">
        <v>0</v>
      </c>
      <c r="BF60" s="28" t="n">
        <v>0</v>
      </c>
      <c r="BG60" s="28">
        <f>SUM(BC60:BF60)</f>
        <v/>
      </c>
      <c r="BH60" s="28">
        <f>BB60+BG60</f>
        <v/>
      </c>
    </row>
    <row r="61">
      <c r="A61" s="30" t="n">
        <v>48</v>
      </c>
      <c r="B61" s="31" t="inlineStr">
        <is>
          <t>Serviços domésticos</t>
        </is>
      </c>
      <c r="C61" s="30" t="n">
        <v>0</v>
      </c>
      <c r="D61" s="30" t="n">
        <v>0</v>
      </c>
      <c r="E61" s="30" t="n">
        <v>0</v>
      </c>
      <c r="F61" s="30" t="n">
        <v>0</v>
      </c>
      <c r="G61" s="30" t="n">
        <v>0</v>
      </c>
      <c r="H61" s="30" t="n">
        <v>0</v>
      </c>
      <c r="I61" s="30" t="n">
        <v>0</v>
      </c>
      <c r="J61" s="30" t="n">
        <v>0</v>
      </c>
      <c r="K61" s="30" t="n">
        <v>0</v>
      </c>
      <c r="L61" s="30" t="n">
        <v>0</v>
      </c>
      <c r="M61" s="30" t="n">
        <v>0</v>
      </c>
      <c r="N61" s="30" t="n">
        <v>0</v>
      </c>
      <c r="O61" s="30" t="n">
        <v>0</v>
      </c>
      <c r="P61" s="30" t="n">
        <v>0</v>
      </c>
      <c r="Q61" s="30" t="n">
        <v>0</v>
      </c>
      <c r="R61" s="30" t="n">
        <v>0</v>
      </c>
      <c r="S61" s="30" t="n">
        <v>0</v>
      </c>
      <c r="T61" s="30" t="n">
        <v>0</v>
      </c>
      <c r="U61" s="30" t="n">
        <v>0</v>
      </c>
      <c r="V61" s="30" t="n">
        <v>0</v>
      </c>
      <c r="W61" s="30" t="n">
        <v>0</v>
      </c>
      <c r="X61" s="30" t="n">
        <v>0</v>
      </c>
      <c r="Y61" s="30" t="n">
        <v>0</v>
      </c>
      <c r="Z61" s="30" t="n">
        <v>0</v>
      </c>
      <c r="AA61" s="30" t="n">
        <v>0</v>
      </c>
      <c r="AB61" s="30" t="n">
        <v>0</v>
      </c>
      <c r="AC61" s="30" t="n">
        <v>0</v>
      </c>
      <c r="AD61" s="30" t="n">
        <v>0</v>
      </c>
      <c r="AE61" s="30" t="n">
        <v>0</v>
      </c>
      <c r="AF61" s="30" t="n">
        <v>0</v>
      </c>
      <c r="AG61" s="30" t="n">
        <v>0</v>
      </c>
      <c r="AH61" s="30" t="n">
        <v>0</v>
      </c>
      <c r="AI61" s="30" t="n">
        <v>0</v>
      </c>
      <c r="AJ61" s="30" t="n">
        <v>0</v>
      </c>
      <c r="AK61" s="30" t="n">
        <v>0</v>
      </c>
      <c r="AL61" s="30" t="n">
        <v>0</v>
      </c>
      <c r="AM61" s="30" t="n">
        <v>0</v>
      </c>
      <c r="AN61" s="30" t="n">
        <v>0</v>
      </c>
      <c r="AO61" s="30" t="n">
        <v>0</v>
      </c>
      <c r="AP61" s="30" t="n">
        <v>0</v>
      </c>
      <c r="AQ61" s="30" t="n">
        <v>0</v>
      </c>
      <c r="AR61" s="30" t="n">
        <v>0</v>
      </c>
      <c r="AS61" s="30" t="n">
        <v>0</v>
      </c>
      <c r="AT61" s="30" t="n">
        <v>0</v>
      </c>
      <c r="AU61" s="30" t="n">
        <v>0</v>
      </c>
      <c r="AV61" s="30" t="n">
        <v>0</v>
      </c>
      <c r="AW61" s="30" t="n">
        <v>0</v>
      </c>
      <c r="AX61" s="30" t="n">
        <v>0</v>
      </c>
      <c r="AY61" s="30" t="n">
        <v>0</v>
      </c>
      <c r="AZ61" s="30" t="n">
        <v>0</v>
      </c>
      <c r="BA61" s="30" t="n">
        <v>0</v>
      </c>
      <c r="BB61" s="30">
        <f>SUM(C61:BA61)</f>
        <v/>
      </c>
      <c r="BC61" s="30" t="n">
        <v>0</v>
      </c>
      <c r="BD61" s="30" t="n">
        <v>0</v>
      </c>
      <c r="BE61" s="30" t="n">
        <v>0</v>
      </c>
      <c r="BF61" s="30" t="n">
        <v>0</v>
      </c>
      <c r="BG61" s="30">
        <f>SUM(BC61:BF61)</f>
        <v/>
      </c>
      <c r="BH61" s="30">
        <f>BB61+BG61</f>
        <v/>
      </c>
    </row>
    <row r="62">
      <c r="A62" s="28" t="n">
        <v>49</v>
      </c>
      <c r="B62" s="29" t="inlineStr">
        <is>
          <t>Educação pública</t>
        </is>
      </c>
      <c r="C62" s="28" t="n">
        <v>3.213561613092598</v>
      </c>
      <c r="D62" s="28" t="n">
        <v>1.798818626758416</v>
      </c>
      <c r="E62" s="28" t="n">
        <v>46.47947307848828</v>
      </c>
      <c r="F62" s="28" t="n">
        <v>7.930391955037664</v>
      </c>
      <c r="G62" s="28" t="n">
        <v>6.043615915764854</v>
      </c>
      <c r="H62" s="28" t="n">
        <v>78.65372364733635</v>
      </c>
      <c r="I62" s="28" t="n">
        <v>5.419504743063773</v>
      </c>
      <c r="J62" s="28" t="n">
        <v>3.216656947152152</v>
      </c>
      <c r="K62" s="28" t="n">
        <v>3.245003720653208</v>
      </c>
      <c r="L62" s="28" t="n">
        <v>4.304242386959809</v>
      </c>
      <c r="M62" s="28" t="n">
        <v>1.22815471375486</v>
      </c>
      <c r="N62" s="28" t="n">
        <v>10.05729060179811</v>
      </c>
      <c r="O62" s="28" t="n">
        <v>1.666075204017059</v>
      </c>
      <c r="P62" s="28" t="n">
        <v>13.30189581465104</v>
      </c>
      <c r="Q62" s="28" t="n">
        <v>2.40912126915019</v>
      </c>
      <c r="R62" s="28" t="n">
        <v>11.159881401073</v>
      </c>
      <c r="S62" s="28" t="n">
        <v>2.504831556546115</v>
      </c>
      <c r="T62" s="28" t="n">
        <v>20.26540274545017</v>
      </c>
      <c r="U62" s="28" t="n">
        <v>7.668350144188297</v>
      </c>
      <c r="V62" s="28" t="n">
        <v>8.854892757277613</v>
      </c>
      <c r="W62" s="28" t="n">
        <v>4.903672800005622</v>
      </c>
      <c r="X62" s="28" t="n">
        <v>3.739786288007416</v>
      </c>
      <c r="Y62" s="28" t="n">
        <v>10.04479506733017</v>
      </c>
      <c r="Z62" s="28" t="n">
        <v>11.1377875530209</v>
      </c>
      <c r="AA62" s="28" t="n">
        <v>10.39083923915482</v>
      </c>
      <c r="AB62" s="28" t="n">
        <v>4.35255702972788</v>
      </c>
      <c r="AC62" s="28" t="n">
        <v>8.11649019787499</v>
      </c>
      <c r="AD62" s="28" t="n">
        <v>19.65163599638939</v>
      </c>
      <c r="AE62" s="28" t="n">
        <v>14.9405289952046</v>
      </c>
      <c r="AF62" s="28" t="n">
        <v>20.71962784586505</v>
      </c>
      <c r="AG62" s="28" t="n">
        <v>36.36727222709487</v>
      </c>
      <c r="AH62" s="28" t="n">
        <v>9.97093092641404</v>
      </c>
      <c r="AI62" s="28" t="n">
        <v>4.460968550081446</v>
      </c>
      <c r="AJ62" s="28" t="n">
        <v>3.506288794261121</v>
      </c>
      <c r="AK62" s="28" t="n">
        <v>32.50438157487439</v>
      </c>
      <c r="AL62" s="28" t="n">
        <v>49.1524594082414</v>
      </c>
      <c r="AM62" s="28" t="n">
        <v>164.1233081995041</v>
      </c>
      <c r="AN62" s="28" t="n">
        <v>71.38746109275212</v>
      </c>
      <c r="AO62" s="28" t="n">
        <v>114.8770010315649</v>
      </c>
      <c r="AP62" s="28" t="n">
        <v>117.3374028295147</v>
      </c>
      <c r="AQ62" s="28" t="n">
        <v>7.87560406285565</v>
      </c>
      <c r="AR62" s="28" t="n">
        <v>0.6405657896913142</v>
      </c>
      <c r="AS62" s="28" t="n">
        <v>10.32171553110164</v>
      </c>
      <c r="AT62" s="28" t="n">
        <v>117.4396602092839</v>
      </c>
      <c r="AU62" s="28" t="n">
        <v>21.72611461591046</v>
      </c>
      <c r="AV62" s="28" t="n">
        <v>7.835004696966767</v>
      </c>
      <c r="AW62" s="28" t="n">
        <v>38.57331465033842</v>
      </c>
      <c r="AX62" s="28" t="n">
        <v>0</v>
      </c>
      <c r="AY62" s="28" t="n">
        <v>22.44919760576588</v>
      </c>
      <c r="AZ62" s="28" t="n">
        <v>22.8861542356962</v>
      </c>
      <c r="BA62" s="28" t="n">
        <v>91.24826536441448</v>
      </c>
      <c r="BB62" s="28">
        <f>SUM(C62:BA62)</f>
        <v/>
      </c>
      <c r="BC62" s="28" t="n">
        <v>0</v>
      </c>
      <c r="BD62" s="28" t="n">
        <v>0</v>
      </c>
      <c r="BE62" s="28" t="n">
        <v>0</v>
      </c>
      <c r="BF62" s="28" t="n">
        <v>0</v>
      </c>
      <c r="BG62" s="28">
        <f>SUM(BC62:BF62)</f>
        <v/>
      </c>
      <c r="BH62" s="28">
        <f>BB62+BG62</f>
        <v/>
      </c>
    </row>
    <row r="63">
      <c r="A63" s="30" t="n">
        <v>50</v>
      </c>
      <c r="B63" s="31" t="inlineStr">
        <is>
          <t>Saúde pública</t>
        </is>
      </c>
      <c r="C63" s="30" t="n">
        <v>0.2908461925795408</v>
      </c>
      <c r="D63" s="30" t="n">
        <v>0.2491346818856569</v>
      </c>
      <c r="E63" s="30" t="n">
        <v>4.025226194692815</v>
      </c>
      <c r="F63" s="30" t="n">
        <v>0.6839640934810989</v>
      </c>
      <c r="G63" s="30" t="n">
        <v>0.5220010015654102</v>
      </c>
      <c r="H63" s="30" t="n">
        <v>6.750827320976084</v>
      </c>
      <c r="I63" s="30" t="n">
        <v>0.4684773893387828</v>
      </c>
      <c r="J63" s="30" t="n">
        <v>0.2773484485651002</v>
      </c>
      <c r="K63" s="30" t="n">
        <v>0.2800061982151894</v>
      </c>
      <c r="L63" s="30" t="n">
        <v>0.3719031789698183</v>
      </c>
      <c r="M63" s="30" t="n">
        <v>0.1059112649282664</v>
      </c>
      <c r="N63" s="30" t="n">
        <v>0.8655997859715685</v>
      </c>
      <c r="O63" s="30" t="n">
        <v>0.1206328390175583</v>
      </c>
      <c r="P63" s="30" t="n">
        <v>1.149773054037874</v>
      </c>
      <c r="Q63" s="30" t="n">
        <v>0.2079188030322161</v>
      </c>
      <c r="R63" s="30" t="n">
        <v>0.964330893058579</v>
      </c>
      <c r="S63" s="30" t="n">
        <v>0.216398444835062</v>
      </c>
      <c r="T63" s="30" t="n">
        <v>1.886278285052491</v>
      </c>
      <c r="U63" s="30" t="n">
        <v>0.6714456614827191</v>
      </c>
      <c r="V63" s="30" t="n">
        <v>0.7654065346265284</v>
      </c>
      <c r="W63" s="30" t="n">
        <v>0.4238017299446015</v>
      </c>
      <c r="X63" s="30" t="n">
        <v>0.3225002354420639</v>
      </c>
      <c r="Y63" s="30" t="n">
        <v>0.8675269695828071</v>
      </c>
      <c r="Z63" s="30" t="n">
        <v>0.9622477964804518</v>
      </c>
      <c r="AA63" s="30" t="n">
        <v>0.8940434856136912</v>
      </c>
      <c r="AB63" s="30" t="n">
        <v>0.3751757697393656</v>
      </c>
      <c r="AC63" s="30" t="n">
        <v>0.700357984578883</v>
      </c>
      <c r="AD63" s="30" t="n">
        <v>1.697423959454576</v>
      </c>
      <c r="AE63" s="30" t="n">
        <v>1.291192465930106</v>
      </c>
      <c r="AF63" s="30" t="n">
        <v>1.788412721257163</v>
      </c>
      <c r="AG63" s="30" t="n">
        <v>3.141751010084501</v>
      </c>
      <c r="AH63" s="30" t="n">
        <v>0.861206626143094</v>
      </c>
      <c r="AI63" s="30" t="n">
        <v>0.3854403314907593</v>
      </c>
      <c r="AJ63" s="30" t="n">
        <v>0.3025616877929167</v>
      </c>
      <c r="AK63" s="30" t="n">
        <v>2.803572720276369</v>
      </c>
      <c r="AL63" s="30" t="n">
        <v>4.246487299712114</v>
      </c>
      <c r="AM63" s="30" t="n">
        <v>14.09379110787771</v>
      </c>
      <c r="AN63" s="30" t="n">
        <v>6.152500089384106</v>
      </c>
      <c r="AO63" s="30" t="n">
        <v>9.853603520899034</v>
      </c>
      <c r="AP63" s="30" t="n">
        <v>10.09458351816963</v>
      </c>
      <c r="AQ63" s="30" t="n">
        <v>0.6759411508038874</v>
      </c>
      <c r="AR63" s="30" t="n">
        <v>0.05114032059331047</v>
      </c>
      <c r="AS63" s="30" t="n">
        <v>0.8874608561324137</v>
      </c>
      <c r="AT63" s="30" t="n">
        <v>10.02904400672988</v>
      </c>
      <c r="AU63" s="30" t="n">
        <v>1.87972554068632</v>
      </c>
      <c r="AV63" s="30" t="n">
        <v>7.439495760137419</v>
      </c>
      <c r="AW63" s="30" t="n">
        <v>3.311591425841696</v>
      </c>
      <c r="AX63" s="30" t="n">
        <v>0</v>
      </c>
      <c r="AY63" s="30" t="n">
        <v>1.940204316359797</v>
      </c>
      <c r="AZ63" s="30" t="n">
        <v>2.07327354052463</v>
      </c>
      <c r="BA63" s="30" t="n">
        <v>7.893779669733094</v>
      </c>
      <c r="BB63" s="30">
        <f>SUM(C63:BA63)</f>
        <v/>
      </c>
      <c r="BC63" s="30" t="n">
        <v>0</v>
      </c>
      <c r="BD63" s="30" t="n">
        <v>0</v>
      </c>
      <c r="BE63" s="30" t="n">
        <v>0</v>
      </c>
      <c r="BF63" s="30" t="n">
        <v>0</v>
      </c>
      <c r="BG63" s="30">
        <f>SUM(BC63:BF63)</f>
        <v/>
      </c>
      <c r="BH63" s="30">
        <f>BB63+BG63</f>
        <v/>
      </c>
    </row>
    <row r="64">
      <c r="A64" s="28" t="n">
        <v>51</v>
      </c>
      <c r="B64" s="29" t="inlineStr">
        <is>
          <t>Administração pública e seguridade social</t>
        </is>
      </c>
      <c r="C64" s="28" t="n">
        <v>172.5758202785107</v>
      </c>
      <c r="D64" s="28" t="n">
        <v>40.92007465360956</v>
      </c>
      <c r="E64" s="28" t="n">
        <v>67.95249009423621</v>
      </c>
      <c r="F64" s="28" t="n">
        <v>7.710884267469313</v>
      </c>
      <c r="G64" s="28" t="n">
        <v>9.143952703903699</v>
      </c>
      <c r="H64" s="28" t="n">
        <v>355.1612551257169</v>
      </c>
      <c r="I64" s="28" t="n">
        <v>7.571969991588577</v>
      </c>
      <c r="J64" s="28" t="n">
        <v>6.818935103572763</v>
      </c>
      <c r="K64" s="28" t="n">
        <v>12.65303558137766</v>
      </c>
      <c r="L64" s="28" t="n">
        <v>6.192923263695574</v>
      </c>
      <c r="M64" s="28" t="n">
        <v>4.511873047345488</v>
      </c>
      <c r="N64" s="28" t="n">
        <v>28.28227206224075</v>
      </c>
      <c r="O64" s="28" t="n">
        <v>42.93271177169119</v>
      </c>
      <c r="P64" s="28" t="n">
        <v>17.40891642571399</v>
      </c>
      <c r="Q64" s="28" t="n">
        <v>2.461757509939961</v>
      </c>
      <c r="R64" s="28" t="n">
        <v>134.7768093344291</v>
      </c>
      <c r="S64" s="28" t="n">
        <v>9.970248042121764</v>
      </c>
      <c r="T64" s="28" t="n">
        <v>33.56053567149643</v>
      </c>
      <c r="U64" s="28" t="n">
        <v>12.81650011240453</v>
      </c>
      <c r="V64" s="28" t="n">
        <v>17.56268583299822</v>
      </c>
      <c r="W64" s="28" t="n">
        <v>14.19995723382305</v>
      </c>
      <c r="X64" s="28" t="n">
        <v>11.39403279672382</v>
      </c>
      <c r="Y64" s="28" t="n">
        <v>18.21390687161972</v>
      </c>
      <c r="Z64" s="28" t="n">
        <v>29.711012518541</v>
      </c>
      <c r="AA64" s="28" t="n">
        <v>22.73090029940271</v>
      </c>
      <c r="AB64" s="28" t="n">
        <v>15.59830964831187</v>
      </c>
      <c r="AC64" s="28" t="n">
        <v>13.20825868696707</v>
      </c>
      <c r="AD64" s="28" t="n">
        <v>26.73226398032936</v>
      </c>
      <c r="AE64" s="28" t="n">
        <v>21.42181814319729</v>
      </c>
      <c r="AF64" s="28" t="n">
        <v>30.54909394584936</v>
      </c>
      <c r="AG64" s="28" t="n">
        <v>45.32808499304963</v>
      </c>
      <c r="AH64" s="28" t="n">
        <v>15.93958186512986</v>
      </c>
      <c r="AI64" s="28" t="n">
        <v>7.001109444588451</v>
      </c>
      <c r="AJ64" s="28" t="n">
        <v>5.88514980935406</v>
      </c>
      <c r="AK64" s="28" t="n">
        <v>120.4505546648863</v>
      </c>
      <c r="AL64" s="28" t="n">
        <v>77.79992621353615</v>
      </c>
      <c r="AM64" s="28" t="n">
        <v>367.1236810824258</v>
      </c>
      <c r="AN64" s="28" t="n">
        <v>49.51699474783972</v>
      </c>
      <c r="AO64" s="28" t="n">
        <v>302.5156099638174</v>
      </c>
      <c r="AP64" s="28" t="n">
        <v>234.3550691944126</v>
      </c>
      <c r="AQ64" s="28" t="n">
        <v>20.40806844552328</v>
      </c>
      <c r="AR64" s="28" t="n">
        <v>1.391760222309495</v>
      </c>
      <c r="AS64" s="28" t="n">
        <v>25.12613744447696</v>
      </c>
      <c r="AT64" s="28" t="n">
        <v>315.3927590811349</v>
      </c>
      <c r="AU64" s="28" t="n">
        <v>44.75979276199479</v>
      </c>
      <c r="AV64" s="28" t="n">
        <v>34.44780464552203</v>
      </c>
      <c r="AW64" s="28" t="n">
        <v>151.8305280480443</v>
      </c>
      <c r="AX64" s="28" t="n">
        <v>0</v>
      </c>
      <c r="AY64" s="28" t="n">
        <v>49.91728494463954</v>
      </c>
      <c r="AZ64" s="28" t="n">
        <v>45.76019657862668</v>
      </c>
      <c r="BA64" s="28" t="n">
        <v>197.2135067573273</v>
      </c>
      <c r="BB64" s="28">
        <f>SUM(C64:BA64)</f>
        <v/>
      </c>
      <c r="BC64" s="28" t="n">
        <v>0</v>
      </c>
      <c r="BD64" s="28" t="n">
        <v>0</v>
      </c>
      <c r="BE64" s="28" t="n">
        <v>0</v>
      </c>
      <c r="BF64" s="28" t="n">
        <v>0</v>
      </c>
      <c r="BG64" s="28">
        <f>SUM(BC64:BF64)</f>
        <v/>
      </c>
      <c r="BH64" s="28">
        <f>BB64+BG64</f>
        <v/>
      </c>
    </row>
    <row r="65">
      <c r="B65" s="32" t="inlineStr">
        <is>
          <t>Total consumo intermedio</t>
        </is>
      </c>
      <c r="C65" s="33">
        <f>SUM(C14:C64)</f>
        <v/>
      </c>
      <c r="D65" s="33">
        <f>SUM(D14:D64)</f>
        <v/>
      </c>
      <c r="E65" s="33">
        <f>SUM(E14:E64)</f>
        <v/>
      </c>
      <c r="F65" s="33">
        <f>SUM(F14:F64)</f>
        <v/>
      </c>
      <c r="G65" s="33">
        <f>SUM(G14:G64)</f>
        <v/>
      </c>
      <c r="H65" s="33">
        <f>SUM(H14:H64)</f>
        <v/>
      </c>
      <c r="I65" s="33">
        <f>SUM(I14:I64)</f>
        <v/>
      </c>
      <c r="J65" s="33">
        <f>SUM(J14:J64)</f>
        <v/>
      </c>
      <c r="K65" s="33">
        <f>SUM(K14:K64)</f>
        <v/>
      </c>
      <c r="L65" s="33">
        <f>SUM(L14:L64)</f>
        <v/>
      </c>
      <c r="M65" s="33">
        <f>SUM(M14:M64)</f>
        <v/>
      </c>
      <c r="N65" s="33">
        <f>SUM(N14:N64)</f>
        <v/>
      </c>
      <c r="O65" s="33">
        <f>SUM(O14:O64)</f>
        <v/>
      </c>
      <c r="P65" s="33">
        <f>SUM(P14:P64)</f>
        <v/>
      </c>
      <c r="Q65" s="33">
        <f>SUM(Q14:Q64)</f>
        <v/>
      </c>
      <c r="R65" s="33">
        <f>SUM(R14:R64)</f>
        <v/>
      </c>
      <c r="S65" s="33">
        <f>SUM(S14:S64)</f>
        <v/>
      </c>
      <c r="T65" s="33">
        <f>SUM(T14:T64)</f>
        <v/>
      </c>
      <c r="U65" s="33">
        <f>SUM(U14:U64)</f>
        <v/>
      </c>
      <c r="V65" s="33">
        <f>SUM(V14:V64)</f>
        <v/>
      </c>
      <c r="W65" s="33">
        <f>SUM(W14:W64)</f>
        <v/>
      </c>
      <c r="X65" s="33">
        <f>SUM(X14:X64)</f>
        <v/>
      </c>
      <c r="Y65" s="33">
        <f>SUM(Y14:Y64)</f>
        <v/>
      </c>
      <c r="Z65" s="33">
        <f>SUM(Z14:Z64)</f>
        <v/>
      </c>
      <c r="AA65" s="33">
        <f>SUM(AA14:AA64)</f>
        <v/>
      </c>
      <c r="AB65" s="33">
        <f>SUM(AB14:AB64)</f>
        <v/>
      </c>
      <c r="AC65" s="33">
        <f>SUM(AC14:AC64)</f>
        <v/>
      </c>
      <c r="AD65" s="33">
        <f>SUM(AD14:AD64)</f>
        <v/>
      </c>
      <c r="AE65" s="33">
        <f>SUM(AE14:AE64)</f>
        <v/>
      </c>
      <c r="AF65" s="33">
        <f>SUM(AF14:AF64)</f>
        <v/>
      </c>
      <c r="AG65" s="33">
        <f>SUM(AG14:AG64)</f>
        <v/>
      </c>
      <c r="AH65" s="33">
        <f>SUM(AH14:AH64)</f>
        <v/>
      </c>
      <c r="AI65" s="33">
        <f>SUM(AI14:AI64)</f>
        <v/>
      </c>
      <c r="AJ65" s="33">
        <f>SUM(AJ14:AJ64)</f>
        <v/>
      </c>
      <c r="AK65" s="33">
        <f>SUM(AK14:AK64)</f>
        <v/>
      </c>
      <c r="AL65" s="33">
        <f>SUM(AL14:AL64)</f>
        <v/>
      </c>
      <c r="AM65" s="33">
        <f>SUM(AM14:AM64)</f>
        <v/>
      </c>
      <c r="AN65" s="33">
        <f>SUM(AN14:AN64)</f>
        <v/>
      </c>
      <c r="AO65" s="33">
        <f>SUM(AO14:AO64)</f>
        <v/>
      </c>
      <c r="AP65" s="33">
        <f>SUM(AP14:AP64)</f>
        <v/>
      </c>
      <c r="AQ65" s="33">
        <f>SUM(AQ14:AQ64)</f>
        <v/>
      </c>
      <c r="AR65" s="33">
        <f>SUM(AR14:AR64)</f>
        <v/>
      </c>
      <c r="AS65" s="33">
        <f>SUM(AS14:AS64)</f>
        <v/>
      </c>
      <c r="AT65" s="33">
        <f>SUM(AT14:AT64)</f>
        <v/>
      </c>
      <c r="AU65" s="33">
        <f>SUM(AU14:AU64)</f>
        <v/>
      </c>
      <c r="AV65" s="33">
        <f>SUM(AV14:AV64)</f>
        <v/>
      </c>
      <c r="AW65" s="33">
        <f>SUM(AW14:AW64)</f>
        <v/>
      </c>
      <c r="AX65" s="33">
        <f>SUM(AX14:AX64)</f>
        <v/>
      </c>
      <c r="AY65" s="33">
        <f>SUM(AY14:AY64)</f>
        <v/>
      </c>
      <c r="AZ65" s="33">
        <f>SUM(AZ14:AZ64)</f>
        <v/>
      </c>
      <c r="BA65" s="33">
        <f>SUM(BA14:BA64)</f>
        <v/>
      </c>
      <c r="BB65" s="33">
        <f>SUM(BB14:BB64)</f>
        <v/>
      </c>
      <c r="BC65" s="33">
        <f>SUM(BC14:BC64)</f>
        <v/>
      </c>
      <c r="BD65" s="33">
        <f>SUM(BD14:BD64)</f>
        <v/>
      </c>
      <c r="BE65" s="33">
        <f>SUM(BE14:BE64)</f>
        <v/>
      </c>
      <c r="BF65" s="33">
        <f>SUM(BF14:BF64)</f>
        <v/>
      </c>
      <c r="BG65" s="33">
        <f>SUM(BG14:BG64)</f>
        <v/>
      </c>
      <c r="BH65" s="33">
        <f>SUM(BH14:BH64)</f>
        <v/>
      </c>
    </row>
    <row r="66"/>
    <row r="67">
      <c r="B67" s="32" t="inlineStr">
        <is>
          <t>Ajuste intermedio no asignado a matriz</t>
        </is>
      </c>
      <c r="C67" s="33" t="n">
        <v>0</v>
      </c>
      <c r="D67" s="33" t="n">
        <v>3.637978807091713e-12</v>
      </c>
      <c r="E67" s="33" t="n">
        <v>9.094947017729282e-13</v>
      </c>
      <c r="F67" s="33" t="n">
        <v>1.605826582817826e-12</v>
      </c>
      <c r="G67" s="33" t="n">
        <v>4.547473508864641e-13</v>
      </c>
      <c r="H67" s="33" t="n">
        <v>-5.456968210637569e-12</v>
      </c>
      <c r="I67" s="33" t="n">
        <v>-1.63424829224823e-13</v>
      </c>
      <c r="J67" s="33" t="n">
        <v>-1.818989403545856e-12</v>
      </c>
      <c r="K67" s="33" t="n">
        <v>2.728484105318785e-12</v>
      </c>
      <c r="L67" s="33" t="n">
        <v>-2.273736754432321e-13</v>
      </c>
      <c r="M67" s="33" t="n">
        <v>-2.273736754432321e-13</v>
      </c>
      <c r="N67" s="33" t="n">
        <v>-4.547473508864641e-13</v>
      </c>
      <c r="O67" s="33" t="n">
        <v>0</v>
      </c>
      <c r="P67" s="33" t="n">
        <v>1.455191522836685e-11</v>
      </c>
      <c r="Q67" s="33" t="n">
        <v>-3.410605131648481e-13</v>
      </c>
      <c r="R67" s="33" t="n">
        <v>-7.275957614183426e-12</v>
      </c>
      <c r="S67" s="33" t="n">
        <v>1.818989403545856e-12</v>
      </c>
      <c r="T67" s="33" t="n">
        <v>2.629008122312371e-13</v>
      </c>
      <c r="U67" s="33" t="n">
        <v>1.364242052659392e-12</v>
      </c>
      <c r="V67" s="33" t="n">
        <v>0</v>
      </c>
      <c r="W67" s="33" t="n">
        <v>1.364242052659392e-12</v>
      </c>
      <c r="X67" s="33" t="n">
        <v>-6.821210263296962e-13</v>
      </c>
      <c r="Y67" s="33" t="n">
        <v>-9.094947017729282e-13</v>
      </c>
      <c r="Z67" s="33" t="n">
        <v>0</v>
      </c>
      <c r="AA67" s="33" t="n">
        <v>1.818989403545856e-12</v>
      </c>
      <c r="AB67" s="33" t="n">
        <v>2.728484105318785e-12</v>
      </c>
      <c r="AC67" s="33" t="n">
        <v>0</v>
      </c>
      <c r="AD67" s="33" t="n">
        <v>7.275957614183426e-12</v>
      </c>
      <c r="AE67" s="33" t="n">
        <v>9.094947017729282e-13</v>
      </c>
      <c r="AF67" s="33" t="n">
        <v>-1.091393642127514e-11</v>
      </c>
      <c r="AG67" s="33" t="n">
        <v>-3.637978807091713e-12</v>
      </c>
      <c r="AH67" s="33" t="n">
        <v>-9.094947017729282e-12</v>
      </c>
      <c r="AI67" s="33" t="n">
        <v>-9.094947017729282e-13</v>
      </c>
      <c r="AJ67" s="33" t="n">
        <v>1.818989403545856e-12</v>
      </c>
      <c r="AK67" s="33" t="n">
        <v>1.818989403545856e-12</v>
      </c>
      <c r="AL67" s="33" t="n">
        <v>-7.275957614183426e-12</v>
      </c>
      <c r="AM67" s="33" t="n">
        <v>1.296029950026423e-11</v>
      </c>
      <c r="AN67" s="33" t="n">
        <v>-1.591615728102624e-12</v>
      </c>
      <c r="AO67" s="33" t="n">
        <v>4.547473508864641e-12</v>
      </c>
      <c r="AP67" s="33" t="n">
        <v>-1.818989403545856e-12</v>
      </c>
      <c r="AQ67" s="33" t="n">
        <v>4.547473508864641e-13</v>
      </c>
      <c r="AR67" s="33" t="n">
        <v>2.273736754432321e-13</v>
      </c>
      <c r="AS67" s="33" t="n">
        <v>0</v>
      </c>
      <c r="AT67" s="33" t="n">
        <v>1.818989403545856e-12</v>
      </c>
      <c r="AU67" s="33" t="n">
        <v>4.547473508864641e-13</v>
      </c>
      <c r="AV67" s="33" t="n">
        <v>1.818989403545856e-12</v>
      </c>
      <c r="AW67" s="33" t="n">
        <v>-3.637978807091713e-12</v>
      </c>
      <c r="AX67" s="33" t="n">
        <v>0</v>
      </c>
      <c r="AY67" s="33" t="n">
        <v>9.094947017729282e-13</v>
      </c>
      <c r="AZ67" s="33" t="n">
        <v>-1.364242052659392e-12</v>
      </c>
      <c r="BA67" s="33" t="n">
        <v>1.818989403545856e-12</v>
      </c>
      <c r="BH67" s="33">
        <f>SUM(C67:BA67)</f>
        <v/>
      </c>
    </row>
    <row r="68"/>
    <row r="69">
      <c r="B69" s="32" t="inlineStr">
        <is>
          <t>Sin valor agregado</t>
        </is>
      </c>
      <c r="C69" s="33" t="n">
        <v>0</v>
      </c>
      <c r="D69" s="33" t="n">
        <v>0</v>
      </c>
      <c r="E69" s="33" t="n">
        <v>0</v>
      </c>
      <c r="F69" s="33" t="n">
        <v>0</v>
      </c>
      <c r="G69" s="33" t="n">
        <v>0</v>
      </c>
      <c r="H69" s="33" t="n">
        <v>0</v>
      </c>
      <c r="I69" s="33" t="n">
        <v>0</v>
      </c>
      <c r="J69" s="33" t="n">
        <v>0</v>
      </c>
      <c r="K69" s="33" t="n">
        <v>0</v>
      </c>
      <c r="L69" s="33" t="n">
        <v>0</v>
      </c>
      <c r="M69" s="33" t="n">
        <v>0</v>
      </c>
      <c r="N69" s="33" t="n">
        <v>0</v>
      </c>
      <c r="O69" s="33" t="n">
        <v>0</v>
      </c>
      <c r="P69" s="33" t="n">
        <v>0</v>
      </c>
      <c r="Q69" s="33" t="n">
        <v>0</v>
      </c>
      <c r="R69" s="33" t="n">
        <v>0</v>
      </c>
      <c r="S69" s="33" t="n">
        <v>0</v>
      </c>
      <c r="T69" s="33" t="n">
        <v>0</v>
      </c>
      <c r="U69" s="33" t="n">
        <v>0</v>
      </c>
      <c r="V69" s="33" t="n">
        <v>0</v>
      </c>
      <c r="W69" s="33" t="n">
        <v>0</v>
      </c>
      <c r="X69" s="33" t="n">
        <v>0</v>
      </c>
      <c r="Y69" s="33" t="n">
        <v>0</v>
      </c>
      <c r="Z69" s="33" t="n">
        <v>0</v>
      </c>
      <c r="AA69" s="33" t="n">
        <v>0</v>
      </c>
      <c r="AB69" s="33" t="n">
        <v>0</v>
      </c>
      <c r="AC69" s="33" t="n">
        <v>0</v>
      </c>
      <c r="AD69" s="33" t="n">
        <v>0</v>
      </c>
      <c r="AE69" s="33" t="n">
        <v>0</v>
      </c>
      <c r="AF69" s="33" t="n">
        <v>0</v>
      </c>
      <c r="AG69" s="33" t="n">
        <v>0</v>
      </c>
      <c r="AH69" s="33" t="n">
        <v>0</v>
      </c>
      <c r="AI69" s="33" t="n">
        <v>0</v>
      </c>
      <c r="AJ69" s="33" t="n">
        <v>0</v>
      </c>
      <c r="AK69" s="33" t="n">
        <v>0</v>
      </c>
      <c r="AL69" s="33" t="n">
        <v>0</v>
      </c>
      <c r="AM69" s="33" t="n">
        <v>0</v>
      </c>
      <c r="AN69" s="33" t="n">
        <v>0</v>
      </c>
      <c r="AO69" s="33" t="n">
        <v>0</v>
      </c>
      <c r="AP69" s="33" t="n">
        <v>0</v>
      </c>
      <c r="AQ69" s="33" t="n">
        <v>0</v>
      </c>
      <c r="AR69" s="33" t="n">
        <v>0</v>
      </c>
      <c r="AS69" s="33" t="n">
        <v>0</v>
      </c>
      <c r="AT69" s="33" t="n">
        <v>0</v>
      </c>
      <c r="AU69" s="33" t="n">
        <v>0</v>
      </c>
      <c r="AV69" s="33" t="n">
        <v>0</v>
      </c>
      <c r="AW69" s="33" t="n">
        <v>0</v>
      </c>
      <c r="AX69" s="33" t="n">
        <v>0</v>
      </c>
      <c r="AY69" s="33" t="n">
        <v>0</v>
      </c>
      <c r="AZ69" s="33" t="n">
        <v>0</v>
      </c>
      <c r="BA69" s="33" t="n">
        <v>0</v>
      </c>
      <c r="BH69" s="33">
        <f>SUM(C69:BA69)</f>
        <v/>
      </c>
    </row>
    <row r="70"/>
    <row r="71">
      <c r="B71" s="32" t="inlineStr">
        <is>
          <t>Produccion total</t>
        </is>
      </c>
      <c r="C71" s="33">
        <f>C65+C67+C69</f>
        <v/>
      </c>
      <c r="D71" s="33">
        <f>D65+D67+D69</f>
        <v/>
      </c>
      <c r="E71" s="33">
        <f>E65+E67+E69</f>
        <v/>
      </c>
      <c r="F71" s="33">
        <f>F65+F67+F69</f>
        <v/>
      </c>
      <c r="G71" s="33">
        <f>G65+G67+G69</f>
        <v/>
      </c>
      <c r="H71" s="33">
        <f>H65+H67+H69</f>
        <v/>
      </c>
      <c r="I71" s="33">
        <f>I65+I67+I69</f>
        <v/>
      </c>
      <c r="J71" s="33">
        <f>J65+J67+J69</f>
        <v/>
      </c>
      <c r="K71" s="33">
        <f>K65+K67+K69</f>
        <v/>
      </c>
      <c r="L71" s="33">
        <f>L65+L67+L69</f>
        <v/>
      </c>
      <c r="M71" s="33">
        <f>M65+M67+M69</f>
        <v/>
      </c>
      <c r="N71" s="33">
        <f>N65+N67+N69</f>
        <v/>
      </c>
      <c r="O71" s="33">
        <f>O65+O67+O69</f>
        <v/>
      </c>
      <c r="P71" s="33">
        <f>P65+P67+P69</f>
        <v/>
      </c>
      <c r="Q71" s="33">
        <f>Q65+Q67+Q69</f>
        <v/>
      </c>
      <c r="R71" s="33">
        <f>R65+R67+R69</f>
        <v/>
      </c>
      <c r="S71" s="33">
        <f>S65+S67+S69</f>
        <v/>
      </c>
      <c r="T71" s="33">
        <f>T65+T67+T69</f>
        <v/>
      </c>
      <c r="U71" s="33">
        <f>U65+U67+U69</f>
        <v/>
      </c>
      <c r="V71" s="33">
        <f>V65+V67+V69</f>
        <v/>
      </c>
      <c r="W71" s="33">
        <f>W65+W67+W69</f>
        <v/>
      </c>
      <c r="X71" s="33">
        <f>X65+X67+X69</f>
        <v/>
      </c>
      <c r="Y71" s="33">
        <f>Y65+Y67+Y69</f>
        <v/>
      </c>
      <c r="Z71" s="33">
        <f>Z65+Z67+Z69</f>
        <v/>
      </c>
      <c r="AA71" s="33">
        <f>AA65+AA67+AA69</f>
        <v/>
      </c>
      <c r="AB71" s="33">
        <f>AB65+AB67+AB69</f>
        <v/>
      </c>
      <c r="AC71" s="33">
        <f>AC65+AC67+AC69</f>
        <v/>
      </c>
      <c r="AD71" s="33">
        <f>AD65+AD67+AD69</f>
        <v/>
      </c>
      <c r="AE71" s="33">
        <f>AE65+AE67+AE69</f>
        <v/>
      </c>
      <c r="AF71" s="33">
        <f>AF65+AF67+AF69</f>
        <v/>
      </c>
      <c r="AG71" s="33">
        <f>AG65+AG67+AG69</f>
        <v/>
      </c>
      <c r="AH71" s="33">
        <f>AH65+AH67+AH69</f>
        <v/>
      </c>
      <c r="AI71" s="33">
        <f>AI65+AI67+AI69</f>
        <v/>
      </c>
      <c r="AJ71" s="33">
        <f>AJ65+AJ67+AJ69</f>
        <v/>
      </c>
      <c r="AK71" s="33">
        <f>AK65+AK67+AK69</f>
        <v/>
      </c>
      <c r="AL71" s="33">
        <f>AL65+AL67+AL69</f>
        <v/>
      </c>
      <c r="AM71" s="33">
        <f>AM65+AM67+AM69</f>
        <v/>
      </c>
      <c r="AN71" s="33">
        <f>AN65+AN67+AN69</f>
        <v/>
      </c>
      <c r="AO71" s="33">
        <f>AO65+AO67+AO69</f>
        <v/>
      </c>
      <c r="AP71" s="33">
        <f>AP65+AP67+AP69</f>
        <v/>
      </c>
      <c r="AQ71" s="33">
        <f>AQ65+AQ67+AQ69</f>
        <v/>
      </c>
      <c r="AR71" s="33">
        <f>AR65+AR67+AR69</f>
        <v/>
      </c>
      <c r="AS71" s="33">
        <f>AS65+AS67+AS69</f>
        <v/>
      </c>
      <c r="AT71" s="33">
        <f>AT65+AT67+AT69</f>
        <v/>
      </c>
      <c r="AU71" s="33">
        <f>AU65+AU67+AU69</f>
        <v/>
      </c>
      <c r="AV71" s="33">
        <f>AV65+AV67+AV69</f>
        <v/>
      </c>
      <c r="AW71" s="33">
        <f>AW65+AW67+AW69</f>
        <v/>
      </c>
      <c r="AX71" s="33">
        <f>AX65+AX67+AX69</f>
        <v/>
      </c>
      <c r="AY71" s="33">
        <f>AY65+AY67+AY69</f>
        <v/>
      </c>
      <c r="AZ71" s="33">
        <f>AZ65+AZ67+AZ69</f>
        <v/>
      </c>
      <c r="BA71" s="33">
        <f>BA65+BA67+BA69</f>
        <v/>
      </c>
      <c r="BH71" s="33">
        <f>SUM(C71:BA71)</f>
        <v/>
      </c>
    </row>
    <row r="72">
      <c r="B72" s="32" t="inlineStr">
        <is>
          <t>Produccion fuente</t>
        </is>
      </c>
      <c r="C72" s="33" t="n">
        <v>21118.11832016274</v>
      </c>
      <c r="D72" s="33" t="n">
        <v>7016.941178962626</v>
      </c>
      <c r="E72" s="33" t="n">
        <v>30234.15864646634</v>
      </c>
      <c r="F72" s="33" t="n">
        <v>1255.105201208946</v>
      </c>
      <c r="G72" s="33" t="n">
        <v>17648.21613601504</v>
      </c>
      <c r="H72" s="33" t="n">
        <v>39010.45169300681</v>
      </c>
      <c r="I72" s="33" t="n">
        <v>292.0427231356022</v>
      </c>
      <c r="J72" s="33" t="n">
        <v>10390.21595411162</v>
      </c>
      <c r="K72" s="33" t="n">
        <v>3537.911774680087</v>
      </c>
      <c r="L72" s="33" t="n">
        <v>2076.400960034468</v>
      </c>
      <c r="M72" s="33" t="n">
        <v>5028.067544655151</v>
      </c>
      <c r="N72" s="33" t="n">
        <v>13295.01537782803</v>
      </c>
      <c r="O72" s="33" t="n">
        <v>6207.997715973358</v>
      </c>
      <c r="P72" s="33" t="n">
        <v>66759.99735927662</v>
      </c>
      <c r="Q72" s="33" t="n">
        <v>2036.850989659716</v>
      </c>
      <c r="R72" s="33" t="n">
        <v>47974.54372127332</v>
      </c>
      <c r="S72" s="33" t="n">
        <v>13301.56255298753</v>
      </c>
      <c r="T72" s="33" t="n">
        <v>9203.65476453655</v>
      </c>
      <c r="U72" s="33" t="n">
        <v>7384.000245425047</v>
      </c>
      <c r="V72" s="33" t="n">
        <v>5955.954011702574</v>
      </c>
      <c r="W72" s="33" t="n">
        <v>4298.457472870554</v>
      </c>
      <c r="X72" s="33" t="n">
        <v>5885.82969908071</v>
      </c>
      <c r="Y72" s="33" t="n">
        <v>19622.23448022101</v>
      </c>
      <c r="Z72" s="33" t="n">
        <v>16146.50685918574</v>
      </c>
      <c r="AA72" s="33" t="n">
        <v>21248.44209085493</v>
      </c>
      <c r="AB72" s="33" t="n">
        <v>13821.75522488476</v>
      </c>
      <c r="AC72" s="33" t="n">
        <v>20196.47669304264</v>
      </c>
      <c r="AD72" s="33" t="n">
        <v>31616.00043415569</v>
      </c>
      <c r="AE72" s="33" t="n">
        <v>15623.0857897917</v>
      </c>
      <c r="AF72" s="33" t="n">
        <v>36426.46241620171</v>
      </c>
      <c r="AG72" s="33" t="n">
        <v>2262.125228142167</v>
      </c>
      <c r="AH72" s="33" t="n">
        <v>25161.43598889586</v>
      </c>
      <c r="AI72" s="33" t="n">
        <v>6415.630053165256</v>
      </c>
      <c r="AJ72" s="33" t="n">
        <v>6359.331045603732</v>
      </c>
      <c r="AK72" s="33" t="n">
        <v>24226.39577437058</v>
      </c>
      <c r="AL72" s="33" t="n">
        <v>3663.957756492728</v>
      </c>
      <c r="AM72" s="33" t="n">
        <v>-200567.5522726645</v>
      </c>
      <c r="AN72" s="33" t="n">
        <v>-23465.61009821961</v>
      </c>
      <c r="AO72" s="33" t="n">
        <v>25284.98908541449</v>
      </c>
      <c r="AP72" s="33" t="n">
        <v>19349.30367957557</v>
      </c>
      <c r="AQ72" s="33" t="n">
        <v>963.5333887813746</v>
      </c>
      <c r="AR72" s="33" t="n">
        <v>172.7598227855952</v>
      </c>
      <c r="AS72" s="33" t="n">
        <v>5202.915602049082</v>
      </c>
      <c r="AT72" s="33" t="n">
        <v>36005.36692496866</v>
      </c>
      <c r="AU72" s="33" t="n">
        <v>247.7314450007756</v>
      </c>
      <c r="AV72" s="33" t="n">
        <v>-486.0143671784145</v>
      </c>
      <c r="AW72" s="33" t="n">
        <v>2273.832416958558</v>
      </c>
      <c r="AX72" s="33" t="n">
        <v>0</v>
      </c>
      <c r="AY72" s="33" t="n">
        <v>1292.101681251122</v>
      </c>
      <c r="AZ72" s="33" t="n">
        <v>118.3132678837087</v>
      </c>
      <c r="BA72" s="33" t="n">
        <v>3306.908805907467</v>
      </c>
      <c r="BH72" s="33">
        <f>SUM(C72:BA72)</f>
        <v/>
      </c>
    </row>
    <row r="73">
      <c r="B73" s="35" t="inlineStr">
        <is>
          <t>Check produccion total - fuente</t>
        </is>
      </c>
      <c r="C73" s="36">
        <f>C71-C72</f>
        <v/>
      </c>
      <c r="D73" s="36">
        <f>D71-D72</f>
        <v/>
      </c>
      <c r="E73" s="36">
        <f>E71-E72</f>
        <v/>
      </c>
      <c r="F73" s="36">
        <f>F71-F72</f>
        <v/>
      </c>
      <c r="G73" s="36">
        <f>G71-G72</f>
        <v/>
      </c>
      <c r="H73" s="36">
        <f>H71-H72</f>
        <v/>
      </c>
      <c r="I73" s="36">
        <f>I71-I72</f>
        <v/>
      </c>
      <c r="J73" s="36">
        <f>J71-J72</f>
        <v/>
      </c>
      <c r="K73" s="36">
        <f>K71-K72</f>
        <v/>
      </c>
      <c r="L73" s="36">
        <f>L71-L72</f>
        <v/>
      </c>
      <c r="M73" s="36">
        <f>M71-M72</f>
        <v/>
      </c>
      <c r="N73" s="36">
        <f>N71-N72</f>
        <v/>
      </c>
      <c r="O73" s="36">
        <f>O71-O72</f>
        <v/>
      </c>
      <c r="P73" s="36">
        <f>P71-P72</f>
        <v/>
      </c>
      <c r="Q73" s="36">
        <f>Q71-Q72</f>
        <v/>
      </c>
      <c r="R73" s="36">
        <f>R71-R72</f>
        <v/>
      </c>
      <c r="S73" s="36">
        <f>S71-S72</f>
        <v/>
      </c>
      <c r="T73" s="36">
        <f>T71-T72</f>
        <v/>
      </c>
      <c r="U73" s="36">
        <f>U71-U72</f>
        <v/>
      </c>
      <c r="V73" s="36">
        <f>V71-V72</f>
        <v/>
      </c>
      <c r="W73" s="36">
        <f>W71-W72</f>
        <v/>
      </c>
      <c r="X73" s="36">
        <f>X71-X72</f>
        <v/>
      </c>
      <c r="Y73" s="36">
        <f>Y71-Y72</f>
        <v/>
      </c>
      <c r="Z73" s="36">
        <f>Z71-Z72</f>
        <v/>
      </c>
      <c r="AA73" s="36">
        <f>AA71-AA72</f>
        <v/>
      </c>
      <c r="AB73" s="36">
        <f>AB71-AB72</f>
        <v/>
      </c>
      <c r="AC73" s="36">
        <f>AC71-AC72</f>
        <v/>
      </c>
      <c r="AD73" s="36">
        <f>AD71-AD72</f>
        <v/>
      </c>
      <c r="AE73" s="36">
        <f>AE71-AE72</f>
        <v/>
      </c>
      <c r="AF73" s="36">
        <f>AF71-AF72</f>
        <v/>
      </c>
      <c r="AG73" s="36">
        <f>AG71-AG72</f>
        <v/>
      </c>
      <c r="AH73" s="36">
        <f>AH71-AH72</f>
        <v/>
      </c>
      <c r="AI73" s="36">
        <f>AI71-AI72</f>
        <v/>
      </c>
      <c r="AJ73" s="36">
        <f>AJ71-AJ72</f>
        <v/>
      </c>
      <c r="AK73" s="36">
        <f>AK71-AK72</f>
        <v/>
      </c>
      <c r="AL73" s="36">
        <f>AL71-AL72</f>
        <v/>
      </c>
      <c r="AM73" s="36">
        <f>AM71-AM72</f>
        <v/>
      </c>
      <c r="AN73" s="36">
        <f>AN71-AN72</f>
        <v/>
      </c>
      <c r="AO73" s="36">
        <f>AO71-AO72</f>
        <v/>
      </c>
      <c r="AP73" s="36">
        <f>AP71-AP72</f>
        <v/>
      </c>
      <c r="AQ73" s="36">
        <f>AQ71-AQ72</f>
        <v/>
      </c>
      <c r="AR73" s="36">
        <f>AR71-AR72</f>
        <v/>
      </c>
      <c r="AS73" s="36">
        <f>AS71-AS72</f>
        <v/>
      </c>
      <c r="AT73" s="36">
        <f>AT71-AT72</f>
        <v/>
      </c>
      <c r="AU73" s="36">
        <f>AU71-AU72</f>
        <v/>
      </c>
      <c r="AV73" s="36">
        <f>AV71-AV72</f>
        <v/>
      </c>
      <c r="AW73" s="36">
        <f>AW71-AW72</f>
        <v/>
      </c>
      <c r="AX73" s="36">
        <f>AX71-AX72</f>
        <v/>
      </c>
      <c r="AY73" s="36">
        <f>AY71-AY72</f>
        <v/>
      </c>
      <c r="AZ73" s="36">
        <f>AZ71-AZ72</f>
        <v/>
      </c>
      <c r="BA73" s="36">
        <f>BA71-BA72</f>
        <v/>
      </c>
      <c r="BH73" s="36">
        <f>SUM(C73:BA73)</f>
        <v/>
      </c>
    </row>
    <row r="74"/>
    <row r="75">
      <c r="B75" s="31" t="inlineStr">
        <is>
          <t>Nota</t>
        </is>
      </c>
      <c r="C75" s="31" t="inlineStr">
        <is>
          <t>U_importada/ajuste transformado a industrias con D = V * diag(q)^-1.</t>
        </is>
      </c>
    </row>
  </sheetData>
  <mergeCells count="9">
    <mergeCell ref="BG10:BG12"/>
    <mergeCell ref="C10:BA10"/>
    <mergeCell ref="BH10:BH12"/>
    <mergeCell ref="A3:H4"/>
    <mergeCell ref="B10:B12"/>
    <mergeCell ref="A10:A12"/>
    <mergeCell ref="A1:H1"/>
    <mergeCell ref="BB10:BB12"/>
    <mergeCell ref="BC10:BF10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H75"/>
  <sheetViews>
    <sheetView showGridLines="0" zoomScale="70" workbookViewId="0">
      <pane xSplit="2" ySplit="13" topLeftCell="C1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.7" customWidth="1" min="1" max="1"/>
    <col width="77.7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</cols>
  <sheetData>
    <row r="1" ht="44" customHeight="1"/>
    <row r="2"/>
    <row r="3" ht="16" customHeight="1">
      <c r="A3" s="20" t="inlineStr">
        <is>
          <t>Matriz insumo producto, actividad por actividad - Total auditable</t>
        </is>
      </c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20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20" t="n"/>
      <c r="AE3" s="20" t="n"/>
      <c r="AF3" s="20" t="n"/>
      <c r="AG3" s="20" t="n"/>
      <c r="AH3" s="20" t="n"/>
      <c r="AI3" s="20" t="n"/>
      <c r="AJ3" s="20" t="n"/>
      <c r="AK3" s="20" t="n"/>
      <c r="AL3" s="20" t="n"/>
      <c r="AM3" s="20" t="n"/>
      <c r="AN3" s="20" t="n"/>
      <c r="AO3" s="20" t="n"/>
      <c r="AP3" s="20" t="n"/>
      <c r="AQ3" s="20" t="n"/>
      <c r="AR3" s="20" t="n"/>
      <c r="AS3" s="20" t="n"/>
      <c r="AT3" s="20" t="n"/>
      <c r="AU3" s="20" t="n"/>
      <c r="AV3" s="20" t="n"/>
      <c r="AW3" s="20" t="n"/>
      <c r="AX3" s="20" t="n"/>
      <c r="AY3" s="20" t="n"/>
      <c r="AZ3" s="20" t="n"/>
      <c r="BA3" s="20" t="n"/>
      <c r="BB3" s="20" t="n"/>
      <c r="BC3" s="20" t="n"/>
      <c r="BD3" s="20" t="n"/>
      <c r="BE3" s="20" t="n"/>
      <c r="BF3" s="20" t="n"/>
      <c r="BG3" s="20" t="n"/>
      <c r="BH3" s="20" t="n"/>
    </row>
    <row r="4" ht="16" customHeight="1"/>
    <row r="5">
      <c r="A5" s="21" t="inlineStr">
        <is>
          <t>Valores a precios corrientes</t>
        </is>
      </c>
    </row>
    <row r="6" ht="16.5" customHeight="1">
      <c r="A6" s="21" t="inlineStr">
        <is>
          <t>Ano 2008</t>
        </is>
      </c>
      <c r="J6" s="22" t="inlineStr">
        <is>
          <t>Indice</t>
        </is>
      </c>
    </row>
    <row r="7">
      <c r="A7" s="21" t="inlineStr">
        <is>
          <t>Base / fuente original</t>
        </is>
      </c>
    </row>
    <row r="8">
      <c r="A8" s="21" t="inlineStr">
        <is>
          <t>Unidades monetarias de la fuente</t>
        </is>
      </c>
    </row>
    <row r="9"/>
    <row r="10" ht="16" customHeight="1">
      <c r="A10" s="23" t="inlineStr">
        <is>
          <t>Codigo</t>
        </is>
      </c>
      <c r="B10" s="23" t="inlineStr">
        <is>
          <t>Actividad economica</t>
        </is>
      </c>
      <c r="C10" s="23" t="inlineStr">
        <is>
          <t>Consumo intermedio por actividades economicas</t>
        </is>
      </c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  <c r="Q10" s="24" t="n"/>
      <c r="R10" s="24" t="n"/>
      <c r="S10" s="24" t="n"/>
      <c r="T10" s="24" t="n"/>
      <c r="U10" s="24" t="n"/>
      <c r="V10" s="24" t="n"/>
      <c r="W10" s="24" t="n"/>
      <c r="X10" s="24" t="n"/>
      <c r="Y10" s="24" t="n"/>
      <c r="Z10" s="24" t="n"/>
      <c r="AA10" s="24" t="n"/>
      <c r="AB10" s="24" t="n"/>
      <c r="AC10" s="24" t="n"/>
      <c r="AD10" s="24" t="n"/>
      <c r="AE10" s="24" t="n"/>
      <c r="AF10" s="24" t="n"/>
      <c r="AG10" s="24" t="n"/>
      <c r="AH10" s="24" t="n"/>
      <c r="AI10" s="24" t="n"/>
      <c r="AJ10" s="24" t="n"/>
      <c r="AK10" s="24" t="n"/>
      <c r="AL10" s="24" t="n"/>
      <c r="AM10" s="24" t="n"/>
      <c r="AN10" s="24" t="n"/>
      <c r="AO10" s="24" t="n"/>
      <c r="AP10" s="24" t="n"/>
      <c r="AQ10" s="24" t="n"/>
      <c r="AR10" s="24" t="n"/>
      <c r="AS10" s="24" t="n"/>
      <c r="AT10" s="24" t="n"/>
      <c r="AU10" s="24" t="n"/>
      <c r="AV10" s="24" t="n"/>
      <c r="AW10" s="24" t="n"/>
      <c r="AX10" s="24" t="n"/>
      <c r="AY10" s="24" t="n"/>
      <c r="AZ10" s="24" t="n"/>
      <c r="BA10" s="24" t="n"/>
      <c r="BB10" s="23" t="inlineStr">
        <is>
          <t>Total consumo intermedio</t>
        </is>
      </c>
      <c r="BC10" s="23" t="inlineStr">
        <is>
          <t>Demanda final</t>
        </is>
      </c>
      <c r="BD10" s="24" t="n"/>
      <c r="BE10" s="24" t="n"/>
      <c r="BF10" s="24" t="n"/>
      <c r="BG10" s="23" t="inlineStr">
        <is>
          <t>Total demanda final</t>
        </is>
      </c>
      <c r="BH10" s="23" t="inlineStr">
        <is>
          <t>Total</t>
        </is>
      </c>
    </row>
    <row r="11" ht="15" customHeight="1">
      <c r="C11" s="25" t="n">
        <v>1</v>
      </c>
      <c r="D11" s="25" t="n">
        <v>2</v>
      </c>
      <c r="E11" s="25" t="n">
        <v>3</v>
      </c>
      <c r="F11" s="25" t="n">
        <v>4</v>
      </c>
      <c r="G11" s="25" t="n">
        <v>5</v>
      </c>
      <c r="H11" s="25" t="n">
        <v>6</v>
      </c>
      <c r="I11" s="25" t="n">
        <v>7</v>
      </c>
      <c r="J11" s="25" t="n">
        <v>8</v>
      </c>
      <c r="K11" s="25" t="n">
        <v>9</v>
      </c>
      <c r="L11" s="25" t="n">
        <v>10</v>
      </c>
      <c r="M11" s="25" t="inlineStr">
        <is>
          <t>Produtos de madeira</t>
        </is>
      </c>
      <c r="N11" s="25" t="n">
        <v>12</v>
      </c>
      <c r="O11" s="25" t="n">
        <v>13</v>
      </c>
      <c r="P11" s="25" t="n">
        <v>14</v>
      </c>
      <c r="Q11" s="25" t="n">
        <v>15</v>
      </c>
      <c r="R11" s="25" t="n">
        <v>16</v>
      </c>
      <c r="S11" s="25" t="n">
        <v>17</v>
      </c>
      <c r="T11" s="25" t="n">
        <v>18</v>
      </c>
      <c r="U11" s="25" t="n">
        <v>19</v>
      </c>
      <c r="V11" s="25" t="n">
        <v>20</v>
      </c>
      <c r="W11" s="25" t="n">
        <v>21</v>
      </c>
      <c r="X11" s="25" t="n">
        <v>22</v>
      </c>
      <c r="Y11" s="25" t="n">
        <v>23</v>
      </c>
      <c r="Z11" s="25" t="n">
        <v>24</v>
      </c>
      <c r="AA11" s="25" t="n">
        <v>25</v>
      </c>
      <c r="AB11" s="25" t="n">
        <v>26</v>
      </c>
      <c r="AC11" s="25" t="inlineStr">
        <is>
          <t>Produtos de metal</t>
        </is>
      </c>
      <c r="AD11" s="25" t="n">
        <v>28</v>
      </c>
      <c r="AE11" s="25" t="n">
        <v>29</v>
      </c>
      <c r="AF11" s="25" t="n">
        <v>30</v>
      </c>
      <c r="AG11" s="25" t="n">
        <v>31</v>
      </c>
      <c r="AH11" s="25" t="n">
        <v>32</v>
      </c>
      <c r="AI11" s="25" t="n">
        <v>33</v>
      </c>
      <c r="AJ11" s="25" t="n">
        <v>34</v>
      </c>
      <c r="AK11" s="25" t="n">
        <v>35</v>
      </c>
      <c r="AL11" s="25" t="n">
        <v>36</v>
      </c>
      <c r="AM11" s="25" t="n">
        <v>37</v>
      </c>
      <c r="AN11" s="25" t="n">
        <v>38</v>
      </c>
      <c r="AO11" s="25" t="n">
        <v>39</v>
      </c>
      <c r="AP11" s="25" t="n">
        <v>40</v>
      </c>
      <c r="AQ11" s="25" t="n">
        <v>41</v>
      </c>
      <c r="AR11" s="25" t="n">
        <v>42</v>
      </c>
      <c r="AS11" s="25" t="n">
        <v>43</v>
      </c>
      <c r="AT11" s="25" t="n">
        <v>44</v>
      </c>
      <c r="AU11" s="25" t="n">
        <v>45</v>
      </c>
      <c r="AV11" s="25" t="n">
        <v>46</v>
      </c>
      <c r="AW11" s="25" t="n">
        <v>47</v>
      </c>
      <c r="AX11" s="25" t="n">
        <v>48</v>
      </c>
      <c r="AY11" s="25" t="n">
        <v>49</v>
      </c>
      <c r="AZ11" s="25" t="n">
        <v>50</v>
      </c>
      <c r="BA11" s="25" t="n">
        <v>51</v>
      </c>
      <c r="BC11" s="25" t="inlineStr"/>
      <c r="BD11" s="25" t="inlineStr"/>
      <c r="BE11" s="25" t="inlineStr"/>
      <c r="BF11" s="25" t="inlineStr"/>
    </row>
    <row r="12" ht="90" customHeight="1">
      <c r="A12" s="26" t="n"/>
      <c r="B12" s="26" t="n"/>
      <c r="C12" s="27" t="inlineStr">
        <is>
          <t>Agricultura silvicultura exploração florestal</t>
        </is>
      </c>
      <c r="D12" s="27" t="inlineStr">
        <is>
          <t>Pecuária e pesca</t>
        </is>
      </c>
      <c r="E12" s="27" t="inlineStr">
        <is>
          <t>Petróleo e gás natural</t>
        </is>
      </c>
      <c r="F12" s="27" t="inlineStr">
        <is>
          <t>Minério de ferro</t>
        </is>
      </c>
      <c r="G12" s="27" t="inlineStr">
        <is>
          <t>Outros da indústria extrativa</t>
        </is>
      </c>
      <c r="H12" s="27" t="inlineStr">
        <is>
          <t>Alimentos e Bebidas</t>
        </is>
      </c>
      <c r="I12" s="27" t="inlineStr">
        <is>
          <t>Produtos do fumo</t>
        </is>
      </c>
      <c r="J12" s="27" t="inlineStr">
        <is>
          <t>Têxteis</t>
        </is>
      </c>
      <c r="K12" s="27" t="inlineStr">
        <is>
          <t>Artigos do vestuário e acessórios</t>
        </is>
      </c>
      <c r="L12" s="27" t="inlineStr">
        <is>
          <t>Artefatos de couro e calçados</t>
        </is>
      </c>
      <c r="M12" s="27" t="inlineStr">
        <is>
          <t>exclusive móveis</t>
        </is>
      </c>
      <c r="N12" s="27" t="inlineStr">
        <is>
          <t>Celulose e produtos de papel</t>
        </is>
      </c>
      <c r="O12" s="27" t="inlineStr">
        <is>
          <t>Jornais revistas discos</t>
        </is>
      </c>
      <c r="P12" s="27" t="inlineStr">
        <is>
          <t>Refino de petróleo e coque</t>
        </is>
      </c>
      <c r="Q12" s="27" t="inlineStr">
        <is>
          <t>Álcool</t>
        </is>
      </c>
      <c r="R12" s="27" t="inlineStr">
        <is>
          <t>Produtos  químicos</t>
        </is>
      </c>
      <c r="S12" s="27" t="inlineStr">
        <is>
          <t>Fabricação de resina e elastômeros</t>
        </is>
      </c>
      <c r="T12" s="27" t="inlineStr">
        <is>
          <t>Produtos farmacêuticos</t>
        </is>
      </c>
      <c r="U12" s="27" t="inlineStr">
        <is>
          <t>Defensivos agrícolas</t>
        </is>
      </c>
      <c r="V12" s="27" t="inlineStr">
        <is>
          <t>Perfumaria higiene e limpeza</t>
        </is>
      </c>
      <c r="W12" s="27" t="inlineStr">
        <is>
          <t>Tintas vernizes esmaltes e lacas</t>
        </is>
      </c>
      <c r="X12" s="27" t="inlineStr">
        <is>
          <t>Produtos e preparados químicos diversos</t>
        </is>
      </c>
      <c r="Y12" s="27" t="inlineStr">
        <is>
          <t>Artigos de borracha e plástico</t>
        </is>
      </c>
      <c r="Z12" s="27" t="inlineStr">
        <is>
          <t>Cimento e outros produtos de minerais não-metálicos</t>
        </is>
      </c>
      <c r="AA12" s="27" t="inlineStr">
        <is>
          <t>Fabricação de aço e derivados</t>
        </is>
      </c>
      <c r="AB12" s="27" t="inlineStr">
        <is>
          <t>Metalurgia de metais não-ferrosos</t>
        </is>
      </c>
      <c r="AC12" s="27" t="inlineStr">
        <is>
          <t>exclusive máquinas e equipamentos</t>
        </is>
      </c>
      <c r="AD12" s="27" t="inlineStr">
        <is>
          <t>Máquinas e equipamentos inclusive manutenção e reparos</t>
        </is>
      </c>
      <c r="AE12" s="27" t="inlineStr">
        <is>
          <t>Eletrodomésticos e material eletronico</t>
        </is>
      </c>
      <c r="AF12" s="27" t="inlineStr">
        <is>
          <t>Máquinas para escritório aparelhos e e material eletronico</t>
        </is>
      </c>
      <c r="AG12" s="27" t="inlineStr">
        <is>
          <t>Automóveis camionetas caminhões e ônibus</t>
        </is>
      </c>
      <c r="AH12" s="27" t="inlineStr">
        <is>
          <t>Peças e acessórios para veículos automotores</t>
        </is>
      </c>
      <c r="AI12" s="27" t="inlineStr">
        <is>
          <t>Outros equipamentos de transporte</t>
        </is>
      </c>
      <c r="AJ12" s="27" t="inlineStr">
        <is>
          <t>Móveis e produtos das indústrias diversas</t>
        </is>
      </c>
      <c r="AK12" s="27" t="inlineStr">
        <is>
          <t>Produção e distribuição de eletricidade gás água esgoto e limpeza urbana</t>
        </is>
      </c>
      <c r="AL12" s="27" t="inlineStr">
        <is>
          <t>Construção civil</t>
        </is>
      </c>
      <c r="AM12" s="27" t="inlineStr">
        <is>
          <t>Comércio</t>
        </is>
      </c>
      <c r="AN12" s="27" t="inlineStr">
        <is>
          <t>Transporte armazenagem e correio</t>
        </is>
      </c>
      <c r="AO12" s="27" t="inlineStr">
        <is>
          <t>Serviços de informação</t>
        </is>
      </c>
      <c r="AP12" s="27" t="inlineStr">
        <is>
          <t>Intermediação financeira seguros e previdência complementar e serviços relacionados</t>
        </is>
      </c>
      <c r="AQ12" s="27" t="inlineStr">
        <is>
          <t>Atividades imobiliárias e aluguéis</t>
        </is>
      </c>
      <c r="AR12" s="27" t="inlineStr">
        <is>
          <t>Serviços de manutenção e reparação</t>
        </is>
      </c>
      <c r="AS12" s="27" t="inlineStr">
        <is>
          <t>Serviços de alojamento e alimentação</t>
        </is>
      </c>
      <c r="AT12" s="27" t="inlineStr">
        <is>
          <t>Serviços prestados às empresas</t>
        </is>
      </c>
      <c r="AU12" s="27" t="inlineStr">
        <is>
          <t>Educação mercantil</t>
        </is>
      </c>
      <c r="AV12" s="27" t="inlineStr">
        <is>
          <t>Saúde mercantil</t>
        </is>
      </c>
      <c r="AW12" s="27" t="inlineStr">
        <is>
          <t>Serviços prestados às famílias e associativas</t>
        </is>
      </c>
      <c r="AX12" s="27" t="inlineStr">
        <is>
          <t>Serviços domésticos</t>
        </is>
      </c>
      <c r="AY12" s="27" t="inlineStr">
        <is>
          <t>Educação pública</t>
        </is>
      </c>
      <c r="AZ12" s="27" t="inlineStr">
        <is>
          <t>Saúde pública</t>
        </is>
      </c>
      <c r="BA12" s="27" t="inlineStr">
        <is>
          <t>Administração pública e seguridade social</t>
        </is>
      </c>
      <c r="BB12" s="26" t="n"/>
      <c r="BC12" s="27" t="inlineStr">
        <is>
          <t>Gasto de consumo final</t>
        </is>
      </c>
      <c r="BD12" s="27" t="inlineStr">
        <is>
          <t>Formacion bruta de capital</t>
        </is>
      </c>
      <c r="BE12" s="27" t="inlineStr">
        <is>
          <t>Exportaciones netas</t>
        </is>
      </c>
      <c r="BF12" s="27" t="inlineStr">
        <is>
          <t>Sin desglose fuente</t>
        </is>
      </c>
      <c r="BG12" s="26" t="n"/>
      <c r="BH12" s="26" t="n"/>
    </row>
    <row r="13"/>
    <row r="14">
      <c r="A14" s="28" t="n">
        <v>1</v>
      </c>
      <c r="B14" s="29" t="inlineStr">
        <is>
          <t>Agricultura silvicultura exploração florestal</t>
        </is>
      </c>
      <c r="C14" s="28" t="n">
        <v>7626.26392783032</v>
      </c>
      <c r="D14" s="28" t="n">
        <v>5729.585183682615</v>
      </c>
      <c r="E14" s="28" t="n">
        <v>52.52043828099612</v>
      </c>
      <c r="F14" s="28" t="n">
        <v>12.14482958426826</v>
      </c>
      <c r="G14" s="28" t="n">
        <v>7.113289642082234</v>
      </c>
      <c r="H14" s="28" t="n">
        <v>75410.23242011551</v>
      </c>
      <c r="I14" s="28" t="n">
        <v>5088.60089438741</v>
      </c>
      <c r="J14" s="28" t="n">
        <v>4869.352734344508</v>
      </c>
      <c r="K14" s="28" t="n">
        <v>215.9105443905332</v>
      </c>
      <c r="L14" s="28" t="n">
        <v>45.2067949341431</v>
      </c>
      <c r="M14" s="28" t="n">
        <v>2595.063733381376</v>
      </c>
      <c r="N14" s="28" t="n">
        <v>2263.89058783522</v>
      </c>
      <c r="O14" s="28" t="n">
        <v>0.7835906257326173</v>
      </c>
      <c r="P14" s="28" t="n">
        <v>3.681444091051273</v>
      </c>
      <c r="Q14" s="28" t="n">
        <v>8325.918135370535</v>
      </c>
      <c r="R14" s="28" t="n">
        <v>313.4521286720625</v>
      </c>
      <c r="S14" s="28" t="n">
        <v>449.5346529689883</v>
      </c>
      <c r="T14" s="28" t="n">
        <v>59.96638876586678</v>
      </c>
      <c r="U14" s="28" t="n">
        <v>185.3421972780633</v>
      </c>
      <c r="V14" s="28" t="n">
        <v>117.0325847113751</v>
      </c>
      <c r="W14" s="28" t="n">
        <v>92.60719785442157</v>
      </c>
      <c r="X14" s="28" t="n">
        <v>117.2521626235102</v>
      </c>
      <c r="Y14" s="28" t="n">
        <v>1133.753821966645</v>
      </c>
      <c r="Z14" s="28" t="n">
        <v>68.25684845074325</v>
      </c>
      <c r="AA14" s="28" t="n">
        <v>544.0910040465503</v>
      </c>
      <c r="AB14" s="28" t="n">
        <v>13.4491639246185</v>
      </c>
      <c r="AC14" s="28" t="n">
        <v>20.97419890837007</v>
      </c>
      <c r="AD14" s="28" t="n">
        <v>0.8354846050907987</v>
      </c>
      <c r="AE14" s="28" t="n">
        <v>4.035416962398145</v>
      </c>
      <c r="AF14" s="28" t="n">
        <v>3.951298505301176</v>
      </c>
      <c r="AG14" s="28" t="n">
        <v>1.907879370682533</v>
      </c>
      <c r="AH14" s="28" t="n">
        <v>0.310123591011178</v>
      </c>
      <c r="AI14" s="28" t="n">
        <v>1.014685787529146</v>
      </c>
      <c r="AJ14" s="28" t="n">
        <v>14.75770937298721</v>
      </c>
      <c r="AK14" s="28" t="n">
        <v>35.22943050121113</v>
      </c>
      <c r="AL14" s="28" t="n">
        <v>474.0513004776309</v>
      </c>
      <c r="AM14" s="28" t="n">
        <v>5815.869151994736</v>
      </c>
      <c r="AN14" s="28" t="n">
        <v>4.012394490854034</v>
      </c>
      <c r="AO14" s="28" t="n">
        <v>14.6914466282724</v>
      </c>
      <c r="AP14" s="28" t="n">
        <v>4.989809278931483</v>
      </c>
      <c r="AQ14" s="28" t="n">
        <v>4.51874147809125</v>
      </c>
      <c r="AR14" s="28" t="n">
        <v>0.0145155577519787</v>
      </c>
      <c r="AS14" s="28" t="n">
        <v>2558.657660964219</v>
      </c>
      <c r="AT14" s="28" t="n">
        <v>28.31496304042848</v>
      </c>
      <c r="AU14" s="28" t="n">
        <v>36.20532920124381</v>
      </c>
      <c r="AV14" s="28" t="n">
        <v>139.2452352510965</v>
      </c>
      <c r="AW14" s="28" t="n">
        <v>188.8827865692256</v>
      </c>
      <c r="AX14" s="28" t="n">
        <v>0</v>
      </c>
      <c r="AY14" s="28" t="n">
        <v>389.0810684770023</v>
      </c>
      <c r="AZ14" s="28" t="n">
        <v>136.0503351985453</v>
      </c>
      <c r="BA14" s="28" t="n">
        <v>1219.277525544046</v>
      </c>
      <c r="BB14" s="28">
        <f>SUM(C14:BA14)</f>
        <v/>
      </c>
      <c r="BC14" s="28" t="n">
        <v>0</v>
      </c>
      <c r="BD14" s="28" t="n">
        <v>0</v>
      </c>
      <c r="BE14" s="28" t="n">
        <v>74691.76632565471</v>
      </c>
      <c r="BF14" s="28" t="n">
        <v>0</v>
      </c>
      <c r="BG14" s="28">
        <f>SUM(BC14:BF14)</f>
        <v/>
      </c>
      <c r="BH14" s="28">
        <f>BB14+BG14</f>
        <v/>
      </c>
    </row>
    <row r="15">
      <c r="A15" s="30" t="n">
        <v>2</v>
      </c>
      <c r="B15" s="31" t="inlineStr">
        <is>
          <t>Pecuária e pesca</t>
        </is>
      </c>
      <c r="C15" s="30" t="n">
        <v>713.4794583210086</v>
      </c>
      <c r="D15" s="30" t="n">
        <v>3788.236611926131</v>
      </c>
      <c r="E15" s="30" t="n">
        <v>15.55901920900813</v>
      </c>
      <c r="F15" s="30" t="n">
        <v>4.856219701288625</v>
      </c>
      <c r="G15" s="30" t="n">
        <v>6.710020055152613</v>
      </c>
      <c r="H15" s="30" t="n">
        <v>54530.66743616495</v>
      </c>
      <c r="I15" s="30" t="n">
        <v>180.680875771434</v>
      </c>
      <c r="J15" s="30" t="n">
        <v>117.393805248016</v>
      </c>
      <c r="K15" s="30" t="n">
        <v>66.87229416619209</v>
      </c>
      <c r="L15" s="30" t="n">
        <v>9.756982267188709</v>
      </c>
      <c r="M15" s="30" t="n">
        <v>133.5053398964213</v>
      </c>
      <c r="N15" s="30" t="n">
        <v>115.4527834009547</v>
      </c>
      <c r="O15" s="30" t="n">
        <v>0.07360872372077661</v>
      </c>
      <c r="P15" s="30" t="n">
        <v>0.05775568342227388</v>
      </c>
      <c r="Q15" s="30" t="n">
        <v>69.2456712570954</v>
      </c>
      <c r="R15" s="30" t="n">
        <v>55.75767041739532</v>
      </c>
      <c r="S15" s="30" t="n">
        <v>11.59535029627617</v>
      </c>
      <c r="T15" s="30" t="n">
        <v>2.831170694523418</v>
      </c>
      <c r="U15" s="30" t="n">
        <v>5.033918388036755</v>
      </c>
      <c r="V15" s="30" t="n">
        <v>5.593948859960646</v>
      </c>
      <c r="W15" s="30" t="n">
        <v>3.862537286559223</v>
      </c>
      <c r="X15" s="30" t="n">
        <v>2.971159684777221</v>
      </c>
      <c r="Y15" s="30" t="n">
        <v>57.16302591422027</v>
      </c>
      <c r="Z15" s="30" t="n">
        <v>74.58351337096073</v>
      </c>
      <c r="AA15" s="30" t="n">
        <v>35.84974563198609</v>
      </c>
      <c r="AB15" s="30" t="n">
        <v>8.670103213047046</v>
      </c>
      <c r="AC15" s="30" t="n">
        <v>1.163352838180738</v>
      </c>
      <c r="AD15" s="30" t="n">
        <v>0.3355912598257131</v>
      </c>
      <c r="AE15" s="30" t="n">
        <v>0.9051472276594019</v>
      </c>
      <c r="AF15" s="30" t="n">
        <v>0.3751876683818606</v>
      </c>
      <c r="AG15" s="30" t="n">
        <v>1.061456312084168</v>
      </c>
      <c r="AH15" s="30" t="n">
        <v>0.6062286278705771</v>
      </c>
      <c r="AI15" s="30" t="n">
        <v>1.136684706939758</v>
      </c>
      <c r="AJ15" s="30" t="n">
        <v>1.652148480433997</v>
      </c>
      <c r="AK15" s="30" t="n">
        <v>22.98324646118766</v>
      </c>
      <c r="AL15" s="30" t="n">
        <v>296.2408122609501</v>
      </c>
      <c r="AM15" s="30" t="n">
        <v>213.8603044764434</v>
      </c>
      <c r="AN15" s="30" t="n">
        <v>5.439785949037717</v>
      </c>
      <c r="AO15" s="30" t="n">
        <v>19.87480097621585</v>
      </c>
      <c r="AP15" s="30" t="n">
        <v>4.642466556417999</v>
      </c>
      <c r="AQ15" s="30" t="n">
        <v>7.990107899724657</v>
      </c>
      <c r="AR15" s="30" t="n">
        <v>0.002246213191813006</v>
      </c>
      <c r="AS15" s="30" t="n">
        <v>1337.273396727103</v>
      </c>
      <c r="AT15" s="30" t="n">
        <v>9.244271475821003</v>
      </c>
      <c r="AU15" s="30" t="n">
        <v>17.7514537027794</v>
      </c>
      <c r="AV15" s="30" t="n">
        <v>99.55059652573654</v>
      </c>
      <c r="AW15" s="30" t="n">
        <v>26.70540686895982</v>
      </c>
      <c r="AX15" s="30" t="n">
        <v>0</v>
      </c>
      <c r="AY15" s="30" t="n">
        <v>133.7494333934649</v>
      </c>
      <c r="AZ15" s="30" t="n">
        <v>50.92478702394224</v>
      </c>
      <c r="BA15" s="30" t="n">
        <v>261.7305977183905</v>
      </c>
      <c r="BB15" s="30">
        <f>SUM(C15:BA15)</f>
        <v/>
      </c>
      <c r="BC15" s="30" t="n">
        <v>0</v>
      </c>
      <c r="BD15" s="30" t="n">
        <v>0</v>
      </c>
      <c r="BE15" s="30" t="n">
        <v>27206.32497347692</v>
      </c>
      <c r="BF15" s="30" t="n">
        <v>0</v>
      </c>
      <c r="BG15" s="30">
        <f>SUM(BC15:BF15)</f>
        <v/>
      </c>
      <c r="BH15" s="30">
        <f>BB15+BG15</f>
        <v/>
      </c>
    </row>
    <row r="16">
      <c r="A16" s="28" t="n">
        <v>3</v>
      </c>
      <c r="B16" s="29" t="inlineStr">
        <is>
          <t>Petróleo e gás natural</t>
        </is>
      </c>
      <c r="C16" s="28" t="n">
        <v>93.64685285862774</v>
      </c>
      <c r="D16" s="28" t="n">
        <v>114.6569300232197</v>
      </c>
      <c r="E16" s="28" t="n">
        <v>7136.177389766468</v>
      </c>
      <c r="F16" s="28" t="n">
        <v>203.9311825879704</v>
      </c>
      <c r="G16" s="28" t="n">
        <v>18.50947341135746</v>
      </c>
      <c r="H16" s="28" t="n">
        <v>683.0536080571605</v>
      </c>
      <c r="I16" s="28" t="n">
        <v>1.41529011523287</v>
      </c>
      <c r="J16" s="28" t="n">
        <v>202.556210938582</v>
      </c>
      <c r="K16" s="28" t="n">
        <v>1.200173963414355</v>
      </c>
      <c r="L16" s="28" t="n">
        <v>0.46657962602978</v>
      </c>
      <c r="M16" s="28" t="n">
        <v>33.11410447600255</v>
      </c>
      <c r="N16" s="28" t="n">
        <v>500.4287211954172</v>
      </c>
      <c r="O16" s="28" t="n">
        <v>1.194573390350087</v>
      </c>
      <c r="P16" s="28" t="n">
        <v>95160.31228575666</v>
      </c>
      <c r="Q16" s="28" t="n">
        <v>0.8708333417533549</v>
      </c>
      <c r="R16" s="28" t="n">
        <v>769.3531988666261</v>
      </c>
      <c r="S16" s="28" t="n">
        <v>418.7448495705041</v>
      </c>
      <c r="T16" s="28" t="n">
        <v>31.10253656370716</v>
      </c>
      <c r="U16" s="28" t="n">
        <v>39.5642857288943</v>
      </c>
      <c r="V16" s="28" t="n">
        <v>22.22628832765125</v>
      </c>
      <c r="W16" s="28" t="n">
        <v>23.50968630170771</v>
      </c>
      <c r="X16" s="28" t="n">
        <v>34.88765315528555</v>
      </c>
      <c r="Y16" s="28" t="n">
        <v>86.76091615263717</v>
      </c>
      <c r="Z16" s="28" t="n">
        <v>303.5271423098588</v>
      </c>
      <c r="AA16" s="28" t="n">
        <v>421.4327458878952</v>
      </c>
      <c r="AB16" s="28" t="n">
        <v>267.4820124187247</v>
      </c>
      <c r="AC16" s="28" t="n">
        <v>258.4137689514072</v>
      </c>
      <c r="AD16" s="28" t="n">
        <v>49.184726502417</v>
      </c>
      <c r="AE16" s="28" t="n">
        <v>28.09627907142026</v>
      </c>
      <c r="AF16" s="28" t="n">
        <v>5.076693956765079</v>
      </c>
      <c r="AG16" s="28" t="n">
        <v>94.45144944849082</v>
      </c>
      <c r="AH16" s="28" t="n">
        <v>194.0722705428332</v>
      </c>
      <c r="AI16" s="28" t="n">
        <v>6.395897005499871</v>
      </c>
      <c r="AJ16" s="28" t="n">
        <v>2.311253454486703</v>
      </c>
      <c r="AK16" s="28" t="n">
        <v>10003.61879131988</v>
      </c>
      <c r="AL16" s="28" t="n">
        <v>467.8938634222596</v>
      </c>
      <c r="AM16" s="28" t="n">
        <v>142.3082333682779</v>
      </c>
      <c r="AN16" s="28" t="n">
        <v>25.30792683554839</v>
      </c>
      <c r="AO16" s="28" t="n">
        <v>65.54573219028863</v>
      </c>
      <c r="AP16" s="28" t="n">
        <v>24.43429317532684</v>
      </c>
      <c r="AQ16" s="28" t="n">
        <v>15.98602194363455</v>
      </c>
      <c r="AR16" s="28" t="n">
        <v>3.320077462908571</v>
      </c>
      <c r="AS16" s="28" t="n">
        <v>258.380490636507</v>
      </c>
      <c r="AT16" s="28" t="n">
        <v>170.8810002063986</v>
      </c>
      <c r="AU16" s="28" t="n">
        <v>12.08594180018671</v>
      </c>
      <c r="AV16" s="28" t="n">
        <v>9.026620592554924</v>
      </c>
      <c r="AW16" s="28" t="n">
        <v>60.30530229928142</v>
      </c>
      <c r="AX16" s="28" t="n">
        <v>0</v>
      </c>
      <c r="AY16" s="28" t="n">
        <v>17.53114580387964</v>
      </c>
      <c r="AZ16" s="28" t="n">
        <v>23.54298054796855</v>
      </c>
      <c r="BA16" s="28" t="n">
        <v>115.3405422724505</v>
      </c>
      <c r="BB16" s="28">
        <f>SUM(C16:BA16)</f>
        <v/>
      </c>
      <c r="BC16" s="28" t="n">
        <v>0</v>
      </c>
      <c r="BD16" s="28" t="n">
        <v>0</v>
      </c>
      <c r="BE16" s="28" t="n">
        <v>31215.93709719348</v>
      </c>
      <c r="BF16" s="28" t="n">
        <v>0</v>
      </c>
      <c r="BG16" s="28">
        <f>SUM(BC16:BF16)</f>
        <v/>
      </c>
      <c r="BH16" s="28">
        <f>BB16+BG16</f>
        <v/>
      </c>
    </row>
    <row r="17">
      <c r="A17" s="30" t="n">
        <v>4</v>
      </c>
      <c r="B17" s="31" t="inlineStr">
        <is>
          <t>Minério de ferro</t>
        </is>
      </c>
      <c r="C17" s="30" t="n">
        <v>0.669576097607936</v>
      </c>
      <c r="D17" s="30" t="n">
        <v>0.3302064386641538</v>
      </c>
      <c r="E17" s="30" t="n">
        <v>10.4058795478769</v>
      </c>
      <c r="F17" s="30" t="n">
        <v>568.4461491703047</v>
      </c>
      <c r="G17" s="30" t="n">
        <v>27.87729380396369</v>
      </c>
      <c r="H17" s="30" t="n">
        <v>16.42585791262186</v>
      </c>
      <c r="I17" s="30" t="n">
        <v>1.140695837229273</v>
      </c>
      <c r="J17" s="30" t="n">
        <v>0.6753145023822947</v>
      </c>
      <c r="K17" s="30" t="n">
        <v>0.6817872366332777</v>
      </c>
      <c r="L17" s="30" t="n">
        <v>0.9055472425296094</v>
      </c>
      <c r="M17" s="30" t="n">
        <v>0.257883393667893</v>
      </c>
      <c r="N17" s="30" t="n">
        <v>2.107619532090119</v>
      </c>
      <c r="O17" s="30" t="n">
        <v>0.2937289620203367</v>
      </c>
      <c r="P17" s="30" t="n">
        <v>2.799577956428093</v>
      </c>
      <c r="Q17" s="30" t="n">
        <v>0.5062616008753181</v>
      </c>
      <c r="R17" s="30" t="n">
        <v>2.347823198731571</v>
      </c>
      <c r="S17" s="30" t="n">
        <v>0.5269086850800734</v>
      </c>
      <c r="T17" s="30" t="n">
        <v>4.26456375212453</v>
      </c>
      <c r="U17" s="30" t="n">
        <v>1.61275211444677</v>
      </c>
      <c r="V17" s="30" t="n">
        <v>1.863688766428764</v>
      </c>
      <c r="W17" s="30" t="n">
        <v>1.03191162326337</v>
      </c>
      <c r="X17" s="30" t="n">
        <v>0.7848613411476154</v>
      </c>
      <c r="Y17" s="30" t="n">
        <v>2.112339379847379</v>
      </c>
      <c r="Z17" s="30" t="n">
        <v>80.15839183415144</v>
      </c>
      <c r="AA17" s="30" t="n">
        <v>9227.55459322708</v>
      </c>
      <c r="AB17" s="30" t="n">
        <v>106.5592691409753</v>
      </c>
      <c r="AC17" s="30" t="n">
        <v>1.705256136659392</v>
      </c>
      <c r="AD17" s="30" t="n">
        <v>4.133029108511417</v>
      </c>
      <c r="AE17" s="30" t="n">
        <v>3.143925202083048</v>
      </c>
      <c r="AF17" s="30" t="n">
        <v>4.354605727703055</v>
      </c>
      <c r="AG17" s="30" t="n">
        <v>7.649759593888092</v>
      </c>
      <c r="AH17" s="30" t="n">
        <v>2.26225573204041</v>
      </c>
      <c r="AI17" s="30" t="n">
        <v>0.9385088621936228</v>
      </c>
      <c r="AJ17" s="30" t="n">
        <v>0.7367076098540565</v>
      </c>
      <c r="AK17" s="30" t="n">
        <v>6.82635505842626</v>
      </c>
      <c r="AL17" s="30" t="n">
        <v>10.33977183064336</v>
      </c>
      <c r="AM17" s="30" t="n">
        <v>34.29979676326897</v>
      </c>
      <c r="AN17" s="30" t="n">
        <v>14.97981442773962</v>
      </c>
      <c r="AO17" s="30" t="n">
        <v>23.99249616431306</v>
      </c>
      <c r="AP17" s="30" t="n">
        <v>24.57809175789911</v>
      </c>
      <c r="AQ17" s="30" t="n">
        <v>1.645849457157842</v>
      </c>
      <c r="AR17" s="30" t="n">
        <v>0.1242508776098857</v>
      </c>
      <c r="AS17" s="30" t="n">
        <v>2.160877700426507</v>
      </c>
      <c r="AT17" s="30" t="n">
        <v>31.93276798694577</v>
      </c>
      <c r="AU17" s="30" t="n">
        <v>4.564683674684825</v>
      </c>
      <c r="AV17" s="30" t="n">
        <v>1.60611147148545</v>
      </c>
      <c r="AW17" s="30" t="n">
        <v>8.014779815522736</v>
      </c>
      <c r="AX17" s="30" t="n">
        <v>0</v>
      </c>
      <c r="AY17" s="30" t="n">
        <v>4.680801609572903</v>
      </c>
      <c r="AZ17" s="30" t="n">
        <v>4.793509416210412</v>
      </c>
      <c r="BA17" s="30" t="n">
        <v>19.12778457542082</v>
      </c>
      <c r="BB17" s="30">
        <f>SUM(C17:BA17)</f>
        <v/>
      </c>
      <c r="BC17" s="30" t="n">
        <v>0</v>
      </c>
      <c r="BD17" s="30" t="n">
        <v>0</v>
      </c>
      <c r="BE17" s="30" t="n">
        <v>27143.36419551222</v>
      </c>
      <c r="BF17" s="30" t="n">
        <v>0</v>
      </c>
      <c r="BG17" s="30">
        <f>SUM(BC17:BF17)</f>
        <v/>
      </c>
      <c r="BH17" s="30">
        <f>BB17+BG17</f>
        <v/>
      </c>
    </row>
    <row r="18">
      <c r="A18" s="28" t="n">
        <v>5</v>
      </c>
      <c r="B18" s="29" t="inlineStr">
        <is>
          <t>Outros da indústria extrativa</t>
        </is>
      </c>
      <c r="C18" s="28" t="n">
        <v>681.3533809443476</v>
      </c>
      <c r="D18" s="28" t="n">
        <v>335.052570464958</v>
      </c>
      <c r="E18" s="28" t="n">
        <v>388.9713784554672</v>
      </c>
      <c r="F18" s="28" t="n">
        <v>14.11174400086405</v>
      </c>
      <c r="G18" s="28" t="n">
        <v>1425.275170689403</v>
      </c>
      <c r="H18" s="28" t="n">
        <v>344.6327567175306</v>
      </c>
      <c r="I18" s="28" t="n">
        <v>0.1015579298420398</v>
      </c>
      <c r="J18" s="28" t="n">
        <v>10.56345996384429</v>
      </c>
      <c r="K18" s="28" t="n">
        <v>0.3951822577924061</v>
      </c>
      <c r="L18" s="28" t="n">
        <v>6.649313241996724</v>
      </c>
      <c r="M18" s="28" t="n">
        <v>0.653000453180593</v>
      </c>
      <c r="N18" s="28" t="n">
        <v>60.98652632135826</v>
      </c>
      <c r="O18" s="28" t="n">
        <v>2.475762576174266</v>
      </c>
      <c r="P18" s="28" t="n">
        <v>29.46521005991778</v>
      </c>
      <c r="Q18" s="28" t="n">
        <v>149.6364883944767</v>
      </c>
      <c r="R18" s="28" t="n">
        <v>2993.517578014636</v>
      </c>
      <c r="S18" s="28" t="n">
        <v>25.16030867806955</v>
      </c>
      <c r="T18" s="28" t="n">
        <v>5.017533422579754</v>
      </c>
      <c r="U18" s="28" t="n">
        <v>4.581825865986076</v>
      </c>
      <c r="V18" s="28" t="n">
        <v>27.81253701932323</v>
      </c>
      <c r="W18" s="28" t="n">
        <v>111.5329884691507</v>
      </c>
      <c r="X18" s="28" t="n">
        <v>30.13206457857726</v>
      </c>
      <c r="Y18" s="28" t="n">
        <v>29.02319119060689</v>
      </c>
      <c r="Z18" s="28" t="n">
        <v>4108.268657228733</v>
      </c>
      <c r="AA18" s="28" t="n">
        <v>9117.42481979623</v>
      </c>
      <c r="AB18" s="28" t="n">
        <v>9942.35890330783</v>
      </c>
      <c r="AC18" s="28" t="n">
        <v>20.84176805571032</v>
      </c>
      <c r="AD18" s="28" t="n">
        <v>32.35605275056773</v>
      </c>
      <c r="AE18" s="28" t="n">
        <v>88.01232972653659</v>
      </c>
      <c r="AF18" s="28" t="n">
        <v>2.827070645882357</v>
      </c>
      <c r="AG18" s="28" t="n">
        <v>26.8796990328669</v>
      </c>
      <c r="AH18" s="28" t="n">
        <v>120.561263434509</v>
      </c>
      <c r="AI18" s="28" t="n">
        <v>11.63067001291208</v>
      </c>
      <c r="AJ18" s="28" t="n">
        <v>42.29789953537396</v>
      </c>
      <c r="AK18" s="28" t="n">
        <v>1024.923303096994</v>
      </c>
      <c r="AL18" s="28" t="n">
        <v>5322.87055213242</v>
      </c>
      <c r="AM18" s="28" t="n">
        <v>65.61499207664379</v>
      </c>
      <c r="AN18" s="28" t="n">
        <v>9.296480439649381</v>
      </c>
      <c r="AO18" s="28" t="n">
        <v>4.120072741929834</v>
      </c>
      <c r="AP18" s="28" t="n">
        <v>3.433039276178399</v>
      </c>
      <c r="AQ18" s="28" t="n">
        <v>175.6118867410121</v>
      </c>
      <c r="AR18" s="28" t="n">
        <v>0.1458599894103433</v>
      </c>
      <c r="AS18" s="28" t="n">
        <v>32.99355571472907</v>
      </c>
      <c r="AT18" s="28" t="n">
        <v>40.48564553630454</v>
      </c>
      <c r="AU18" s="28" t="n">
        <v>2.323100085415358</v>
      </c>
      <c r="AV18" s="28" t="n">
        <v>28.69283916281301</v>
      </c>
      <c r="AW18" s="28" t="n">
        <v>12.77668523637214</v>
      </c>
      <c r="AX18" s="28" t="n">
        <v>0</v>
      </c>
      <c r="AY18" s="28" t="n">
        <v>27.81511588706601</v>
      </c>
      <c r="AZ18" s="28" t="n">
        <v>14.00798737192229</v>
      </c>
      <c r="BA18" s="28" t="n">
        <v>56.371549303869</v>
      </c>
      <c r="BB18" s="28">
        <f>SUM(C18:BA18)</f>
        <v/>
      </c>
      <c r="BC18" s="28" t="n">
        <v>0</v>
      </c>
      <c r="BD18" s="28" t="n">
        <v>0</v>
      </c>
      <c r="BE18" s="28" t="n">
        <v>3526.844338510923</v>
      </c>
      <c r="BF18" s="28" t="n">
        <v>0</v>
      </c>
      <c r="BG18" s="28">
        <f>SUM(BC18:BF18)</f>
        <v/>
      </c>
      <c r="BH18" s="28">
        <f>BB18+BG18</f>
        <v/>
      </c>
    </row>
    <row r="19">
      <c r="A19" s="30" t="n">
        <v>6</v>
      </c>
      <c r="B19" s="31" t="inlineStr">
        <is>
          <t>Alimentos e Bebidas</t>
        </is>
      </c>
      <c r="C19" s="30" t="n">
        <v>1586.056030306807</v>
      </c>
      <c r="D19" s="30" t="n">
        <v>9679.810571564427</v>
      </c>
      <c r="E19" s="30" t="n">
        <v>239.6399008827036</v>
      </c>
      <c r="F19" s="30" t="n">
        <v>50.01994501910454</v>
      </c>
      <c r="G19" s="30" t="n">
        <v>157.2076095615726</v>
      </c>
      <c r="H19" s="30" t="n">
        <v>60180.32990748407</v>
      </c>
      <c r="I19" s="30" t="n">
        <v>3.956211789067527</v>
      </c>
      <c r="J19" s="30" t="n">
        <v>57.0926315250494</v>
      </c>
      <c r="K19" s="30" t="n">
        <v>14.03073084057971</v>
      </c>
      <c r="L19" s="30" t="n">
        <v>2263.871279962179</v>
      </c>
      <c r="M19" s="30" t="n">
        <v>22.66528355133109</v>
      </c>
      <c r="N19" s="30" t="n">
        <v>611.8663126340168</v>
      </c>
      <c r="O19" s="30" t="n">
        <v>22.08405893854373</v>
      </c>
      <c r="P19" s="30" t="n">
        <v>3866.00345421401</v>
      </c>
      <c r="Q19" s="30" t="n">
        <v>2409.202999972587</v>
      </c>
      <c r="R19" s="30" t="n">
        <v>628.5481578463751</v>
      </c>
      <c r="S19" s="30" t="n">
        <v>264.3220494898442</v>
      </c>
      <c r="T19" s="30" t="n">
        <v>311.8537116666886</v>
      </c>
      <c r="U19" s="30" t="n">
        <v>183.6013893737237</v>
      </c>
      <c r="V19" s="30" t="n">
        <v>1844.702485312709</v>
      </c>
      <c r="W19" s="30" t="n">
        <v>241.2309645068792</v>
      </c>
      <c r="X19" s="30" t="n">
        <v>906.8126762774784</v>
      </c>
      <c r="Y19" s="30" t="n">
        <v>129.8540229873545</v>
      </c>
      <c r="Z19" s="30" t="n">
        <v>87.6514594403591</v>
      </c>
      <c r="AA19" s="30" t="n">
        <v>147.5759593850521</v>
      </c>
      <c r="AB19" s="30" t="n">
        <v>49.1103900494555</v>
      </c>
      <c r="AC19" s="30" t="n">
        <v>111.5657085579164</v>
      </c>
      <c r="AD19" s="30" t="n">
        <v>246.6640627928826</v>
      </c>
      <c r="AE19" s="30" t="n">
        <v>46.45325518596587</v>
      </c>
      <c r="AF19" s="30" t="n">
        <v>26.82123212755216</v>
      </c>
      <c r="AG19" s="30" t="n">
        <v>59.21049660848274</v>
      </c>
      <c r="AH19" s="30" t="n">
        <v>35.02879512651732</v>
      </c>
      <c r="AI19" s="30" t="n">
        <v>25.92357984187489</v>
      </c>
      <c r="AJ19" s="30" t="n">
        <v>41.63531998111253</v>
      </c>
      <c r="AK19" s="30" t="n">
        <v>235.3596052587408</v>
      </c>
      <c r="AL19" s="30" t="n">
        <v>338.2248224618146</v>
      </c>
      <c r="AM19" s="30" t="n">
        <v>2891.235609922493</v>
      </c>
      <c r="AN19" s="30" t="n">
        <v>359.1727541057684</v>
      </c>
      <c r="AO19" s="30" t="n">
        <v>114.3675740750348</v>
      </c>
      <c r="AP19" s="30" t="n">
        <v>320.2161781688717</v>
      </c>
      <c r="AQ19" s="30" t="n">
        <v>25.26638367154163</v>
      </c>
      <c r="AR19" s="30" t="n">
        <v>12.34535304135097</v>
      </c>
      <c r="AS19" s="30" t="n">
        <v>37910.63056425322</v>
      </c>
      <c r="AT19" s="30" t="n">
        <v>219.1434866602847</v>
      </c>
      <c r="AU19" s="30" t="n">
        <v>302.0177227188631</v>
      </c>
      <c r="AV19" s="30" t="n">
        <v>1172.553904598662</v>
      </c>
      <c r="AW19" s="30" t="n">
        <v>959.0337001406452</v>
      </c>
      <c r="AX19" s="30" t="n">
        <v>0</v>
      </c>
      <c r="AY19" s="30" t="n">
        <v>2523.979806423869</v>
      </c>
      <c r="AZ19" s="30" t="n">
        <v>1465.911494472943</v>
      </c>
      <c r="BA19" s="30" t="n">
        <v>3236.970092613262</v>
      </c>
      <c r="BB19" s="30">
        <f>SUM(C19:BA19)</f>
        <v/>
      </c>
      <c r="BC19" s="30" t="n">
        <v>0</v>
      </c>
      <c r="BD19" s="30" t="n">
        <v>0</v>
      </c>
      <c r="BE19" s="30" t="n">
        <v>251665.427417786</v>
      </c>
      <c r="BF19" s="30" t="n">
        <v>0</v>
      </c>
      <c r="BG19" s="30">
        <f>SUM(BC19:BF19)</f>
        <v/>
      </c>
      <c r="BH19" s="30">
        <f>BB19+BG19</f>
        <v/>
      </c>
    </row>
    <row r="20">
      <c r="A20" s="28" t="n">
        <v>7</v>
      </c>
      <c r="B20" s="29" t="inlineStr">
        <is>
          <t>Produtos do fumo</t>
        </is>
      </c>
      <c r="C20" s="28" t="n">
        <v>0.08544173161096257</v>
      </c>
      <c r="D20" s="28" t="n">
        <v>0.04211400010623254</v>
      </c>
      <c r="E20" s="28" t="n">
        <v>1.248448320069817</v>
      </c>
      <c r="F20" s="28" t="n">
        <v>0.2124520487041002</v>
      </c>
      <c r="G20" s="28" t="n">
        <v>0.1623118990601861</v>
      </c>
      <c r="H20" s="28" t="n">
        <v>2.101270524735829</v>
      </c>
      <c r="I20" s="28" t="n">
        <v>616.7027033683435</v>
      </c>
      <c r="J20" s="28" t="n">
        <v>0.08887350405342011</v>
      </c>
      <c r="K20" s="28" t="n">
        <v>0.08994313682518802</v>
      </c>
      <c r="L20" s="28" t="n">
        <v>0.1161945227124453</v>
      </c>
      <c r="M20" s="28" t="n">
        <v>0.03309345049961337</v>
      </c>
      <c r="N20" s="28" t="n">
        <v>0.2696464596778176</v>
      </c>
      <c r="O20" s="28" t="n">
        <v>0.03788538084431575</v>
      </c>
      <c r="P20" s="28" t="n">
        <v>0.3577964147685083</v>
      </c>
      <c r="Q20" s="28" t="n">
        <v>0.06553578825858943</v>
      </c>
      <c r="R20" s="28" t="n">
        <v>0.3000577146017113</v>
      </c>
      <c r="S20" s="28" t="n">
        <v>0.06739162005354631</v>
      </c>
      <c r="T20" s="28" t="n">
        <v>0.5450117961474812</v>
      </c>
      <c r="U20" s="28" t="n">
        <v>0.2058304674388538</v>
      </c>
      <c r="V20" s="28" t="n">
        <v>0.2385687164358363</v>
      </c>
      <c r="W20" s="28" t="n">
        <v>0.1316906412762347</v>
      </c>
      <c r="X20" s="28" t="n">
        <v>0.1003218246114674</v>
      </c>
      <c r="Y20" s="28" t="n">
        <v>0.2718250280857333</v>
      </c>
      <c r="Z20" s="28" t="n">
        <v>0.2999501327285036</v>
      </c>
      <c r="AA20" s="28" t="n">
        <v>0.2799416713567651</v>
      </c>
      <c r="AB20" s="28" t="n">
        <v>0.1165070744060404</v>
      </c>
      <c r="AC20" s="28" t="n">
        <v>0.2188062656536034</v>
      </c>
      <c r="AD20" s="28" t="n">
        <v>0.5287453340854069</v>
      </c>
      <c r="AE20" s="28" t="n">
        <v>0.4016322082405195</v>
      </c>
      <c r="AF20" s="28" t="n">
        <v>0.5567832452878906</v>
      </c>
      <c r="AG20" s="28" t="n">
        <v>0.9759974767498306</v>
      </c>
      <c r="AH20" s="28" t="n">
        <v>0.2690280021409393</v>
      </c>
      <c r="AI20" s="28" t="n">
        <v>0.120099779990708</v>
      </c>
      <c r="AJ20" s="28" t="n">
        <v>0.09528624089472046</v>
      </c>
      <c r="AK20" s="28" t="n">
        <v>0.8775793629808177</v>
      </c>
      <c r="AL20" s="28" t="n">
        <v>1.327527951356025</v>
      </c>
      <c r="AM20" s="28" t="n">
        <v>4.577175882949795</v>
      </c>
      <c r="AN20" s="28" t="n">
        <v>1.93244112727528</v>
      </c>
      <c r="AO20" s="28" t="n">
        <v>3.091571271021921</v>
      </c>
      <c r="AP20" s="28" t="n">
        <v>3.170986443888011</v>
      </c>
      <c r="AQ20" s="28" t="n">
        <v>0.2221647706067566</v>
      </c>
      <c r="AR20" s="28" t="n">
        <v>0.018087537698793</v>
      </c>
      <c r="AS20" s="28" t="n">
        <v>0.3074760505675302</v>
      </c>
      <c r="AT20" s="28" t="n">
        <v>3.16808669952652</v>
      </c>
      <c r="AU20" s="28" t="n">
        <v>0.6064710364280801</v>
      </c>
      <c r="AV20" s="28" t="n">
        <v>0.2154823411088104</v>
      </c>
      <c r="AW20" s="28" t="n">
        <v>1.066596623772107</v>
      </c>
      <c r="AX20" s="28" t="n">
        <v>0</v>
      </c>
      <c r="AY20" s="28" t="n">
        <v>0.5986830201517399</v>
      </c>
      <c r="AZ20" s="28" t="n">
        <v>0.6128632786670184</v>
      </c>
      <c r="BA20" s="28" t="n">
        <v>2.454735073519251</v>
      </c>
      <c r="BB20" s="28">
        <f>SUM(C20:BA20)</f>
        <v/>
      </c>
      <c r="BC20" s="28" t="n">
        <v>0</v>
      </c>
      <c r="BD20" s="28" t="n">
        <v>0</v>
      </c>
      <c r="BE20" s="28" t="n">
        <v>10596.16548104516</v>
      </c>
      <c r="BF20" s="28" t="n">
        <v>0</v>
      </c>
      <c r="BG20" s="28">
        <f>SUM(BC20:BF20)</f>
        <v/>
      </c>
      <c r="BH20" s="28">
        <f>BB20+BG20</f>
        <v/>
      </c>
    </row>
    <row r="21">
      <c r="A21" s="30" t="n">
        <v>8</v>
      </c>
      <c r="B21" s="31" t="inlineStr">
        <is>
          <t>Têxteis</t>
        </is>
      </c>
      <c r="C21" s="30" t="n">
        <v>462.9193163141421</v>
      </c>
      <c r="D21" s="30" t="n">
        <v>9.544191051188097</v>
      </c>
      <c r="E21" s="30" t="n">
        <v>77.05504318338741</v>
      </c>
      <c r="F21" s="30" t="n">
        <v>1.351608028715629</v>
      </c>
      <c r="G21" s="30" t="n">
        <v>165.7314963029062</v>
      </c>
      <c r="H21" s="30" t="n">
        <v>259.5297671487333</v>
      </c>
      <c r="I21" s="30" t="n">
        <v>0.9347521787321587</v>
      </c>
      <c r="J21" s="30" t="n">
        <v>9632.443301420919</v>
      </c>
      <c r="K21" s="30" t="n">
        <v>13020.65041375507</v>
      </c>
      <c r="L21" s="30" t="n">
        <v>2374.772692753677</v>
      </c>
      <c r="M21" s="30" t="n">
        <v>8.955637274218191</v>
      </c>
      <c r="N21" s="30" t="n">
        <v>104.4049946192844</v>
      </c>
      <c r="O21" s="30" t="n">
        <v>4.202702510557287</v>
      </c>
      <c r="P21" s="30" t="n">
        <v>1.610348091682158</v>
      </c>
      <c r="Q21" s="30" t="n">
        <v>0.8140237637229335</v>
      </c>
      <c r="R21" s="30" t="n">
        <v>8.110533654468666</v>
      </c>
      <c r="S21" s="30" t="n">
        <v>26.42337393984113</v>
      </c>
      <c r="T21" s="30" t="n">
        <v>77.75648667567924</v>
      </c>
      <c r="U21" s="30" t="n">
        <v>5.126295769670433</v>
      </c>
      <c r="V21" s="30" t="n">
        <v>18.10429457326119</v>
      </c>
      <c r="W21" s="30" t="n">
        <v>13.72132656532106</v>
      </c>
      <c r="X21" s="30" t="n">
        <v>33.77736148240026</v>
      </c>
      <c r="Y21" s="30" t="n">
        <v>604.464851824878</v>
      </c>
      <c r="Z21" s="30" t="n">
        <v>39.92746007422141</v>
      </c>
      <c r="AA21" s="30" t="n">
        <v>3.888581722046379</v>
      </c>
      <c r="AB21" s="30" t="n">
        <v>3.395962138792996</v>
      </c>
      <c r="AC21" s="30" t="n">
        <v>44.78346238513022</v>
      </c>
      <c r="AD21" s="30" t="n">
        <v>21.81263131508203</v>
      </c>
      <c r="AE21" s="30" t="n">
        <v>58.94902528585172</v>
      </c>
      <c r="AF21" s="30" t="n">
        <v>25.18446224272974</v>
      </c>
      <c r="AG21" s="30" t="n">
        <v>139.8171592445603</v>
      </c>
      <c r="AH21" s="30" t="n">
        <v>1411.861680688529</v>
      </c>
      <c r="AI21" s="30" t="n">
        <v>81.76487095818868</v>
      </c>
      <c r="AJ21" s="30" t="n">
        <v>1066.379695335868</v>
      </c>
      <c r="AK21" s="30" t="n">
        <v>26.62842204632018</v>
      </c>
      <c r="AL21" s="30" t="n">
        <v>499.0650521783973</v>
      </c>
      <c r="AM21" s="30" t="n">
        <v>183.689892757642</v>
      </c>
      <c r="AN21" s="30" t="n">
        <v>79.95551379541132</v>
      </c>
      <c r="AO21" s="30" t="n">
        <v>22.96296880094675</v>
      </c>
      <c r="AP21" s="30" t="n">
        <v>23.27315881260133</v>
      </c>
      <c r="AQ21" s="30" t="n">
        <v>5.382434268711394</v>
      </c>
      <c r="AR21" s="30" t="n">
        <v>19.7666615411796</v>
      </c>
      <c r="AS21" s="30" t="n">
        <v>323.5253978585463</v>
      </c>
      <c r="AT21" s="30" t="n">
        <v>45.39607515807937</v>
      </c>
      <c r="AU21" s="30" t="n">
        <v>8.482213327614925</v>
      </c>
      <c r="AV21" s="30" t="n">
        <v>16.01164210463918</v>
      </c>
      <c r="AW21" s="30" t="n">
        <v>451.5181753911079</v>
      </c>
      <c r="AX21" s="30" t="n">
        <v>0</v>
      </c>
      <c r="AY21" s="30" t="n">
        <v>37.97761629122967</v>
      </c>
      <c r="AZ21" s="30" t="n">
        <v>22.33433682806513</v>
      </c>
      <c r="BA21" s="30" t="n">
        <v>52.51135164664561</v>
      </c>
      <c r="BB21" s="30">
        <f>SUM(C21:BA21)</f>
        <v/>
      </c>
      <c r="BC21" s="30" t="n">
        <v>0</v>
      </c>
      <c r="BD21" s="30" t="n">
        <v>0</v>
      </c>
      <c r="BE21" s="30" t="n">
        <v>16311.34225408976</v>
      </c>
      <c r="BF21" s="30" t="n">
        <v>0</v>
      </c>
      <c r="BG21" s="30">
        <f>SUM(BC21:BF21)</f>
        <v/>
      </c>
      <c r="BH21" s="30">
        <f>BB21+BG21</f>
        <v/>
      </c>
    </row>
    <row r="22">
      <c r="A22" s="28" t="n">
        <v>9</v>
      </c>
      <c r="B22" s="29" t="inlineStr">
        <is>
          <t>Artigos do vestuário e acessórios</t>
        </is>
      </c>
      <c r="C22" s="28" t="n">
        <v>22.66372190948234</v>
      </c>
      <c r="D22" s="28" t="n">
        <v>1.271669431270566</v>
      </c>
      <c r="E22" s="28" t="n">
        <v>88.05250597312275</v>
      </c>
      <c r="F22" s="28" t="n">
        <v>3.548178551532161</v>
      </c>
      <c r="G22" s="28" t="n">
        <v>8.793927115803344</v>
      </c>
      <c r="H22" s="28" t="n">
        <v>24.90524659546093</v>
      </c>
      <c r="I22" s="28" t="n">
        <v>0.4527475991548673</v>
      </c>
      <c r="J22" s="28" t="n">
        <v>120.5185468077796</v>
      </c>
      <c r="K22" s="28" t="n">
        <v>2759.887536574694</v>
      </c>
      <c r="L22" s="28" t="n">
        <v>79.83601601296652</v>
      </c>
      <c r="M22" s="28" t="n">
        <v>0.4855332250882198</v>
      </c>
      <c r="N22" s="28" t="n">
        <v>4.554977062247914</v>
      </c>
      <c r="O22" s="28" t="n">
        <v>1.066994620047653</v>
      </c>
      <c r="P22" s="28" t="n">
        <v>1.252768966653497</v>
      </c>
      <c r="Q22" s="28" t="n">
        <v>0.501809845545413</v>
      </c>
      <c r="R22" s="28" t="n">
        <v>1.241670243863825</v>
      </c>
      <c r="S22" s="28" t="n">
        <v>0.417908664572244</v>
      </c>
      <c r="T22" s="28" t="n">
        <v>2.346296553491733</v>
      </c>
      <c r="U22" s="28" t="n">
        <v>5.788534503942275</v>
      </c>
      <c r="V22" s="28" t="n">
        <v>0.7736679076971109</v>
      </c>
      <c r="W22" s="28" t="n">
        <v>1.401531809457567</v>
      </c>
      <c r="X22" s="28" t="n">
        <v>0.9184591315330726</v>
      </c>
      <c r="Y22" s="28" t="n">
        <v>7.920274277199421</v>
      </c>
      <c r="Z22" s="28" t="n">
        <v>19.66262191777448</v>
      </c>
      <c r="AA22" s="28" t="n">
        <v>13.06868683686665</v>
      </c>
      <c r="AB22" s="28" t="n">
        <v>1.482688226614122</v>
      </c>
      <c r="AC22" s="28" t="n">
        <v>60.2806204130281</v>
      </c>
      <c r="AD22" s="28" t="n">
        <v>27.73765651949353</v>
      </c>
      <c r="AE22" s="28" t="n">
        <v>3.842589024369441</v>
      </c>
      <c r="AF22" s="28" t="n">
        <v>3.111820812962052</v>
      </c>
      <c r="AG22" s="28" t="n">
        <v>4.119007150970373</v>
      </c>
      <c r="AH22" s="28" t="n">
        <v>25.34859746025288</v>
      </c>
      <c r="AI22" s="28" t="n">
        <v>3.11800354881882</v>
      </c>
      <c r="AJ22" s="28" t="n">
        <v>18.54928185662369</v>
      </c>
      <c r="AK22" s="28" t="n">
        <v>223.4881261712964</v>
      </c>
      <c r="AL22" s="28" t="n">
        <v>62.28732405537465</v>
      </c>
      <c r="AM22" s="28" t="n">
        <v>315.1335554991283</v>
      </c>
      <c r="AN22" s="28" t="n">
        <v>553.1678091719946</v>
      </c>
      <c r="AO22" s="28" t="n">
        <v>198.2144497733201</v>
      </c>
      <c r="AP22" s="28" t="n">
        <v>743.2246909255123</v>
      </c>
      <c r="AQ22" s="28" t="n">
        <v>35.29090578039871</v>
      </c>
      <c r="AR22" s="28" t="n">
        <v>0.4211586293713716</v>
      </c>
      <c r="AS22" s="28" t="n">
        <v>260.6698097888165</v>
      </c>
      <c r="AT22" s="28" t="n">
        <v>436.6772097369425</v>
      </c>
      <c r="AU22" s="28" t="n">
        <v>1.427690193008296</v>
      </c>
      <c r="AV22" s="28" t="n">
        <v>37.36896887306651</v>
      </c>
      <c r="AW22" s="28" t="n">
        <v>1382.951720969426</v>
      </c>
      <c r="AX22" s="28" t="n">
        <v>0</v>
      </c>
      <c r="AY22" s="28" t="n">
        <v>383.6823825998041</v>
      </c>
      <c r="AZ22" s="28" t="n">
        <v>32.85316540635698</v>
      </c>
      <c r="BA22" s="28" t="n">
        <v>582.8113155521341</v>
      </c>
      <c r="BB22" s="28">
        <f>SUM(C22:BA22)</f>
        <v/>
      </c>
      <c r="BC22" s="28" t="n">
        <v>0</v>
      </c>
      <c r="BD22" s="28" t="n">
        <v>0</v>
      </c>
      <c r="BE22" s="28" t="n">
        <v>37419.74426468535</v>
      </c>
      <c r="BF22" s="28" t="n">
        <v>0</v>
      </c>
      <c r="BG22" s="28">
        <f>SUM(BC22:BF22)</f>
        <v/>
      </c>
      <c r="BH22" s="28">
        <f>BB22+BG22</f>
        <v/>
      </c>
    </row>
    <row r="23">
      <c r="A23" s="30" t="n">
        <v>10</v>
      </c>
      <c r="B23" s="31" t="inlineStr">
        <is>
          <t>Artefatos de couro e calçados</t>
        </is>
      </c>
      <c r="C23" s="30" t="n">
        <v>4.179204915284858</v>
      </c>
      <c r="D23" s="30" t="n">
        <v>3.018966675401096</v>
      </c>
      <c r="E23" s="30" t="n">
        <v>8.523358740592844</v>
      </c>
      <c r="F23" s="30" t="n">
        <v>2.601492038363161</v>
      </c>
      <c r="G23" s="30" t="n">
        <v>10.25096285109438</v>
      </c>
      <c r="H23" s="30" t="n">
        <v>38.87235155662925</v>
      </c>
      <c r="I23" s="30" t="n">
        <v>0.5469255846493153</v>
      </c>
      <c r="J23" s="30" t="n">
        <v>1.515529342256865</v>
      </c>
      <c r="K23" s="30" t="n">
        <v>14.05436310845434</v>
      </c>
      <c r="L23" s="30" t="n">
        <v>5582.3252408624</v>
      </c>
      <c r="M23" s="30" t="n">
        <v>1.826357646133592</v>
      </c>
      <c r="N23" s="30" t="n">
        <v>89.11727522007536</v>
      </c>
      <c r="O23" s="30" t="n">
        <v>2.572174728232392</v>
      </c>
      <c r="P23" s="30" t="n">
        <v>2.387865285247156</v>
      </c>
      <c r="Q23" s="30" t="n">
        <v>1.262401027294423</v>
      </c>
      <c r="R23" s="30" t="n">
        <v>4.06762669784587</v>
      </c>
      <c r="S23" s="30" t="n">
        <v>2.017293451032176</v>
      </c>
      <c r="T23" s="30" t="n">
        <v>5.098302524360222</v>
      </c>
      <c r="U23" s="30" t="n">
        <v>3.425553251575568</v>
      </c>
      <c r="V23" s="30" t="n">
        <v>6.053840519236309</v>
      </c>
      <c r="W23" s="30" t="n">
        <v>4.208131866602918</v>
      </c>
      <c r="X23" s="30" t="n">
        <v>8.425937590377776</v>
      </c>
      <c r="Y23" s="30" t="n">
        <v>10.29275040982988</v>
      </c>
      <c r="Z23" s="30" t="n">
        <v>4.613827055703826</v>
      </c>
      <c r="AA23" s="30" t="n">
        <v>5.643395516949519</v>
      </c>
      <c r="AB23" s="30" t="n">
        <v>0.9646841392295558</v>
      </c>
      <c r="AC23" s="30" t="n">
        <v>30.08515919401738</v>
      </c>
      <c r="AD23" s="30" t="n">
        <v>14.56285369683912</v>
      </c>
      <c r="AE23" s="30" t="n">
        <v>3.994120659971133</v>
      </c>
      <c r="AF23" s="30" t="n">
        <v>33.47807472529264</v>
      </c>
      <c r="AG23" s="30" t="n">
        <v>9.650860972228305</v>
      </c>
      <c r="AH23" s="30" t="n">
        <v>9.943807807981946</v>
      </c>
      <c r="AI23" s="30" t="n">
        <v>1.931207868005226</v>
      </c>
      <c r="AJ23" s="30" t="n">
        <v>8.291080462062709</v>
      </c>
      <c r="AK23" s="30" t="n">
        <v>83.47400961977482</v>
      </c>
      <c r="AL23" s="30" t="n">
        <v>51.72967621474478</v>
      </c>
      <c r="AM23" s="30" t="n">
        <v>27.52452751870921</v>
      </c>
      <c r="AN23" s="30" t="n">
        <v>10.95929228249484</v>
      </c>
      <c r="AO23" s="30" t="n">
        <v>39.27030755550673</v>
      </c>
      <c r="AP23" s="30" t="n">
        <v>13.28297471317869</v>
      </c>
      <c r="AQ23" s="30" t="n">
        <v>1.939064728112091</v>
      </c>
      <c r="AR23" s="30" t="n">
        <v>0.1090399657614956</v>
      </c>
      <c r="AS23" s="30" t="n">
        <v>10.1585002838224</v>
      </c>
      <c r="AT23" s="30" t="n">
        <v>55.59163541278779</v>
      </c>
      <c r="AU23" s="30" t="n">
        <v>2.188771022998404</v>
      </c>
      <c r="AV23" s="30" t="n">
        <v>1.583168547729125</v>
      </c>
      <c r="AW23" s="30" t="n">
        <v>13.65461489064976</v>
      </c>
      <c r="AX23" s="30" t="n">
        <v>0</v>
      </c>
      <c r="AY23" s="30" t="n">
        <v>7.019096236450157</v>
      </c>
      <c r="AZ23" s="30" t="n">
        <v>5.828045575510812</v>
      </c>
      <c r="BA23" s="30" t="n">
        <v>32.70296527670503</v>
      </c>
      <c r="BB23" s="30">
        <f>SUM(C23:BA23)</f>
        <v/>
      </c>
      <c r="BC23" s="30" t="n">
        <v>0</v>
      </c>
      <c r="BD23" s="30" t="n">
        <v>0</v>
      </c>
      <c r="BE23" s="30" t="n">
        <v>22186.73958358719</v>
      </c>
      <c r="BF23" s="30" t="n">
        <v>0</v>
      </c>
      <c r="BG23" s="30">
        <f>SUM(BC23:BF23)</f>
        <v/>
      </c>
      <c r="BH23" s="30">
        <f>BB23+BG23</f>
        <v/>
      </c>
    </row>
    <row r="24">
      <c r="A24" s="29" t="inlineStr">
        <is>
          <t>Produtos de madeira</t>
        </is>
      </c>
      <c r="B24" s="29" t="inlineStr">
        <is>
          <t>exclusive móveis</t>
        </is>
      </c>
      <c r="C24" s="28" t="n">
        <v>370.4783640978584</v>
      </c>
      <c r="D24" s="28" t="n">
        <v>235.7024611656261</v>
      </c>
      <c r="E24" s="28" t="n">
        <v>3.972820333348547</v>
      </c>
      <c r="F24" s="28" t="n">
        <v>1.820437541631576</v>
      </c>
      <c r="G24" s="28" t="n">
        <v>6.631316395846223</v>
      </c>
      <c r="H24" s="28" t="n">
        <v>373.5873987294731</v>
      </c>
      <c r="I24" s="28" t="n">
        <v>0.2570864126352547</v>
      </c>
      <c r="J24" s="28" t="n">
        <v>32.54193769309847</v>
      </c>
      <c r="K24" s="28" t="n">
        <v>5.002549496248649</v>
      </c>
      <c r="L24" s="28" t="n">
        <v>1.504266299713444</v>
      </c>
      <c r="M24" s="28" t="n">
        <v>3340.367526850582</v>
      </c>
      <c r="N24" s="28" t="n">
        <v>403.9672844770295</v>
      </c>
      <c r="O24" s="28" t="n">
        <v>1.940515610622213</v>
      </c>
      <c r="P24" s="28" t="n">
        <v>0.9592731760685405</v>
      </c>
      <c r="Q24" s="28" t="n">
        <v>0.5834889581417361</v>
      </c>
      <c r="R24" s="28" t="n">
        <v>16.77223646701082</v>
      </c>
      <c r="S24" s="28" t="n">
        <v>1.002001353448715</v>
      </c>
      <c r="T24" s="28" t="n">
        <v>1.696387728374123</v>
      </c>
      <c r="U24" s="28" t="n">
        <v>11.07487827360773</v>
      </c>
      <c r="V24" s="28" t="n">
        <v>2.260370100598348</v>
      </c>
      <c r="W24" s="28" t="n">
        <v>2.934849025497601</v>
      </c>
      <c r="X24" s="28" t="n">
        <v>27.01273840098643</v>
      </c>
      <c r="Y24" s="28" t="n">
        <v>13.64850294487867</v>
      </c>
      <c r="Z24" s="28" t="n">
        <v>35.94294150503129</v>
      </c>
      <c r="AA24" s="28" t="n">
        <v>22.69809553915479</v>
      </c>
      <c r="AB24" s="28" t="n">
        <v>5.410513628928273</v>
      </c>
      <c r="AC24" s="28" t="n">
        <v>201.3377523293816</v>
      </c>
      <c r="AD24" s="28" t="n">
        <v>371.6286930943845</v>
      </c>
      <c r="AE24" s="28" t="n">
        <v>11.0712754883164</v>
      </c>
      <c r="AF24" s="28" t="n">
        <v>3.438959775895853</v>
      </c>
      <c r="AG24" s="28" t="n">
        <v>243.5003406762772</v>
      </c>
      <c r="AH24" s="28" t="n">
        <v>84.33271949657399</v>
      </c>
      <c r="AI24" s="28" t="n">
        <v>187.6547496579533</v>
      </c>
      <c r="AJ24" s="28" t="n">
        <v>5589.471522806931</v>
      </c>
      <c r="AK24" s="28" t="n">
        <v>328.1449926206489</v>
      </c>
      <c r="AL24" s="28" t="n">
        <v>4857.262169236012</v>
      </c>
      <c r="AM24" s="28" t="n">
        <v>1505.104711489191</v>
      </c>
      <c r="AN24" s="28" t="n">
        <v>70.10381268010332</v>
      </c>
      <c r="AO24" s="28" t="n">
        <v>185.8954577398924</v>
      </c>
      <c r="AP24" s="28" t="n">
        <v>16.21465783521541</v>
      </c>
      <c r="AQ24" s="28" t="n">
        <v>317.9579986938012</v>
      </c>
      <c r="AR24" s="28" t="n">
        <v>1.666986020832172</v>
      </c>
      <c r="AS24" s="28" t="n">
        <v>10.82754413164429</v>
      </c>
      <c r="AT24" s="28" t="n">
        <v>25.55513688599932</v>
      </c>
      <c r="AU24" s="28" t="n">
        <v>8.452500130748909</v>
      </c>
      <c r="AV24" s="28" t="n">
        <v>4.230283067921185</v>
      </c>
      <c r="AW24" s="28" t="n">
        <v>275.534105772459</v>
      </c>
      <c r="AX24" s="28" t="n">
        <v>0</v>
      </c>
      <c r="AY24" s="28" t="n">
        <v>26.51874072681584</v>
      </c>
      <c r="AZ24" s="28" t="n">
        <v>4.457549177655327</v>
      </c>
      <c r="BA24" s="28" t="n">
        <v>69.74309395333195</v>
      </c>
      <c r="BB24" s="28">
        <f>SUM(C24:BA24)</f>
        <v/>
      </c>
      <c r="BC24" s="28" t="n">
        <v>0</v>
      </c>
      <c r="BD24" s="28" t="n">
        <v>0</v>
      </c>
      <c r="BE24" s="28" t="n">
        <v>5248.254884463969</v>
      </c>
      <c r="BF24" s="28" t="n">
        <v>0</v>
      </c>
      <c r="BG24" s="28">
        <f>SUM(BC24:BF24)</f>
        <v/>
      </c>
      <c r="BH24" s="28">
        <f>BB24+BG24</f>
        <v/>
      </c>
    </row>
    <row r="25">
      <c r="A25" s="30" t="n">
        <v>12</v>
      </c>
      <c r="B25" s="31" t="inlineStr">
        <is>
          <t>Celulose e produtos de papel</t>
        </is>
      </c>
      <c r="C25" s="30" t="n">
        <v>313.0222449702227</v>
      </c>
      <c r="D25" s="30" t="n">
        <v>109.173945623609</v>
      </c>
      <c r="E25" s="30" t="n">
        <v>50.9954501211913</v>
      </c>
      <c r="F25" s="30" t="n">
        <v>79.01837795779997</v>
      </c>
      <c r="G25" s="30" t="n">
        <v>26.83586622039036</v>
      </c>
      <c r="H25" s="30" t="n">
        <v>4373.925964568856</v>
      </c>
      <c r="I25" s="30" t="n">
        <v>859.718961388196</v>
      </c>
      <c r="J25" s="30" t="n">
        <v>700.4311222150568</v>
      </c>
      <c r="K25" s="30" t="n">
        <v>532.3752473349866</v>
      </c>
      <c r="L25" s="30" t="n">
        <v>564.6556441714912</v>
      </c>
      <c r="M25" s="30" t="n">
        <v>482.5070568658929</v>
      </c>
      <c r="N25" s="30" t="n">
        <v>9819.801194982245</v>
      </c>
      <c r="O25" s="30" t="n">
        <v>1308.649581925925</v>
      </c>
      <c r="P25" s="30" t="n">
        <v>103.4503645594395</v>
      </c>
      <c r="Q25" s="30" t="n">
        <v>33.89153458539592</v>
      </c>
      <c r="R25" s="30" t="n">
        <v>66.53703784566422</v>
      </c>
      <c r="S25" s="30" t="n">
        <v>15.1841474898154</v>
      </c>
      <c r="T25" s="30" t="n">
        <v>619.8474079981755</v>
      </c>
      <c r="U25" s="30" t="n">
        <v>102.4905921228515</v>
      </c>
      <c r="V25" s="30" t="n">
        <v>1167.141445501892</v>
      </c>
      <c r="W25" s="30" t="n">
        <v>14.48343959076084</v>
      </c>
      <c r="X25" s="30" t="n">
        <v>48.95092280049177</v>
      </c>
      <c r="Y25" s="30" t="n">
        <v>1484.601865993172</v>
      </c>
      <c r="Z25" s="30" t="n">
        <v>1345.488469460953</v>
      </c>
      <c r="AA25" s="30" t="n">
        <v>60.36920563360532</v>
      </c>
      <c r="AB25" s="30" t="n">
        <v>17.34003800481911</v>
      </c>
      <c r="AC25" s="30" t="n">
        <v>873.8946195206173</v>
      </c>
      <c r="AD25" s="30" t="n">
        <v>254.5726673158623</v>
      </c>
      <c r="AE25" s="30" t="n">
        <v>397.1404512370382</v>
      </c>
      <c r="AF25" s="30" t="n">
        <v>1518.471135886189</v>
      </c>
      <c r="AG25" s="30" t="n">
        <v>331.8311152834545</v>
      </c>
      <c r="AH25" s="30" t="n">
        <v>704.4971898877376</v>
      </c>
      <c r="AI25" s="30" t="n">
        <v>64.79591627365109</v>
      </c>
      <c r="AJ25" s="30" t="n">
        <v>533.0129862110874</v>
      </c>
      <c r="AK25" s="30" t="n">
        <v>128.8471469304272</v>
      </c>
      <c r="AL25" s="30" t="n">
        <v>443.092636206103</v>
      </c>
      <c r="AM25" s="30" t="n">
        <v>3886.416189501456</v>
      </c>
      <c r="AN25" s="30" t="n">
        <v>438.4380906802985</v>
      </c>
      <c r="AO25" s="30" t="n">
        <v>2123.702258070746</v>
      </c>
      <c r="AP25" s="30" t="n">
        <v>1236.437972550237</v>
      </c>
      <c r="AQ25" s="30" t="n">
        <v>188.8405388669494</v>
      </c>
      <c r="AR25" s="30" t="n">
        <v>29.4872947073323</v>
      </c>
      <c r="AS25" s="30" t="n">
        <v>863.66467166143</v>
      </c>
      <c r="AT25" s="30" t="n">
        <v>3343.072851597098</v>
      </c>
      <c r="AU25" s="30" t="n">
        <v>312.6647785881006</v>
      </c>
      <c r="AV25" s="30" t="n">
        <v>614.5323772826184</v>
      </c>
      <c r="AW25" s="30" t="n">
        <v>644.2428783667247</v>
      </c>
      <c r="AX25" s="30" t="n">
        <v>0</v>
      </c>
      <c r="AY25" s="30" t="n">
        <v>533.8194125873822</v>
      </c>
      <c r="AZ25" s="30" t="n">
        <v>98.5296323934845</v>
      </c>
      <c r="BA25" s="30" t="n">
        <v>785.9789124041069</v>
      </c>
      <c r="BB25" s="30">
        <f>SUM(C25:BA25)</f>
        <v/>
      </c>
      <c r="BC25" s="30" t="n">
        <v>0</v>
      </c>
      <c r="BD25" s="30" t="n">
        <v>0</v>
      </c>
      <c r="BE25" s="30" t="n">
        <v>15810.56124101923</v>
      </c>
      <c r="BF25" s="30" t="n">
        <v>0</v>
      </c>
      <c r="BG25" s="30">
        <f>SUM(BC25:BF25)</f>
        <v/>
      </c>
      <c r="BH25" s="30">
        <f>BB25+BG25</f>
        <v/>
      </c>
    </row>
    <row r="26">
      <c r="A26" s="28" t="n">
        <v>13</v>
      </c>
      <c r="B26" s="29" t="inlineStr">
        <is>
          <t>Jornais revistas discos</t>
        </is>
      </c>
      <c r="C26" s="28" t="n">
        <v>8.525727148692221</v>
      </c>
      <c r="D26" s="28" t="n">
        <v>2.36269284528603</v>
      </c>
      <c r="E26" s="28" t="n">
        <v>7.302324583464994</v>
      </c>
      <c r="F26" s="28" t="n">
        <v>12.38034692192109</v>
      </c>
      <c r="G26" s="28" t="n">
        <v>7.255211080408545</v>
      </c>
      <c r="H26" s="28" t="n">
        <v>403.2485770264861</v>
      </c>
      <c r="I26" s="28" t="n">
        <v>8.813196083279461</v>
      </c>
      <c r="J26" s="28" t="n">
        <v>27.82444530598453</v>
      </c>
      <c r="K26" s="28" t="n">
        <v>35.34035272114216</v>
      </c>
      <c r="L26" s="28" t="n">
        <v>17.3403793682236</v>
      </c>
      <c r="M26" s="28" t="n">
        <v>17.96684789329674</v>
      </c>
      <c r="N26" s="28" t="n">
        <v>193.1302022573086</v>
      </c>
      <c r="O26" s="28" t="n">
        <v>1644.675495959735</v>
      </c>
      <c r="P26" s="28" t="n">
        <v>5.604290814618958</v>
      </c>
      <c r="Q26" s="28" t="n">
        <v>6.294658316314321</v>
      </c>
      <c r="R26" s="28" t="n">
        <v>4.252277231445349</v>
      </c>
      <c r="S26" s="28" t="n">
        <v>2.969155056352621</v>
      </c>
      <c r="T26" s="28" t="n">
        <v>15.31875528938297</v>
      </c>
      <c r="U26" s="28" t="n">
        <v>15.32283461703404</v>
      </c>
      <c r="V26" s="28" t="n">
        <v>15.58110402697113</v>
      </c>
      <c r="W26" s="28" t="n">
        <v>4.484480722128472</v>
      </c>
      <c r="X26" s="28" t="n">
        <v>4.919039093540897</v>
      </c>
      <c r="Y26" s="28" t="n">
        <v>65.88065907473015</v>
      </c>
      <c r="Z26" s="28" t="n">
        <v>29.29577706616563</v>
      </c>
      <c r="AA26" s="28" t="n">
        <v>21.77621316844706</v>
      </c>
      <c r="AB26" s="28" t="n">
        <v>2.314196696843929</v>
      </c>
      <c r="AC26" s="28" t="n">
        <v>29.19377752345235</v>
      </c>
      <c r="AD26" s="28" t="n">
        <v>36.08017242355506</v>
      </c>
      <c r="AE26" s="28" t="n">
        <v>23.15986679673487</v>
      </c>
      <c r="AF26" s="28" t="n">
        <v>187.4284799392841</v>
      </c>
      <c r="AG26" s="28" t="n">
        <v>37.36158299811547</v>
      </c>
      <c r="AH26" s="28" t="n">
        <v>37.83236553590724</v>
      </c>
      <c r="AI26" s="28" t="n">
        <v>7.249809604102127</v>
      </c>
      <c r="AJ26" s="28" t="n">
        <v>54.13175518191083</v>
      </c>
      <c r="AK26" s="28" t="n">
        <v>31.21215418052889</v>
      </c>
      <c r="AL26" s="28" t="n">
        <v>64.0540037847544</v>
      </c>
      <c r="AM26" s="28" t="n">
        <v>4940.961986429633</v>
      </c>
      <c r="AN26" s="28" t="n">
        <v>154.1116499640401</v>
      </c>
      <c r="AO26" s="28" t="n">
        <v>4903.201180901864</v>
      </c>
      <c r="AP26" s="28" t="n">
        <v>1722.564505389074</v>
      </c>
      <c r="AQ26" s="28" t="n">
        <v>249.4533618129606</v>
      </c>
      <c r="AR26" s="28" t="n">
        <v>1.449072405036782</v>
      </c>
      <c r="AS26" s="28" t="n">
        <v>65.81957831212719</v>
      </c>
      <c r="AT26" s="28" t="n">
        <v>4969.56672802603</v>
      </c>
      <c r="AU26" s="28" t="n">
        <v>27.50906049763543</v>
      </c>
      <c r="AV26" s="28" t="n">
        <v>28.76237549056309</v>
      </c>
      <c r="AW26" s="28" t="n">
        <v>925.9594112590628</v>
      </c>
      <c r="AX26" s="28" t="n">
        <v>0</v>
      </c>
      <c r="AY26" s="28" t="n">
        <v>212.3045525766261</v>
      </c>
      <c r="AZ26" s="28" t="n">
        <v>60.04159099220036</v>
      </c>
      <c r="BA26" s="28" t="n">
        <v>921.4820641950362</v>
      </c>
      <c r="BB26" s="28">
        <f>SUM(C26:BA26)</f>
        <v/>
      </c>
      <c r="BC26" s="28" t="n">
        <v>0</v>
      </c>
      <c r="BD26" s="28" t="n">
        <v>0</v>
      </c>
      <c r="BE26" s="28" t="n">
        <v>739.3987407752509</v>
      </c>
      <c r="BF26" s="28" t="n">
        <v>0</v>
      </c>
      <c r="BG26" s="28">
        <f>SUM(BC26:BF26)</f>
        <v/>
      </c>
      <c r="BH26" s="28">
        <f>BB26+BG26</f>
        <v/>
      </c>
    </row>
    <row r="27">
      <c r="A27" s="30" t="n">
        <v>14</v>
      </c>
      <c r="B27" s="31" t="inlineStr">
        <is>
          <t>Refino de petróleo e coque</t>
        </is>
      </c>
      <c r="C27" s="30" t="n">
        <v>8019.025117565079</v>
      </c>
      <c r="D27" s="30" t="n">
        <v>3546.840589366557</v>
      </c>
      <c r="E27" s="30" t="n">
        <v>1509.910921029731</v>
      </c>
      <c r="F27" s="30" t="n">
        <v>1938.416809091424</v>
      </c>
      <c r="G27" s="30" t="n">
        <v>1908.987429104434</v>
      </c>
      <c r="H27" s="30" t="n">
        <v>6033.92905706731</v>
      </c>
      <c r="I27" s="30" t="n">
        <v>29.33783348457757</v>
      </c>
      <c r="J27" s="30" t="n">
        <v>324.6100854915642</v>
      </c>
      <c r="K27" s="30" t="n">
        <v>98.48083816479502</v>
      </c>
      <c r="L27" s="30" t="n">
        <v>200.7734506216141</v>
      </c>
      <c r="M27" s="30" t="n">
        <v>189.2422313742458</v>
      </c>
      <c r="N27" s="30" t="n">
        <v>1251.784183577974</v>
      </c>
      <c r="O27" s="30" t="n">
        <v>31.39761668124342</v>
      </c>
      <c r="P27" s="30" t="n">
        <v>90354.895878964</v>
      </c>
      <c r="Q27" s="30" t="n">
        <v>550.8300312981094</v>
      </c>
      <c r="R27" s="30" t="n">
        <v>10536.51360473342</v>
      </c>
      <c r="S27" s="30" t="n">
        <v>298.4822140883208</v>
      </c>
      <c r="T27" s="30" t="n">
        <v>148.4725560465796</v>
      </c>
      <c r="U27" s="30" t="n">
        <v>244.2117660926093</v>
      </c>
      <c r="V27" s="30" t="n">
        <v>437.5173756444044</v>
      </c>
      <c r="W27" s="30" t="n">
        <v>438.2126383095264</v>
      </c>
      <c r="X27" s="30" t="n">
        <v>459.841623265257</v>
      </c>
      <c r="Y27" s="30" t="n">
        <v>1601.97710344882</v>
      </c>
      <c r="Z27" s="30" t="n">
        <v>3203.388060886575</v>
      </c>
      <c r="AA27" s="30" t="n">
        <v>3098.227563576256</v>
      </c>
      <c r="AB27" s="30" t="n">
        <v>1612.537961086362</v>
      </c>
      <c r="AC27" s="30" t="n">
        <v>338.3515670164891</v>
      </c>
      <c r="AD27" s="30" t="n">
        <v>744.5639257524138</v>
      </c>
      <c r="AE27" s="30" t="n">
        <v>780.5401991412834</v>
      </c>
      <c r="AF27" s="30" t="n">
        <v>192.0772113410704</v>
      </c>
      <c r="AG27" s="30" t="n">
        <v>944.7210771681971</v>
      </c>
      <c r="AH27" s="30" t="n">
        <v>453.0486320999657</v>
      </c>
      <c r="AI27" s="30" t="n">
        <v>124.8786112875543</v>
      </c>
      <c r="AJ27" s="30" t="n">
        <v>217.280993039115</v>
      </c>
      <c r="AK27" s="30" t="n">
        <v>5083.362599680286</v>
      </c>
      <c r="AL27" s="30" t="n">
        <v>7653.836060503717</v>
      </c>
      <c r="AM27" s="30" t="n">
        <v>9947.702409470779</v>
      </c>
      <c r="AN27" s="30" t="n">
        <v>57952.82794316189</v>
      </c>
      <c r="AO27" s="30" t="n">
        <v>413.6643194353233</v>
      </c>
      <c r="AP27" s="30" t="n">
        <v>687.0923585204279</v>
      </c>
      <c r="AQ27" s="30" t="n">
        <v>88.28177605315184</v>
      </c>
      <c r="AR27" s="30" t="n">
        <v>90.44710844212332</v>
      </c>
      <c r="AS27" s="30" t="n">
        <v>1292.597490243891</v>
      </c>
      <c r="AT27" s="30" t="n">
        <v>2150.968432460211</v>
      </c>
      <c r="AU27" s="30" t="n">
        <v>100.7912490954998</v>
      </c>
      <c r="AV27" s="30" t="n">
        <v>294.7608733347377</v>
      </c>
      <c r="AW27" s="30" t="n">
        <v>919.7121452986659</v>
      </c>
      <c r="AX27" s="30" t="n">
        <v>0</v>
      </c>
      <c r="AY27" s="30" t="n">
        <v>297.4026619645392</v>
      </c>
      <c r="AZ27" s="30" t="n">
        <v>95.26236576406157</v>
      </c>
      <c r="BA27" s="30" t="n">
        <v>2371.152459741292</v>
      </c>
      <c r="BB27" s="30">
        <f>SUM(C27:BA27)</f>
        <v/>
      </c>
      <c r="BC27" s="30" t="n">
        <v>0</v>
      </c>
      <c r="BD27" s="30" t="n">
        <v>0</v>
      </c>
      <c r="BE27" s="30" t="n">
        <v>56325.21561480239</v>
      </c>
      <c r="BF27" s="30" t="n">
        <v>0</v>
      </c>
      <c r="BG27" s="30">
        <f>SUM(BC27:BF27)</f>
        <v/>
      </c>
      <c r="BH27" s="30">
        <f>BB27+BG27</f>
        <v/>
      </c>
    </row>
    <row r="28">
      <c r="A28" s="28" t="n">
        <v>15</v>
      </c>
      <c r="B28" s="29" t="inlineStr">
        <is>
          <t>Álcool</t>
        </is>
      </c>
      <c r="C28" s="28" t="n">
        <v>63.33170217747008</v>
      </c>
      <c r="D28" s="28" t="n">
        <v>77.16070607407657</v>
      </c>
      <c r="E28" s="28" t="n">
        <v>174.1804555587872</v>
      </c>
      <c r="F28" s="28" t="n">
        <v>2.724501381047001</v>
      </c>
      <c r="G28" s="28" t="n">
        <v>3.506565935090995</v>
      </c>
      <c r="H28" s="28" t="n">
        <v>1158.274312342516</v>
      </c>
      <c r="I28" s="28" t="n">
        <v>0.1133441654279155</v>
      </c>
      <c r="J28" s="28" t="n">
        <v>1.655635960869953</v>
      </c>
      <c r="K28" s="28" t="n">
        <v>0.3938226384692546</v>
      </c>
      <c r="L28" s="28" t="n">
        <v>0.3333802519682104</v>
      </c>
      <c r="M28" s="28" t="n">
        <v>0.8461920604343632</v>
      </c>
      <c r="N28" s="28" t="n">
        <v>3.245105232976236</v>
      </c>
      <c r="O28" s="28" t="n">
        <v>0.5923308791187</v>
      </c>
      <c r="P28" s="28" t="n">
        <v>4776.418725584173</v>
      </c>
      <c r="Q28" s="28" t="n">
        <v>218.4382829028459</v>
      </c>
      <c r="R28" s="28" t="n">
        <v>121.7363178213668</v>
      </c>
      <c r="S28" s="28" t="n">
        <v>1.339378823009312</v>
      </c>
      <c r="T28" s="28" t="n">
        <v>272.641032305246</v>
      </c>
      <c r="U28" s="28" t="n">
        <v>68.0407889684197</v>
      </c>
      <c r="V28" s="28" t="n">
        <v>470.116303595753</v>
      </c>
      <c r="W28" s="28" t="n">
        <v>80.35467555871134</v>
      </c>
      <c r="X28" s="28" t="n">
        <v>59.77386072330549</v>
      </c>
      <c r="Y28" s="28" t="n">
        <v>2.126671376174773</v>
      </c>
      <c r="Z28" s="28" t="n">
        <v>4.158268564437803</v>
      </c>
      <c r="AA28" s="28" t="n">
        <v>10.42828853188593</v>
      </c>
      <c r="AB28" s="28" t="n">
        <v>3.973575616963786</v>
      </c>
      <c r="AC28" s="28" t="n">
        <v>14.51010104645915</v>
      </c>
      <c r="AD28" s="28" t="n">
        <v>13.85922572818705</v>
      </c>
      <c r="AE28" s="28" t="n">
        <v>2.401739644191582</v>
      </c>
      <c r="AF28" s="28" t="n">
        <v>0.5022868845441432</v>
      </c>
      <c r="AG28" s="28" t="n">
        <v>7.029263671613425</v>
      </c>
      <c r="AH28" s="28" t="n">
        <v>2.364845656832959</v>
      </c>
      <c r="AI28" s="28" t="n">
        <v>0.7486790997862015</v>
      </c>
      <c r="AJ28" s="28" t="n">
        <v>1.612228937007385</v>
      </c>
      <c r="AK28" s="28" t="n">
        <v>47.86524958325726</v>
      </c>
      <c r="AL28" s="28" t="n">
        <v>159.8647802298298</v>
      </c>
      <c r="AM28" s="28" t="n">
        <v>114.1282270801821</v>
      </c>
      <c r="AN28" s="28" t="n">
        <v>254.7305589960429</v>
      </c>
      <c r="AO28" s="28" t="n">
        <v>5.607018056743231</v>
      </c>
      <c r="AP28" s="28" t="n">
        <v>3.231795989488986</v>
      </c>
      <c r="AQ28" s="28" t="n">
        <v>0.7511220309904442</v>
      </c>
      <c r="AR28" s="28" t="n">
        <v>12.46362896338242</v>
      </c>
      <c r="AS28" s="28" t="n">
        <v>83.31326421494474</v>
      </c>
      <c r="AT28" s="28" t="n">
        <v>62.61674768956967</v>
      </c>
      <c r="AU28" s="28" t="n">
        <v>2.459794054191459</v>
      </c>
      <c r="AV28" s="28" t="n">
        <v>21.8983987158706</v>
      </c>
      <c r="AW28" s="28" t="n">
        <v>35.05322694119808</v>
      </c>
      <c r="AX28" s="28" t="n">
        <v>0</v>
      </c>
      <c r="AY28" s="28" t="n">
        <v>53.99139609800844</v>
      </c>
      <c r="AZ28" s="28" t="n">
        <v>20.12664412465833</v>
      </c>
      <c r="BA28" s="28" t="n">
        <v>394.681439530853</v>
      </c>
      <c r="BB28" s="28">
        <f>SUM(C28:BA28)</f>
        <v/>
      </c>
      <c r="BC28" s="28" t="n">
        <v>0</v>
      </c>
      <c r="BD28" s="28" t="n">
        <v>0</v>
      </c>
      <c r="BE28" s="28" t="n">
        <v>13712.25365150527</v>
      </c>
      <c r="BF28" s="28" t="n">
        <v>0</v>
      </c>
      <c r="BG28" s="28">
        <f>SUM(BC28:BF28)</f>
        <v/>
      </c>
      <c r="BH28" s="28">
        <f>BB28+BG28</f>
        <v/>
      </c>
    </row>
    <row r="29">
      <c r="A29" s="30" t="n">
        <v>16</v>
      </c>
      <c r="B29" s="31" t="inlineStr">
        <is>
          <t>Produtos  químicos</t>
        </is>
      </c>
      <c r="C29" s="30" t="n">
        <v>29960.05380547185</v>
      </c>
      <c r="D29" s="30" t="n">
        <v>3767.384556879259</v>
      </c>
      <c r="E29" s="30" t="n">
        <v>2454.457443501058</v>
      </c>
      <c r="F29" s="30" t="n">
        <v>261.6249065975352</v>
      </c>
      <c r="G29" s="30" t="n">
        <v>414.8239399541268</v>
      </c>
      <c r="H29" s="30" t="n">
        <v>1936.049241589222</v>
      </c>
      <c r="I29" s="30" t="n">
        <v>3.188615332768812</v>
      </c>
      <c r="J29" s="30" t="n">
        <v>1905.476615793498</v>
      </c>
      <c r="K29" s="30" t="n">
        <v>167.6567916484843</v>
      </c>
      <c r="L29" s="30" t="n">
        <v>918.8880352079595</v>
      </c>
      <c r="M29" s="30" t="n">
        <v>37.24749440494972</v>
      </c>
      <c r="N29" s="30" t="n">
        <v>3802.464870134786</v>
      </c>
      <c r="O29" s="30" t="n">
        <v>37.62422590408999</v>
      </c>
      <c r="P29" s="30" t="n">
        <v>1062.446056456647</v>
      </c>
      <c r="Q29" s="30" t="n">
        <v>491.3698095938461</v>
      </c>
      <c r="R29" s="30" t="n">
        <v>26837.69736018963</v>
      </c>
      <c r="S29" s="30" t="n">
        <v>12555.1777372812</v>
      </c>
      <c r="T29" s="30" t="n">
        <v>1660.676141660069</v>
      </c>
      <c r="U29" s="30" t="n">
        <v>4922.258204364978</v>
      </c>
      <c r="V29" s="30" t="n">
        <v>4182.698645699014</v>
      </c>
      <c r="W29" s="30" t="n">
        <v>3749.215492320003</v>
      </c>
      <c r="X29" s="30" t="n">
        <v>4285.891547436331</v>
      </c>
      <c r="Y29" s="30" t="n">
        <v>2980.980928821281</v>
      </c>
      <c r="Z29" s="30" t="n">
        <v>2066.970133301956</v>
      </c>
      <c r="AA29" s="30" t="n">
        <v>1891.288131189829</v>
      </c>
      <c r="AB29" s="30" t="n">
        <v>1291.187371296757</v>
      </c>
      <c r="AC29" s="30" t="n">
        <v>809.0168111561561</v>
      </c>
      <c r="AD29" s="30" t="n">
        <v>348.5494526188614</v>
      </c>
      <c r="AE29" s="30" t="n">
        <v>475.3755524013415</v>
      </c>
      <c r="AF29" s="30" t="n">
        <v>139.1329375219163</v>
      </c>
      <c r="AG29" s="30" t="n">
        <v>61.39835905943733</v>
      </c>
      <c r="AH29" s="30" t="n">
        <v>83.17033702988655</v>
      </c>
      <c r="AI29" s="30" t="n">
        <v>249.8614017997087</v>
      </c>
      <c r="AJ29" s="30" t="n">
        <v>387.2885001491571</v>
      </c>
      <c r="AK29" s="30" t="n">
        <v>1540.400931224545</v>
      </c>
      <c r="AL29" s="30" t="n">
        <v>146.0942120764503</v>
      </c>
      <c r="AM29" s="30" t="n">
        <v>799.8559889734461</v>
      </c>
      <c r="AN29" s="30" t="n">
        <v>84.92096770561807</v>
      </c>
      <c r="AO29" s="30" t="n">
        <v>70.62314946310036</v>
      </c>
      <c r="AP29" s="30" t="n">
        <v>65.67351640155121</v>
      </c>
      <c r="AQ29" s="30" t="n">
        <v>18.67845317091008</v>
      </c>
      <c r="AR29" s="30" t="n">
        <v>2.424430296587436</v>
      </c>
      <c r="AS29" s="30" t="n">
        <v>48.36585494442377</v>
      </c>
      <c r="AT29" s="30" t="n">
        <v>245.6986960054999</v>
      </c>
      <c r="AU29" s="30" t="n">
        <v>32.91304507755729</v>
      </c>
      <c r="AV29" s="30" t="n">
        <v>1219.822702573202</v>
      </c>
      <c r="AW29" s="30" t="n">
        <v>451.2074612099802</v>
      </c>
      <c r="AX29" s="30" t="n">
        <v>0</v>
      </c>
      <c r="AY29" s="30" t="n">
        <v>88.82281884002491</v>
      </c>
      <c r="AZ29" s="30" t="n">
        <v>305.9814428885796</v>
      </c>
      <c r="BA29" s="30" t="n">
        <v>69.10951007355476</v>
      </c>
      <c r="BB29" s="30">
        <f>SUM(C29:BA29)</f>
        <v/>
      </c>
      <c r="BC29" s="30" t="n">
        <v>0</v>
      </c>
      <c r="BD29" s="30" t="n">
        <v>0</v>
      </c>
      <c r="BE29" s="30" t="n">
        <v>7177.680685766196</v>
      </c>
      <c r="BF29" s="30" t="n">
        <v>0</v>
      </c>
      <c r="BG29" s="30">
        <f>SUM(BC29:BF29)</f>
        <v/>
      </c>
      <c r="BH29" s="30">
        <f>BB29+BG29</f>
        <v/>
      </c>
    </row>
    <row r="30">
      <c r="A30" s="28" t="n">
        <v>17</v>
      </c>
      <c r="B30" s="29" t="inlineStr">
        <is>
          <t>Fabricação de resina e elastômeros</t>
        </is>
      </c>
      <c r="C30" s="28" t="n">
        <v>243.9645545082716</v>
      </c>
      <c r="D30" s="28" t="n">
        <v>25.25420571923262</v>
      </c>
      <c r="E30" s="28" t="n">
        <v>840.6322876407141</v>
      </c>
      <c r="F30" s="28" t="n">
        <v>7.739553464769511</v>
      </c>
      <c r="G30" s="28" t="n">
        <v>14.14891120969097</v>
      </c>
      <c r="H30" s="28" t="n">
        <v>76.61588088832278</v>
      </c>
      <c r="I30" s="28" t="n">
        <v>32.42247911279345</v>
      </c>
      <c r="J30" s="28" t="n">
        <v>4764.624815442174</v>
      </c>
      <c r="K30" s="28" t="n">
        <v>57.13271013505276</v>
      </c>
      <c r="L30" s="28" t="n">
        <v>1180.852916489589</v>
      </c>
      <c r="M30" s="28" t="n">
        <v>505.0426344688124</v>
      </c>
      <c r="N30" s="28" t="n">
        <v>1414.215370771686</v>
      </c>
      <c r="O30" s="28" t="n">
        <v>58.58868253388471</v>
      </c>
      <c r="P30" s="28" t="n">
        <v>2.74501513536025</v>
      </c>
      <c r="Q30" s="28" t="n">
        <v>5.738070656686004</v>
      </c>
      <c r="R30" s="28" t="n">
        <v>364.3890341378867</v>
      </c>
      <c r="S30" s="28" t="n">
        <v>1938.478230097264</v>
      </c>
      <c r="T30" s="28" t="n">
        <v>77.85590215287075</v>
      </c>
      <c r="U30" s="28" t="n">
        <v>101.812960069384</v>
      </c>
      <c r="V30" s="28" t="n">
        <v>923.5314281879039</v>
      </c>
      <c r="W30" s="28" t="n">
        <v>946.3246467924946</v>
      </c>
      <c r="X30" s="28" t="n">
        <v>806.0673589280127</v>
      </c>
      <c r="Y30" s="28" t="n">
        <v>13782.3228749689</v>
      </c>
      <c r="Z30" s="28" t="n">
        <v>1549.653232748844</v>
      </c>
      <c r="AA30" s="28" t="n">
        <v>25.64902403812368</v>
      </c>
      <c r="AB30" s="28" t="n">
        <v>209.1502267524501</v>
      </c>
      <c r="AC30" s="28" t="n">
        <v>847.882129828265</v>
      </c>
      <c r="AD30" s="28" t="n">
        <v>224.6655332541339</v>
      </c>
      <c r="AE30" s="28" t="n">
        <v>3360.749478758164</v>
      </c>
      <c r="AF30" s="28" t="n">
        <v>640.5399563035337</v>
      </c>
      <c r="AG30" s="28" t="n">
        <v>95.66744614087207</v>
      </c>
      <c r="AH30" s="28" t="n">
        <v>1717.724605235138</v>
      </c>
      <c r="AI30" s="28" t="n">
        <v>351.0896271162894</v>
      </c>
      <c r="AJ30" s="28" t="n">
        <v>1097.871245355705</v>
      </c>
      <c r="AK30" s="28" t="n">
        <v>19.35399824697979</v>
      </c>
      <c r="AL30" s="28" t="n">
        <v>102.2295090984714</v>
      </c>
      <c r="AM30" s="28" t="n">
        <v>96.92774497822268</v>
      </c>
      <c r="AN30" s="28" t="n">
        <v>17.00921345925381</v>
      </c>
      <c r="AO30" s="28" t="n">
        <v>20.67152709013573</v>
      </c>
      <c r="AP30" s="28" t="n">
        <v>17.51424528754881</v>
      </c>
      <c r="AQ30" s="28" t="n">
        <v>9.659005968719942</v>
      </c>
      <c r="AR30" s="28" t="n">
        <v>0.9505508118258092</v>
      </c>
      <c r="AS30" s="28" t="n">
        <v>12.87186829843869</v>
      </c>
      <c r="AT30" s="28" t="n">
        <v>60.03445838498241</v>
      </c>
      <c r="AU30" s="28" t="n">
        <v>7.940159655093852</v>
      </c>
      <c r="AV30" s="28" t="n">
        <v>11.05245370900154</v>
      </c>
      <c r="AW30" s="28" t="n">
        <v>23.51966861153862</v>
      </c>
      <c r="AX30" s="28" t="n">
        <v>0</v>
      </c>
      <c r="AY30" s="28" t="n">
        <v>4.847494471028293</v>
      </c>
      <c r="AZ30" s="28" t="n">
        <v>8.257978406911068</v>
      </c>
      <c r="BA30" s="28" t="n">
        <v>13.68725967306979</v>
      </c>
      <c r="BB30" s="28">
        <f>SUM(C30:BA30)</f>
        <v/>
      </c>
      <c r="BC30" s="28" t="n">
        <v>0</v>
      </c>
      <c r="BD30" s="28" t="n">
        <v>0</v>
      </c>
      <c r="BE30" s="28" t="n">
        <v>2753.932552169534</v>
      </c>
      <c r="BF30" s="28" t="n">
        <v>0</v>
      </c>
      <c r="BG30" s="28">
        <f>SUM(BC30:BF30)</f>
        <v/>
      </c>
      <c r="BH30" s="28">
        <f>BB30+BG30</f>
        <v/>
      </c>
    </row>
    <row r="31">
      <c r="A31" s="30" t="n">
        <v>18</v>
      </c>
      <c r="B31" s="31" t="inlineStr">
        <is>
          <t>Produtos farmacêuticos</t>
        </is>
      </c>
      <c r="C31" s="30" t="n">
        <v>529.0852919259327</v>
      </c>
      <c r="D31" s="30" t="n">
        <v>2770.619341035931</v>
      </c>
      <c r="E31" s="30" t="n">
        <v>225.6260113961275</v>
      </c>
      <c r="F31" s="30" t="n">
        <v>8.926814537297036</v>
      </c>
      <c r="G31" s="30" t="n">
        <v>8.647080842671915</v>
      </c>
      <c r="H31" s="30" t="n">
        <v>190.8875916535472</v>
      </c>
      <c r="I31" s="30" t="n">
        <v>3.196511484118809</v>
      </c>
      <c r="J31" s="30" t="n">
        <v>52.40707710840603</v>
      </c>
      <c r="K31" s="30" t="n">
        <v>5.704551225819662</v>
      </c>
      <c r="L31" s="30" t="n">
        <v>16.40115076211714</v>
      </c>
      <c r="M31" s="30" t="n">
        <v>6.266461392432446</v>
      </c>
      <c r="N31" s="30" t="n">
        <v>25.89140631518537</v>
      </c>
      <c r="O31" s="30" t="n">
        <v>4.173907904531241</v>
      </c>
      <c r="P31" s="30" t="n">
        <v>7.92662869246054</v>
      </c>
      <c r="Q31" s="30" t="n">
        <v>3.790505838014921</v>
      </c>
      <c r="R31" s="30" t="n">
        <v>31.09019976298095</v>
      </c>
      <c r="S31" s="30" t="n">
        <v>63.82820563241965</v>
      </c>
      <c r="T31" s="30" t="n">
        <v>3286.249043079968</v>
      </c>
      <c r="U31" s="30" t="n">
        <v>277.3068657925576</v>
      </c>
      <c r="V31" s="30" t="n">
        <v>40.86248258285094</v>
      </c>
      <c r="W31" s="30" t="n">
        <v>22.21349640040809</v>
      </c>
      <c r="X31" s="30" t="n">
        <v>28.5299046014174</v>
      </c>
      <c r="Y31" s="30" t="n">
        <v>143.4019011834686</v>
      </c>
      <c r="Z31" s="30" t="n">
        <v>34.3580638298311</v>
      </c>
      <c r="AA31" s="30" t="n">
        <v>16.32682843222976</v>
      </c>
      <c r="AB31" s="30" t="n">
        <v>6.711056914699194</v>
      </c>
      <c r="AC31" s="30" t="n">
        <v>18.39978983297225</v>
      </c>
      <c r="AD31" s="30" t="n">
        <v>43.51006754463285</v>
      </c>
      <c r="AE31" s="30" t="n">
        <v>41.77354577049282</v>
      </c>
      <c r="AF31" s="30" t="n">
        <v>36.59834929066506</v>
      </c>
      <c r="AG31" s="30" t="n">
        <v>31.16227576437027</v>
      </c>
      <c r="AH31" s="30" t="n">
        <v>23.00254003681277</v>
      </c>
      <c r="AI31" s="30" t="n">
        <v>7.057102668434102</v>
      </c>
      <c r="AJ31" s="30" t="n">
        <v>17.37693890542887</v>
      </c>
      <c r="AK31" s="30" t="n">
        <v>24.98923998233528</v>
      </c>
      <c r="AL31" s="30" t="n">
        <v>176.6903784183101</v>
      </c>
      <c r="AM31" s="30" t="n">
        <v>302.7209264667014</v>
      </c>
      <c r="AN31" s="30" t="n">
        <v>48.71215242659305</v>
      </c>
      <c r="AO31" s="30" t="n">
        <v>68.19672387976654</v>
      </c>
      <c r="AP31" s="30" t="n">
        <v>65.19546964306585</v>
      </c>
      <c r="AQ31" s="30" t="n">
        <v>9.847233666042765</v>
      </c>
      <c r="AR31" s="30" t="n">
        <v>0.825572407896411</v>
      </c>
      <c r="AS31" s="30" t="n">
        <v>17.85596462351571</v>
      </c>
      <c r="AT31" s="30" t="n">
        <v>128.2323213018465</v>
      </c>
      <c r="AU31" s="30" t="n">
        <v>137.713298941261</v>
      </c>
      <c r="AV31" s="30" t="n">
        <v>6283.738295366931</v>
      </c>
      <c r="AW31" s="30" t="n">
        <v>537.4564529201191</v>
      </c>
      <c r="AX31" s="30" t="n">
        <v>0</v>
      </c>
      <c r="AY31" s="30" t="n">
        <v>418.8797691540759</v>
      </c>
      <c r="AZ31" s="30" t="n">
        <v>2471.041166654832</v>
      </c>
      <c r="BA31" s="30" t="n">
        <v>392.9046777295866</v>
      </c>
      <c r="BB31" s="30">
        <f>SUM(C31:BA31)</f>
        <v/>
      </c>
      <c r="BC31" s="30" t="n">
        <v>0</v>
      </c>
      <c r="BD31" s="30" t="n">
        <v>0</v>
      </c>
      <c r="BE31" s="30" t="n">
        <v>24735.12904290266</v>
      </c>
      <c r="BF31" s="30" t="n">
        <v>0</v>
      </c>
      <c r="BG31" s="30">
        <f>SUM(BC31:BF31)</f>
        <v/>
      </c>
      <c r="BH31" s="30">
        <f>BB31+BG31</f>
        <v/>
      </c>
    </row>
    <row r="32">
      <c r="A32" s="28" t="n">
        <v>19</v>
      </c>
      <c r="B32" s="29" t="inlineStr">
        <is>
          <t>Defensivos agrícolas</t>
        </is>
      </c>
      <c r="C32" s="28" t="n">
        <v>12091.9835484429</v>
      </c>
      <c r="D32" s="28" t="n">
        <v>1077.568834716589</v>
      </c>
      <c r="E32" s="28" t="n">
        <v>103.9952154556974</v>
      </c>
      <c r="F32" s="28" t="n">
        <v>17.07237240942267</v>
      </c>
      <c r="G32" s="28" t="n">
        <v>63.97435750975758</v>
      </c>
      <c r="H32" s="28" t="n">
        <v>156.4351374783307</v>
      </c>
      <c r="I32" s="28" t="n">
        <v>4.086319227611628</v>
      </c>
      <c r="J32" s="28" t="n">
        <v>312.9143819072879</v>
      </c>
      <c r="K32" s="28" t="n">
        <v>6.243917066751218</v>
      </c>
      <c r="L32" s="28" t="n">
        <v>87.46047990788389</v>
      </c>
      <c r="M32" s="28" t="n">
        <v>36.60893571797968</v>
      </c>
      <c r="N32" s="28" t="n">
        <v>133.0224113970038</v>
      </c>
      <c r="O32" s="28" t="n">
        <v>12.19694539039068</v>
      </c>
      <c r="P32" s="28" t="n">
        <v>11.45934258214918</v>
      </c>
      <c r="Q32" s="28" t="n">
        <v>17.17063869969975</v>
      </c>
      <c r="R32" s="28" t="n">
        <v>195.2570990053793</v>
      </c>
      <c r="S32" s="28" t="n">
        <v>436.0230786325671</v>
      </c>
      <c r="T32" s="28" t="n">
        <v>69.98138657274568</v>
      </c>
      <c r="U32" s="28" t="n">
        <v>3142.48912851378</v>
      </c>
      <c r="V32" s="28" t="n">
        <v>542.2909346089568</v>
      </c>
      <c r="W32" s="28" t="n">
        <v>195.1296753805761</v>
      </c>
      <c r="X32" s="28" t="n">
        <v>179.1706211101707</v>
      </c>
      <c r="Y32" s="28" t="n">
        <v>856.7880136265301</v>
      </c>
      <c r="Z32" s="28" t="n">
        <v>104.4091633944718</v>
      </c>
      <c r="AA32" s="28" t="n">
        <v>37.58443488015313</v>
      </c>
      <c r="AB32" s="28" t="n">
        <v>23.21369369352412</v>
      </c>
      <c r="AC32" s="28" t="n">
        <v>91.47211619757167</v>
      </c>
      <c r="AD32" s="28" t="n">
        <v>41.74798148794259</v>
      </c>
      <c r="AE32" s="28" t="n">
        <v>200.5217128510278</v>
      </c>
      <c r="AF32" s="28" t="n">
        <v>46.9055667464574</v>
      </c>
      <c r="AG32" s="28" t="n">
        <v>21.69255145644317</v>
      </c>
      <c r="AH32" s="28" t="n">
        <v>100.1047809587233</v>
      </c>
      <c r="AI32" s="28" t="n">
        <v>22.62430128699091</v>
      </c>
      <c r="AJ32" s="28" t="n">
        <v>73.0704426844926</v>
      </c>
      <c r="AK32" s="28" t="n">
        <v>24.47893151906896</v>
      </c>
      <c r="AL32" s="28" t="n">
        <v>43.1390377643267</v>
      </c>
      <c r="AM32" s="28" t="n">
        <v>100.1277085559517</v>
      </c>
      <c r="AN32" s="28" t="n">
        <v>30.5588064577253</v>
      </c>
      <c r="AO32" s="28" t="n">
        <v>44.09889939426219</v>
      </c>
      <c r="AP32" s="28" t="n">
        <v>42.47825742946496</v>
      </c>
      <c r="AQ32" s="28" t="n">
        <v>4.31029494020469</v>
      </c>
      <c r="AR32" s="28" t="n">
        <v>0.2283510366272811</v>
      </c>
      <c r="AS32" s="28" t="n">
        <v>8.519510066046182</v>
      </c>
      <c r="AT32" s="28" t="n">
        <v>137.9868318087431</v>
      </c>
      <c r="AU32" s="28" t="n">
        <v>7.737968192983743</v>
      </c>
      <c r="AV32" s="28" t="n">
        <v>6.932011969998173</v>
      </c>
      <c r="AW32" s="28" t="n">
        <v>625.7207341341341</v>
      </c>
      <c r="AX32" s="28" t="n">
        <v>0</v>
      </c>
      <c r="AY32" s="28" t="n">
        <v>18.31955532284083</v>
      </c>
      <c r="AZ32" s="28" t="n">
        <v>32.84044404594844</v>
      </c>
      <c r="BA32" s="28" t="n">
        <v>36.36539822899486</v>
      </c>
      <c r="BB32" s="28">
        <f>SUM(C32:BA32)</f>
        <v/>
      </c>
      <c r="BC32" s="28" t="n">
        <v>0</v>
      </c>
      <c r="BD32" s="28" t="n">
        <v>0</v>
      </c>
      <c r="BE32" s="28" t="n">
        <v>1959.158083942996</v>
      </c>
      <c r="BF32" s="28" t="n">
        <v>0</v>
      </c>
      <c r="BG32" s="28">
        <f>SUM(BC32:BF32)</f>
        <v/>
      </c>
      <c r="BH32" s="28">
        <f>BB32+BG32</f>
        <v/>
      </c>
    </row>
    <row r="33">
      <c r="A33" s="30" t="n">
        <v>20</v>
      </c>
      <c r="B33" s="31" t="inlineStr">
        <is>
          <t>Perfumaria higiene e limpeza</t>
        </is>
      </c>
      <c r="C33" s="30" t="n">
        <v>450.3267786385447</v>
      </c>
      <c r="D33" s="30" t="n">
        <v>106.1661132602306</v>
      </c>
      <c r="E33" s="30" t="n">
        <v>108.8012168584313</v>
      </c>
      <c r="F33" s="30" t="n">
        <v>65.94997335523809</v>
      </c>
      <c r="G33" s="30" t="n">
        <v>63.44129962374618</v>
      </c>
      <c r="H33" s="30" t="n">
        <v>331.6894286930878</v>
      </c>
      <c r="I33" s="30" t="n">
        <v>4.577470976373847</v>
      </c>
      <c r="J33" s="30" t="n">
        <v>69.36850846716234</v>
      </c>
      <c r="K33" s="30" t="n">
        <v>48.84861034725834</v>
      </c>
      <c r="L33" s="30" t="n">
        <v>10.98960075289767</v>
      </c>
      <c r="M33" s="30" t="n">
        <v>24.25301511700843</v>
      </c>
      <c r="N33" s="30" t="n">
        <v>74.79914116854449</v>
      </c>
      <c r="O33" s="30" t="n">
        <v>10.68909754427331</v>
      </c>
      <c r="P33" s="30" t="n">
        <v>64.3125513317278</v>
      </c>
      <c r="Q33" s="30" t="n">
        <v>12.97072679250827</v>
      </c>
      <c r="R33" s="30" t="n">
        <v>248.6365280542036</v>
      </c>
      <c r="S33" s="30" t="n">
        <v>53.07955275527869</v>
      </c>
      <c r="T33" s="30" t="n">
        <v>80.68501485272824</v>
      </c>
      <c r="U33" s="30" t="n">
        <v>184.1915771729668</v>
      </c>
      <c r="V33" s="30" t="n">
        <v>1263.595490531397</v>
      </c>
      <c r="W33" s="30" t="n">
        <v>51.04764098259615</v>
      </c>
      <c r="X33" s="30" t="n">
        <v>85.41866409467767</v>
      </c>
      <c r="Y33" s="30" t="n">
        <v>65.13306060967776</v>
      </c>
      <c r="Z33" s="30" t="n">
        <v>254.0412220831015</v>
      </c>
      <c r="AA33" s="30" t="n">
        <v>65.90815927670174</v>
      </c>
      <c r="AB33" s="30" t="n">
        <v>60.20920863590974</v>
      </c>
      <c r="AC33" s="30" t="n">
        <v>411.6764930049653</v>
      </c>
      <c r="AD33" s="30" t="n">
        <v>76.88867954054435</v>
      </c>
      <c r="AE33" s="30" t="n">
        <v>27.15258030168997</v>
      </c>
      <c r="AF33" s="30" t="n">
        <v>106.9085082684145</v>
      </c>
      <c r="AG33" s="30" t="n">
        <v>45.65202674061465</v>
      </c>
      <c r="AH33" s="30" t="n">
        <v>44.20046397379716</v>
      </c>
      <c r="AI33" s="30" t="n">
        <v>7.335160960139424</v>
      </c>
      <c r="AJ33" s="30" t="n">
        <v>21.82196307498631</v>
      </c>
      <c r="AK33" s="30" t="n">
        <v>93.69948385006244</v>
      </c>
      <c r="AL33" s="30" t="n">
        <v>369.9115421178603</v>
      </c>
      <c r="AM33" s="30" t="n">
        <v>1819.960142586681</v>
      </c>
      <c r="AN33" s="30" t="n">
        <v>427.8372282739439</v>
      </c>
      <c r="AO33" s="30" t="n">
        <v>261.2968631095599</v>
      </c>
      <c r="AP33" s="30" t="n">
        <v>78.41343229645199</v>
      </c>
      <c r="AQ33" s="30" t="n">
        <v>12.82466023025455</v>
      </c>
      <c r="AR33" s="30" t="n">
        <v>0.4175279202814566</v>
      </c>
      <c r="AS33" s="30" t="n">
        <v>137.1692164358258</v>
      </c>
      <c r="AT33" s="30" t="n">
        <v>790.8033410313574</v>
      </c>
      <c r="AU33" s="30" t="n">
        <v>131.0319375072093</v>
      </c>
      <c r="AV33" s="30" t="n">
        <v>598.9852494498498</v>
      </c>
      <c r="AW33" s="30" t="n">
        <v>2456.122460012415</v>
      </c>
      <c r="AX33" s="30" t="n">
        <v>0</v>
      </c>
      <c r="AY33" s="30" t="n">
        <v>287.3482382451369</v>
      </c>
      <c r="AZ33" s="30" t="n">
        <v>145.767696861521</v>
      </c>
      <c r="BA33" s="30" t="n">
        <v>247.7886726640173</v>
      </c>
      <c r="BB33" s="30">
        <f>SUM(C33:BA33)</f>
        <v/>
      </c>
      <c r="BC33" s="30" t="n">
        <v>0</v>
      </c>
      <c r="BD33" s="30" t="n">
        <v>0</v>
      </c>
      <c r="BE33" s="30" t="n">
        <v>16815.82896316507</v>
      </c>
      <c r="BF33" s="30" t="n">
        <v>0</v>
      </c>
      <c r="BG33" s="30">
        <f>SUM(BC33:BF33)</f>
        <v/>
      </c>
      <c r="BH33" s="30">
        <f>BB33+BG33</f>
        <v/>
      </c>
    </row>
    <row r="34">
      <c r="A34" s="28" t="n">
        <v>21</v>
      </c>
      <c r="B34" s="29" t="inlineStr">
        <is>
          <t>Tintas vernizes esmaltes e lacas</t>
        </is>
      </c>
      <c r="C34" s="28" t="n">
        <v>76.87605236063202</v>
      </c>
      <c r="D34" s="28" t="n">
        <v>35.92034060015109</v>
      </c>
      <c r="E34" s="28" t="n">
        <v>23.73396949883126</v>
      </c>
      <c r="F34" s="28" t="n">
        <v>5.359801385256241</v>
      </c>
      <c r="G34" s="28" t="n">
        <v>33.35422965156571</v>
      </c>
      <c r="H34" s="28" t="n">
        <v>96.25172016855431</v>
      </c>
      <c r="I34" s="28" t="n">
        <v>0.9911813574261269</v>
      </c>
      <c r="J34" s="28" t="n">
        <v>125.720641029484</v>
      </c>
      <c r="K34" s="28" t="n">
        <v>45.57094620388435</v>
      </c>
      <c r="L34" s="28" t="n">
        <v>100.9055844737681</v>
      </c>
      <c r="M34" s="28" t="n">
        <v>232.0168083202939</v>
      </c>
      <c r="N34" s="28" t="n">
        <v>978.6503768676955</v>
      </c>
      <c r="O34" s="28" t="n">
        <v>846.8811278358282</v>
      </c>
      <c r="P34" s="28" t="n">
        <v>8.581866798913355</v>
      </c>
      <c r="Q34" s="28" t="n">
        <v>3.646504237962805</v>
      </c>
      <c r="R34" s="28" t="n">
        <v>83.22197148539215</v>
      </c>
      <c r="S34" s="28" t="n">
        <v>65.47041032103758</v>
      </c>
      <c r="T34" s="28" t="n">
        <v>19.20322783700938</v>
      </c>
      <c r="U34" s="28" t="n">
        <v>21.63384888968495</v>
      </c>
      <c r="V34" s="28" t="n">
        <v>47.28293121197451</v>
      </c>
      <c r="W34" s="28" t="n">
        <v>135.2404549182428</v>
      </c>
      <c r="X34" s="28" t="n">
        <v>58.35592358049917</v>
      </c>
      <c r="Y34" s="28" t="n">
        <v>1317.335335387581</v>
      </c>
      <c r="Z34" s="28" t="n">
        <v>685.9723627290925</v>
      </c>
      <c r="AA34" s="28" t="n">
        <v>16.39886688363683</v>
      </c>
      <c r="AB34" s="28" t="n">
        <v>6.089504622496353</v>
      </c>
      <c r="AC34" s="28" t="n">
        <v>426.6404938855973</v>
      </c>
      <c r="AD34" s="28" t="n">
        <v>486.7188033450528</v>
      </c>
      <c r="AE34" s="28" t="n">
        <v>60.00572207033339</v>
      </c>
      <c r="AF34" s="28" t="n">
        <v>424.4612566823933</v>
      </c>
      <c r="AG34" s="28" t="n">
        <v>532.6204448847259</v>
      </c>
      <c r="AH34" s="28" t="n">
        <v>253.1964244619682</v>
      </c>
      <c r="AI34" s="28" t="n">
        <v>131.0007027611724</v>
      </c>
      <c r="AJ34" s="28" t="n">
        <v>205.4791599877344</v>
      </c>
      <c r="AK34" s="28" t="n">
        <v>138.1981775409118</v>
      </c>
      <c r="AL34" s="28" t="n">
        <v>4762.618933339598</v>
      </c>
      <c r="AM34" s="28" t="n">
        <v>922.7841046316211</v>
      </c>
      <c r="AN34" s="28" t="n">
        <v>230.7016149598517</v>
      </c>
      <c r="AO34" s="28" t="n">
        <v>341.1746432873009</v>
      </c>
      <c r="AP34" s="28" t="n">
        <v>19.47938744417308</v>
      </c>
      <c r="AQ34" s="28" t="n">
        <v>558.8097922266882</v>
      </c>
      <c r="AR34" s="28" t="n">
        <v>0.4974225875545967</v>
      </c>
      <c r="AS34" s="28" t="n">
        <v>12.55135886730347</v>
      </c>
      <c r="AT34" s="28" t="n">
        <v>44.95542217970703</v>
      </c>
      <c r="AU34" s="28" t="n">
        <v>6.925113293943316</v>
      </c>
      <c r="AV34" s="28" t="n">
        <v>5.892704748420123</v>
      </c>
      <c r="AW34" s="28" t="n">
        <v>293.809371573729</v>
      </c>
      <c r="AX34" s="28" t="n">
        <v>0</v>
      </c>
      <c r="AY34" s="28" t="n">
        <v>57.9422030630089</v>
      </c>
      <c r="AZ34" s="28" t="n">
        <v>16.60385276672754</v>
      </c>
      <c r="BA34" s="28" t="n">
        <v>158.7459684713641</v>
      </c>
      <c r="BB34" s="28">
        <f>SUM(C34:BA34)</f>
        <v/>
      </c>
      <c r="BC34" s="28" t="n">
        <v>0</v>
      </c>
      <c r="BD34" s="28" t="n">
        <v>0</v>
      </c>
      <c r="BE34" s="28" t="n">
        <v>1191.855602873446</v>
      </c>
      <c r="BF34" s="28" t="n">
        <v>0</v>
      </c>
      <c r="BG34" s="28">
        <f>SUM(BC34:BF34)</f>
        <v/>
      </c>
      <c r="BH34" s="28">
        <f>BB34+BG34</f>
        <v/>
      </c>
    </row>
    <row r="35">
      <c r="A35" s="30" t="n">
        <v>22</v>
      </c>
      <c r="B35" s="31" t="inlineStr">
        <is>
          <t>Produtos e preparados químicos diversos</t>
        </is>
      </c>
      <c r="C35" s="30" t="n">
        <v>423.3898049208454</v>
      </c>
      <c r="D35" s="30" t="n">
        <v>72.22938159680643</v>
      </c>
      <c r="E35" s="30" t="n">
        <v>228.0255453814037</v>
      </c>
      <c r="F35" s="30" t="n">
        <v>175.2851077606864</v>
      </c>
      <c r="G35" s="30" t="n">
        <v>1671.349730627808</v>
      </c>
      <c r="H35" s="30" t="n">
        <v>2269.391026148605</v>
      </c>
      <c r="I35" s="30" t="n">
        <v>9.065868945674339</v>
      </c>
      <c r="J35" s="30" t="n">
        <v>339.1332478423408</v>
      </c>
      <c r="K35" s="30" t="n">
        <v>10.85521223950821</v>
      </c>
      <c r="L35" s="30" t="n">
        <v>137.637462407429</v>
      </c>
      <c r="M35" s="30" t="n">
        <v>234.8648989259094</v>
      </c>
      <c r="N35" s="30" t="n">
        <v>462.4201757057941</v>
      </c>
      <c r="O35" s="30" t="n">
        <v>234.3614022536674</v>
      </c>
      <c r="P35" s="30" t="n">
        <v>193.9887247028817</v>
      </c>
      <c r="Q35" s="30" t="n">
        <v>88.91684664187893</v>
      </c>
      <c r="R35" s="30" t="n">
        <v>612.9185337503425</v>
      </c>
      <c r="S35" s="30" t="n">
        <v>575.3615521789947</v>
      </c>
      <c r="T35" s="30" t="n">
        <v>574.1985835737592</v>
      </c>
      <c r="U35" s="30" t="n">
        <v>268.1299187036198</v>
      </c>
      <c r="V35" s="30" t="n">
        <v>728.032880739047</v>
      </c>
      <c r="W35" s="30" t="n">
        <v>540.0840002317401</v>
      </c>
      <c r="X35" s="30" t="n">
        <v>1511.143166459769</v>
      </c>
      <c r="Y35" s="30" t="n">
        <v>1300.378135793383</v>
      </c>
      <c r="Z35" s="30" t="n">
        <v>365.3239567490014</v>
      </c>
      <c r="AA35" s="30" t="n">
        <v>426.5336116961975</v>
      </c>
      <c r="AB35" s="30" t="n">
        <v>64.77147148905105</v>
      </c>
      <c r="AC35" s="30" t="n">
        <v>162.3981921204804</v>
      </c>
      <c r="AD35" s="30" t="n">
        <v>320.5639349981526</v>
      </c>
      <c r="AE35" s="30" t="n">
        <v>211.113231738854</v>
      </c>
      <c r="AF35" s="30" t="n">
        <v>46.57202767585643</v>
      </c>
      <c r="AG35" s="30" t="n">
        <v>92.08251596831209</v>
      </c>
      <c r="AH35" s="30" t="n">
        <v>85.46703766705008</v>
      </c>
      <c r="AI35" s="30" t="n">
        <v>36.5488138343252</v>
      </c>
      <c r="AJ35" s="30" t="n">
        <v>254.2249494406958</v>
      </c>
      <c r="AK35" s="30" t="n">
        <v>176.2676506326812</v>
      </c>
      <c r="AL35" s="30" t="n">
        <v>604.8757834986668</v>
      </c>
      <c r="AM35" s="30" t="n">
        <v>1114.493022446108</v>
      </c>
      <c r="AN35" s="30" t="n">
        <v>96.43356317388228</v>
      </c>
      <c r="AO35" s="30" t="n">
        <v>34.2375606868267</v>
      </c>
      <c r="AP35" s="30" t="n">
        <v>42.98038730595482</v>
      </c>
      <c r="AQ35" s="30" t="n">
        <v>36.57737774453096</v>
      </c>
      <c r="AR35" s="30" t="n">
        <v>0.7787019195359889</v>
      </c>
      <c r="AS35" s="30" t="n">
        <v>13.24073958056839</v>
      </c>
      <c r="AT35" s="30" t="n">
        <v>118.1811586527368</v>
      </c>
      <c r="AU35" s="30" t="n">
        <v>10.53562233854691</v>
      </c>
      <c r="AV35" s="30" t="n">
        <v>28.22583156069554</v>
      </c>
      <c r="AW35" s="30" t="n">
        <v>67.11130759934275</v>
      </c>
      <c r="AX35" s="30" t="n">
        <v>0</v>
      </c>
      <c r="AY35" s="30" t="n">
        <v>239.1122369287374</v>
      </c>
      <c r="AZ35" s="30" t="n">
        <v>513.172268174279</v>
      </c>
      <c r="BA35" s="30" t="n">
        <v>70.2661947353603</v>
      </c>
      <c r="BB35" s="30">
        <f>SUM(C35:BA35)</f>
        <v/>
      </c>
      <c r="BC35" s="30" t="n">
        <v>0</v>
      </c>
      <c r="BD35" s="30" t="n">
        <v>0</v>
      </c>
      <c r="BE35" s="30" t="n">
        <v>2877.445500884213</v>
      </c>
      <c r="BF35" s="30" t="n">
        <v>0</v>
      </c>
      <c r="BG35" s="30">
        <f>SUM(BC35:BF35)</f>
        <v/>
      </c>
      <c r="BH35" s="30">
        <f>BB35+BG35</f>
        <v/>
      </c>
    </row>
    <row r="36">
      <c r="A36" s="28" t="n">
        <v>23</v>
      </c>
      <c r="B36" s="29" t="inlineStr">
        <is>
          <t>Artigos de borracha e plástico</t>
        </is>
      </c>
      <c r="C36" s="28" t="n">
        <v>413.186368948262</v>
      </c>
      <c r="D36" s="28" t="n">
        <v>158.1656156814812</v>
      </c>
      <c r="E36" s="28" t="n">
        <v>173.7216381326113</v>
      </c>
      <c r="F36" s="28" t="n">
        <v>454.9396357107723</v>
      </c>
      <c r="G36" s="28" t="n">
        <v>227.3123660973938</v>
      </c>
      <c r="H36" s="28" t="n">
        <v>8046.775639021676</v>
      </c>
      <c r="I36" s="28" t="n">
        <v>8.308069337877537</v>
      </c>
      <c r="J36" s="28" t="n">
        <v>335.164584413465</v>
      </c>
      <c r="K36" s="28" t="n">
        <v>355.2303431205395</v>
      </c>
      <c r="L36" s="28" t="n">
        <v>746.8139046133421</v>
      </c>
      <c r="M36" s="28" t="n">
        <v>150.5053869242054</v>
      </c>
      <c r="N36" s="28" t="n">
        <v>587.0600514991437</v>
      </c>
      <c r="O36" s="28" t="n">
        <v>871.7879835555932</v>
      </c>
      <c r="P36" s="28" t="n">
        <v>67.17873932924049</v>
      </c>
      <c r="Q36" s="28" t="n">
        <v>28.16955854772096</v>
      </c>
      <c r="R36" s="28" t="n">
        <v>644.5159417104765</v>
      </c>
      <c r="S36" s="28" t="n">
        <v>260.4731535461395</v>
      </c>
      <c r="T36" s="28" t="n">
        <v>299.4696202519309</v>
      </c>
      <c r="U36" s="28" t="n">
        <v>281.8095442477276</v>
      </c>
      <c r="V36" s="28" t="n">
        <v>1150.15270502272</v>
      </c>
      <c r="W36" s="28" t="n">
        <v>139.4398071780222</v>
      </c>
      <c r="X36" s="28" t="n">
        <v>161.9419793043799</v>
      </c>
      <c r="Y36" s="28" t="n">
        <v>10600.26460660075</v>
      </c>
      <c r="Z36" s="28" t="n">
        <v>1576.62158809127</v>
      </c>
      <c r="AA36" s="28" t="n">
        <v>552.6940914898149</v>
      </c>
      <c r="AB36" s="28" t="n">
        <v>43.46503404244972</v>
      </c>
      <c r="AC36" s="28" t="n">
        <v>563.2104915844243</v>
      </c>
      <c r="AD36" s="28" t="n">
        <v>2810.528300103036</v>
      </c>
      <c r="AE36" s="28" t="n">
        <v>1852.806074334713</v>
      </c>
      <c r="AF36" s="28" t="n">
        <v>1640.493608654518</v>
      </c>
      <c r="AG36" s="28" t="n">
        <v>7866.931739628169</v>
      </c>
      <c r="AH36" s="28" t="n">
        <v>3765.967738357322</v>
      </c>
      <c r="AI36" s="28" t="n">
        <v>839.6741681354582</v>
      </c>
      <c r="AJ36" s="28" t="n">
        <v>1450.340669352895</v>
      </c>
      <c r="AK36" s="28" t="n">
        <v>381.2396592998713</v>
      </c>
      <c r="AL36" s="28" t="n">
        <v>8125.989147095283</v>
      </c>
      <c r="AM36" s="28" t="n">
        <v>4170.579775292956</v>
      </c>
      <c r="AN36" s="28" t="n">
        <v>5071.983825332359</v>
      </c>
      <c r="AO36" s="28" t="n">
        <v>91.91290904958296</v>
      </c>
      <c r="AP36" s="28" t="n">
        <v>96.10552476310214</v>
      </c>
      <c r="AQ36" s="28" t="n">
        <v>73.62957586902267</v>
      </c>
      <c r="AR36" s="28" t="n">
        <v>58.14318356534408</v>
      </c>
      <c r="AS36" s="28" t="n">
        <v>298.9336767937754</v>
      </c>
      <c r="AT36" s="28" t="n">
        <v>835.8667836966313</v>
      </c>
      <c r="AU36" s="28" t="n">
        <v>27.03214658056731</v>
      </c>
      <c r="AV36" s="28" t="n">
        <v>322.3399809884742</v>
      </c>
      <c r="AW36" s="28" t="n">
        <v>259.4150175355004</v>
      </c>
      <c r="AX36" s="28" t="n">
        <v>0</v>
      </c>
      <c r="AY36" s="28" t="n">
        <v>184.7582205518431</v>
      </c>
      <c r="AZ36" s="28" t="n">
        <v>404.1252902045377</v>
      </c>
      <c r="BA36" s="28" t="n">
        <v>171.3662031300381</v>
      </c>
      <c r="BB36" s="28">
        <f>SUM(C36:BA36)</f>
        <v/>
      </c>
      <c r="BC36" s="28" t="n">
        <v>0</v>
      </c>
      <c r="BD36" s="28" t="n">
        <v>0</v>
      </c>
      <c r="BE36" s="28" t="n">
        <v>12836.90480066148</v>
      </c>
      <c r="BF36" s="28" t="n">
        <v>0</v>
      </c>
      <c r="BG36" s="28">
        <f>SUM(BC36:BF36)</f>
        <v/>
      </c>
      <c r="BH36" s="28">
        <f>BB36+BG36</f>
        <v/>
      </c>
    </row>
    <row r="37">
      <c r="A37" s="30" t="n">
        <v>24</v>
      </c>
      <c r="B37" s="31" t="inlineStr">
        <is>
          <t>Cimento e outros produtos de minerais não-metálicos</t>
        </is>
      </c>
      <c r="C37" s="30" t="n">
        <v>2303.071283330859</v>
      </c>
      <c r="D37" s="30" t="n">
        <v>1638.836551698057</v>
      </c>
      <c r="E37" s="30" t="n">
        <v>136.7620832751454</v>
      </c>
      <c r="F37" s="30" t="n">
        <v>10.08527590415488</v>
      </c>
      <c r="G37" s="30" t="n">
        <v>90.38297646990702</v>
      </c>
      <c r="H37" s="30" t="n">
        <v>2340.450820495244</v>
      </c>
      <c r="I37" s="30" t="n">
        <v>0.8289207842987401</v>
      </c>
      <c r="J37" s="30" t="n">
        <v>11.00503600439424</v>
      </c>
      <c r="K37" s="30" t="n">
        <v>4.4699254904475</v>
      </c>
      <c r="L37" s="30" t="n">
        <v>7.319575567355341</v>
      </c>
      <c r="M37" s="30" t="n">
        <v>11.997548938124</v>
      </c>
      <c r="N37" s="30" t="n">
        <v>182.9025427953396</v>
      </c>
      <c r="O37" s="30" t="n">
        <v>32.56405911039536</v>
      </c>
      <c r="P37" s="30" t="n">
        <v>15.64605719466635</v>
      </c>
      <c r="Q37" s="30" t="n">
        <v>7.211705220682083</v>
      </c>
      <c r="R37" s="30" t="n">
        <v>477.9753661201443</v>
      </c>
      <c r="S37" s="30" t="n">
        <v>10.11271430126291</v>
      </c>
      <c r="T37" s="30" t="n">
        <v>59.02749460241301</v>
      </c>
      <c r="U37" s="30" t="n">
        <v>6.603969613654842</v>
      </c>
      <c r="V37" s="30" t="n">
        <v>248.2739225002164</v>
      </c>
      <c r="W37" s="30" t="n">
        <v>59.58433572877233</v>
      </c>
      <c r="X37" s="30" t="n">
        <v>143.4314068432948</v>
      </c>
      <c r="Y37" s="30" t="n">
        <v>420.3683054733319</v>
      </c>
      <c r="Z37" s="30" t="n">
        <v>6573.420300936183</v>
      </c>
      <c r="AA37" s="30" t="n">
        <v>376.8952946457206</v>
      </c>
      <c r="AB37" s="30" t="n">
        <v>25.50144304749147</v>
      </c>
      <c r="AC37" s="30" t="n">
        <v>139.4221616491459</v>
      </c>
      <c r="AD37" s="30" t="n">
        <v>473.273879998931</v>
      </c>
      <c r="AE37" s="30" t="n">
        <v>286.3238333571872</v>
      </c>
      <c r="AF37" s="30" t="n">
        <v>37.46584631276039</v>
      </c>
      <c r="AG37" s="30" t="n">
        <v>1774.709671078926</v>
      </c>
      <c r="AH37" s="30" t="n">
        <v>110.2667785777917</v>
      </c>
      <c r="AI37" s="30" t="n">
        <v>136.894091091881</v>
      </c>
      <c r="AJ37" s="30" t="n">
        <v>363.6762868387743</v>
      </c>
      <c r="AK37" s="30" t="n">
        <v>1387.376298622532</v>
      </c>
      <c r="AL37" s="30" t="n">
        <v>38178.04374360654</v>
      </c>
      <c r="AM37" s="30" t="n">
        <v>333.9528485844327</v>
      </c>
      <c r="AN37" s="30" t="n">
        <v>69.43036756212209</v>
      </c>
      <c r="AO37" s="30" t="n">
        <v>43.75192948237042</v>
      </c>
      <c r="AP37" s="30" t="n">
        <v>34.34701079417759</v>
      </c>
      <c r="AQ37" s="30" t="n">
        <v>1284.926100933158</v>
      </c>
      <c r="AR37" s="30" t="n">
        <v>1.567166963734513</v>
      </c>
      <c r="AS37" s="30" t="n">
        <v>489.1298569443065</v>
      </c>
      <c r="AT37" s="30" t="n">
        <v>57.56022314841851</v>
      </c>
      <c r="AU37" s="30" t="n">
        <v>17.86483003322211</v>
      </c>
      <c r="AV37" s="30" t="n">
        <v>91.48159716613621</v>
      </c>
      <c r="AW37" s="30" t="n">
        <v>209.9308859333263</v>
      </c>
      <c r="AX37" s="30" t="n">
        <v>0</v>
      </c>
      <c r="AY37" s="30" t="n">
        <v>135.3807000626754</v>
      </c>
      <c r="AZ37" s="30" t="n">
        <v>114.3456430643277</v>
      </c>
      <c r="BA37" s="30" t="n">
        <v>356.1922199383697</v>
      </c>
      <c r="BB37" s="30">
        <f>SUM(C37:BA37)</f>
        <v/>
      </c>
      <c r="BC37" s="30" t="n">
        <v>0</v>
      </c>
      <c r="BD37" s="30" t="n">
        <v>0</v>
      </c>
      <c r="BE37" s="30" t="n">
        <v>7599.912517479726</v>
      </c>
      <c r="BF37" s="30" t="n">
        <v>0</v>
      </c>
      <c r="BG37" s="30">
        <f>SUM(BC37:BF37)</f>
        <v/>
      </c>
      <c r="BH37" s="30">
        <f>BB37+BG37</f>
        <v/>
      </c>
    </row>
    <row r="38">
      <c r="A38" s="28" t="n">
        <v>25</v>
      </c>
      <c r="B38" s="29" t="inlineStr">
        <is>
          <t>Fabricação de aço e derivados</t>
        </is>
      </c>
      <c r="C38" s="28" t="n">
        <v>187.3934590952724</v>
      </c>
      <c r="D38" s="28" t="n">
        <v>303.6741342382373</v>
      </c>
      <c r="E38" s="28" t="n">
        <v>2164.914933949397</v>
      </c>
      <c r="F38" s="28" t="n">
        <v>32.96531416086019</v>
      </c>
      <c r="G38" s="28" t="n">
        <v>250.504093543209</v>
      </c>
      <c r="H38" s="28" t="n">
        <v>447.5271524941434</v>
      </c>
      <c r="I38" s="28" t="n">
        <v>3.251002544121638</v>
      </c>
      <c r="J38" s="28" t="n">
        <v>9.301638247207642</v>
      </c>
      <c r="K38" s="28" t="n">
        <v>7.914466898720132</v>
      </c>
      <c r="L38" s="28" t="n">
        <v>5.657998464601076</v>
      </c>
      <c r="M38" s="28" t="n">
        <v>12.06381647531534</v>
      </c>
      <c r="N38" s="28" t="n">
        <v>179.9045946517728</v>
      </c>
      <c r="O38" s="28" t="n">
        <v>9.670656842323313</v>
      </c>
      <c r="P38" s="28" t="n">
        <v>15.69972280149929</v>
      </c>
      <c r="Q38" s="28" t="n">
        <v>5.495060411900889</v>
      </c>
      <c r="R38" s="28" t="n">
        <v>33.70827894336593</v>
      </c>
      <c r="S38" s="28" t="n">
        <v>8.68803540362646</v>
      </c>
      <c r="T38" s="28" t="n">
        <v>21.75629563023499</v>
      </c>
      <c r="U38" s="28" t="n">
        <v>7.058706018888409</v>
      </c>
      <c r="V38" s="28" t="n">
        <v>29.70089523865919</v>
      </c>
      <c r="W38" s="28" t="n">
        <v>24.24850685054823</v>
      </c>
      <c r="X38" s="28" t="n">
        <v>23.58340150896132</v>
      </c>
      <c r="Y38" s="28" t="n">
        <v>943.4094121457273</v>
      </c>
      <c r="Z38" s="28" t="n">
        <v>685.9122574908347</v>
      </c>
      <c r="AA38" s="28" t="n">
        <v>16751.91847584985</v>
      </c>
      <c r="AB38" s="28" t="n">
        <v>1242.731271273159</v>
      </c>
      <c r="AC38" s="28" t="n">
        <v>21993.64794779091</v>
      </c>
      <c r="AD38" s="28" t="n">
        <v>12230.28435210505</v>
      </c>
      <c r="AE38" s="28" t="n">
        <v>4294.492154933911</v>
      </c>
      <c r="AF38" s="28" t="n">
        <v>219.0415005679788</v>
      </c>
      <c r="AG38" s="28" t="n">
        <v>8763.89146238475</v>
      </c>
      <c r="AH38" s="28" t="n">
        <v>10947.07731528961</v>
      </c>
      <c r="AI38" s="28" t="n">
        <v>1306.098136852553</v>
      </c>
      <c r="AJ38" s="28" t="n">
        <v>1458.491867088093</v>
      </c>
      <c r="AK38" s="28" t="n">
        <v>345.5407578107931</v>
      </c>
      <c r="AL38" s="28" t="n">
        <v>18073.52815264612</v>
      </c>
      <c r="AM38" s="28" t="n">
        <v>1209.297645610163</v>
      </c>
      <c r="AN38" s="28" t="n">
        <v>107.3560535046837</v>
      </c>
      <c r="AO38" s="28" t="n">
        <v>101.3715949786375</v>
      </c>
      <c r="AP38" s="28" t="n">
        <v>87.37852101024988</v>
      </c>
      <c r="AQ38" s="28" t="n">
        <v>23.37406328089028</v>
      </c>
      <c r="AR38" s="28" t="n">
        <v>2.66291924350551</v>
      </c>
      <c r="AS38" s="28" t="n">
        <v>68.22682042173021</v>
      </c>
      <c r="AT38" s="28" t="n">
        <v>364.1418615505692</v>
      </c>
      <c r="AU38" s="28" t="n">
        <v>33.74444486752029</v>
      </c>
      <c r="AV38" s="28" t="n">
        <v>16.54551515964653</v>
      </c>
      <c r="AW38" s="28" t="n">
        <v>72.02834452045192</v>
      </c>
      <c r="AX38" s="28" t="n">
        <v>0</v>
      </c>
      <c r="AY38" s="28" t="n">
        <v>53.02277375498069</v>
      </c>
      <c r="AZ38" s="28" t="n">
        <v>26.13329115230815</v>
      </c>
      <c r="BA38" s="28" t="n">
        <v>219.3867001234057</v>
      </c>
      <c r="BB38" s="28">
        <f>SUM(C38:BA38)</f>
        <v/>
      </c>
      <c r="BC38" s="28" t="n">
        <v>0</v>
      </c>
      <c r="BD38" s="28" t="n">
        <v>0</v>
      </c>
      <c r="BE38" s="28" t="n">
        <v>22933.78033875576</v>
      </c>
      <c r="BF38" s="28" t="n">
        <v>0</v>
      </c>
      <c r="BG38" s="28">
        <f>SUM(BC38:BF38)</f>
        <v/>
      </c>
      <c r="BH38" s="28">
        <f>BB38+BG38</f>
        <v/>
      </c>
    </row>
    <row r="39">
      <c r="A39" s="30" t="n">
        <v>26</v>
      </c>
      <c r="B39" s="31" t="inlineStr">
        <is>
          <t>Metalurgia de metais não-ferrosos</t>
        </is>
      </c>
      <c r="C39" s="30" t="n">
        <v>919.2097309252642</v>
      </c>
      <c r="D39" s="30" t="n">
        <v>118.7989178560556</v>
      </c>
      <c r="E39" s="30" t="n">
        <v>69.72840090713149</v>
      </c>
      <c r="F39" s="30" t="n">
        <v>18.10093935090003</v>
      </c>
      <c r="G39" s="30" t="n">
        <v>81.65318607034651</v>
      </c>
      <c r="H39" s="30" t="n">
        <v>869.2874891325948</v>
      </c>
      <c r="I39" s="30" t="n">
        <v>1.074754924507453</v>
      </c>
      <c r="J39" s="30" t="n">
        <v>15.99056598880658</v>
      </c>
      <c r="K39" s="30" t="n">
        <v>11.71553179944993</v>
      </c>
      <c r="L39" s="30" t="n">
        <v>11.7958587499316</v>
      </c>
      <c r="M39" s="30" t="n">
        <v>4.287184330276373</v>
      </c>
      <c r="N39" s="30" t="n">
        <v>320.8870841510713</v>
      </c>
      <c r="O39" s="30" t="n">
        <v>326.1971647965649</v>
      </c>
      <c r="P39" s="30" t="n">
        <v>5.616030588616513</v>
      </c>
      <c r="Q39" s="30" t="n">
        <v>3.517803896691149</v>
      </c>
      <c r="R39" s="30" t="n">
        <v>706.3422273008595</v>
      </c>
      <c r="S39" s="30" t="n">
        <v>41.83390862131437</v>
      </c>
      <c r="T39" s="30" t="n">
        <v>18.79005052480269</v>
      </c>
      <c r="U39" s="30" t="n">
        <v>24.45141755688456</v>
      </c>
      <c r="V39" s="30" t="n">
        <v>44.78554861133676</v>
      </c>
      <c r="W39" s="30" t="n">
        <v>48.87369699141592</v>
      </c>
      <c r="X39" s="30" t="n">
        <v>241.2483467771343</v>
      </c>
      <c r="Y39" s="30" t="n">
        <v>103.015052197772</v>
      </c>
      <c r="Z39" s="30" t="n">
        <v>163.0225495496781</v>
      </c>
      <c r="AA39" s="30" t="n">
        <v>1734.895642687588</v>
      </c>
      <c r="AB39" s="30" t="n">
        <v>7280.134372157465</v>
      </c>
      <c r="AC39" s="30" t="n">
        <v>1838.924462945556</v>
      </c>
      <c r="AD39" s="30" t="n">
        <v>3320.854330635149</v>
      </c>
      <c r="AE39" s="30" t="n">
        <v>8147.430430031296</v>
      </c>
      <c r="AF39" s="30" t="n">
        <v>302.0001174373008</v>
      </c>
      <c r="AG39" s="30" t="n">
        <v>732.7138450999448</v>
      </c>
      <c r="AH39" s="30" t="n">
        <v>5870.373495944472</v>
      </c>
      <c r="AI39" s="30" t="n">
        <v>988.2118964868723</v>
      </c>
      <c r="AJ39" s="30" t="n">
        <v>1964.706623054271</v>
      </c>
      <c r="AK39" s="30" t="n">
        <v>229.7568300394489</v>
      </c>
      <c r="AL39" s="30" t="n">
        <v>3712.389779954733</v>
      </c>
      <c r="AM39" s="30" t="n">
        <v>616.1551202408092</v>
      </c>
      <c r="AN39" s="30" t="n">
        <v>66.24688581943438</v>
      </c>
      <c r="AO39" s="30" t="n">
        <v>56.4896338016328</v>
      </c>
      <c r="AP39" s="30" t="n">
        <v>55.60612032654245</v>
      </c>
      <c r="AQ39" s="30" t="n">
        <v>67.54156756608339</v>
      </c>
      <c r="AR39" s="30" t="n">
        <v>2.902587519964424</v>
      </c>
      <c r="AS39" s="30" t="n">
        <v>47.68575435645128</v>
      </c>
      <c r="AT39" s="30" t="n">
        <v>89.12291932070059</v>
      </c>
      <c r="AU39" s="30" t="n">
        <v>29.53704805807804</v>
      </c>
      <c r="AV39" s="30" t="n">
        <v>48.52280838734326</v>
      </c>
      <c r="AW39" s="30" t="n">
        <v>72.64243048766859</v>
      </c>
      <c r="AX39" s="30" t="n">
        <v>0</v>
      </c>
      <c r="AY39" s="30" t="n">
        <v>9.228372101024444</v>
      </c>
      <c r="AZ39" s="30" t="n">
        <v>12.32417028037385</v>
      </c>
      <c r="BA39" s="30" t="n">
        <v>53.68474763784672</v>
      </c>
      <c r="BB39" s="30">
        <f>SUM(C39:BA39)</f>
        <v/>
      </c>
      <c r="BC39" s="30" t="n">
        <v>0</v>
      </c>
      <c r="BD39" s="30" t="n">
        <v>0</v>
      </c>
      <c r="BE39" s="30" t="n">
        <v>9461.860048991752</v>
      </c>
      <c r="BF39" s="30" t="n">
        <v>0</v>
      </c>
      <c r="BG39" s="30">
        <f>SUM(BC39:BF39)</f>
        <v/>
      </c>
      <c r="BH39" s="30">
        <f>BB39+BG39</f>
        <v/>
      </c>
    </row>
    <row r="40">
      <c r="A40" s="29" t="inlineStr">
        <is>
          <t>Produtos de metal</t>
        </is>
      </c>
      <c r="B40" s="29" t="inlineStr">
        <is>
          <t>exclusive máquinas e equipamentos</t>
        </is>
      </c>
      <c r="C40" s="28" t="n">
        <v>344.6959611855163</v>
      </c>
      <c r="D40" s="28" t="n">
        <v>512.3672946439166</v>
      </c>
      <c r="E40" s="28" t="n">
        <v>1262.435756607846</v>
      </c>
      <c r="F40" s="28" t="n">
        <v>657.0801638438504</v>
      </c>
      <c r="G40" s="28" t="n">
        <v>289.9204328687097</v>
      </c>
      <c r="H40" s="28" t="n">
        <v>6613.999171614289</v>
      </c>
      <c r="I40" s="28" t="n">
        <v>29.71188831851099</v>
      </c>
      <c r="J40" s="28" t="n">
        <v>111.5665621307073</v>
      </c>
      <c r="K40" s="28" t="n">
        <v>127.7443923480651</v>
      </c>
      <c r="L40" s="28" t="n">
        <v>72.19761194445567</v>
      </c>
      <c r="M40" s="28" t="n">
        <v>345.8599287645347</v>
      </c>
      <c r="N40" s="28" t="n">
        <v>144.6059017004413</v>
      </c>
      <c r="O40" s="28" t="n">
        <v>52.72117880905751</v>
      </c>
      <c r="P40" s="28" t="n">
        <v>264.5118350883996</v>
      </c>
      <c r="Q40" s="28" t="n">
        <v>55.25920529426226</v>
      </c>
      <c r="R40" s="28" t="n">
        <v>279.8262535514945</v>
      </c>
      <c r="S40" s="28" t="n">
        <v>113.837004272434</v>
      </c>
      <c r="T40" s="28" t="n">
        <v>128.7325641252129</v>
      </c>
      <c r="U40" s="28" t="n">
        <v>54.06035951303019</v>
      </c>
      <c r="V40" s="28" t="n">
        <v>803.0469214684105</v>
      </c>
      <c r="W40" s="28" t="n">
        <v>702.2290411651213</v>
      </c>
      <c r="X40" s="28" t="n">
        <v>56.21344574986382</v>
      </c>
      <c r="Y40" s="28" t="n">
        <v>231.3636087889778</v>
      </c>
      <c r="Z40" s="28" t="n">
        <v>237.3503300543718</v>
      </c>
      <c r="AA40" s="28" t="n">
        <v>2733.8868289309</v>
      </c>
      <c r="AB40" s="28" t="n">
        <v>290.2006909067889</v>
      </c>
      <c r="AC40" s="28" t="n">
        <v>6995.036748968814</v>
      </c>
      <c r="AD40" s="28" t="n">
        <v>8400.712746860067</v>
      </c>
      <c r="AE40" s="28" t="n">
        <v>2604.633303383358</v>
      </c>
      <c r="AF40" s="28" t="n">
        <v>1300.184820136504</v>
      </c>
      <c r="AG40" s="28" t="n">
        <v>4448.719451993611</v>
      </c>
      <c r="AH40" s="28" t="n">
        <v>3199.832274281455</v>
      </c>
      <c r="AI40" s="28" t="n">
        <v>2276.978978112571</v>
      </c>
      <c r="AJ40" s="28" t="n">
        <v>1076.132242376024</v>
      </c>
      <c r="AK40" s="28" t="n">
        <v>2328.518894311804</v>
      </c>
      <c r="AL40" s="28" t="n">
        <v>20888.07142469001</v>
      </c>
      <c r="AM40" s="28" t="n">
        <v>1454.16594109882</v>
      </c>
      <c r="AN40" s="28" t="n">
        <v>263.9156792867593</v>
      </c>
      <c r="AO40" s="28" t="n">
        <v>122.554860633293</v>
      </c>
      <c r="AP40" s="28" t="n">
        <v>64.51295974231152</v>
      </c>
      <c r="AQ40" s="28" t="n">
        <v>350.8661282463938</v>
      </c>
      <c r="AR40" s="28" t="n">
        <v>4.961200391391053</v>
      </c>
      <c r="AS40" s="28" t="n">
        <v>1517.748627842342</v>
      </c>
      <c r="AT40" s="28" t="n">
        <v>278.814291443328</v>
      </c>
      <c r="AU40" s="28" t="n">
        <v>32.52700732759811</v>
      </c>
      <c r="AV40" s="28" t="n">
        <v>70.60739886685465</v>
      </c>
      <c r="AW40" s="28" t="n">
        <v>383.9767972185811</v>
      </c>
      <c r="AX40" s="28" t="n">
        <v>0</v>
      </c>
      <c r="AY40" s="28" t="n">
        <v>73.37014091468119</v>
      </c>
      <c r="AZ40" s="28" t="n">
        <v>78.94816641563034</v>
      </c>
      <c r="BA40" s="28" t="n">
        <v>1044.987518022451</v>
      </c>
      <c r="BB40" s="28">
        <f>SUM(C40:BA40)</f>
        <v/>
      </c>
      <c r="BC40" s="28" t="n">
        <v>0</v>
      </c>
      <c r="BD40" s="28" t="n">
        <v>0</v>
      </c>
      <c r="BE40" s="28" t="n">
        <v>18310.97299404817</v>
      </c>
      <c r="BF40" s="28" t="n">
        <v>0</v>
      </c>
      <c r="BG40" s="28">
        <f>SUM(BC40:BF40)</f>
        <v/>
      </c>
      <c r="BH40" s="28">
        <f>BB40+BG40</f>
        <v/>
      </c>
    </row>
    <row r="41">
      <c r="A41" s="30" t="n">
        <v>28</v>
      </c>
      <c r="B41" s="31" t="inlineStr">
        <is>
          <t>Máquinas e equipamentos inclusive manutenção e reparos</t>
        </is>
      </c>
      <c r="C41" s="30" t="n">
        <v>175.9941958426246</v>
      </c>
      <c r="D41" s="30" t="n">
        <v>79.92471174257645</v>
      </c>
      <c r="E41" s="30" t="n">
        <v>4585.870096536419</v>
      </c>
      <c r="F41" s="30" t="n">
        <v>3661.007571461978</v>
      </c>
      <c r="G41" s="30" t="n">
        <v>1783.825148579791</v>
      </c>
      <c r="H41" s="30" t="n">
        <v>2020.265508749166</v>
      </c>
      <c r="I41" s="30" t="n">
        <v>14.68451426197987</v>
      </c>
      <c r="J41" s="30" t="n">
        <v>253.5550403218336</v>
      </c>
      <c r="K41" s="30" t="n">
        <v>423.7169657611461</v>
      </c>
      <c r="L41" s="30" t="n">
        <v>135.5333623060412</v>
      </c>
      <c r="M41" s="30" t="n">
        <v>443.6211621617519</v>
      </c>
      <c r="N41" s="30" t="n">
        <v>1591.097704985038</v>
      </c>
      <c r="O41" s="30" t="n">
        <v>1018.982347821005</v>
      </c>
      <c r="P41" s="30" t="n">
        <v>424.9351989994905</v>
      </c>
      <c r="Q41" s="30" t="n">
        <v>364.3295985414895</v>
      </c>
      <c r="R41" s="30" t="n">
        <v>584.520677311635</v>
      </c>
      <c r="S41" s="30" t="n">
        <v>231.476000950576</v>
      </c>
      <c r="T41" s="30" t="n">
        <v>394.5719047971354</v>
      </c>
      <c r="U41" s="30" t="n">
        <v>134.3063982798546</v>
      </c>
      <c r="V41" s="30" t="n">
        <v>167.9838746964489</v>
      </c>
      <c r="W41" s="30" t="n">
        <v>210.4208662871234</v>
      </c>
      <c r="X41" s="30" t="n">
        <v>244.184979584804</v>
      </c>
      <c r="Y41" s="30" t="n">
        <v>563.2217985388887</v>
      </c>
      <c r="Z41" s="30" t="n">
        <v>1836.033189676457</v>
      </c>
      <c r="AA41" s="30" t="n">
        <v>7271.025706200695</v>
      </c>
      <c r="AB41" s="30" t="n">
        <v>1407.939339328991</v>
      </c>
      <c r="AC41" s="30" t="n">
        <v>805.0661419801083</v>
      </c>
      <c r="AD41" s="30" t="n">
        <v>28658.50819823784</v>
      </c>
      <c r="AE41" s="30" t="n">
        <v>1305.26534622012</v>
      </c>
      <c r="AF41" s="30" t="n">
        <v>547.5764596295003</v>
      </c>
      <c r="AG41" s="30" t="n">
        <v>2674.4874526269</v>
      </c>
      <c r="AH41" s="30" t="n">
        <v>1107.205610638395</v>
      </c>
      <c r="AI41" s="30" t="n">
        <v>989.7892658986607</v>
      </c>
      <c r="AJ41" s="30" t="n">
        <v>444.8286013924774</v>
      </c>
      <c r="AK41" s="30" t="n">
        <v>1828.94942757382</v>
      </c>
      <c r="AL41" s="30" t="n">
        <v>5929.88596960365</v>
      </c>
      <c r="AM41" s="30" t="n">
        <v>4024.783197014237</v>
      </c>
      <c r="AN41" s="30" t="n">
        <v>3879.541464460228</v>
      </c>
      <c r="AO41" s="30" t="n">
        <v>1892.836154745748</v>
      </c>
      <c r="AP41" s="30" t="n">
        <v>317.9759432891852</v>
      </c>
      <c r="AQ41" s="30" t="n">
        <v>87.4099410730596</v>
      </c>
      <c r="AR41" s="30" t="n">
        <v>59.86881946262343</v>
      </c>
      <c r="AS41" s="30" t="n">
        <v>219.2029575374332</v>
      </c>
      <c r="AT41" s="30" t="n">
        <v>2153.052459400917</v>
      </c>
      <c r="AU41" s="30" t="n">
        <v>21.94417831515234</v>
      </c>
      <c r="AV41" s="30" t="n">
        <v>572.92828576695</v>
      </c>
      <c r="AW41" s="30" t="n">
        <v>1500.887913001735</v>
      </c>
      <c r="AX41" s="30" t="n">
        <v>0</v>
      </c>
      <c r="AY41" s="30" t="n">
        <v>133.9643138621693</v>
      </c>
      <c r="AZ41" s="30" t="n">
        <v>671.260728615172</v>
      </c>
      <c r="BA41" s="30" t="n">
        <v>850.2440996088044</v>
      </c>
      <c r="BB41" s="30">
        <f>SUM(C41:BA41)</f>
        <v/>
      </c>
      <c r="BC41" s="30" t="n">
        <v>0</v>
      </c>
      <c r="BD41" s="30" t="n">
        <v>0</v>
      </c>
      <c r="BE41" s="30" t="n">
        <v>64933.94500951286</v>
      </c>
      <c r="BF41" s="30" t="n">
        <v>0</v>
      </c>
      <c r="BG41" s="30">
        <f>SUM(BC41:BF41)</f>
        <v/>
      </c>
      <c r="BH41" s="30">
        <f>BB41+BG41</f>
        <v/>
      </c>
    </row>
    <row r="42">
      <c r="A42" s="28" t="n">
        <v>29</v>
      </c>
      <c r="B42" s="29" t="inlineStr">
        <is>
          <t>Eletrodomésticos e material eletronico</t>
        </is>
      </c>
      <c r="C42" s="28" t="n">
        <v>44.65283150164004</v>
      </c>
      <c r="D42" s="28" t="n">
        <v>93.32453414782924</v>
      </c>
      <c r="E42" s="28" t="n">
        <v>230.4099948814115</v>
      </c>
      <c r="F42" s="28" t="n">
        <v>66.13174698778116</v>
      </c>
      <c r="G42" s="28" t="n">
        <v>57.90361822865141</v>
      </c>
      <c r="H42" s="28" t="n">
        <v>272.7810653486709</v>
      </c>
      <c r="I42" s="28" t="n">
        <v>6.568527589596679</v>
      </c>
      <c r="J42" s="28" t="n">
        <v>62.25905804963393</v>
      </c>
      <c r="K42" s="28" t="n">
        <v>20.42797567542538</v>
      </c>
      <c r="L42" s="28" t="n">
        <v>14.70085072420075</v>
      </c>
      <c r="M42" s="28" t="n">
        <v>27.32870852953931</v>
      </c>
      <c r="N42" s="28" t="n">
        <v>79.52569773178674</v>
      </c>
      <c r="O42" s="28" t="n">
        <v>34.12263913411304</v>
      </c>
      <c r="P42" s="28" t="n">
        <v>14.46499935624718</v>
      </c>
      <c r="Q42" s="28" t="n">
        <v>10.31486059055483</v>
      </c>
      <c r="R42" s="28" t="n">
        <v>74.98018818261869</v>
      </c>
      <c r="S42" s="28" t="n">
        <v>31.72159946669578</v>
      </c>
      <c r="T42" s="28" t="n">
        <v>21.46926513508286</v>
      </c>
      <c r="U42" s="28" t="n">
        <v>7.472408118207376</v>
      </c>
      <c r="V42" s="28" t="n">
        <v>25.58222427201122</v>
      </c>
      <c r="W42" s="28" t="n">
        <v>12.36771649821953</v>
      </c>
      <c r="X42" s="28" t="n">
        <v>20.77021300641517</v>
      </c>
      <c r="Y42" s="28" t="n">
        <v>111.1488933069575</v>
      </c>
      <c r="Z42" s="28" t="n">
        <v>152.6248654958942</v>
      </c>
      <c r="AA42" s="28" t="n">
        <v>154.2452961141155</v>
      </c>
      <c r="AB42" s="28" t="n">
        <v>179.0916025208217</v>
      </c>
      <c r="AC42" s="28" t="n">
        <v>139.585662339685</v>
      </c>
      <c r="AD42" s="28" t="n">
        <v>4885.240817336866</v>
      </c>
      <c r="AE42" s="28" t="n">
        <v>7972.07697696237</v>
      </c>
      <c r="AF42" s="28" t="n">
        <v>2343.044728962544</v>
      </c>
      <c r="AG42" s="28" t="n">
        <v>1223.779835937309</v>
      </c>
      <c r="AH42" s="28" t="n">
        <v>1289.95652746483</v>
      </c>
      <c r="AI42" s="28" t="n">
        <v>376.059138649465</v>
      </c>
      <c r="AJ42" s="28" t="n">
        <v>256.4795441926237</v>
      </c>
      <c r="AK42" s="28" t="n">
        <v>4329.835281555666</v>
      </c>
      <c r="AL42" s="28" t="n">
        <v>9275.130049642416</v>
      </c>
      <c r="AM42" s="28" t="n">
        <v>1138.407514579993</v>
      </c>
      <c r="AN42" s="28" t="n">
        <v>1149.511499256179</v>
      </c>
      <c r="AO42" s="28" t="n">
        <v>1003.499776323527</v>
      </c>
      <c r="AP42" s="28" t="n">
        <v>95.68834671536754</v>
      </c>
      <c r="AQ42" s="28" t="n">
        <v>360.2300281686431</v>
      </c>
      <c r="AR42" s="28" t="n">
        <v>343.3286071271137</v>
      </c>
      <c r="AS42" s="28" t="n">
        <v>74.09357197044514</v>
      </c>
      <c r="AT42" s="28" t="n">
        <v>775.3717952770662</v>
      </c>
      <c r="AU42" s="28" t="n">
        <v>19.14525994724605</v>
      </c>
      <c r="AV42" s="28" t="n">
        <v>279.4710415867228</v>
      </c>
      <c r="AW42" s="28" t="n">
        <v>1109.122583075072</v>
      </c>
      <c r="AX42" s="28" t="n">
        <v>0</v>
      </c>
      <c r="AY42" s="28" t="n">
        <v>99.02042299523792</v>
      </c>
      <c r="AZ42" s="28" t="n">
        <v>91.86566344044692</v>
      </c>
      <c r="BA42" s="28" t="n">
        <v>165.3818354774933</v>
      </c>
      <c r="BB42" s="28">
        <f>SUM(C42:BA42)</f>
        <v/>
      </c>
      <c r="BC42" s="28" t="n">
        <v>0</v>
      </c>
      <c r="BD42" s="28" t="n">
        <v>0</v>
      </c>
      <c r="BE42" s="28" t="n">
        <v>27739.35136964409</v>
      </c>
      <c r="BF42" s="28" t="n">
        <v>0</v>
      </c>
      <c r="BG42" s="28">
        <f>SUM(BC42:BF42)</f>
        <v/>
      </c>
      <c r="BH42" s="28">
        <f>BB42+BG42</f>
        <v/>
      </c>
    </row>
    <row r="43">
      <c r="A43" s="30" t="n">
        <v>30</v>
      </c>
      <c r="B43" s="31" t="inlineStr">
        <is>
          <t>Máquinas para escritório aparelhos e e material eletronico</t>
        </is>
      </c>
      <c r="C43" s="30" t="n">
        <v>6.893842476533548</v>
      </c>
      <c r="D43" s="30" t="n">
        <v>5.346564128104234</v>
      </c>
      <c r="E43" s="30" t="n">
        <v>349.4234903964233</v>
      </c>
      <c r="F43" s="30" t="n">
        <v>45.86932671090754</v>
      </c>
      <c r="G43" s="30" t="n">
        <v>94.75815462874948</v>
      </c>
      <c r="H43" s="30" t="n">
        <v>217.2748094729229</v>
      </c>
      <c r="I43" s="30" t="n">
        <v>5.171773390370502</v>
      </c>
      <c r="J43" s="30" t="n">
        <v>14.22567596133156</v>
      </c>
      <c r="K43" s="30" t="n">
        <v>8.716351107982968</v>
      </c>
      <c r="L43" s="30" t="n">
        <v>9.580017277029977</v>
      </c>
      <c r="M43" s="30" t="n">
        <v>15.475514422107</v>
      </c>
      <c r="N43" s="30" t="n">
        <v>43.03607360320749</v>
      </c>
      <c r="O43" s="30" t="n">
        <v>474.0680019144085</v>
      </c>
      <c r="P43" s="30" t="n">
        <v>21.93575954987526</v>
      </c>
      <c r="Q43" s="30" t="n">
        <v>8.990909563852275</v>
      </c>
      <c r="R43" s="30" t="n">
        <v>24.72262669736002</v>
      </c>
      <c r="S43" s="30" t="n">
        <v>16.62448074347783</v>
      </c>
      <c r="T43" s="30" t="n">
        <v>64.6711585128408</v>
      </c>
      <c r="U43" s="30" t="n">
        <v>14.0963082041364</v>
      </c>
      <c r="V43" s="30" t="n">
        <v>38.52521060813774</v>
      </c>
      <c r="W43" s="30" t="n">
        <v>25.6239620166552</v>
      </c>
      <c r="X43" s="30" t="n">
        <v>68.05642245586057</v>
      </c>
      <c r="Y43" s="30" t="n">
        <v>63.2651584488429</v>
      </c>
      <c r="Z43" s="30" t="n">
        <v>42.35410472347382</v>
      </c>
      <c r="AA43" s="30" t="n">
        <v>89.80810113631783</v>
      </c>
      <c r="AB43" s="30" t="n">
        <v>18.51397204339842</v>
      </c>
      <c r="AC43" s="30" t="n">
        <v>25.64690516757079</v>
      </c>
      <c r="AD43" s="30" t="n">
        <v>1643.562130973611</v>
      </c>
      <c r="AE43" s="30" t="n">
        <v>735.0634292014963</v>
      </c>
      <c r="AF43" s="30" t="n">
        <v>32530.0052833012</v>
      </c>
      <c r="AG43" s="30" t="n">
        <v>513.2224401946789</v>
      </c>
      <c r="AH43" s="30" t="n">
        <v>298.3534288279764</v>
      </c>
      <c r="AI43" s="30" t="n">
        <v>104.9066753397113</v>
      </c>
      <c r="AJ43" s="30" t="n">
        <v>77.96236642321455</v>
      </c>
      <c r="AK43" s="30" t="n">
        <v>301.763552946104</v>
      </c>
      <c r="AL43" s="30" t="n">
        <v>829.9096424842546</v>
      </c>
      <c r="AM43" s="30" t="n">
        <v>551.0510625650088</v>
      </c>
      <c r="AN43" s="30" t="n">
        <v>367.6974415264671</v>
      </c>
      <c r="AO43" s="30" t="n">
        <v>3717.625650487746</v>
      </c>
      <c r="AP43" s="30" t="n">
        <v>662.0294867788991</v>
      </c>
      <c r="AQ43" s="30" t="n">
        <v>22.12586616092169</v>
      </c>
      <c r="AR43" s="30" t="n">
        <v>1021.279948790836</v>
      </c>
      <c r="AS43" s="30" t="n">
        <v>24.23659523029949</v>
      </c>
      <c r="AT43" s="30" t="n">
        <v>3619.280589521198</v>
      </c>
      <c r="AU43" s="30" t="n">
        <v>195.6248302742077</v>
      </c>
      <c r="AV43" s="30" t="n">
        <v>8223.540038701829</v>
      </c>
      <c r="AW43" s="30" t="n">
        <v>414.7009367746714</v>
      </c>
      <c r="AX43" s="30" t="n">
        <v>0</v>
      </c>
      <c r="AY43" s="30" t="n">
        <v>1879.269394279118</v>
      </c>
      <c r="AZ43" s="30" t="n">
        <v>2281.338560836559</v>
      </c>
      <c r="BA43" s="30" t="n">
        <v>969.9764126136665</v>
      </c>
      <c r="BB43" s="30">
        <f>SUM(C43:BA43)</f>
        <v/>
      </c>
      <c r="BC43" s="30" t="n">
        <v>0</v>
      </c>
      <c r="BD43" s="30" t="n">
        <v>0</v>
      </c>
      <c r="BE43" s="30" t="n">
        <v>42945.58044515397</v>
      </c>
      <c r="BF43" s="30" t="n">
        <v>0</v>
      </c>
      <c r="BG43" s="30">
        <f>SUM(BC43:BF43)</f>
        <v/>
      </c>
      <c r="BH43" s="30">
        <f>BB43+BG43</f>
        <v/>
      </c>
    </row>
    <row r="44">
      <c r="A44" s="28" t="n">
        <v>31</v>
      </c>
      <c r="B44" s="29" t="inlineStr">
        <is>
          <t>Automóveis camionetas caminhões e ônibus</t>
        </is>
      </c>
      <c r="C44" s="28" t="n">
        <v>6.194042543389157</v>
      </c>
      <c r="D44" s="28" t="n">
        <v>4.158696045448243</v>
      </c>
      <c r="E44" s="28" t="n">
        <v>92.50378624248921</v>
      </c>
      <c r="F44" s="28" t="n">
        <v>31.52009880634948</v>
      </c>
      <c r="G44" s="28" t="n">
        <v>18.66207088172419</v>
      </c>
      <c r="H44" s="28" t="n">
        <v>187.83145878179</v>
      </c>
      <c r="I44" s="28" t="n">
        <v>8.180743884084302</v>
      </c>
      <c r="J44" s="28" t="n">
        <v>7.957120895600599</v>
      </c>
      <c r="K44" s="28" t="n">
        <v>7.690255650976461</v>
      </c>
      <c r="L44" s="28" t="n">
        <v>8.140893006201903</v>
      </c>
      <c r="M44" s="28" t="n">
        <v>4.620029981661899</v>
      </c>
      <c r="N44" s="28" t="n">
        <v>25.40553652508104</v>
      </c>
      <c r="O44" s="28" t="n">
        <v>7.736015243320447</v>
      </c>
      <c r="P44" s="28" t="n">
        <v>21.53759503767034</v>
      </c>
      <c r="Q44" s="28" t="n">
        <v>5.819842421867857</v>
      </c>
      <c r="R44" s="28" t="n">
        <v>20.28767924871874</v>
      </c>
      <c r="S44" s="28" t="n">
        <v>5.766772970178424</v>
      </c>
      <c r="T44" s="28" t="n">
        <v>32.3134552216353</v>
      </c>
      <c r="U44" s="28" t="n">
        <v>12.0516258162089</v>
      </c>
      <c r="V44" s="28" t="n">
        <v>13.41571762573678</v>
      </c>
      <c r="W44" s="28" t="n">
        <v>8.257125774772431</v>
      </c>
      <c r="X44" s="28" t="n">
        <v>26.90897681343881</v>
      </c>
      <c r="Y44" s="28" t="n">
        <v>19.85737184221608</v>
      </c>
      <c r="Z44" s="28" t="n">
        <v>29.02798664319528</v>
      </c>
      <c r="AA44" s="28" t="n">
        <v>54.52471542390118</v>
      </c>
      <c r="AB44" s="28" t="n">
        <v>15.28855249215552</v>
      </c>
      <c r="AC44" s="28" t="n">
        <v>16.39979812331488</v>
      </c>
      <c r="AD44" s="28" t="n">
        <v>271.0348367573972</v>
      </c>
      <c r="AE44" s="28" t="n">
        <v>154.2703702226171</v>
      </c>
      <c r="AF44" s="28" t="n">
        <v>71.41046501158698</v>
      </c>
      <c r="AG44" s="28" t="n">
        <v>6465.034057853432</v>
      </c>
      <c r="AH44" s="28" t="n">
        <v>185.111022811483</v>
      </c>
      <c r="AI44" s="28" t="n">
        <v>90.71737721427229</v>
      </c>
      <c r="AJ44" s="28" t="n">
        <v>11.06636769520334</v>
      </c>
      <c r="AK44" s="28" t="n">
        <v>134.4521893970836</v>
      </c>
      <c r="AL44" s="28" t="n">
        <v>260.6155066220113</v>
      </c>
      <c r="AM44" s="28" t="n">
        <v>656.6732302252283</v>
      </c>
      <c r="AN44" s="28" t="n">
        <v>729.4438519377712</v>
      </c>
      <c r="AO44" s="28" t="n">
        <v>195.1123851110478</v>
      </c>
      <c r="AP44" s="28" t="n">
        <v>167.6613047160556</v>
      </c>
      <c r="AQ44" s="28" t="n">
        <v>17.80910849371764</v>
      </c>
      <c r="AR44" s="28" t="n">
        <v>1.804227055876125</v>
      </c>
      <c r="AS44" s="28" t="n">
        <v>16.22446911067241</v>
      </c>
      <c r="AT44" s="28" t="n">
        <v>230.9095725506691</v>
      </c>
      <c r="AU44" s="28" t="n">
        <v>30.79815656517273</v>
      </c>
      <c r="AV44" s="28" t="n">
        <v>26.6855764056566</v>
      </c>
      <c r="AW44" s="28" t="n">
        <v>81.03193606372869</v>
      </c>
      <c r="AX44" s="28" t="n">
        <v>0</v>
      </c>
      <c r="AY44" s="28" t="n">
        <v>36.9912013551306</v>
      </c>
      <c r="AZ44" s="28" t="n">
        <v>40.91921784172009</v>
      </c>
      <c r="BA44" s="28" t="n">
        <v>165.2804056324302</v>
      </c>
      <c r="BB44" s="28">
        <f>SUM(C44:BA44)</f>
        <v/>
      </c>
      <c r="BC44" s="28" t="n">
        <v>0</v>
      </c>
      <c r="BD44" s="28" t="n">
        <v>0</v>
      </c>
      <c r="BE44" s="28" t="n">
        <v>122966.3227455141</v>
      </c>
      <c r="BF44" s="28" t="n">
        <v>0</v>
      </c>
      <c r="BG44" s="28">
        <f>SUM(BC44:BF44)</f>
        <v/>
      </c>
      <c r="BH44" s="28">
        <f>BB44+BG44</f>
        <v/>
      </c>
    </row>
    <row r="45">
      <c r="A45" s="30" t="n">
        <v>32</v>
      </c>
      <c r="B45" s="31" t="inlineStr">
        <is>
          <t>Peças e acessórios para veículos automotores</t>
        </is>
      </c>
      <c r="C45" s="30" t="n">
        <v>17.86707455666668</v>
      </c>
      <c r="D45" s="30" t="n">
        <v>17.48028791847078</v>
      </c>
      <c r="E45" s="30" t="n">
        <v>136.8658614926438</v>
      </c>
      <c r="F45" s="30" t="n">
        <v>83.81375972392685</v>
      </c>
      <c r="G45" s="30" t="n">
        <v>51.65384774094872</v>
      </c>
      <c r="H45" s="30" t="n">
        <v>230.9495298509662</v>
      </c>
      <c r="I45" s="30" t="n">
        <v>3.281830676321053</v>
      </c>
      <c r="J45" s="30" t="n">
        <v>10.11992385027656</v>
      </c>
      <c r="K45" s="30" t="n">
        <v>12.12323800961403</v>
      </c>
      <c r="L45" s="30" t="n">
        <v>17.99483860545986</v>
      </c>
      <c r="M45" s="30" t="n">
        <v>13.32524751154257</v>
      </c>
      <c r="N45" s="30" t="n">
        <v>41.25916240793892</v>
      </c>
      <c r="O45" s="30" t="n">
        <v>36.00475602660997</v>
      </c>
      <c r="P45" s="30" t="n">
        <v>17.35517225987103</v>
      </c>
      <c r="Q45" s="30" t="n">
        <v>10.93664541710559</v>
      </c>
      <c r="R45" s="30" t="n">
        <v>62.11438887631832</v>
      </c>
      <c r="S45" s="30" t="n">
        <v>8.566259844285071</v>
      </c>
      <c r="T45" s="30" t="n">
        <v>21.74379555866641</v>
      </c>
      <c r="U45" s="30" t="n">
        <v>9.137220161980222</v>
      </c>
      <c r="V45" s="30" t="n">
        <v>26.25771671140626</v>
      </c>
      <c r="W45" s="30" t="n">
        <v>15.73674730799899</v>
      </c>
      <c r="X45" s="30" t="n">
        <v>9.069745362246488</v>
      </c>
      <c r="Y45" s="30" t="n">
        <v>131.3314158908391</v>
      </c>
      <c r="Z45" s="30" t="n">
        <v>122.7691003520618</v>
      </c>
      <c r="AA45" s="30" t="n">
        <v>238.1204639504277</v>
      </c>
      <c r="AB45" s="30" t="n">
        <v>95.87455636807258</v>
      </c>
      <c r="AC45" s="30" t="n">
        <v>176.3404546174157</v>
      </c>
      <c r="AD45" s="30" t="n">
        <v>913.6851372517469</v>
      </c>
      <c r="AE45" s="30" t="n">
        <v>295.7671240686012</v>
      </c>
      <c r="AF45" s="30" t="n">
        <v>242.4999839403041</v>
      </c>
      <c r="AG45" s="30" t="n">
        <v>39402.22222094941</v>
      </c>
      <c r="AH45" s="30" t="n">
        <v>11261.17776237724</v>
      </c>
      <c r="AI45" s="30" t="n">
        <v>152.8296502035467</v>
      </c>
      <c r="AJ45" s="30" t="n">
        <v>49.28219205588972</v>
      </c>
      <c r="AK45" s="30" t="n">
        <v>125.5809948937067</v>
      </c>
      <c r="AL45" s="30" t="n">
        <v>762.0659146562465</v>
      </c>
      <c r="AM45" s="30" t="n">
        <v>11543.27058184734</v>
      </c>
      <c r="AN45" s="30" t="n">
        <v>8972.385846004807</v>
      </c>
      <c r="AO45" s="30" t="n">
        <v>113.4620811820311</v>
      </c>
      <c r="AP45" s="30" t="n">
        <v>77.60151419990656</v>
      </c>
      <c r="AQ45" s="30" t="n">
        <v>21.93952015814017</v>
      </c>
      <c r="AR45" s="30" t="n">
        <v>5.79095502786747</v>
      </c>
      <c r="AS45" s="30" t="n">
        <v>40.62425116323317</v>
      </c>
      <c r="AT45" s="30" t="n">
        <v>316.1715497932838</v>
      </c>
      <c r="AU45" s="30" t="n">
        <v>20.4651194498031</v>
      </c>
      <c r="AV45" s="30" t="n">
        <v>260.7537960100651</v>
      </c>
      <c r="AW45" s="30" t="n">
        <v>77.40104150101399</v>
      </c>
      <c r="AX45" s="30" t="n">
        <v>0</v>
      </c>
      <c r="AY45" s="30" t="n">
        <v>256.7617068359408</v>
      </c>
      <c r="AZ45" s="30" t="n">
        <v>193.7960219234889</v>
      </c>
      <c r="BA45" s="30" t="n">
        <v>978.8657256746712</v>
      </c>
      <c r="BB45" s="30">
        <f>SUM(C45:BA45)</f>
        <v/>
      </c>
      <c r="BC45" s="30" t="n">
        <v>0</v>
      </c>
      <c r="BD45" s="30" t="n">
        <v>0</v>
      </c>
      <c r="BE45" s="30" t="n">
        <v>16272.19978107393</v>
      </c>
      <c r="BF45" s="30" t="n">
        <v>0</v>
      </c>
      <c r="BG45" s="30">
        <f>SUM(BC45:BF45)</f>
        <v/>
      </c>
      <c r="BH45" s="30">
        <f>BB45+BG45</f>
        <v/>
      </c>
    </row>
    <row r="46">
      <c r="A46" s="28" t="n">
        <v>33</v>
      </c>
      <c r="B46" s="29" t="inlineStr">
        <is>
          <t>Outros equipamentos de transporte</t>
        </is>
      </c>
      <c r="C46" s="28" t="n">
        <v>2.281807614316801</v>
      </c>
      <c r="D46" s="28" t="n">
        <v>1.367883441093158</v>
      </c>
      <c r="E46" s="28" t="n">
        <v>36.95628769591232</v>
      </c>
      <c r="F46" s="28" t="n">
        <v>16.45818482978974</v>
      </c>
      <c r="G46" s="28" t="n">
        <v>8.837793570737414</v>
      </c>
      <c r="H46" s="28" t="n">
        <v>45.96356779456191</v>
      </c>
      <c r="I46" s="28" t="n">
        <v>2.442749540221988</v>
      </c>
      <c r="J46" s="28" t="n">
        <v>2.414854052242987</v>
      </c>
      <c r="K46" s="28" t="n">
        <v>15.69029644957578</v>
      </c>
      <c r="L46" s="28" t="n">
        <v>4.812956840932816</v>
      </c>
      <c r="M46" s="28" t="n">
        <v>2.328107216023178</v>
      </c>
      <c r="N46" s="28" t="n">
        <v>9.770765647949867</v>
      </c>
      <c r="O46" s="28" t="n">
        <v>3.989643094611246</v>
      </c>
      <c r="P46" s="28" t="n">
        <v>7.443766853835298</v>
      </c>
      <c r="Q46" s="28" t="n">
        <v>2.320157493375857</v>
      </c>
      <c r="R46" s="28" t="n">
        <v>7.479398325425605</v>
      </c>
      <c r="S46" s="28" t="n">
        <v>2.12188211737364</v>
      </c>
      <c r="T46" s="28" t="n">
        <v>10.36912037742495</v>
      </c>
      <c r="U46" s="28" t="n">
        <v>4.148797764780745</v>
      </c>
      <c r="V46" s="28" t="n">
        <v>4.987847956761064</v>
      </c>
      <c r="W46" s="28" t="n">
        <v>3.401988471985467</v>
      </c>
      <c r="X46" s="28" t="n">
        <v>2.470238695484778</v>
      </c>
      <c r="Y46" s="28" t="n">
        <v>6.044695313710924</v>
      </c>
      <c r="Z46" s="28" t="n">
        <v>12.05046629333356</v>
      </c>
      <c r="AA46" s="28" t="n">
        <v>30.69887264754518</v>
      </c>
      <c r="AB46" s="28" t="n">
        <v>6.706884682227759</v>
      </c>
      <c r="AC46" s="28" t="n">
        <v>11.23991195109495</v>
      </c>
      <c r="AD46" s="28" t="n">
        <v>1425.415292528263</v>
      </c>
      <c r="AE46" s="28" t="n">
        <v>11.88821033607544</v>
      </c>
      <c r="AF46" s="28" t="n">
        <v>10.97032827085381</v>
      </c>
      <c r="AG46" s="28" t="n">
        <v>28.51609482131429</v>
      </c>
      <c r="AH46" s="28" t="n">
        <v>13.40676141240497</v>
      </c>
      <c r="AI46" s="28" t="n">
        <v>12838.95139223609</v>
      </c>
      <c r="AJ46" s="28" t="n">
        <v>19.44691295421179</v>
      </c>
      <c r="AK46" s="28" t="n">
        <v>22.55701433828426</v>
      </c>
      <c r="AL46" s="28" t="n">
        <v>63.86433436122689</v>
      </c>
      <c r="AM46" s="28" t="n">
        <v>213.6800456547385</v>
      </c>
      <c r="AN46" s="28" t="n">
        <v>1051.117579433419</v>
      </c>
      <c r="AO46" s="28" t="n">
        <v>57.22259904210899</v>
      </c>
      <c r="AP46" s="28" t="n">
        <v>53.81249361150591</v>
      </c>
      <c r="AQ46" s="28" t="n">
        <v>4.782274530905596</v>
      </c>
      <c r="AR46" s="28" t="n">
        <v>62.23201305096143</v>
      </c>
      <c r="AS46" s="28" t="n">
        <v>6.43417558203241</v>
      </c>
      <c r="AT46" s="28" t="n">
        <v>68.48422326547447</v>
      </c>
      <c r="AU46" s="28" t="n">
        <v>9.762782034449057</v>
      </c>
      <c r="AV46" s="28" t="n">
        <v>5.076643072604235</v>
      </c>
      <c r="AW46" s="28" t="n">
        <v>24.67688328915084</v>
      </c>
      <c r="AX46" s="28" t="n">
        <v>0</v>
      </c>
      <c r="AY46" s="28" t="n">
        <v>12.32287387105135</v>
      </c>
      <c r="AZ46" s="28" t="n">
        <v>13.23175355063703</v>
      </c>
      <c r="BA46" s="28" t="n">
        <v>271.398414866553</v>
      </c>
      <c r="BB46" s="28">
        <f>SUM(C46:BA46)</f>
        <v/>
      </c>
      <c r="BC46" s="28" t="n">
        <v>0</v>
      </c>
      <c r="BD46" s="28" t="n">
        <v>0</v>
      </c>
      <c r="BE46" s="28" t="n">
        <v>26546.77187605257</v>
      </c>
      <c r="BF46" s="28" t="n">
        <v>0</v>
      </c>
      <c r="BG46" s="28">
        <f>SUM(BC46:BF46)</f>
        <v/>
      </c>
      <c r="BH46" s="28">
        <f>BB46+BG46</f>
        <v/>
      </c>
    </row>
    <row r="47">
      <c r="A47" s="30" t="n">
        <v>34</v>
      </c>
      <c r="B47" s="31" t="inlineStr">
        <is>
          <t>Móveis e produtos das indústrias diversas</t>
        </is>
      </c>
      <c r="C47" s="30" t="n">
        <v>29.85044760059114</v>
      </c>
      <c r="D47" s="30" t="n">
        <v>16.07447728263987</v>
      </c>
      <c r="E47" s="30" t="n">
        <v>73.97504104423422</v>
      </c>
      <c r="F47" s="30" t="n">
        <v>48.72771002044695</v>
      </c>
      <c r="G47" s="30" t="n">
        <v>13.61061730899172</v>
      </c>
      <c r="H47" s="30" t="n">
        <v>217.5341265140501</v>
      </c>
      <c r="I47" s="30" t="n">
        <v>0.9210331863376618</v>
      </c>
      <c r="J47" s="30" t="n">
        <v>67.10778761139292</v>
      </c>
      <c r="K47" s="30" t="n">
        <v>2184.733728545172</v>
      </c>
      <c r="L47" s="30" t="n">
        <v>436.7052194922468</v>
      </c>
      <c r="M47" s="30" t="n">
        <v>33.39499048083745</v>
      </c>
      <c r="N47" s="30" t="n">
        <v>21.23310020333242</v>
      </c>
      <c r="O47" s="30" t="n">
        <v>13.67850550916848</v>
      </c>
      <c r="P47" s="30" t="n">
        <v>9.010705317411642</v>
      </c>
      <c r="Q47" s="30" t="n">
        <v>3.74663105386295</v>
      </c>
      <c r="R47" s="30" t="n">
        <v>97.57619705246915</v>
      </c>
      <c r="S47" s="30" t="n">
        <v>37.81305318708154</v>
      </c>
      <c r="T47" s="30" t="n">
        <v>24.2871656053152</v>
      </c>
      <c r="U47" s="30" t="n">
        <v>57.38874050755165</v>
      </c>
      <c r="V47" s="30" t="n">
        <v>23.87663168066677</v>
      </c>
      <c r="W47" s="30" t="n">
        <v>11.18250820870315</v>
      </c>
      <c r="X47" s="30" t="n">
        <v>5.024131694891008</v>
      </c>
      <c r="Y47" s="30" t="n">
        <v>161.0152913286733</v>
      </c>
      <c r="Z47" s="30" t="n">
        <v>199.5174854459618</v>
      </c>
      <c r="AA47" s="30" t="n">
        <v>49.86048476706841</v>
      </c>
      <c r="AB47" s="30" t="n">
        <v>5.820547158112596</v>
      </c>
      <c r="AC47" s="30" t="n">
        <v>62.93886386434397</v>
      </c>
      <c r="AD47" s="30" t="n">
        <v>1006.018347350877</v>
      </c>
      <c r="AE47" s="30" t="n">
        <v>52.65524158789319</v>
      </c>
      <c r="AF47" s="30" t="n">
        <v>38.52437596328217</v>
      </c>
      <c r="AG47" s="30" t="n">
        <v>532.9599704107462</v>
      </c>
      <c r="AH47" s="30" t="n">
        <v>735.6112188211534</v>
      </c>
      <c r="AI47" s="30" t="n">
        <v>106.6505379311585</v>
      </c>
      <c r="AJ47" s="30" t="n">
        <v>2656.685913074457</v>
      </c>
      <c r="AK47" s="30" t="n">
        <v>135.6132527075663</v>
      </c>
      <c r="AL47" s="30" t="n">
        <v>1298.015500734141</v>
      </c>
      <c r="AM47" s="30" t="n">
        <v>531.5855833784483</v>
      </c>
      <c r="AN47" s="30" t="n">
        <v>463.862594441864</v>
      </c>
      <c r="AO47" s="30" t="n">
        <v>180.4357558398924</v>
      </c>
      <c r="AP47" s="30" t="n">
        <v>275.717868544599</v>
      </c>
      <c r="AQ47" s="30" t="n">
        <v>137.339483964941</v>
      </c>
      <c r="AR47" s="30" t="n">
        <v>6.919465652534296</v>
      </c>
      <c r="AS47" s="30" t="n">
        <v>28.33027798638977</v>
      </c>
      <c r="AT47" s="30" t="n">
        <v>1766.636680534802</v>
      </c>
      <c r="AU47" s="30" t="n">
        <v>34.92649079762736</v>
      </c>
      <c r="AV47" s="30" t="n">
        <v>70.57068488045178</v>
      </c>
      <c r="AW47" s="30" t="n">
        <v>479.545320101044</v>
      </c>
      <c r="AX47" s="30" t="n">
        <v>0</v>
      </c>
      <c r="AY47" s="30" t="n">
        <v>188.3250809305364</v>
      </c>
      <c r="AZ47" s="30" t="n">
        <v>182.2469095867286</v>
      </c>
      <c r="BA47" s="30" t="n">
        <v>470.1868611089558</v>
      </c>
      <c r="BB47" s="30">
        <f>SUM(C47:BA47)</f>
        <v/>
      </c>
      <c r="BC47" s="30" t="n">
        <v>0</v>
      </c>
      <c r="BD47" s="30" t="n">
        <v>0</v>
      </c>
      <c r="BE47" s="30" t="n">
        <v>30330.21730801477</v>
      </c>
      <c r="BF47" s="30" t="n">
        <v>0</v>
      </c>
      <c r="BG47" s="30">
        <f>SUM(BC47:BF47)</f>
        <v/>
      </c>
      <c r="BH47" s="30">
        <f>BB47+BG47</f>
        <v/>
      </c>
    </row>
    <row r="48">
      <c r="A48" s="28" t="n">
        <v>35</v>
      </c>
      <c r="B48" s="29" t="inlineStr">
        <is>
          <t>Produção e distribuição de eletricidade gás água esgoto e limpeza urbana</t>
        </is>
      </c>
      <c r="C48" s="28" t="n">
        <v>4414.241782339781</v>
      </c>
      <c r="D48" s="28" t="n">
        <v>2927.625306303709</v>
      </c>
      <c r="E48" s="28" t="n">
        <v>196.9685584252813</v>
      </c>
      <c r="F48" s="28" t="n">
        <v>792.0005243093424</v>
      </c>
      <c r="G48" s="28" t="n">
        <v>796.3182538891115</v>
      </c>
      <c r="H48" s="28" t="n">
        <v>3522.077024307793</v>
      </c>
      <c r="I48" s="28" t="n">
        <v>56.57851631578647</v>
      </c>
      <c r="J48" s="28" t="n">
        <v>1414.972152366938</v>
      </c>
      <c r="K48" s="28" t="n">
        <v>178.1143498091639</v>
      </c>
      <c r="L48" s="28" t="n">
        <v>226.0179282517967</v>
      </c>
      <c r="M48" s="28" t="n">
        <v>604.2217673235375</v>
      </c>
      <c r="N48" s="28" t="n">
        <v>1770.334994335567</v>
      </c>
      <c r="O48" s="28" t="n">
        <v>128.2179717918038</v>
      </c>
      <c r="P48" s="28" t="n">
        <v>225.3897877929261</v>
      </c>
      <c r="Q48" s="28" t="n">
        <v>105.983196954781</v>
      </c>
      <c r="R48" s="28" t="n">
        <v>2088.065825753186</v>
      </c>
      <c r="S48" s="28" t="n">
        <v>1138.564843354869</v>
      </c>
      <c r="T48" s="28" t="n">
        <v>209.0658314615254</v>
      </c>
      <c r="U48" s="28" t="n">
        <v>195.2348751016091</v>
      </c>
      <c r="V48" s="28" t="n">
        <v>209.386319846853</v>
      </c>
      <c r="W48" s="28" t="n">
        <v>109.458342079057</v>
      </c>
      <c r="X48" s="28" t="n">
        <v>339.2765611489322</v>
      </c>
      <c r="Y48" s="28" t="n">
        <v>1719.910812433492</v>
      </c>
      <c r="Z48" s="28" t="n">
        <v>3051.26871953795</v>
      </c>
      <c r="AA48" s="28" t="n">
        <v>6699.522958960994</v>
      </c>
      <c r="AB48" s="28" t="n">
        <v>2920.807692306716</v>
      </c>
      <c r="AC48" s="28" t="n">
        <v>853.368619461166</v>
      </c>
      <c r="AD48" s="28" t="n">
        <v>664.1126814612085</v>
      </c>
      <c r="AE48" s="28" t="n">
        <v>520.6739394483895</v>
      </c>
      <c r="AF48" s="28" t="n">
        <v>192.665965456058</v>
      </c>
      <c r="AG48" s="28" t="n">
        <v>496.8259140433765</v>
      </c>
      <c r="AH48" s="28" t="n">
        <v>1283.840950647062</v>
      </c>
      <c r="AI48" s="28" t="n">
        <v>292.6391184648713</v>
      </c>
      <c r="AJ48" s="28" t="n">
        <v>253.1540104711227</v>
      </c>
      <c r="AK48" s="28" t="n">
        <v>39405.45952639443</v>
      </c>
      <c r="AL48" s="28" t="n">
        <v>570.0184976147883</v>
      </c>
      <c r="AM48" s="28" t="n">
        <v>11749.05474311165</v>
      </c>
      <c r="AN48" s="28" t="n">
        <v>2151.292329355389</v>
      </c>
      <c r="AO48" s="28" t="n">
        <v>2188.947689701324</v>
      </c>
      <c r="AP48" s="28" t="n">
        <v>1547.470821466617</v>
      </c>
      <c r="AQ48" s="28" t="n">
        <v>396.307144573255</v>
      </c>
      <c r="AR48" s="28" t="n">
        <v>138.1205004677824</v>
      </c>
      <c r="AS48" s="28" t="n">
        <v>2154.137312636431</v>
      </c>
      <c r="AT48" s="28" t="n">
        <v>1805.151151563444</v>
      </c>
      <c r="AU48" s="28" t="n">
        <v>1410.894957418649</v>
      </c>
      <c r="AV48" s="28" t="n">
        <v>1893.410164029304</v>
      </c>
      <c r="AW48" s="28" t="n">
        <v>8865.288998549342</v>
      </c>
      <c r="AX48" s="28" t="n">
        <v>0</v>
      </c>
      <c r="AY48" s="28" t="n">
        <v>1929.688522224528</v>
      </c>
      <c r="AZ48" s="28" t="n">
        <v>1405.701403862706</v>
      </c>
      <c r="BA48" s="28" t="n">
        <v>8797.239952914595</v>
      </c>
      <c r="BB48" s="28">
        <f>SUM(C48:BA48)</f>
        <v/>
      </c>
      <c r="BC48" s="28" t="n">
        <v>0</v>
      </c>
      <c r="BD48" s="28" t="n">
        <v>0</v>
      </c>
      <c r="BE48" s="28" t="n">
        <v>56963.1412768308</v>
      </c>
      <c r="BF48" s="28" t="n">
        <v>0</v>
      </c>
      <c r="BG48" s="28">
        <f>SUM(BC48:BF48)</f>
        <v/>
      </c>
      <c r="BH48" s="28">
        <f>BB48+BG48</f>
        <v/>
      </c>
    </row>
    <row r="49">
      <c r="A49" s="30" t="n">
        <v>36</v>
      </c>
      <c r="B49" s="31" t="inlineStr">
        <is>
          <t>Construção civil</t>
        </is>
      </c>
      <c r="C49" s="30" t="n">
        <v>43.85905879189325</v>
      </c>
      <c r="D49" s="30" t="n">
        <v>102.6815974822253</v>
      </c>
      <c r="E49" s="30" t="n">
        <v>1617.959312575335</v>
      </c>
      <c r="F49" s="30" t="n">
        <v>836.7850516820437</v>
      </c>
      <c r="G49" s="30" t="n">
        <v>189.1890065533167</v>
      </c>
      <c r="H49" s="30" t="n">
        <v>32.73439225590801</v>
      </c>
      <c r="I49" s="30" t="n">
        <v>1.357151910121956</v>
      </c>
      <c r="J49" s="30" t="n">
        <v>27.01564785727027</v>
      </c>
      <c r="K49" s="30" t="n">
        <v>4.933622001719455</v>
      </c>
      <c r="L49" s="30" t="n">
        <v>1.882710659893724</v>
      </c>
      <c r="M49" s="30" t="n">
        <v>0.5409676512820064</v>
      </c>
      <c r="N49" s="30" t="n">
        <v>15.8993209238691</v>
      </c>
      <c r="O49" s="30" t="n">
        <v>14.12427901135867</v>
      </c>
      <c r="P49" s="30" t="n">
        <v>14.04763452019814</v>
      </c>
      <c r="Q49" s="30" t="n">
        <v>18.65243313033682</v>
      </c>
      <c r="R49" s="30" t="n">
        <v>47.46406923709011</v>
      </c>
      <c r="S49" s="30" t="n">
        <v>0.7836078274139949</v>
      </c>
      <c r="T49" s="30" t="n">
        <v>5.733469058591544</v>
      </c>
      <c r="U49" s="30" t="n">
        <v>2.647991281436155</v>
      </c>
      <c r="V49" s="30" t="n">
        <v>3.061663733318149</v>
      </c>
      <c r="W49" s="30" t="n">
        <v>1.893990390257652</v>
      </c>
      <c r="X49" s="30" t="n">
        <v>1.078704758086585</v>
      </c>
      <c r="Y49" s="30" t="n">
        <v>5.509379105431961</v>
      </c>
      <c r="Z49" s="30" t="n">
        <v>20.58282632568561</v>
      </c>
      <c r="AA49" s="30" t="n">
        <v>114.4427307994528</v>
      </c>
      <c r="AB49" s="30" t="n">
        <v>795.4655226977214</v>
      </c>
      <c r="AC49" s="30" t="n">
        <v>33.84514404900227</v>
      </c>
      <c r="AD49" s="30" t="n">
        <v>65.41794543716308</v>
      </c>
      <c r="AE49" s="30" t="n">
        <v>13.1253623997386</v>
      </c>
      <c r="AF49" s="30" t="n">
        <v>56.51790505256118</v>
      </c>
      <c r="AG49" s="30" t="n">
        <v>194.9885811348903</v>
      </c>
      <c r="AH49" s="30" t="n">
        <v>26.63566591115253</v>
      </c>
      <c r="AI49" s="30" t="n">
        <v>203.6579756791373</v>
      </c>
      <c r="AJ49" s="30" t="n">
        <v>11.9588158347773</v>
      </c>
      <c r="AK49" s="30" t="n">
        <v>3188.283435729304</v>
      </c>
      <c r="AL49" s="30" t="n">
        <v>34480.59510536528</v>
      </c>
      <c r="AM49" s="30" t="n">
        <v>998.054316625381</v>
      </c>
      <c r="AN49" s="30" t="n">
        <v>1006.008034434449</v>
      </c>
      <c r="AO49" s="30" t="n">
        <v>3657.450091156456</v>
      </c>
      <c r="AP49" s="30" t="n">
        <v>848.0542217294592</v>
      </c>
      <c r="AQ49" s="30" t="n">
        <v>925.3704973075662</v>
      </c>
      <c r="AR49" s="30" t="n">
        <v>3.323116418672391</v>
      </c>
      <c r="AS49" s="30" t="n">
        <v>358.3766263634856</v>
      </c>
      <c r="AT49" s="30" t="n">
        <v>781.2426760139531</v>
      </c>
      <c r="AU49" s="30" t="n">
        <v>266.2498694662609</v>
      </c>
      <c r="AV49" s="30" t="n">
        <v>16.79376576721342</v>
      </c>
      <c r="AW49" s="30" t="n">
        <v>1734.157113292712</v>
      </c>
      <c r="AX49" s="30" t="n">
        <v>0</v>
      </c>
      <c r="AY49" s="30" t="n">
        <v>606.914422469149</v>
      </c>
      <c r="AZ49" s="30" t="n">
        <v>1489.259623495377</v>
      </c>
      <c r="BA49" s="30" t="n">
        <v>6876.565262727467</v>
      </c>
      <c r="BB49" s="30">
        <f>SUM(C49:BA49)</f>
        <v/>
      </c>
      <c r="BC49" s="30" t="n">
        <v>0</v>
      </c>
      <c r="BD49" s="30" t="n">
        <v>0</v>
      </c>
      <c r="BE49" s="30" t="n">
        <v>251797.0993005464</v>
      </c>
      <c r="BF49" s="30" t="n">
        <v>0</v>
      </c>
      <c r="BG49" s="30">
        <f>SUM(BC49:BF49)</f>
        <v/>
      </c>
      <c r="BH49" s="30">
        <f>BB49+BG49</f>
        <v/>
      </c>
    </row>
    <row r="50">
      <c r="A50" s="28" t="n">
        <v>37</v>
      </c>
      <c r="B50" s="29" t="inlineStr">
        <is>
          <t>Comércio</t>
        </is>
      </c>
      <c r="C50" s="28" t="n">
        <v>592.6365643028015</v>
      </c>
      <c r="D50" s="28" t="n">
        <v>658.7528910805414</v>
      </c>
      <c r="E50" s="28" t="n">
        <v>708.7641418378157</v>
      </c>
      <c r="F50" s="28" t="n">
        <v>702.0096947184634</v>
      </c>
      <c r="G50" s="28" t="n">
        <v>236.5481101836468</v>
      </c>
      <c r="H50" s="28" t="n">
        <v>8940.474184150542</v>
      </c>
      <c r="I50" s="28" t="n">
        <v>171.2544307085547</v>
      </c>
      <c r="J50" s="28" t="n">
        <v>648.5071057014234</v>
      </c>
      <c r="K50" s="28" t="n">
        <v>581.1568540349172</v>
      </c>
      <c r="L50" s="28" t="n">
        <v>610.8370154503132</v>
      </c>
      <c r="M50" s="28" t="n">
        <v>166.5118072307606</v>
      </c>
      <c r="N50" s="28" t="n">
        <v>1121.084559530901</v>
      </c>
      <c r="O50" s="28" t="n">
        <v>98.48088380704104</v>
      </c>
      <c r="P50" s="28" t="n">
        <v>1197.377182713115</v>
      </c>
      <c r="Q50" s="28" t="n">
        <v>436.6849113571259</v>
      </c>
      <c r="R50" s="28" t="n">
        <v>2518.230338482858</v>
      </c>
      <c r="S50" s="28" t="n">
        <v>335.0648198439258</v>
      </c>
      <c r="T50" s="28" t="n">
        <v>967.204736479071</v>
      </c>
      <c r="U50" s="28" t="n">
        <v>296.8142954943028</v>
      </c>
      <c r="V50" s="28" t="n">
        <v>174.0318929188919</v>
      </c>
      <c r="W50" s="28" t="n">
        <v>249.4689070500367</v>
      </c>
      <c r="X50" s="28" t="n">
        <v>434.336943941795</v>
      </c>
      <c r="Y50" s="28" t="n">
        <v>1229.874857574027</v>
      </c>
      <c r="Z50" s="28" t="n">
        <v>1391.147897531502</v>
      </c>
      <c r="AA50" s="28" t="n">
        <v>1859.481395857237</v>
      </c>
      <c r="AB50" s="28" t="n">
        <v>421.1751298533602</v>
      </c>
      <c r="AC50" s="28" t="n">
        <v>903.7212114438207</v>
      </c>
      <c r="AD50" s="28" t="n">
        <v>4081.93787273857</v>
      </c>
      <c r="AE50" s="28" t="n">
        <v>973.656683566126</v>
      </c>
      <c r="AF50" s="28" t="n">
        <v>1116.401923467203</v>
      </c>
      <c r="AG50" s="28" t="n">
        <v>746.1470822664885</v>
      </c>
      <c r="AH50" s="28" t="n">
        <v>254.2439267579727</v>
      </c>
      <c r="AI50" s="28" t="n">
        <v>197.3934220277765</v>
      </c>
      <c r="AJ50" s="28" t="n">
        <v>355.995245710518</v>
      </c>
      <c r="AK50" s="28" t="n">
        <v>879.3753510967531</v>
      </c>
      <c r="AL50" s="28" t="n">
        <v>2244.784567906191</v>
      </c>
      <c r="AM50" s="28" t="n">
        <v>6391.159372078371</v>
      </c>
      <c r="AN50" s="28" t="n">
        <v>6023.375868511976</v>
      </c>
      <c r="AO50" s="28" t="n">
        <v>4784.411516525648</v>
      </c>
      <c r="AP50" s="28" t="n">
        <v>699.5988524101176</v>
      </c>
      <c r="AQ50" s="28" t="n">
        <v>94.33817424255739</v>
      </c>
      <c r="AR50" s="28" t="n">
        <v>48.86099580076357</v>
      </c>
      <c r="AS50" s="28" t="n">
        <v>1116.332818821642</v>
      </c>
      <c r="AT50" s="28" t="n">
        <v>1893.64978813326</v>
      </c>
      <c r="AU50" s="28" t="n">
        <v>211.2022307123285</v>
      </c>
      <c r="AV50" s="28" t="n">
        <v>1220.532709231798</v>
      </c>
      <c r="AW50" s="28" t="n">
        <v>545.6020564796493</v>
      </c>
      <c r="AX50" s="28" t="n">
        <v>0</v>
      </c>
      <c r="AY50" s="28" t="n">
        <v>454.4196929017029</v>
      </c>
      <c r="AZ50" s="28" t="n">
        <v>907.6003720860072</v>
      </c>
      <c r="BA50" s="28" t="n">
        <v>1747.370371466388</v>
      </c>
      <c r="BB50" s="28">
        <f>SUM(C50:BA50)</f>
        <v/>
      </c>
      <c r="BC50" s="28" t="n">
        <v>0</v>
      </c>
      <c r="BD50" s="28" t="n">
        <v>0</v>
      </c>
      <c r="BE50" s="28" t="n">
        <v>244680.7297990018</v>
      </c>
      <c r="BF50" s="28" t="n">
        <v>0</v>
      </c>
      <c r="BG50" s="28">
        <f>SUM(BC50:BF50)</f>
        <v/>
      </c>
      <c r="BH50" s="28">
        <f>BB50+BG50</f>
        <v/>
      </c>
    </row>
    <row r="51">
      <c r="A51" s="30" t="n">
        <v>38</v>
      </c>
      <c r="B51" s="31" t="inlineStr">
        <is>
          <t>Transporte armazenagem e correio</t>
        </is>
      </c>
      <c r="C51" s="30" t="n">
        <v>2928.700383599638</v>
      </c>
      <c r="D51" s="30" t="n">
        <v>531.9546068336183</v>
      </c>
      <c r="E51" s="30" t="n">
        <v>7375.070727737755</v>
      </c>
      <c r="F51" s="30" t="n">
        <v>2993.437829777472</v>
      </c>
      <c r="G51" s="30" t="n">
        <v>1230.143814535549</v>
      </c>
      <c r="H51" s="30" t="n">
        <v>19603.95395127036</v>
      </c>
      <c r="I51" s="30" t="n">
        <v>197.128764914962</v>
      </c>
      <c r="J51" s="30" t="n">
        <v>945.4745082866432</v>
      </c>
      <c r="K51" s="30" t="n">
        <v>528.6087342418871</v>
      </c>
      <c r="L51" s="30" t="n">
        <v>685.0352839159586</v>
      </c>
      <c r="M51" s="30" t="n">
        <v>805.610642329925</v>
      </c>
      <c r="N51" s="30" t="n">
        <v>2768.221696224963</v>
      </c>
      <c r="O51" s="30" t="n">
        <v>379.5364863748094</v>
      </c>
      <c r="P51" s="30" t="n">
        <v>1668.12360767401</v>
      </c>
      <c r="Q51" s="30" t="n">
        <v>814.3851706209867</v>
      </c>
      <c r="R51" s="30" t="n">
        <v>2806.980987771029</v>
      </c>
      <c r="S51" s="30" t="n">
        <v>764.3888602398379</v>
      </c>
      <c r="T51" s="30" t="n">
        <v>1750.596133468111</v>
      </c>
      <c r="U51" s="30" t="n">
        <v>789.2107536550925</v>
      </c>
      <c r="V51" s="30" t="n">
        <v>967.8600632726327</v>
      </c>
      <c r="W51" s="30" t="n">
        <v>532.9539707951263</v>
      </c>
      <c r="X51" s="30" t="n">
        <v>519.3588771503498</v>
      </c>
      <c r="Y51" s="30" t="n">
        <v>1621.93460541683</v>
      </c>
      <c r="Z51" s="30" t="n">
        <v>1844.214577427108</v>
      </c>
      <c r="AA51" s="30" t="n">
        <v>5249.018281014885</v>
      </c>
      <c r="AB51" s="30" t="n">
        <v>418.9344683846487</v>
      </c>
      <c r="AC51" s="30" t="n">
        <v>1766.040196926699</v>
      </c>
      <c r="AD51" s="30" t="n">
        <v>2046.790283660868</v>
      </c>
      <c r="AE51" s="30" t="n">
        <v>1641.445435686304</v>
      </c>
      <c r="AF51" s="30" t="n">
        <v>2097.234237593116</v>
      </c>
      <c r="AG51" s="30" t="n">
        <v>5379.711087531739</v>
      </c>
      <c r="AH51" s="30" t="n">
        <v>1797.174843046293</v>
      </c>
      <c r="AI51" s="30" t="n">
        <v>828.2339248354637</v>
      </c>
      <c r="AJ51" s="30" t="n">
        <v>758.5138498771663</v>
      </c>
      <c r="AK51" s="30" t="n">
        <v>1932.113915517096</v>
      </c>
      <c r="AL51" s="30" t="n">
        <v>2602.845144335122</v>
      </c>
      <c r="AM51" s="30" t="n">
        <v>23674.72352225976</v>
      </c>
      <c r="AN51" s="30" t="n">
        <v>32090.11826844509</v>
      </c>
      <c r="AO51" s="30" t="n">
        <v>2555.004469904066</v>
      </c>
      <c r="AP51" s="30" t="n">
        <v>5098.084869219373</v>
      </c>
      <c r="AQ51" s="30" t="n">
        <v>245.3815994924778</v>
      </c>
      <c r="AR51" s="30" t="n">
        <v>73.73903550913859</v>
      </c>
      <c r="AS51" s="30" t="n">
        <v>697.4636654091237</v>
      </c>
      <c r="AT51" s="30" t="n">
        <v>4161.499479574383</v>
      </c>
      <c r="AU51" s="30" t="n">
        <v>1935.417226732117</v>
      </c>
      <c r="AV51" s="30" t="n">
        <v>222.3883020911391</v>
      </c>
      <c r="AW51" s="30" t="n">
        <v>9727.169170298106</v>
      </c>
      <c r="AX51" s="30" t="n">
        <v>0</v>
      </c>
      <c r="AY51" s="30" t="n">
        <v>1091.965106573215</v>
      </c>
      <c r="AZ51" s="30" t="n">
        <v>765.9259647451204</v>
      </c>
      <c r="BA51" s="30" t="n">
        <v>4610.408897050455</v>
      </c>
      <c r="BB51" s="30">
        <f>SUM(C51:BA51)</f>
        <v/>
      </c>
      <c r="BC51" s="30" t="n">
        <v>0</v>
      </c>
      <c r="BD51" s="30" t="n">
        <v>0</v>
      </c>
      <c r="BE51" s="30" t="n">
        <v>69936.52161343339</v>
      </c>
      <c r="BF51" s="30" t="n">
        <v>0</v>
      </c>
      <c r="BG51" s="30">
        <f>SUM(BC51:BF51)</f>
        <v/>
      </c>
      <c r="BH51" s="30">
        <f>BB51+BG51</f>
        <v/>
      </c>
    </row>
    <row r="52">
      <c r="A52" s="28" t="n">
        <v>39</v>
      </c>
      <c r="B52" s="29" t="inlineStr">
        <is>
          <t>Serviços de informação</t>
        </is>
      </c>
      <c r="C52" s="28" t="n">
        <v>27.76159962099648</v>
      </c>
      <c r="D52" s="28" t="n">
        <v>12.01118482676239</v>
      </c>
      <c r="E52" s="28" t="n">
        <v>531.831745106084</v>
      </c>
      <c r="F52" s="28" t="n">
        <v>211.4334884516876</v>
      </c>
      <c r="G52" s="28" t="n">
        <v>82.55048407084354</v>
      </c>
      <c r="H52" s="28" t="n">
        <v>3144.259088192813</v>
      </c>
      <c r="I52" s="28" t="n">
        <v>59.78350188278962</v>
      </c>
      <c r="J52" s="28" t="n">
        <v>357.8668894607401</v>
      </c>
      <c r="K52" s="28" t="n">
        <v>642.2470304992963</v>
      </c>
      <c r="L52" s="28" t="n">
        <v>195.3001668507474</v>
      </c>
      <c r="M52" s="28" t="n">
        <v>92.0585909765999</v>
      </c>
      <c r="N52" s="28" t="n">
        <v>452.8205967308936</v>
      </c>
      <c r="O52" s="28" t="n">
        <v>563.5280704482116</v>
      </c>
      <c r="P52" s="28" t="n">
        <v>227.1547771727667</v>
      </c>
      <c r="Q52" s="28" t="n">
        <v>111.5400754907931</v>
      </c>
      <c r="R52" s="28" t="n">
        <v>471.4248287883684</v>
      </c>
      <c r="S52" s="28" t="n">
        <v>113.1802368420338</v>
      </c>
      <c r="T52" s="28" t="n">
        <v>457.7629957528612</v>
      </c>
      <c r="U52" s="28" t="n">
        <v>231.4377387945258</v>
      </c>
      <c r="V52" s="28" t="n">
        <v>48.40227538785599</v>
      </c>
      <c r="W52" s="28" t="n">
        <v>139.5996448977091</v>
      </c>
      <c r="X52" s="28" t="n">
        <v>100.3509705061677</v>
      </c>
      <c r="Y52" s="28" t="n">
        <v>434.5201998827775</v>
      </c>
      <c r="Z52" s="28" t="n">
        <v>501.6047193823321</v>
      </c>
      <c r="AA52" s="28" t="n">
        <v>420.924496878613</v>
      </c>
      <c r="AB52" s="28" t="n">
        <v>86.83175139023253</v>
      </c>
      <c r="AC52" s="28" t="n">
        <v>438.9606402923595</v>
      </c>
      <c r="AD52" s="28" t="n">
        <v>831.5489954886316</v>
      </c>
      <c r="AE52" s="28" t="n">
        <v>794.4773819315626</v>
      </c>
      <c r="AF52" s="28" t="n">
        <v>1076.833410568053</v>
      </c>
      <c r="AG52" s="28" t="n">
        <v>2413.570238571286</v>
      </c>
      <c r="AH52" s="28" t="n">
        <v>1641.865083011917</v>
      </c>
      <c r="AI52" s="28" t="n">
        <v>286.4986503120604</v>
      </c>
      <c r="AJ52" s="28" t="n">
        <v>387.1282540215569</v>
      </c>
      <c r="AK52" s="28" t="n">
        <v>1280.305854468028</v>
      </c>
      <c r="AL52" s="28" t="n">
        <v>1548.410278635912</v>
      </c>
      <c r="AM52" s="28" t="n">
        <v>10769.27299074316</v>
      </c>
      <c r="AN52" s="28" t="n">
        <v>3382.316540802281</v>
      </c>
      <c r="AO52" s="28" t="n">
        <v>39145.10734538364</v>
      </c>
      <c r="AP52" s="28" t="n">
        <v>16809.20580765437</v>
      </c>
      <c r="AQ52" s="28" t="n">
        <v>718.4343236125113</v>
      </c>
      <c r="AR52" s="28" t="n">
        <v>212.5089513853785</v>
      </c>
      <c r="AS52" s="28" t="n">
        <v>814.8278387635121</v>
      </c>
      <c r="AT52" s="28" t="n">
        <v>32274.91839280963</v>
      </c>
      <c r="AU52" s="28" t="n">
        <v>2771.197274049305</v>
      </c>
      <c r="AV52" s="28" t="n">
        <v>1078.08354574755</v>
      </c>
      <c r="AW52" s="28" t="n">
        <v>3772.016207026745</v>
      </c>
      <c r="AX52" s="28" t="n">
        <v>0</v>
      </c>
      <c r="AY52" s="28" t="n">
        <v>3228.890551665505</v>
      </c>
      <c r="AZ52" s="28" t="n">
        <v>1456.131264002464</v>
      </c>
      <c r="BA52" s="28" t="n">
        <v>10293.39665419694</v>
      </c>
      <c r="BB52" s="28">
        <f>SUM(C52:BA52)</f>
        <v/>
      </c>
      <c r="BC52" s="28" t="n">
        <v>0</v>
      </c>
      <c r="BD52" s="28" t="n">
        <v>0</v>
      </c>
      <c r="BE52" s="28" t="n">
        <v>105308.4202522428</v>
      </c>
      <c r="BF52" s="28" t="n">
        <v>0</v>
      </c>
      <c r="BG52" s="28">
        <f>SUM(BC52:BF52)</f>
        <v/>
      </c>
      <c r="BH52" s="28">
        <f>BB52+BG52</f>
        <v/>
      </c>
    </row>
    <row r="53">
      <c r="A53" s="30" t="n">
        <v>40</v>
      </c>
      <c r="B53" s="31" t="inlineStr">
        <is>
          <t>Intermediação financeira seguros e previdência complementar e serviços relacionados</t>
        </is>
      </c>
      <c r="C53" s="30" t="n">
        <v>2760.052897560382</v>
      </c>
      <c r="D53" s="30" t="n">
        <v>1247.640599876876</v>
      </c>
      <c r="E53" s="30" t="n">
        <v>2252.47125862019</v>
      </c>
      <c r="F53" s="30" t="n">
        <v>1412.716193864346</v>
      </c>
      <c r="G53" s="30" t="n">
        <v>719.9158494260951</v>
      </c>
      <c r="H53" s="30" t="n">
        <v>8315.687809624642</v>
      </c>
      <c r="I53" s="30" t="n">
        <v>344.1031181166966</v>
      </c>
      <c r="J53" s="30" t="n">
        <v>824.4049549809613</v>
      </c>
      <c r="K53" s="30" t="n">
        <v>776.0660149775714</v>
      </c>
      <c r="L53" s="30" t="n">
        <v>570.0238502867282</v>
      </c>
      <c r="M53" s="30" t="n">
        <v>385.7707064432685</v>
      </c>
      <c r="N53" s="30" t="n">
        <v>1446.495245669844</v>
      </c>
      <c r="O53" s="30" t="n">
        <v>315.2274624365996</v>
      </c>
      <c r="P53" s="30" t="n">
        <v>1641.214360730836</v>
      </c>
      <c r="Q53" s="30" t="n">
        <v>615.4195932132754</v>
      </c>
      <c r="R53" s="30" t="n">
        <v>1475.848646563923</v>
      </c>
      <c r="S53" s="30" t="n">
        <v>614.5121073779189</v>
      </c>
      <c r="T53" s="30" t="n">
        <v>601.1442818894018</v>
      </c>
      <c r="U53" s="30" t="n">
        <v>367.5427898517769</v>
      </c>
      <c r="V53" s="30" t="n">
        <v>505.1147426286408</v>
      </c>
      <c r="W53" s="30" t="n">
        <v>247.5127743212946</v>
      </c>
      <c r="X53" s="30" t="n">
        <v>337.4217446101698</v>
      </c>
      <c r="Y53" s="30" t="n">
        <v>1310.633063997218</v>
      </c>
      <c r="Z53" s="30" t="n">
        <v>1391.47516678642</v>
      </c>
      <c r="AA53" s="30" t="n">
        <v>2642.234542728297</v>
      </c>
      <c r="AB53" s="30" t="n">
        <v>809.6310511949608</v>
      </c>
      <c r="AC53" s="30" t="n">
        <v>1250.703532632718</v>
      </c>
      <c r="AD53" s="30" t="n">
        <v>2174.204761968231</v>
      </c>
      <c r="AE53" s="30" t="n">
        <v>1241.375093321019</v>
      </c>
      <c r="AF53" s="30" t="n">
        <v>1355.377653294956</v>
      </c>
      <c r="AG53" s="30" t="n">
        <v>2612.227915661992</v>
      </c>
      <c r="AH53" s="30" t="n">
        <v>1189.720774101003</v>
      </c>
      <c r="AI53" s="30" t="n">
        <v>707.4741936988689</v>
      </c>
      <c r="AJ53" s="30" t="n">
        <v>606.0363144012449</v>
      </c>
      <c r="AK53" s="30" t="n">
        <v>4111.839400941093</v>
      </c>
      <c r="AL53" s="30" t="n">
        <v>5892.65874450801</v>
      </c>
      <c r="AM53" s="30" t="n">
        <v>14938.99004777643</v>
      </c>
      <c r="AN53" s="30" t="n">
        <v>7788.738454076861</v>
      </c>
      <c r="AO53" s="30" t="n">
        <v>6229.621763798678</v>
      </c>
      <c r="AP53" s="30" t="n">
        <v>35331.52246062418</v>
      </c>
      <c r="AQ53" s="30" t="n">
        <v>16037.32684061321</v>
      </c>
      <c r="AR53" s="30" t="n">
        <v>243.5412006826422</v>
      </c>
      <c r="AS53" s="30" t="n">
        <v>1884.832036334369</v>
      </c>
      <c r="AT53" s="30" t="n">
        <v>6174.815039357931</v>
      </c>
      <c r="AU53" s="30" t="n">
        <v>837.2332599639263</v>
      </c>
      <c r="AV53" s="30" t="n">
        <v>2722.191653929876</v>
      </c>
      <c r="AW53" s="30" t="n">
        <v>3350.895236849764</v>
      </c>
      <c r="AX53" s="30" t="n">
        <v>0</v>
      </c>
      <c r="AY53" s="30" t="n">
        <v>175.1239740992895</v>
      </c>
      <c r="AZ53" s="30" t="n">
        <v>196.6692515453969</v>
      </c>
      <c r="BA53" s="30" t="n">
        <v>32423.41833817296</v>
      </c>
      <c r="BB53" s="30">
        <f>SUM(C53:BA53)</f>
        <v/>
      </c>
      <c r="BC53" s="30" t="n">
        <v>0</v>
      </c>
      <c r="BD53" s="30" t="n">
        <v>0</v>
      </c>
      <c r="BE53" s="30" t="n">
        <v>108804.7354657252</v>
      </c>
      <c r="BF53" s="30" t="n">
        <v>0</v>
      </c>
      <c r="BG53" s="30">
        <f>SUM(BC53:BF53)</f>
        <v/>
      </c>
      <c r="BH53" s="30">
        <f>BB53+BG53</f>
        <v/>
      </c>
    </row>
    <row r="54">
      <c r="A54" s="28" t="n">
        <v>41</v>
      </c>
      <c r="B54" s="29" t="inlineStr">
        <is>
          <t>Atividades imobiliárias e aluguéis</t>
        </is>
      </c>
      <c r="C54" s="28" t="n">
        <v>6.898923037381733</v>
      </c>
      <c r="D54" s="28" t="n">
        <v>1.938313382319381</v>
      </c>
      <c r="E54" s="28" t="n">
        <v>110.4512214861877</v>
      </c>
      <c r="F54" s="28" t="n">
        <v>14.13214524132316</v>
      </c>
      <c r="G54" s="28" t="n">
        <v>21.44762526840458</v>
      </c>
      <c r="H54" s="28" t="n">
        <v>518.9759486213218</v>
      </c>
      <c r="I54" s="28" t="n">
        <v>18.2951789247888</v>
      </c>
      <c r="J54" s="28" t="n">
        <v>187.2610309428114</v>
      </c>
      <c r="K54" s="28" t="n">
        <v>203.5863293242088</v>
      </c>
      <c r="L54" s="28" t="n">
        <v>52.19242041746749</v>
      </c>
      <c r="M54" s="28" t="n">
        <v>15.08579738248949</v>
      </c>
      <c r="N54" s="28" t="n">
        <v>68.62799182331759</v>
      </c>
      <c r="O54" s="28" t="n">
        <v>29.99636109325263</v>
      </c>
      <c r="P54" s="28" t="n">
        <v>65.79005336862764</v>
      </c>
      <c r="Q54" s="28" t="n">
        <v>67.58911031805508</v>
      </c>
      <c r="R54" s="28" t="n">
        <v>55.000385610942</v>
      </c>
      <c r="S54" s="28" t="n">
        <v>15.78973783642197</v>
      </c>
      <c r="T54" s="28" t="n">
        <v>99.22423883892738</v>
      </c>
      <c r="U54" s="28" t="n">
        <v>18.86000224017074</v>
      </c>
      <c r="V54" s="28" t="n">
        <v>69.32088088372033</v>
      </c>
      <c r="W54" s="28" t="n">
        <v>11.46581233784617</v>
      </c>
      <c r="X54" s="28" t="n">
        <v>19.38048804830339</v>
      </c>
      <c r="Y54" s="28" t="n">
        <v>173.9364484136852</v>
      </c>
      <c r="Z54" s="28" t="n">
        <v>89.10421524633166</v>
      </c>
      <c r="AA54" s="28" t="n">
        <v>168.1059079058884</v>
      </c>
      <c r="AB54" s="28" t="n">
        <v>5.869298126432586</v>
      </c>
      <c r="AC54" s="28" t="n">
        <v>98.11202350822752</v>
      </c>
      <c r="AD54" s="28" t="n">
        <v>132.6991267837469</v>
      </c>
      <c r="AE54" s="28" t="n">
        <v>62.36348119077756</v>
      </c>
      <c r="AF54" s="28" t="n">
        <v>118.9814950633707</v>
      </c>
      <c r="AG54" s="28" t="n">
        <v>68.2557173498744</v>
      </c>
      <c r="AH54" s="28" t="n">
        <v>118.0654443167241</v>
      </c>
      <c r="AI54" s="28" t="n">
        <v>32.45603963920593</v>
      </c>
      <c r="AJ54" s="28" t="n">
        <v>92.94327997121781</v>
      </c>
      <c r="AK54" s="28" t="n">
        <v>504.9448740880823</v>
      </c>
      <c r="AL54" s="28" t="n">
        <v>657.7987033557202</v>
      </c>
      <c r="AM54" s="28" t="n">
        <v>13730.57260090871</v>
      </c>
      <c r="AN54" s="28" t="n">
        <v>1552.241704713306</v>
      </c>
      <c r="AO54" s="28" t="n">
        <v>2250.54992658309</v>
      </c>
      <c r="AP54" s="28" t="n">
        <v>2568.724587083728</v>
      </c>
      <c r="AQ54" s="28" t="n">
        <v>828.2002432717161</v>
      </c>
      <c r="AR54" s="28" t="n">
        <v>150.3560865037561</v>
      </c>
      <c r="AS54" s="28" t="n">
        <v>2142.121276773282</v>
      </c>
      <c r="AT54" s="28" t="n">
        <v>3786.968323049778</v>
      </c>
      <c r="AU54" s="28" t="n">
        <v>1649.076262738396</v>
      </c>
      <c r="AV54" s="28" t="n">
        <v>719.9582925505472</v>
      </c>
      <c r="AW54" s="28" t="n">
        <v>3012.075541887812</v>
      </c>
      <c r="AX54" s="28" t="n">
        <v>0</v>
      </c>
      <c r="AY54" s="28" t="n">
        <v>140.8378072038681</v>
      </c>
      <c r="AZ54" s="28" t="n">
        <v>128.7703147752754</v>
      </c>
      <c r="BA54" s="28" t="n">
        <v>1128.088486360678</v>
      </c>
      <c r="BB54" s="28">
        <f>SUM(C54:BA54)</f>
        <v/>
      </c>
      <c r="BC54" s="28" t="n">
        <v>0</v>
      </c>
      <c r="BD54" s="28" t="n">
        <v>0</v>
      </c>
      <c r="BE54" s="28" t="n">
        <v>210337.8903382634</v>
      </c>
      <c r="BF54" s="28" t="n">
        <v>0</v>
      </c>
      <c r="BG54" s="28">
        <f>SUM(BC54:BF54)</f>
        <v/>
      </c>
      <c r="BH54" s="28">
        <f>BB54+BG54</f>
        <v/>
      </c>
    </row>
    <row r="55">
      <c r="A55" s="30" t="n">
        <v>42</v>
      </c>
      <c r="B55" s="31" t="inlineStr">
        <is>
          <t>Serviços de manutenção e reparação</t>
        </is>
      </c>
      <c r="C55" s="30" t="n">
        <v>3.21425870504558</v>
      </c>
      <c r="D55" s="30" t="n">
        <v>0.02503513764016554</v>
      </c>
      <c r="E55" s="30" t="n">
        <v>24.58147829950742</v>
      </c>
      <c r="F55" s="30" t="n">
        <v>0.4127651640589862</v>
      </c>
      <c r="G55" s="30" t="n">
        <v>1.408675452149295</v>
      </c>
      <c r="H55" s="30" t="n">
        <v>5.634169699670483</v>
      </c>
      <c r="I55" s="30" t="n">
        <v>0.1432952687329765</v>
      </c>
      <c r="J55" s="30" t="n">
        <v>8.037513632135706</v>
      </c>
      <c r="K55" s="30" t="n">
        <v>0.3962486498077595</v>
      </c>
      <c r="L55" s="30" t="n">
        <v>0.4849674702441629</v>
      </c>
      <c r="M55" s="30" t="n">
        <v>0.1179525672662831</v>
      </c>
      <c r="N55" s="30" t="n">
        <v>0.8261257794570209</v>
      </c>
      <c r="O55" s="30" t="n">
        <v>9.798079154827924</v>
      </c>
      <c r="P55" s="30" t="n">
        <v>0.2096896454419102</v>
      </c>
      <c r="Q55" s="30" t="n">
        <v>0.1822969113152468</v>
      </c>
      <c r="R55" s="30" t="n">
        <v>0.1905857048991515</v>
      </c>
      <c r="S55" s="30" t="n">
        <v>0.2176144252814909</v>
      </c>
      <c r="T55" s="30" t="n">
        <v>0.5738311679730921</v>
      </c>
      <c r="U55" s="30" t="n">
        <v>0.1940872275531527</v>
      </c>
      <c r="V55" s="30" t="n">
        <v>0.04874899028815435</v>
      </c>
      <c r="W55" s="30" t="n">
        <v>0.1087969829492091</v>
      </c>
      <c r="X55" s="30" t="n">
        <v>0.2965549143827992</v>
      </c>
      <c r="Y55" s="30" t="n">
        <v>0.8412383864393727</v>
      </c>
      <c r="Z55" s="30" t="n">
        <v>2.027021792558783</v>
      </c>
      <c r="AA55" s="30" t="n">
        <v>14.66923274623</v>
      </c>
      <c r="AB55" s="30" t="n">
        <v>2.144201327472624</v>
      </c>
      <c r="AC55" s="30" t="n">
        <v>14.49180701282712</v>
      </c>
      <c r="AD55" s="30" t="n">
        <v>13.35728680993561</v>
      </c>
      <c r="AE55" s="30" t="n">
        <v>33.65948872093769</v>
      </c>
      <c r="AF55" s="30" t="n">
        <v>238.264564030792</v>
      </c>
      <c r="AG55" s="30" t="n">
        <v>1.433907746626905</v>
      </c>
      <c r="AH55" s="30" t="n">
        <v>0.04192322329235007</v>
      </c>
      <c r="AI55" s="30" t="n">
        <v>0.09537224607005912</v>
      </c>
      <c r="AJ55" s="30" t="n">
        <v>2.712563571256909</v>
      </c>
      <c r="AK55" s="30" t="n">
        <v>243.1610560086016</v>
      </c>
      <c r="AL55" s="30" t="n">
        <v>59.03654554883143</v>
      </c>
      <c r="AM55" s="30" t="n">
        <v>1017.022371135222</v>
      </c>
      <c r="AN55" s="30" t="n">
        <v>257.144802063703</v>
      </c>
      <c r="AO55" s="30" t="n">
        <v>2970.30402686964</v>
      </c>
      <c r="AP55" s="30" t="n">
        <v>646.4052417998346</v>
      </c>
      <c r="AQ55" s="30" t="n">
        <v>38.99928685542412</v>
      </c>
      <c r="AR55" s="30" t="n">
        <v>57.31457071226352</v>
      </c>
      <c r="AS55" s="30" t="n">
        <v>61.99634835119259</v>
      </c>
      <c r="AT55" s="30" t="n">
        <v>763.768513021284</v>
      </c>
      <c r="AU55" s="30" t="n">
        <v>211.8909530167352</v>
      </c>
      <c r="AV55" s="30" t="n">
        <v>291.0425616032192</v>
      </c>
      <c r="AW55" s="30" t="n">
        <v>12.30067387489167</v>
      </c>
      <c r="AX55" s="30" t="n">
        <v>0</v>
      </c>
      <c r="AY55" s="30" t="n">
        <v>30.51472183959671</v>
      </c>
      <c r="AZ55" s="30" t="n">
        <v>103.4321945943669</v>
      </c>
      <c r="BA55" s="30" t="n">
        <v>370.8443940381706</v>
      </c>
      <c r="BB55" s="30">
        <f>SUM(C55:BA55)</f>
        <v/>
      </c>
      <c r="BC55" s="30" t="n">
        <v>0</v>
      </c>
      <c r="BD55" s="30" t="n">
        <v>0</v>
      </c>
      <c r="BE55" s="30" t="n">
        <v>4402.182006045842</v>
      </c>
      <c r="BF55" s="30" t="n">
        <v>0</v>
      </c>
      <c r="BG55" s="30">
        <f>SUM(BC55:BF55)</f>
        <v/>
      </c>
      <c r="BH55" s="30">
        <f>BB55+BG55</f>
        <v/>
      </c>
    </row>
    <row r="56">
      <c r="A56" s="28" t="n">
        <v>43</v>
      </c>
      <c r="B56" s="29" t="inlineStr">
        <is>
          <t>Serviços de alojamento e alimentação</t>
        </is>
      </c>
      <c r="C56" s="28" t="n">
        <v>8.301420035931777</v>
      </c>
      <c r="D56" s="28" t="n">
        <v>1.322884715798597</v>
      </c>
      <c r="E56" s="28" t="n">
        <v>186.5532657069161</v>
      </c>
      <c r="F56" s="28" t="n">
        <v>45.9190394366769</v>
      </c>
      <c r="G56" s="28" t="n">
        <v>21.93411323506326</v>
      </c>
      <c r="H56" s="28" t="n">
        <v>440.9341291519638</v>
      </c>
      <c r="I56" s="28" t="n">
        <v>28.93801774633431</v>
      </c>
      <c r="J56" s="28" t="n">
        <v>36.96686795771441</v>
      </c>
      <c r="K56" s="28" t="n">
        <v>20.19182508723028</v>
      </c>
      <c r="L56" s="28" t="n">
        <v>23.41597746311772</v>
      </c>
      <c r="M56" s="28" t="n">
        <v>5.731581617692802</v>
      </c>
      <c r="N56" s="28" t="n">
        <v>57.69653882082743</v>
      </c>
      <c r="O56" s="28" t="n">
        <v>16.61237485519075</v>
      </c>
      <c r="P56" s="28" t="n">
        <v>22.17698230155798</v>
      </c>
      <c r="Q56" s="28" t="n">
        <v>10.2728370996049</v>
      </c>
      <c r="R56" s="28" t="n">
        <v>102.9382495707141</v>
      </c>
      <c r="S56" s="28" t="n">
        <v>11.35364682140377</v>
      </c>
      <c r="T56" s="28" t="n">
        <v>220.6809385050452</v>
      </c>
      <c r="U56" s="28" t="n">
        <v>66.8290267695775</v>
      </c>
      <c r="V56" s="28" t="n">
        <v>26.31282042895275</v>
      </c>
      <c r="W56" s="28" t="n">
        <v>25.86182970244011</v>
      </c>
      <c r="X56" s="28" t="n">
        <v>61.80216780805339</v>
      </c>
      <c r="Y56" s="28" t="n">
        <v>75.36341993004659</v>
      </c>
      <c r="Z56" s="28" t="n">
        <v>57.37076275755681</v>
      </c>
      <c r="AA56" s="28" t="n">
        <v>169.7135214133556</v>
      </c>
      <c r="AB56" s="28" t="n">
        <v>47.49266795909836</v>
      </c>
      <c r="AC56" s="28" t="n">
        <v>110.7413241512977</v>
      </c>
      <c r="AD56" s="28" t="n">
        <v>327.6547314516972</v>
      </c>
      <c r="AE56" s="28" t="n">
        <v>95.92507506042848</v>
      </c>
      <c r="AF56" s="28" t="n">
        <v>133.1987414337119</v>
      </c>
      <c r="AG56" s="28" t="n">
        <v>306.5911194232479</v>
      </c>
      <c r="AH56" s="28" t="n">
        <v>78.59750137595124</v>
      </c>
      <c r="AI56" s="28" t="n">
        <v>39.83592795356194</v>
      </c>
      <c r="AJ56" s="28" t="n">
        <v>41.59868202093369</v>
      </c>
      <c r="AK56" s="28" t="n">
        <v>205.4085025052026</v>
      </c>
      <c r="AL56" s="28" t="n">
        <v>827.9276751513307</v>
      </c>
      <c r="AM56" s="28" t="n">
        <v>1832.650705419984</v>
      </c>
      <c r="AN56" s="28" t="n">
        <v>894.4979469246151</v>
      </c>
      <c r="AO56" s="28" t="n">
        <v>744.1238288502022</v>
      </c>
      <c r="AP56" s="28" t="n">
        <v>1851.08900439556</v>
      </c>
      <c r="AQ56" s="28" t="n">
        <v>61.82385166829356</v>
      </c>
      <c r="AR56" s="28" t="n">
        <v>41.43833224236842</v>
      </c>
      <c r="AS56" s="28" t="n">
        <v>121.7150930365561</v>
      </c>
      <c r="AT56" s="28" t="n">
        <v>1335.122228917534</v>
      </c>
      <c r="AU56" s="28" t="n">
        <v>292.2783738645903</v>
      </c>
      <c r="AV56" s="28" t="n">
        <v>1462.197854530988</v>
      </c>
      <c r="AW56" s="28" t="n">
        <v>11811.51557358002</v>
      </c>
      <c r="AX56" s="28" t="n">
        <v>0</v>
      </c>
      <c r="AY56" s="28" t="n">
        <v>707.7411284793989</v>
      </c>
      <c r="AZ56" s="28" t="n">
        <v>2214.734826745736</v>
      </c>
      <c r="BA56" s="28" t="n">
        <v>6248.225260003989</v>
      </c>
      <c r="BB56" s="28">
        <f>SUM(C56:BA56)</f>
        <v/>
      </c>
      <c r="BC56" s="28" t="n">
        <v>0</v>
      </c>
      <c r="BD56" s="28" t="n">
        <v>0</v>
      </c>
      <c r="BE56" s="28" t="n">
        <v>78501.57185591379</v>
      </c>
      <c r="BF56" s="28" t="n">
        <v>0</v>
      </c>
      <c r="BG56" s="28">
        <f>SUM(BC56:BF56)</f>
        <v/>
      </c>
      <c r="BH56" s="28">
        <f>BB56+BG56</f>
        <v/>
      </c>
    </row>
    <row r="57">
      <c r="A57" s="30" t="n">
        <v>44</v>
      </c>
      <c r="B57" s="31" t="inlineStr">
        <is>
          <t>Serviços prestados às empresas</t>
        </is>
      </c>
      <c r="C57" s="30" t="n">
        <v>635.8929540650779</v>
      </c>
      <c r="D57" s="30" t="n">
        <v>313.7818870950603</v>
      </c>
      <c r="E57" s="30" t="n">
        <v>9313.085897791225</v>
      </c>
      <c r="F57" s="30" t="n">
        <v>1620.274246509015</v>
      </c>
      <c r="G57" s="30" t="n">
        <v>1224.321214557946</v>
      </c>
      <c r="H57" s="30" t="n">
        <v>15584.01625380546</v>
      </c>
      <c r="I57" s="30" t="n">
        <v>1079.846664983259</v>
      </c>
      <c r="J57" s="30" t="n">
        <v>647.052845556467</v>
      </c>
      <c r="K57" s="30" t="n">
        <v>655.3701648377405</v>
      </c>
      <c r="L57" s="30" t="n">
        <v>859.9288205844466</v>
      </c>
      <c r="M57" s="30" t="n">
        <v>249.9296227436424</v>
      </c>
      <c r="N57" s="30" t="n">
        <v>2015.030629534234</v>
      </c>
      <c r="O57" s="30" t="n">
        <v>290.5887043972689</v>
      </c>
      <c r="P57" s="30" t="n">
        <v>2659.559344214314</v>
      </c>
      <c r="Q57" s="30" t="n">
        <v>485.1403395021879</v>
      </c>
      <c r="R57" s="30" t="n">
        <v>2229.59073003162</v>
      </c>
      <c r="S57" s="30" t="n">
        <v>501.8439893002949</v>
      </c>
      <c r="T57" s="30" t="n">
        <v>4041.894155317249</v>
      </c>
      <c r="U57" s="30" t="n">
        <v>1527.86215623027</v>
      </c>
      <c r="V57" s="30" t="n">
        <v>1767.300919418037</v>
      </c>
      <c r="W57" s="30" t="n">
        <v>979.6368834048719</v>
      </c>
      <c r="X57" s="30" t="n">
        <v>746.0874560685662</v>
      </c>
      <c r="Y57" s="30" t="n">
        <v>2008.921437382274</v>
      </c>
      <c r="Z57" s="30" t="n">
        <v>2240.802740167407</v>
      </c>
      <c r="AA57" s="30" t="n">
        <v>2151.790035729939</v>
      </c>
      <c r="AB57" s="30" t="n">
        <v>881.4193685747075</v>
      </c>
      <c r="AC57" s="30" t="n">
        <v>1630.78714548817</v>
      </c>
      <c r="AD57" s="30" t="n">
        <v>4257.981347077094</v>
      </c>
      <c r="AE57" s="30" t="n">
        <v>2990.566657375981</v>
      </c>
      <c r="AF57" s="30" t="n">
        <v>4127.405140649415</v>
      </c>
      <c r="AG57" s="30" t="n">
        <v>7265.599679095346</v>
      </c>
      <c r="AH57" s="30" t="n">
        <v>1998.945716169572</v>
      </c>
      <c r="AI57" s="30" t="n">
        <v>900.7989119812426</v>
      </c>
      <c r="AJ57" s="30" t="n">
        <v>705.0180824027771</v>
      </c>
      <c r="AK57" s="30" t="n">
        <v>6495.441791945475</v>
      </c>
      <c r="AL57" s="30" t="n">
        <v>9901.08837379694</v>
      </c>
      <c r="AM57" s="30" t="n">
        <v>32847.87328461491</v>
      </c>
      <c r="AN57" s="30" t="n">
        <v>14257.20715718834</v>
      </c>
      <c r="AO57" s="30" t="n">
        <v>22783.49586982831</v>
      </c>
      <c r="AP57" s="30" t="n">
        <v>23321.55496983462</v>
      </c>
      <c r="AQ57" s="30" t="n">
        <v>1579.887182200659</v>
      </c>
      <c r="AR57" s="30" t="n">
        <v>121.865389256629</v>
      </c>
      <c r="AS57" s="30" t="n">
        <v>2103.04564844782</v>
      </c>
      <c r="AT57" s="30" t="n">
        <v>23218.93231505876</v>
      </c>
      <c r="AU57" s="30" t="n">
        <v>4360.860013037704</v>
      </c>
      <c r="AV57" s="30" t="n">
        <v>1542.83523720369</v>
      </c>
      <c r="AW57" s="30" t="n">
        <v>7677.655405519023</v>
      </c>
      <c r="AX57" s="30" t="n">
        <v>0</v>
      </c>
      <c r="AY57" s="30" t="n">
        <v>4433.376099711405</v>
      </c>
      <c r="AZ57" s="30" t="n">
        <v>4546.433490712405</v>
      </c>
      <c r="BA57" s="30" t="n">
        <v>18139.184163419</v>
      </c>
      <c r="BB57" s="30">
        <f>SUM(C57:BA57)</f>
        <v/>
      </c>
      <c r="BC57" s="30" t="n">
        <v>0</v>
      </c>
      <c r="BD57" s="30" t="n">
        <v>0</v>
      </c>
      <c r="BE57" s="30" t="n">
        <v>42455.91270993852</v>
      </c>
      <c r="BF57" s="30" t="n">
        <v>0</v>
      </c>
      <c r="BG57" s="30">
        <f>SUM(BC57:BF57)</f>
        <v/>
      </c>
      <c r="BH57" s="30">
        <f>BB57+BG57</f>
        <v/>
      </c>
    </row>
    <row r="58">
      <c r="A58" s="28" t="n">
        <v>45</v>
      </c>
      <c r="B58" s="29" t="inlineStr">
        <is>
          <t>Educação mercantil</t>
        </is>
      </c>
      <c r="C58" s="28" t="n">
        <v>3.667122962026639</v>
      </c>
      <c r="D58" s="28" t="n">
        <v>1.836591373041923</v>
      </c>
      <c r="E58" s="28" t="n">
        <v>43.32292523410982</v>
      </c>
      <c r="F58" s="28" t="n">
        <v>76.52260102912616</v>
      </c>
      <c r="G58" s="28" t="n">
        <v>17.33901175297879</v>
      </c>
      <c r="H58" s="28" t="n">
        <v>56.23720409347272</v>
      </c>
      <c r="I58" s="28" t="n">
        <v>2.946226201301706</v>
      </c>
      <c r="J58" s="28" t="n">
        <v>2.880045137835026</v>
      </c>
      <c r="K58" s="28" t="n">
        <v>1.825514955149744</v>
      </c>
      <c r="L58" s="28" t="n">
        <v>2.371957652188158</v>
      </c>
      <c r="M58" s="28" t="n">
        <v>0.6742133221425165</v>
      </c>
      <c r="N58" s="28" t="n">
        <v>28.6613576310056</v>
      </c>
      <c r="O58" s="28" t="n">
        <v>0.7652389206712051</v>
      </c>
      <c r="P58" s="28" t="n">
        <v>11.14616365690516</v>
      </c>
      <c r="Q58" s="28" t="n">
        <v>1.329122267264308</v>
      </c>
      <c r="R58" s="28" t="n">
        <v>11.80407640073335</v>
      </c>
      <c r="S58" s="28" t="n">
        <v>1.372573256222912</v>
      </c>
      <c r="T58" s="28" t="n">
        <v>11.02422258431834</v>
      </c>
      <c r="U58" s="28" t="n">
        <v>18.25712082971248</v>
      </c>
      <c r="V58" s="28" t="n">
        <v>4.810411182515426</v>
      </c>
      <c r="W58" s="28" t="n">
        <v>5.325214902918345</v>
      </c>
      <c r="X58" s="28" t="n">
        <v>2.041762529103451</v>
      </c>
      <c r="Y58" s="28" t="n">
        <v>7.457074996256679</v>
      </c>
      <c r="Z58" s="28" t="n">
        <v>6.089835890228474</v>
      </c>
      <c r="AA58" s="28" t="n">
        <v>156.1216684437179</v>
      </c>
      <c r="AB58" s="28" t="n">
        <v>41.04890529397238</v>
      </c>
      <c r="AC58" s="28" t="n">
        <v>40.08458264370354</v>
      </c>
      <c r="AD58" s="28" t="n">
        <v>33.63100714408198</v>
      </c>
      <c r="AE58" s="28" t="n">
        <v>8.135675925445133</v>
      </c>
      <c r="AF58" s="28" t="n">
        <v>12.30330133040729</v>
      </c>
      <c r="AG58" s="28" t="n">
        <v>90.820792547099</v>
      </c>
      <c r="AH58" s="28" t="n">
        <v>8.37175471339107</v>
      </c>
      <c r="AI58" s="28" t="n">
        <v>2.427681052968292</v>
      </c>
      <c r="AJ58" s="28" t="n">
        <v>1.929062465917905</v>
      </c>
      <c r="AK58" s="28" t="n">
        <v>68.67697562533461</v>
      </c>
      <c r="AL58" s="28" t="n">
        <v>28.75652672257344</v>
      </c>
      <c r="AM58" s="28" t="n">
        <v>416.6688972401021</v>
      </c>
      <c r="AN58" s="28" t="n">
        <v>746.8593248263153</v>
      </c>
      <c r="AO58" s="28" t="n">
        <v>99.81859689117552</v>
      </c>
      <c r="AP58" s="28" t="n">
        <v>1007.430968121989</v>
      </c>
      <c r="AQ58" s="28" t="n">
        <v>4.436564164221138</v>
      </c>
      <c r="AR58" s="28" t="n">
        <v>210.6276871004104</v>
      </c>
      <c r="AS58" s="28" t="n">
        <v>7.003708365001126</v>
      </c>
      <c r="AT58" s="28" t="n">
        <v>2552.33857145885</v>
      </c>
      <c r="AU58" s="28" t="n">
        <v>12.13326854935451</v>
      </c>
      <c r="AV58" s="28" t="n">
        <v>4.320963607438361</v>
      </c>
      <c r="AW58" s="28" t="n">
        <v>108.5499848716027</v>
      </c>
      <c r="AX58" s="28" t="n">
        <v>0</v>
      </c>
      <c r="AY58" s="28" t="n">
        <v>725.1467774172582</v>
      </c>
      <c r="AZ58" s="28" t="n">
        <v>258.2420314610334</v>
      </c>
      <c r="BA58" s="28" t="n">
        <v>343.6933967655727</v>
      </c>
      <c r="BB58" s="28">
        <f>SUM(C58:BA58)</f>
        <v/>
      </c>
      <c r="BC58" s="28" t="n">
        <v>0</v>
      </c>
      <c r="BD58" s="28" t="n">
        <v>0</v>
      </c>
      <c r="BE58" s="28" t="n">
        <v>40230.4973023233</v>
      </c>
      <c r="BF58" s="28" t="n">
        <v>0</v>
      </c>
      <c r="BG58" s="28">
        <f>SUM(BC58:BF58)</f>
        <v/>
      </c>
      <c r="BH58" s="28">
        <f>BB58+BG58</f>
        <v/>
      </c>
    </row>
    <row r="59">
      <c r="A59" s="30" t="n">
        <v>46</v>
      </c>
      <c r="B59" s="31" t="inlineStr">
        <is>
          <t>Saúde mercantil</t>
        </is>
      </c>
      <c r="C59" s="30" t="n">
        <v>0.5631763426685525</v>
      </c>
      <c r="D59" s="30" t="n">
        <v>0.1551909251597198</v>
      </c>
      <c r="E59" s="30" t="n">
        <v>2.321408322907156</v>
      </c>
      <c r="F59" s="30" t="n">
        <v>2.08393044779392</v>
      </c>
      <c r="G59" s="30" t="n">
        <v>0.8505227995419031</v>
      </c>
      <c r="H59" s="30" t="n">
        <v>26.50753793147388</v>
      </c>
      <c r="I59" s="30" t="n">
        <v>0.9318712431665226</v>
      </c>
      <c r="J59" s="30" t="n">
        <v>4.161530427695231</v>
      </c>
      <c r="K59" s="30" t="n">
        <v>4.057751660145351</v>
      </c>
      <c r="L59" s="30" t="n">
        <v>2.798272684553892</v>
      </c>
      <c r="M59" s="30" t="n">
        <v>0.7101466494397477</v>
      </c>
      <c r="N59" s="30" t="n">
        <v>4.589815676489245</v>
      </c>
      <c r="O59" s="30" t="n">
        <v>0.5667990981252937</v>
      </c>
      <c r="P59" s="30" t="n">
        <v>1.888743957830163</v>
      </c>
      <c r="Q59" s="30" t="n">
        <v>1.594447976120279</v>
      </c>
      <c r="R59" s="30" t="n">
        <v>1.645601838887363</v>
      </c>
      <c r="S59" s="30" t="n">
        <v>1.181556940273969</v>
      </c>
      <c r="T59" s="30" t="n">
        <v>3.992747759305363</v>
      </c>
      <c r="U59" s="30" t="n">
        <v>1.202489892843291</v>
      </c>
      <c r="V59" s="30" t="n">
        <v>1.137349058281071</v>
      </c>
      <c r="W59" s="30" t="n">
        <v>0.6946554085110326</v>
      </c>
      <c r="X59" s="30" t="n">
        <v>1.592197565226677</v>
      </c>
      <c r="Y59" s="30" t="n">
        <v>5.819934629263699</v>
      </c>
      <c r="Z59" s="30" t="n">
        <v>4.256852217092511</v>
      </c>
      <c r="AA59" s="30" t="n">
        <v>6.196520164899095</v>
      </c>
      <c r="AB59" s="30" t="n">
        <v>1.33432670648971</v>
      </c>
      <c r="AC59" s="30" t="n">
        <v>3.938654872662717</v>
      </c>
      <c r="AD59" s="30" t="n">
        <v>12.86903720304224</v>
      </c>
      <c r="AE59" s="30" t="n">
        <v>3.54994977283974</v>
      </c>
      <c r="AF59" s="30" t="n">
        <v>4.825419272150114</v>
      </c>
      <c r="AG59" s="30" t="n">
        <v>2.595336924068617</v>
      </c>
      <c r="AH59" s="30" t="n">
        <v>1.663682937595918</v>
      </c>
      <c r="AI59" s="30" t="n">
        <v>0.8497607670936245</v>
      </c>
      <c r="AJ59" s="30" t="n">
        <v>2.010052596189902</v>
      </c>
      <c r="AK59" s="30" t="n">
        <v>8.372745126334156</v>
      </c>
      <c r="AL59" s="30" t="n">
        <v>9.68450003046858</v>
      </c>
      <c r="AM59" s="30" t="n">
        <v>181.5593385990565</v>
      </c>
      <c r="AN59" s="30" t="n">
        <v>33.13344173346294</v>
      </c>
      <c r="AO59" s="30" t="n">
        <v>40.86958353436759</v>
      </c>
      <c r="AP59" s="30" t="n">
        <v>32.65053636535803</v>
      </c>
      <c r="AQ59" s="30" t="n">
        <v>9.936252829699066</v>
      </c>
      <c r="AR59" s="30" t="n">
        <v>1.796601588198244</v>
      </c>
      <c r="AS59" s="30" t="n">
        <v>25.60893084363368</v>
      </c>
      <c r="AT59" s="30" t="n">
        <v>50.54709764175454</v>
      </c>
      <c r="AU59" s="30" t="n">
        <v>19.85687022338059</v>
      </c>
      <c r="AV59" s="30" t="n">
        <v>9864.156815002221</v>
      </c>
      <c r="AW59" s="30" t="n">
        <v>36.42992983177236</v>
      </c>
      <c r="AX59" s="30" t="n">
        <v>0</v>
      </c>
      <c r="AY59" s="30" t="n">
        <v>4.235375845418085</v>
      </c>
      <c r="AZ59" s="30" t="n">
        <v>9.238392573330575</v>
      </c>
      <c r="BA59" s="30" t="n">
        <v>54.50854766304995</v>
      </c>
      <c r="BB59" s="30">
        <f>SUM(C59:BA59)</f>
        <v/>
      </c>
      <c r="BC59" s="30" t="n">
        <v>0</v>
      </c>
      <c r="BD59" s="30" t="n">
        <v>0</v>
      </c>
      <c r="BE59" s="30" t="n">
        <v>85309.16311789588</v>
      </c>
      <c r="BF59" s="30" t="n">
        <v>0</v>
      </c>
      <c r="BG59" s="30">
        <f>SUM(BC59:BF59)</f>
        <v/>
      </c>
      <c r="BH59" s="30">
        <f>BB59+BG59</f>
        <v/>
      </c>
    </row>
    <row r="60">
      <c r="A60" s="28" t="n">
        <v>47</v>
      </c>
      <c r="B60" s="29" t="inlineStr">
        <is>
          <t>Serviços prestados às famílias e associativas</t>
        </is>
      </c>
      <c r="C60" s="28" t="n">
        <v>90.7252289958157</v>
      </c>
      <c r="D60" s="28" t="n">
        <v>32.35988503788333</v>
      </c>
      <c r="E60" s="28" t="n">
        <v>499.1880027091846</v>
      </c>
      <c r="F60" s="28" t="n">
        <v>246.6474493044111</v>
      </c>
      <c r="G60" s="28" t="n">
        <v>90.32236326098172</v>
      </c>
      <c r="H60" s="28" t="n">
        <v>1286.403393759083</v>
      </c>
      <c r="I60" s="28" t="n">
        <v>68.25573098990236</v>
      </c>
      <c r="J60" s="28" t="n">
        <v>121.0770884873665</v>
      </c>
      <c r="K60" s="28" t="n">
        <v>93.97904563020059</v>
      </c>
      <c r="L60" s="28" t="n">
        <v>86.68644498609899</v>
      </c>
      <c r="M60" s="28" t="n">
        <v>50.19327018959027</v>
      </c>
      <c r="N60" s="28" t="n">
        <v>440.8730854055197</v>
      </c>
      <c r="O60" s="28" t="n">
        <v>53.90270967902651</v>
      </c>
      <c r="P60" s="28" t="n">
        <v>198.1201645597076</v>
      </c>
      <c r="Q60" s="28" t="n">
        <v>237.6799285975509</v>
      </c>
      <c r="R60" s="28" t="n">
        <v>204.4520124235287</v>
      </c>
      <c r="S60" s="28" t="n">
        <v>27.61341892809393</v>
      </c>
      <c r="T60" s="28" t="n">
        <v>350.239205476043</v>
      </c>
      <c r="U60" s="28" t="n">
        <v>181.4331848638309</v>
      </c>
      <c r="V60" s="28" t="n">
        <v>134.0580129846594</v>
      </c>
      <c r="W60" s="28" t="n">
        <v>59.07041833524835</v>
      </c>
      <c r="X60" s="28" t="n">
        <v>240.9261781563561</v>
      </c>
      <c r="Y60" s="28" t="n">
        <v>482.4058269148969</v>
      </c>
      <c r="Z60" s="28" t="n">
        <v>241.6310545512897</v>
      </c>
      <c r="AA60" s="28" t="n">
        <v>294.1374673405215</v>
      </c>
      <c r="AB60" s="28" t="n">
        <v>93.63655572376993</v>
      </c>
      <c r="AC60" s="28" t="n">
        <v>240.4040927495507</v>
      </c>
      <c r="AD60" s="28" t="n">
        <v>529.6241911189505</v>
      </c>
      <c r="AE60" s="28" t="n">
        <v>275.9377047314113</v>
      </c>
      <c r="AF60" s="28" t="n">
        <v>332.4287022011167</v>
      </c>
      <c r="AG60" s="28" t="n">
        <v>955.6289325493926</v>
      </c>
      <c r="AH60" s="28" t="n">
        <v>273.8363434414216</v>
      </c>
      <c r="AI60" s="28" t="n">
        <v>142.0069496089102</v>
      </c>
      <c r="AJ60" s="28" t="n">
        <v>142.543706598362</v>
      </c>
      <c r="AK60" s="28" t="n">
        <v>736.0975480018753</v>
      </c>
      <c r="AL60" s="28" t="n">
        <v>998.5193678211078</v>
      </c>
      <c r="AM60" s="28" t="n">
        <v>4722.306906583796</v>
      </c>
      <c r="AN60" s="28" t="n">
        <v>2464.050387037198</v>
      </c>
      <c r="AO60" s="28" t="n">
        <v>4598.07572793769</v>
      </c>
      <c r="AP60" s="28" t="n">
        <v>2646.455824603696</v>
      </c>
      <c r="AQ60" s="28" t="n">
        <v>498.8859077824223</v>
      </c>
      <c r="AR60" s="28" t="n">
        <v>43.44607074597288</v>
      </c>
      <c r="AS60" s="28" t="n">
        <v>794.9112131026305</v>
      </c>
      <c r="AT60" s="28" t="n">
        <v>2401.173416432226</v>
      </c>
      <c r="AU60" s="28" t="n">
        <v>955.6589690411134</v>
      </c>
      <c r="AV60" s="28" t="n">
        <v>1997.969282816219</v>
      </c>
      <c r="AW60" s="28" t="n">
        <v>4058.416930733104</v>
      </c>
      <c r="AX60" s="28" t="n">
        <v>0</v>
      </c>
      <c r="AY60" s="28" t="n">
        <v>1164.516841497462</v>
      </c>
      <c r="AZ60" s="28" t="n">
        <v>1407.643814947711</v>
      </c>
      <c r="BA60" s="28" t="n">
        <v>2679.917066892039</v>
      </c>
      <c r="BB60" s="28">
        <f>SUM(C60:BA60)</f>
        <v/>
      </c>
      <c r="BC60" s="28" t="n">
        <v>0</v>
      </c>
      <c r="BD60" s="28" t="n">
        <v>0</v>
      </c>
      <c r="BE60" s="28" t="n">
        <v>107089.3168943564</v>
      </c>
      <c r="BF60" s="28" t="n">
        <v>0</v>
      </c>
      <c r="BG60" s="28">
        <f>SUM(BC60:BF60)</f>
        <v/>
      </c>
      <c r="BH60" s="28">
        <f>BB60+BG60</f>
        <v/>
      </c>
    </row>
    <row r="61">
      <c r="A61" s="30" t="n">
        <v>48</v>
      </c>
      <c r="B61" s="31" t="inlineStr">
        <is>
          <t>Serviços domésticos</t>
        </is>
      </c>
      <c r="C61" s="30" t="n">
        <v>0</v>
      </c>
      <c r="D61" s="30" t="n">
        <v>0</v>
      </c>
      <c r="E61" s="30" t="n">
        <v>0</v>
      </c>
      <c r="F61" s="30" t="n">
        <v>0</v>
      </c>
      <c r="G61" s="30" t="n">
        <v>0</v>
      </c>
      <c r="H61" s="30" t="n">
        <v>0</v>
      </c>
      <c r="I61" s="30" t="n">
        <v>0</v>
      </c>
      <c r="J61" s="30" t="n">
        <v>0</v>
      </c>
      <c r="K61" s="30" t="n">
        <v>0</v>
      </c>
      <c r="L61" s="30" t="n">
        <v>0</v>
      </c>
      <c r="M61" s="30" t="n">
        <v>0</v>
      </c>
      <c r="N61" s="30" t="n">
        <v>0</v>
      </c>
      <c r="O61" s="30" t="n">
        <v>0</v>
      </c>
      <c r="P61" s="30" t="n">
        <v>0</v>
      </c>
      <c r="Q61" s="30" t="n">
        <v>0</v>
      </c>
      <c r="R61" s="30" t="n">
        <v>0</v>
      </c>
      <c r="S61" s="30" t="n">
        <v>0</v>
      </c>
      <c r="T61" s="30" t="n">
        <v>0</v>
      </c>
      <c r="U61" s="30" t="n">
        <v>0</v>
      </c>
      <c r="V61" s="30" t="n">
        <v>0</v>
      </c>
      <c r="W61" s="30" t="n">
        <v>0</v>
      </c>
      <c r="X61" s="30" t="n">
        <v>0</v>
      </c>
      <c r="Y61" s="30" t="n">
        <v>0</v>
      </c>
      <c r="Z61" s="30" t="n">
        <v>0</v>
      </c>
      <c r="AA61" s="30" t="n">
        <v>0</v>
      </c>
      <c r="AB61" s="30" t="n">
        <v>0</v>
      </c>
      <c r="AC61" s="30" t="n">
        <v>0</v>
      </c>
      <c r="AD61" s="30" t="n">
        <v>0</v>
      </c>
      <c r="AE61" s="30" t="n">
        <v>0</v>
      </c>
      <c r="AF61" s="30" t="n">
        <v>0</v>
      </c>
      <c r="AG61" s="30" t="n">
        <v>0</v>
      </c>
      <c r="AH61" s="30" t="n">
        <v>0</v>
      </c>
      <c r="AI61" s="30" t="n">
        <v>0</v>
      </c>
      <c r="AJ61" s="30" t="n">
        <v>0</v>
      </c>
      <c r="AK61" s="30" t="n">
        <v>0</v>
      </c>
      <c r="AL61" s="30" t="n">
        <v>0</v>
      </c>
      <c r="AM61" s="30" t="n">
        <v>0</v>
      </c>
      <c r="AN61" s="30" t="n">
        <v>0</v>
      </c>
      <c r="AO61" s="30" t="n">
        <v>0</v>
      </c>
      <c r="AP61" s="30" t="n">
        <v>0</v>
      </c>
      <c r="AQ61" s="30" t="n">
        <v>0</v>
      </c>
      <c r="AR61" s="30" t="n">
        <v>0</v>
      </c>
      <c r="AS61" s="30" t="n">
        <v>0</v>
      </c>
      <c r="AT61" s="30" t="n">
        <v>0</v>
      </c>
      <c r="AU61" s="30" t="n">
        <v>0</v>
      </c>
      <c r="AV61" s="30" t="n">
        <v>0</v>
      </c>
      <c r="AW61" s="30" t="n">
        <v>0</v>
      </c>
      <c r="AX61" s="30" t="n">
        <v>0</v>
      </c>
      <c r="AY61" s="30" t="n">
        <v>0</v>
      </c>
      <c r="AZ61" s="30" t="n">
        <v>0</v>
      </c>
      <c r="BA61" s="30" t="n">
        <v>0</v>
      </c>
      <c r="BB61" s="30">
        <f>SUM(C61:BA61)</f>
        <v/>
      </c>
      <c r="BC61" s="30" t="n">
        <v>0</v>
      </c>
      <c r="BD61" s="30" t="n">
        <v>0</v>
      </c>
      <c r="BE61" s="30" t="n">
        <v>30216.7038422306</v>
      </c>
      <c r="BF61" s="30" t="n">
        <v>0</v>
      </c>
      <c r="BG61" s="30">
        <f>SUM(BC61:BF61)</f>
        <v/>
      </c>
      <c r="BH61" s="30">
        <f>BB61+BG61</f>
        <v/>
      </c>
    </row>
    <row r="62">
      <c r="A62" s="28" t="n">
        <v>49</v>
      </c>
      <c r="B62" s="29" t="inlineStr">
        <is>
          <t>Educação pública</t>
        </is>
      </c>
      <c r="C62" s="28" t="n">
        <v>22.92586801797375</v>
      </c>
      <c r="D62" s="28" t="n">
        <v>12.09026959727118</v>
      </c>
      <c r="E62" s="28" t="n">
        <v>332.6805763670179</v>
      </c>
      <c r="F62" s="28" t="n">
        <v>57.25965513146203</v>
      </c>
      <c r="G62" s="28" t="n">
        <v>43.34170282903787</v>
      </c>
      <c r="H62" s="28" t="n">
        <v>562.8738403550817</v>
      </c>
      <c r="I62" s="28" t="n">
        <v>38.77813053780032</v>
      </c>
      <c r="J62" s="28" t="n">
        <v>23.11388442187182</v>
      </c>
      <c r="K62" s="28" t="n">
        <v>23.32318291907738</v>
      </c>
      <c r="L62" s="28" t="n">
        <v>30.81593500021684</v>
      </c>
      <c r="M62" s="28" t="n">
        <v>8.785585487244273</v>
      </c>
      <c r="N62" s="28" t="n">
        <v>72.02029514106576</v>
      </c>
      <c r="O62" s="28" t="n">
        <v>10.96404603777252</v>
      </c>
      <c r="P62" s="28" t="n">
        <v>95.218685384533</v>
      </c>
      <c r="Q62" s="28" t="n">
        <v>17.27477221537346</v>
      </c>
      <c r="R62" s="28" t="n">
        <v>79.89827623173795</v>
      </c>
      <c r="S62" s="28" t="n">
        <v>17.92433278147577</v>
      </c>
      <c r="T62" s="28" t="n">
        <v>145.0162337685658</v>
      </c>
      <c r="U62" s="28" t="n">
        <v>54.96022905369323</v>
      </c>
      <c r="V62" s="28" t="n">
        <v>63.38254308980259</v>
      </c>
      <c r="W62" s="28" t="n">
        <v>35.10220215939519</v>
      </c>
      <c r="X62" s="28" t="n">
        <v>26.72770951761058</v>
      </c>
      <c r="Y62" s="28" t="n">
        <v>71.95428790083609</v>
      </c>
      <c r="Z62" s="28" t="n">
        <v>79.71170519380955</v>
      </c>
      <c r="AA62" s="28" t="n">
        <v>75.50440402115856</v>
      </c>
      <c r="AB62" s="28" t="n">
        <v>31.41484244576872</v>
      </c>
      <c r="AC62" s="28" t="n">
        <v>58.36540937391907</v>
      </c>
      <c r="AD62" s="28" t="n">
        <v>140.8014495208325</v>
      </c>
      <c r="AE62" s="28" t="n">
        <v>106.9039310076421</v>
      </c>
      <c r="AF62" s="28" t="n">
        <v>148.2044348624277</v>
      </c>
      <c r="AG62" s="28" t="n">
        <v>260.6928948692889</v>
      </c>
      <c r="AH62" s="28" t="n">
        <v>71.40005666808275</v>
      </c>
      <c r="AI62" s="28" t="n">
        <v>31.92546476517172</v>
      </c>
      <c r="AJ62" s="28" t="n">
        <v>25.12129670836213</v>
      </c>
      <c r="AK62" s="28" t="n">
        <v>233.0904249517957</v>
      </c>
      <c r="AL62" s="28" t="n">
        <v>351.9638560794287</v>
      </c>
      <c r="AM62" s="28" t="n">
        <v>1181.527487270386</v>
      </c>
      <c r="AN62" s="28" t="n">
        <v>516.6841776100849</v>
      </c>
      <c r="AO62" s="28" t="n">
        <v>820.5894822387073</v>
      </c>
      <c r="AP62" s="28" t="n">
        <v>846.7719130963635</v>
      </c>
      <c r="AQ62" s="28" t="n">
        <v>56.67468401607622</v>
      </c>
      <c r="AR62" s="28" t="n">
        <v>6.217347395720866</v>
      </c>
      <c r="AS62" s="28" t="n">
        <v>75.03682726826261</v>
      </c>
      <c r="AT62" s="28" t="n">
        <v>857.6631005248601</v>
      </c>
      <c r="AU62" s="28" t="n">
        <v>156.366654924112</v>
      </c>
      <c r="AV62" s="28" t="n">
        <v>60.11086225393613</v>
      </c>
      <c r="AW62" s="28" t="n">
        <v>277.4239684807001</v>
      </c>
      <c r="AX62" s="28" t="n">
        <v>0</v>
      </c>
      <c r="AY62" s="28" t="n">
        <v>165.7716569426043</v>
      </c>
      <c r="AZ62" s="28" t="n">
        <v>165.5193192942891</v>
      </c>
      <c r="BA62" s="28" t="n">
        <v>654.8733962192139</v>
      </c>
      <c r="BB62" s="28">
        <f>SUM(C62:BA62)</f>
        <v/>
      </c>
      <c r="BC62" s="28" t="n">
        <v>0</v>
      </c>
      <c r="BD62" s="28" t="n">
        <v>0</v>
      </c>
      <c r="BE62" s="28" t="n">
        <v>117806.7053112685</v>
      </c>
      <c r="BF62" s="28" t="n">
        <v>0</v>
      </c>
      <c r="BG62" s="28">
        <f>SUM(BC62:BF62)</f>
        <v/>
      </c>
      <c r="BH62" s="28">
        <f>BB62+BG62</f>
        <v/>
      </c>
    </row>
    <row r="63">
      <c r="A63" s="30" t="n">
        <v>50</v>
      </c>
      <c r="B63" s="31" t="inlineStr">
        <is>
          <t>Saúde pública</t>
        </is>
      </c>
      <c r="C63" s="30" t="n">
        <v>1.998114831523926</v>
      </c>
      <c r="D63" s="30" t="n">
        <v>1.191669504400005</v>
      </c>
      <c r="E63" s="30" t="n">
        <v>28.75505950284291</v>
      </c>
      <c r="F63" s="30" t="n">
        <v>4.893975427218968</v>
      </c>
      <c r="G63" s="30" t="n">
        <v>3.73435242908183</v>
      </c>
      <c r="H63" s="30" t="n">
        <v>48.26685484969557</v>
      </c>
      <c r="I63" s="30" t="n">
        <v>3.351225515582007</v>
      </c>
      <c r="J63" s="30" t="n">
        <v>1.984014806551489</v>
      </c>
      <c r="K63" s="30" t="n">
        <v>2.003007908886016</v>
      </c>
      <c r="L63" s="30" t="n">
        <v>2.660387568434864</v>
      </c>
      <c r="M63" s="30" t="n">
        <v>0.7576300190626705</v>
      </c>
      <c r="N63" s="30" t="n">
        <v>6.192427553383648</v>
      </c>
      <c r="O63" s="30" t="n">
        <v>0.8629399354861695</v>
      </c>
      <c r="P63" s="30" t="n">
        <v>8.224903477519621</v>
      </c>
      <c r="Q63" s="30" t="n">
        <v>1.48733495734828</v>
      </c>
      <c r="R63" s="30" t="n">
        <v>6.897917844928196</v>
      </c>
      <c r="S63" s="30" t="n">
        <v>1.547993577421282</v>
      </c>
      <c r="T63" s="30" t="n">
        <v>12.79192952148891</v>
      </c>
      <c r="U63" s="30" t="n">
        <v>4.756111861789048</v>
      </c>
      <c r="V63" s="30" t="n">
        <v>5.475290733356377</v>
      </c>
      <c r="W63" s="30" t="n">
        <v>3.031687947327165</v>
      </c>
      <c r="X63" s="30" t="n">
        <v>2.306143390517703</v>
      </c>
      <c r="Y63" s="30" t="n">
        <v>6.20583746564783</v>
      </c>
      <c r="Z63" s="30" t="n">
        <v>6.883383149887472</v>
      </c>
      <c r="AA63" s="30" t="n">
        <v>6.398150899071892</v>
      </c>
      <c r="AB63" s="30" t="n">
        <v>2.684482622409821</v>
      </c>
      <c r="AC63" s="30" t="n">
        <v>5.01060071441413</v>
      </c>
      <c r="AD63" s="30" t="n">
        <v>12.14282654905016</v>
      </c>
      <c r="AE63" s="30" t="n">
        <v>9.236469541165125</v>
      </c>
      <c r="AF63" s="30" t="n">
        <v>12.79332376391476</v>
      </c>
      <c r="AG63" s="30" t="n">
        <v>22.47559067978423</v>
      </c>
      <c r="AH63" s="30" t="n">
        <v>6.160643311351597</v>
      </c>
      <c r="AI63" s="30" t="n">
        <v>2.757224794667985</v>
      </c>
      <c r="AJ63" s="30" t="n">
        <v>2.164357280081948</v>
      </c>
      <c r="AK63" s="30" t="n">
        <v>20.05609516469203</v>
      </c>
      <c r="AL63" s="30" t="n">
        <v>30.37702919528682</v>
      </c>
      <c r="AM63" s="30" t="n">
        <v>100.7890461250558</v>
      </c>
      <c r="AN63" s="30" t="n">
        <v>44.02407947954722</v>
      </c>
      <c r="AO63" s="30" t="n">
        <v>70.48783658855244</v>
      </c>
      <c r="AP63" s="30" t="n">
        <v>72.22771773543086</v>
      </c>
      <c r="AQ63" s="30" t="n">
        <v>4.83530535978063</v>
      </c>
      <c r="AR63" s="30" t="n">
        <v>0.3695521742974772</v>
      </c>
      <c r="AS63" s="30" t="n">
        <v>6.348415614293891</v>
      </c>
      <c r="AT63" s="30" t="n">
        <v>71.77701982010723</v>
      </c>
      <c r="AU63" s="30" t="n">
        <v>13.42031214887992</v>
      </c>
      <c r="AV63" s="30" t="n">
        <v>208.6818182169485</v>
      </c>
      <c r="AW63" s="30" t="n">
        <v>23.58719679315939</v>
      </c>
      <c r="AX63" s="30" t="n">
        <v>0</v>
      </c>
      <c r="AY63" s="30" t="n">
        <v>13.83296253567891</v>
      </c>
      <c r="AZ63" s="30" t="n">
        <v>14.40422305446202</v>
      </c>
      <c r="BA63" s="30" t="n">
        <v>56.97852058127796</v>
      </c>
      <c r="BB63" s="30">
        <f>SUM(C63:BA63)</f>
        <v/>
      </c>
      <c r="BC63" s="30" t="n">
        <v>0</v>
      </c>
      <c r="BD63" s="30" t="n">
        <v>0</v>
      </c>
      <c r="BE63" s="30" t="n">
        <v>77653.07118980506</v>
      </c>
      <c r="BF63" s="30" t="n">
        <v>0</v>
      </c>
      <c r="BG63" s="30">
        <f>SUM(BC63:BF63)</f>
        <v/>
      </c>
      <c r="BH63" s="30">
        <f>BB63+BG63</f>
        <v/>
      </c>
    </row>
    <row r="64">
      <c r="A64" s="28" t="n">
        <v>51</v>
      </c>
      <c r="B64" s="29" t="inlineStr">
        <is>
          <t>Administração pública e seguridade social</t>
        </is>
      </c>
      <c r="C64" s="28" t="n">
        <v>514.6883446655114</v>
      </c>
      <c r="D64" s="28" t="n">
        <v>149.7835585032624</v>
      </c>
      <c r="E64" s="28" t="n">
        <v>596.9384883614384</v>
      </c>
      <c r="F64" s="28" t="n">
        <v>126.1702147909442</v>
      </c>
      <c r="G64" s="28" t="n">
        <v>86.94215631120073</v>
      </c>
      <c r="H64" s="28" t="n">
        <v>1701.418134674304</v>
      </c>
      <c r="I64" s="28" t="n">
        <v>59.96233929433395</v>
      </c>
      <c r="J64" s="28" t="n">
        <v>64.06667852710443</v>
      </c>
      <c r="K64" s="28" t="n">
        <v>65.79761881894837</v>
      </c>
      <c r="L64" s="28" t="n">
        <v>58.48299644427684</v>
      </c>
      <c r="M64" s="28" t="n">
        <v>37.13418834751678</v>
      </c>
      <c r="N64" s="28" t="n">
        <v>196.910413292347</v>
      </c>
      <c r="O64" s="28" t="n">
        <v>166.6900828714781</v>
      </c>
      <c r="P64" s="28" t="n">
        <v>161.3851006740864</v>
      </c>
      <c r="Q64" s="28" t="n">
        <v>38.49778991034793</v>
      </c>
      <c r="R64" s="28" t="n">
        <v>458.263851476281</v>
      </c>
      <c r="S64" s="28" t="n">
        <v>59.70680171069907</v>
      </c>
      <c r="T64" s="28" t="n">
        <v>249.3124565327807</v>
      </c>
      <c r="U64" s="28" t="n">
        <v>96.67068498841758</v>
      </c>
      <c r="V64" s="28" t="n">
        <v>119.7149284287052</v>
      </c>
      <c r="W64" s="28" t="n">
        <v>76.21985889850843</v>
      </c>
      <c r="X64" s="28" t="n">
        <v>65.50913630873708</v>
      </c>
      <c r="Y64" s="28" t="n">
        <v>154.2767068316329</v>
      </c>
      <c r="Z64" s="28" t="n">
        <v>195.8154311058623</v>
      </c>
      <c r="AA64" s="28" t="n">
        <v>247.2340790974151</v>
      </c>
      <c r="AB64" s="28" t="n">
        <v>90.55064935603599</v>
      </c>
      <c r="AC64" s="28" t="n">
        <v>124.4385448659302</v>
      </c>
      <c r="AD64" s="28" t="n">
        <v>253.1441080398407</v>
      </c>
      <c r="AE64" s="28" t="n">
        <v>186.0747981543907</v>
      </c>
      <c r="AF64" s="28" t="n">
        <v>257.5475342970548</v>
      </c>
      <c r="AG64" s="28" t="n">
        <v>448.1142943418405</v>
      </c>
      <c r="AH64" s="28" t="n">
        <v>142.6620620342889</v>
      </c>
      <c r="AI64" s="28" t="n">
        <v>61.63310756468318</v>
      </c>
      <c r="AJ64" s="28" t="n">
        <v>53.21584872215848</v>
      </c>
      <c r="AK64" s="28" t="n">
        <v>739.2373970789998</v>
      </c>
      <c r="AL64" s="28" t="n">
        <v>584.6824718315627</v>
      </c>
      <c r="AM64" s="28" t="n">
        <v>2747.094270303308</v>
      </c>
      <c r="AN64" s="28" t="n">
        <v>1139.053191884945</v>
      </c>
      <c r="AO64" s="28" t="n">
        <v>1795.031082482903</v>
      </c>
      <c r="AP64" s="28" t="n">
        <v>1564.764925824083</v>
      </c>
      <c r="AQ64" s="28" t="n">
        <v>135.871535608857</v>
      </c>
      <c r="AR64" s="28" t="n">
        <v>16.68448126021316</v>
      </c>
      <c r="AS64" s="28" t="n">
        <v>187.0324543349636</v>
      </c>
      <c r="AT64" s="28" t="n">
        <v>1917.367325472183</v>
      </c>
      <c r="AU64" s="28" t="n">
        <v>321.6007057696444</v>
      </c>
      <c r="AV64" s="28" t="n">
        <v>185.3130638678995</v>
      </c>
      <c r="AW64" s="28" t="n">
        <v>945.203429490621</v>
      </c>
      <c r="AX64" s="28" t="n">
        <v>0</v>
      </c>
      <c r="AY64" s="28" t="n">
        <v>334.3422234057156</v>
      </c>
      <c r="AZ64" s="28" t="n">
        <v>304.5258994685062</v>
      </c>
      <c r="BA64" s="28" t="n">
        <v>1296.162476132687</v>
      </c>
      <c r="BB64" s="28">
        <f>SUM(C64:BA64)</f>
        <v/>
      </c>
      <c r="BC64" s="28" t="n">
        <v>0</v>
      </c>
      <c r="BD64" s="28" t="n">
        <v>0</v>
      </c>
      <c r="BE64" s="28" t="n">
        <v>373195.7628718225</v>
      </c>
      <c r="BF64" s="28" t="n">
        <v>0</v>
      </c>
      <c r="BG64" s="28">
        <f>SUM(BC64:BF64)</f>
        <v/>
      </c>
      <c r="BH64" s="28">
        <f>BB64+BG64</f>
        <v/>
      </c>
    </row>
    <row r="65">
      <c r="B65" s="32" t="inlineStr">
        <is>
          <t>Total consumo intermedio</t>
        </is>
      </c>
      <c r="C65" s="33">
        <f>SUM(C14:C64)</f>
        <v/>
      </c>
      <c r="D65" s="33">
        <f>SUM(D14:D64)</f>
        <v/>
      </c>
      <c r="E65" s="33">
        <f>SUM(E14:E64)</f>
        <v/>
      </c>
      <c r="F65" s="33">
        <f>SUM(F14:F64)</f>
        <v/>
      </c>
      <c r="G65" s="33">
        <f>SUM(G14:G64)</f>
        <v/>
      </c>
      <c r="H65" s="33">
        <f>SUM(H14:H64)</f>
        <v/>
      </c>
      <c r="I65" s="33">
        <f>SUM(I14:I64)</f>
        <v/>
      </c>
      <c r="J65" s="33">
        <f>SUM(J14:J64)</f>
        <v/>
      </c>
      <c r="K65" s="33">
        <f>SUM(K14:K64)</f>
        <v/>
      </c>
      <c r="L65" s="33">
        <f>SUM(L14:L64)</f>
        <v/>
      </c>
      <c r="M65" s="33">
        <f>SUM(M14:M64)</f>
        <v/>
      </c>
      <c r="N65" s="33">
        <f>SUM(N14:N64)</f>
        <v/>
      </c>
      <c r="O65" s="33">
        <f>SUM(O14:O64)</f>
        <v/>
      </c>
      <c r="P65" s="33">
        <f>SUM(P14:P64)</f>
        <v/>
      </c>
      <c r="Q65" s="33">
        <f>SUM(Q14:Q64)</f>
        <v/>
      </c>
      <c r="R65" s="33">
        <f>SUM(R14:R64)</f>
        <v/>
      </c>
      <c r="S65" s="33">
        <f>SUM(S14:S64)</f>
        <v/>
      </c>
      <c r="T65" s="33">
        <f>SUM(T14:T64)</f>
        <v/>
      </c>
      <c r="U65" s="33">
        <f>SUM(U14:U64)</f>
        <v/>
      </c>
      <c r="V65" s="33">
        <f>SUM(V14:V64)</f>
        <v/>
      </c>
      <c r="W65" s="33">
        <f>SUM(W14:W64)</f>
        <v/>
      </c>
      <c r="X65" s="33">
        <f>SUM(X14:X64)</f>
        <v/>
      </c>
      <c r="Y65" s="33">
        <f>SUM(Y14:Y64)</f>
        <v/>
      </c>
      <c r="Z65" s="33">
        <f>SUM(Z14:Z64)</f>
        <v/>
      </c>
      <c r="AA65" s="33">
        <f>SUM(AA14:AA64)</f>
        <v/>
      </c>
      <c r="AB65" s="33">
        <f>SUM(AB14:AB64)</f>
        <v/>
      </c>
      <c r="AC65" s="33">
        <f>SUM(AC14:AC64)</f>
        <v/>
      </c>
      <c r="AD65" s="33">
        <f>SUM(AD14:AD64)</f>
        <v/>
      </c>
      <c r="AE65" s="33">
        <f>SUM(AE14:AE64)</f>
        <v/>
      </c>
      <c r="AF65" s="33">
        <f>SUM(AF14:AF64)</f>
        <v/>
      </c>
      <c r="AG65" s="33">
        <f>SUM(AG14:AG64)</f>
        <v/>
      </c>
      <c r="AH65" s="33">
        <f>SUM(AH14:AH64)</f>
        <v/>
      </c>
      <c r="AI65" s="33">
        <f>SUM(AI14:AI64)</f>
        <v/>
      </c>
      <c r="AJ65" s="33">
        <f>SUM(AJ14:AJ64)</f>
        <v/>
      </c>
      <c r="AK65" s="33">
        <f>SUM(AK14:AK64)</f>
        <v/>
      </c>
      <c r="AL65" s="33">
        <f>SUM(AL14:AL64)</f>
        <v/>
      </c>
      <c r="AM65" s="33">
        <f>SUM(AM14:AM64)</f>
        <v/>
      </c>
      <c r="AN65" s="33">
        <f>SUM(AN14:AN64)</f>
        <v/>
      </c>
      <c r="AO65" s="33">
        <f>SUM(AO14:AO64)</f>
        <v/>
      </c>
      <c r="AP65" s="33">
        <f>SUM(AP14:AP64)</f>
        <v/>
      </c>
      <c r="AQ65" s="33">
        <f>SUM(AQ14:AQ64)</f>
        <v/>
      </c>
      <c r="AR65" s="33">
        <f>SUM(AR14:AR64)</f>
        <v/>
      </c>
      <c r="AS65" s="33">
        <f>SUM(AS14:AS64)</f>
        <v/>
      </c>
      <c r="AT65" s="33">
        <f>SUM(AT14:AT64)</f>
        <v/>
      </c>
      <c r="AU65" s="33">
        <f>SUM(AU14:AU64)</f>
        <v/>
      </c>
      <c r="AV65" s="33">
        <f>SUM(AV14:AV64)</f>
        <v/>
      </c>
      <c r="AW65" s="33">
        <f>SUM(AW14:AW64)</f>
        <v/>
      </c>
      <c r="AX65" s="33">
        <f>SUM(AX14:AX64)</f>
        <v/>
      </c>
      <c r="AY65" s="33">
        <f>SUM(AY14:AY64)</f>
        <v/>
      </c>
      <c r="AZ65" s="33">
        <f>SUM(AZ14:AZ64)</f>
        <v/>
      </c>
      <c r="BA65" s="33">
        <f>SUM(BA14:BA64)</f>
        <v/>
      </c>
      <c r="BB65" s="33">
        <f>SUM(BB14:BB64)</f>
        <v/>
      </c>
      <c r="BC65" s="33">
        <f>SUM(BC14:BC64)</f>
        <v/>
      </c>
      <c r="BD65" s="33">
        <f>SUM(BD14:BD64)</f>
        <v/>
      </c>
      <c r="BE65" s="33">
        <f>SUM(BE14:BE64)</f>
        <v/>
      </c>
      <c r="BF65" s="33">
        <f>SUM(BF14:BF64)</f>
        <v/>
      </c>
      <c r="BG65" s="33">
        <f>SUM(BG14:BG64)</f>
        <v/>
      </c>
      <c r="BH65" s="33">
        <f>SUM(BH14:BH64)</f>
        <v/>
      </c>
    </row>
    <row r="66"/>
    <row r="67">
      <c r="B67" s="32" t="inlineStr">
        <is>
          <t>Ajuste intermedio no asignado a matriz</t>
        </is>
      </c>
      <c r="C67" s="33" t="n">
        <v>0</v>
      </c>
      <c r="D67" s="33" t="n">
        <v>3.637978807091713e-12</v>
      </c>
      <c r="E67" s="33" t="n">
        <v>9.094947017729282e-13</v>
      </c>
      <c r="F67" s="33" t="n">
        <v>1.605826582817826e-12</v>
      </c>
      <c r="G67" s="33" t="n">
        <v>4.547473508864641e-13</v>
      </c>
      <c r="H67" s="33" t="n">
        <v>-5.456968210637569e-12</v>
      </c>
      <c r="I67" s="33" t="n">
        <v>-1.63424829224823e-13</v>
      </c>
      <c r="J67" s="33" t="n">
        <v>-1.818989403545856e-12</v>
      </c>
      <c r="K67" s="33" t="n">
        <v>2.728484105318785e-12</v>
      </c>
      <c r="L67" s="33" t="n">
        <v>-2.273736754432321e-13</v>
      </c>
      <c r="M67" s="33" t="n">
        <v>-2.273736754432321e-13</v>
      </c>
      <c r="N67" s="33" t="n">
        <v>-4.547473508864641e-13</v>
      </c>
      <c r="O67" s="33" t="n">
        <v>0</v>
      </c>
      <c r="P67" s="33" t="n">
        <v>1.455191522836685e-11</v>
      </c>
      <c r="Q67" s="33" t="n">
        <v>-3.410605131648481e-13</v>
      </c>
      <c r="R67" s="33" t="n">
        <v>-7.275957614183426e-12</v>
      </c>
      <c r="S67" s="33" t="n">
        <v>1.818989403545856e-12</v>
      </c>
      <c r="T67" s="33" t="n">
        <v>2.629008122312371e-13</v>
      </c>
      <c r="U67" s="33" t="n">
        <v>1.364242052659392e-12</v>
      </c>
      <c r="V67" s="33" t="n">
        <v>0</v>
      </c>
      <c r="W67" s="33" t="n">
        <v>1.364242052659392e-12</v>
      </c>
      <c r="X67" s="33" t="n">
        <v>-6.821210263296962e-13</v>
      </c>
      <c r="Y67" s="33" t="n">
        <v>-9.094947017729282e-13</v>
      </c>
      <c r="Z67" s="33" t="n">
        <v>0</v>
      </c>
      <c r="AA67" s="33" t="n">
        <v>1.818989403545856e-12</v>
      </c>
      <c r="AB67" s="33" t="n">
        <v>2.728484105318785e-12</v>
      </c>
      <c r="AC67" s="33" t="n">
        <v>0</v>
      </c>
      <c r="AD67" s="33" t="n">
        <v>7.275957614183426e-12</v>
      </c>
      <c r="AE67" s="33" t="n">
        <v>9.094947017729282e-13</v>
      </c>
      <c r="AF67" s="33" t="n">
        <v>-1.091393642127514e-11</v>
      </c>
      <c r="AG67" s="33" t="n">
        <v>-3.637978807091713e-12</v>
      </c>
      <c r="AH67" s="33" t="n">
        <v>-9.094947017729282e-12</v>
      </c>
      <c r="AI67" s="33" t="n">
        <v>-9.094947017729282e-13</v>
      </c>
      <c r="AJ67" s="33" t="n">
        <v>1.818989403545856e-12</v>
      </c>
      <c r="AK67" s="33" t="n">
        <v>1.818989403545856e-12</v>
      </c>
      <c r="AL67" s="33" t="n">
        <v>-7.275957614183426e-12</v>
      </c>
      <c r="AM67" s="33" t="n">
        <v>1.296029950026423e-11</v>
      </c>
      <c r="AN67" s="33" t="n">
        <v>-1.591615728102624e-12</v>
      </c>
      <c r="AO67" s="33" t="n">
        <v>4.547473508864641e-12</v>
      </c>
      <c r="AP67" s="33" t="n">
        <v>-1.818989403545856e-12</v>
      </c>
      <c r="AQ67" s="33" t="n">
        <v>4.547473508864641e-13</v>
      </c>
      <c r="AR67" s="33" t="n">
        <v>2.273736754432321e-13</v>
      </c>
      <c r="AS67" s="33" t="n">
        <v>0</v>
      </c>
      <c r="AT67" s="33" t="n">
        <v>1.818989403545856e-12</v>
      </c>
      <c r="AU67" s="33" t="n">
        <v>4.547473508864641e-13</v>
      </c>
      <c r="AV67" s="33" t="n">
        <v>1.818989403545856e-12</v>
      </c>
      <c r="AW67" s="33" t="n">
        <v>-3.637978807091713e-12</v>
      </c>
      <c r="AX67" s="33" t="n">
        <v>0</v>
      </c>
      <c r="AY67" s="33" t="n">
        <v>9.094947017729282e-13</v>
      </c>
      <c r="AZ67" s="33" t="n">
        <v>-1.364242052659392e-12</v>
      </c>
      <c r="BA67" s="33" t="n">
        <v>1.818989403545856e-12</v>
      </c>
      <c r="BH67" s="33">
        <f>SUM(C67:BA67)</f>
        <v/>
      </c>
    </row>
    <row r="68"/>
    <row r="69">
      <c r="B69" s="32" t="inlineStr">
        <is>
          <t>Valor agregado</t>
        </is>
      </c>
      <c r="C69" s="33" t="n">
        <v>99762.7371457682</v>
      </c>
      <c r="D69" s="33" t="n">
        <v>42288.440006774</v>
      </c>
      <c r="E69" s="33" t="n">
        <v>72721.116815366</v>
      </c>
      <c r="F69" s="33" t="n">
        <v>18462.2499312295</v>
      </c>
      <c r="G69" s="33" t="n">
        <v>9104.752474493769</v>
      </c>
      <c r="H69" s="33" t="n">
        <v>57111.1542360376</v>
      </c>
      <c r="I69" s="33" t="n">
        <v>1889.32637664723</v>
      </c>
      <c r="J69" s="33" t="n">
        <v>7665.74088369105</v>
      </c>
      <c r="K69" s="33" t="n">
        <v>18381.5868087249</v>
      </c>
      <c r="L69" s="33" t="n">
        <v>7915.73389867525</v>
      </c>
      <c r="M69" s="33" t="n">
        <v>8147.63116934507</v>
      </c>
      <c r="N69" s="33" t="n">
        <v>11156.9722399899</v>
      </c>
      <c r="O69" s="33" t="n">
        <v>7614.70771443783</v>
      </c>
      <c r="P69" s="33" t="n">
        <v>16125.3072760639</v>
      </c>
      <c r="Q69" s="33" t="n">
        <v>4705.6279519846</v>
      </c>
      <c r="R69" s="33" t="n">
        <v>21124.8472751465</v>
      </c>
      <c r="S69" s="33" t="n">
        <v>6590.75340681454</v>
      </c>
      <c r="T69" s="33" t="n">
        <v>17095.5539607778</v>
      </c>
      <c r="U69" s="33" t="n">
        <v>1992.74870844539</v>
      </c>
      <c r="V69" s="33" t="n">
        <v>4781.18176014582</v>
      </c>
      <c r="W69" s="33" t="n">
        <v>1644.14244847053</v>
      </c>
      <c r="X69" s="33" t="n">
        <v>2292.60104346396</v>
      </c>
      <c r="Y69" s="33" t="n">
        <v>14573.901762593</v>
      </c>
      <c r="Z69" s="33" t="n">
        <v>15555.1994254587</v>
      </c>
      <c r="AA69" s="33" t="n">
        <v>31587.1046125562</v>
      </c>
      <c r="AB69" s="33" t="n">
        <v>6202.20257602702</v>
      </c>
      <c r="AC69" s="33" t="n">
        <v>28776.2407707042</v>
      </c>
      <c r="AD69" s="33" t="n">
        <v>39041.5233465067</v>
      </c>
      <c r="AE69" s="33" t="n">
        <v>10239.7684501948</v>
      </c>
      <c r="AF69" s="33" t="n">
        <v>15304.8200711144</v>
      </c>
      <c r="AG69" s="33" t="n">
        <v>32956.8158139122</v>
      </c>
      <c r="AH69" s="33" t="n">
        <v>15746.4852248711</v>
      </c>
      <c r="AI69" s="33" t="n">
        <v>11421.9277274679</v>
      </c>
      <c r="AJ69" s="33" t="n">
        <v>16336.9153872166</v>
      </c>
      <c r="AK69" s="33" t="n">
        <v>68838.5797578051</v>
      </c>
      <c r="AL69" s="33" t="n">
        <v>114801.95695688</v>
      </c>
      <c r="AM69" s="33" t="n">
        <v>322108.956314723</v>
      </c>
      <c r="AN69" s="33" t="n">
        <v>104512.689725205</v>
      </c>
      <c r="AO69" s="33" t="n">
        <v>114634.255049789</v>
      </c>
      <c r="AP69" s="33" t="n">
        <v>170819.279064624</v>
      </c>
      <c r="AQ69" s="33" t="n">
        <v>221299.433069087</v>
      </c>
      <c r="AR69" s="33" t="n">
        <v>8626.935216074089</v>
      </c>
      <c r="AS69" s="33" t="n">
        <v>46237.0475554843</v>
      </c>
      <c r="AT69" s="33" t="n">
        <v>156649.416446613</v>
      </c>
      <c r="AU69" s="33" t="n">
        <v>30219.0851296454</v>
      </c>
      <c r="AV69" s="33" t="n">
        <v>52194.4303026218</v>
      </c>
      <c r="AW69" s="33" t="n">
        <v>74778.4337918793</v>
      </c>
      <c r="AX69" s="33" t="n">
        <v>30216.7038422306</v>
      </c>
      <c r="AY69" s="33" t="n">
        <v>101782.209625919</v>
      </c>
      <c r="AZ69" s="33" t="n">
        <v>53521.328974797</v>
      </c>
      <c r="BA69" s="33" t="n">
        <v>278919.142093289</v>
      </c>
      <c r="BH69" s="33">
        <f>SUM(C69:BA69)</f>
        <v/>
      </c>
    </row>
    <row r="70"/>
    <row r="71">
      <c r="B71" s="32" t="inlineStr">
        <is>
          <t>Produccion total</t>
        </is>
      </c>
      <c r="C71" s="33">
        <f>C65+C67+C69</f>
        <v/>
      </c>
      <c r="D71" s="33">
        <f>D65+D67+D69</f>
        <v/>
      </c>
      <c r="E71" s="33">
        <f>E65+E67+E69</f>
        <v/>
      </c>
      <c r="F71" s="33">
        <f>F65+F67+F69</f>
        <v/>
      </c>
      <c r="G71" s="33">
        <f>G65+G67+G69</f>
        <v/>
      </c>
      <c r="H71" s="33">
        <f>H65+H67+H69</f>
        <v/>
      </c>
      <c r="I71" s="33">
        <f>I65+I67+I69</f>
        <v/>
      </c>
      <c r="J71" s="33">
        <f>J65+J67+J69</f>
        <v/>
      </c>
      <c r="K71" s="33">
        <f>K65+K67+K69</f>
        <v/>
      </c>
      <c r="L71" s="33">
        <f>L65+L67+L69</f>
        <v/>
      </c>
      <c r="M71" s="33">
        <f>M65+M67+M69</f>
        <v/>
      </c>
      <c r="N71" s="33">
        <f>N65+N67+N69</f>
        <v/>
      </c>
      <c r="O71" s="33">
        <f>O65+O67+O69</f>
        <v/>
      </c>
      <c r="P71" s="33">
        <f>P65+P67+P69</f>
        <v/>
      </c>
      <c r="Q71" s="33">
        <f>Q65+Q67+Q69</f>
        <v/>
      </c>
      <c r="R71" s="33">
        <f>R65+R67+R69</f>
        <v/>
      </c>
      <c r="S71" s="33">
        <f>S65+S67+S69</f>
        <v/>
      </c>
      <c r="T71" s="33">
        <f>T65+T67+T69</f>
        <v/>
      </c>
      <c r="U71" s="33">
        <f>U65+U67+U69</f>
        <v/>
      </c>
      <c r="V71" s="33">
        <f>V65+V67+V69</f>
        <v/>
      </c>
      <c r="W71" s="33">
        <f>W65+W67+W69</f>
        <v/>
      </c>
      <c r="X71" s="33">
        <f>X65+X67+X69</f>
        <v/>
      </c>
      <c r="Y71" s="33">
        <f>Y65+Y67+Y69</f>
        <v/>
      </c>
      <c r="Z71" s="33">
        <f>Z65+Z67+Z69</f>
        <v/>
      </c>
      <c r="AA71" s="33">
        <f>AA65+AA67+AA69</f>
        <v/>
      </c>
      <c r="AB71" s="33">
        <f>AB65+AB67+AB69</f>
        <v/>
      </c>
      <c r="AC71" s="33">
        <f>AC65+AC67+AC69</f>
        <v/>
      </c>
      <c r="AD71" s="33">
        <f>AD65+AD67+AD69</f>
        <v/>
      </c>
      <c r="AE71" s="33">
        <f>AE65+AE67+AE69</f>
        <v/>
      </c>
      <c r="AF71" s="33">
        <f>AF65+AF67+AF69</f>
        <v/>
      </c>
      <c r="AG71" s="33">
        <f>AG65+AG67+AG69</f>
        <v/>
      </c>
      <c r="AH71" s="33">
        <f>AH65+AH67+AH69</f>
        <v/>
      </c>
      <c r="AI71" s="33">
        <f>AI65+AI67+AI69</f>
        <v/>
      </c>
      <c r="AJ71" s="33">
        <f>AJ65+AJ67+AJ69</f>
        <v/>
      </c>
      <c r="AK71" s="33">
        <f>AK65+AK67+AK69</f>
        <v/>
      </c>
      <c r="AL71" s="33">
        <f>AL65+AL67+AL69</f>
        <v/>
      </c>
      <c r="AM71" s="33">
        <f>AM65+AM67+AM69</f>
        <v/>
      </c>
      <c r="AN71" s="33">
        <f>AN65+AN67+AN69</f>
        <v/>
      </c>
      <c r="AO71" s="33">
        <f>AO65+AO67+AO69</f>
        <v/>
      </c>
      <c r="AP71" s="33">
        <f>AP65+AP67+AP69</f>
        <v/>
      </c>
      <c r="AQ71" s="33">
        <f>AQ65+AQ67+AQ69</f>
        <v/>
      </c>
      <c r="AR71" s="33">
        <f>AR65+AR67+AR69</f>
        <v/>
      </c>
      <c r="AS71" s="33">
        <f>AS65+AS67+AS69</f>
        <v/>
      </c>
      <c r="AT71" s="33">
        <f>AT65+AT67+AT69</f>
        <v/>
      </c>
      <c r="AU71" s="33">
        <f>AU65+AU67+AU69</f>
        <v/>
      </c>
      <c r="AV71" s="33">
        <f>AV65+AV67+AV69</f>
        <v/>
      </c>
      <c r="AW71" s="33">
        <f>AW65+AW67+AW69</f>
        <v/>
      </c>
      <c r="AX71" s="33">
        <f>AX65+AX67+AX69</f>
        <v/>
      </c>
      <c r="AY71" s="33">
        <f>AY65+AY67+AY69</f>
        <v/>
      </c>
      <c r="AZ71" s="33">
        <f>AZ65+AZ67+AZ69</f>
        <v/>
      </c>
      <c r="BA71" s="33">
        <f>BA65+BA67+BA69</f>
        <v/>
      </c>
      <c r="BH71" s="33">
        <f>SUM(C71:BA71)</f>
        <v/>
      </c>
    </row>
    <row r="72">
      <c r="B72" s="32" t="inlineStr">
        <is>
          <t>Produccion fuente</t>
        </is>
      </c>
      <c r="C72" s="33" t="n">
        <v>180011.5357927211</v>
      </c>
      <c r="D72" s="33" t="n">
        <v>82721.04333141484</v>
      </c>
      <c r="E72" s="33" t="n">
        <v>119605.4152783296</v>
      </c>
      <c r="F72" s="33" t="n">
        <v>36169.19126716175</v>
      </c>
      <c r="G72" s="33" t="n">
        <v>22890.67153052581</v>
      </c>
      <c r="H72" s="33" t="n">
        <v>351303.2844506832</v>
      </c>
      <c r="I72" s="33" t="n">
        <v>10955.70787217154</v>
      </c>
      <c r="J72" s="33" t="n">
        <v>37550.16041162379</v>
      </c>
      <c r="K72" s="33" t="n">
        <v>42450.79609359061</v>
      </c>
      <c r="L72" s="33" t="n">
        <v>26397.57111409403</v>
      </c>
      <c r="M72" s="33" t="n">
        <v>19540.06333550223</v>
      </c>
      <c r="N72" s="33" t="n">
        <v>47166.41671713419</v>
      </c>
      <c r="O72" s="33" t="n">
        <v>16802.64916708744</v>
      </c>
      <c r="P72" s="33" t="n">
        <v>220868.3872656036</v>
      </c>
      <c r="Q72" s="33" t="n">
        <v>20567.11854984396</v>
      </c>
      <c r="R72" s="33" t="n">
        <v>80593.31152800945</v>
      </c>
      <c r="S72" s="33" t="n">
        <v>28170.04016437652</v>
      </c>
      <c r="T72" s="33" t="n">
        <v>34646.62070021381</v>
      </c>
      <c r="U72" s="33" t="n">
        <v>16252.49368870814</v>
      </c>
      <c r="V72" s="33" t="n">
        <v>23322.50313666971</v>
      </c>
      <c r="W72" s="33" t="n">
        <v>12055.87719772069</v>
      </c>
      <c r="X72" s="33" t="n">
        <v>14885.13595586721</v>
      </c>
      <c r="Y72" s="33" t="n">
        <v>62913.96457609033</v>
      </c>
      <c r="Z72" s="33" t="n">
        <v>52775.84208340917</v>
      </c>
      <c r="AA72" s="33" t="n">
        <v>107111.17187697</v>
      </c>
      <c r="AB72" s="33" t="n">
        <v>37160.41025808445</v>
      </c>
      <c r="AC72" s="33" t="n">
        <v>73891.51979704158</v>
      </c>
      <c r="AD72" s="33" t="n">
        <v>124020.0593400872</v>
      </c>
      <c r="AE72" s="33" t="n">
        <v>52738.38714942258</v>
      </c>
      <c r="AF72" s="33" t="n">
        <v>69317.79524761312</v>
      </c>
      <c r="AG72" s="33" t="n">
        <v>131440.1259066513</v>
      </c>
      <c r="AH72" s="33" t="n">
        <v>68813.25752439648</v>
      </c>
      <c r="AI72" s="33" t="n">
        <v>36685.1918457339</v>
      </c>
      <c r="AJ72" s="33" t="n">
        <v>39257.40746447233</v>
      </c>
      <c r="AK72" s="33" t="n">
        <v>159741.8582308338</v>
      </c>
      <c r="AL72" s="33" t="n">
        <v>309896.3132601352</v>
      </c>
      <c r="AM72" s="33" t="n">
        <v>511097.1751644803</v>
      </c>
      <c r="AN72" s="33" t="n">
        <v>261922.5383374235</v>
      </c>
      <c r="AO72" s="33" t="n">
        <v>227167.5247902578</v>
      </c>
      <c r="AP72" s="33" t="n">
        <v>272862.2505562823</v>
      </c>
      <c r="AQ72" s="33" t="n">
        <v>247157.9612972761</v>
      </c>
      <c r="AR72" s="33" t="n">
        <v>11746.51012750534</v>
      </c>
      <c r="AS72" s="33" t="n">
        <v>106880.2635962482</v>
      </c>
      <c r="AT72" s="33" t="n">
        <v>264370.2711029037</v>
      </c>
      <c r="AU72" s="33" t="n">
        <v>47292.1225296886</v>
      </c>
      <c r="AV72" s="33" t="n">
        <v>96297.62868880319</v>
      </c>
      <c r="AW72" s="33" t="n">
        <v>145782.4402914446</v>
      </c>
      <c r="AX72" s="33" t="n">
        <v>30216.7038422306</v>
      </c>
      <c r="AY72" s="33" t="n">
        <v>125817.3669219663</v>
      </c>
      <c r="AZ72" s="33" t="n">
        <v>78535.03891644411</v>
      </c>
      <c r="BA72" s="33" t="n">
        <v>391468.1725327049</v>
      </c>
      <c r="BH72" s="33">
        <f>SUM(C72:BA72)</f>
        <v/>
      </c>
    </row>
    <row r="73">
      <c r="B73" s="35" t="inlineStr">
        <is>
          <t>Check produccion total - fuente</t>
        </is>
      </c>
      <c r="C73" s="36">
        <f>C71-C72</f>
        <v/>
      </c>
      <c r="D73" s="36">
        <f>D71-D72</f>
        <v/>
      </c>
      <c r="E73" s="36">
        <f>E71-E72</f>
        <v/>
      </c>
      <c r="F73" s="36">
        <f>F71-F72</f>
        <v/>
      </c>
      <c r="G73" s="36">
        <f>G71-G72</f>
        <v/>
      </c>
      <c r="H73" s="36">
        <f>H71-H72</f>
        <v/>
      </c>
      <c r="I73" s="36">
        <f>I71-I72</f>
        <v/>
      </c>
      <c r="J73" s="36">
        <f>J71-J72</f>
        <v/>
      </c>
      <c r="K73" s="36">
        <f>K71-K72</f>
        <v/>
      </c>
      <c r="L73" s="36">
        <f>L71-L72</f>
        <v/>
      </c>
      <c r="M73" s="36">
        <f>M71-M72</f>
        <v/>
      </c>
      <c r="N73" s="36">
        <f>N71-N72</f>
        <v/>
      </c>
      <c r="O73" s="36">
        <f>O71-O72</f>
        <v/>
      </c>
      <c r="P73" s="36">
        <f>P71-P72</f>
        <v/>
      </c>
      <c r="Q73" s="36">
        <f>Q71-Q72</f>
        <v/>
      </c>
      <c r="R73" s="36">
        <f>R71-R72</f>
        <v/>
      </c>
      <c r="S73" s="36">
        <f>S71-S72</f>
        <v/>
      </c>
      <c r="T73" s="36">
        <f>T71-T72</f>
        <v/>
      </c>
      <c r="U73" s="36">
        <f>U71-U72</f>
        <v/>
      </c>
      <c r="V73" s="36">
        <f>V71-V72</f>
        <v/>
      </c>
      <c r="W73" s="36">
        <f>W71-W72</f>
        <v/>
      </c>
      <c r="X73" s="36">
        <f>X71-X72</f>
        <v/>
      </c>
      <c r="Y73" s="36">
        <f>Y71-Y72</f>
        <v/>
      </c>
      <c r="Z73" s="36">
        <f>Z71-Z72</f>
        <v/>
      </c>
      <c r="AA73" s="36">
        <f>AA71-AA72</f>
        <v/>
      </c>
      <c r="AB73" s="36">
        <f>AB71-AB72</f>
        <v/>
      </c>
      <c r="AC73" s="36">
        <f>AC71-AC72</f>
        <v/>
      </c>
      <c r="AD73" s="36">
        <f>AD71-AD72</f>
        <v/>
      </c>
      <c r="AE73" s="36">
        <f>AE71-AE72</f>
        <v/>
      </c>
      <c r="AF73" s="36">
        <f>AF71-AF72</f>
        <v/>
      </c>
      <c r="AG73" s="36">
        <f>AG71-AG72</f>
        <v/>
      </c>
      <c r="AH73" s="36">
        <f>AH71-AH72</f>
        <v/>
      </c>
      <c r="AI73" s="36">
        <f>AI71-AI72</f>
        <v/>
      </c>
      <c r="AJ73" s="36">
        <f>AJ71-AJ72</f>
        <v/>
      </c>
      <c r="AK73" s="36">
        <f>AK71-AK72</f>
        <v/>
      </c>
      <c r="AL73" s="36">
        <f>AL71-AL72</f>
        <v/>
      </c>
      <c r="AM73" s="36">
        <f>AM71-AM72</f>
        <v/>
      </c>
      <c r="AN73" s="36">
        <f>AN71-AN72</f>
        <v/>
      </c>
      <c r="AO73" s="36">
        <f>AO71-AO72</f>
        <v/>
      </c>
      <c r="AP73" s="36">
        <f>AP71-AP72</f>
        <v/>
      </c>
      <c r="AQ73" s="36">
        <f>AQ71-AQ72</f>
        <v/>
      </c>
      <c r="AR73" s="36">
        <f>AR71-AR72</f>
        <v/>
      </c>
      <c r="AS73" s="36">
        <f>AS71-AS72</f>
        <v/>
      </c>
      <c r="AT73" s="36">
        <f>AT71-AT72</f>
        <v/>
      </c>
      <c r="AU73" s="36">
        <f>AU71-AU72</f>
        <v/>
      </c>
      <c r="AV73" s="36">
        <f>AV71-AV72</f>
        <v/>
      </c>
      <c r="AW73" s="36">
        <f>AW71-AW72</f>
        <v/>
      </c>
      <c r="AX73" s="36">
        <f>AX71-AX72</f>
        <v/>
      </c>
      <c r="AY73" s="36">
        <f>AY71-AY72</f>
        <v/>
      </c>
      <c r="AZ73" s="36">
        <f>AZ71-AZ72</f>
        <v/>
      </c>
      <c r="BA73" s="36">
        <f>BA71-BA72</f>
        <v/>
      </c>
      <c r="BH73" s="36">
        <f>SUM(C73:BA73)</f>
        <v/>
      </c>
    </row>
    <row r="74"/>
    <row r="75">
      <c r="B75" s="31" t="inlineStr">
        <is>
          <t>Nota</t>
        </is>
      </c>
      <c r="C75" s="31" t="inlineStr">
        <is>
          <t>Z total = Z nacional + matriz importada/ajuste asignada. El residuo de ajuste no asignado queda como fila firmada.</t>
        </is>
      </c>
    </row>
  </sheetData>
  <mergeCells count="9">
    <mergeCell ref="BG10:BG12"/>
    <mergeCell ref="C10:BA10"/>
    <mergeCell ref="BH10:BH12"/>
    <mergeCell ref="A3:H4"/>
    <mergeCell ref="B10:B12"/>
    <mergeCell ref="A10:A12"/>
    <mergeCell ref="A1:H1"/>
    <mergeCell ref="BB10:BB12"/>
    <mergeCell ref="BC10:BF10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71"/>
  <sheetViews>
    <sheetView showGridLines="0" zoomScale="8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4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  <col width="24" customWidth="1" min="7" max="7"/>
    <col width="24" customWidth="1" min="8" max="8"/>
  </cols>
  <sheetData>
    <row r="1">
      <c r="A1" s="16" t="inlineStr">
        <is>
          <t>Matriz de multiplicadores y validacion</t>
        </is>
      </c>
      <c r="B1" s="16" t="inlineStr"/>
      <c r="C1" s="16" t="inlineStr"/>
      <c r="D1" s="16" t="inlineStr"/>
      <c r="E1" s="16" t="inlineStr"/>
      <c r="F1" s="16" t="inlineStr"/>
      <c r="G1" s="16" t="inlineStr"/>
      <c r="H1" s="16" t="inlineStr"/>
    </row>
    <row r="2"/>
    <row r="3">
      <c r="A3" s="37" t="inlineStr">
        <is>
          <t>Codigo</t>
        </is>
      </c>
      <c r="B3" s="37" t="inlineStr">
        <is>
          <t>Actividad economica</t>
        </is>
      </c>
      <c r="C3" s="37" t="inlineStr">
        <is>
          <t>Produccion</t>
        </is>
      </c>
      <c r="D3" s="37" t="inlineStr">
        <is>
          <t>Valor agregado</t>
        </is>
      </c>
      <c r="E3" s="37" t="inlineStr">
        <is>
          <t>Multiplicador Leontief</t>
        </is>
      </c>
      <c r="F3" s="37" t="inlineStr">
        <is>
          <t>Indice atras Leontief</t>
        </is>
      </c>
      <c r="G3" s="37" t="inlineStr">
        <is>
          <t>Encadenamiento adelante Ghosh</t>
        </is>
      </c>
      <c r="H3" s="37" t="inlineStr">
        <is>
          <t>Indice adelante Ghosh</t>
        </is>
      </c>
    </row>
    <row r="4">
      <c r="A4" s="10" t="inlineStr"/>
      <c r="B4" s="10" t="inlineStr">
        <is>
          <t>Agricultura silvicultura exploração florestal</t>
        </is>
      </c>
      <c r="C4" s="11" t="n">
        <v>180011.5357927211</v>
      </c>
      <c r="D4" s="11" t="n">
        <v>99762.7371457682</v>
      </c>
      <c r="E4" s="11" t="n">
        <v>1.650078919878318</v>
      </c>
      <c r="F4" s="11" t="n">
        <v>0.8309911044690025</v>
      </c>
      <c r="G4" s="11" t="n">
        <v>1.933289585108321</v>
      </c>
      <c r="H4" s="11" t="n">
        <v>0.9855968244241116</v>
      </c>
    </row>
    <row r="5">
      <c r="A5" s="10" t="inlineStr"/>
      <c r="B5" s="10" t="inlineStr">
        <is>
          <t>Pecuária e pesca</t>
        </is>
      </c>
      <c r="C5" s="11" t="n">
        <v>82721.04333141484</v>
      </c>
      <c r="D5" s="11" t="n">
        <v>42288.440006774</v>
      </c>
      <c r="E5" s="11" t="n">
        <v>1.748871994927128</v>
      </c>
      <c r="F5" s="11" t="n">
        <v>0.8807439772314479</v>
      </c>
      <c r="G5" s="11" t="n">
        <v>1.999375436536235</v>
      </c>
      <c r="H5" s="11" t="n">
        <v>1.019287589536813</v>
      </c>
    </row>
    <row r="6">
      <c r="A6" s="10" t="inlineStr"/>
      <c r="B6" s="10" t="inlineStr">
        <is>
          <t>Petróleo e gás natural</t>
        </is>
      </c>
      <c r="C6" s="11" t="n">
        <v>119605.4152783296</v>
      </c>
      <c r="D6" s="11" t="n">
        <v>72721.116815366</v>
      </c>
      <c r="E6" s="11" t="n">
        <v>1.634683548149178</v>
      </c>
      <c r="F6" s="11" t="n">
        <v>0.8232378892725726</v>
      </c>
      <c r="G6" s="11" t="n">
        <v>3.071925648889534</v>
      </c>
      <c r="H6" s="11" t="n">
        <v>1.566076902153727</v>
      </c>
    </row>
    <row r="7">
      <c r="A7" s="10" t="inlineStr"/>
      <c r="B7" s="10" t="inlineStr">
        <is>
          <t>Minério de ferro</t>
        </is>
      </c>
      <c r="C7" s="11" t="n">
        <v>36169.19126716175</v>
      </c>
      <c r="D7" s="11" t="n">
        <v>18462.2499312295</v>
      </c>
      <c r="E7" s="11" t="n">
        <v>1.987269880928914</v>
      </c>
      <c r="F7" s="11" t="n">
        <v>1.000802793937202</v>
      </c>
      <c r="G7" s="11" t="n">
        <v>1.623567751426368</v>
      </c>
      <c r="H7" s="11" t="n">
        <v>0.827699705398023</v>
      </c>
    </row>
    <row r="8">
      <c r="A8" s="10" t="inlineStr"/>
      <c r="B8" s="10" t="inlineStr">
        <is>
          <t>Outros da indústria extrativa</t>
        </is>
      </c>
      <c r="C8" s="11" t="n">
        <v>22890.67153052581</v>
      </c>
      <c r="D8" s="11" t="n">
        <v>9104.752474493769</v>
      </c>
      <c r="E8" s="11" t="n">
        <v>2.054301226833856</v>
      </c>
      <c r="F8" s="11" t="n">
        <v>1.03456024123051</v>
      </c>
      <c r="G8" s="11" t="n">
        <v>2.97656917453532</v>
      </c>
      <c r="H8" s="11" t="n">
        <v>1.517463885751155</v>
      </c>
    </row>
    <row r="9">
      <c r="A9" s="10" t="inlineStr"/>
      <c r="B9" s="10" t="inlineStr">
        <is>
          <t>Alimentos e Bebidas</t>
        </is>
      </c>
      <c r="C9" s="11" t="n">
        <v>351303.2844506832</v>
      </c>
      <c r="D9" s="11" t="n">
        <v>57111.1542360376</v>
      </c>
      <c r="E9" s="11" t="n">
        <v>2.529356536666588</v>
      </c>
      <c r="F9" s="11" t="n">
        <v>1.273801365910097</v>
      </c>
      <c r="G9" s="11" t="n">
        <v>1.44626017417605</v>
      </c>
      <c r="H9" s="11" t="n">
        <v>0.7373077711371995</v>
      </c>
    </row>
    <row r="10">
      <c r="A10" s="10" t="inlineStr"/>
      <c r="B10" s="10" t="inlineStr">
        <is>
          <t>Produtos do fumo</t>
        </is>
      </c>
      <c r="C10" s="11" t="n">
        <v>10955.70787217154</v>
      </c>
      <c r="D10" s="11" t="n">
        <v>1889.32637664723</v>
      </c>
      <c r="E10" s="11" t="n">
        <v>2.460044455435442</v>
      </c>
      <c r="F10" s="11" t="n">
        <v>1.238895324604168</v>
      </c>
      <c r="G10" s="11" t="n">
        <v>1.036529694620881</v>
      </c>
      <c r="H10" s="11" t="n">
        <v>0.5284259447259138</v>
      </c>
    </row>
    <row r="11">
      <c r="A11" s="10" t="inlineStr"/>
      <c r="B11" s="10" t="inlineStr">
        <is>
          <t>Têxteis</t>
        </is>
      </c>
      <c r="C11" s="11" t="n">
        <v>37550.16041162379</v>
      </c>
      <c r="D11" s="11" t="n">
        <v>7665.74088369105</v>
      </c>
      <c r="E11" s="11" t="n">
        <v>2.361378117596091</v>
      </c>
      <c r="F11" s="11" t="n">
        <v>1.189206277572963</v>
      </c>
      <c r="G11" s="11" t="n">
        <v>1.874591934018379</v>
      </c>
      <c r="H11" s="11" t="n">
        <v>0.955672585985637</v>
      </c>
    </row>
    <row r="12">
      <c r="A12" s="10" t="inlineStr"/>
      <c r="B12" s="10" t="inlineStr">
        <is>
          <t>Artigos do vestuário e acessórios</t>
        </is>
      </c>
      <c r="C12" s="11" t="n">
        <v>42450.79609359061</v>
      </c>
      <c r="D12" s="11" t="n">
        <v>18381.5868087249</v>
      </c>
      <c r="E12" s="11" t="n">
        <v>1.939708666401869</v>
      </c>
      <c r="F12" s="11" t="n">
        <v>0.9768506388532314</v>
      </c>
      <c r="G12" s="11" t="n">
        <v>1.191579351845086</v>
      </c>
      <c r="H12" s="11" t="n">
        <v>0.6074707246519701</v>
      </c>
    </row>
    <row r="13">
      <c r="A13" s="10" t="inlineStr"/>
      <c r="B13" s="10" t="inlineStr">
        <is>
          <t>Artefatos de couro e calçados</t>
        </is>
      </c>
      <c r="C13" s="11" t="n">
        <v>26397.57111409403</v>
      </c>
      <c r="D13" s="11" t="n">
        <v>7915.73389867525</v>
      </c>
      <c r="E13" s="11" t="n">
        <v>2.336979660433415</v>
      </c>
      <c r="F13" s="11" t="n">
        <v>1.176919046568007</v>
      </c>
      <c r="G13" s="11" t="n">
        <v>1.209550844327377</v>
      </c>
      <c r="H13" s="11" t="n">
        <v>0.6166326453787686</v>
      </c>
    </row>
    <row r="14">
      <c r="A14" s="10" t="inlineStr">
        <is>
          <t>Produtos de madeira</t>
        </is>
      </c>
      <c r="B14" s="10" t="inlineStr">
        <is>
          <t>exclusive móveis</t>
        </is>
      </c>
      <c r="C14" s="11" t="n">
        <v>19540.06333550223</v>
      </c>
      <c r="D14" s="11" t="n">
        <v>8147.63116934507</v>
      </c>
      <c r="E14" s="11" t="n">
        <v>1.938234731412875</v>
      </c>
      <c r="F14" s="11" t="n">
        <v>0.9761083550450665</v>
      </c>
      <c r="G14" s="11" t="n">
        <v>2.208809083399549</v>
      </c>
      <c r="H14" s="11" t="n">
        <v>1.126057490365962</v>
      </c>
    </row>
    <row r="15">
      <c r="A15" s="10" t="inlineStr"/>
      <c r="B15" s="10" t="inlineStr">
        <is>
          <t>Celulose e produtos de papel</t>
        </is>
      </c>
      <c r="C15" s="11" t="n">
        <v>47166.41671713419</v>
      </c>
      <c r="D15" s="11" t="n">
        <v>11156.9722399899</v>
      </c>
      <c r="E15" s="11" t="n">
        <v>2.468788074782817</v>
      </c>
      <c r="F15" s="11" t="n">
        <v>1.243298671505338</v>
      </c>
      <c r="G15" s="11" t="n">
        <v>2.330924859109298</v>
      </c>
      <c r="H15" s="11" t="n">
        <v>1.188312478795371</v>
      </c>
    </row>
    <row r="16">
      <c r="A16" s="10" t="inlineStr"/>
      <c r="B16" s="10" t="inlineStr">
        <is>
          <t>Jornais revistas discos</t>
        </is>
      </c>
      <c r="C16" s="11" t="n">
        <v>16802.64916708744</v>
      </c>
      <c r="D16" s="11" t="n">
        <v>7614.70771443783</v>
      </c>
      <c r="E16" s="11" t="n">
        <v>1.87262169250749</v>
      </c>
      <c r="F16" s="11" t="n">
        <v>0.9430651769214564</v>
      </c>
      <c r="G16" s="11" t="n">
        <v>3.066697116452142</v>
      </c>
      <c r="H16" s="11" t="n">
        <v>1.563411380647593</v>
      </c>
    </row>
    <row r="17">
      <c r="A17" s="10" t="inlineStr"/>
      <c r="B17" s="10" t="inlineStr">
        <is>
          <t>Refino de petróleo e coque</t>
        </is>
      </c>
      <c r="C17" s="11" t="n">
        <v>220868.3872656036</v>
      </c>
      <c r="D17" s="11" t="n">
        <v>16125.3072760639</v>
      </c>
      <c r="E17" s="11" t="n">
        <v>2.412287395224863</v>
      </c>
      <c r="F17" s="11" t="n">
        <v>1.214844540285617</v>
      </c>
      <c r="G17" s="11" t="n">
        <v>2.87666504273387</v>
      </c>
      <c r="H17" s="11" t="n">
        <v>1.466532459952965</v>
      </c>
    </row>
    <row r="18">
      <c r="A18" s="10" t="inlineStr"/>
      <c r="B18" s="10" t="inlineStr">
        <is>
          <t>Álcool</t>
        </is>
      </c>
      <c r="C18" s="11" t="n">
        <v>20567.11854984396</v>
      </c>
      <c r="D18" s="11" t="n">
        <v>4705.6279519846</v>
      </c>
      <c r="E18" s="11" t="n">
        <v>2.380004811354531</v>
      </c>
      <c r="F18" s="11" t="n">
        <v>1.198586808790266</v>
      </c>
      <c r="G18" s="11" t="n">
        <v>1.781970745482629</v>
      </c>
      <c r="H18" s="11" t="n">
        <v>0.9084540264907811</v>
      </c>
    </row>
    <row r="19">
      <c r="A19" s="10" t="inlineStr"/>
      <c r="B19" s="10" t="inlineStr">
        <is>
          <t>Produtos  químicos</t>
        </is>
      </c>
      <c r="C19" s="11" t="n">
        <v>80593.31152800945</v>
      </c>
      <c r="D19" s="11" t="n">
        <v>21124.8472751465</v>
      </c>
      <c r="E19" s="11" t="n">
        <v>2.032801058919119</v>
      </c>
      <c r="F19" s="11" t="n">
        <v>1.02373260864488</v>
      </c>
      <c r="G19" s="11" t="n">
        <v>3.245048439776653</v>
      </c>
      <c r="H19" s="11" t="n">
        <v>1.654335419785075</v>
      </c>
    </row>
    <row r="20">
      <c r="A20" s="10" t="inlineStr"/>
      <c r="B20" s="10" t="inlineStr">
        <is>
          <t>Fabricação de resina e elastômeros</t>
        </is>
      </c>
      <c r="C20" s="11" t="n">
        <v>28170.04016437652</v>
      </c>
      <c r="D20" s="11" t="n">
        <v>6590.75340681454</v>
      </c>
      <c r="E20" s="11" t="n">
        <v>2.146784258071656</v>
      </c>
      <c r="F20" s="11" t="n">
        <v>1.081135332486514</v>
      </c>
      <c r="G20" s="11" t="n">
        <v>3.021620704126982</v>
      </c>
      <c r="H20" s="11" t="n">
        <v>1.540431290553319</v>
      </c>
    </row>
    <row r="21">
      <c r="A21" s="10" t="inlineStr"/>
      <c r="B21" s="10" t="inlineStr">
        <is>
          <t>Produtos farmacêuticos</t>
        </is>
      </c>
      <c r="C21" s="11" t="n">
        <v>34646.62070021381</v>
      </c>
      <c r="D21" s="11" t="n">
        <v>17095.5539607778</v>
      </c>
      <c r="E21" s="11" t="n">
        <v>1.950975122135742</v>
      </c>
      <c r="F21" s="11" t="n">
        <v>0.9825245035277964</v>
      </c>
      <c r="G21" s="11" t="n">
        <v>1.427097290047922</v>
      </c>
      <c r="H21" s="11" t="n">
        <v>0.7275384753788342</v>
      </c>
    </row>
    <row r="22">
      <c r="A22" s="10" t="inlineStr"/>
      <c r="B22" s="10" t="inlineStr">
        <is>
          <t>Defensivos agrícolas</t>
        </is>
      </c>
      <c r="C22" s="11" t="n">
        <v>16252.49368870814</v>
      </c>
      <c r="D22" s="11" t="n">
        <v>1992.74870844539</v>
      </c>
      <c r="E22" s="11" t="n">
        <v>2.426936592685249</v>
      </c>
      <c r="F22" s="11" t="n">
        <v>1.222221976983061</v>
      </c>
      <c r="G22" s="11" t="n">
        <v>2.863789261246366</v>
      </c>
      <c r="H22" s="11" t="n">
        <v>1.459968347962805</v>
      </c>
    </row>
    <row r="23">
      <c r="A23" s="10" t="inlineStr"/>
      <c r="B23" s="10" t="inlineStr">
        <is>
          <t>Perfumaria higiene e limpeza</t>
        </is>
      </c>
      <c r="C23" s="11" t="n">
        <v>23322.50313666971</v>
      </c>
      <c r="D23" s="11" t="n">
        <v>4781.18176014582</v>
      </c>
      <c r="E23" s="11" t="n">
        <v>2.233060018670185</v>
      </c>
      <c r="F23" s="11" t="n">
        <v>1.124584399512934</v>
      </c>
      <c r="G23" s="11" t="n">
        <v>1.524757919954542</v>
      </c>
      <c r="H23" s="11" t="n">
        <v>0.7773261571874189</v>
      </c>
    </row>
    <row r="24">
      <c r="A24" s="10" t="inlineStr"/>
      <c r="B24" s="10" t="inlineStr">
        <is>
          <t>Tintas vernizes esmaltes e lacas</t>
        </is>
      </c>
      <c r="C24" s="11" t="n">
        <v>12055.87719772069</v>
      </c>
      <c r="D24" s="11" t="n">
        <v>1644.14244847053</v>
      </c>
      <c r="E24" s="11" t="n">
        <v>2.359129980465905</v>
      </c>
      <c r="F24" s="11" t="n">
        <v>1.188074100236288</v>
      </c>
      <c r="G24" s="11" t="n">
        <v>2.662575080204383</v>
      </c>
      <c r="H24" s="11" t="n">
        <v>1.357388755442543</v>
      </c>
    </row>
    <row r="25">
      <c r="A25" s="10" t="inlineStr"/>
      <c r="B25" s="10" t="inlineStr">
        <is>
          <t>Produtos e preparados químicos diversos</t>
        </is>
      </c>
      <c r="C25" s="11" t="n">
        <v>14885.13595586721</v>
      </c>
      <c r="D25" s="11" t="n">
        <v>2292.60104346396</v>
      </c>
      <c r="E25" s="11" t="n">
        <v>2.514599238917459</v>
      </c>
      <c r="F25" s="11" t="n">
        <v>1.266369489162995</v>
      </c>
      <c r="G25" s="11" t="n">
        <v>2.745998635435241</v>
      </c>
      <c r="H25" s="11" t="n">
        <v>1.39991833391389</v>
      </c>
    </row>
    <row r="26">
      <c r="A26" s="10" t="inlineStr"/>
      <c r="B26" s="10" t="inlineStr">
        <is>
          <t>Artigos de borracha e plástico</t>
        </is>
      </c>
      <c r="C26" s="11" t="n">
        <v>62913.96457609033</v>
      </c>
      <c r="D26" s="11" t="n">
        <v>14573.901762593</v>
      </c>
      <c r="E26" s="11" t="n">
        <v>2.355108168020952</v>
      </c>
      <c r="F26" s="11" t="n">
        <v>1.186048687799745</v>
      </c>
      <c r="G26" s="11" t="n">
        <v>2.4863162830672</v>
      </c>
      <c r="H26" s="11" t="n">
        <v>1.267531492426518</v>
      </c>
    </row>
    <row r="27">
      <c r="A27" s="10" t="inlineStr"/>
      <c r="B27" s="10" t="inlineStr">
        <is>
          <t>Cimento e outros produtos de minerais não-metálicos</t>
        </is>
      </c>
      <c r="C27" s="11" t="n">
        <v>52775.84208340917</v>
      </c>
      <c r="D27" s="11" t="n">
        <v>15555.1994254587</v>
      </c>
      <c r="E27" s="11" t="n">
        <v>2.25218568072451</v>
      </c>
      <c r="F27" s="11" t="n">
        <v>1.134216214599327</v>
      </c>
      <c r="G27" s="11" t="n">
        <v>2.312338117658179</v>
      </c>
      <c r="H27" s="11" t="n">
        <v>1.178836902300405</v>
      </c>
    </row>
    <row r="28">
      <c r="A28" s="10" t="inlineStr"/>
      <c r="B28" s="10" t="inlineStr">
        <is>
          <t>Fabricação de aço e derivados</t>
        </is>
      </c>
      <c r="C28" s="11" t="n">
        <v>107111.17187697</v>
      </c>
      <c r="D28" s="11" t="n">
        <v>31587.1046125562</v>
      </c>
      <c r="E28" s="11" t="n">
        <v>2.213648248447429</v>
      </c>
      <c r="F28" s="11" t="n">
        <v>1.114808498383128</v>
      </c>
      <c r="G28" s="11" t="n">
        <v>2.568445150316761</v>
      </c>
      <c r="H28" s="11" t="n">
        <v>1.309401035084909</v>
      </c>
    </row>
    <row r="29">
      <c r="A29" s="10" t="inlineStr"/>
      <c r="B29" s="10" t="inlineStr">
        <is>
          <t>Metalurgia de metais não-ferrosos</t>
        </is>
      </c>
      <c r="C29" s="11" t="n">
        <v>37160.41025808445</v>
      </c>
      <c r="D29" s="11" t="n">
        <v>6202.20257602702</v>
      </c>
      <c r="E29" s="11" t="n">
        <v>2.3334833303889</v>
      </c>
      <c r="F29" s="11" t="n">
        <v>1.175158270686152</v>
      </c>
      <c r="G29" s="11" t="n">
        <v>2.515580817058108</v>
      </c>
      <c r="H29" s="11" t="n">
        <v>1.282450639558878</v>
      </c>
    </row>
    <row r="30">
      <c r="A30" s="10" t="inlineStr">
        <is>
          <t>Produtos de metal</t>
        </is>
      </c>
      <c r="B30" s="10" t="inlineStr">
        <is>
          <t>exclusive máquinas e equipamentos</t>
        </is>
      </c>
      <c r="C30" s="11" t="n">
        <v>73891.51979704158</v>
      </c>
      <c r="D30" s="11" t="n">
        <v>28776.2407707042</v>
      </c>
      <c r="E30" s="11" t="n">
        <v>2.12237266852825</v>
      </c>
      <c r="F30" s="11" t="n">
        <v>1.06884148792421</v>
      </c>
      <c r="G30" s="11" t="n">
        <v>2.305640877570148</v>
      </c>
      <c r="H30" s="11" t="n">
        <v>1.175422629232359</v>
      </c>
    </row>
    <row r="31">
      <c r="A31" s="10" t="inlineStr"/>
      <c r="B31" s="10" t="inlineStr">
        <is>
          <t>Máquinas e equipamentos inclusive manutenção e reparos</t>
        </is>
      </c>
      <c r="C31" s="11" t="n">
        <v>124020.0593400872</v>
      </c>
      <c r="D31" s="11" t="n">
        <v>39041.5233465067</v>
      </c>
      <c r="E31" s="11" t="n">
        <v>2.30141641052608</v>
      </c>
      <c r="F31" s="11" t="n">
        <v>1.159009149069782</v>
      </c>
      <c r="G31" s="11" t="n">
        <v>1.983088326639204</v>
      </c>
      <c r="H31" s="11" t="n">
        <v>1.010984372099959</v>
      </c>
    </row>
    <row r="32">
      <c r="A32" s="10" t="inlineStr"/>
      <c r="B32" s="10" t="inlineStr">
        <is>
          <t>Eletrodomésticos e material eletronico</t>
        </is>
      </c>
      <c r="C32" s="11" t="n">
        <v>52738.38714942258</v>
      </c>
      <c r="D32" s="11" t="n">
        <v>10239.7684501948</v>
      </c>
      <c r="E32" s="11" t="n">
        <v>2.386276737177577</v>
      </c>
      <c r="F32" s="11" t="n">
        <v>1.201745393815535</v>
      </c>
      <c r="G32" s="11" t="n">
        <v>1.855907795101586</v>
      </c>
      <c r="H32" s="11" t="n">
        <v>0.9461473559707768</v>
      </c>
    </row>
    <row r="33">
      <c r="A33" s="10" t="inlineStr"/>
      <c r="B33" s="10" t="inlineStr">
        <is>
          <t>Máquinas para escritório aparelhos e e material eletronico</t>
        </is>
      </c>
      <c r="C33" s="11" t="n">
        <v>69317.79524761312</v>
      </c>
      <c r="D33" s="11" t="n">
        <v>15304.8200711144</v>
      </c>
      <c r="E33" s="11" t="n">
        <v>1.992401771376566</v>
      </c>
      <c r="F33" s="11" t="n">
        <v>1.003387249298539</v>
      </c>
      <c r="G33" s="11" t="n">
        <v>1.653035165855553</v>
      </c>
      <c r="H33" s="11" t="n">
        <v>0.8427222815858356</v>
      </c>
    </row>
    <row r="34">
      <c r="A34" s="10" t="inlineStr"/>
      <c r="B34" s="10" t="inlineStr">
        <is>
          <t>Automóveis camionetas caminhões e ônibus</t>
        </is>
      </c>
      <c r="C34" s="11" t="n">
        <v>131440.1259066513</v>
      </c>
      <c r="D34" s="11" t="n">
        <v>32956.8158139122</v>
      </c>
      <c r="E34" s="11" t="n">
        <v>2.228426091020901</v>
      </c>
      <c r="F34" s="11" t="n">
        <v>1.122250721645215</v>
      </c>
      <c r="G34" s="11" t="n">
        <v>1.097255309582549</v>
      </c>
      <c r="H34" s="11" t="n">
        <v>0.5593840452238628</v>
      </c>
    </row>
    <row r="35">
      <c r="A35" s="10" t="inlineStr"/>
      <c r="B35" s="10" t="inlineStr">
        <is>
          <t>Peças e acessórios para veículos automotores</t>
        </is>
      </c>
      <c r="C35" s="11" t="n">
        <v>68813.25752439648</v>
      </c>
      <c r="D35" s="11" t="n">
        <v>15746.4852248711</v>
      </c>
      <c r="E35" s="11" t="n">
        <v>2.240963262580285</v>
      </c>
      <c r="F35" s="11" t="n">
        <v>1.128564527558098</v>
      </c>
      <c r="G35" s="11" t="n">
        <v>2.237122907885572</v>
      </c>
      <c r="H35" s="11" t="n">
        <v>1.140491962943521</v>
      </c>
    </row>
    <row r="36">
      <c r="A36" s="10" t="inlineStr"/>
      <c r="B36" s="10" t="inlineStr">
        <is>
          <t>Outros equipamentos de transporte</t>
        </is>
      </c>
      <c r="C36" s="11" t="n">
        <v>36685.1918457339</v>
      </c>
      <c r="D36" s="11" t="n">
        <v>11421.9277274679</v>
      </c>
      <c r="E36" s="11" t="n">
        <v>1.99150879731703</v>
      </c>
      <c r="F36" s="11" t="n">
        <v>1.002937541414233</v>
      </c>
      <c r="G36" s="11" t="n">
        <v>1.438351444227396</v>
      </c>
      <c r="H36" s="11" t="n">
        <v>0.7332758769074561</v>
      </c>
    </row>
    <row r="37">
      <c r="A37" s="10" t="inlineStr"/>
      <c r="B37" s="10" t="inlineStr">
        <is>
          <t>Móveis e produtos das indústrias diversas</t>
        </is>
      </c>
      <c r="C37" s="11" t="n">
        <v>39257.40746447233</v>
      </c>
      <c r="D37" s="11" t="n">
        <v>16336.9153872166</v>
      </c>
      <c r="E37" s="11" t="n">
        <v>1.939369471443079</v>
      </c>
      <c r="F37" s="11" t="n">
        <v>0.9766798179367046</v>
      </c>
      <c r="G37" s="11" t="n">
        <v>1.389784166273481</v>
      </c>
      <c r="H37" s="11" t="n">
        <v>0.7085161330537594</v>
      </c>
    </row>
    <row r="38">
      <c r="A38" s="10" t="inlineStr"/>
      <c r="B38" s="10" t="inlineStr">
        <is>
          <t>Produção e distribuição de eletricidade gás água esgoto e limpeza urbana</t>
        </is>
      </c>
      <c r="C38" s="11" t="n">
        <v>159741.8582308338</v>
      </c>
      <c r="D38" s="11" t="n">
        <v>68838.5797578051</v>
      </c>
      <c r="E38" s="11" t="n">
        <v>1.891218202902243</v>
      </c>
      <c r="F38" s="11" t="n">
        <v>0.9524305075890007</v>
      </c>
      <c r="G38" s="11" t="n">
        <v>2.310747852490885</v>
      </c>
      <c r="H38" s="11" t="n">
        <v>1.178026180352203</v>
      </c>
    </row>
    <row r="39">
      <c r="A39" s="10" t="inlineStr"/>
      <c r="B39" s="10" t="inlineStr">
        <is>
          <t>Construção civil</t>
        </is>
      </c>
      <c r="C39" s="11" t="n">
        <v>309896.3132601352</v>
      </c>
      <c r="D39" s="11" t="n">
        <v>114801.95695688</v>
      </c>
      <c r="E39" s="11" t="n">
        <v>2.044350818124093</v>
      </c>
      <c r="F39" s="11" t="n">
        <v>1.029549146897971</v>
      </c>
      <c r="G39" s="11" t="n">
        <v>1.281850776755481</v>
      </c>
      <c r="H39" s="11" t="n">
        <v>0.6534913676085399</v>
      </c>
    </row>
    <row r="40">
      <c r="A40" s="10" t="inlineStr"/>
      <c r="B40" s="10" t="inlineStr">
        <is>
          <t>Comércio</t>
        </is>
      </c>
      <c r="C40" s="11" t="n">
        <v>511097.1751644803</v>
      </c>
      <c r="D40" s="11" t="n">
        <v>322108.956314723</v>
      </c>
      <c r="E40" s="11" t="n">
        <v>1.688675444525536</v>
      </c>
      <c r="F40" s="11" t="n">
        <v>0.8504285800096402</v>
      </c>
      <c r="G40" s="11" t="n">
        <v>2.028430054949951</v>
      </c>
      <c r="H40" s="11" t="n">
        <v>1.034099721078818</v>
      </c>
    </row>
    <row r="41">
      <c r="A41" s="10" t="inlineStr"/>
      <c r="B41" s="10" t="inlineStr">
        <is>
          <t>Transporte armazenagem e correio</t>
        </is>
      </c>
      <c r="C41" s="11" t="n">
        <v>261922.5383374235</v>
      </c>
      <c r="D41" s="11" t="n">
        <v>104512.689725205</v>
      </c>
      <c r="E41" s="11" t="n">
        <v>2.243590424908865</v>
      </c>
      <c r="F41" s="11" t="n">
        <v>1.129887584594186</v>
      </c>
      <c r="G41" s="11" t="n">
        <v>2.511175357260746</v>
      </c>
      <c r="H41" s="11" t="n">
        <v>1.280204722951323</v>
      </c>
    </row>
    <row r="42">
      <c r="A42" s="10" t="inlineStr"/>
      <c r="B42" s="10" t="inlineStr">
        <is>
          <t>Serviços de informação</t>
        </is>
      </c>
      <c r="C42" s="11" t="n">
        <v>227167.5247902578</v>
      </c>
      <c r="D42" s="11" t="n">
        <v>114634.255049789</v>
      </c>
      <c r="E42" s="11" t="n">
        <v>1.888085651502739</v>
      </c>
      <c r="F42" s="11" t="n">
        <v>0.9508529331373062</v>
      </c>
      <c r="G42" s="11" t="n">
        <v>2.092436293838456</v>
      </c>
      <c r="H42" s="11" t="n">
        <v>1.066730293486472</v>
      </c>
    </row>
    <row r="43">
      <c r="A43" s="10" t="inlineStr"/>
      <c r="B43" s="10" t="inlineStr">
        <is>
          <t>Intermediação financeira seguros e previdência complementar e serviços relacionados</t>
        </is>
      </c>
      <c r="C43" s="11" t="n">
        <v>272862.2505562823</v>
      </c>
      <c r="D43" s="11" t="n">
        <v>170819.279064624</v>
      </c>
      <c r="E43" s="11" t="n">
        <v>1.552837324648796</v>
      </c>
      <c r="F43" s="11" t="n">
        <v>0.7820195676251361</v>
      </c>
      <c r="G43" s="11" t="n">
        <v>2.080856325946043</v>
      </c>
      <c r="H43" s="11" t="n">
        <v>1.060826791150553</v>
      </c>
    </row>
    <row r="44">
      <c r="A44" s="10" t="inlineStr"/>
      <c r="B44" s="10" t="inlineStr">
        <is>
          <t>Atividades imobiliárias e aluguéis</t>
        </is>
      </c>
      <c r="C44" s="11" t="n">
        <v>247157.9612972761</v>
      </c>
      <c r="D44" s="11" t="n">
        <v>221299.433069087</v>
      </c>
      <c r="E44" s="11" t="n">
        <v>1.151914937973126</v>
      </c>
      <c r="F44" s="11" t="n">
        <v>0.5801122934357705</v>
      </c>
      <c r="G44" s="11" t="n">
        <v>1.28662741080663</v>
      </c>
      <c r="H44" s="11" t="n">
        <v>0.6559265099630592</v>
      </c>
    </row>
    <row r="45">
      <c r="A45" s="10" t="inlineStr"/>
      <c r="B45" s="10" t="inlineStr">
        <is>
          <t>Serviços de manutenção e reparação</t>
        </is>
      </c>
      <c r="C45" s="11" t="n">
        <v>11746.51012750534</v>
      </c>
      <c r="D45" s="11" t="n">
        <v>8626.935216074089</v>
      </c>
      <c r="E45" s="11" t="n">
        <v>1.338800262535741</v>
      </c>
      <c r="F45" s="11" t="n">
        <v>0.6742290295484822</v>
      </c>
      <c r="G45" s="11" t="n">
        <v>2.254021344687782</v>
      </c>
      <c r="H45" s="11" t="n">
        <v>1.14910683666874</v>
      </c>
    </row>
    <row r="46">
      <c r="A46" s="10" t="inlineStr"/>
      <c r="B46" s="10" t="inlineStr">
        <is>
          <t>Serviços de alojamento e alimentação</t>
        </is>
      </c>
      <c r="C46" s="11" t="n">
        <v>106880.2635962482</v>
      </c>
      <c r="D46" s="11" t="n">
        <v>46237.0475554843</v>
      </c>
      <c r="E46" s="11" t="n">
        <v>1.871787344620033</v>
      </c>
      <c r="F46" s="11" t="n">
        <v>0.9426449935810374</v>
      </c>
      <c r="G46" s="11" t="n">
        <v>1.412973820348124</v>
      </c>
      <c r="H46" s="11" t="n">
        <v>0.7203382881988102</v>
      </c>
    </row>
    <row r="47">
      <c r="A47" s="10" t="inlineStr"/>
      <c r="B47" s="10" t="inlineStr">
        <is>
          <t>Serviços prestados às empresas</t>
        </is>
      </c>
      <c r="C47" s="11" t="n">
        <v>264370.2711029037</v>
      </c>
      <c r="D47" s="11" t="n">
        <v>156649.416446613</v>
      </c>
      <c r="E47" s="11" t="n">
        <v>1.642021209569792</v>
      </c>
      <c r="F47" s="11" t="n">
        <v>0.826933186082125</v>
      </c>
      <c r="G47" s="11" t="n">
        <v>2.635989556364935</v>
      </c>
      <c r="H47" s="11" t="n">
        <v>1.343835375714207</v>
      </c>
    </row>
    <row r="48">
      <c r="A48" s="10" t="inlineStr"/>
      <c r="B48" s="10" t="inlineStr">
        <is>
          <t>Educação mercantil</t>
        </is>
      </c>
      <c r="C48" s="11" t="n">
        <v>47292.1225296886</v>
      </c>
      <c r="D48" s="11" t="n">
        <v>30219.0851296454</v>
      </c>
      <c r="E48" s="11" t="n">
        <v>1.546648796800856</v>
      </c>
      <c r="F48" s="11" t="n">
        <v>0.7789029823943058</v>
      </c>
      <c r="G48" s="11" t="n">
        <v>1.318730355541845</v>
      </c>
      <c r="H48" s="11" t="n">
        <v>0.6722926873993885</v>
      </c>
    </row>
    <row r="49">
      <c r="A49" s="10" t="inlineStr"/>
      <c r="B49" s="10" t="inlineStr">
        <is>
          <t>Saúde mercantil</t>
        </is>
      </c>
      <c r="C49" s="11" t="n">
        <v>96297.62868880319</v>
      </c>
      <c r="D49" s="11" t="n">
        <v>52194.4303026218</v>
      </c>
      <c r="E49" s="11" t="n">
        <v>1.603256317632103</v>
      </c>
      <c r="F49" s="11" t="n">
        <v>0.8074109196148355</v>
      </c>
      <c r="G49" s="11" t="n">
        <v>1.142235891754044</v>
      </c>
      <c r="H49" s="11" t="n">
        <v>0.5823152808186014</v>
      </c>
    </row>
    <row r="50">
      <c r="A50" s="10" t="inlineStr"/>
      <c r="B50" s="10" t="inlineStr">
        <is>
          <t>Serviços prestados às famílias e associativas</t>
        </is>
      </c>
      <c r="C50" s="11" t="n">
        <v>145782.4402914446</v>
      </c>
      <c r="D50" s="11" t="n">
        <v>74778.4337918793</v>
      </c>
      <c r="E50" s="11" t="n">
        <v>1.752270965204945</v>
      </c>
      <c r="F50" s="11" t="n">
        <v>0.8824557220644943</v>
      </c>
      <c r="G50" s="11" t="n">
        <v>1.484275710109366</v>
      </c>
      <c r="H50" s="11" t="n">
        <v>0.7566882052859503</v>
      </c>
    </row>
    <row r="51">
      <c r="A51" s="10" t="inlineStr"/>
      <c r="B51" s="10" t="inlineStr">
        <is>
          <t>Serviços domésticos</t>
        </is>
      </c>
      <c r="C51" s="11" t="n">
        <v>30216.7038422306</v>
      </c>
      <c r="D51" s="11" t="n">
        <v>30216.7038422306</v>
      </c>
      <c r="E51" s="11" t="n">
        <v>1</v>
      </c>
      <c r="F51" s="11" t="n">
        <v>0.5036068847726884</v>
      </c>
      <c r="G51" s="11" t="n">
        <v>1</v>
      </c>
      <c r="H51" s="11" t="n">
        <v>0.5098029969312069</v>
      </c>
    </row>
    <row r="52">
      <c r="A52" s="10" t="inlineStr"/>
      <c r="B52" s="10" t="inlineStr">
        <is>
          <t>Educação pública</t>
        </is>
      </c>
      <c r="C52" s="11" t="n">
        <v>125817.3669219663</v>
      </c>
      <c r="D52" s="11" t="n">
        <v>101782.209625919</v>
      </c>
      <c r="E52" s="11" t="n">
        <v>1.295405313097901</v>
      </c>
      <c r="F52" s="11" t="n">
        <v>0.6523750342472231</v>
      </c>
      <c r="G52" s="11" t="n">
        <v>1.124126677434477</v>
      </c>
      <c r="H52" s="11" t="n">
        <v>0.5730831490864163</v>
      </c>
    </row>
    <row r="53">
      <c r="A53" s="10" t="inlineStr"/>
      <c r="B53" s="10" t="inlineStr">
        <is>
          <t>Saúde pública</t>
        </is>
      </c>
      <c r="C53" s="11" t="n">
        <v>78535.03891644411</v>
      </c>
      <c r="D53" s="11" t="n">
        <v>53521.328974797</v>
      </c>
      <c r="E53" s="11" t="n">
        <v>1.50353364314508</v>
      </c>
      <c r="F53" s="11" t="n">
        <v>0.7571898941752246</v>
      </c>
      <c r="G53" s="11" t="n">
        <v>1.019848713247731</v>
      </c>
      <c r="H53" s="11" t="n">
        <v>0.5199219304301284</v>
      </c>
    </row>
    <row r="54">
      <c r="A54" s="10" t="inlineStr"/>
      <c r="B54" s="10" t="inlineStr">
        <is>
          <t>Administração pública e seguridade social</t>
        </is>
      </c>
      <c r="C54" s="11" t="n">
        <v>391468.1725327049</v>
      </c>
      <c r="D54" s="11" t="n">
        <v>278919.142093289</v>
      </c>
      <c r="E54" s="11" t="n">
        <v>1.459012137374057</v>
      </c>
      <c r="F54" s="11" t="n">
        <v>0.7347685573484909</v>
      </c>
      <c r="G54" s="11" t="n">
        <v>1.092256703509765</v>
      </c>
      <c r="H54" s="11" t="n">
        <v>0.5568357408674789</v>
      </c>
    </row>
    <row r="55"/>
    <row r="56"/>
    <row r="57">
      <c r="A57" s="10" t="inlineStr">
        <is>
          <t>Validacion contable y matematica</t>
        </is>
      </c>
    </row>
    <row r="58">
      <c r="A58" s="10" t="inlineStr">
        <is>
          <t>prueba</t>
        </is>
      </c>
      <c r="B58" s="10" t="inlineStr">
        <is>
          <t>resultado</t>
        </is>
      </c>
      <c r="C58" s="10" t="inlineStr">
        <is>
          <t>lectura</t>
        </is>
      </c>
    </row>
    <row r="59">
      <c r="A59" s="10" t="inlineStr">
        <is>
          <t>sectores</t>
        </is>
      </c>
      <c r="B59" s="11" t="n">
        <v>51</v>
      </c>
      <c r="C59" s="10" t="inlineStr">
        <is>
          <t>Cantidad de sectores de la MIP.</t>
        </is>
      </c>
    </row>
    <row r="60">
      <c r="A60" s="10" t="inlineStr">
        <is>
          <t>cuadrada_Z_A_L</t>
        </is>
      </c>
      <c r="B60" s="38" t="b">
        <v>1</v>
      </c>
      <c r="C60" s="10" t="inlineStr">
        <is>
          <t>Z, A y L son matrices cuadradas.</t>
        </is>
      </c>
    </row>
    <row r="61">
      <c r="A61" s="10" t="inlineStr">
        <is>
          <t>max_abs_A_menos_Z_sobre_x</t>
        </is>
      </c>
      <c r="B61" s="11" t="n">
        <v>1.387778780781446e-16</v>
      </c>
      <c r="C61" s="10" t="inlineStr">
        <is>
          <t>Consistencia de coeficientes tecnicos.</t>
        </is>
      </c>
    </row>
    <row r="62">
      <c r="A62" s="10" t="inlineStr">
        <is>
          <t>max_abs_Leontief</t>
        </is>
      </c>
      <c r="B62" s="11" t="n">
        <v>1.110223024625157e-15</v>
      </c>
      <c r="C62" s="10" t="inlineStr">
        <is>
          <t>Residual (I-A)L - I.</t>
        </is>
      </c>
    </row>
    <row r="63">
      <c r="A63" s="10" t="inlineStr">
        <is>
          <t>max_abs_fila_x_menos_Z_menos_y</t>
        </is>
      </c>
      <c r="B63" s="11" t="n">
        <v>1208.86943459537</v>
      </c>
      <c r="C63" s="10" t="inlineStr">
        <is>
          <t>Cierre por filas: x = ventas intermedias + demanda final.</t>
        </is>
      </c>
    </row>
    <row r="64">
      <c r="A64" s="10" t="inlineStr">
        <is>
          <t>max_abs_columna_x_menos_Z_menos_ajuste_menos_v</t>
        </is>
      </c>
      <c r="B64" s="11" t="n">
        <v>1244.604550224365</v>
      </c>
      <c r="C64" s="10" t="inlineStr">
        <is>
          <t>Cierre por columnas con ajuste procesado.</t>
        </is>
      </c>
    </row>
    <row r="65">
      <c r="A65" s="10" t="inlineStr">
        <is>
          <t>max_abs_total_x_menos_Ztotal_menos_ajuste_no_asignado_menos_v</t>
        </is>
      </c>
      <c r="B65" s="11" t="n">
        <v>1244.604550224365</v>
      </c>
      <c r="C65" s="10" t="inlineStr">
        <is>
          <t>Cierre Cuadro 3.</t>
        </is>
      </c>
    </row>
    <row r="66">
      <c r="A66" s="10" t="inlineStr">
        <is>
          <t>sectores_y_negativa</t>
        </is>
      </c>
      <c r="B66" s="11" t="n">
        <v>0</v>
      </c>
      <c r="C66" s="10" t="inlineStr">
        <is>
          <t>Demanda final total negativa.</t>
        </is>
      </c>
    </row>
    <row r="67">
      <c r="A67" s="10" t="inlineStr">
        <is>
          <t>min_y</t>
        </is>
      </c>
      <c r="B67" s="11" t="n">
        <v>739.3987407752509</v>
      </c>
      <c r="C67" s="10" t="inlineStr">
        <is>
          <t>Minimo de demanda final total.</t>
        </is>
      </c>
    </row>
    <row r="68">
      <c r="A68" s="10" t="inlineStr">
        <is>
          <t>sectores_va_negativo</t>
        </is>
      </c>
      <c r="B68" s="11" t="n">
        <v>0</v>
      </c>
      <c r="C68" s="10" t="inlineStr">
        <is>
          <t>Valor agregado negativo.</t>
        </is>
      </c>
    </row>
    <row r="69">
      <c r="A69" s="10" t="inlineStr">
        <is>
          <t>min_va</t>
        </is>
      </c>
      <c r="B69" s="11" t="n">
        <v>1644.14244847053</v>
      </c>
      <c r="C69" s="10" t="inlineStr">
        <is>
          <t>Minimo de valor agregado.</t>
        </is>
      </c>
    </row>
    <row r="70">
      <c r="A70" s="10" t="inlineStr">
        <is>
          <t>sectores_ajuste_negativo</t>
        </is>
      </c>
      <c r="B70" s="11" t="n">
        <v>4</v>
      </c>
      <c r="C70" s="10" t="inlineStr">
        <is>
          <t>Ajuste intermedio/importado con signo negativo.</t>
        </is>
      </c>
    </row>
    <row r="71">
      <c r="A71" s="10" t="inlineStr">
        <is>
          <t>min_ajuste</t>
        </is>
      </c>
      <c r="B71" s="11" t="n">
        <v>-2103.884834608309</v>
      </c>
      <c r="C71" s="10" t="inlineStr">
        <is>
          <t>Minimo de ajuste intermedio/importado.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zoomScale="85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4" customWidth="1" min="2" max="2"/>
  </cols>
  <sheetData>
    <row r="1">
      <c r="A1" s="16" t="inlineStr">
        <is>
          <t>Principio</t>
        </is>
      </c>
      <c r="B1" s="16" t="inlineStr">
        <is>
          <t>La matriz no fuerza balances: muestra el cierre y sus diferencias.</t>
        </is>
      </c>
    </row>
    <row r="2">
      <c r="A2" s="10" t="inlineStr">
        <is>
          <t>Diseno</t>
        </is>
      </c>
      <c r="B2" s="10" t="inlineStr">
        <is>
          <t>Estructura inspirada en el anexo MIP de Colombia: cuadros con Z, demanda final, valor agregado y produccion en una misma hoja.</t>
        </is>
      </c>
    </row>
    <row r="3">
      <c r="A3" s="37" t="inlineStr">
        <is>
          <t>Colores</t>
        </is>
      </c>
      <c r="B3" s="37" t="inlineStr">
        <is>
          <t>Paleta CEPAL: azul institucional, celeste y grises tecnicos.</t>
        </is>
      </c>
    </row>
    <row r="4">
      <c r="A4" s="10" t="inlineStr">
        <is>
          <t>Fuente</t>
        </is>
      </c>
      <c r="B4" s="10" t="inlineStr">
        <is>
          <t>COU CEPAL Brasil base 2000</t>
        </is>
      </c>
    </row>
    <row r="5">
      <c r="A5" s="10" t="inlineStr">
        <is>
          <t>Ano</t>
        </is>
      </c>
      <c r="B5" s="10" t="inlineStr">
        <is>
          <t>2008</t>
        </is>
      </c>
    </row>
    <row r="6">
      <c r="A6" s="10" t="inlineStr">
        <is>
          <t>Archivo fuente COU/referencia</t>
        </is>
      </c>
      <c r="B6" s="10" t="inlineStr">
        <is>
          <t>data\processed\brasil_early\cou_brasil_early_2008.xlsx</t>
        </is>
      </c>
    </row>
    <row r="7">
      <c r="A7" s="10" t="inlineStr">
        <is>
          <t>Ajuste intermedio</t>
        </is>
      </c>
      <c r="B7" s="10" t="inlineStr">
        <is>
          <t>U_importada/ajuste transformado a industrias con D = V * diag(q)^-1.</t>
        </is>
      </c>
    </row>
    <row r="8">
      <c r="A8" s="10" t="inlineStr">
        <is>
          <t>Convencion</t>
        </is>
      </c>
      <c r="B8" s="10" t="inlineStr">
        <is>
          <t>Demanda final se presenta como Gasto de consumo final, Formacion bruta de capital, Exportaciones netas, Sin desglose fuente y Total.</t>
        </is>
      </c>
    </row>
    <row r="9">
      <c r="A9" s="10" t="inlineStr">
        <is>
          <t>Convencion</t>
        </is>
      </c>
      <c r="B9" s="10" t="inlineStr">
        <is>
          <t>Exportaciones netas se calcula como residuo frente al total MIP para evitar ambiguedad de signo en importaciones.</t>
        </is>
      </c>
    </row>
    <row r="10">
      <c r="A10" s="10" t="inlineStr">
        <is>
          <t>Alerta</t>
        </is>
      </c>
      <c r="B10" s="10" t="inlineStr">
        <is>
          <t>Un valor agregado negativo o ajuste negativo se conserva y se marca; no se maquilla.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2026-07-07T00:55:27Z</dcterms:created>
  <dcterms:modified xmlns:dcterms="http://purl.org/dc/terms/" xmlns:xsi="http://www.w3.org/2001/XMLSchema-instance" xsi:type="dcterms:W3CDTF">2026-07-07T00:55:28Z</dcterms:modified>
</cp:coreProperties>
</file>