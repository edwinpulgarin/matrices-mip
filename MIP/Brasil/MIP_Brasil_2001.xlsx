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5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</fonts>
  <fills count="9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165" fontId="11" fillId="5" borderId="4" applyAlignment="1" pivotButton="0" quotePrefix="0" xfId="0">
      <alignment horizontal="right" vertical="center"/>
    </xf>
    <xf numFmtId="0" fontId="11" fillId="5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0" fontId="14" fillId="6" borderId="6" applyAlignment="1" pivotButton="0" quotePrefix="0" xfId="0">
      <alignment vertical="center"/>
    </xf>
    <xf numFmtId="165" fontId="14" fillId="6" borderId="6" applyAlignment="1" pivotButton="0" quotePrefix="0" xfId="0">
      <alignment horizontal="right"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8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Brasil 2001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Brasil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2001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COU CEPAL Brasil base 2000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Reconstruida desde COU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U_importada/ajuste transformado a industrias con D = V * diag(q)^-1.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51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1.110223024625157e-16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1.554312234475219e-15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468.8965698834181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468.8965698956163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468.8965698956235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0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8" t="n">
        <v>0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0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8" t="n">
        <v>511.087891554102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0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8" t="n">
        <v>0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H75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4" customHeight="1"/>
    <row r="2"/>
    <row r="3" ht="16" customHeight="1">
      <c r="A3" s="19" t="inlineStr">
        <is>
          <t>Matriz insumo producto, actividad por actividad - Nacional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</row>
    <row r="4" ht="16" customHeight="1"/>
    <row r="5">
      <c r="A5" s="20" t="inlineStr">
        <is>
          <t>Valores a precios corrientes</t>
        </is>
      </c>
    </row>
    <row r="6" ht="16.5" customHeight="1">
      <c r="A6" s="20" t="inlineStr">
        <is>
          <t>Ano 2001</t>
        </is>
      </c>
      <c r="J6" s="21" t="inlineStr">
        <is>
          <t>Indice</t>
        </is>
      </c>
    </row>
    <row r="7">
      <c r="A7" s="20" t="inlineStr">
        <is>
          <t>Base / fuente original</t>
        </is>
      </c>
    </row>
    <row r="8">
      <c r="A8" s="20" t="inlineStr">
        <is>
          <t>Unidades monetarias de la fuente</t>
        </is>
      </c>
    </row>
    <row r="9"/>
    <row r="10" ht="16" customHeight="1">
      <c r="A10" s="22" t="inlineStr">
        <is>
          <t>Codigo</t>
        </is>
      </c>
      <c r="B10" s="22" t="inlineStr">
        <is>
          <t>Actividad economica</t>
        </is>
      </c>
      <c r="C10" s="22" t="inlineStr">
        <is>
          <t>Consumo intermedio por actividades economicas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  <c r="AB10" s="23" t="n"/>
      <c r="AC10" s="23" t="n"/>
      <c r="AD10" s="23" t="n"/>
      <c r="AE10" s="23" t="n"/>
      <c r="AF10" s="23" t="n"/>
      <c r="AG10" s="23" t="n"/>
      <c r="AH10" s="23" t="n"/>
      <c r="AI10" s="23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  <c r="AT10" s="23" t="n"/>
      <c r="AU10" s="23" t="n"/>
      <c r="AV10" s="23" t="n"/>
      <c r="AW10" s="23" t="n"/>
      <c r="AX10" s="23" t="n"/>
      <c r="AY10" s="23" t="n"/>
      <c r="AZ10" s="23" t="n"/>
      <c r="BA10" s="23" t="n"/>
      <c r="BB10" s="22" t="inlineStr">
        <is>
          <t>Total consumo intermedio</t>
        </is>
      </c>
      <c r="BC10" s="22" t="inlineStr">
        <is>
          <t>Demanda final</t>
        </is>
      </c>
      <c r="BD10" s="23" t="n"/>
      <c r="BE10" s="23" t="n"/>
      <c r="BF10" s="23" t="n"/>
      <c r="BG10" s="22" t="inlineStr">
        <is>
          <t>Total demanda final</t>
        </is>
      </c>
      <c r="BH10" s="22" t="inlineStr">
        <is>
          <t>Total</t>
        </is>
      </c>
    </row>
    <row r="11" ht="15" customHeight="1">
      <c r="C11" s="24" t="n">
        <v>1</v>
      </c>
      <c r="D11" s="24" t="n">
        <v>2</v>
      </c>
      <c r="E11" s="24" t="n">
        <v>3</v>
      </c>
      <c r="F11" s="24" t="n">
        <v>4</v>
      </c>
      <c r="G11" s="24" t="n">
        <v>5</v>
      </c>
      <c r="H11" s="24" t="n">
        <v>6</v>
      </c>
      <c r="I11" s="24" t="n">
        <v>7</v>
      </c>
      <c r="J11" s="24" t="n">
        <v>8</v>
      </c>
      <c r="K11" s="24" t="n">
        <v>9</v>
      </c>
      <c r="L11" s="24" t="n">
        <v>10</v>
      </c>
      <c r="M11" s="24" t="inlineStr">
        <is>
          <t>Produtos de madeira</t>
        </is>
      </c>
      <c r="N11" s="24" t="n">
        <v>12</v>
      </c>
      <c r="O11" s="24" t="n">
        <v>13</v>
      </c>
      <c r="P11" s="24" t="n">
        <v>14</v>
      </c>
      <c r="Q11" s="24" t="n">
        <v>15</v>
      </c>
      <c r="R11" s="24" t="n">
        <v>16</v>
      </c>
      <c r="S11" s="24" t="n">
        <v>17</v>
      </c>
      <c r="T11" s="24" t="n">
        <v>18</v>
      </c>
      <c r="U11" s="24" t="n">
        <v>19</v>
      </c>
      <c r="V11" s="24" t="n">
        <v>20</v>
      </c>
      <c r="W11" s="24" t="n">
        <v>21</v>
      </c>
      <c r="X11" s="24" t="n">
        <v>22</v>
      </c>
      <c r="Y11" s="24" t="n">
        <v>23</v>
      </c>
      <c r="Z11" s="24" t="n">
        <v>24</v>
      </c>
      <c r="AA11" s="24" t="n">
        <v>25</v>
      </c>
      <c r="AB11" s="24" t="n">
        <v>26</v>
      </c>
      <c r="AC11" s="24" t="inlineStr">
        <is>
          <t>Produtos de metal</t>
        </is>
      </c>
      <c r="AD11" s="24" t="n">
        <v>28</v>
      </c>
      <c r="AE11" s="24" t="n">
        <v>29</v>
      </c>
      <c r="AF11" s="24" t="n">
        <v>30</v>
      </c>
      <c r="AG11" s="24" t="n">
        <v>31</v>
      </c>
      <c r="AH11" s="24" t="n">
        <v>32</v>
      </c>
      <c r="AI11" s="24" t="n">
        <v>33</v>
      </c>
      <c r="AJ11" s="24" t="n">
        <v>34</v>
      </c>
      <c r="AK11" s="24" t="n">
        <v>35</v>
      </c>
      <c r="AL11" s="24" t="n">
        <v>36</v>
      </c>
      <c r="AM11" s="24" t="n">
        <v>37</v>
      </c>
      <c r="AN11" s="24" t="n">
        <v>38</v>
      </c>
      <c r="AO11" s="24" t="n">
        <v>39</v>
      </c>
      <c r="AP11" s="24" t="n">
        <v>40</v>
      </c>
      <c r="AQ11" s="24" t="n">
        <v>41</v>
      </c>
      <c r="AR11" s="24" t="n">
        <v>42</v>
      </c>
      <c r="AS11" s="24" t="n">
        <v>43</v>
      </c>
      <c r="AT11" s="24" t="n">
        <v>44</v>
      </c>
      <c r="AU11" s="24" t="n">
        <v>45</v>
      </c>
      <c r="AV11" s="24" t="n">
        <v>46</v>
      </c>
      <c r="AW11" s="24" t="n">
        <v>47</v>
      </c>
      <c r="AX11" s="24" t="n">
        <v>48</v>
      </c>
      <c r="AY11" s="24" t="n">
        <v>49</v>
      </c>
      <c r="AZ11" s="24" t="n">
        <v>50</v>
      </c>
      <c r="BA11" s="24" t="n">
        <v>51</v>
      </c>
      <c r="BC11" s="24" t="inlineStr"/>
      <c r="BD11" s="24" t="inlineStr"/>
      <c r="BE11" s="24" t="inlineStr"/>
      <c r="BF11" s="24" t="inlineStr"/>
    </row>
    <row r="12" ht="90" customHeight="1">
      <c r="A12" s="25" t="n"/>
      <c r="B12" s="25" t="n"/>
      <c r="C12" s="26" t="inlineStr">
        <is>
          <t>Agricultura silvicultura exploração florestal</t>
        </is>
      </c>
      <c r="D12" s="26" t="inlineStr">
        <is>
          <t>Pecuária e pesca</t>
        </is>
      </c>
      <c r="E12" s="26" t="inlineStr">
        <is>
          <t>Petróleo e gás natural</t>
        </is>
      </c>
      <c r="F12" s="26" t="inlineStr">
        <is>
          <t>Minério de ferro</t>
        </is>
      </c>
      <c r="G12" s="26" t="inlineStr">
        <is>
          <t>Outros da indústria extrativa</t>
        </is>
      </c>
      <c r="H12" s="26" t="inlineStr">
        <is>
          <t>Alimentos e Bebidas</t>
        </is>
      </c>
      <c r="I12" s="26" t="inlineStr">
        <is>
          <t>Produtos do fumo</t>
        </is>
      </c>
      <c r="J12" s="26" t="inlineStr">
        <is>
          <t>Têxteis</t>
        </is>
      </c>
      <c r="K12" s="26" t="inlineStr">
        <is>
          <t>Artigos do vestuário e acessórios</t>
        </is>
      </c>
      <c r="L12" s="26" t="inlineStr">
        <is>
          <t>Artefatos de couro e calçados</t>
        </is>
      </c>
      <c r="M12" s="26" t="inlineStr">
        <is>
          <t>exclusive móveis</t>
        </is>
      </c>
      <c r="N12" s="26" t="inlineStr">
        <is>
          <t>Celulose e produtos de papel</t>
        </is>
      </c>
      <c r="O12" s="26" t="inlineStr">
        <is>
          <t>Jornais revistas discos</t>
        </is>
      </c>
      <c r="P12" s="26" t="inlineStr">
        <is>
          <t>Refino de petróleo e coque</t>
        </is>
      </c>
      <c r="Q12" s="26" t="inlineStr">
        <is>
          <t>Álcool</t>
        </is>
      </c>
      <c r="R12" s="26" t="inlineStr">
        <is>
          <t>Produtos  químicos</t>
        </is>
      </c>
      <c r="S12" s="26" t="inlineStr">
        <is>
          <t>Fabricação de resina e elastômeros</t>
        </is>
      </c>
      <c r="T12" s="26" t="inlineStr">
        <is>
          <t>Produtos farmacêuticos</t>
        </is>
      </c>
      <c r="U12" s="26" t="inlineStr">
        <is>
          <t>Defensivos agrícolas</t>
        </is>
      </c>
      <c r="V12" s="26" t="inlineStr">
        <is>
          <t>Perfumaria higiene e limpeza</t>
        </is>
      </c>
      <c r="W12" s="26" t="inlineStr">
        <is>
          <t>Tintas vernizes esmaltes e lacas</t>
        </is>
      </c>
      <c r="X12" s="26" t="inlineStr">
        <is>
          <t>Produtos e preparados químicos diversos</t>
        </is>
      </c>
      <c r="Y12" s="26" t="inlineStr">
        <is>
          <t>Artigos de borracha e plástico</t>
        </is>
      </c>
      <c r="Z12" s="26" t="inlineStr">
        <is>
          <t>Cimento e outros produtos de minerais não-metálicos</t>
        </is>
      </c>
      <c r="AA12" s="26" t="inlineStr">
        <is>
          <t>Fabricação de aço e derivados</t>
        </is>
      </c>
      <c r="AB12" s="26" t="inlineStr">
        <is>
          <t>Metalurgia de metais não-ferrosos</t>
        </is>
      </c>
      <c r="AC12" s="26" t="inlineStr">
        <is>
          <t>exclusive máquinas e equipamentos</t>
        </is>
      </c>
      <c r="AD12" s="26" t="inlineStr">
        <is>
          <t>Máquinas e equipamentos inclusive manutenção e reparos</t>
        </is>
      </c>
      <c r="AE12" s="26" t="inlineStr">
        <is>
          <t>Eletrodomésticos e material eletronico</t>
        </is>
      </c>
      <c r="AF12" s="26" t="inlineStr">
        <is>
          <t>Máquinas para escritório aparelhos e e material eletronico</t>
        </is>
      </c>
      <c r="AG12" s="26" t="inlineStr">
        <is>
          <t>Automóveis camionetas caminhões e ônibus</t>
        </is>
      </c>
      <c r="AH12" s="26" t="inlineStr">
        <is>
          <t>Peças e acessórios para veículos automotores</t>
        </is>
      </c>
      <c r="AI12" s="26" t="inlineStr">
        <is>
          <t>Outros equipamentos de transporte</t>
        </is>
      </c>
      <c r="AJ12" s="26" t="inlineStr">
        <is>
          <t>Móveis e produtos das indústrias diversas</t>
        </is>
      </c>
      <c r="AK12" s="26" t="inlineStr">
        <is>
          <t>Produção e distribuição de eletricidade gás água esgoto e limpeza urbana</t>
        </is>
      </c>
      <c r="AL12" s="26" t="inlineStr">
        <is>
          <t>Construção civil</t>
        </is>
      </c>
      <c r="AM12" s="26" t="inlineStr">
        <is>
          <t>Comércio</t>
        </is>
      </c>
      <c r="AN12" s="26" t="inlineStr">
        <is>
          <t>Transporte armazenagem e correio</t>
        </is>
      </c>
      <c r="AO12" s="26" t="inlineStr">
        <is>
          <t>Serviços de informação</t>
        </is>
      </c>
      <c r="AP12" s="26" t="inlineStr">
        <is>
          <t>Intermediação financeira seguros e previdência complementar e serviços relacionados</t>
        </is>
      </c>
      <c r="AQ12" s="26" t="inlineStr">
        <is>
          <t>Atividades imobiliárias e aluguéis</t>
        </is>
      </c>
      <c r="AR12" s="26" t="inlineStr">
        <is>
          <t>Serviços de manutenção e reparação</t>
        </is>
      </c>
      <c r="AS12" s="26" t="inlineStr">
        <is>
          <t>Serviços de alojamento e alimentação</t>
        </is>
      </c>
      <c r="AT12" s="26" t="inlineStr">
        <is>
          <t>Serviços prestados às empresas</t>
        </is>
      </c>
      <c r="AU12" s="26" t="inlineStr">
        <is>
          <t>Educação mercantil</t>
        </is>
      </c>
      <c r="AV12" s="26" t="inlineStr">
        <is>
          <t>Saúde mercantil</t>
        </is>
      </c>
      <c r="AW12" s="26" t="inlineStr">
        <is>
          <t>Serviços prestados às famílias e associativas</t>
        </is>
      </c>
      <c r="AX12" s="26" t="inlineStr">
        <is>
          <t>Serviços domésticos</t>
        </is>
      </c>
      <c r="AY12" s="26" t="inlineStr">
        <is>
          <t>Educação pública</t>
        </is>
      </c>
      <c r="AZ12" s="26" t="inlineStr">
        <is>
          <t>Saúde pública</t>
        </is>
      </c>
      <c r="BA12" s="26" t="inlineStr">
        <is>
          <t>Administração pública e seguridade social</t>
        </is>
      </c>
      <c r="BB12" s="25" t="n"/>
      <c r="BC12" s="26" t="inlineStr">
        <is>
          <t>Gasto de consumo final</t>
        </is>
      </c>
      <c r="BD12" s="26" t="inlineStr">
        <is>
          <t>Formacion bruta de capital</t>
        </is>
      </c>
      <c r="BE12" s="26" t="inlineStr">
        <is>
          <t>Exportaciones netas</t>
        </is>
      </c>
      <c r="BF12" s="26" t="inlineStr">
        <is>
          <t>Sin desglose fuente</t>
        </is>
      </c>
      <c r="BG12" s="25" t="n"/>
      <c r="BH12" s="25" t="n"/>
    </row>
    <row r="13"/>
    <row r="14">
      <c r="A14" s="27" t="n">
        <v>1</v>
      </c>
      <c r="B14" s="28" t="inlineStr">
        <is>
          <t>Agricultura silvicultura exploração florestal</t>
        </is>
      </c>
      <c r="C14" s="27" t="n">
        <v>2195.862471795206</v>
      </c>
      <c r="D14" s="27" t="n">
        <v>1591.165291736961</v>
      </c>
      <c r="E14" s="27" t="n">
        <v>11.44956101036222</v>
      </c>
      <c r="F14" s="27" t="n">
        <v>1.974610018747284</v>
      </c>
      <c r="G14" s="27" t="n">
        <v>1.729373468663465</v>
      </c>
      <c r="H14" s="27" t="n">
        <v>27184.74070888643</v>
      </c>
      <c r="I14" s="27" t="n">
        <v>1428.450158422093</v>
      </c>
      <c r="J14" s="27" t="n">
        <v>2053.284835293472</v>
      </c>
      <c r="K14" s="27" t="n">
        <v>97.84488774539528</v>
      </c>
      <c r="L14" s="27" t="n">
        <v>12.64502800620375</v>
      </c>
      <c r="M14" s="27" t="n">
        <v>592.0693786051274</v>
      </c>
      <c r="N14" s="27" t="n">
        <v>392.6765888418839</v>
      </c>
      <c r="O14" s="27" t="n">
        <v>0.4521283358553809</v>
      </c>
      <c r="P14" s="27" t="n">
        <v>0.929039588524769</v>
      </c>
      <c r="Q14" s="27" t="n">
        <v>2738.278439770263</v>
      </c>
      <c r="R14" s="27" t="n">
        <v>71.49712914956085</v>
      </c>
      <c r="S14" s="27" t="n">
        <v>85.97337116746533</v>
      </c>
      <c r="T14" s="27" t="n">
        <v>11.40456732953186</v>
      </c>
      <c r="U14" s="27" t="n">
        <v>26.93599451644803</v>
      </c>
      <c r="V14" s="27" t="n">
        <v>20.52722318986267</v>
      </c>
      <c r="W14" s="27" t="n">
        <v>15.24198452201198</v>
      </c>
      <c r="X14" s="27" t="n">
        <v>24.62382722096052</v>
      </c>
      <c r="Y14" s="27" t="n">
        <v>223.9047424649789</v>
      </c>
      <c r="Z14" s="27" t="n">
        <v>16.73280109742724</v>
      </c>
      <c r="AA14" s="27" t="n">
        <v>104.3953598597384</v>
      </c>
      <c r="AB14" s="27" t="n">
        <v>3.351726759658908</v>
      </c>
      <c r="AC14" s="27" t="n">
        <v>4.167311507370748</v>
      </c>
      <c r="AD14" s="27" t="n">
        <v>0.1857316709895483</v>
      </c>
      <c r="AE14" s="27" t="n">
        <v>0.7757896627040614</v>
      </c>
      <c r="AF14" s="27" t="n">
        <v>0.9076530970898854</v>
      </c>
      <c r="AG14" s="27" t="n">
        <v>0.3356215552469266</v>
      </c>
      <c r="AH14" s="27" t="n">
        <v>0.09597678021929588</v>
      </c>
      <c r="AI14" s="27" t="n">
        <v>0.1971258411137866</v>
      </c>
      <c r="AJ14" s="27" t="n">
        <v>4.093534590253268</v>
      </c>
      <c r="AK14" s="27" t="n">
        <v>10.0931184169123</v>
      </c>
      <c r="AL14" s="27" t="n">
        <v>112.0040650814798</v>
      </c>
      <c r="AM14" s="27" t="n">
        <v>1718.417863790949</v>
      </c>
      <c r="AN14" s="27" t="n">
        <v>1.471284232265345</v>
      </c>
      <c r="AO14" s="27" t="n">
        <v>5.297835863111391</v>
      </c>
      <c r="AP14" s="27" t="n">
        <v>1.462122721572339</v>
      </c>
      <c r="AQ14" s="27" t="n">
        <v>1.553874594556167</v>
      </c>
      <c r="AR14" s="27" t="n">
        <v>0.01168711271630159</v>
      </c>
      <c r="AS14" s="27" t="n">
        <v>787.8583014982266</v>
      </c>
      <c r="AT14" s="27" t="n">
        <v>8.307442190574188</v>
      </c>
      <c r="AU14" s="27" t="n">
        <v>12.15874819477628</v>
      </c>
      <c r="AV14" s="27" t="n">
        <v>47.73148728170032</v>
      </c>
      <c r="AW14" s="27" t="n">
        <v>64.21367831893164</v>
      </c>
      <c r="AX14" s="27" t="n">
        <v>0</v>
      </c>
      <c r="AY14" s="27" t="n">
        <v>123.9147367333928</v>
      </c>
      <c r="AZ14" s="27" t="n">
        <v>44.7686308861616</v>
      </c>
      <c r="BA14" s="27" t="n">
        <v>311.3665506181746</v>
      </c>
      <c r="BB14" s="27">
        <f>SUM(C14:BA14)</f>
        <v/>
      </c>
      <c r="BC14" s="27" t="n">
        <v>0</v>
      </c>
      <c r="BD14" s="27" t="n">
        <v>0</v>
      </c>
      <c r="BE14" s="27" t="n">
        <v>25757.45522555313</v>
      </c>
      <c r="BF14" s="27" t="n">
        <v>0</v>
      </c>
      <c r="BG14" s="27">
        <f>SUM(BC14:BF14)</f>
        <v/>
      </c>
      <c r="BH14" s="27">
        <f>BB14+BG14</f>
        <v/>
      </c>
    </row>
    <row r="15">
      <c r="A15" s="29" t="n">
        <v>2</v>
      </c>
      <c r="B15" s="30" t="inlineStr">
        <is>
          <t>Pecuária e pesca</t>
        </is>
      </c>
      <c r="C15" s="29" t="n">
        <v>212.6536836343041</v>
      </c>
      <c r="D15" s="29" t="n">
        <v>1243.252042234278</v>
      </c>
      <c r="E15" s="29" t="n">
        <v>7.049685085447696</v>
      </c>
      <c r="F15" s="29" t="n">
        <v>1.435485378667257</v>
      </c>
      <c r="G15" s="29" t="n">
        <v>0.4538521514109984</v>
      </c>
      <c r="H15" s="29" t="n">
        <v>20533.39775032994</v>
      </c>
      <c r="I15" s="29" t="n">
        <v>54.97589272840001</v>
      </c>
      <c r="J15" s="29" t="n">
        <v>3.004199326588506</v>
      </c>
      <c r="K15" s="29" t="n">
        <v>0.2031735900950482</v>
      </c>
      <c r="L15" s="29" t="n">
        <v>4.423758051457362</v>
      </c>
      <c r="M15" s="29" t="n">
        <v>33.3864645359692</v>
      </c>
      <c r="N15" s="29" t="n">
        <v>21.95520727059984</v>
      </c>
      <c r="O15" s="29" t="n">
        <v>0.03270517556085892</v>
      </c>
      <c r="P15" s="29" t="n">
        <v>0.02579031227698889</v>
      </c>
      <c r="Q15" s="29" t="n">
        <v>18.46358427109773</v>
      </c>
      <c r="R15" s="29" t="n">
        <v>2.597709335173761</v>
      </c>
      <c r="S15" s="29" t="n">
        <v>2.289974971620514</v>
      </c>
      <c r="T15" s="29" t="n">
        <v>0.2647496280524503</v>
      </c>
      <c r="U15" s="29" t="n">
        <v>0.7663558911481686</v>
      </c>
      <c r="V15" s="29" t="n">
        <v>1.522551006853309</v>
      </c>
      <c r="W15" s="29" t="n">
        <v>0.4024314261220152</v>
      </c>
      <c r="X15" s="29" t="n">
        <v>0.6283973791269838</v>
      </c>
      <c r="Y15" s="29" t="n">
        <v>12.1617153580191</v>
      </c>
      <c r="Z15" s="29" t="n">
        <v>0.5048321355938793</v>
      </c>
      <c r="AA15" s="29" t="n">
        <v>5.972141775867235</v>
      </c>
      <c r="AB15" s="29" t="n">
        <v>1.979196327951738</v>
      </c>
      <c r="AC15" s="29" t="n">
        <v>0.2496129349478865</v>
      </c>
      <c r="AD15" s="29" t="n">
        <v>0.1081773491669998</v>
      </c>
      <c r="AE15" s="29" t="n">
        <v>0.03531733656573736</v>
      </c>
      <c r="AF15" s="29" t="n">
        <v>0.1589777606931006</v>
      </c>
      <c r="AG15" s="29" t="n">
        <v>0.3064836305984084</v>
      </c>
      <c r="AH15" s="29" t="n">
        <v>0.04555282546742791</v>
      </c>
      <c r="AI15" s="29" t="n">
        <v>0.2772925818838078</v>
      </c>
      <c r="AJ15" s="29" t="n">
        <v>0.07111339255009234</v>
      </c>
      <c r="AK15" s="29" t="n">
        <v>6.881817009437405</v>
      </c>
      <c r="AL15" s="29" t="n">
        <v>74.28558450685861</v>
      </c>
      <c r="AM15" s="29" t="n">
        <v>58.43612116302732</v>
      </c>
      <c r="AN15" s="29" t="n">
        <v>2.166861542171832</v>
      </c>
      <c r="AO15" s="29" t="n">
        <v>7.556111840579852</v>
      </c>
      <c r="AP15" s="29" t="n">
        <v>1.440442413464738</v>
      </c>
      <c r="AQ15" s="29" t="n">
        <v>1.988649641469451</v>
      </c>
      <c r="AR15" s="29" t="n">
        <v>0.002116993878527458</v>
      </c>
      <c r="AS15" s="29" t="n">
        <v>323.9086144684302</v>
      </c>
      <c r="AT15" s="29" t="n">
        <v>3.209166919893579</v>
      </c>
      <c r="AU15" s="29" t="n">
        <v>5.348845019824606</v>
      </c>
      <c r="AV15" s="29" t="n">
        <v>34.65096705328674</v>
      </c>
      <c r="AW15" s="29" t="n">
        <v>9.695322118199378</v>
      </c>
      <c r="AX15" s="29" t="n">
        <v>0</v>
      </c>
      <c r="AY15" s="29" t="n">
        <v>53.27753924801146</v>
      </c>
      <c r="AZ15" s="29" t="n">
        <v>17.63942370058438</v>
      </c>
      <c r="BA15" s="29" t="n">
        <v>80.50267805945869</v>
      </c>
      <c r="BB15" s="29">
        <f>SUM(C15:BA15)</f>
        <v/>
      </c>
      <c r="BC15" s="29" t="n">
        <v>0</v>
      </c>
      <c r="BD15" s="29" t="n">
        <v>0</v>
      </c>
      <c r="BE15" s="29" t="n">
        <v>11668.21899470163</v>
      </c>
      <c r="BF15" s="29" t="n">
        <v>0</v>
      </c>
      <c r="BG15" s="29">
        <f>SUM(BC15:BF15)</f>
        <v/>
      </c>
      <c r="BH15" s="29">
        <f>BB15+BG15</f>
        <v/>
      </c>
    </row>
    <row r="16">
      <c r="A16" s="27" t="n">
        <v>3</v>
      </c>
      <c r="B16" s="28" t="inlineStr">
        <is>
          <t>Petróleo e gás natural</t>
        </is>
      </c>
      <c r="C16" s="27" t="n">
        <v>10.55784152525721</v>
      </c>
      <c r="D16" s="27" t="n">
        <v>15.51567066431814</v>
      </c>
      <c r="E16" s="27" t="n">
        <v>1422.550358134772</v>
      </c>
      <c r="F16" s="27" t="n">
        <v>36.95153242810112</v>
      </c>
      <c r="G16" s="27" t="n">
        <v>5.02188304423087</v>
      </c>
      <c r="H16" s="27" t="n">
        <v>154.1178273040063</v>
      </c>
      <c r="I16" s="27" t="n">
        <v>0.1823382592518668</v>
      </c>
      <c r="J16" s="27" t="n">
        <v>47.80653746815488</v>
      </c>
      <c r="K16" s="27" t="n">
        <v>0.5482247819380225</v>
      </c>
      <c r="L16" s="27" t="n">
        <v>0.1640699533372679</v>
      </c>
      <c r="M16" s="27" t="n">
        <v>9.984892164172333</v>
      </c>
      <c r="N16" s="27" t="n">
        <v>104.6237709951613</v>
      </c>
      <c r="O16" s="27" t="n">
        <v>0.3654199556559237</v>
      </c>
      <c r="P16" s="27" t="n">
        <v>19695.15952378515</v>
      </c>
      <c r="Q16" s="27" t="n">
        <v>0.2370226411928986</v>
      </c>
      <c r="R16" s="27" t="n">
        <v>202.8581706884159</v>
      </c>
      <c r="S16" s="27" t="n">
        <v>116.112868074899</v>
      </c>
      <c r="T16" s="27" t="n">
        <v>6.469668910327212</v>
      </c>
      <c r="U16" s="27" t="n">
        <v>6.526360369772064</v>
      </c>
      <c r="V16" s="27" t="n">
        <v>4.83714784675689</v>
      </c>
      <c r="W16" s="27" t="n">
        <v>4.64594494627433</v>
      </c>
      <c r="X16" s="27" t="n">
        <v>8.855457015464852</v>
      </c>
      <c r="Y16" s="27" t="n">
        <v>20.52474134781473</v>
      </c>
      <c r="Z16" s="27" t="n">
        <v>68.63390435556416</v>
      </c>
      <c r="AA16" s="27" t="n">
        <v>96.95365099264055</v>
      </c>
      <c r="AB16" s="27" t="n">
        <v>68.17919342356753</v>
      </c>
      <c r="AC16" s="27" t="n">
        <v>59.68030861073591</v>
      </c>
      <c r="AD16" s="27" t="n">
        <v>9.009415769297586</v>
      </c>
      <c r="AE16" s="27" t="n">
        <v>5.826967553622694</v>
      </c>
      <c r="AF16" s="27" t="n">
        <v>1.554433925965227</v>
      </c>
      <c r="AG16" s="27" t="n">
        <v>15.13369550015189</v>
      </c>
      <c r="AH16" s="27" t="n">
        <v>36.88006721904448</v>
      </c>
      <c r="AI16" s="27" t="n">
        <v>1.408758721344484</v>
      </c>
      <c r="AJ16" s="27" t="n">
        <v>0.5266669428415112</v>
      </c>
      <c r="AK16" s="27" t="n">
        <v>1340.408237444554</v>
      </c>
      <c r="AL16" s="27" t="n">
        <v>276.0902764449162</v>
      </c>
      <c r="AM16" s="27" t="n">
        <v>37.79511230516079</v>
      </c>
      <c r="AN16" s="27" t="n">
        <v>11.8671589290931</v>
      </c>
      <c r="AO16" s="27" t="n">
        <v>33.93403937236144</v>
      </c>
      <c r="AP16" s="27" t="n">
        <v>9.312627599513846</v>
      </c>
      <c r="AQ16" s="27" t="n">
        <v>9.162904152894484</v>
      </c>
      <c r="AR16" s="27" t="n">
        <v>0.7002447779940831</v>
      </c>
      <c r="AS16" s="27" t="n">
        <v>34.70180738261995</v>
      </c>
      <c r="AT16" s="27" t="n">
        <v>37.41695614690312</v>
      </c>
      <c r="AU16" s="27" t="n">
        <v>5.616461882245233</v>
      </c>
      <c r="AV16" s="27" t="n">
        <v>2.2030896831726</v>
      </c>
      <c r="AW16" s="27" t="n">
        <v>24.53786450316728</v>
      </c>
      <c r="AX16" s="27" t="n">
        <v>0</v>
      </c>
      <c r="AY16" s="27" t="n">
        <v>4.879653202747199</v>
      </c>
      <c r="AZ16" s="27" t="n">
        <v>12.27339593120517</v>
      </c>
      <c r="BA16" s="27" t="n">
        <v>60.75058898520911</v>
      </c>
      <c r="BB16" s="27">
        <f>SUM(C16:BA16)</f>
        <v/>
      </c>
      <c r="BC16" s="27" t="n">
        <v>0</v>
      </c>
      <c r="BD16" s="27" t="n">
        <v>0</v>
      </c>
      <c r="BE16" s="27" t="n">
        <v>8831.13351105641</v>
      </c>
      <c r="BF16" s="27" t="n">
        <v>0</v>
      </c>
      <c r="BG16" s="27">
        <f>SUM(BC16:BF16)</f>
        <v/>
      </c>
      <c r="BH16" s="27">
        <f>BB16+BG16</f>
        <v/>
      </c>
    </row>
    <row r="17">
      <c r="A17" s="29" t="n">
        <v>4</v>
      </c>
      <c r="B17" s="30" t="inlineStr">
        <is>
          <t>Minério de ferro</t>
        </is>
      </c>
      <c r="C17" s="29" t="n">
        <v>0.1728707316170361</v>
      </c>
      <c r="D17" s="29" t="n">
        <v>0.09999785127168205</v>
      </c>
      <c r="E17" s="29" t="n">
        <v>2.639590461051873</v>
      </c>
      <c r="F17" s="29" t="n">
        <v>123.1109814115163</v>
      </c>
      <c r="G17" s="29" t="n">
        <v>6.136837535501949</v>
      </c>
      <c r="H17" s="29" t="n">
        <v>5.119428274532052</v>
      </c>
      <c r="I17" s="29" t="n">
        <v>0.3381801052944132</v>
      </c>
      <c r="J17" s="29" t="n">
        <v>0.2182042017743514</v>
      </c>
      <c r="K17" s="29" t="n">
        <v>0.2169389182453801</v>
      </c>
      <c r="L17" s="29" t="n">
        <v>0.3693300099250719</v>
      </c>
      <c r="M17" s="29" t="n">
        <v>0.103771989248802</v>
      </c>
      <c r="N17" s="29" t="n">
        <v>0.5903121995366655</v>
      </c>
      <c r="O17" s="29" t="n">
        <v>0.09314326895207595</v>
      </c>
      <c r="P17" s="29" t="n">
        <v>0.8824263748049626</v>
      </c>
      <c r="Q17" s="29" t="n">
        <v>0.107481819543827</v>
      </c>
      <c r="R17" s="29" t="n">
        <v>0.8328524167766539</v>
      </c>
      <c r="S17" s="29" t="n">
        <v>0.1947482239126392</v>
      </c>
      <c r="T17" s="29" t="n">
        <v>1.198448568903755</v>
      </c>
      <c r="U17" s="29" t="n">
        <v>0.3942459400737771</v>
      </c>
      <c r="V17" s="29" t="n">
        <v>0.5423081681316043</v>
      </c>
      <c r="W17" s="29" t="n">
        <v>0.2828371510511202</v>
      </c>
      <c r="X17" s="29" t="n">
        <v>0.2661248719860644</v>
      </c>
      <c r="Y17" s="29" t="n">
        <v>0.6715161519739247</v>
      </c>
      <c r="Z17" s="29" t="n">
        <v>22.56677140720831</v>
      </c>
      <c r="AA17" s="29" t="n">
        <v>2092.604543504555</v>
      </c>
      <c r="AB17" s="29" t="n">
        <v>16.35491762631654</v>
      </c>
      <c r="AC17" s="29" t="n">
        <v>0.5253405809276652</v>
      </c>
      <c r="AD17" s="29" t="n">
        <v>0.9886517079787784</v>
      </c>
      <c r="AE17" s="29" t="n">
        <v>0.8427123751247941</v>
      </c>
      <c r="AF17" s="29" t="n">
        <v>1.30866992322607</v>
      </c>
      <c r="AG17" s="29" t="n">
        <v>1.580334619151317</v>
      </c>
      <c r="AH17" s="29" t="n">
        <v>0.5360803852794674</v>
      </c>
      <c r="AI17" s="29" t="n">
        <v>0.1666690585879493</v>
      </c>
      <c r="AJ17" s="29" t="n">
        <v>0.233826945381977</v>
      </c>
      <c r="AK17" s="29" t="n">
        <v>1.852101299870418</v>
      </c>
      <c r="AL17" s="29" t="n">
        <v>3.179949382838972</v>
      </c>
      <c r="AM17" s="29" t="n">
        <v>9.396534792801445</v>
      </c>
      <c r="AN17" s="29" t="n">
        <v>4.353323787655254</v>
      </c>
      <c r="AO17" s="29" t="n">
        <v>6.427378802873744</v>
      </c>
      <c r="AP17" s="29" t="n">
        <v>5.849417112994836</v>
      </c>
      <c r="AQ17" s="29" t="n">
        <v>0.466823820295957</v>
      </c>
      <c r="AR17" s="29" t="n">
        <v>0.04158659327381179</v>
      </c>
      <c r="AS17" s="29" t="n">
        <v>0.590675753597263</v>
      </c>
      <c r="AT17" s="29" t="n">
        <v>8.439012983537767</v>
      </c>
      <c r="AU17" s="29" t="n">
        <v>1.380295451250584</v>
      </c>
      <c r="AV17" s="29" t="n">
        <v>0.5000864411043108</v>
      </c>
      <c r="AW17" s="29" t="n">
        <v>2.481076850064589</v>
      </c>
      <c r="AX17" s="29" t="n">
        <v>0</v>
      </c>
      <c r="AY17" s="29" t="n">
        <v>1.076692646226544</v>
      </c>
      <c r="AZ17" s="29" t="n">
        <v>1.244450132089594</v>
      </c>
      <c r="BA17" s="29" t="n">
        <v>5.189127004601968</v>
      </c>
      <c r="BB17" s="29">
        <f>SUM(C17:BA17)</f>
        <v/>
      </c>
      <c r="BC17" s="29" t="n">
        <v>0</v>
      </c>
      <c r="BD17" s="29" t="n">
        <v>0</v>
      </c>
      <c r="BE17" s="29" t="n">
        <v>6218.77181042773</v>
      </c>
      <c r="BF17" s="29" t="n">
        <v>0</v>
      </c>
      <c r="BG17" s="29">
        <f>SUM(BC17:BF17)</f>
        <v/>
      </c>
      <c r="BH17" s="29">
        <f>BB17+BG17</f>
        <v/>
      </c>
    </row>
    <row r="18">
      <c r="A18" s="27" t="n">
        <v>5</v>
      </c>
      <c r="B18" s="28" t="inlineStr">
        <is>
          <t>Outros da indústria extrativa</t>
        </is>
      </c>
      <c r="C18" s="27" t="n">
        <v>111.7524824668474</v>
      </c>
      <c r="D18" s="27" t="n">
        <v>76.97797182043311</v>
      </c>
      <c r="E18" s="27" t="n">
        <v>73.30329633252356</v>
      </c>
      <c r="F18" s="27" t="n">
        <v>1.318822955403386</v>
      </c>
      <c r="G18" s="27" t="n">
        <v>211.1328537910254</v>
      </c>
      <c r="H18" s="27" t="n">
        <v>84.05973365838527</v>
      </c>
      <c r="I18" s="27" t="n">
        <v>0.04939141670798072</v>
      </c>
      <c r="J18" s="27" t="n">
        <v>2.866827661576959</v>
      </c>
      <c r="K18" s="27" t="n">
        <v>0.209846157887133</v>
      </c>
      <c r="L18" s="27" t="n">
        <v>1.908884532006488</v>
      </c>
      <c r="M18" s="27" t="n">
        <v>0.2780678073329692</v>
      </c>
      <c r="N18" s="27" t="n">
        <v>11.51120139902626</v>
      </c>
      <c r="O18" s="27" t="n">
        <v>0.9313403498951285</v>
      </c>
      <c r="P18" s="27" t="n">
        <v>1.547305120221727</v>
      </c>
      <c r="Q18" s="27" t="n">
        <v>24.40551301026415</v>
      </c>
      <c r="R18" s="27" t="n">
        <v>781.167252079092</v>
      </c>
      <c r="S18" s="27" t="n">
        <v>6.085231692396254</v>
      </c>
      <c r="T18" s="27" t="n">
        <v>1.094362612628602</v>
      </c>
      <c r="U18" s="27" t="n">
        <v>0.7501190047167391</v>
      </c>
      <c r="V18" s="27" t="n">
        <v>5.779934010336217</v>
      </c>
      <c r="W18" s="27" t="n">
        <v>24.27319175299029</v>
      </c>
      <c r="X18" s="27" t="n">
        <v>7.136633633590513</v>
      </c>
      <c r="Y18" s="27" t="n">
        <v>8.631884276990167</v>
      </c>
      <c r="Z18" s="27" t="n">
        <v>922.5875294434334</v>
      </c>
      <c r="AA18" s="27" t="n">
        <v>626.0047513876885</v>
      </c>
      <c r="AB18" s="27" t="n">
        <v>1414.096711192512</v>
      </c>
      <c r="AC18" s="27" t="n">
        <v>6.661193943363442</v>
      </c>
      <c r="AD18" s="27" t="n">
        <v>8.63573344079631</v>
      </c>
      <c r="AE18" s="27" t="n">
        <v>23.65478899394225</v>
      </c>
      <c r="AF18" s="27" t="n">
        <v>1.07384643742699</v>
      </c>
      <c r="AG18" s="27" t="n">
        <v>7.179728849879425</v>
      </c>
      <c r="AH18" s="27" t="n">
        <v>16.54526042945899</v>
      </c>
      <c r="AI18" s="27" t="n">
        <v>2.189392795891941</v>
      </c>
      <c r="AJ18" s="27" t="n">
        <v>12.97354491676825</v>
      </c>
      <c r="AK18" s="27" t="n">
        <v>92.60770235799257</v>
      </c>
      <c r="AL18" s="27" t="n">
        <v>1324.295670517741</v>
      </c>
      <c r="AM18" s="27" t="n">
        <v>18.43465379897435</v>
      </c>
      <c r="AN18" s="27" t="n">
        <v>2.473914662158794</v>
      </c>
      <c r="AO18" s="27" t="n">
        <v>1.918824388822712</v>
      </c>
      <c r="AP18" s="27" t="n">
        <v>1.630295019525264</v>
      </c>
      <c r="AQ18" s="27" t="n">
        <v>40.20595261479755</v>
      </c>
      <c r="AR18" s="27" t="n">
        <v>0.0975047978691624</v>
      </c>
      <c r="AS18" s="27" t="n">
        <v>8.330243956444281</v>
      </c>
      <c r="AT18" s="27" t="n">
        <v>4.286704940073654</v>
      </c>
      <c r="AU18" s="27" t="n">
        <v>1.187119385754531</v>
      </c>
      <c r="AV18" s="27" t="n">
        <v>6.195162076947748</v>
      </c>
      <c r="AW18" s="27" t="n">
        <v>4.262981239798266</v>
      </c>
      <c r="AX18" s="27" t="n">
        <v>0</v>
      </c>
      <c r="AY18" s="27" t="n">
        <v>10.94201897263251</v>
      </c>
      <c r="AZ18" s="27" t="n">
        <v>3.691057391360116</v>
      </c>
      <c r="BA18" s="27" t="n">
        <v>10.81437370572973</v>
      </c>
      <c r="BB18" s="27">
        <f>SUM(C18:BA18)</f>
        <v/>
      </c>
      <c r="BC18" s="27" t="n">
        <v>0</v>
      </c>
      <c r="BD18" s="27" t="n">
        <v>0</v>
      </c>
      <c r="BE18" s="27" t="n">
        <v>862.6790117385824</v>
      </c>
      <c r="BF18" s="27" t="n">
        <v>0</v>
      </c>
      <c r="BG18" s="27">
        <f>SUM(BC18:BF18)</f>
        <v/>
      </c>
      <c r="BH18" s="27">
        <f>BB18+BG18</f>
        <v/>
      </c>
    </row>
    <row r="19">
      <c r="A19" s="29" t="n">
        <v>6</v>
      </c>
      <c r="B19" s="30" t="inlineStr">
        <is>
          <t>Alimentos e Bebidas</t>
        </is>
      </c>
      <c r="C19" s="29" t="n">
        <v>287.9844866613556</v>
      </c>
      <c r="D19" s="29" t="n">
        <v>2357.826955039914</v>
      </c>
      <c r="E19" s="29" t="n">
        <v>105.2166139261565</v>
      </c>
      <c r="F19" s="29" t="n">
        <v>17.23848281314951</v>
      </c>
      <c r="G19" s="29" t="n">
        <v>50.27348534808002</v>
      </c>
      <c r="H19" s="29" t="n">
        <v>17796.89874207258</v>
      </c>
      <c r="I19" s="29" t="n">
        <v>4.621139518620708</v>
      </c>
      <c r="J19" s="29" t="n">
        <v>29.89743148050776</v>
      </c>
      <c r="K19" s="29" t="n">
        <v>17.10822572868884</v>
      </c>
      <c r="L19" s="29" t="n">
        <v>895.4999777057311</v>
      </c>
      <c r="M19" s="29" t="n">
        <v>14.01264651718302</v>
      </c>
      <c r="N19" s="29" t="n">
        <v>155.1073819660301</v>
      </c>
      <c r="O19" s="29" t="n">
        <v>8.233216528187706</v>
      </c>
      <c r="P19" s="29" t="n">
        <v>1010.907489954863</v>
      </c>
      <c r="Q19" s="29" t="n">
        <v>486.4550939866741</v>
      </c>
      <c r="R19" s="29" t="n">
        <v>186.9104681394109</v>
      </c>
      <c r="S19" s="29" t="n">
        <v>79.94619088845404</v>
      </c>
      <c r="T19" s="29" t="n">
        <v>171.6702115225873</v>
      </c>
      <c r="U19" s="29" t="n">
        <v>59.92000578452785</v>
      </c>
      <c r="V19" s="29" t="n">
        <v>667.9402086105723</v>
      </c>
      <c r="W19" s="29" t="n">
        <v>90.11963234881945</v>
      </c>
      <c r="X19" s="29" t="n">
        <v>408.4407437541208</v>
      </c>
      <c r="Y19" s="29" t="n">
        <v>61.60186820748087</v>
      </c>
      <c r="Z19" s="29" t="n">
        <v>37.96303394793524</v>
      </c>
      <c r="AA19" s="29" t="n">
        <v>63.4700054259369</v>
      </c>
      <c r="AB19" s="29" t="n">
        <v>19.98745502608167</v>
      </c>
      <c r="AC19" s="29" t="n">
        <v>60.43087800522303</v>
      </c>
      <c r="AD19" s="29" t="n">
        <v>101.302550625785</v>
      </c>
      <c r="AE19" s="29" t="n">
        <v>28.43039582932193</v>
      </c>
      <c r="AF19" s="29" t="n">
        <v>28.34020948599585</v>
      </c>
      <c r="AG19" s="29" t="n">
        <v>21.75046655577284</v>
      </c>
      <c r="AH19" s="29" t="n">
        <v>13.45938445840519</v>
      </c>
      <c r="AI19" s="29" t="n">
        <v>7.452242386243251</v>
      </c>
      <c r="AJ19" s="29" t="n">
        <v>20.25190534128708</v>
      </c>
      <c r="AK19" s="29" t="n">
        <v>101.2386141487745</v>
      </c>
      <c r="AL19" s="29" t="n">
        <v>187.7241815605325</v>
      </c>
      <c r="AM19" s="29" t="n">
        <v>949.0240712692736</v>
      </c>
      <c r="AN19" s="29" t="n">
        <v>247.4488655208426</v>
      </c>
      <c r="AO19" s="29" t="n">
        <v>107.1227553524944</v>
      </c>
      <c r="AP19" s="29" t="n">
        <v>91.30215871717006</v>
      </c>
      <c r="AQ19" s="29" t="n">
        <v>13.48245717575498</v>
      </c>
      <c r="AR19" s="29" t="n">
        <v>9.219779008944473</v>
      </c>
      <c r="AS19" s="29" t="n">
        <v>9238.937354809543</v>
      </c>
      <c r="AT19" s="29" t="n">
        <v>113.4654701638747</v>
      </c>
      <c r="AU19" s="29" t="n">
        <v>100.5095627211827</v>
      </c>
      <c r="AV19" s="29" t="n">
        <v>357.8904627977052</v>
      </c>
      <c r="AW19" s="29" t="n">
        <v>297.1203641528415</v>
      </c>
      <c r="AX19" s="29" t="n">
        <v>0</v>
      </c>
      <c r="AY19" s="29" t="n">
        <v>689.5578881347153</v>
      </c>
      <c r="AZ19" s="29" t="n">
        <v>450.90439184505</v>
      </c>
      <c r="BA19" s="29" t="n">
        <v>890.0831755673075</v>
      </c>
      <c r="BB19" s="29">
        <f>SUM(C19:BA19)</f>
        <v/>
      </c>
      <c r="BC19" s="29" t="n">
        <v>0</v>
      </c>
      <c r="BD19" s="29" t="n">
        <v>0</v>
      </c>
      <c r="BE19" s="29" t="n">
        <v>106136.1833379733</v>
      </c>
      <c r="BF19" s="29" t="n">
        <v>0</v>
      </c>
      <c r="BG19" s="29">
        <f>SUM(BC19:BF19)</f>
        <v/>
      </c>
      <c r="BH19" s="29">
        <f>BB19+BG19</f>
        <v/>
      </c>
    </row>
    <row r="20">
      <c r="A20" s="27" t="n">
        <v>7</v>
      </c>
      <c r="B20" s="28" t="inlineStr">
        <is>
          <t>Produtos do fumo</t>
        </is>
      </c>
      <c r="C20" s="27" t="n">
        <v>0.03369299725815292</v>
      </c>
      <c r="D20" s="27" t="n">
        <v>0.01916741257886011</v>
      </c>
      <c r="E20" s="27" t="n">
        <v>0.5920987431738367</v>
      </c>
      <c r="F20" s="27" t="n">
        <v>0.1232986246816061</v>
      </c>
      <c r="G20" s="27" t="n">
        <v>0.1024511764507382</v>
      </c>
      <c r="H20" s="27" t="n">
        <v>0.9598346032616027</v>
      </c>
      <c r="I20" s="27" t="n">
        <v>354.4606268253442</v>
      </c>
      <c r="J20" s="27" t="n">
        <v>0.04623043058378563</v>
      </c>
      <c r="K20" s="27" t="n">
        <v>0.05080854841499562</v>
      </c>
      <c r="L20" s="27" t="n">
        <v>0.07026413928405792</v>
      </c>
      <c r="M20" s="27" t="n">
        <v>0.02984179889294618</v>
      </c>
      <c r="N20" s="27" t="n">
        <v>0.1342447605763739</v>
      </c>
      <c r="O20" s="27" t="n">
        <v>0.03645127275499887</v>
      </c>
      <c r="P20" s="27" t="n">
        <v>0.1681544901955882</v>
      </c>
      <c r="Q20" s="27" t="n">
        <v>0.02435051183305222</v>
      </c>
      <c r="R20" s="27" t="n">
        <v>0.1624498264713363</v>
      </c>
      <c r="S20" s="27" t="n">
        <v>0.04037847168466309</v>
      </c>
      <c r="T20" s="27" t="n">
        <v>0.2231236055547787</v>
      </c>
      <c r="U20" s="27" t="n">
        <v>0.07282384652797733</v>
      </c>
      <c r="V20" s="27" t="n">
        <v>0.100682351213271</v>
      </c>
      <c r="W20" s="27" t="n">
        <v>0.05422921023327462</v>
      </c>
      <c r="X20" s="27" t="n">
        <v>0.05298487912324332</v>
      </c>
      <c r="Y20" s="27" t="n">
        <v>0.1316993548531689</v>
      </c>
      <c r="Z20" s="27" t="n">
        <v>0.1575734169692894</v>
      </c>
      <c r="AA20" s="27" t="n">
        <v>0.2352647204750851</v>
      </c>
      <c r="AB20" s="27" t="n">
        <v>0.07876604509312912</v>
      </c>
      <c r="AC20" s="27" t="n">
        <v>0.106170253718877</v>
      </c>
      <c r="AD20" s="27" t="n">
        <v>0.6877244200234266</v>
      </c>
      <c r="AE20" s="27" t="n">
        <v>0.1698565251103558</v>
      </c>
      <c r="AF20" s="27" t="n">
        <v>0.2409462246257933</v>
      </c>
      <c r="AG20" s="27" t="n">
        <v>0.3136823593250448</v>
      </c>
      <c r="AH20" s="27" t="n">
        <v>0.1054000626223562</v>
      </c>
      <c r="AI20" s="27" t="n">
        <v>0.04015922397088645</v>
      </c>
      <c r="AJ20" s="27" t="n">
        <v>0.05021548257775881</v>
      </c>
      <c r="AK20" s="27" t="n">
        <v>0.3655785855041987</v>
      </c>
      <c r="AL20" s="27" t="n">
        <v>0.6872518758612947</v>
      </c>
      <c r="AM20" s="27" t="n">
        <v>1.884437527125122</v>
      </c>
      <c r="AN20" s="27" t="n">
        <v>0.8666214452863602</v>
      </c>
      <c r="AO20" s="27" t="n">
        <v>1.208952705525386</v>
      </c>
      <c r="AP20" s="27" t="n">
        <v>1.077729633550396</v>
      </c>
      <c r="AQ20" s="27" t="n">
        <v>0.09311810083388193</v>
      </c>
      <c r="AR20" s="27" t="n">
        <v>0.009983340665436602</v>
      </c>
      <c r="AS20" s="27" t="n">
        <v>0.1290958117794671</v>
      </c>
      <c r="AT20" s="27" t="n">
        <v>1.232123600236817</v>
      </c>
      <c r="AU20" s="27" t="n">
        <v>0.2657036109236144</v>
      </c>
      <c r="AV20" s="27" t="n">
        <v>0.1051494465224672</v>
      </c>
      <c r="AW20" s="27" t="n">
        <v>0.5091489953721671</v>
      </c>
      <c r="AX20" s="27" t="n">
        <v>0</v>
      </c>
      <c r="AY20" s="27" t="n">
        <v>0.1978133663830844</v>
      </c>
      <c r="AZ20" s="27" t="n">
        <v>0.2356501043565228</v>
      </c>
      <c r="BA20" s="27" t="n">
        <v>0.9583172611550946</v>
      </c>
      <c r="BB20" s="27">
        <f>SUM(C20:BA20)</f>
        <v/>
      </c>
      <c r="BC20" s="27" t="n">
        <v>0</v>
      </c>
      <c r="BD20" s="27" t="n">
        <v>0</v>
      </c>
      <c r="BE20" s="27" t="n">
        <v>4367.639654090223</v>
      </c>
      <c r="BF20" s="27" t="n">
        <v>0</v>
      </c>
      <c r="BG20" s="27">
        <f>SUM(BC20:BF20)</f>
        <v/>
      </c>
      <c r="BH20" s="27">
        <f>BB20+BG20</f>
        <v/>
      </c>
    </row>
    <row r="21">
      <c r="A21" s="29" t="n">
        <v>8</v>
      </c>
      <c r="B21" s="30" t="inlineStr">
        <is>
          <t>Têxteis</t>
        </is>
      </c>
      <c r="C21" s="29" t="n">
        <v>162.1552023748534</v>
      </c>
      <c r="D21" s="29" t="n">
        <v>3.902376985598764</v>
      </c>
      <c r="E21" s="29" t="n">
        <v>26.98181719434909</v>
      </c>
      <c r="F21" s="29" t="n">
        <v>0.359954496418261</v>
      </c>
      <c r="G21" s="29" t="n">
        <v>64.84058939782544</v>
      </c>
      <c r="H21" s="29" t="n">
        <v>109.3965144894711</v>
      </c>
      <c r="I21" s="29" t="n">
        <v>0.4539003048228356</v>
      </c>
      <c r="J21" s="29" t="n">
        <v>4712.984484647187</v>
      </c>
      <c r="K21" s="29" t="n">
        <v>4968.594533115684</v>
      </c>
      <c r="L21" s="29" t="n">
        <v>1250.87754956663</v>
      </c>
      <c r="M21" s="29" t="n">
        <v>3.610117205159558</v>
      </c>
      <c r="N21" s="29" t="n">
        <v>38.44112114042195</v>
      </c>
      <c r="O21" s="29" t="n">
        <v>1.771643145118477</v>
      </c>
      <c r="P21" s="29" t="n">
        <v>0.8630323878257353</v>
      </c>
      <c r="Q21" s="29" t="n">
        <v>0.3096180234366275</v>
      </c>
      <c r="R21" s="29" t="n">
        <v>3.277536295362839</v>
      </c>
      <c r="S21" s="29" t="n">
        <v>11.20102619237327</v>
      </c>
      <c r="T21" s="29" t="n">
        <v>33.32696525223611</v>
      </c>
      <c r="U21" s="29" t="n">
        <v>1.661870722381247</v>
      </c>
      <c r="V21" s="29" t="n">
        <v>6.495697611424926</v>
      </c>
      <c r="W21" s="29" t="n">
        <v>4.359344375504665</v>
      </c>
      <c r="X21" s="29" t="n">
        <v>14.32958419007069</v>
      </c>
      <c r="Y21" s="29" t="n">
        <v>248.860228416182</v>
      </c>
      <c r="Z21" s="29" t="n">
        <v>14.80503624641821</v>
      </c>
      <c r="AA21" s="29" t="n">
        <v>1.571711376272729</v>
      </c>
      <c r="AB21" s="29" t="n">
        <v>1.23243583696477</v>
      </c>
      <c r="AC21" s="29" t="n">
        <v>18.49468478530604</v>
      </c>
      <c r="AD21" s="29" t="n">
        <v>6.346441319394935</v>
      </c>
      <c r="AE21" s="29" t="n">
        <v>18.58347166725466</v>
      </c>
      <c r="AF21" s="29" t="n">
        <v>10.80020647407376</v>
      </c>
      <c r="AG21" s="29" t="n">
        <v>29.27781416022792</v>
      </c>
      <c r="AH21" s="29" t="n">
        <v>483.4268247399926</v>
      </c>
      <c r="AI21" s="29" t="n">
        <v>19.41445649096423</v>
      </c>
      <c r="AJ21" s="29" t="n">
        <v>455.307800640746</v>
      </c>
      <c r="AK21" s="29" t="n">
        <v>10.39335072354425</v>
      </c>
      <c r="AL21" s="29" t="n">
        <v>205.8365520403025</v>
      </c>
      <c r="AM21" s="29" t="n">
        <v>86.20002911898023</v>
      </c>
      <c r="AN21" s="29" t="n">
        <v>30.47414068197337</v>
      </c>
      <c r="AO21" s="29" t="n">
        <v>12.48662429880486</v>
      </c>
      <c r="AP21" s="29" t="n">
        <v>11.3581367963904</v>
      </c>
      <c r="AQ21" s="29" t="n">
        <v>3.372824111911957</v>
      </c>
      <c r="AR21" s="29" t="n">
        <v>9.186931162384949</v>
      </c>
      <c r="AS21" s="29" t="n">
        <v>122.210572314652</v>
      </c>
      <c r="AT21" s="29" t="n">
        <v>22.36895619221671</v>
      </c>
      <c r="AU21" s="29" t="n">
        <v>6.595625218657966</v>
      </c>
      <c r="AV21" s="29" t="n">
        <v>7.980996308800488</v>
      </c>
      <c r="AW21" s="29" t="n">
        <v>192.1449649945985</v>
      </c>
      <c r="AX21" s="29" t="n">
        <v>0</v>
      </c>
      <c r="AY21" s="29" t="n">
        <v>18.17768679532239</v>
      </c>
      <c r="AZ21" s="29" t="n">
        <v>9.921854842174527</v>
      </c>
      <c r="BA21" s="29" t="n">
        <v>20.87596285484046</v>
      </c>
      <c r="BB21" s="29">
        <f>SUM(C21:BA21)</f>
        <v/>
      </c>
      <c r="BC21" s="29" t="n">
        <v>0</v>
      </c>
      <c r="BD21" s="29" t="n">
        <v>0</v>
      </c>
      <c r="BE21" s="29" t="n">
        <v>8735.264370336843</v>
      </c>
      <c r="BF21" s="29" t="n">
        <v>0</v>
      </c>
      <c r="BG21" s="29">
        <f>SUM(BC21:BF21)</f>
        <v/>
      </c>
      <c r="BH21" s="29">
        <f>BB21+BG21</f>
        <v/>
      </c>
    </row>
    <row r="22">
      <c r="A22" s="27" t="n">
        <v>9</v>
      </c>
      <c r="B22" s="28" t="inlineStr">
        <is>
          <t>Artigos do vestuário e acessórios</t>
        </is>
      </c>
      <c r="C22" s="27" t="n">
        <v>5.451258544110815</v>
      </c>
      <c r="D22" s="27" t="n">
        <v>0.3560748585470641</v>
      </c>
      <c r="E22" s="27" t="n">
        <v>18.05477197468561</v>
      </c>
      <c r="F22" s="27" t="n">
        <v>0.89460123026865</v>
      </c>
      <c r="G22" s="27" t="n">
        <v>2.606441246750974</v>
      </c>
      <c r="H22" s="27" t="n">
        <v>8.506151933393593</v>
      </c>
      <c r="I22" s="27" t="n">
        <v>0.219864221734808</v>
      </c>
      <c r="J22" s="27" t="n">
        <v>55.31681866810248</v>
      </c>
      <c r="K22" s="27" t="n">
        <v>564.1596084223168</v>
      </c>
      <c r="L22" s="27" t="n">
        <v>22.74179555984758</v>
      </c>
      <c r="M22" s="27" t="n">
        <v>0.2274304353088357</v>
      </c>
      <c r="N22" s="27" t="n">
        <v>1.287239492657269</v>
      </c>
      <c r="O22" s="27" t="n">
        <v>0.3036183693694249</v>
      </c>
      <c r="P22" s="27" t="n">
        <v>0.6805618184710466</v>
      </c>
      <c r="Q22" s="27" t="n">
        <v>0.1470022109476013</v>
      </c>
      <c r="R22" s="27" t="n">
        <v>0.8665789363838987</v>
      </c>
      <c r="S22" s="27" t="n">
        <v>0.4943712869387044</v>
      </c>
      <c r="T22" s="27" t="n">
        <v>1.112142111990589</v>
      </c>
      <c r="U22" s="27" t="n">
        <v>1.249530980204711</v>
      </c>
      <c r="V22" s="27" t="n">
        <v>0.500774666473297</v>
      </c>
      <c r="W22" s="27" t="n">
        <v>0.4639352762620913</v>
      </c>
      <c r="X22" s="27" t="n">
        <v>0.4850802303736339</v>
      </c>
      <c r="Y22" s="27" t="n">
        <v>3.667633531878487</v>
      </c>
      <c r="Z22" s="27" t="n">
        <v>4.537157212383882</v>
      </c>
      <c r="AA22" s="27" t="n">
        <v>3.250503774397963</v>
      </c>
      <c r="AB22" s="27" t="n">
        <v>0.4976481084728795</v>
      </c>
      <c r="AC22" s="27" t="n">
        <v>13.42002617015246</v>
      </c>
      <c r="AD22" s="27" t="n">
        <v>7.384557914487431</v>
      </c>
      <c r="AE22" s="27" t="n">
        <v>1.207344222035784</v>
      </c>
      <c r="AF22" s="27" t="n">
        <v>1.20101476695851</v>
      </c>
      <c r="AG22" s="27" t="n">
        <v>1.653808649417045</v>
      </c>
      <c r="AH22" s="27" t="n">
        <v>9.322526178491731</v>
      </c>
      <c r="AI22" s="27" t="n">
        <v>0.7908612942140529</v>
      </c>
      <c r="AJ22" s="27" t="n">
        <v>9.703895760376209</v>
      </c>
      <c r="AK22" s="27" t="n">
        <v>43.0058935453104</v>
      </c>
      <c r="AL22" s="27" t="n">
        <v>18.52206916884261</v>
      </c>
      <c r="AM22" s="27" t="n">
        <v>69.85916465716542</v>
      </c>
      <c r="AN22" s="27" t="n">
        <v>113.7797660265883</v>
      </c>
      <c r="AO22" s="27" t="n">
        <v>42.14132635726755</v>
      </c>
      <c r="AP22" s="27" t="n">
        <v>125.5720724760503</v>
      </c>
      <c r="AQ22" s="27" t="n">
        <v>7.576267318808396</v>
      </c>
      <c r="AR22" s="27" t="n">
        <v>0.2758823217328491</v>
      </c>
      <c r="AS22" s="27" t="n">
        <v>51.44008276347432</v>
      </c>
      <c r="AT22" s="27" t="n">
        <v>85.78972653987149</v>
      </c>
      <c r="AU22" s="27" t="n">
        <v>1.684973334668905</v>
      </c>
      <c r="AV22" s="27" t="n">
        <v>8.504067596832583</v>
      </c>
      <c r="AW22" s="27" t="n">
        <v>299.9882324022187</v>
      </c>
      <c r="AX22" s="27" t="n">
        <v>0</v>
      </c>
      <c r="AY22" s="27" t="n">
        <v>148.1793397203482</v>
      </c>
      <c r="AZ22" s="27" t="n">
        <v>14.53698096853504</v>
      </c>
      <c r="BA22" s="27" t="n">
        <v>129.7773108661036</v>
      </c>
      <c r="BB22" s="27">
        <f>SUM(C22:BA22)</f>
        <v/>
      </c>
      <c r="BC22" s="27" t="n">
        <v>0</v>
      </c>
      <c r="BD22" s="27" t="n">
        <v>0</v>
      </c>
      <c r="BE22" s="27" t="n">
        <v>19232.97642146747</v>
      </c>
      <c r="BF22" s="27" t="n">
        <v>0</v>
      </c>
      <c r="BG22" s="27">
        <f>SUM(BC22:BF22)</f>
        <v/>
      </c>
      <c r="BH22" s="27">
        <f>BB22+BG22</f>
        <v/>
      </c>
    </row>
    <row r="23">
      <c r="A23" s="29" t="n">
        <v>10</v>
      </c>
      <c r="B23" s="30" t="inlineStr">
        <is>
          <t>Artefatos de couro e calçados</t>
        </is>
      </c>
      <c r="C23" s="29" t="n">
        <v>0.5517753192608222</v>
      </c>
      <c r="D23" s="29" t="n">
        <v>0.9627879209457545</v>
      </c>
      <c r="E23" s="29" t="n">
        <v>3.21551221916779</v>
      </c>
      <c r="F23" s="29" t="n">
        <v>0.7842301010120634</v>
      </c>
      <c r="G23" s="29" t="n">
        <v>3.432360986573004</v>
      </c>
      <c r="H23" s="29" t="n">
        <v>12.21173834871455</v>
      </c>
      <c r="I23" s="29" t="n">
        <v>0.2805660132290072</v>
      </c>
      <c r="J23" s="29" t="n">
        <v>0.5319259380429393</v>
      </c>
      <c r="K23" s="29" t="n">
        <v>4.099228505981127</v>
      </c>
      <c r="L23" s="29" t="n">
        <v>2466.824734382533</v>
      </c>
      <c r="M23" s="29" t="n">
        <v>0.6445247044814992</v>
      </c>
      <c r="N23" s="29" t="n">
        <v>31.69506342654197</v>
      </c>
      <c r="O23" s="29" t="n">
        <v>0.5292366318522442</v>
      </c>
      <c r="P23" s="29" t="n">
        <v>1.078565766141864</v>
      </c>
      <c r="Q23" s="29" t="n">
        <v>0.3486758879860709</v>
      </c>
      <c r="R23" s="29" t="n">
        <v>1.18956033219682</v>
      </c>
      <c r="S23" s="29" t="n">
        <v>0.787006709501</v>
      </c>
      <c r="T23" s="29" t="n">
        <v>1.912290971005774</v>
      </c>
      <c r="U23" s="29" t="n">
        <v>0.9608936033381285</v>
      </c>
      <c r="V23" s="29" t="n">
        <v>1.957873881523565</v>
      </c>
      <c r="W23" s="29" t="n">
        <v>1.187426358703584</v>
      </c>
      <c r="X23" s="29" t="n">
        <v>3.188452045731406</v>
      </c>
      <c r="Y23" s="29" t="n">
        <v>2.626957768665044</v>
      </c>
      <c r="Z23" s="29" t="n">
        <v>1.233869911308205</v>
      </c>
      <c r="AA23" s="29" t="n">
        <v>1.560480265466199</v>
      </c>
      <c r="AB23" s="29" t="n">
        <v>0.3487012267668708</v>
      </c>
      <c r="AC23" s="29" t="n">
        <v>7.886552775167323</v>
      </c>
      <c r="AD23" s="29" t="n">
        <v>3.247266860607379</v>
      </c>
      <c r="AE23" s="29" t="n">
        <v>0.9015469931130655</v>
      </c>
      <c r="AF23" s="29" t="n">
        <v>14.46878261270645</v>
      </c>
      <c r="AG23" s="29" t="n">
        <v>3.719246539895035</v>
      </c>
      <c r="AH23" s="29" t="n">
        <v>3.176929577075543</v>
      </c>
      <c r="AI23" s="29" t="n">
        <v>0.3224515851144337</v>
      </c>
      <c r="AJ23" s="29" t="n">
        <v>2.995496368660709</v>
      </c>
      <c r="AK23" s="29" t="n">
        <v>22.12987779718579</v>
      </c>
      <c r="AL23" s="29" t="n">
        <v>11.65400973197826</v>
      </c>
      <c r="AM23" s="29" t="n">
        <v>11.63535779922082</v>
      </c>
      <c r="AN23" s="29" t="n">
        <v>6.604761143078426</v>
      </c>
      <c r="AO23" s="29" t="n">
        <v>13.00860701573122</v>
      </c>
      <c r="AP23" s="29" t="n">
        <v>5.632745593784949</v>
      </c>
      <c r="AQ23" s="29" t="n">
        <v>0.6229133261769501</v>
      </c>
      <c r="AR23" s="29" t="n">
        <v>0.06442285850283103</v>
      </c>
      <c r="AS23" s="29" t="n">
        <v>3.767295642615382</v>
      </c>
      <c r="AT23" s="29" t="n">
        <v>17.62090880749647</v>
      </c>
      <c r="AU23" s="29" t="n">
        <v>1.367945171289683</v>
      </c>
      <c r="AV23" s="29" t="n">
        <v>0.7104321445717618</v>
      </c>
      <c r="AW23" s="29" t="n">
        <v>5.209565403255788</v>
      </c>
      <c r="AX23" s="29" t="n">
        <v>0</v>
      </c>
      <c r="AY23" s="29" t="n">
        <v>2.794158874024913</v>
      </c>
      <c r="AZ23" s="29" t="n">
        <v>2.142810722032815</v>
      </c>
      <c r="BA23" s="29" t="n">
        <v>12.20603245560947</v>
      </c>
      <c r="BB23" s="29">
        <f>SUM(C23:BA23)</f>
        <v/>
      </c>
      <c r="BC23" s="29" t="n">
        <v>0</v>
      </c>
      <c r="BD23" s="29" t="n">
        <v>0</v>
      </c>
      <c r="BE23" s="29" t="n">
        <v>12899.37571651701</v>
      </c>
      <c r="BF23" s="29" t="n">
        <v>0</v>
      </c>
      <c r="BG23" s="29">
        <f>SUM(BC23:BF23)</f>
        <v/>
      </c>
      <c r="BH23" s="29">
        <f>BB23+BG23</f>
        <v/>
      </c>
    </row>
    <row r="24">
      <c r="A24" s="28" t="inlineStr">
        <is>
          <t>Produtos de madeira</t>
        </is>
      </c>
      <c r="B24" s="28" t="inlineStr">
        <is>
          <t>exclusive móveis</t>
        </is>
      </c>
      <c r="C24" s="27" t="n">
        <v>91.64257375841828</v>
      </c>
      <c r="D24" s="27" t="n">
        <v>68.41182767036229</v>
      </c>
      <c r="E24" s="27" t="n">
        <v>1.544012273030578</v>
      </c>
      <c r="F24" s="27" t="n">
        <v>0.421472399936822</v>
      </c>
      <c r="G24" s="27" t="n">
        <v>1.914903851592919</v>
      </c>
      <c r="H24" s="27" t="n">
        <v>115.242159818134</v>
      </c>
      <c r="I24" s="27" t="n">
        <v>0.2057651025320399</v>
      </c>
      <c r="J24" s="27" t="n">
        <v>10.53478376556801</v>
      </c>
      <c r="K24" s="27" t="n">
        <v>2.167529982098057</v>
      </c>
      <c r="L24" s="27" t="n">
        <v>0.8954906881721365</v>
      </c>
      <c r="M24" s="27" t="n">
        <v>1357.066371548266</v>
      </c>
      <c r="N24" s="27" t="n">
        <v>108.9547473021588</v>
      </c>
      <c r="O24" s="27" t="n">
        <v>0.8639241087235048</v>
      </c>
      <c r="P24" s="27" t="n">
        <v>0.4999925266707109</v>
      </c>
      <c r="Q24" s="27" t="n">
        <v>0.1976626906113456</v>
      </c>
      <c r="R24" s="27" t="n">
        <v>5.939089234456024</v>
      </c>
      <c r="S24" s="27" t="n">
        <v>0.2951356655499193</v>
      </c>
      <c r="T24" s="27" t="n">
        <v>0.7547180453806877</v>
      </c>
      <c r="U24" s="27" t="n">
        <v>2.649039578204937</v>
      </c>
      <c r="V24" s="27" t="n">
        <v>1.123411429545455</v>
      </c>
      <c r="W24" s="27" t="n">
        <v>0.8935973870256518</v>
      </c>
      <c r="X24" s="27" t="n">
        <v>8.804426295796302</v>
      </c>
      <c r="Y24" s="27" t="n">
        <v>6.040913877551828</v>
      </c>
      <c r="Z24" s="27" t="n">
        <v>10.61451007491739</v>
      </c>
      <c r="AA24" s="27" t="n">
        <v>7.363671915453415</v>
      </c>
      <c r="AB24" s="27" t="n">
        <v>1.684973773933186</v>
      </c>
      <c r="AC24" s="27" t="n">
        <v>60.90480097439245</v>
      </c>
      <c r="AD24" s="27" t="n">
        <v>83.6979552187958</v>
      </c>
      <c r="AE24" s="27" t="n">
        <v>3.519649457489658</v>
      </c>
      <c r="AF24" s="27" t="n">
        <v>1.734205044714911</v>
      </c>
      <c r="AG24" s="27" t="n">
        <v>46.34218865342557</v>
      </c>
      <c r="AH24" s="27" t="n">
        <v>21.63147137509657</v>
      </c>
      <c r="AI24" s="27" t="n">
        <v>32.19401999087373</v>
      </c>
      <c r="AJ24" s="27" t="n">
        <v>1697.851288127066</v>
      </c>
      <c r="AK24" s="27" t="n">
        <v>86.60589583209102</v>
      </c>
      <c r="AL24" s="27" t="n">
        <v>1434.993699419234</v>
      </c>
      <c r="AM24" s="27" t="n">
        <v>416.2203229721055</v>
      </c>
      <c r="AN24" s="27" t="n">
        <v>22.1298207643479</v>
      </c>
      <c r="AO24" s="27" t="n">
        <v>53.9723160244632</v>
      </c>
      <c r="AP24" s="27" t="n">
        <v>7.434215675009628</v>
      </c>
      <c r="AQ24" s="27" t="n">
        <v>87.64822629074104</v>
      </c>
      <c r="AR24" s="27" t="n">
        <v>0.8197915263976049</v>
      </c>
      <c r="AS24" s="27" t="n">
        <v>6.390231179800261</v>
      </c>
      <c r="AT24" s="27" t="n">
        <v>12.76746250649086</v>
      </c>
      <c r="AU24" s="27" t="n">
        <v>5.28685487154493</v>
      </c>
      <c r="AV24" s="27" t="n">
        <v>2.599817569890222</v>
      </c>
      <c r="AW24" s="27" t="n">
        <v>86.94746453852146</v>
      </c>
      <c r="AX24" s="27" t="n">
        <v>0</v>
      </c>
      <c r="AY24" s="27" t="n">
        <v>13.36346950189007</v>
      </c>
      <c r="AZ24" s="27" t="n">
        <v>1.809421700346844</v>
      </c>
      <c r="BA24" s="27" t="n">
        <v>19.53280764864719</v>
      </c>
      <c r="BB24" s="27">
        <f>SUM(C24:BA24)</f>
        <v/>
      </c>
      <c r="BC24" s="27" t="n">
        <v>0</v>
      </c>
      <c r="BD24" s="27" t="n">
        <v>0</v>
      </c>
      <c r="BE24" s="27" t="n">
        <v>3318.586677685692</v>
      </c>
      <c r="BF24" s="27" t="n">
        <v>0</v>
      </c>
      <c r="BG24" s="27">
        <f>SUM(BC24:BF24)</f>
        <v/>
      </c>
      <c r="BH24" s="27">
        <f>BB24+BG24</f>
        <v/>
      </c>
    </row>
    <row r="25">
      <c r="A25" s="29" t="n">
        <v>12</v>
      </c>
      <c r="B25" s="30" t="inlineStr">
        <is>
          <t>Celulose e produtos de papel</t>
        </is>
      </c>
      <c r="C25" s="29" t="n">
        <v>88.29200675343868</v>
      </c>
      <c r="D25" s="29" t="n">
        <v>36.05647058566941</v>
      </c>
      <c r="E25" s="29" t="n">
        <v>19.08074876783396</v>
      </c>
      <c r="F25" s="29" t="n">
        <v>18.79471671158667</v>
      </c>
      <c r="G25" s="29" t="n">
        <v>10.25558086657713</v>
      </c>
      <c r="H25" s="29" t="n">
        <v>1497.490509912116</v>
      </c>
      <c r="I25" s="29" t="n">
        <v>276.5221226377968</v>
      </c>
      <c r="J25" s="29" t="n">
        <v>247.2160920342984</v>
      </c>
      <c r="K25" s="29" t="n">
        <v>203.912792165554</v>
      </c>
      <c r="L25" s="29" t="n">
        <v>242.4140216478309</v>
      </c>
      <c r="M25" s="29" t="n">
        <v>212.3793821585452</v>
      </c>
      <c r="N25" s="29" t="n">
        <v>3533.863421760199</v>
      </c>
      <c r="O25" s="29" t="n">
        <v>454.7186074287909</v>
      </c>
      <c r="P25" s="29" t="n">
        <v>36.68368766134188</v>
      </c>
      <c r="Q25" s="29" t="n">
        <v>8.182773510905939</v>
      </c>
      <c r="R25" s="29" t="n">
        <v>29.12041055988236</v>
      </c>
      <c r="S25" s="29" t="n">
        <v>8.48134682269926</v>
      </c>
      <c r="T25" s="29" t="n">
        <v>191.6442975974581</v>
      </c>
      <c r="U25" s="29" t="n">
        <v>27.9072335133987</v>
      </c>
      <c r="V25" s="29" t="n">
        <v>365.5868501821039</v>
      </c>
      <c r="W25" s="29" t="n">
        <v>4.911851128913034</v>
      </c>
      <c r="X25" s="29" t="n">
        <v>19.61987191283652</v>
      </c>
      <c r="Y25" s="29" t="n">
        <v>527.3175610330055</v>
      </c>
      <c r="Z25" s="29" t="n">
        <v>427.8357560379806</v>
      </c>
      <c r="AA25" s="29" t="n">
        <v>20.12514331564704</v>
      </c>
      <c r="AB25" s="29" t="n">
        <v>5.792107254014253</v>
      </c>
      <c r="AC25" s="29" t="n">
        <v>291.0928092761504</v>
      </c>
      <c r="AD25" s="29" t="n">
        <v>67.02427778842576</v>
      </c>
      <c r="AE25" s="29" t="n">
        <v>120.455498357833</v>
      </c>
      <c r="AF25" s="29" t="n">
        <v>519.0576122207581</v>
      </c>
      <c r="AG25" s="29" t="n">
        <v>74.67796208991426</v>
      </c>
      <c r="AH25" s="29" t="n">
        <v>199.2373553803875</v>
      </c>
      <c r="AI25" s="29" t="n">
        <v>12.83931419800184</v>
      </c>
      <c r="AJ25" s="29" t="n">
        <v>186.7968672004847</v>
      </c>
      <c r="AK25" s="29" t="n">
        <v>42.37128048579827</v>
      </c>
      <c r="AL25" s="29" t="n">
        <v>165.5121777514787</v>
      </c>
      <c r="AM25" s="29" t="n">
        <v>1238.25384244548</v>
      </c>
      <c r="AN25" s="29" t="n">
        <v>148.9242920597105</v>
      </c>
      <c r="AO25" s="29" t="n">
        <v>690.4308835542203</v>
      </c>
      <c r="AP25" s="29" t="n">
        <v>339.0701869936583</v>
      </c>
      <c r="AQ25" s="29" t="n">
        <v>63.3955297576749</v>
      </c>
      <c r="AR25" s="29" t="n">
        <v>11.69926249261408</v>
      </c>
      <c r="AS25" s="29" t="n">
        <v>266.729710717776</v>
      </c>
      <c r="AT25" s="29" t="n">
        <v>999.9598213315487</v>
      </c>
      <c r="AU25" s="29" t="n">
        <v>112.7059834784148</v>
      </c>
      <c r="AV25" s="29" t="n">
        <v>213.471743692735</v>
      </c>
      <c r="AW25" s="29" t="n">
        <v>225.380201314293</v>
      </c>
      <c r="AX25" s="29" t="n">
        <v>0</v>
      </c>
      <c r="AY25" s="29" t="n">
        <v>183.4954923273691</v>
      </c>
      <c r="AZ25" s="29" t="n">
        <v>33.44173905714427</v>
      </c>
      <c r="BA25" s="29" t="n">
        <v>231.744988784902</v>
      </c>
      <c r="BB25" s="29">
        <f>SUM(C25:BA25)</f>
        <v/>
      </c>
      <c r="BC25" s="29" t="n">
        <v>0</v>
      </c>
      <c r="BD25" s="29" t="n">
        <v>0</v>
      </c>
      <c r="BE25" s="29" t="n">
        <v>6264.41378188955</v>
      </c>
      <c r="BF25" s="29" t="n">
        <v>0</v>
      </c>
      <c r="BG25" s="29">
        <f>SUM(BC25:BF25)</f>
        <v/>
      </c>
      <c r="BH25" s="29">
        <f>BB25+BG25</f>
        <v/>
      </c>
    </row>
    <row r="26">
      <c r="A26" s="27" t="n">
        <v>13</v>
      </c>
      <c r="B26" s="28" t="inlineStr">
        <is>
          <t>Jornais revistas discos</t>
        </is>
      </c>
      <c r="C26" s="27" t="n">
        <v>2.571397304850389</v>
      </c>
      <c r="D26" s="27" t="n">
        <v>0.811463694809338</v>
      </c>
      <c r="E26" s="27" t="n">
        <v>2.438958142940737</v>
      </c>
      <c r="F26" s="27" t="n">
        <v>3.538501074705928</v>
      </c>
      <c r="G26" s="27" t="n">
        <v>2.762118093034938</v>
      </c>
      <c r="H26" s="27" t="n">
        <v>159.9710260072681</v>
      </c>
      <c r="I26" s="27" t="n">
        <v>3.222801273157539</v>
      </c>
      <c r="J26" s="27" t="n">
        <v>9.880253607363031</v>
      </c>
      <c r="K26" s="27" t="n">
        <v>13.62585910568448</v>
      </c>
      <c r="L26" s="27" t="n">
        <v>7.610238759128499</v>
      </c>
      <c r="M26" s="27" t="n">
        <v>9.033115564805886</v>
      </c>
      <c r="N26" s="27" t="n">
        <v>69.25942134790579</v>
      </c>
      <c r="O26" s="27" t="n">
        <v>692.6736195600478</v>
      </c>
      <c r="P26" s="27" t="n">
        <v>2.367234237510457</v>
      </c>
      <c r="Q26" s="27" t="n">
        <v>1.78228837343435</v>
      </c>
      <c r="R26" s="27" t="n">
        <v>1.354844435773023</v>
      </c>
      <c r="S26" s="27" t="n">
        <v>0.4281439625623517</v>
      </c>
      <c r="T26" s="27" t="n">
        <v>5.453622933468565</v>
      </c>
      <c r="U26" s="27" t="n">
        <v>4.799055979220038</v>
      </c>
      <c r="V26" s="27" t="n">
        <v>4.654314283082367</v>
      </c>
      <c r="W26" s="27" t="n">
        <v>1.271168570576184</v>
      </c>
      <c r="X26" s="27" t="n">
        <v>1.819772191734637</v>
      </c>
      <c r="Y26" s="27" t="n">
        <v>14.88240061645841</v>
      </c>
      <c r="Z26" s="27" t="n">
        <v>9.191671239622682</v>
      </c>
      <c r="AA26" s="27" t="n">
        <v>8.702219200901911</v>
      </c>
      <c r="AB26" s="27" t="n">
        <v>0.8769119677626183</v>
      </c>
      <c r="AC26" s="27" t="n">
        <v>11.0672958997155</v>
      </c>
      <c r="AD26" s="27" t="n">
        <v>9.59942556147854</v>
      </c>
      <c r="AE26" s="27" t="n">
        <v>5.985589027252813</v>
      </c>
      <c r="AF26" s="27" t="n">
        <v>75.93546050321808</v>
      </c>
      <c r="AG26" s="27" t="n">
        <v>8.762177321012125</v>
      </c>
      <c r="AH26" s="27" t="n">
        <v>10.52814531166979</v>
      </c>
      <c r="AI26" s="27" t="n">
        <v>1.562521067689259</v>
      </c>
      <c r="AJ26" s="27" t="n">
        <v>19.00128776609576</v>
      </c>
      <c r="AK26" s="27" t="n">
        <v>11.30486572300536</v>
      </c>
      <c r="AL26" s="27" t="n">
        <v>19.84260234524958</v>
      </c>
      <c r="AM26" s="27" t="n">
        <v>1804.831224436694</v>
      </c>
      <c r="AN26" s="27" t="n">
        <v>59.99918419939046</v>
      </c>
      <c r="AO26" s="27" t="n">
        <v>1908.677911208483</v>
      </c>
      <c r="AP26" s="27" t="n">
        <v>546.5388682593035</v>
      </c>
      <c r="AQ26" s="27" t="n">
        <v>94.41254802844846</v>
      </c>
      <c r="AR26" s="27" t="n">
        <v>0.6778793740892743</v>
      </c>
      <c r="AS26" s="27" t="n">
        <v>24.65527443988052</v>
      </c>
      <c r="AT26" s="27" t="n">
        <v>1769.310252112507</v>
      </c>
      <c r="AU26" s="27" t="n">
        <v>12.02798402270837</v>
      </c>
      <c r="AV26" s="27" t="n">
        <v>11.8932610213546</v>
      </c>
      <c r="AW26" s="27" t="n">
        <v>382.5507270927265</v>
      </c>
      <c r="AX26" s="27" t="n">
        <v>0</v>
      </c>
      <c r="AY26" s="27" t="n">
        <v>40.83700043887976</v>
      </c>
      <c r="AZ26" s="27" t="n">
        <v>17.86334268063783</v>
      </c>
      <c r="BA26" s="27" t="n">
        <v>315.9276577654398</v>
      </c>
      <c r="BB26" s="27">
        <f>SUM(C26:BA26)</f>
        <v/>
      </c>
      <c r="BC26" s="27" t="n">
        <v>0</v>
      </c>
      <c r="BD26" s="27" t="n">
        <v>0</v>
      </c>
      <c r="BE26" s="27" t="n">
        <v>780.1768409935599</v>
      </c>
      <c r="BF26" s="27" t="n">
        <v>0</v>
      </c>
      <c r="BG26" s="27">
        <f>SUM(BC26:BF26)</f>
        <v/>
      </c>
      <c r="BH26" s="27">
        <f>BB26+BG26</f>
        <v/>
      </c>
    </row>
    <row r="27">
      <c r="A27" s="29" t="n">
        <v>14</v>
      </c>
      <c r="B27" s="30" t="inlineStr">
        <is>
          <t>Refino de petróleo e coque</t>
        </is>
      </c>
      <c r="C27" s="29" t="n">
        <v>1681.90342292168</v>
      </c>
      <c r="D27" s="29" t="n">
        <v>786.1468517472033</v>
      </c>
      <c r="E27" s="29" t="n">
        <v>255.7731951138627</v>
      </c>
      <c r="F27" s="29" t="n">
        <v>352.6614595938699</v>
      </c>
      <c r="G27" s="29" t="n">
        <v>404.27597122263</v>
      </c>
      <c r="H27" s="29" t="n">
        <v>1499.096351491857</v>
      </c>
      <c r="I27" s="29" t="n">
        <v>6.380551993380472</v>
      </c>
      <c r="J27" s="29" t="n">
        <v>78.44507517597057</v>
      </c>
      <c r="K27" s="29" t="n">
        <v>32.31400743797582</v>
      </c>
      <c r="L27" s="29" t="n">
        <v>61.55528782024108</v>
      </c>
      <c r="M27" s="29" t="n">
        <v>42.66126088709136</v>
      </c>
      <c r="N27" s="29" t="n">
        <v>261.5823238279878</v>
      </c>
      <c r="O27" s="29" t="n">
        <v>7.777175261602777</v>
      </c>
      <c r="P27" s="29" t="n">
        <v>22874.16323580281</v>
      </c>
      <c r="Q27" s="29" t="n">
        <v>102.5875879392913</v>
      </c>
      <c r="R27" s="29" t="n">
        <v>2421.777354373798</v>
      </c>
      <c r="S27" s="29" t="n">
        <v>84.00549120580152</v>
      </c>
      <c r="T27" s="29" t="n">
        <v>32.66957269001166</v>
      </c>
      <c r="U27" s="29" t="n">
        <v>42.66160569031546</v>
      </c>
      <c r="V27" s="29" t="n">
        <v>93.08768765312824</v>
      </c>
      <c r="W27" s="29" t="n">
        <v>86.85778963315526</v>
      </c>
      <c r="X27" s="29" t="n">
        <v>109.6346599512169</v>
      </c>
      <c r="Y27" s="29" t="n">
        <v>356.2437751772979</v>
      </c>
      <c r="Z27" s="29" t="n">
        <v>663.0711334636848</v>
      </c>
      <c r="AA27" s="29" t="n">
        <v>634.4408338117482</v>
      </c>
      <c r="AB27" s="29" t="n">
        <v>399.3354005906276</v>
      </c>
      <c r="AC27" s="29" t="n">
        <v>81.86662272091397</v>
      </c>
      <c r="AD27" s="29" t="n">
        <v>142.5337578605199</v>
      </c>
      <c r="AE27" s="29" t="n">
        <v>152.9733208899611</v>
      </c>
      <c r="AF27" s="29" t="n">
        <v>52.05720284743293</v>
      </c>
      <c r="AG27" s="29" t="n">
        <v>159.5981325367701</v>
      </c>
      <c r="AH27" s="29" t="n">
        <v>82.26192214937051</v>
      </c>
      <c r="AI27" s="29" t="n">
        <v>18.01896535944694</v>
      </c>
      <c r="AJ27" s="29" t="n">
        <v>54.11447009094826</v>
      </c>
      <c r="AK27" s="29" t="n">
        <v>1205.74010000143</v>
      </c>
      <c r="AL27" s="29" t="n">
        <v>1777.501648680593</v>
      </c>
      <c r="AM27" s="29" t="n">
        <v>1942.954718164036</v>
      </c>
      <c r="AN27" s="29" t="n">
        <v>15791.60016567173</v>
      </c>
      <c r="AO27" s="29" t="n">
        <v>48.71331808531764</v>
      </c>
      <c r="AP27" s="29" t="n">
        <v>68.47128068962232</v>
      </c>
      <c r="AQ27" s="29" t="n">
        <v>12.70794052755811</v>
      </c>
      <c r="AR27" s="29" t="n">
        <v>13.01712343369548</v>
      </c>
      <c r="AS27" s="29" t="n">
        <v>162.9746406852072</v>
      </c>
      <c r="AT27" s="29" t="n">
        <v>287.5121637845822</v>
      </c>
      <c r="AU27" s="29" t="n">
        <v>23.80894722079219</v>
      </c>
      <c r="AV27" s="29" t="n">
        <v>44.21175229658052</v>
      </c>
      <c r="AW27" s="29" t="n">
        <v>163.5768920471641</v>
      </c>
      <c r="AX27" s="29" t="n">
        <v>0</v>
      </c>
      <c r="AY27" s="29" t="n">
        <v>59.14186171669448</v>
      </c>
      <c r="AZ27" s="29" t="n">
        <v>18.48237294833966</v>
      </c>
      <c r="BA27" s="29" t="n">
        <v>444.2108705448182</v>
      </c>
      <c r="BB27" s="29">
        <f>SUM(C27:BA27)</f>
        <v/>
      </c>
      <c r="BC27" s="29" t="n">
        <v>0</v>
      </c>
      <c r="BD27" s="29" t="n">
        <v>0</v>
      </c>
      <c r="BE27" s="29" t="n">
        <v>24100.43712391715</v>
      </c>
      <c r="BF27" s="29" t="n">
        <v>0</v>
      </c>
      <c r="BG27" s="29">
        <f>SUM(BC27:BF27)</f>
        <v/>
      </c>
      <c r="BH27" s="29">
        <f>BB27+BG27</f>
        <v/>
      </c>
    </row>
    <row r="28">
      <c r="A28" s="27" t="n">
        <v>15</v>
      </c>
      <c r="B28" s="28" t="inlineStr">
        <is>
          <t>Álcool</t>
        </is>
      </c>
      <c r="C28" s="27" t="n">
        <v>29.57449490129285</v>
      </c>
      <c r="D28" s="27" t="n">
        <v>33.57843681380276</v>
      </c>
      <c r="E28" s="27" t="n">
        <v>90.31584635057</v>
      </c>
      <c r="F28" s="27" t="n">
        <v>0.6204061241401443</v>
      </c>
      <c r="G28" s="27" t="n">
        <v>1.61159394091984</v>
      </c>
      <c r="H28" s="27" t="n">
        <v>513.3545680542319</v>
      </c>
      <c r="I28" s="27" t="n">
        <v>0.04860994760279462</v>
      </c>
      <c r="J28" s="27" t="n">
        <v>0.8923462452445086</v>
      </c>
      <c r="K28" s="27" t="n">
        <v>0.3550740872210616</v>
      </c>
      <c r="L28" s="27" t="n">
        <v>0.2340065686024892</v>
      </c>
      <c r="M28" s="27" t="n">
        <v>0.4562497082529329</v>
      </c>
      <c r="N28" s="27" t="n">
        <v>1.339688226100517</v>
      </c>
      <c r="O28" s="27" t="n">
        <v>0.1616042965773489</v>
      </c>
      <c r="P28" s="27" t="n">
        <v>1145.219435486232</v>
      </c>
      <c r="Q28" s="27" t="n">
        <v>77.22660741458348</v>
      </c>
      <c r="R28" s="27" t="n">
        <v>85.50129489645256</v>
      </c>
      <c r="S28" s="27" t="n">
        <v>0.7305243472312555</v>
      </c>
      <c r="T28" s="27" t="n">
        <v>152.7986656084481</v>
      </c>
      <c r="U28" s="27" t="n">
        <v>33.21960350857256</v>
      </c>
      <c r="V28" s="27" t="n">
        <v>272.8123378496811</v>
      </c>
      <c r="W28" s="27" t="n">
        <v>43.04352743041417</v>
      </c>
      <c r="X28" s="27" t="n">
        <v>36.11337368493906</v>
      </c>
      <c r="Y28" s="27" t="n">
        <v>1.020382777442324</v>
      </c>
      <c r="Z28" s="27" t="n">
        <v>1.70854290268365</v>
      </c>
      <c r="AA28" s="27" t="n">
        <v>3.475178813441382</v>
      </c>
      <c r="AB28" s="27" t="n">
        <v>1.749922824738423</v>
      </c>
      <c r="AC28" s="27" t="n">
        <v>8.678842538551613</v>
      </c>
      <c r="AD28" s="27" t="n">
        <v>2.758067601082273</v>
      </c>
      <c r="AE28" s="27" t="n">
        <v>1.118035635875194</v>
      </c>
      <c r="AF28" s="27" t="n">
        <v>0.2172468380420779</v>
      </c>
      <c r="AG28" s="27" t="n">
        <v>2.638537386028665</v>
      </c>
      <c r="AH28" s="27" t="n">
        <v>0.9780981860055131</v>
      </c>
      <c r="AI28" s="27" t="n">
        <v>0.1550447694271175</v>
      </c>
      <c r="AJ28" s="27" t="n">
        <v>1.093388139561144</v>
      </c>
      <c r="AK28" s="27" t="n">
        <v>20.37308631798933</v>
      </c>
      <c r="AL28" s="27" t="n">
        <v>95.54912536388139</v>
      </c>
      <c r="AM28" s="27" t="n">
        <v>62.03527457559089</v>
      </c>
      <c r="AN28" s="27" t="n">
        <v>146.6291489430737</v>
      </c>
      <c r="AO28" s="27" t="n">
        <v>2.747391276037698</v>
      </c>
      <c r="AP28" s="27" t="n">
        <v>1.628032940093335</v>
      </c>
      <c r="AQ28" s="27" t="n">
        <v>0.5545502217640373</v>
      </c>
      <c r="AR28" s="27" t="n">
        <v>8.318361049562929</v>
      </c>
      <c r="AS28" s="27" t="n">
        <v>33.10947626282944</v>
      </c>
      <c r="AT28" s="27" t="n">
        <v>33.45653413528607</v>
      </c>
      <c r="AU28" s="27" t="n">
        <v>1.659850342774926</v>
      </c>
      <c r="AV28" s="27" t="n">
        <v>13.21455302211144</v>
      </c>
      <c r="AW28" s="27" t="n">
        <v>20.76557877512353</v>
      </c>
      <c r="AX28" s="27" t="n">
        <v>0</v>
      </c>
      <c r="AY28" s="27" t="n">
        <v>12.56405563871217</v>
      </c>
      <c r="AZ28" s="27" t="n">
        <v>6.510090473039497</v>
      </c>
      <c r="BA28" s="27" t="n">
        <v>118.7614131785529</v>
      </c>
      <c r="BB28" s="27">
        <f>SUM(C28:BA28)</f>
        <v/>
      </c>
      <c r="BC28" s="27" t="n">
        <v>0</v>
      </c>
      <c r="BD28" s="27" t="n">
        <v>0</v>
      </c>
      <c r="BE28" s="27" t="n">
        <v>4167.319773053831</v>
      </c>
      <c r="BF28" s="27" t="n">
        <v>0</v>
      </c>
      <c r="BG28" s="27">
        <f>SUM(BC28:BF28)</f>
        <v/>
      </c>
      <c r="BH28" s="27">
        <f>BB28+BG28</f>
        <v/>
      </c>
    </row>
    <row r="29">
      <c r="A29" s="29" t="n">
        <v>16</v>
      </c>
      <c r="B29" s="30" t="inlineStr">
        <is>
          <t>Produtos  químicos</t>
        </is>
      </c>
      <c r="C29" s="29" t="n">
        <v>3950.062422470406</v>
      </c>
      <c r="D29" s="29" t="n">
        <v>605.2745261894416</v>
      </c>
      <c r="E29" s="29" t="n">
        <v>483.5315805101132</v>
      </c>
      <c r="F29" s="29" t="n">
        <v>56.63642242198106</v>
      </c>
      <c r="G29" s="29" t="n">
        <v>114.4322241196795</v>
      </c>
      <c r="H29" s="29" t="n">
        <v>468.1508650558386</v>
      </c>
      <c r="I29" s="29" t="n">
        <v>1.573375377149345</v>
      </c>
      <c r="J29" s="29" t="n">
        <v>547.6875501744224</v>
      </c>
      <c r="K29" s="29" t="n">
        <v>57.76890387456702</v>
      </c>
      <c r="L29" s="29" t="n">
        <v>314.6813417294859</v>
      </c>
      <c r="M29" s="29" t="n">
        <v>18.25432639977168</v>
      </c>
      <c r="N29" s="29" t="n">
        <v>722.134719390157</v>
      </c>
      <c r="O29" s="29" t="n">
        <v>13.67172420751715</v>
      </c>
      <c r="P29" s="29" t="n">
        <v>451.7229726563173</v>
      </c>
      <c r="Q29" s="29" t="n">
        <v>100.1633458577452</v>
      </c>
      <c r="R29" s="29" t="n">
        <v>5771.897286898305</v>
      </c>
      <c r="S29" s="29" t="n">
        <v>3685.502457244043</v>
      </c>
      <c r="T29" s="29" t="n">
        <v>432.776290262715</v>
      </c>
      <c r="U29" s="29" t="n">
        <v>1106.901884169695</v>
      </c>
      <c r="V29" s="29" t="n">
        <v>1008.19397501973</v>
      </c>
      <c r="W29" s="29" t="n">
        <v>906.1058990301103</v>
      </c>
      <c r="X29" s="29" t="n">
        <v>1234.260967987963</v>
      </c>
      <c r="Y29" s="29" t="n">
        <v>827.1461183638768</v>
      </c>
      <c r="Z29" s="29" t="n">
        <v>349.0582667403807</v>
      </c>
      <c r="AA29" s="29" t="n">
        <v>395.1058695196618</v>
      </c>
      <c r="AB29" s="29" t="n">
        <v>252.14093796862</v>
      </c>
      <c r="AC29" s="29" t="n">
        <v>185.0864895246407</v>
      </c>
      <c r="AD29" s="29" t="n">
        <v>66.48990397107076</v>
      </c>
      <c r="AE29" s="29" t="n">
        <v>97.73738863890115</v>
      </c>
      <c r="AF29" s="29" t="n">
        <v>46.45850847764461</v>
      </c>
      <c r="AG29" s="29" t="n">
        <v>13.74936107938494</v>
      </c>
      <c r="AH29" s="29" t="n">
        <v>18.3722262839865</v>
      </c>
      <c r="AI29" s="29" t="n">
        <v>25.2919489767667</v>
      </c>
      <c r="AJ29" s="29" t="n">
        <v>90.34861784386705</v>
      </c>
      <c r="AK29" s="29" t="n">
        <v>253.0031757905029</v>
      </c>
      <c r="AL29" s="29" t="n">
        <v>60.58029314525087</v>
      </c>
      <c r="AM29" s="29" t="n">
        <v>252.1891169133003</v>
      </c>
      <c r="AN29" s="29" t="n">
        <v>34.06335291948977</v>
      </c>
      <c r="AO29" s="29" t="n">
        <v>38.75450972160196</v>
      </c>
      <c r="AP29" s="29" t="n">
        <v>29.21454082442152</v>
      </c>
      <c r="AQ29" s="29" t="n">
        <v>10.30051524774031</v>
      </c>
      <c r="AR29" s="29" t="n">
        <v>1.677854395611234</v>
      </c>
      <c r="AS29" s="29" t="n">
        <v>23.37352550652139</v>
      </c>
      <c r="AT29" s="29" t="n">
        <v>78.33232477889692</v>
      </c>
      <c r="AU29" s="29" t="n">
        <v>18.69206579155399</v>
      </c>
      <c r="AV29" s="29" t="n">
        <v>215.785362060908</v>
      </c>
      <c r="AW29" s="29" t="n">
        <v>102.9948054840351</v>
      </c>
      <c r="AX29" s="29" t="n">
        <v>0</v>
      </c>
      <c r="AY29" s="29" t="n">
        <v>25.89061588137902</v>
      </c>
      <c r="AZ29" s="29" t="n">
        <v>69.35244308479518</v>
      </c>
      <c r="BA29" s="29" t="n">
        <v>26.13783428307116</v>
      </c>
      <c r="BB29" s="29">
        <f>SUM(C29:BA29)</f>
        <v/>
      </c>
      <c r="BC29" s="29" t="n">
        <v>0</v>
      </c>
      <c r="BD29" s="29" t="n">
        <v>0</v>
      </c>
      <c r="BE29" s="29" t="n">
        <v>4173.149243305754</v>
      </c>
      <c r="BF29" s="29" t="n">
        <v>0</v>
      </c>
      <c r="BG29" s="29">
        <f>SUM(BC29:BF29)</f>
        <v/>
      </c>
      <c r="BH29" s="29">
        <f>BB29+BG29</f>
        <v/>
      </c>
    </row>
    <row r="30">
      <c r="A30" s="27" t="n">
        <v>17</v>
      </c>
      <c r="B30" s="28" t="inlineStr">
        <is>
          <t>Fabricação de resina e elastômeros</t>
        </is>
      </c>
      <c r="C30" s="27" t="n">
        <v>108.6249116014491</v>
      </c>
      <c r="D30" s="27" t="n">
        <v>12.45066834093246</v>
      </c>
      <c r="E30" s="27" t="n">
        <v>194.7451588380717</v>
      </c>
      <c r="F30" s="27" t="n">
        <v>1.907360727112598</v>
      </c>
      <c r="G30" s="27" t="n">
        <v>4.809566720716917</v>
      </c>
      <c r="H30" s="27" t="n">
        <v>25.82786570353296</v>
      </c>
      <c r="I30" s="27" t="n">
        <v>8.496693536769447</v>
      </c>
      <c r="J30" s="27" t="n">
        <v>1375.692500616296</v>
      </c>
      <c r="K30" s="27" t="n">
        <v>13.77902056096185</v>
      </c>
      <c r="L30" s="27" t="n">
        <v>407.2663899181779</v>
      </c>
      <c r="M30" s="27" t="n">
        <v>178.6997377426334</v>
      </c>
      <c r="N30" s="27" t="n">
        <v>348.8361843947718</v>
      </c>
      <c r="O30" s="27" t="n">
        <v>17.99458224925218</v>
      </c>
      <c r="P30" s="27" t="n">
        <v>1.323490916635203</v>
      </c>
      <c r="Q30" s="27" t="n">
        <v>1.333118548633398</v>
      </c>
      <c r="R30" s="27" t="n">
        <v>110.8263453563123</v>
      </c>
      <c r="S30" s="27" t="n">
        <v>629.6509431959319</v>
      </c>
      <c r="T30" s="27" t="n">
        <v>20.63318612273355</v>
      </c>
      <c r="U30" s="27" t="n">
        <v>38.59813327064797</v>
      </c>
      <c r="V30" s="27" t="n">
        <v>240.4502038763201</v>
      </c>
      <c r="W30" s="27" t="n">
        <v>232.6018615723467</v>
      </c>
      <c r="X30" s="27" t="n">
        <v>242.1008751525531</v>
      </c>
      <c r="Y30" s="27" t="n">
        <v>3851.096599929095</v>
      </c>
      <c r="Z30" s="27" t="n">
        <v>407.1402339059881</v>
      </c>
      <c r="AA30" s="27" t="n">
        <v>7.314902887796246</v>
      </c>
      <c r="AB30" s="27" t="n">
        <v>58.55620920837401</v>
      </c>
      <c r="AC30" s="27" t="n">
        <v>229.4872217149645</v>
      </c>
      <c r="AD30" s="27" t="n">
        <v>48.98531443885647</v>
      </c>
      <c r="AE30" s="27" t="n">
        <v>760.8310272076484</v>
      </c>
      <c r="AF30" s="27" t="n">
        <v>195.4445489742795</v>
      </c>
      <c r="AG30" s="27" t="n">
        <v>25.63074275194288</v>
      </c>
      <c r="AH30" s="27" t="n">
        <v>390.5787443568351</v>
      </c>
      <c r="AI30" s="27" t="n">
        <v>54.73300964701966</v>
      </c>
      <c r="AJ30" s="27" t="n">
        <v>306.2977958209981</v>
      </c>
      <c r="AK30" s="27" t="n">
        <v>4.953535109227319</v>
      </c>
      <c r="AL30" s="27" t="n">
        <v>36.25634958651732</v>
      </c>
      <c r="AM30" s="27" t="n">
        <v>41.10008711388854</v>
      </c>
      <c r="AN30" s="27" t="n">
        <v>9.818574322466537</v>
      </c>
      <c r="AO30" s="27" t="n">
        <v>8.314531250359559</v>
      </c>
      <c r="AP30" s="27" t="n">
        <v>6.352677549767153</v>
      </c>
      <c r="AQ30" s="27" t="n">
        <v>3.828056036981611</v>
      </c>
      <c r="AR30" s="27" t="n">
        <v>0.4413830268647433</v>
      </c>
      <c r="AS30" s="27" t="n">
        <v>4.744744871512462</v>
      </c>
      <c r="AT30" s="27" t="n">
        <v>17.78626110462923</v>
      </c>
      <c r="AU30" s="27" t="n">
        <v>3.756268571980521</v>
      </c>
      <c r="AV30" s="27" t="n">
        <v>3.967108267279229</v>
      </c>
      <c r="AW30" s="27" t="n">
        <v>14.46853314056657</v>
      </c>
      <c r="AX30" s="27" t="n">
        <v>0</v>
      </c>
      <c r="AY30" s="27" t="n">
        <v>1.960257331990543</v>
      </c>
      <c r="AZ30" s="27" t="n">
        <v>2.70511307868381</v>
      </c>
      <c r="BA30" s="27" t="n">
        <v>5.397452340644312</v>
      </c>
      <c r="BB30" s="27">
        <f>SUM(C30:BA30)</f>
        <v/>
      </c>
      <c r="BC30" s="27" t="n">
        <v>0</v>
      </c>
      <c r="BD30" s="27" t="n">
        <v>0</v>
      </c>
      <c r="BE30" s="27" t="n">
        <v>1081.221519698599</v>
      </c>
      <c r="BF30" s="27" t="n">
        <v>0</v>
      </c>
      <c r="BG30" s="27">
        <f>SUM(BC30:BF30)</f>
        <v/>
      </c>
      <c r="BH30" s="27">
        <f>BB30+BG30</f>
        <v/>
      </c>
    </row>
    <row r="31">
      <c r="A31" s="29" t="n">
        <v>18</v>
      </c>
      <c r="B31" s="30" t="inlineStr">
        <is>
          <t>Produtos farmacêuticos</t>
        </is>
      </c>
      <c r="C31" s="29" t="n">
        <v>134.9931076275245</v>
      </c>
      <c r="D31" s="29" t="n">
        <v>841.0058505045494</v>
      </c>
      <c r="E31" s="29" t="n">
        <v>59.94878510338197</v>
      </c>
      <c r="F31" s="29" t="n">
        <v>2.34696320249365</v>
      </c>
      <c r="G31" s="29" t="n">
        <v>1.755654200704784</v>
      </c>
      <c r="H31" s="29" t="n">
        <v>65.56201858721388</v>
      </c>
      <c r="I31" s="29" t="n">
        <v>1.340762768979112</v>
      </c>
      <c r="J31" s="29" t="n">
        <v>16.11000016774289</v>
      </c>
      <c r="K31" s="29" t="n">
        <v>2.652606063302287</v>
      </c>
      <c r="L31" s="29" t="n">
        <v>6.681684209950014</v>
      </c>
      <c r="M31" s="29" t="n">
        <v>2.618629489000651</v>
      </c>
      <c r="N31" s="29" t="n">
        <v>7.127718758750229</v>
      </c>
      <c r="O31" s="29" t="n">
        <v>1.158013626086656</v>
      </c>
      <c r="P31" s="29" t="n">
        <v>3.194544799013593</v>
      </c>
      <c r="Q31" s="29" t="n">
        <v>0.6215232839385103</v>
      </c>
      <c r="R31" s="29" t="n">
        <v>4.6157913723007</v>
      </c>
      <c r="S31" s="29" t="n">
        <v>7.332882830688275</v>
      </c>
      <c r="T31" s="29" t="n">
        <v>927.8308544592601</v>
      </c>
      <c r="U31" s="29" t="n">
        <v>64.29851572921692</v>
      </c>
      <c r="V31" s="29" t="n">
        <v>7.582337790022272</v>
      </c>
      <c r="W31" s="29" t="n">
        <v>3.604665344639701</v>
      </c>
      <c r="X31" s="29" t="n">
        <v>5.327817370559675</v>
      </c>
      <c r="Y31" s="29" t="n">
        <v>43.97537883992862</v>
      </c>
      <c r="Z31" s="29" t="n">
        <v>8.008144026784118</v>
      </c>
      <c r="AA31" s="29" t="n">
        <v>5.065485184487646</v>
      </c>
      <c r="AB31" s="29" t="n">
        <v>2.312294480176028</v>
      </c>
      <c r="AC31" s="29" t="n">
        <v>6.001265659619751</v>
      </c>
      <c r="AD31" s="29" t="n">
        <v>13.83052017935972</v>
      </c>
      <c r="AE31" s="29" t="n">
        <v>11.71245499714501</v>
      </c>
      <c r="AF31" s="29" t="n">
        <v>11.62169063696474</v>
      </c>
      <c r="AG31" s="29" t="n">
        <v>5.852858358687456</v>
      </c>
      <c r="AH31" s="29" t="n">
        <v>6.115005880934017</v>
      </c>
      <c r="AI31" s="29" t="n">
        <v>1.31837329957883</v>
      </c>
      <c r="AJ31" s="29" t="n">
        <v>5.483256013213075</v>
      </c>
      <c r="AK31" s="29" t="n">
        <v>7.060854759528955</v>
      </c>
      <c r="AL31" s="29" t="n">
        <v>13.25237792684987</v>
      </c>
      <c r="AM31" s="29" t="n">
        <v>96.01787434536011</v>
      </c>
      <c r="AN31" s="29" t="n">
        <v>21.01230643905572</v>
      </c>
      <c r="AO31" s="29" t="n">
        <v>26.4333975322339</v>
      </c>
      <c r="AP31" s="29" t="n">
        <v>19.68620313922777</v>
      </c>
      <c r="AQ31" s="29" t="n">
        <v>2.248560514271185</v>
      </c>
      <c r="AR31" s="29" t="n">
        <v>0.3496508174591812</v>
      </c>
      <c r="AS31" s="29" t="n">
        <v>5.367954077311366</v>
      </c>
      <c r="AT31" s="29" t="n">
        <v>38.75822658646979</v>
      </c>
      <c r="AU31" s="29" t="n">
        <v>43.14498735865401</v>
      </c>
      <c r="AV31" s="29" t="n">
        <v>1956.707104919539</v>
      </c>
      <c r="AW31" s="29" t="n">
        <v>167.7690714673166</v>
      </c>
      <c r="AX31" s="29" t="n">
        <v>0</v>
      </c>
      <c r="AY31" s="29" t="n">
        <v>102.6447384807161</v>
      </c>
      <c r="AZ31" s="29" t="n">
        <v>470.8172060811634</v>
      </c>
      <c r="BA31" s="29" t="n">
        <v>103.6238859913431</v>
      </c>
      <c r="BB31" s="29">
        <f>SUM(C31:BA31)</f>
        <v/>
      </c>
      <c r="BC31" s="29" t="n">
        <v>0</v>
      </c>
      <c r="BD31" s="29" t="n">
        <v>0</v>
      </c>
      <c r="BE31" s="29" t="n">
        <v>11228.16101676817</v>
      </c>
      <c r="BF31" s="29" t="n">
        <v>0</v>
      </c>
      <c r="BG31" s="29">
        <f>SUM(BC31:BF31)</f>
        <v/>
      </c>
      <c r="BH31" s="29">
        <f>BB31+BG31</f>
        <v/>
      </c>
    </row>
    <row r="32">
      <c r="A32" s="27" t="n">
        <v>19</v>
      </c>
      <c r="B32" s="28" t="inlineStr">
        <is>
          <t>Defensivos agrícolas</t>
        </is>
      </c>
      <c r="C32" s="27" t="n">
        <v>2796.641814281808</v>
      </c>
      <c r="D32" s="27" t="n">
        <v>302.5733194987822</v>
      </c>
      <c r="E32" s="27" t="n">
        <v>27.13860710899708</v>
      </c>
      <c r="F32" s="27" t="n">
        <v>4.631207891378711</v>
      </c>
      <c r="G32" s="27" t="n">
        <v>22.67895167873555</v>
      </c>
      <c r="H32" s="27" t="n">
        <v>60.29958469780468</v>
      </c>
      <c r="I32" s="27" t="n">
        <v>1.370537571984665</v>
      </c>
      <c r="J32" s="27" t="n">
        <v>92.58053464397712</v>
      </c>
      <c r="K32" s="27" t="n">
        <v>2.957457288539639</v>
      </c>
      <c r="L32" s="27" t="n">
        <v>32.92309741598967</v>
      </c>
      <c r="M32" s="27" t="n">
        <v>14.01853496772787</v>
      </c>
      <c r="N32" s="27" t="n">
        <v>36.67671124816557</v>
      </c>
      <c r="O32" s="27" t="n">
        <v>4.473144509959045</v>
      </c>
      <c r="P32" s="27" t="n">
        <v>4.415343231851764</v>
      </c>
      <c r="Q32" s="27" t="n">
        <v>4.275447620622404</v>
      </c>
      <c r="R32" s="27" t="n">
        <v>69.57490483895472</v>
      </c>
      <c r="S32" s="27" t="n">
        <v>151.1290965308189</v>
      </c>
      <c r="T32" s="27" t="n">
        <v>22.84822394733055</v>
      </c>
      <c r="U32" s="27" t="n">
        <v>712.8076263813731</v>
      </c>
      <c r="V32" s="27" t="n">
        <v>151.4539784193688</v>
      </c>
      <c r="W32" s="27" t="n">
        <v>53.21807595623814</v>
      </c>
      <c r="X32" s="27" t="n">
        <v>65.79816769195233</v>
      </c>
      <c r="Y32" s="27" t="n">
        <v>242.4199227826332</v>
      </c>
      <c r="Z32" s="27" t="n">
        <v>28.6303740909266</v>
      </c>
      <c r="AA32" s="27" t="n">
        <v>13.78928098899304</v>
      </c>
      <c r="AB32" s="27" t="n">
        <v>7.305326988185351</v>
      </c>
      <c r="AC32" s="27" t="n">
        <v>26.97757816411921</v>
      </c>
      <c r="AD32" s="27" t="n">
        <v>13.26901824791902</v>
      </c>
      <c r="AE32" s="27" t="n">
        <v>46.06717715886807</v>
      </c>
      <c r="AF32" s="27" t="n">
        <v>15.40601106241195</v>
      </c>
      <c r="AG32" s="27" t="n">
        <v>4.929914408682791</v>
      </c>
      <c r="AH32" s="27" t="n">
        <v>22.3052783988224</v>
      </c>
      <c r="AI32" s="27" t="n">
        <v>3.62007909913062</v>
      </c>
      <c r="AJ32" s="27" t="n">
        <v>21.2940883856434</v>
      </c>
      <c r="AK32" s="27" t="n">
        <v>7.504334297249857</v>
      </c>
      <c r="AL32" s="27" t="n">
        <v>15.892514500901</v>
      </c>
      <c r="AM32" s="27" t="n">
        <v>35.14338843835766</v>
      </c>
      <c r="AN32" s="27" t="n">
        <v>13.42753380510061</v>
      </c>
      <c r="AO32" s="27" t="n">
        <v>16.19386888543956</v>
      </c>
      <c r="AP32" s="27" t="n">
        <v>10.71178767807945</v>
      </c>
      <c r="AQ32" s="27" t="n">
        <v>1.402505116049703</v>
      </c>
      <c r="AR32" s="27" t="n">
        <v>0.08378997041115875</v>
      </c>
      <c r="AS32" s="27" t="n">
        <v>2.333453216390841</v>
      </c>
      <c r="AT32" s="27" t="n">
        <v>34.04881752528991</v>
      </c>
      <c r="AU32" s="27" t="n">
        <v>2.464165984503381</v>
      </c>
      <c r="AV32" s="27" t="n">
        <v>2.424767734911512</v>
      </c>
      <c r="AW32" s="27" t="n">
        <v>180.5923629730874</v>
      </c>
      <c r="AX32" s="27" t="n">
        <v>0</v>
      </c>
      <c r="AY32" s="27" t="n">
        <v>5.122550118178653</v>
      </c>
      <c r="AZ32" s="27" t="n">
        <v>9.665176723658682</v>
      </c>
      <c r="BA32" s="27" t="n">
        <v>11.2694602438344</v>
      </c>
      <c r="BB32" s="27">
        <f>SUM(C32:BA32)</f>
        <v/>
      </c>
      <c r="BC32" s="27" t="n">
        <v>0</v>
      </c>
      <c r="BD32" s="27" t="n">
        <v>0</v>
      </c>
      <c r="BE32" s="27" t="n">
        <v>268.5872604459316</v>
      </c>
      <c r="BF32" s="27" t="n">
        <v>0</v>
      </c>
      <c r="BG32" s="27">
        <f>SUM(BC32:BF32)</f>
        <v/>
      </c>
      <c r="BH32" s="27">
        <f>BB32+BG32</f>
        <v/>
      </c>
    </row>
    <row r="33">
      <c r="A33" s="29" t="n">
        <v>20</v>
      </c>
      <c r="B33" s="30" t="inlineStr">
        <is>
          <t>Perfumaria higiene e limpeza</t>
        </is>
      </c>
      <c r="C33" s="29" t="n">
        <v>80.85153721847108</v>
      </c>
      <c r="D33" s="29" t="n">
        <v>23.33374546171709</v>
      </c>
      <c r="E33" s="29" t="n">
        <v>24.48631249089183</v>
      </c>
      <c r="F33" s="29" t="n">
        <v>12.15925256812211</v>
      </c>
      <c r="G33" s="29" t="n">
        <v>18.71167626271336</v>
      </c>
      <c r="H33" s="29" t="n">
        <v>108.8293692640239</v>
      </c>
      <c r="I33" s="29" t="n">
        <v>1.920198660922695</v>
      </c>
      <c r="J33" s="29" t="n">
        <v>17.98545808810941</v>
      </c>
      <c r="K33" s="29" t="n">
        <v>14.93347051800525</v>
      </c>
      <c r="L33" s="29" t="n">
        <v>7.69432719459925</v>
      </c>
      <c r="M33" s="29" t="n">
        <v>7.933766797596207</v>
      </c>
      <c r="N33" s="29" t="n">
        <v>16.49241908790995</v>
      </c>
      <c r="O33" s="29" t="n">
        <v>2.635593077486798</v>
      </c>
      <c r="P33" s="29" t="n">
        <v>21.42563356807915</v>
      </c>
      <c r="Q33" s="29" t="n">
        <v>3.48788035505055</v>
      </c>
      <c r="R33" s="29" t="n">
        <v>55.25109228360132</v>
      </c>
      <c r="S33" s="29" t="n">
        <v>15.12606758377774</v>
      </c>
      <c r="T33" s="29" t="n">
        <v>23.65125491082185</v>
      </c>
      <c r="U33" s="29" t="n">
        <v>36.1189341804246</v>
      </c>
      <c r="V33" s="29" t="n">
        <v>239.328777330189</v>
      </c>
      <c r="W33" s="29" t="n">
        <v>11.42225827147679</v>
      </c>
      <c r="X33" s="29" t="n">
        <v>25.51165103212416</v>
      </c>
      <c r="Y33" s="29" t="n">
        <v>23.62921486145909</v>
      </c>
      <c r="Z33" s="29" t="n">
        <v>61.6814123986471</v>
      </c>
      <c r="AA33" s="29" t="n">
        <v>21.56245896808118</v>
      </c>
      <c r="AB33" s="29" t="n">
        <v>14.53311303395544</v>
      </c>
      <c r="AC33" s="29" t="n">
        <v>85.17076624689844</v>
      </c>
      <c r="AD33" s="29" t="n">
        <v>28.49961789776621</v>
      </c>
      <c r="AE33" s="29" t="n">
        <v>9.860481733483894</v>
      </c>
      <c r="AF33" s="29" t="n">
        <v>29.75172609449593</v>
      </c>
      <c r="AG33" s="29" t="n">
        <v>9.911707319010469</v>
      </c>
      <c r="AH33" s="29" t="n">
        <v>8.562260362360009</v>
      </c>
      <c r="AI33" s="29" t="n">
        <v>1.403775755526892</v>
      </c>
      <c r="AJ33" s="29" t="n">
        <v>7.793564669092936</v>
      </c>
      <c r="AK33" s="29" t="n">
        <v>21.81889839454994</v>
      </c>
      <c r="AL33" s="29" t="n">
        <v>93.49545409160986</v>
      </c>
      <c r="AM33" s="29" t="n">
        <v>356.139560524954</v>
      </c>
      <c r="AN33" s="29" t="n">
        <v>105.2509464239223</v>
      </c>
      <c r="AO33" s="29" t="n">
        <v>71.88715175764823</v>
      </c>
      <c r="AP33" s="29" t="n">
        <v>20.91647561512264</v>
      </c>
      <c r="AQ33" s="29" t="n">
        <v>3.356888093046388</v>
      </c>
      <c r="AR33" s="29" t="n">
        <v>0.2527922409053152</v>
      </c>
      <c r="AS33" s="29" t="n">
        <v>24.97486295305383</v>
      </c>
      <c r="AT33" s="29" t="n">
        <v>149.1788034908889</v>
      </c>
      <c r="AU33" s="29" t="n">
        <v>27.49340859690394</v>
      </c>
      <c r="AV33" s="29" t="n">
        <v>124.0436745687688</v>
      </c>
      <c r="AW33" s="29" t="n">
        <v>489.0875908530431</v>
      </c>
      <c r="AX33" s="29" t="n">
        <v>0</v>
      </c>
      <c r="AY33" s="29" t="n">
        <v>56.54059082650421</v>
      </c>
      <c r="AZ33" s="29" t="n">
        <v>37.79509893665855</v>
      </c>
      <c r="BA33" s="29" t="n">
        <v>53.56254932206017</v>
      </c>
      <c r="BB33" s="29">
        <f>SUM(C33:BA33)</f>
        <v/>
      </c>
      <c r="BC33" s="29" t="n">
        <v>0</v>
      </c>
      <c r="BD33" s="29" t="n">
        <v>0</v>
      </c>
      <c r="BE33" s="29" t="n">
        <v>6613.849037560293</v>
      </c>
      <c r="BF33" s="29" t="n">
        <v>0</v>
      </c>
      <c r="BG33" s="29">
        <f>SUM(BC33:BF33)</f>
        <v/>
      </c>
      <c r="BH33" s="29">
        <f>BB33+BG33</f>
        <v/>
      </c>
    </row>
    <row r="34">
      <c r="A34" s="27" t="n">
        <v>21</v>
      </c>
      <c r="B34" s="28" t="inlineStr">
        <is>
          <t>Tintas vernizes esmaltes e lacas</t>
        </is>
      </c>
      <c r="C34" s="27" t="n">
        <v>16.79803520593512</v>
      </c>
      <c r="D34" s="27" t="n">
        <v>12.00688665187171</v>
      </c>
      <c r="E34" s="27" t="n">
        <v>6.0347298417523</v>
      </c>
      <c r="F34" s="27" t="n">
        <v>1.384193386213231</v>
      </c>
      <c r="G34" s="27" t="n">
        <v>11.69569957170879</v>
      </c>
      <c r="H34" s="27" t="n">
        <v>35.36379611968711</v>
      </c>
      <c r="I34" s="27" t="n">
        <v>0.3065657921502004</v>
      </c>
      <c r="J34" s="27" t="n">
        <v>45.15182269498795</v>
      </c>
      <c r="K34" s="27" t="n">
        <v>20.08978918610755</v>
      </c>
      <c r="L34" s="27" t="n">
        <v>48.16544416215091</v>
      </c>
      <c r="M34" s="27" t="n">
        <v>111.6582559144692</v>
      </c>
      <c r="N34" s="27" t="n">
        <v>327.6797017613966</v>
      </c>
      <c r="O34" s="27" t="n">
        <v>322.583236511473</v>
      </c>
      <c r="P34" s="27" t="n">
        <v>1.79854147811496</v>
      </c>
      <c r="Q34" s="27" t="n">
        <v>0.888468072568835</v>
      </c>
      <c r="R34" s="27" t="n">
        <v>23.31325668516352</v>
      </c>
      <c r="S34" s="27" t="n">
        <v>24.77418674250503</v>
      </c>
      <c r="T34" s="27" t="n">
        <v>6.371476814092206</v>
      </c>
      <c r="U34" s="27" t="n">
        <v>6.259025062024827</v>
      </c>
      <c r="V34" s="27" t="n">
        <v>15.43232277496685</v>
      </c>
      <c r="W34" s="27" t="n">
        <v>43.28304770257584</v>
      </c>
      <c r="X34" s="27" t="n">
        <v>22.8374240570596</v>
      </c>
      <c r="Y34" s="27" t="n">
        <v>493.4267763463253</v>
      </c>
      <c r="Z34" s="27" t="n">
        <v>248.3912671480917</v>
      </c>
      <c r="AA34" s="27" t="n">
        <v>4.573648795932659</v>
      </c>
      <c r="AB34" s="27" t="n">
        <v>1.81054375828917</v>
      </c>
      <c r="AC34" s="27" t="n">
        <v>157.0197912850123</v>
      </c>
      <c r="AD34" s="27" t="n">
        <v>162.4898597528343</v>
      </c>
      <c r="AE34" s="27" t="n">
        <v>16.64718314150095</v>
      </c>
      <c r="AF34" s="27" t="n">
        <v>95.64497406807065</v>
      </c>
      <c r="AG34" s="27" t="n">
        <v>130.9440317092732</v>
      </c>
      <c r="AH34" s="27" t="n">
        <v>77.58539385913804</v>
      </c>
      <c r="AI34" s="27" t="n">
        <v>27.91056002582798</v>
      </c>
      <c r="AJ34" s="27" t="n">
        <v>77.42349080950451</v>
      </c>
      <c r="AK34" s="27" t="n">
        <v>44.12294585533923</v>
      </c>
      <c r="AL34" s="27" t="n">
        <v>1757.439206684334</v>
      </c>
      <c r="AM34" s="27" t="n">
        <v>289.4749923412962</v>
      </c>
      <c r="AN34" s="27" t="n">
        <v>76.45220515873878</v>
      </c>
      <c r="AO34" s="27" t="n">
        <v>116.4452335467884</v>
      </c>
      <c r="AP34" s="27" t="n">
        <v>3.359361728859948</v>
      </c>
      <c r="AQ34" s="27" t="n">
        <v>189.5588500373722</v>
      </c>
      <c r="AR34" s="27" t="n">
        <v>0.03015470581140201</v>
      </c>
      <c r="AS34" s="27" t="n">
        <v>2.048465615951487</v>
      </c>
      <c r="AT34" s="27" t="n">
        <v>10.66010064589291</v>
      </c>
      <c r="AU34" s="27" t="n">
        <v>0.7495917619709944</v>
      </c>
      <c r="AV34" s="27" t="n">
        <v>1.100865053211177</v>
      </c>
      <c r="AW34" s="27" t="n">
        <v>105.6766246201396</v>
      </c>
      <c r="AX34" s="27" t="n">
        <v>0</v>
      </c>
      <c r="AY34" s="27" t="n">
        <v>13.56705993149361</v>
      </c>
      <c r="AZ34" s="27" t="n">
        <v>4.76683238203647</v>
      </c>
      <c r="BA34" s="27" t="n">
        <v>48.2281232563916</v>
      </c>
      <c r="BB34" s="27">
        <f>SUM(C34:BA34)</f>
        <v/>
      </c>
      <c r="BC34" s="27" t="n">
        <v>0</v>
      </c>
      <c r="BD34" s="27" t="n">
        <v>0</v>
      </c>
      <c r="BE34" s="27" t="n">
        <v>0</v>
      </c>
      <c r="BF34" s="27" t="n">
        <v>0</v>
      </c>
      <c r="BG34" s="27">
        <f>SUM(BC34:BF34)</f>
        <v/>
      </c>
      <c r="BH34" s="27">
        <f>BB34+BG34</f>
        <v/>
      </c>
    </row>
    <row r="35">
      <c r="A35" s="29" t="n">
        <v>22</v>
      </c>
      <c r="B35" s="30" t="inlineStr">
        <is>
          <t>Produtos e preparados químicos diversos</t>
        </is>
      </c>
      <c r="C35" s="29" t="n">
        <v>37.69044069184135</v>
      </c>
      <c r="D35" s="29" t="n">
        <v>12.55544213999941</v>
      </c>
      <c r="E35" s="29" t="n">
        <v>62.29568831395454</v>
      </c>
      <c r="F35" s="29" t="n">
        <v>44.16975017869927</v>
      </c>
      <c r="G35" s="29" t="n">
        <v>575.795312078978</v>
      </c>
      <c r="H35" s="29" t="n">
        <v>827.4590178325697</v>
      </c>
      <c r="I35" s="29" t="n">
        <v>3.012765615516954</v>
      </c>
      <c r="J35" s="29" t="n">
        <v>115.4325323626644</v>
      </c>
      <c r="K35" s="29" t="n">
        <v>4.508667809741543</v>
      </c>
      <c r="L35" s="29" t="n">
        <v>60.13563655848483</v>
      </c>
      <c r="M35" s="29" t="n">
        <v>112.6081983778992</v>
      </c>
      <c r="N35" s="29" t="n">
        <v>147.5722906333636</v>
      </c>
      <c r="O35" s="29" t="n">
        <v>95.55402059327831</v>
      </c>
      <c r="P35" s="29" t="n">
        <v>68.58765516767643</v>
      </c>
      <c r="Q35" s="29" t="n">
        <v>21.52724488529967</v>
      </c>
      <c r="R35" s="29" t="n">
        <v>154.2038357523573</v>
      </c>
      <c r="S35" s="29" t="n">
        <v>199.9382280520319</v>
      </c>
      <c r="T35" s="29" t="n">
        <v>186.4660107822824</v>
      </c>
      <c r="U35" s="29" t="n">
        <v>64.03470734718238</v>
      </c>
      <c r="V35" s="29" t="n">
        <v>234.6831359528474</v>
      </c>
      <c r="W35" s="29" t="n">
        <v>170.2444053557134</v>
      </c>
      <c r="X35" s="29" t="n">
        <v>591.192289869526</v>
      </c>
      <c r="Y35" s="29" t="n">
        <v>459.6269246768396</v>
      </c>
      <c r="Z35" s="29" t="n">
        <v>119.430737870307</v>
      </c>
      <c r="AA35" s="29" t="n">
        <v>133.6149861655588</v>
      </c>
      <c r="AB35" s="29" t="n">
        <v>16.16671374346263</v>
      </c>
      <c r="AC35" s="29" t="n">
        <v>57.69330886402932</v>
      </c>
      <c r="AD35" s="29" t="n">
        <v>94.22886750811286</v>
      </c>
      <c r="AE35" s="29" t="n">
        <v>59.55380587456597</v>
      </c>
      <c r="AF35" s="29" t="n">
        <v>16.99828085395392</v>
      </c>
      <c r="AG35" s="29" t="n">
        <v>24.98878596081761</v>
      </c>
      <c r="AH35" s="29" t="n">
        <v>23.78167117156133</v>
      </c>
      <c r="AI35" s="29" t="n">
        <v>7.411086737070169</v>
      </c>
      <c r="AJ35" s="29" t="n">
        <v>93.42452865447551</v>
      </c>
      <c r="AK35" s="29" t="n">
        <v>53.88205149625291</v>
      </c>
      <c r="AL35" s="29" t="n">
        <v>263.1793276103188</v>
      </c>
      <c r="AM35" s="29" t="n">
        <v>372.3395813262675</v>
      </c>
      <c r="AN35" s="29" t="n">
        <v>23.980104475203</v>
      </c>
      <c r="AO35" s="29" t="n">
        <v>15.91184039380073</v>
      </c>
      <c r="AP35" s="29" t="n">
        <v>14.72861994194606</v>
      </c>
      <c r="AQ35" s="29" t="n">
        <v>18.01123227235932</v>
      </c>
      <c r="AR35" s="29" t="n">
        <v>0.4813442080904103</v>
      </c>
      <c r="AS35" s="29" t="n">
        <v>5.736573600139619</v>
      </c>
      <c r="AT35" s="29" t="n">
        <v>37.71809656351112</v>
      </c>
      <c r="AU35" s="29" t="n">
        <v>5.274738759279806</v>
      </c>
      <c r="AV35" s="29" t="n">
        <v>4.382705705249033</v>
      </c>
      <c r="AW35" s="29" t="n">
        <v>22.0084757443358</v>
      </c>
      <c r="AX35" s="29" t="n">
        <v>0</v>
      </c>
      <c r="AY35" s="29" t="n">
        <v>61.66500829201897</v>
      </c>
      <c r="AZ35" s="29" t="n">
        <v>136.7259275634945</v>
      </c>
      <c r="BA35" s="29" t="n">
        <v>22.68138694985142</v>
      </c>
      <c r="BB35" s="29">
        <f>SUM(C35:BA35)</f>
        <v/>
      </c>
      <c r="BC35" s="29" t="n">
        <v>0</v>
      </c>
      <c r="BD35" s="29" t="n">
        <v>0</v>
      </c>
      <c r="BE35" s="29" t="n">
        <v>1490.829423487986</v>
      </c>
      <c r="BF35" s="29" t="n">
        <v>0</v>
      </c>
      <c r="BG35" s="29">
        <f>SUM(BC35:BF35)</f>
        <v/>
      </c>
      <c r="BH35" s="29">
        <f>BB35+BG35</f>
        <v/>
      </c>
    </row>
    <row r="36">
      <c r="A36" s="27" t="n">
        <v>23</v>
      </c>
      <c r="B36" s="28" t="inlineStr">
        <is>
          <t>Artigos de borracha e plástico</t>
        </is>
      </c>
      <c r="C36" s="27" t="n">
        <v>119.1037710526667</v>
      </c>
      <c r="D36" s="27" t="n">
        <v>53.47903244712713</v>
      </c>
      <c r="E36" s="27" t="n">
        <v>46.84250612889833</v>
      </c>
      <c r="F36" s="27" t="n">
        <v>89.70907529059308</v>
      </c>
      <c r="G36" s="27" t="n">
        <v>69.97647145929812</v>
      </c>
      <c r="H36" s="27" t="n">
        <v>2779.67615590932</v>
      </c>
      <c r="I36" s="27" t="n">
        <v>2.470620976660948</v>
      </c>
      <c r="J36" s="27" t="n">
        <v>121.8519784064494</v>
      </c>
      <c r="K36" s="27" t="n">
        <v>133.2027479086461</v>
      </c>
      <c r="L36" s="27" t="n">
        <v>303.9983612924046</v>
      </c>
      <c r="M36" s="27" t="n">
        <v>65.48105781747113</v>
      </c>
      <c r="N36" s="27" t="n">
        <v>175.4631395931758</v>
      </c>
      <c r="O36" s="27" t="n">
        <v>302.5866682521692</v>
      </c>
      <c r="P36" s="27" t="n">
        <v>24.14443341193426</v>
      </c>
      <c r="Q36" s="27" t="n">
        <v>6.675366559989239</v>
      </c>
      <c r="R36" s="27" t="n">
        <v>249.0390327965651</v>
      </c>
      <c r="S36" s="27" t="n">
        <v>92.17524610833162</v>
      </c>
      <c r="T36" s="27" t="n">
        <v>93.32937546037513</v>
      </c>
      <c r="U36" s="27" t="n">
        <v>74.04430251977146</v>
      </c>
      <c r="V36" s="27" t="n">
        <v>367.0554760059644</v>
      </c>
      <c r="W36" s="27" t="n">
        <v>39.19645440266753</v>
      </c>
      <c r="X36" s="27" t="n">
        <v>57.4601465199136</v>
      </c>
      <c r="Y36" s="27" t="n">
        <v>3608.056053346702</v>
      </c>
      <c r="Z36" s="27" t="n">
        <v>516.5236150137762</v>
      </c>
      <c r="AA36" s="27" t="n">
        <v>167.3770780415881</v>
      </c>
      <c r="AB36" s="27" t="n">
        <v>7.670556748551483</v>
      </c>
      <c r="AC36" s="27" t="n">
        <v>188.7187280326517</v>
      </c>
      <c r="AD36" s="27" t="n">
        <v>683.1096965872415</v>
      </c>
      <c r="AE36" s="27" t="n">
        <v>535.998158723623</v>
      </c>
      <c r="AF36" s="27" t="n">
        <v>494.7824084712776</v>
      </c>
      <c r="AG36" s="27" t="n">
        <v>1506.535650074634</v>
      </c>
      <c r="AH36" s="27" t="n">
        <v>947.9477906242448</v>
      </c>
      <c r="AI36" s="27" t="n">
        <v>144.5171116967131</v>
      </c>
      <c r="AJ36" s="27" t="n">
        <v>505.9295197722943</v>
      </c>
      <c r="AK36" s="27" t="n">
        <v>114.9511592824694</v>
      </c>
      <c r="AL36" s="27" t="n">
        <v>2770.909648448337</v>
      </c>
      <c r="AM36" s="27" t="n">
        <v>1261.274444949509</v>
      </c>
      <c r="AN36" s="27" t="n">
        <v>1331.682972315448</v>
      </c>
      <c r="AO36" s="27" t="n">
        <v>35.00582043266428</v>
      </c>
      <c r="AP36" s="27" t="n">
        <v>31.66994886841877</v>
      </c>
      <c r="AQ36" s="27" t="n">
        <v>25.70513461923971</v>
      </c>
      <c r="AR36" s="27" t="n">
        <v>22.46751204975729</v>
      </c>
      <c r="AS36" s="27" t="n">
        <v>97.3218129729344</v>
      </c>
      <c r="AT36" s="27" t="n">
        <v>241.4759810802966</v>
      </c>
      <c r="AU36" s="27" t="n">
        <v>14.70833620742555</v>
      </c>
      <c r="AV36" s="27" t="n">
        <v>100.8823562194415</v>
      </c>
      <c r="AW36" s="27" t="n">
        <v>98.78417701134696</v>
      </c>
      <c r="AX36" s="27" t="n">
        <v>0</v>
      </c>
      <c r="AY36" s="27" t="n">
        <v>74.81929005014631</v>
      </c>
      <c r="AZ36" s="27" t="n">
        <v>117.6940192891339</v>
      </c>
      <c r="BA36" s="27" t="n">
        <v>53.03016538294732</v>
      </c>
      <c r="BB36" s="27">
        <f>SUM(C36:BA36)</f>
        <v/>
      </c>
      <c r="BC36" s="27" t="n">
        <v>0</v>
      </c>
      <c r="BD36" s="27" t="n">
        <v>0</v>
      </c>
      <c r="BE36" s="27" t="n">
        <v>5830.545175613353</v>
      </c>
      <c r="BF36" s="27" t="n">
        <v>0</v>
      </c>
      <c r="BG36" s="27">
        <f>SUM(BC36:BF36)</f>
        <v/>
      </c>
      <c r="BH36" s="27">
        <f>BB36+BG36</f>
        <v/>
      </c>
    </row>
    <row r="37">
      <c r="A37" s="29" t="n">
        <v>24</v>
      </c>
      <c r="B37" s="30" t="inlineStr">
        <is>
          <t>Cimento e outros produtos de minerais não-metálicos</t>
        </is>
      </c>
      <c r="C37" s="29" t="n">
        <v>584.1003642776026</v>
      </c>
      <c r="D37" s="29" t="n">
        <v>507.7613421073114</v>
      </c>
      <c r="E37" s="29" t="n">
        <v>40.4084214111982</v>
      </c>
      <c r="F37" s="29" t="n">
        <v>1.843904050252115</v>
      </c>
      <c r="G37" s="29" t="n">
        <v>25.95416156969808</v>
      </c>
      <c r="H37" s="29" t="n">
        <v>745.5535733241539</v>
      </c>
      <c r="I37" s="29" t="n">
        <v>0.3365076772753057</v>
      </c>
      <c r="J37" s="29" t="n">
        <v>3.174896051568292</v>
      </c>
      <c r="K37" s="29" t="n">
        <v>2.643907707287177</v>
      </c>
      <c r="L37" s="29" t="n">
        <v>2.590774014725081</v>
      </c>
      <c r="M37" s="29" t="n">
        <v>4.621799918141494</v>
      </c>
      <c r="N37" s="29" t="n">
        <v>48.77599291004646</v>
      </c>
      <c r="O37" s="29" t="n">
        <v>10.0324574568258</v>
      </c>
      <c r="P37" s="29" t="n">
        <v>2.145413578799162</v>
      </c>
      <c r="Q37" s="29" t="n">
        <v>1.32227592323503</v>
      </c>
      <c r="R37" s="29" t="n">
        <v>123.8915595327825</v>
      </c>
      <c r="S37" s="29" t="n">
        <v>2.282372385210353</v>
      </c>
      <c r="T37" s="29" t="n">
        <v>13.35419158899435</v>
      </c>
      <c r="U37" s="29" t="n">
        <v>1.393366933653398</v>
      </c>
      <c r="V37" s="29" t="n">
        <v>73.15550377022336</v>
      </c>
      <c r="W37" s="29" t="n">
        <v>14.56986020830982</v>
      </c>
      <c r="X37" s="29" t="n">
        <v>48.3333034520715</v>
      </c>
      <c r="Y37" s="29" t="n">
        <v>136.0436362361073</v>
      </c>
      <c r="Z37" s="29" t="n">
        <v>2422.713415992497</v>
      </c>
      <c r="AA37" s="29" t="n">
        <v>112.3980847944508</v>
      </c>
      <c r="AB37" s="29" t="n">
        <v>5.556236421782873</v>
      </c>
      <c r="AC37" s="29" t="n">
        <v>42.42033896340142</v>
      </c>
      <c r="AD37" s="29" t="n">
        <v>119.447281878804</v>
      </c>
      <c r="AE37" s="29" t="n">
        <v>80.12678124993548</v>
      </c>
      <c r="AF37" s="29" t="n">
        <v>11.8663954545003</v>
      </c>
      <c r="AG37" s="29" t="n">
        <v>383.1619278383223</v>
      </c>
      <c r="AH37" s="29" t="n">
        <v>32.79966680711919</v>
      </c>
      <c r="AI37" s="29" t="n">
        <v>24.83002888944677</v>
      </c>
      <c r="AJ37" s="29" t="n">
        <v>117.6512235165782</v>
      </c>
      <c r="AK37" s="29" t="n">
        <v>431.9171925416618</v>
      </c>
      <c r="AL37" s="29" t="n">
        <v>12880.90746887911</v>
      </c>
      <c r="AM37" s="29" t="n">
        <v>147.9152881744592</v>
      </c>
      <c r="AN37" s="29" t="n">
        <v>20.52148153003771</v>
      </c>
      <c r="AO37" s="29" t="n">
        <v>20.92445334029543</v>
      </c>
      <c r="AP37" s="29" t="n">
        <v>17.42738205370512</v>
      </c>
      <c r="AQ37" s="29" t="n">
        <v>423.6903187438213</v>
      </c>
      <c r="AR37" s="29" t="n">
        <v>1.271451405544445</v>
      </c>
      <c r="AS37" s="29" t="n">
        <v>144.1284583399341</v>
      </c>
      <c r="AT37" s="29" t="n">
        <v>30.29242214629792</v>
      </c>
      <c r="AU37" s="29" t="n">
        <v>12.47030403426115</v>
      </c>
      <c r="AV37" s="29" t="n">
        <v>22.60188921423929</v>
      </c>
      <c r="AW37" s="29" t="n">
        <v>78.28389502282816</v>
      </c>
      <c r="AX37" s="29" t="n">
        <v>0</v>
      </c>
      <c r="AY37" s="29" t="n">
        <v>40.99182658670662</v>
      </c>
      <c r="AZ37" s="29" t="n">
        <v>31.66771338091955</v>
      </c>
      <c r="BA37" s="29" t="n">
        <v>104.7524815473869</v>
      </c>
      <c r="BB37" s="29">
        <f>SUM(C37:BA37)</f>
        <v/>
      </c>
      <c r="BC37" s="29" t="n">
        <v>0</v>
      </c>
      <c r="BD37" s="29" t="n">
        <v>0</v>
      </c>
      <c r="BE37" s="29" t="n">
        <v>1572.561864645569</v>
      </c>
      <c r="BF37" s="29" t="n">
        <v>0</v>
      </c>
      <c r="BG37" s="29">
        <f>SUM(BC37:BF37)</f>
        <v/>
      </c>
      <c r="BH37" s="29">
        <f>BB37+BG37</f>
        <v/>
      </c>
    </row>
    <row r="38">
      <c r="A38" s="27" t="n">
        <v>25</v>
      </c>
      <c r="B38" s="28" t="inlineStr">
        <is>
          <t>Fabricação de aço e derivados</t>
        </is>
      </c>
      <c r="C38" s="27" t="n">
        <v>33.37168776939642</v>
      </c>
      <c r="D38" s="27" t="n">
        <v>61.73012247876734</v>
      </c>
      <c r="E38" s="27" t="n">
        <v>379.7200945755906</v>
      </c>
      <c r="F38" s="27" t="n">
        <v>7.04047033691687</v>
      </c>
      <c r="G38" s="27" t="n">
        <v>49.94098510938873</v>
      </c>
      <c r="H38" s="27" t="n">
        <v>124.3424667079941</v>
      </c>
      <c r="I38" s="27" t="n">
        <v>1.275403266947198</v>
      </c>
      <c r="J38" s="27" t="n">
        <v>4.781898770534919</v>
      </c>
      <c r="K38" s="27" t="n">
        <v>3.953766302958187</v>
      </c>
      <c r="L38" s="27" t="n">
        <v>3.243392203230071</v>
      </c>
      <c r="M38" s="27" t="n">
        <v>5.194164895785561</v>
      </c>
      <c r="N38" s="27" t="n">
        <v>35.62377881433822</v>
      </c>
      <c r="O38" s="27" t="n">
        <v>2.925723205914308</v>
      </c>
      <c r="P38" s="27" t="n">
        <v>5.954059188864566</v>
      </c>
      <c r="Q38" s="27" t="n">
        <v>1.537266695465694</v>
      </c>
      <c r="R38" s="27" t="n">
        <v>14.4778591561017</v>
      </c>
      <c r="S38" s="27" t="n">
        <v>9.822117690075869</v>
      </c>
      <c r="T38" s="27" t="n">
        <v>8.140918566609377</v>
      </c>
      <c r="U38" s="27" t="n">
        <v>4.072196010579142</v>
      </c>
      <c r="V38" s="27" t="n">
        <v>11.48170122327137</v>
      </c>
      <c r="W38" s="27" t="n">
        <v>8.92686469504457</v>
      </c>
      <c r="X38" s="27" t="n">
        <v>10.92847299357207</v>
      </c>
      <c r="Y38" s="27" t="n">
        <v>201.0256848761977</v>
      </c>
      <c r="Z38" s="27" t="n">
        <v>129.6209068415436</v>
      </c>
      <c r="AA38" s="27" t="n">
        <v>2545.317078349087</v>
      </c>
      <c r="AB38" s="27" t="n">
        <v>231.4901226467746</v>
      </c>
      <c r="AC38" s="27" t="n">
        <v>4446.439479944787</v>
      </c>
      <c r="AD38" s="27" t="n">
        <v>1913.451370989361</v>
      </c>
      <c r="AE38" s="27" t="n">
        <v>786.2860582015738</v>
      </c>
      <c r="AF38" s="27" t="n">
        <v>54.85363920252914</v>
      </c>
      <c r="AG38" s="27" t="n">
        <v>1191.974494129378</v>
      </c>
      <c r="AH38" s="27" t="n">
        <v>1777.856157403987</v>
      </c>
      <c r="AI38" s="27" t="n">
        <v>156.2078873325657</v>
      </c>
      <c r="AJ38" s="27" t="n">
        <v>307.1907573985215</v>
      </c>
      <c r="AK38" s="27" t="n">
        <v>72.37218719405912</v>
      </c>
      <c r="AL38" s="27" t="n">
        <v>3696.533457027274</v>
      </c>
      <c r="AM38" s="27" t="n">
        <v>304.2324486875198</v>
      </c>
      <c r="AN38" s="27" t="n">
        <v>34.82988377338813</v>
      </c>
      <c r="AO38" s="27" t="n">
        <v>38.44105084369112</v>
      </c>
      <c r="AP38" s="27" t="n">
        <v>33.20725565501901</v>
      </c>
      <c r="AQ38" s="27" t="n">
        <v>10.33596497602345</v>
      </c>
      <c r="AR38" s="27" t="n">
        <v>1.593855650336966</v>
      </c>
      <c r="AS38" s="27" t="n">
        <v>27.73706759128734</v>
      </c>
      <c r="AT38" s="27" t="n">
        <v>91.60770485684505</v>
      </c>
      <c r="AU38" s="27" t="n">
        <v>18.03615402037461</v>
      </c>
      <c r="AV38" s="27" t="n">
        <v>8.329417119758574</v>
      </c>
      <c r="AW38" s="27" t="n">
        <v>36.42683526806549</v>
      </c>
      <c r="AX38" s="27" t="n">
        <v>0</v>
      </c>
      <c r="AY38" s="27" t="n">
        <v>12.78530094059633</v>
      </c>
      <c r="AZ38" s="27" t="n">
        <v>7.69703224236028</v>
      </c>
      <c r="BA38" s="27" t="n">
        <v>52.76636919813974</v>
      </c>
      <c r="BB38" s="27">
        <f>SUM(C38:BA38)</f>
        <v/>
      </c>
      <c r="BC38" s="27" t="n">
        <v>0</v>
      </c>
      <c r="BD38" s="27" t="n">
        <v>0</v>
      </c>
      <c r="BE38" s="27" t="n">
        <v>7663.506096326164</v>
      </c>
      <c r="BF38" s="27" t="n">
        <v>0</v>
      </c>
      <c r="BG38" s="27">
        <f>SUM(BC38:BF38)</f>
        <v/>
      </c>
      <c r="BH38" s="27">
        <f>BB38+BG38</f>
        <v/>
      </c>
    </row>
    <row r="39">
      <c r="A39" s="29" t="n">
        <v>26</v>
      </c>
      <c r="B39" s="30" t="inlineStr">
        <is>
          <t>Metalurgia de metais não-ferrosos</t>
        </is>
      </c>
      <c r="C39" s="29" t="n">
        <v>116.7156847549073</v>
      </c>
      <c r="D39" s="29" t="n">
        <v>19.00703682544719</v>
      </c>
      <c r="E39" s="29" t="n">
        <v>14.66739812217949</v>
      </c>
      <c r="F39" s="29" t="n">
        <v>3.4067766637508</v>
      </c>
      <c r="G39" s="29" t="n">
        <v>14.07466477318381</v>
      </c>
      <c r="H39" s="29" t="n">
        <v>201.5361919722562</v>
      </c>
      <c r="I39" s="29" t="n">
        <v>0.4761535276093699</v>
      </c>
      <c r="J39" s="29" t="n">
        <v>4.575482605367184</v>
      </c>
      <c r="K39" s="29" t="n">
        <v>2.900164521362549</v>
      </c>
      <c r="L39" s="29" t="n">
        <v>3.154964345049379</v>
      </c>
      <c r="M39" s="29" t="n">
        <v>2.094602513875067</v>
      </c>
      <c r="N39" s="29" t="n">
        <v>69.29521409924918</v>
      </c>
      <c r="O39" s="29" t="n">
        <v>87.74571233806431</v>
      </c>
      <c r="P39" s="29" t="n">
        <v>2.398217206508446</v>
      </c>
      <c r="Q39" s="29" t="n">
        <v>0.8690838101954322</v>
      </c>
      <c r="R39" s="29" t="n">
        <v>131.4963326560281</v>
      </c>
      <c r="S39" s="29" t="n">
        <v>9.009300348301435</v>
      </c>
      <c r="T39" s="29" t="n">
        <v>5.323270109286256</v>
      </c>
      <c r="U39" s="29" t="n">
        <v>4.80396753758286</v>
      </c>
      <c r="V39" s="29" t="n">
        <v>9.187421391613743</v>
      </c>
      <c r="W39" s="29" t="n">
        <v>11.12476352266637</v>
      </c>
      <c r="X39" s="29" t="n">
        <v>67.40602241868505</v>
      </c>
      <c r="Y39" s="29" t="n">
        <v>27.79024844482947</v>
      </c>
      <c r="Z39" s="29" t="n">
        <v>36.40173386857925</v>
      </c>
      <c r="AA39" s="29" t="n">
        <v>378.0764469291639</v>
      </c>
      <c r="AB39" s="29" t="n">
        <v>1803.611914634097</v>
      </c>
      <c r="AC39" s="29" t="n">
        <v>484.1700313799526</v>
      </c>
      <c r="AD39" s="29" t="n">
        <v>536.6981583019628</v>
      </c>
      <c r="AE39" s="29" t="n">
        <v>1489.961732042627</v>
      </c>
      <c r="AF39" s="29" t="n">
        <v>66.74108965221463</v>
      </c>
      <c r="AG39" s="29" t="n">
        <v>123.0905185969067</v>
      </c>
      <c r="AH39" s="29" t="n">
        <v>1006.131193823183</v>
      </c>
      <c r="AI39" s="29" t="n">
        <v>148.3438583555376</v>
      </c>
      <c r="AJ39" s="29" t="n">
        <v>527.2609685708243</v>
      </c>
      <c r="AK39" s="29" t="n">
        <v>51.18696797130554</v>
      </c>
      <c r="AL39" s="29" t="n">
        <v>941.2588316669638</v>
      </c>
      <c r="AM39" s="29" t="n">
        <v>161.8399595682634</v>
      </c>
      <c r="AN39" s="29" t="n">
        <v>22.03835646334098</v>
      </c>
      <c r="AO39" s="29" t="n">
        <v>23.25013174127417</v>
      </c>
      <c r="AP39" s="29" t="n">
        <v>21.82202594686224</v>
      </c>
      <c r="AQ39" s="29" t="n">
        <v>19.85950735649603</v>
      </c>
      <c r="AR39" s="29" t="n">
        <v>1.516863347469417</v>
      </c>
      <c r="AS39" s="29" t="n">
        <v>20.60420916485163</v>
      </c>
      <c r="AT39" s="29" t="n">
        <v>35.24128985764328</v>
      </c>
      <c r="AU39" s="29" t="n">
        <v>15.37513486974992</v>
      </c>
      <c r="AV39" s="29" t="n">
        <v>12.44957465838696</v>
      </c>
      <c r="AW39" s="29" t="n">
        <v>31.67795973445392</v>
      </c>
      <c r="AX39" s="29" t="n">
        <v>0</v>
      </c>
      <c r="AY39" s="29" t="n">
        <v>4.074535355265702</v>
      </c>
      <c r="AZ39" s="29" t="n">
        <v>3.740942078293621</v>
      </c>
      <c r="BA39" s="29" t="n">
        <v>18.11453818381895</v>
      </c>
      <c r="BB39" s="29">
        <f>SUM(C39:BA39)</f>
        <v/>
      </c>
      <c r="BC39" s="29" t="n">
        <v>0</v>
      </c>
      <c r="BD39" s="29" t="n">
        <v>0</v>
      </c>
      <c r="BE39" s="29" t="n">
        <v>4389.837597514651</v>
      </c>
      <c r="BF39" s="29" t="n">
        <v>0</v>
      </c>
      <c r="BG39" s="29">
        <f>SUM(BC39:BF39)</f>
        <v/>
      </c>
      <c r="BH39" s="29">
        <f>BB39+BG39</f>
        <v/>
      </c>
    </row>
    <row r="40">
      <c r="A40" s="28" t="inlineStr">
        <is>
          <t>Produtos de metal</t>
        </is>
      </c>
      <c r="B40" s="28" t="inlineStr">
        <is>
          <t>exclusive máquinas e equipamentos</t>
        </is>
      </c>
      <c r="C40" s="27" t="n">
        <v>85.12452118065767</v>
      </c>
      <c r="D40" s="27" t="n">
        <v>147.9189268791837</v>
      </c>
      <c r="E40" s="27" t="n">
        <v>317.0398151770294</v>
      </c>
      <c r="F40" s="27" t="n">
        <v>135.377836262449</v>
      </c>
      <c r="G40" s="27" t="n">
        <v>80.26773105118771</v>
      </c>
      <c r="H40" s="27" t="n">
        <v>1979.355424225628</v>
      </c>
      <c r="I40" s="27" t="n">
        <v>8.862053221284526</v>
      </c>
      <c r="J40" s="27" t="n">
        <v>37.77164999930256</v>
      </c>
      <c r="K40" s="27" t="n">
        <v>46.67051727811661</v>
      </c>
      <c r="L40" s="27" t="n">
        <v>31.8252755996226</v>
      </c>
      <c r="M40" s="27" t="n">
        <v>129.7828996998238</v>
      </c>
      <c r="N40" s="27" t="n">
        <v>38.86718969563163</v>
      </c>
      <c r="O40" s="27" t="n">
        <v>14.42066140745243</v>
      </c>
      <c r="P40" s="27" t="n">
        <v>79.99757154979444</v>
      </c>
      <c r="Q40" s="27" t="n">
        <v>11.25610136490324</v>
      </c>
      <c r="R40" s="27" t="n">
        <v>94.89574557640206</v>
      </c>
      <c r="S40" s="27" t="n">
        <v>41.3973920260128</v>
      </c>
      <c r="T40" s="27" t="n">
        <v>36.14458914849556</v>
      </c>
      <c r="U40" s="27" t="n">
        <v>12.97256276833479</v>
      </c>
      <c r="V40" s="27" t="n">
        <v>220.8890955901147</v>
      </c>
      <c r="W40" s="27" t="n">
        <v>196.1884915910115</v>
      </c>
      <c r="X40" s="27" t="n">
        <v>19.88717192352958</v>
      </c>
      <c r="Y40" s="27" t="n">
        <v>75.43368862885863</v>
      </c>
      <c r="Z40" s="27" t="n">
        <v>67.04863820960237</v>
      </c>
      <c r="AA40" s="27" t="n">
        <v>674.8219097261206</v>
      </c>
      <c r="AB40" s="27" t="n">
        <v>86.24053119353064</v>
      </c>
      <c r="AC40" s="27" t="n">
        <v>2032.446750867754</v>
      </c>
      <c r="AD40" s="27" t="n">
        <v>1928.652041820361</v>
      </c>
      <c r="AE40" s="27" t="n">
        <v>682.2556600755282</v>
      </c>
      <c r="AF40" s="27" t="n">
        <v>374.8623739845459</v>
      </c>
      <c r="AG40" s="27" t="n">
        <v>847.2356894684934</v>
      </c>
      <c r="AH40" s="27" t="n">
        <v>686.4921771438338</v>
      </c>
      <c r="AI40" s="27" t="n">
        <v>390.1315976442955</v>
      </c>
      <c r="AJ40" s="27" t="n">
        <v>324.1974137064763</v>
      </c>
      <c r="AK40" s="27" t="n">
        <v>603.4950328588895</v>
      </c>
      <c r="AL40" s="27" t="n">
        <v>6114.160918868253</v>
      </c>
      <c r="AM40" s="27" t="n">
        <v>400.7755415485431</v>
      </c>
      <c r="AN40" s="27" t="n">
        <v>77.43724004103709</v>
      </c>
      <c r="AO40" s="27" t="n">
        <v>40.84352535879751</v>
      </c>
      <c r="AP40" s="27" t="n">
        <v>19.66846435676347</v>
      </c>
      <c r="AQ40" s="27" t="n">
        <v>96.5798936660361</v>
      </c>
      <c r="AR40" s="27" t="n">
        <v>2.424508916010165</v>
      </c>
      <c r="AS40" s="27" t="n">
        <v>399.4037725041848</v>
      </c>
      <c r="AT40" s="27" t="n">
        <v>74.59530444876766</v>
      </c>
      <c r="AU40" s="27" t="n">
        <v>12.39515367301958</v>
      </c>
      <c r="AV40" s="27" t="n">
        <v>10.58878557369973</v>
      </c>
      <c r="AW40" s="27" t="n">
        <v>111.0999893773993</v>
      </c>
      <c r="AX40" s="27" t="n">
        <v>0</v>
      </c>
      <c r="AY40" s="27" t="n">
        <v>15.61366963439142</v>
      </c>
      <c r="AZ40" s="27" t="n">
        <v>16.84795712885369</v>
      </c>
      <c r="BA40" s="27" t="n">
        <v>260.6068792428529</v>
      </c>
      <c r="BB40" s="27">
        <f>SUM(C40:BA40)</f>
        <v/>
      </c>
      <c r="BC40" s="27" t="n">
        <v>0</v>
      </c>
      <c r="BD40" s="27" t="n">
        <v>0</v>
      </c>
      <c r="BE40" s="27" t="n">
        <v>7182.353126273671</v>
      </c>
      <c r="BF40" s="27" t="n">
        <v>0</v>
      </c>
      <c r="BG40" s="27">
        <f>SUM(BC40:BF40)</f>
        <v/>
      </c>
      <c r="BH40" s="27">
        <f>BB40+BG40</f>
        <v/>
      </c>
    </row>
    <row r="41">
      <c r="A41" s="29" t="n">
        <v>28</v>
      </c>
      <c r="B41" s="30" t="inlineStr">
        <is>
          <t>Máquinas e equipamentos inclusive manutenção e reparos</t>
        </is>
      </c>
      <c r="C41" s="29" t="n">
        <v>39.27857386166071</v>
      </c>
      <c r="D41" s="29" t="n">
        <v>22.23275721002427</v>
      </c>
      <c r="E41" s="29" t="n">
        <v>1708.467087593742</v>
      </c>
      <c r="F41" s="29" t="n">
        <v>758.7604932344303</v>
      </c>
      <c r="G41" s="29" t="n">
        <v>463.4152900911196</v>
      </c>
      <c r="H41" s="29" t="n">
        <v>550.500851226215</v>
      </c>
      <c r="I41" s="29" t="n">
        <v>4.412276750551679</v>
      </c>
      <c r="J41" s="29" t="n">
        <v>70.13129139997125</v>
      </c>
      <c r="K41" s="29" t="n">
        <v>131.5777605836314</v>
      </c>
      <c r="L41" s="29" t="n">
        <v>48.62956018334509</v>
      </c>
      <c r="M41" s="29" t="n">
        <v>148.8838946527021</v>
      </c>
      <c r="N41" s="29" t="n">
        <v>363.3039942998453</v>
      </c>
      <c r="O41" s="29" t="n">
        <v>257.1538400506618</v>
      </c>
      <c r="P41" s="29" t="n">
        <v>117.1331401725224</v>
      </c>
      <c r="Q41" s="29" t="n">
        <v>59.86985030929056</v>
      </c>
      <c r="R41" s="29" t="n">
        <v>163.3827571053053</v>
      </c>
      <c r="S41" s="29" t="n">
        <v>70.62597179391864</v>
      </c>
      <c r="T41" s="29" t="n">
        <v>90.72639194808492</v>
      </c>
      <c r="U41" s="29" t="n">
        <v>24.8812497130766</v>
      </c>
      <c r="V41" s="29" t="n">
        <v>42.92109168959182</v>
      </c>
      <c r="W41" s="29" t="n">
        <v>48.97945512351913</v>
      </c>
      <c r="X41" s="29" t="n">
        <v>66.60101034910997</v>
      </c>
      <c r="Y41" s="29" t="n">
        <v>163.273784973245</v>
      </c>
      <c r="Z41" s="29" t="n">
        <v>436.5234815767379</v>
      </c>
      <c r="AA41" s="29" t="n">
        <v>1613.612895258505</v>
      </c>
      <c r="AB41" s="29" t="n">
        <v>355.3305502009587</v>
      </c>
      <c r="AC41" s="29" t="n">
        <v>213.6682363809616</v>
      </c>
      <c r="AD41" s="29" t="n">
        <v>6723.849717780601</v>
      </c>
      <c r="AE41" s="29" t="n">
        <v>309.1914544323253</v>
      </c>
      <c r="AF41" s="29" t="n">
        <v>170.0172938399966</v>
      </c>
      <c r="AG41" s="29" t="n">
        <v>531.0353142311567</v>
      </c>
      <c r="AH41" s="29" t="n">
        <v>233.5851870457759</v>
      </c>
      <c r="AI41" s="29" t="n">
        <v>173.1295099634818</v>
      </c>
      <c r="AJ41" s="29" t="n">
        <v>118.9232056027892</v>
      </c>
      <c r="AK41" s="29" t="n">
        <v>408.5277828277056</v>
      </c>
      <c r="AL41" s="29" t="n">
        <v>1723.54705620362</v>
      </c>
      <c r="AM41" s="29" t="n">
        <v>960.2688049299946</v>
      </c>
      <c r="AN41" s="29" t="n">
        <v>954.6721577305563</v>
      </c>
      <c r="AO41" s="29" t="n">
        <v>456.0886335549711</v>
      </c>
      <c r="AP41" s="29" t="n">
        <v>69.70228437491807</v>
      </c>
      <c r="AQ41" s="29" t="n">
        <v>21.92846175684017</v>
      </c>
      <c r="AR41" s="29" t="n">
        <v>20.97049453916316</v>
      </c>
      <c r="AS41" s="29" t="n">
        <v>53.10751153157078</v>
      </c>
      <c r="AT41" s="29" t="n">
        <v>479.2606465244489</v>
      </c>
      <c r="AU41" s="29" t="n">
        <v>9.025811219366188</v>
      </c>
      <c r="AV41" s="29" t="n">
        <v>133.7392389123647</v>
      </c>
      <c r="AW41" s="29" t="n">
        <v>422.2541762204517</v>
      </c>
      <c r="AX41" s="29" t="n">
        <v>0</v>
      </c>
      <c r="AY41" s="29" t="n">
        <v>44.66969258374726</v>
      </c>
      <c r="AZ41" s="29" t="n">
        <v>151.4397942032249</v>
      </c>
      <c r="BA41" s="29" t="n">
        <v>213.1177305880141</v>
      </c>
      <c r="BB41" s="29">
        <f>SUM(C41:BA41)</f>
        <v/>
      </c>
      <c r="BC41" s="29" t="n">
        <v>0</v>
      </c>
      <c r="BD41" s="29" t="n">
        <v>0</v>
      </c>
      <c r="BE41" s="29" t="n">
        <v>20030.90632178308</v>
      </c>
      <c r="BF41" s="29" t="n">
        <v>0</v>
      </c>
      <c r="BG41" s="29">
        <f>SUM(BC41:BF41)</f>
        <v/>
      </c>
      <c r="BH41" s="29">
        <f>BB41+BG41</f>
        <v/>
      </c>
    </row>
    <row r="42">
      <c r="A42" s="27" t="n">
        <v>29</v>
      </c>
      <c r="B42" s="28" t="inlineStr">
        <is>
          <t>Eletrodomésticos e material eletronico</t>
        </is>
      </c>
      <c r="C42" s="27" t="n">
        <v>9.516437413631669</v>
      </c>
      <c r="D42" s="27" t="n">
        <v>22.05466208511428</v>
      </c>
      <c r="E42" s="27" t="n">
        <v>53.8547840613555</v>
      </c>
      <c r="F42" s="27" t="n">
        <v>12.03628592571866</v>
      </c>
      <c r="G42" s="27" t="n">
        <v>13.40575453403977</v>
      </c>
      <c r="H42" s="27" t="n">
        <v>74.49249587533897</v>
      </c>
      <c r="I42" s="27" t="n">
        <v>1.763376480287678</v>
      </c>
      <c r="J42" s="27" t="n">
        <v>15.95798636584878</v>
      </c>
      <c r="K42" s="27" t="n">
        <v>6.539141565948288</v>
      </c>
      <c r="L42" s="27" t="n">
        <v>5.258708316885174</v>
      </c>
      <c r="M42" s="27" t="n">
        <v>8.553909168026077</v>
      </c>
      <c r="N42" s="27" t="n">
        <v>16.88968731444321</v>
      </c>
      <c r="O42" s="27" t="n">
        <v>7.952559493389681</v>
      </c>
      <c r="P42" s="27" t="n">
        <v>4.641673778925531</v>
      </c>
      <c r="Q42" s="27" t="n">
        <v>1.797267728262419</v>
      </c>
      <c r="R42" s="27" t="n">
        <v>21.44388766090294</v>
      </c>
      <c r="S42" s="27" t="n">
        <v>9.300701976047703</v>
      </c>
      <c r="T42" s="27" t="n">
        <v>5.923046944542662</v>
      </c>
      <c r="U42" s="27" t="n">
        <v>1.872654476487662</v>
      </c>
      <c r="V42" s="27" t="n">
        <v>7.150663641315908</v>
      </c>
      <c r="W42" s="27" t="n">
        <v>3.244944170272959</v>
      </c>
      <c r="X42" s="27" t="n">
        <v>5.884674626393675</v>
      </c>
      <c r="Y42" s="27" t="n">
        <v>30.09533984146392</v>
      </c>
      <c r="Z42" s="27" t="n">
        <v>36.0463947669101</v>
      </c>
      <c r="AA42" s="27" t="n">
        <v>31.40116652589416</v>
      </c>
      <c r="AB42" s="27" t="n">
        <v>47.37431452849388</v>
      </c>
      <c r="AC42" s="27" t="n">
        <v>31.16371815510964</v>
      </c>
      <c r="AD42" s="27" t="n">
        <v>889.2759847493395</v>
      </c>
      <c r="AE42" s="27" t="n">
        <v>1612.4779024462</v>
      </c>
      <c r="AF42" s="27" t="n">
        <v>604.4072522116534</v>
      </c>
      <c r="AG42" s="27" t="n">
        <v>196.1770736436746</v>
      </c>
      <c r="AH42" s="27" t="n">
        <v>251.3263079754576</v>
      </c>
      <c r="AI42" s="27" t="n">
        <v>56.54762862574913</v>
      </c>
      <c r="AJ42" s="27" t="n">
        <v>65.23125073291322</v>
      </c>
      <c r="AK42" s="27" t="n">
        <v>894.1696931799207</v>
      </c>
      <c r="AL42" s="27" t="n">
        <v>2180.765087105263</v>
      </c>
      <c r="AM42" s="27" t="n">
        <v>268.0492049210966</v>
      </c>
      <c r="AN42" s="27" t="n">
        <v>260.445261960882</v>
      </c>
      <c r="AO42" s="27" t="n">
        <v>223.8310185713634</v>
      </c>
      <c r="AP42" s="27" t="n">
        <v>27.46767692094235</v>
      </c>
      <c r="AQ42" s="27" t="n">
        <v>79.7026789476831</v>
      </c>
      <c r="AR42" s="27" t="n">
        <v>113.1664628552007</v>
      </c>
      <c r="AS42" s="27" t="n">
        <v>20.10559629999796</v>
      </c>
      <c r="AT42" s="27" t="n">
        <v>168.6419070275782</v>
      </c>
      <c r="AU42" s="27" t="n">
        <v>8.882478113287183</v>
      </c>
      <c r="AV42" s="27" t="n">
        <v>42.36795135114528</v>
      </c>
      <c r="AW42" s="27" t="n">
        <v>268.9351768093237</v>
      </c>
      <c r="AX42" s="27" t="n">
        <v>0</v>
      </c>
      <c r="AY42" s="27" t="n">
        <v>21.27826270449958</v>
      </c>
      <c r="AZ42" s="27" t="n">
        <v>16.26189887752699</v>
      </c>
      <c r="BA42" s="27" t="n">
        <v>39.50901326956328</v>
      </c>
      <c r="BB42" s="27">
        <f>SUM(C42:BA42)</f>
        <v/>
      </c>
      <c r="BC42" s="27" t="n">
        <v>0</v>
      </c>
      <c r="BD42" s="27" t="n">
        <v>0</v>
      </c>
      <c r="BE42" s="27" t="n">
        <v>10283.35273678896</v>
      </c>
      <c r="BF42" s="27" t="n">
        <v>0</v>
      </c>
      <c r="BG42" s="27">
        <f>SUM(BC42:BF42)</f>
        <v/>
      </c>
      <c r="BH42" s="27">
        <f>BB42+BG42</f>
        <v/>
      </c>
    </row>
    <row r="43">
      <c r="A43" s="29" t="n">
        <v>30</v>
      </c>
      <c r="B43" s="30" t="inlineStr">
        <is>
          <t>Máquinas para escritório aparelhos e e material eletronico</t>
        </is>
      </c>
      <c r="C43" s="29" t="n">
        <v>1.969176465302638</v>
      </c>
      <c r="D43" s="29" t="n">
        <v>1.932915058281367</v>
      </c>
      <c r="E43" s="29" t="n">
        <v>75.33261952981897</v>
      </c>
      <c r="F43" s="29" t="n">
        <v>9.732386607590197</v>
      </c>
      <c r="G43" s="29" t="n">
        <v>25.11457433923463</v>
      </c>
      <c r="H43" s="29" t="n">
        <v>71.2172967941037</v>
      </c>
      <c r="I43" s="29" t="n">
        <v>2.369238373066111</v>
      </c>
      <c r="J43" s="29" t="n">
        <v>6.172172426139106</v>
      </c>
      <c r="K43" s="29" t="n">
        <v>5.067264277926264</v>
      </c>
      <c r="L43" s="29" t="n">
        <v>5.602664712401149</v>
      </c>
      <c r="M43" s="29" t="n">
        <v>5.694682692860813</v>
      </c>
      <c r="N43" s="29" t="n">
        <v>12.81253163917196</v>
      </c>
      <c r="O43" s="29" t="n">
        <v>126.8409374403122</v>
      </c>
      <c r="P43" s="29" t="n">
        <v>8.331281737263888</v>
      </c>
      <c r="Q43" s="29" t="n">
        <v>2.000815104116274</v>
      </c>
      <c r="R43" s="29" t="n">
        <v>9.345097081335076</v>
      </c>
      <c r="S43" s="29" t="n">
        <v>6.374725453269487</v>
      </c>
      <c r="T43" s="29" t="n">
        <v>18.06232402029726</v>
      </c>
      <c r="U43" s="29" t="n">
        <v>4.120266620882097</v>
      </c>
      <c r="V43" s="29" t="n">
        <v>10.79087684739713</v>
      </c>
      <c r="W43" s="29" t="n">
        <v>7.057523993408759</v>
      </c>
      <c r="X43" s="29" t="n">
        <v>21.58271819651668</v>
      </c>
      <c r="Y43" s="29" t="n">
        <v>19.3524548298658</v>
      </c>
      <c r="Z43" s="29" t="n">
        <v>12.44671132476665</v>
      </c>
      <c r="AA43" s="29" t="n">
        <v>22.36069444844962</v>
      </c>
      <c r="AB43" s="29" t="n">
        <v>7.033901499245986</v>
      </c>
      <c r="AC43" s="29" t="n">
        <v>7.56727901837409</v>
      </c>
      <c r="AD43" s="29" t="n">
        <v>321.3401487771017</v>
      </c>
      <c r="AE43" s="29" t="n">
        <v>186.3431020233024</v>
      </c>
      <c r="AF43" s="29" t="n">
        <v>10192.18613127669</v>
      </c>
      <c r="AG43" s="29" t="n">
        <v>97.7406628005828</v>
      </c>
      <c r="AH43" s="29" t="n">
        <v>81.89806820569316</v>
      </c>
      <c r="AI43" s="29" t="n">
        <v>16.65678887267803</v>
      </c>
      <c r="AJ43" s="29" t="n">
        <v>27.32192717666176</v>
      </c>
      <c r="AK43" s="29" t="n">
        <v>78.19711772434064</v>
      </c>
      <c r="AL43" s="29" t="n">
        <v>159.6276403956861</v>
      </c>
      <c r="AM43" s="29" t="n">
        <v>182.4834635357994</v>
      </c>
      <c r="AN43" s="29" t="n">
        <v>121.2223920779852</v>
      </c>
      <c r="AO43" s="29" t="n">
        <v>799.4063138508614</v>
      </c>
      <c r="AP43" s="29" t="n">
        <v>182.0412573885621</v>
      </c>
      <c r="AQ43" s="29" t="n">
        <v>7.459839052900461</v>
      </c>
      <c r="AR43" s="29" t="n">
        <v>362.138714263247</v>
      </c>
      <c r="AS43" s="29" t="n">
        <v>9.762270920834002</v>
      </c>
      <c r="AT43" s="29" t="n">
        <v>927.116667154667</v>
      </c>
      <c r="AU43" s="29" t="n">
        <v>66.19703671200062</v>
      </c>
      <c r="AV43" s="29" t="n">
        <v>1409.950112885459</v>
      </c>
      <c r="AW43" s="29" t="n">
        <v>137.6110295853337</v>
      </c>
      <c r="AX43" s="29" t="n">
        <v>0</v>
      </c>
      <c r="AY43" s="29" t="n">
        <v>495.259547281082</v>
      </c>
      <c r="AZ43" s="29" t="n">
        <v>432.8939453969954</v>
      </c>
      <c r="BA43" s="29" t="n">
        <v>243.7678538839423</v>
      </c>
      <c r="BB43" s="29">
        <f>SUM(C43:BA43)</f>
        <v/>
      </c>
      <c r="BC43" s="29" t="n">
        <v>0</v>
      </c>
      <c r="BD43" s="29" t="n">
        <v>0</v>
      </c>
      <c r="BE43" s="29" t="n">
        <v>19589.58036153533</v>
      </c>
      <c r="BF43" s="29" t="n">
        <v>0</v>
      </c>
      <c r="BG43" s="29">
        <f>SUM(BC43:BF43)</f>
        <v/>
      </c>
      <c r="BH43" s="29">
        <f>BB43+BG43</f>
        <v/>
      </c>
    </row>
    <row r="44">
      <c r="A44" s="27" t="n">
        <v>31</v>
      </c>
      <c r="B44" s="28" t="inlineStr">
        <is>
          <t>Automóveis camionetas caminhões e ônibus</t>
        </is>
      </c>
      <c r="C44" s="27" t="n">
        <v>1.958045176674705</v>
      </c>
      <c r="D44" s="27" t="n">
        <v>1.34931463247309</v>
      </c>
      <c r="E44" s="27" t="n">
        <v>31.50606730548496</v>
      </c>
      <c r="F44" s="27" t="n">
        <v>9.639547062603896</v>
      </c>
      <c r="G44" s="27" t="n">
        <v>6.713843926361466</v>
      </c>
      <c r="H44" s="27" t="n">
        <v>77.16938162541319</v>
      </c>
      <c r="I44" s="27" t="n">
        <v>2.936285199411369</v>
      </c>
      <c r="J44" s="27" t="n">
        <v>4.219496088855673</v>
      </c>
      <c r="K44" s="27" t="n">
        <v>4.386850797214576</v>
      </c>
      <c r="L44" s="27" t="n">
        <v>5.593209412210291</v>
      </c>
      <c r="M44" s="27" t="n">
        <v>2.643354328610873</v>
      </c>
      <c r="N44" s="27" t="n">
        <v>10.1374963364601</v>
      </c>
      <c r="O44" s="27" t="n">
        <v>2.79022204890058</v>
      </c>
      <c r="P44" s="27" t="n">
        <v>7.854260153069731</v>
      </c>
      <c r="Q44" s="27" t="n">
        <v>1.722829288533347</v>
      </c>
      <c r="R44" s="27" t="n">
        <v>8.140204324633117</v>
      </c>
      <c r="S44" s="27" t="n">
        <v>3.104711961322665</v>
      </c>
      <c r="T44" s="27" t="n">
        <v>11.08997798495382</v>
      </c>
      <c r="U44" s="27" t="n">
        <v>3.533243771488438</v>
      </c>
      <c r="V44" s="27" t="n">
        <v>4.291429809311525</v>
      </c>
      <c r="W44" s="27" t="n">
        <v>2.807329332638347</v>
      </c>
      <c r="X44" s="27" t="n">
        <v>10.81912442128406</v>
      </c>
      <c r="Y44" s="27" t="n">
        <v>9.407637660547078</v>
      </c>
      <c r="Z44" s="27" t="n">
        <v>11.31446503932259</v>
      </c>
      <c r="AA44" s="27" t="n">
        <v>20.87362157532905</v>
      </c>
      <c r="AB44" s="27" t="n">
        <v>6.179240513092838</v>
      </c>
      <c r="AC44" s="27" t="n">
        <v>8.73705837517387</v>
      </c>
      <c r="AD44" s="27" t="n">
        <v>85.20825953099371</v>
      </c>
      <c r="AE44" s="27" t="n">
        <v>33.89449102019972</v>
      </c>
      <c r="AF44" s="27" t="n">
        <v>20.95615425977119</v>
      </c>
      <c r="AG44" s="27" t="n">
        <v>1336.453657189187</v>
      </c>
      <c r="AH44" s="27" t="n">
        <v>40.3589706993146</v>
      </c>
      <c r="AI44" s="27" t="n">
        <v>33.13908558440811</v>
      </c>
      <c r="AJ44" s="27" t="n">
        <v>4.242781362757612</v>
      </c>
      <c r="AK44" s="27" t="n">
        <v>33.03418570215929</v>
      </c>
      <c r="AL44" s="27" t="n">
        <v>75.15310889342381</v>
      </c>
      <c r="AM44" s="27" t="n">
        <v>193.4101103274877</v>
      </c>
      <c r="AN44" s="27" t="n">
        <v>230.4002591153512</v>
      </c>
      <c r="AO44" s="27" t="n">
        <v>62.42331751965349</v>
      </c>
      <c r="AP44" s="27" t="n">
        <v>41.49062223244348</v>
      </c>
      <c r="AQ44" s="27" t="n">
        <v>4.993767661485571</v>
      </c>
      <c r="AR44" s="27" t="n">
        <v>0.7849539749846842</v>
      </c>
      <c r="AS44" s="27" t="n">
        <v>5.580018108401496</v>
      </c>
      <c r="AT44" s="27" t="n">
        <v>63.73775853336362</v>
      </c>
      <c r="AU44" s="27" t="n">
        <v>10.08348493245418</v>
      </c>
      <c r="AV44" s="27" t="n">
        <v>5.672721125535617</v>
      </c>
      <c r="AW44" s="27" t="n">
        <v>25.79393624497525</v>
      </c>
      <c r="AX44" s="27" t="n">
        <v>0</v>
      </c>
      <c r="AY44" s="27" t="n">
        <v>9.535896394525132</v>
      </c>
      <c r="AZ44" s="27" t="n">
        <v>11.66152152932932</v>
      </c>
      <c r="BA44" s="27" t="n">
        <v>47.62364052975369</v>
      </c>
      <c r="BB44" s="27">
        <f>SUM(C44:BA44)</f>
        <v/>
      </c>
      <c r="BC44" s="27" t="n">
        <v>0</v>
      </c>
      <c r="BD44" s="27" t="n">
        <v>0</v>
      </c>
      <c r="BE44" s="27" t="n">
        <v>37041.97890988339</v>
      </c>
      <c r="BF44" s="27" t="n">
        <v>0</v>
      </c>
      <c r="BG44" s="27">
        <f>SUM(BC44:BF44)</f>
        <v/>
      </c>
      <c r="BH44" s="27">
        <f>BB44+BG44</f>
        <v/>
      </c>
    </row>
    <row r="45">
      <c r="A45" s="29" t="n">
        <v>32</v>
      </c>
      <c r="B45" s="30" t="inlineStr">
        <is>
          <t>Peças e acessórios para veículos automotores</t>
        </is>
      </c>
      <c r="C45" s="29" t="n">
        <v>4.753739023161266</v>
      </c>
      <c r="D45" s="29" t="n">
        <v>4.130667525278981</v>
      </c>
      <c r="E45" s="29" t="n">
        <v>41.44892976182387</v>
      </c>
      <c r="F45" s="29" t="n">
        <v>16.59518901542704</v>
      </c>
      <c r="G45" s="29" t="n">
        <v>10.49403044535987</v>
      </c>
      <c r="H45" s="29" t="n">
        <v>72.54807476377854</v>
      </c>
      <c r="I45" s="29" t="n">
        <v>1.181605121628138</v>
      </c>
      <c r="J45" s="29" t="n">
        <v>3.679976377358253</v>
      </c>
      <c r="K45" s="29" t="n">
        <v>4.8037622984944</v>
      </c>
      <c r="L45" s="29" t="n">
        <v>6.376637699453459</v>
      </c>
      <c r="M45" s="29" t="n">
        <v>4.585920040005903</v>
      </c>
      <c r="N45" s="29" t="n">
        <v>10.26078480791627</v>
      </c>
      <c r="O45" s="29" t="n">
        <v>8.885172766068875</v>
      </c>
      <c r="P45" s="29" t="n">
        <v>5.66494978370339</v>
      </c>
      <c r="Q45" s="29" t="n">
        <v>1.706773747567102</v>
      </c>
      <c r="R45" s="29" t="n">
        <v>8.933849299448552</v>
      </c>
      <c r="S45" s="29" t="n">
        <v>2.962412013461897</v>
      </c>
      <c r="T45" s="29" t="n">
        <v>6.540302215972218</v>
      </c>
      <c r="U45" s="29" t="n">
        <v>2.381475315898981</v>
      </c>
      <c r="V45" s="29" t="n">
        <v>8.054548042285166</v>
      </c>
      <c r="W45" s="29" t="n">
        <v>3.718015983377879</v>
      </c>
      <c r="X45" s="29" t="n">
        <v>2.967454919056069</v>
      </c>
      <c r="Y45" s="29" t="n">
        <v>44.62703365586698</v>
      </c>
      <c r="Z45" s="29" t="n">
        <v>18.05389044831276</v>
      </c>
      <c r="AA45" s="29" t="n">
        <v>45.4617005825279</v>
      </c>
      <c r="AB45" s="29" t="n">
        <v>14.92692671331817</v>
      </c>
      <c r="AC45" s="29" t="n">
        <v>42.82740272855015</v>
      </c>
      <c r="AD45" s="29" t="n">
        <v>158.2787353875531</v>
      </c>
      <c r="AE45" s="29" t="n">
        <v>36.36770050528602</v>
      </c>
      <c r="AF45" s="29" t="n">
        <v>25.32690070169947</v>
      </c>
      <c r="AG45" s="29" t="n">
        <v>6697.276131486256</v>
      </c>
      <c r="AH45" s="29" t="n">
        <v>2190.952078489008</v>
      </c>
      <c r="AI45" s="29" t="n">
        <v>27.97643268821619</v>
      </c>
      <c r="AJ45" s="29" t="n">
        <v>14.48277184622558</v>
      </c>
      <c r="AK45" s="29" t="n">
        <v>27.22826123537089</v>
      </c>
      <c r="AL45" s="29" t="n">
        <v>179.266989490203</v>
      </c>
      <c r="AM45" s="29" t="n">
        <v>2675.273630012711</v>
      </c>
      <c r="AN45" s="29" t="n">
        <v>2171.881705056577</v>
      </c>
      <c r="AO45" s="29" t="n">
        <v>38.05951012355463</v>
      </c>
      <c r="AP45" s="29" t="n">
        <v>29.0376265987015</v>
      </c>
      <c r="AQ45" s="29" t="n">
        <v>8.303750310366002</v>
      </c>
      <c r="AR45" s="29" t="n">
        <v>2.108335259138351</v>
      </c>
      <c r="AS45" s="29" t="n">
        <v>18.17446678047204</v>
      </c>
      <c r="AT45" s="29" t="n">
        <v>83.66098621782234</v>
      </c>
      <c r="AU45" s="29" t="n">
        <v>13.42700987772688</v>
      </c>
      <c r="AV45" s="29" t="n">
        <v>39.44326195931261</v>
      </c>
      <c r="AW45" s="29" t="n">
        <v>34.48116084886488</v>
      </c>
      <c r="AX45" s="29" t="n">
        <v>0</v>
      </c>
      <c r="AY45" s="29" t="n">
        <v>76.93278645640353</v>
      </c>
      <c r="AZ45" s="29" t="n">
        <v>42.38238611639311</v>
      </c>
      <c r="BA45" s="29" t="n">
        <v>221.0207013787594</v>
      </c>
      <c r="BB45" s="29">
        <f>SUM(C45:BA45)</f>
        <v/>
      </c>
      <c r="BC45" s="29" t="n">
        <v>0</v>
      </c>
      <c r="BD45" s="29" t="n">
        <v>0</v>
      </c>
      <c r="BE45" s="29" t="n">
        <v>5802.581045049546</v>
      </c>
      <c r="BF45" s="29" t="n">
        <v>0</v>
      </c>
      <c r="BG45" s="29">
        <f>SUM(BC45:BF45)</f>
        <v/>
      </c>
      <c r="BH45" s="29">
        <f>BB45+BG45</f>
        <v/>
      </c>
    </row>
    <row r="46">
      <c r="A46" s="27" t="n">
        <v>33</v>
      </c>
      <c r="B46" s="28" t="inlineStr">
        <is>
          <t>Outros equipamentos de transporte</t>
        </is>
      </c>
      <c r="C46" s="27" t="n">
        <v>0.4151289161628133</v>
      </c>
      <c r="D46" s="27" t="n">
        <v>0.2408332931526144</v>
      </c>
      <c r="E46" s="27" t="n">
        <v>9.197647931198699</v>
      </c>
      <c r="F46" s="27" t="n">
        <v>2.724637630604533</v>
      </c>
      <c r="G46" s="27" t="n">
        <v>1.897715244404601</v>
      </c>
      <c r="H46" s="27" t="n">
        <v>10.16132319210133</v>
      </c>
      <c r="I46" s="27" t="n">
        <v>0.586859877713602</v>
      </c>
      <c r="J46" s="27" t="n">
        <v>0.6761075174270814</v>
      </c>
      <c r="K46" s="27" t="n">
        <v>5.340370564914994</v>
      </c>
      <c r="L46" s="27" t="n">
        <v>1.96664593280435</v>
      </c>
      <c r="M46" s="27" t="n">
        <v>0.5984471036637851</v>
      </c>
      <c r="N46" s="27" t="n">
        <v>1.994211600977879</v>
      </c>
      <c r="O46" s="27" t="n">
        <v>0.8507359652802413</v>
      </c>
      <c r="P46" s="27" t="n">
        <v>1.832566195391156</v>
      </c>
      <c r="Q46" s="27" t="n">
        <v>0.3654246801763151</v>
      </c>
      <c r="R46" s="27" t="n">
        <v>2.0584330797237</v>
      </c>
      <c r="S46" s="27" t="n">
        <v>0.5965779772507191</v>
      </c>
      <c r="T46" s="27" t="n">
        <v>2.327857389518665</v>
      </c>
      <c r="U46" s="27" t="n">
        <v>0.826747006031345</v>
      </c>
      <c r="V46" s="27" t="n">
        <v>1.030090687588981</v>
      </c>
      <c r="W46" s="27" t="n">
        <v>0.5981799536169018</v>
      </c>
      <c r="X46" s="27" t="n">
        <v>0.6295341582882601</v>
      </c>
      <c r="Y46" s="27" t="n">
        <v>1.578563806054193</v>
      </c>
      <c r="Z46" s="27" t="n">
        <v>2.714974972494968</v>
      </c>
      <c r="AA46" s="27" t="n">
        <v>5.795758103125831</v>
      </c>
      <c r="AB46" s="27" t="n">
        <v>1.466765526907127</v>
      </c>
      <c r="AC46" s="27" t="n">
        <v>2.254820668176774</v>
      </c>
      <c r="AD46" s="27" t="n">
        <v>450.6922293070411</v>
      </c>
      <c r="AE46" s="27" t="n">
        <v>2.233193174122968</v>
      </c>
      <c r="AF46" s="27" t="n">
        <v>2.440211898696306</v>
      </c>
      <c r="AG46" s="27" t="n">
        <v>4.665238287442013</v>
      </c>
      <c r="AH46" s="27" t="n">
        <v>2.965525707025439</v>
      </c>
      <c r="AI46" s="27" t="n">
        <v>2942.085389772941</v>
      </c>
      <c r="AJ46" s="27" t="n">
        <v>6.781492511078978</v>
      </c>
      <c r="AK46" s="27" t="n">
        <v>4.622400929671076</v>
      </c>
      <c r="AL46" s="27" t="n">
        <v>13.41394216007388</v>
      </c>
      <c r="AM46" s="27" t="n">
        <v>69.57163820405476</v>
      </c>
      <c r="AN46" s="27" t="n">
        <v>387.7610770356908</v>
      </c>
      <c r="AO46" s="27" t="n">
        <v>13.30460996465823</v>
      </c>
      <c r="AP46" s="27" t="n">
        <v>11.45758783567991</v>
      </c>
      <c r="AQ46" s="27" t="n">
        <v>1.494861395298125</v>
      </c>
      <c r="AR46" s="27" t="n">
        <v>26.85438294574027</v>
      </c>
      <c r="AS46" s="27" t="n">
        <v>2.044931433647708</v>
      </c>
      <c r="AT46" s="27" t="n">
        <v>17.12624209495462</v>
      </c>
      <c r="AU46" s="27" t="n">
        <v>3.203905302717603</v>
      </c>
      <c r="AV46" s="27" t="n">
        <v>1.607830405863726</v>
      </c>
      <c r="AW46" s="27" t="n">
        <v>7.84193275253935</v>
      </c>
      <c r="AX46" s="27" t="n">
        <v>0</v>
      </c>
      <c r="AY46" s="27" t="n">
        <v>2.634153575347011</v>
      </c>
      <c r="AZ46" s="27" t="n">
        <v>3.140826526577595</v>
      </c>
      <c r="BA46" s="27" t="n">
        <v>85.42948025426681</v>
      </c>
      <c r="BB46" s="27">
        <f>SUM(C46:BA46)</f>
        <v/>
      </c>
      <c r="BC46" s="27" t="n">
        <v>0</v>
      </c>
      <c r="BD46" s="27" t="n">
        <v>0</v>
      </c>
      <c r="BE46" s="27" t="n">
        <v>8685.736569632578</v>
      </c>
      <c r="BF46" s="27" t="n">
        <v>0</v>
      </c>
      <c r="BG46" s="27">
        <f>SUM(BC46:BF46)</f>
        <v/>
      </c>
      <c r="BH46" s="27">
        <f>BB46+BG46</f>
        <v/>
      </c>
    </row>
    <row r="47">
      <c r="A47" s="29" t="n">
        <v>34</v>
      </c>
      <c r="B47" s="30" t="inlineStr">
        <is>
          <t>Móveis e produtos das indústrias diversas</t>
        </is>
      </c>
      <c r="C47" s="29" t="n">
        <v>6.287693605970968</v>
      </c>
      <c r="D47" s="29" t="n">
        <v>3.952832767841002</v>
      </c>
      <c r="E47" s="29" t="n">
        <v>19.15266129955969</v>
      </c>
      <c r="F47" s="29" t="n">
        <v>9.886435562483973</v>
      </c>
      <c r="G47" s="29" t="n">
        <v>3.714062444830184</v>
      </c>
      <c r="H47" s="29" t="n">
        <v>70.0706221006363</v>
      </c>
      <c r="I47" s="29" t="n">
        <v>0.37123687881283</v>
      </c>
      <c r="J47" s="29" t="n">
        <v>17.98630425519745</v>
      </c>
      <c r="K47" s="29" t="n">
        <v>580.7285427241981</v>
      </c>
      <c r="L47" s="29" t="n">
        <v>160.9081913731211</v>
      </c>
      <c r="M47" s="29" t="n">
        <v>5.938725336732258</v>
      </c>
      <c r="N47" s="29" t="n">
        <v>4.48536791338561</v>
      </c>
      <c r="O47" s="29" t="n">
        <v>4.301410405524655</v>
      </c>
      <c r="P47" s="29" t="n">
        <v>2.953603779875678</v>
      </c>
      <c r="Q47" s="29" t="n">
        <v>0.7351632895343024</v>
      </c>
      <c r="R47" s="29" t="n">
        <v>30.67344243018966</v>
      </c>
      <c r="S47" s="29" t="n">
        <v>11.33954419810763</v>
      </c>
      <c r="T47" s="29" t="n">
        <v>6.636837880249324</v>
      </c>
      <c r="U47" s="29" t="n">
        <v>12.94752209663752</v>
      </c>
      <c r="V47" s="29" t="n">
        <v>7.377475623374145</v>
      </c>
      <c r="W47" s="29" t="n">
        <v>2.821741180870414</v>
      </c>
      <c r="X47" s="29" t="n">
        <v>0.988688632321054</v>
      </c>
      <c r="Y47" s="29" t="n">
        <v>41.10777782398316</v>
      </c>
      <c r="Z47" s="29" t="n">
        <v>50.80211473085505</v>
      </c>
      <c r="AA47" s="29" t="n">
        <v>13.47387499874736</v>
      </c>
      <c r="AB47" s="29" t="n">
        <v>1.476075834841669</v>
      </c>
      <c r="AC47" s="29" t="n">
        <v>21.77255114681599</v>
      </c>
      <c r="AD47" s="29" t="n">
        <v>222.9098916555255</v>
      </c>
      <c r="AE47" s="29" t="n">
        <v>13.16932372627316</v>
      </c>
      <c r="AF47" s="29" t="n">
        <v>11.8324524136779</v>
      </c>
      <c r="AG47" s="29" t="n">
        <v>103.7834593660005</v>
      </c>
      <c r="AH47" s="29" t="n">
        <v>172.5166233945083</v>
      </c>
      <c r="AI47" s="29" t="n">
        <v>23.09629279780833</v>
      </c>
      <c r="AJ47" s="29" t="n">
        <v>755.9044181347621</v>
      </c>
      <c r="AK47" s="29" t="n">
        <v>34.74270532242438</v>
      </c>
      <c r="AL47" s="29" t="n">
        <v>362.0219115787445</v>
      </c>
      <c r="AM47" s="29" t="n">
        <v>141.9590239968528</v>
      </c>
      <c r="AN47" s="29" t="n">
        <v>124.3667861221284</v>
      </c>
      <c r="AO47" s="29" t="n">
        <v>42.20057987986306</v>
      </c>
      <c r="AP47" s="29" t="n">
        <v>62.13515113577316</v>
      </c>
      <c r="AQ47" s="29" t="n">
        <v>35.34743687237303</v>
      </c>
      <c r="AR47" s="29" t="n">
        <v>2.267847124509939</v>
      </c>
      <c r="AS47" s="29" t="n">
        <v>9.311610600898158</v>
      </c>
      <c r="AT47" s="29" t="n">
        <v>431.8152332381802</v>
      </c>
      <c r="AU47" s="29" t="n">
        <v>10.93956166333565</v>
      </c>
      <c r="AV47" s="29" t="n">
        <v>20.69556849099613</v>
      </c>
      <c r="AW47" s="29" t="n">
        <v>137.5257121862213</v>
      </c>
      <c r="AX47" s="29" t="n">
        <v>0</v>
      </c>
      <c r="AY47" s="29" t="n">
        <v>31.69447453719528</v>
      </c>
      <c r="AZ47" s="29" t="n">
        <v>73.50831570398185</v>
      </c>
      <c r="BA47" s="29" t="n">
        <v>121.3831960523214</v>
      </c>
      <c r="BB47" s="29">
        <f>SUM(C47:BA47)</f>
        <v/>
      </c>
      <c r="BC47" s="29" t="n">
        <v>0</v>
      </c>
      <c r="BD47" s="29" t="n">
        <v>0</v>
      </c>
      <c r="BE47" s="29" t="n">
        <v>14647.4605760296</v>
      </c>
      <c r="BF47" s="29" t="n">
        <v>0</v>
      </c>
      <c r="BG47" s="29">
        <f>SUM(BC47:BF47)</f>
        <v/>
      </c>
      <c r="BH47" s="29">
        <f>BB47+BG47</f>
        <v/>
      </c>
    </row>
    <row r="48">
      <c r="A48" s="27" t="n">
        <v>35</v>
      </c>
      <c r="B48" s="28" t="inlineStr">
        <is>
          <t>Produção e distribuição de eletricidade gás água esgoto e limpeza urbana</t>
        </is>
      </c>
      <c r="C48" s="27" t="n">
        <v>1579.295423154432</v>
      </c>
      <c r="D48" s="27" t="n">
        <v>1229.435241346256</v>
      </c>
      <c r="E48" s="27" t="n">
        <v>67.90262615574972</v>
      </c>
      <c r="F48" s="27" t="n">
        <v>238.4448191785668</v>
      </c>
      <c r="G48" s="27" t="n">
        <v>322.5019006037571</v>
      </c>
      <c r="H48" s="27" t="n">
        <v>1510.581721441276</v>
      </c>
      <c r="I48" s="27" t="n">
        <v>23.12871131458059</v>
      </c>
      <c r="J48" s="27" t="n">
        <v>673.8718181354138</v>
      </c>
      <c r="K48" s="27" t="n">
        <v>91.69793239872982</v>
      </c>
      <c r="L48" s="27" t="n">
        <v>127.355614760201</v>
      </c>
      <c r="M48" s="27" t="n">
        <v>336.8668711831394</v>
      </c>
      <c r="N48" s="27" t="n">
        <v>686.3903063087944</v>
      </c>
      <c r="O48" s="27" t="n">
        <v>56.18348206480611</v>
      </c>
      <c r="P48" s="27" t="n">
        <v>97.41636976485921</v>
      </c>
      <c r="Q48" s="27" t="n">
        <v>30.87007209665931</v>
      </c>
      <c r="R48" s="27" t="n">
        <v>1026.183823124032</v>
      </c>
      <c r="S48" s="27" t="n">
        <v>583.8643793543766</v>
      </c>
      <c r="T48" s="27" t="n">
        <v>80.70133086937884</v>
      </c>
      <c r="U48" s="27" t="n">
        <v>66.25220711269023</v>
      </c>
      <c r="V48" s="27" t="n">
        <v>84.09941443997606</v>
      </c>
      <c r="W48" s="27" t="n">
        <v>40.70357475003455</v>
      </c>
      <c r="X48" s="27" t="n">
        <v>159.3602509954973</v>
      </c>
      <c r="Y48" s="27" t="n">
        <v>758.4331486115592</v>
      </c>
      <c r="Z48" s="27" t="n">
        <v>1270.119607450454</v>
      </c>
      <c r="AA48" s="27" t="n">
        <v>2427.115078100146</v>
      </c>
      <c r="AB48" s="27" t="n">
        <v>1278.484349380321</v>
      </c>
      <c r="AC48" s="27" t="n">
        <v>363.9191105795297</v>
      </c>
      <c r="AD48" s="27" t="n">
        <v>224.2635154252345</v>
      </c>
      <c r="AE48" s="27" t="n">
        <v>201.8484510692995</v>
      </c>
      <c r="AF48" s="27" t="n">
        <v>83.45896789289701</v>
      </c>
      <c r="AG48" s="27" t="n">
        <v>139.8410970037726</v>
      </c>
      <c r="AH48" s="27" t="n">
        <v>457.7294210572259</v>
      </c>
      <c r="AI48" s="27" t="n">
        <v>71.91970442499934</v>
      </c>
      <c r="AJ48" s="27" t="n">
        <v>111.0385234452386</v>
      </c>
      <c r="AK48" s="27" t="n">
        <v>14833.87786690266</v>
      </c>
      <c r="AL48" s="27" t="n">
        <v>242.4091493545288</v>
      </c>
      <c r="AM48" s="27" t="n">
        <v>4452.398572597825</v>
      </c>
      <c r="AN48" s="27" t="n">
        <v>848.8338910025878</v>
      </c>
      <c r="AO48" s="27" t="n">
        <v>837.3291881949108</v>
      </c>
      <c r="AP48" s="27" t="n">
        <v>509.5838977830042</v>
      </c>
      <c r="AQ48" s="27" t="n">
        <v>155.8110383369471</v>
      </c>
      <c r="AR48" s="27" t="n">
        <v>64.08605256744281</v>
      </c>
      <c r="AS48" s="27" t="n">
        <v>816.3680580140516</v>
      </c>
      <c r="AT48" s="27" t="n">
        <v>667.3894600774672</v>
      </c>
      <c r="AU48" s="27" t="n">
        <v>593.0179725119913</v>
      </c>
      <c r="AV48" s="27" t="n">
        <v>817.7705867379055</v>
      </c>
      <c r="AW48" s="27" t="n">
        <v>3805.342069583311</v>
      </c>
      <c r="AX48" s="27" t="n">
        <v>0</v>
      </c>
      <c r="AY48" s="27" t="n">
        <v>365.6108673426485</v>
      </c>
      <c r="AZ48" s="27" t="n">
        <v>448.4081711020125</v>
      </c>
      <c r="BA48" s="27" t="n">
        <v>3240.288272614547</v>
      </c>
      <c r="BB48" s="27">
        <f>SUM(C48:BA48)</f>
        <v/>
      </c>
      <c r="BC48" s="27" t="n">
        <v>0</v>
      </c>
      <c r="BD48" s="27" t="n">
        <v>0</v>
      </c>
      <c r="BE48" s="27" t="n">
        <v>24397.04733067854</v>
      </c>
      <c r="BF48" s="27" t="n">
        <v>0</v>
      </c>
      <c r="BG48" s="27">
        <f>SUM(BC48:BF48)</f>
        <v/>
      </c>
      <c r="BH48" s="27">
        <f>BB48+BG48</f>
        <v/>
      </c>
    </row>
    <row r="49">
      <c r="A49" s="29" t="n">
        <v>36</v>
      </c>
      <c r="B49" s="30" t="inlineStr">
        <is>
          <t>Construção civil</t>
        </is>
      </c>
      <c r="C49" s="29" t="n">
        <v>15.96350330660371</v>
      </c>
      <c r="D49" s="29" t="n">
        <v>43.73153353827967</v>
      </c>
      <c r="E49" s="29" t="n">
        <v>1256.796939399078</v>
      </c>
      <c r="F49" s="29" t="n">
        <v>256.7390622887727</v>
      </c>
      <c r="G49" s="29" t="n">
        <v>77.94928208088746</v>
      </c>
      <c r="H49" s="29" t="n">
        <v>17.07169010251837</v>
      </c>
      <c r="I49" s="29" t="n">
        <v>0.6810148228209494</v>
      </c>
      <c r="J49" s="29" t="n">
        <v>13.08715393902259</v>
      </c>
      <c r="K49" s="29" t="n">
        <v>3.543605480419109</v>
      </c>
      <c r="L49" s="29" t="n">
        <v>1.402883002272803</v>
      </c>
      <c r="M49" s="29" t="n">
        <v>0.3980029344978623</v>
      </c>
      <c r="N49" s="29" t="n">
        <v>6.58760344550389</v>
      </c>
      <c r="O49" s="29" t="n">
        <v>6.430777700314713</v>
      </c>
      <c r="P49" s="29" t="n">
        <v>6.609894128395999</v>
      </c>
      <c r="Q49" s="29" t="n">
        <v>5.76547730822504</v>
      </c>
      <c r="R49" s="29" t="n">
        <v>24.04715971336596</v>
      </c>
      <c r="S49" s="29" t="n">
        <v>0.508668384570272</v>
      </c>
      <c r="T49" s="29" t="n">
        <v>2.78869665620701</v>
      </c>
      <c r="U49" s="29" t="n">
        <v>1.025020694546116</v>
      </c>
      <c r="V49" s="29" t="n">
        <v>1.587005608533198</v>
      </c>
      <c r="W49" s="29" t="n">
        <v>0.8010846138642249</v>
      </c>
      <c r="X49" s="29" t="n">
        <v>0.6347222010568789</v>
      </c>
      <c r="Y49" s="29" t="n">
        <v>3.266550213727596</v>
      </c>
      <c r="Z49" s="29" t="n">
        <v>9.104452188901416</v>
      </c>
      <c r="AA49" s="29" t="n">
        <v>50.28717720307807</v>
      </c>
      <c r="AB49" s="29" t="n">
        <v>353.0047529952996</v>
      </c>
      <c r="AC49" s="29" t="n">
        <v>15.12608277469934</v>
      </c>
      <c r="AD49" s="29" t="n">
        <v>22.02764309706781</v>
      </c>
      <c r="AE49" s="29" t="n">
        <v>4.957260588063032</v>
      </c>
      <c r="AF49" s="29" t="n">
        <v>28.24090431145347</v>
      </c>
      <c r="AG49" s="29" t="n">
        <v>57.91671768855661</v>
      </c>
      <c r="AH49" s="29" t="n">
        <v>10.07335575785339</v>
      </c>
      <c r="AI49" s="29" t="n">
        <v>51.0094869343319</v>
      </c>
      <c r="AJ49" s="29" t="n">
        <v>5.747495601022529</v>
      </c>
      <c r="AK49" s="29" t="n">
        <v>1218.47186981972</v>
      </c>
      <c r="AL49" s="29" t="n">
        <v>12935.33080410933</v>
      </c>
      <c r="AM49" s="29" t="n">
        <v>433.9881755873041</v>
      </c>
      <c r="AN49" s="29" t="n">
        <v>417.3422077705855</v>
      </c>
      <c r="AO49" s="29" t="n">
        <v>1409.985129162682</v>
      </c>
      <c r="AP49" s="29" t="n">
        <v>292.3337895213391</v>
      </c>
      <c r="AQ49" s="29" t="n">
        <v>372.0298663297157</v>
      </c>
      <c r="AR49" s="29" t="n">
        <v>2.216078780478301</v>
      </c>
      <c r="AS49" s="29" t="n">
        <v>145.0436672816981</v>
      </c>
      <c r="AT49" s="29" t="n">
        <v>307.7185841003167</v>
      </c>
      <c r="AU49" s="29" t="n">
        <v>120.0791392605538</v>
      </c>
      <c r="AV49" s="29" t="n">
        <v>10.29015290288061</v>
      </c>
      <c r="AW49" s="29" t="n">
        <v>766.932315706246</v>
      </c>
      <c r="AX49" s="29" t="n">
        <v>0</v>
      </c>
      <c r="AY49" s="29" t="n">
        <v>151.891545204453</v>
      </c>
      <c r="AZ49" s="29" t="n">
        <v>553.0223569449536</v>
      </c>
      <c r="BA49" s="29" t="n">
        <v>2597.085636864417</v>
      </c>
      <c r="BB49" s="29">
        <f>SUM(C49:BA49)</f>
        <v/>
      </c>
      <c r="BC49" s="29" t="n">
        <v>0</v>
      </c>
      <c r="BD49" s="29" t="n">
        <v>0</v>
      </c>
      <c r="BE49" s="29" t="n">
        <v>126344.7027758561</v>
      </c>
      <c r="BF49" s="29" t="n">
        <v>0</v>
      </c>
      <c r="BG49" s="29">
        <f>SUM(BC49:BF49)</f>
        <v/>
      </c>
      <c r="BH49" s="29">
        <f>BB49+BG49</f>
        <v/>
      </c>
    </row>
    <row r="50">
      <c r="A50" s="27" t="n">
        <v>37</v>
      </c>
      <c r="B50" s="28" t="inlineStr">
        <is>
          <t>Comércio</t>
        </is>
      </c>
      <c r="C50" s="27" t="n">
        <v>264.4194843625607</v>
      </c>
      <c r="D50" s="27" t="n">
        <v>213.0338650151784</v>
      </c>
      <c r="E50" s="27" t="n">
        <v>298.9493116600568</v>
      </c>
      <c r="F50" s="27" t="n">
        <v>756.3999732758231</v>
      </c>
      <c r="G50" s="27" t="n">
        <v>292.70285973098</v>
      </c>
      <c r="H50" s="27" t="n">
        <v>11656.07159634907</v>
      </c>
      <c r="I50" s="27" t="n">
        <v>335.6277079710437</v>
      </c>
      <c r="J50" s="27" t="n">
        <v>1173.807186312099</v>
      </c>
      <c r="K50" s="27" t="n">
        <v>1132.661559251534</v>
      </c>
      <c r="L50" s="27" t="n">
        <v>1571.662750776331</v>
      </c>
      <c r="M50" s="27" t="n">
        <v>381.2708813292806</v>
      </c>
      <c r="N50" s="27" t="n">
        <v>1864.93747047757</v>
      </c>
      <c r="O50" s="27" t="n">
        <v>121.8888019887574</v>
      </c>
      <c r="P50" s="27" t="n">
        <v>700.3193552063389</v>
      </c>
      <c r="Q50" s="27" t="n">
        <v>319.1880333332235</v>
      </c>
      <c r="R50" s="27" t="n">
        <v>1281.338157822049</v>
      </c>
      <c r="S50" s="27" t="n">
        <v>647.6319304334877</v>
      </c>
      <c r="T50" s="27" t="n">
        <v>1346.293590581692</v>
      </c>
      <c r="U50" s="27" t="n">
        <v>389.3767123839788</v>
      </c>
      <c r="V50" s="27" t="n">
        <v>119.954879691809</v>
      </c>
      <c r="W50" s="27" t="n">
        <v>262.8322930907692</v>
      </c>
      <c r="X50" s="27" t="n">
        <v>818.9483024039654</v>
      </c>
      <c r="Y50" s="27" t="n">
        <v>2153.902607595792</v>
      </c>
      <c r="Z50" s="27" t="n">
        <v>1812.631498034368</v>
      </c>
      <c r="AA50" s="27" t="n">
        <v>2465.819746516003</v>
      </c>
      <c r="AB50" s="27" t="n">
        <v>703.9343444978037</v>
      </c>
      <c r="AC50" s="27" t="n">
        <v>1537.031199580552</v>
      </c>
      <c r="AD50" s="27" t="n">
        <v>4927.541429100519</v>
      </c>
      <c r="AE50" s="27" t="n">
        <v>1392.540257840496</v>
      </c>
      <c r="AF50" s="27" t="n">
        <v>1892.857603236896</v>
      </c>
      <c r="AG50" s="27" t="n">
        <v>524.7394419242108</v>
      </c>
      <c r="AH50" s="27" t="n">
        <v>103.304823419393</v>
      </c>
      <c r="AI50" s="27" t="n">
        <v>142.7550458093359</v>
      </c>
      <c r="AJ50" s="27" t="n">
        <v>525.8751823923167</v>
      </c>
      <c r="AK50" s="27" t="n">
        <v>1024.20580404906</v>
      </c>
      <c r="AL50" s="27" t="n">
        <v>1278.511617329022</v>
      </c>
      <c r="AM50" s="27" t="n">
        <v>8972.08591438811</v>
      </c>
      <c r="AN50" s="27" t="n">
        <v>7904.409916385912</v>
      </c>
      <c r="AO50" s="27" t="n">
        <v>7059.687632284134</v>
      </c>
      <c r="AP50" s="27" t="n">
        <v>342.8132972684126</v>
      </c>
      <c r="AQ50" s="27" t="n">
        <v>48.38131394554605</v>
      </c>
      <c r="AR50" s="27" t="n">
        <v>26.92733798013387</v>
      </c>
      <c r="AS50" s="27" t="n">
        <v>349.8646982759564</v>
      </c>
      <c r="AT50" s="27" t="n">
        <v>2173.113223252774</v>
      </c>
      <c r="AU50" s="27" t="n">
        <v>100.2115576283713</v>
      </c>
      <c r="AV50" s="27" t="n">
        <v>960.6540225448226</v>
      </c>
      <c r="AW50" s="27" t="n">
        <v>324.4764189168344</v>
      </c>
      <c r="AX50" s="27" t="n">
        <v>0</v>
      </c>
      <c r="AY50" s="27" t="n">
        <v>639.2093402665531</v>
      </c>
      <c r="AZ50" s="27" t="n">
        <v>1126.53016160534</v>
      </c>
      <c r="BA50" s="27" t="n">
        <v>1779.549581850197</v>
      </c>
      <c r="BB50" s="27">
        <f>SUM(C50:BA50)</f>
        <v/>
      </c>
      <c r="BC50" s="27" t="n">
        <v>0</v>
      </c>
      <c r="BD50" s="27" t="n">
        <v>0</v>
      </c>
      <c r="BE50" s="27" t="n">
        <v>94755.69595153906</v>
      </c>
      <c r="BF50" s="27" t="n">
        <v>0</v>
      </c>
      <c r="BG50" s="27">
        <f>SUM(BC50:BF50)</f>
        <v/>
      </c>
      <c r="BH50" s="27">
        <f>BB50+BG50</f>
        <v/>
      </c>
    </row>
    <row r="51">
      <c r="A51" s="29" t="n">
        <v>38</v>
      </c>
      <c r="B51" s="30" t="inlineStr">
        <is>
          <t>Transporte armazenagem e correio</t>
        </is>
      </c>
      <c r="C51" s="29" t="n">
        <v>1189.753352689617</v>
      </c>
      <c r="D51" s="29" t="n">
        <v>253.4346519993268</v>
      </c>
      <c r="E51" s="29" t="n">
        <v>3030.668533124489</v>
      </c>
      <c r="F51" s="29" t="n">
        <v>1026.225046290229</v>
      </c>
      <c r="G51" s="29" t="n">
        <v>567.3510098478458</v>
      </c>
      <c r="H51" s="29" t="n">
        <v>9665.493718139307</v>
      </c>
      <c r="I51" s="29" t="n">
        <v>95.07088485997197</v>
      </c>
      <c r="J51" s="29" t="n">
        <v>480.7105315445592</v>
      </c>
      <c r="K51" s="29" t="n">
        <v>302.6940590488321</v>
      </c>
      <c r="L51" s="29" t="n">
        <v>428.2420510016107</v>
      </c>
      <c r="M51" s="29" t="n">
        <v>483.6028819461924</v>
      </c>
      <c r="N51" s="29" t="n">
        <v>1221.440697444827</v>
      </c>
      <c r="O51" s="29" t="n">
        <v>189.1602592270368</v>
      </c>
      <c r="P51" s="29" t="n">
        <v>837.5766384557613</v>
      </c>
      <c r="Q51" s="29" t="n">
        <v>272.2785251623783</v>
      </c>
      <c r="R51" s="29" t="n">
        <v>1568.020381850821</v>
      </c>
      <c r="S51" s="29" t="n">
        <v>444.3370214792038</v>
      </c>
      <c r="T51" s="29" t="n">
        <v>785.2769224748869</v>
      </c>
      <c r="U51" s="29" t="n">
        <v>302.1026454241172</v>
      </c>
      <c r="V51" s="29" t="n">
        <v>450.5079677449062</v>
      </c>
      <c r="W51" s="29" t="n">
        <v>232.7580071789453</v>
      </c>
      <c r="X51" s="29" t="n">
        <v>278.754089935849</v>
      </c>
      <c r="Y51" s="29" t="n">
        <v>812.0159512676292</v>
      </c>
      <c r="Z51" s="29" t="n">
        <v>850.3535406280795</v>
      </c>
      <c r="AA51" s="29" t="n">
        <v>2354.730061224463</v>
      </c>
      <c r="AB51" s="29" t="n">
        <v>210.3267330826248</v>
      </c>
      <c r="AC51" s="29" t="n">
        <v>852.0905309358077</v>
      </c>
      <c r="AD51" s="29" t="n">
        <v>749.0347062973037</v>
      </c>
      <c r="AE51" s="29" t="n">
        <v>716.9496328256197</v>
      </c>
      <c r="AF51" s="29" t="n">
        <v>1054.868075356722</v>
      </c>
      <c r="AG51" s="29" t="n">
        <v>1772.523241567455</v>
      </c>
      <c r="AH51" s="29" t="n">
        <v>723.6180865946325</v>
      </c>
      <c r="AI51" s="29" t="n">
        <v>231.2751317104395</v>
      </c>
      <c r="AJ51" s="29" t="n">
        <v>378.9081327277859</v>
      </c>
      <c r="AK51" s="29" t="n">
        <v>830.745235535009</v>
      </c>
      <c r="AL51" s="29" t="n">
        <v>1238.492603518715</v>
      </c>
      <c r="AM51" s="29" t="n">
        <v>10203.51341620913</v>
      </c>
      <c r="AN51" s="29" t="n">
        <v>14705.5279405473</v>
      </c>
      <c r="AO51" s="29" t="n">
        <v>1103.360977317449</v>
      </c>
      <c r="AP51" s="29" t="n">
        <v>1880.496827803737</v>
      </c>
      <c r="AQ51" s="29" t="n">
        <v>108.7585383581694</v>
      </c>
      <c r="AR51" s="29" t="n">
        <v>37.72564918030631</v>
      </c>
      <c r="AS51" s="29" t="n">
        <v>295.8830582432759</v>
      </c>
      <c r="AT51" s="29" t="n">
        <v>1730.023939191672</v>
      </c>
      <c r="AU51" s="29" t="n">
        <v>852.3133792436566</v>
      </c>
      <c r="AV51" s="29" t="n">
        <v>110.0098920301278</v>
      </c>
      <c r="AW51" s="29" t="n">
        <v>4332.734535887677</v>
      </c>
      <c r="AX51" s="29" t="n">
        <v>0</v>
      </c>
      <c r="AY51" s="29" t="n">
        <v>354.6316491911981</v>
      </c>
      <c r="AZ51" s="29" t="n">
        <v>250.7861230083909</v>
      </c>
      <c r="BA51" s="29" t="n">
        <v>1808.011053324987</v>
      </c>
      <c r="BB51" s="29">
        <f>SUM(C51:BA51)</f>
        <v/>
      </c>
      <c r="BC51" s="29" t="n">
        <v>0</v>
      </c>
      <c r="BD51" s="29" t="n">
        <v>0</v>
      </c>
      <c r="BE51" s="29" t="n">
        <v>31041.74029255056</v>
      </c>
      <c r="BF51" s="29" t="n">
        <v>0</v>
      </c>
      <c r="BG51" s="29">
        <f>SUM(BC51:BF51)</f>
        <v/>
      </c>
      <c r="BH51" s="29">
        <f>BB51+BG51</f>
        <v/>
      </c>
    </row>
    <row r="52">
      <c r="A52" s="27" t="n">
        <v>39</v>
      </c>
      <c r="B52" s="28" t="inlineStr">
        <is>
          <t>Serviços de informação</t>
        </is>
      </c>
      <c r="C52" s="27" t="n">
        <v>9.68937736599457</v>
      </c>
      <c r="D52" s="27" t="n">
        <v>4.861140173732029</v>
      </c>
      <c r="E52" s="27" t="n">
        <v>183.1267906297343</v>
      </c>
      <c r="F52" s="27" t="n">
        <v>62.48610392015127</v>
      </c>
      <c r="G52" s="27" t="n">
        <v>31.98939601968167</v>
      </c>
      <c r="H52" s="27" t="n">
        <v>1309.571642712938</v>
      </c>
      <c r="I52" s="27" t="n">
        <v>23.81845332938908</v>
      </c>
      <c r="J52" s="27" t="n">
        <v>153.7157618393622</v>
      </c>
      <c r="K52" s="27" t="n">
        <v>268.120541917064</v>
      </c>
      <c r="L52" s="27" t="n">
        <v>105.1708094027213</v>
      </c>
      <c r="M52" s="27" t="n">
        <v>49.07604514104175</v>
      </c>
      <c r="N52" s="27" t="n">
        <v>169.5839193257705</v>
      </c>
      <c r="O52" s="27" t="n">
        <v>237.3377145880171</v>
      </c>
      <c r="P52" s="27" t="n">
        <v>95.86649012899544</v>
      </c>
      <c r="Q52" s="27" t="n">
        <v>31.19822144982466</v>
      </c>
      <c r="R52" s="27" t="n">
        <v>227.2821841368869</v>
      </c>
      <c r="S52" s="27" t="n">
        <v>59.78317524931376</v>
      </c>
      <c r="T52" s="27" t="n">
        <v>172.8865566618507</v>
      </c>
      <c r="U52" s="27" t="n">
        <v>72.91647812051458</v>
      </c>
      <c r="V52" s="27" t="n">
        <v>18.58735509379846</v>
      </c>
      <c r="W52" s="27" t="n">
        <v>50.04452358466303</v>
      </c>
      <c r="X52" s="27" t="n">
        <v>45.22970991233082</v>
      </c>
      <c r="Y52" s="27" t="n">
        <v>183.4728313929306</v>
      </c>
      <c r="Z52" s="27" t="n">
        <v>193.5650681610939</v>
      </c>
      <c r="AA52" s="27" t="n">
        <v>174.3979799353232</v>
      </c>
      <c r="AB52" s="27" t="n">
        <v>36.48469278415992</v>
      </c>
      <c r="AC52" s="27" t="n">
        <v>179.9443773304157</v>
      </c>
      <c r="AD52" s="27" t="n">
        <v>268.2725283234894</v>
      </c>
      <c r="AE52" s="27" t="n">
        <v>296.5435823725969</v>
      </c>
      <c r="AF52" s="27" t="n">
        <v>416.6841576965269</v>
      </c>
      <c r="AG52" s="27" t="n">
        <v>663.3623921340312</v>
      </c>
      <c r="AH52" s="27" t="n">
        <v>559.1630683531654</v>
      </c>
      <c r="AI52" s="27" t="n">
        <v>67.7798563338</v>
      </c>
      <c r="AJ52" s="27" t="n">
        <v>162.838553015375</v>
      </c>
      <c r="AK52" s="27" t="n">
        <v>467.168318830295</v>
      </c>
      <c r="AL52" s="27" t="n">
        <v>632.4971412839967</v>
      </c>
      <c r="AM52" s="27" t="n">
        <v>3969.918757906644</v>
      </c>
      <c r="AN52" s="27" t="n">
        <v>1331.575372914788</v>
      </c>
      <c r="AO52" s="27" t="n">
        <v>14356.13296703252</v>
      </c>
      <c r="AP52" s="27" t="n">
        <v>5375.239798694642</v>
      </c>
      <c r="AQ52" s="27" t="n">
        <v>274.1873055160416</v>
      </c>
      <c r="AR52" s="27" t="n">
        <v>94.53099519457214</v>
      </c>
      <c r="AS52" s="27" t="n">
        <v>297.4544528891112</v>
      </c>
      <c r="AT52" s="27" t="n">
        <v>11550.63700477243</v>
      </c>
      <c r="AU52" s="27" t="n">
        <v>1175.545832252431</v>
      </c>
      <c r="AV52" s="27" t="n">
        <v>448.0267077364639</v>
      </c>
      <c r="AW52" s="27" t="n">
        <v>1545.171985101357</v>
      </c>
      <c r="AX52" s="27" t="n">
        <v>0</v>
      </c>
      <c r="AY52" s="27" t="n">
        <v>1366.174324570691</v>
      </c>
      <c r="AZ52" s="27" t="n">
        <v>464.3588729749096</v>
      </c>
      <c r="BA52" s="27" t="n">
        <v>3453.784333508677</v>
      </c>
      <c r="BB52" s="27">
        <f>SUM(C52:BA52)</f>
        <v/>
      </c>
      <c r="BC52" s="27" t="n">
        <v>0</v>
      </c>
      <c r="BD52" s="27" t="n">
        <v>0</v>
      </c>
      <c r="BE52" s="27" t="n">
        <v>48014.78958691824</v>
      </c>
      <c r="BF52" s="27" t="n">
        <v>0</v>
      </c>
      <c r="BG52" s="27">
        <f>SUM(BC52:BF52)</f>
        <v/>
      </c>
      <c r="BH52" s="27">
        <f>BB52+BG52</f>
        <v/>
      </c>
    </row>
    <row r="53">
      <c r="A53" s="29" t="n">
        <v>40</v>
      </c>
      <c r="B53" s="30" t="inlineStr">
        <is>
          <t>Intermediação financeira seguros e previdência complementar e serviços relacionados</t>
        </is>
      </c>
      <c r="C53" s="29" t="n">
        <v>1243.346191374647</v>
      </c>
      <c r="D53" s="29" t="n">
        <v>659.2279911481312</v>
      </c>
      <c r="E53" s="29" t="n">
        <v>1025.90765996699</v>
      </c>
      <c r="F53" s="29" t="n">
        <v>537.4417720760101</v>
      </c>
      <c r="G53" s="29" t="n">
        <v>345.4830524139149</v>
      </c>
      <c r="H53" s="29" t="n">
        <v>4519.548410544204</v>
      </c>
      <c r="I53" s="29" t="n">
        <v>177.6769856203094</v>
      </c>
      <c r="J53" s="29" t="n">
        <v>466.0211526740226</v>
      </c>
      <c r="K53" s="29" t="n">
        <v>480.579952405395</v>
      </c>
      <c r="L53" s="29" t="n">
        <v>405.6569206689355</v>
      </c>
      <c r="M53" s="29" t="n">
        <v>270.8625686458897</v>
      </c>
      <c r="N53" s="29" t="n">
        <v>706.6009113452534</v>
      </c>
      <c r="O53" s="29" t="n">
        <v>174.4836276905132</v>
      </c>
      <c r="P53" s="29" t="n">
        <v>901.8764740101705</v>
      </c>
      <c r="Q53" s="29" t="n">
        <v>228.0853196339593</v>
      </c>
      <c r="R53" s="29" t="n">
        <v>913.4110782363005</v>
      </c>
      <c r="S53" s="29" t="n">
        <v>396.6810623466474</v>
      </c>
      <c r="T53" s="29" t="n">
        <v>294.4255511877345</v>
      </c>
      <c r="U53" s="29" t="n">
        <v>157.0953746419382</v>
      </c>
      <c r="V53" s="29" t="n">
        <v>256.6921018690501</v>
      </c>
      <c r="W53" s="29" t="n">
        <v>116.0672975487963</v>
      </c>
      <c r="X53" s="29" t="n">
        <v>199.5190356074016</v>
      </c>
      <c r="Y53" s="29" t="n">
        <v>728.0842527872533</v>
      </c>
      <c r="Z53" s="29" t="n">
        <v>713.7725696882535</v>
      </c>
      <c r="AA53" s="29" t="n">
        <v>1302.042639164261</v>
      </c>
      <c r="AB53" s="29" t="n">
        <v>445.5802341742487</v>
      </c>
      <c r="AC53" s="29" t="n">
        <v>672.6637319028555</v>
      </c>
      <c r="AD53" s="29" t="n">
        <v>923.4644481494635</v>
      </c>
      <c r="AE53" s="29" t="n">
        <v>606.9476290913035</v>
      </c>
      <c r="AF53" s="29" t="n">
        <v>723.3255422508773</v>
      </c>
      <c r="AG53" s="29" t="n">
        <v>943.9511256777395</v>
      </c>
      <c r="AH53" s="29" t="n">
        <v>534.4299584412786</v>
      </c>
      <c r="AI53" s="29" t="n">
        <v>219.4257535657084</v>
      </c>
      <c r="AJ53" s="29" t="n">
        <v>335.9517034142636</v>
      </c>
      <c r="AK53" s="29" t="n">
        <v>1947.448249296191</v>
      </c>
      <c r="AL53" s="29" t="n">
        <v>3161.692710570196</v>
      </c>
      <c r="AM53" s="29" t="n">
        <v>7199.409815699025</v>
      </c>
      <c r="AN53" s="29" t="n">
        <v>3951.90225145942</v>
      </c>
      <c r="AO53" s="29" t="n">
        <v>2961.152341945244</v>
      </c>
      <c r="AP53" s="29" t="n">
        <v>14677.0421359398</v>
      </c>
      <c r="AQ53" s="29" t="n">
        <v>9288.601784301496</v>
      </c>
      <c r="AR53" s="29" t="n">
        <v>143.1318871850044</v>
      </c>
      <c r="AS53" s="29" t="n">
        <v>909.1633414441412</v>
      </c>
      <c r="AT53" s="29" t="n">
        <v>2891.863433635826</v>
      </c>
      <c r="AU53" s="29" t="n">
        <v>450.1914400606304</v>
      </c>
      <c r="AV53" s="29" t="n">
        <v>1482.357119199262</v>
      </c>
      <c r="AW53" s="29" t="n">
        <v>1823.102025831685</v>
      </c>
      <c r="AX53" s="29" t="n">
        <v>0</v>
      </c>
      <c r="AY53" s="29" t="n">
        <v>79.33119918694535</v>
      </c>
      <c r="AZ53" s="29" t="n">
        <v>68.3679822185168</v>
      </c>
      <c r="BA53" s="29" t="n">
        <v>14554.41925181737</v>
      </c>
      <c r="BB53" s="29">
        <f>SUM(C53:BA53)</f>
        <v/>
      </c>
      <c r="BC53" s="29" t="n">
        <v>0</v>
      </c>
      <c r="BD53" s="29" t="n">
        <v>0</v>
      </c>
      <c r="BE53" s="29" t="n">
        <v>33875.69023900654</v>
      </c>
      <c r="BF53" s="29" t="n">
        <v>0</v>
      </c>
      <c r="BG53" s="29">
        <f>SUM(BC53:BF53)</f>
        <v/>
      </c>
      <c r="BH53" s="29">
        <f>BB53+BG53</f>
        <v/>
      </c>
    </row>
    <row r="54">
      <c r="A54" s="27" t="n">
        <v>41</v>
      </c>
      <c r="B54" s="28" t="inlineStr">
        <is>
          <t>Atividades imobiliárias e aluguéis</t>
        </is>
      </c>
      <c r="C54" s="27" t="n">
        <v>3.039649079442385</v>
      </c>
      <c r="D54" s="27" t="n">
        <v>0.9876991922006948</v>
      </c>
      <c r="E54" s="27" t="n">
        <v>48.86701359433761</v>
      </c>
      <c r="F54" s="27" t="n">
        <v>5.225781985826344</v>
      </c>
      <c r="G54" s="27" t="n">
        <v>10.65157168544228</v>
      </c>
      <c r="H54" s="27" t="n">
        <v>275.6937068306352</v>
      </c>
      <c r="I54" s="27" t="n">
        <v>9.24285783801227</v>
      </c>
      <c r="J54" s="27" t="n">
        <v>102.8569641287971</v>
      </c>
      <c r="K54" s="27" t="n">
        <v>128.7964644895334</v>
      </c>
      <c r="L54" s="27" t="n">
        <v>36.30264838928544</v>
      </c>
      <c r="M54" s="27" t="n">
        <v>10.34232818692055</v>
      </c>
      <c r="N54" s="27" t="n">
        <v>32.82882194996598</v>
      </c>
      <c r="O54" s="27" t="n">
        <v>16.14857218334915</v>
      </c>
      <c r="P54" s="27" t="n">
        <v>35.2388011171205</v>
      </c>
      <c r="Q54" s="27" t="n">
        <v>24.37719739939589</v>
      </c>
      <c r="R54" s="27" t="n">
        <v>33.17681159929576</v>
      </c>
      <c r="S54" s="27" t="n">
        <v>9.987249759274585</v>
      </c>
      <c r="T54" s="27" t="n">
        <v>47.59398799444956</v>
      </c>
      <c r="U54" s="27" t="n">
        <v>7.906255924820139</v>
      </c>
      <c r="V54" s="27" t="n">
        <v>34.31400259175192</v>
      </c>
      <c r="W54" s="27" t="n">
        <v>5.269525509620595</v>
      </c>
      <c r="X54" s="27" t="n">
        <v>11.25196061550984</v>
      </c>
      <c r="Y54" s="27" t="n">
        <v>94.1820624939369</v>
      </c>
      <c r="Z54" s="27" t="n">
        <v>44.63339908901018</v>
      </c>
      <c r="AA54" s="27" t="n">
        <v>88.1758808508428</v>
      </c>
      <c r="AB54" s="27" t="n">
        <v>3.101884014345882</v>
      </c>
      <c r="AC54" s="27" t="n">
        <v>51.48249098456459</v>
      </c>
      <c r="AD54" s="27" t="n">
        <v>55.94417726869824</v>
      </c>
      <c r="AE54" s="27" t="n">
        <v>30.6915070630437</v>
      </c>
      <c r="AF54" s="27" t="n">
        <v>61.42366021852445</v>
      </c>
      <c r="AG54" s="27" t="n">
        <v>23.76917521168816</v>
      </c>
      <c r="AH54" s="27" t="n">
        <v>51.58580515463026</v>
      </c>
      <c r="AI54" s="27" t="n">
        <v>9.790228366081672</v>
      </c>
      <c r="AJ54" s="27" t="n">
        <v>50.11543175491108</v>
      </c>
      <c r="AK54" s="27" t="n">
        <v>232.220841624027</v>
      </c>
      <c r="AL54" s="27" t="n">
        <v>338.2329268123242</v>
      </c>
      <c r="AM54" s="27" t="n">
        <v>6383.211958499814</v>
      </c>
      <c r="AN54" s="27" t="n">
        <v>766.021094993601</v>
      </c>
      <c r="AO54" s="27" t="n">
        <v>1045.347662623765</v>
      </c>
      <c r="AP54" s="27" t="n">
        <v>1037.099866813271</v>
      </c>
      <c r="AQ54" s="27" t="n">
        <v>398.4199606030514</v>
      </c>
      <c r="AR54" s="27" t="n">
        <v>85.38014020632164</v>
      </c>
      <c r="AS54" s="27" t="n">
        <v>993.1553835212775</v>
      </c>
      <c r="AT54" s="27" t="n">
        <v>1720.464855308328</v>
      </c>
      <c r="AU54" s="27" t="n">
        <v>848.2180175746195</v>
      </c>
      <c r="AV54" s="27" t="n">
        <v>380.472623697047</v>
      </c>
      <c r="AW54" s="27" t="n">
        <v>1581.7108702685</v>
      </c>
      <c r="AX54" s="27" t="n">
        <v>0</v>
      </c>
      <c r="AY54" s="27" t="n">
        <v>112.3474556445436</v>
      </c>
      <c r="AZ54" s="27" t="n">
        <v>65.96344169272002</v>
      </c>
      <c r="BA54" s="27" t="n">
        <v>517.8372252145978</v>
      </c>
      <c r="BB54" s="27">
        <f>SUM(C54:BA54)</f>
        <v/>
      </c>
      <c r="BC54" s="27" t="n">
        <v>0</v>
      </c>
      <c r="BD54" s="27" t="n">
        <v>0</v>
      </c>
      <c r="BE54" s="27" t="n">
        <v>125146.1291037554</v>
      </c>
      <c r="BF54" s="27" t="n">
        <v>0</v>
      </c>
      <c r="BG54" s="27">
        <f>SUM(BC54:BF54)</f>
        <v/>
      </c>
      <c r="BH54" s="27">
        <f>BB54+BG54</f>
        <v/>
      </c>
    </row>
    <row r="55">
      <c r="A55" s="29" t="n">
        <v>42</v>
      </c>
      <c r="B55" s="30" t="inlineStr">
        <is>
          <t>Serviços de manutenção e reparação</t>
        </is>
      </c>
      <c r="C55" s="29" t="n">
        <v>1.905579535237833</v>
      </c>
      <c r="D55" s="29" t="n">
        <v>0.04581978691196062</v>
      </c>
      <c r="E55" s="29" t="n">
        <v>14.00954995898488</v>
      </c>
      <c r="F55" s="29" t="n">
        <v>0.5593156514603882</v>
      </c>
      <c r="G55" s="29" t="n">
        <v>1.02902339193779</v>
      </c>
      <c r="H55" s="29" t="n">
        <v>9.400014207320135</v>
      </c>
      <c r="I55" s="29" t="n">
        <v>0.2655867129641589</v>
      </c>
      <c r="J55" s="29" t="n">
        <v>6.213044578787619</v>
      </c>
      <c r="K55" s="29" t="n">
        <v>0.8708813141406654</v>
      </c>
      <c r="L55" s="29" t="n">
        <v>1.240126191100512</v>
      </c>
      <c r="M55" s="29" t="n">
        <v>0.2966548940479165</v>
      </c>
      <c r="N55" s="29" t="n">
        <v>1.455700174238735</v>
      </c>
      <c r="O55" s="29" t="n">
        <v>6.801423629250841</v>
      </c>
      <c r="P55" s="29" t="n">
        <v>0.4017436418999743</v>
      </c>
      <c r="Q55" s="29" t="n">
        <v>0.2331416189441853</v>
      </c>
      <c r="R55" s="29" t="n">
        <v>0.4120102148841854</v>
      </c>
      <c r="S55" s="29" t="n">
        <v>0.5073633072446101</v>
      </c>
      <c r="T55" s="29" t="n">
        <v>1.004259399335059</v>
      </c>
      <c r="U55" s="29" t="n">
        <v>0.299402288837661</v>
      </c>
      <c r="V55" s="29" t="n">
        <v>0.07216491130591436</v>
      </c>
      <c r="W55" s="29" t="n">
        <v>0.1838559627038048</v>
      </c>
      <c r="X55" s="29" t="n">
        <v>0.6347766698278418</v>
      </c>
      <c r="Y55" s="29" t="n">
        <v>1.654604447981262</v>
      </c>
      <c r="Z55" s="29" t="n">
        <v>2.191737324135315</v>
      </c>
      <c r="AA55" s="29" t="n">
        <v>10.98808456718469</v>
      </c>
      <c r="AB55" s="29" t="n">
        <v>1.82033078237231</v>
      </c>
      <c r="AC55" s="29" t="n">
        <v>10.46617033971336</v>
      </c>
      <c r="AD55" s="29" t="n">
        <v>9.289063992992057</v>
      </c>
      <c r="AE55" s="29" t="n">
        <v>18.21644773456351</v>
      </c>
      <c r="AF55" s="29" t="n">
        <v>138.0518640012311</v>
      </c>
      <c r="AG55" s="29" t="n">
        <v>0.867353518752788</v>
      </c>
      <c r="AH55" s="29" t="n">
        <v>0.04077240320911651</v>
      </c>
      <c r="AI55" s="29" t="n">
        <v>0.1005211316654873</v>
      </c>
      <c r="AJ55" s="29" t="n">
        <v>2.120635682425408</v>
      </c>
      <c r="AK55" s="29" t="n">
        <v>143.7482488081732</v>
      </c>
      <c r="AL55" s="29" t="n">
        <v>39.50651480214049</v>
      </c>
      <c r="AM55" s="29" t="n">
        <v>608.6786599280018</v>
      </c>
      <c r="AN55" s="29" t="n">
        <v>165.9166340947103</v>
      </c>
      <c r="AO55" s="29" t="n">
        <v>1753.337653521041</v>
      </c>
      <c r="AP55" s="29" t="n">
        <v>334.0013849250875</v>
      </c>
      <c r="AQ55" s="29" t="n">
        <v>23.97843753125174</v>
      </c>
      <c r="AR55" s="29" t="n">
        <v>41.64923202930661</v>
      </c>
      <c r="AS55" s="29" t="n">
        <v>36.72970332215526</v>
      </c>
      <c r="AT55" s="29" t="n">
        <v>444.4097916505727</v>
      </c>
      <c r="AU55" s="29" t="n">
        <v>139.407431333734</v>
      </c>
      <c r="AV55" s="29" t="n">
        <v>197.1467903431347</v>
      </c>
      <c r="AW55" s="29" t="n">
        <v>8.15020454399639</v>
      </c>
      <c r="AX55" s="29" t="n">
        <v>0</v>
      </c>
      <c r="AY55" s="29" t="n">
        <v>12.60879447057374</v>
      </c>
      <c r="AZ55" s="29" t="n">
        <v>40.38031806495555</v>
      </c>
      <c r="BA55" s="29" t="n">
        <v>176.3350349246655</v>
      </c>
      <c r="BB55" s="29">
        <f>SUM(C55:BA55)</f>
        <v/>
      </c>
      <c r="BC55" s="29" t="n">
        <v>0</v>
      </c>
      <c r="BD55" s="29" t="n">
        <v>0</v>
      </c>
      <c r="BE55" s="29" t="n">
        <v>2699.957899556166</v>
      </c>
      <c r="BF55" s="29" t="n">
        <v>0</v>
      </c>
      <c r="BG55" s="29">
        <f>SUM(BC55:BF55)</f>
        <v/>
      </c>
      <c r="BH55" s="29">
        <f>BB55+BG55</f>
        <v/>
      </c>
    </row>
    <row r="56">
      <c r="A56" s="27" t="n">
        <v>43</v>
      </c>
      <c r="B56" s="28" t="inlineStr">
        <is>
          <t>Serviços de alojamento e alimentação</t>
        </is>
      </c>
      <c r="C56" s="27" t="n">
        <v>3.282108158777643</v>
      </c>
      <c r="D56" s="27" t="n">
        <v>0.6287912593975892</v>
      </c>
      <c r="E56" s="27" t="n">
        <v>67.86977829886514</v>
      </c>
      <c r="F56" s="27" t="n">
        <v>15.02104555205999</v>
      </c>
      <c r="G56" s="27" t="n">
        <v>9.312052747915173</v>
      </c>
      <c r="H56" s="27" t="n">
        <v>207.5313166740426</v>
      </c>
      <c r="I56" s="27" t="n">
        <v>12.44479760187678</v>
      </c>
      <c r="J56" s="27" t="n">
        <v>18.43629275953647</v>
      </c>
      <c r="K56" s="27" t="n">
        <v>12.16858677144599</v>
      </c>
      <c r="L56" s="27" t="n">
        <v>15.75370415681263</v>
      </c>
      <c r="M56" s="27" t="n">
        <v>3.79706967482011</v>
      </c>
      <c r="N56" s="27" t="n">
        <v>25.36496752282622</v>
      </c>
      <c r="O56" s="27" t="n">
        <v>7.504107872630738</v>
      </c>
      <c r="P56" s="27" t="n">
        <v>10.45027001376853</v>
      </c>
      <c r="Q56" s="27" t="n">
        <v>3.498545938546385</v>
      </c>
      <c r="R56" s="27" t="n">
        <v>51.61749780629837</v>
      </c>
      <c r="S56" s="27" t="n">
        <v>6.847309224879891</v>
      </c>
      <c r="T56" s="27" t="n">
        <v>88.48729320177263</v>
      </c>
      <c r="U56" s="27" t="n">
        <v>23.4192040121178</v>
      </c>
      <c r="V56" s="27" t="n">
        <v>10.77819362490392</v>
      </c>
      <c r="W56" s="27" t="n">
        <v>10.05114402932602</v>
      </c>
      <c r="X56" s="27" t="n">
        <v>30.44759260106791</v>
      </c>
      <c r="Y56" s="27" t="n">
        <v>36.6690739125401</v>
      </c>
      <c r="Z56" s="27" t="n">
        <v>26.54102120002579</v>
      </c>
      <c r="AA56" s="27" t="n">
        <v>76.32175907367535</v>
      </c>
      <c r="AB56" s="27" t="n">
        <v>21.9102514802903</v>
      </c>
      <c r="AC56" s="27" t="n">
        <v>49.84363181939553</v>
      </c>
      <c r="AD56" s="27" t="n">
        <v>116.7712226840613</v>
      </c>
      <c r="AE56" s="27" t="n">
        <v>39.80821567932527</v>
      </c>
      <c r="AF56" s="27" t="n">
        <v>60.4264219559835</v>
      </c>
      <c r="AG56" s="27" t="n">
        <v>88.4569772026496</v>
      </c>
      <c r="AH56" s="27" t="n">
        <v>28.17890793800302</v>
      </c>
      <c r="AI56" s="27" t="n">
        <v>10.04725287118236</v>
      </c>
      <c r="AJ56" s="27" t="n">
        <v>19.16517461472267</v>
      </c>
      <c r="AK56" s="27" t="n">
        <v>78.93923707782996</v>
      </c>
      <c r="AL56" s="27" t="n">
        <v>354.8027443971046</v>
      </c>
      <c r="AM56" s="27" t="n">
        <v>714.3986244746817</v>
      </c>
      <c r="AN56" s="27" t="n">
        <v>373.1799432545943</v>
      </c>
      <c r="AO56" s="27" t="n">
        <v>279.0478474741192</v>
      </c>
      <c r="AP56" s="27" t="n">
        <v>613.4307360008462</v>
      </c>
      <c r="AQ56" s="27" t="n">
        <v>24.5737506225899</v>
      </c>
      <c r="AR56" s="27" t="n">
        <v>19.36008351786716</v>
      </c>
      <c r="AS56" s="27" t="n">
        <v>46.67378353041408</v>
      </c>
      <c r="AT56" s="27" t="n">
        <v>500.2441428238442</v>
      </c>
      <c r="AU56" s="27" t="n">
        <v>123.6490824586031</v>
      </c>
      <c r="AV56" s="27" t="n">
        <v>635.2380996793378</v>
      </c>
      <c r="AW56" s="27" t="n">
        <v>5091.409104150789</v>
      </c>
      <c r="AX56" s="27" t="n">
        <v>0</v>
      </c>
      <c r="AY56" s="27" t="n">
        <v>251.2546370357024</v>
      </c>
      <c r="AZ56" s="27" t="n">
        <v>510.380000361475</v>
      </c>
      <c r="BA56" s="27" t="n">
        <v>2240.223401505425</v>
      </c>
      <c r="BB56" s="27">
        <f>SUM(C56:BA56)</f>
        <v/>
      </c>
      <c r="BC56" s="27" t="n">
        <v>0</v>
      </c>
      <c r="BD56" s="27" t="n">
        <v>0</v>
      </c>
      <c r="BE56" s="27" t="n">
        <v>34532.28097859881</v>
      </c>
      <c r="BF56" s="27" t="n">
        <v>0</v>
      </c>
      <c r="BG56" s="27">
        <f>SUM(BC56:BF56)</f>
        <v/>
      </c>
      <c r="BH56" s="27">
        <f>BB56+BG56</f>
        <v/>
      </c>
    </row>
    <row r="57">
      <c r="A57" s="29" t="n">
        <v>44</v>
      </c>
      <c r="B57" s="30" t="inlineStr">
        <is>
          <t>Serviços prestados às empresas</t>
        </is>
      </c>
      <c r="C57" s="29" t="n">
        <v>212.0050550655338</v>
      </c>
      <c r="D57" s="29" t="n">
        <v>122.528058174814</v>
      </c>
      <c r="E57" s="29" t="n">
        <v>3153.359950749614</v>
      </c>
      <c r="F57" s="29" t="n">
        <v>453.3594040709618</v>
      </c>
      <c r="G57" s="29" t="n">
        <v>460.7948731900626</v>
      </c>
      <c r="H57" s="29" t="n">
        <v>6279.753158894757</v>
      </c>
      <c r="I57" s="29" t="n">
        <v>414.034737842645</v>
      </c>
      <c r="J57" s="29" t="n">
        <v>270.8617064599</v>
      </c>
      <c r="K57" s="29" t="n">
        <v>270.5893561158562</v>
      </c>
      <c r="L57" s="29" t="n">
        <v>454.0828207830826</v>
      </c>
      <c r="M57" s="29" t="n">
        <v>129.1324938057758</v>
      </c>
      <c r="N57" s="29" t="n">
        <v>728.3122445426883</v>
      </c>
      <c r="O57" s="29" t="n">
        <v>117.5849233257806</v>
      </c>
      <c r="P57" s="29" t="n">
        <v>1081.637828095726</v>
      </c>
      <c r="Q57" s="29" t="n">
        <v>132.9520639322459</v>
      </c>
      <c r="R57" s="29" t="n">
        <v>1021.514158279976</v>
      </c>
      <c r="S57" s="29" t="n">
        <v>239.6391771039195</v>
      </c>
      <c r="T57" s="29" t="n">
        <v>1468.585349437651</v>
      </c>
      <c r="U57" s="29" t="n">
        <v>482.8605822843322</v>
      </c>
      <c r="V57" s="29" t="n">
        <v>664.4223244391083</v>
      </c>
      <c r="W57" s="29" t="n">
        <v>346.6682030637897</v>
      </c>
      <c r="X57" s="29" t="n">
        <v>327.0536712380344</v>
      </c>
      <c r="Y57" s="29" t="n">
        <v>826.3343170591959</v>
      </c>
      <c r="Z57" s="29" t="n">
        <v>851.7290757451564</v>
      </c>
      <c r="AA57" s="29" t="n">
        <v>782.1858788916314</v>
      </c>
      <c r="AB57" s="29" t="n">
        <v>356.7340592652102</v>
      </c>
      <c r="AC57" s="29" t="n">
        <v>646.4179831884057</v>
      </c>
      <c r="AD57" s="29" t="n">
        <v>1293.446344106661</v>
      </c>
      <c r="AE57" s="29" t="n">
        <v>1034.960247398783</v>
      </c>
      <c r="AF57" s="29" t="n">
        <v>1603.769005793705</v>
      </c>
      <c r="AG57" s="29" t="n">
        <v>1938.073749185323</v>
      </c>
      <c r="AH57" s="29" t="n">
        <v>633.6197922096724</v>
      </c>
      <c r="AI57" s="29" t="n">
        <v>205.7097593606565</v>
      </c>
      <c r="AJ57" s="29" t="n">
        <v>288.6231223133479</v>
      </c>
      <c r="AK57" s="29" t="n">
        <v>2275.536470710842</v>
      </c>
      <c r="AL57" s="29" t="n">
        <v>3914.264080721767</v>
      </c>
      <c r="AM57" s="29" t="n">
        <v>11661.00850613451</v>
      </c>
      <c r="AN57" s="29" t="n">
        <v>5358.782828051307</v>
      </c>
      <c r="AO57" s="29" t="n">
        <v>7896.590954351731</v>
      </c>
      <c r="AP57" s="29" t="n">
        <v>7180.515234501692</v>
      </c>
      <c r="AQ57" s="29" t="n">
        <v>580.6826842904122</v>
      </c>
      <c r="AR57" s="29" t="n">
        <v>53.4006574484561</v>
      </c>
      <c r="AS57" s="29" t="n">
        <v>746.7103138542271</v>
      </c>
      <c r="AT57" s="29" t="n">
        <v>7962.871059506529</v>
      </c>
      <c r="AU57" s="29" t="n">
        <v>1708.478231322741</v>
      </c>
      <c r="AV57" s="29" t="n">
        <v>622.6529943185712</v>
      </c>
      <c r="AW57" s="29" t="n">
        <v>3077.711347205463</v>
      </c>
      <c r="AX57" s="29" t="n">
        <v>0</v>
      </c>
      <c r="AY57" s="29" t="n">
        <v>1321.04676061829</v>
      </c>
      <c r="AZ57" s="29" t="n">
        <v>1526.124697337466</v>
      </c>
      <c r="BA57" s="29" t="n">
        <v>6362.256516025991</v>
      </c>
      <c r="BB57" s="29">
        <f>SUM(C57:BA57)</f>
        <v/>
      </c>
      <c r="BC57" s="29" t="n">
        <v>0</v>
      </c>
      <c r="BD57" s="29" t="n">
        <v>0</v>
      </c>
      <c r="BE57" s="29" t="n">
        <v>16144.85385491468</v>
      </c>
      <c r="BF57" s="29" t="n">
        <v>0</v>
      </c>
      <c r="BG57" s="29">
        <f>SUM(BC57:BF57)</f>
        <v/>
      </c>
      <c r="BH57" s="29">
        <f>BB57+BG57</f>
        <v/>
      </c>
    </row>
    <row r="58">
      <c r="A58" s="27" t="n">
        <v>45</v>
      </c>
      <c r="B58" s="28" t="inlineStr">
        <is>
          <t>Educação mercantil</t>
        </is>
      </c>
      <c r="C58" s="27" t="n">
        <v>1.31816749934391</v>
      </c>
      <c r="D58" s="27" t="n">
        <v>0.7751489549092542</v>
      </c>
      <c r="E58" s="27" t="n">
        <v>15.71236570897378</v>
      </c>
      <c r="F58" s="27" t="n">
        <v>23.8387491553759</v>
      </c>
      <c r="G58" s="27" t="n">
        <v>7.189421194272223</v>
      </c>
      <c r="H58" s="27" t="n">
        <v>23.92341762501225</v>
      </c>
      <c r="I58" s="27" t="n">
        <v>1.177098916323005</v>
      </c>
      <c r="J58" s="27" t="n">
        <v>1.275903275624194</v>
      </c>
      <c r="K58" s="27" t="n">
        <v>0.7809032991724808</v>
      </c>
      <c r="L58" s="27" t="n">
        <v>1.290997279154488</v>
      </c>
      <c r="M58" s="27" t="n">
        <v>0.3627679901722569</v>
      </c>
      <c r="N58" s="27" t="n">
        <v>11.36102328286424</v>
      </c>
      <c r="O58" s="27" t="n">
        <v>0.3270619705014509</v>
      </c>
      <c r="P58" s="27" t="n">
        <v>4.844349656638335</v>
      </c>
      <c r="Q58" s="27" t="n">
        <v>0.3786126939501847</v>
      </c>
      <c r="R58" s="27" t="n">
        <v>5.822415694623015</v>
      </c>
      <c r="S58" s="27" t="n">
        <v>0.6788251738364989</v>
      </c>
      <c r="T58" s="27" t="n">
        <v>4.174541278461123</v>
      </c>
      <c r="U58" s="27" t="n">
        <v>6.334588289259613</v>
      </c>
      <c r="V58" s="27" t="n">
        <v>1.891715923880888</v>
      </c>
      <c r="W58" s="27" t="n">
        <v>2.012273961087457</v>
      </c>
      <c r="X58" s="27" t="n">
        <v>0.9271180278337026</v>
      </c>
      <c r="Y58" s="27" t="n">
        <v>3.234255706111051</v>
      </c>
      <c r="Z58" s="27" t="n">
        <v>2.408876933597389</v>
      </c>
      <c r="AA58" s="27" t="n">
        <v>68.63478271821283</v>
      </c>
      <c r="AB58" s="27" t="n">
        <v>18.49480944598491</v>
      </c>
      <c r="AC58" s="27" t="n">
        <v>17.58037223775539</v>
      </c>
      <c r="AD58" s="27" t="n">
        <v>11.37208386597213</v>
      </c>
      <c r="AE58" s="27" t="n">
        <v>2.934813672773888</v>
      </c>
      <c r="AF58" s="27" t="n">
        <v>5.075898502059657</v>
      </c>
      <c r="AG58" s="27" t="n">
        <v>25.49362265600946</v>
      </c>
      <c r="AH58" s="27" t="n">
        <v>2.891379233308514</v>
      </c>
      <c r="AI58" s="27" t="n">
        <v>0.581224502970926</v>
      </c>
      <c r="AJ58" s="27" t="n">
        <v>0.823063594580859</v>
      </c>
      <c r="AK58" s="27" t="n">
        <v>26.30552436786883</v>
      </c>
      <c r="AL58" s="27" t="n">
        <v>11.90469646100142</v>
      </c>
      <c r="AM58" s="27" t="n">
        <v>161.5700385476932</v>
      </c>
      <c r="AN58" s="27" t="n">
        <v>310.042336178243</v>
      </c>
      <c r="AO58" s="27" t="n">
        <v>37.70727834549843</v>
      </c>
      <c r="AP58" s="27" t="n">
        <v>342.3686715734734</v>
      </c>
      <c r="AQ58" s="27" t="n">
        <v>1.705963709587166</v>
      </c>
      <c r="AR58" s="27" t="n">
        <v>101.0157128345484</v>
      </c>
      <c r="AS58" s="27" t="n">
        <v>2.62541844346903</v>
      </c>
      <c r="AT58" s="27" t="n">
        <v>977.2530208801866</v>
      </c>
      <c r="AU58" s="27" t="n">
        <v>4.974817327564903</v>
      </c>
      <c r="AV58" s="27" t="n">
        <v>1.817756518797426</v>
      </c>
      <c r="AW58" s="27" t="n">
        <v>47.64032367521458</v>
      </c>
      <c r="AX58" s="27" t="n">
        <v>0</v>
      </c>
      <c r="AY58" s="27" t="n">
        <v>230.919314463702</v>
      </c>
      <c r="AZ58" s="27" t="n">
        <v>86.14596285084961</v>
      </c>
      <c r="BA58" s="27" t="n">
        <v>146.4303136688847</v>
      </c>
      <c r="BB58" s="27">
        <f>SUM(C58:BA58)</f>
        <v/>
      </c>
      <c r="BC58" s="27" t="n">
        <v>0</v>
      </c>
      <c r="BD58" s="27" t="n">
        <v>0</v>
      </c>
      <c r="BE58" s="27" t="n">
        <v>22425.05104033151</v>
      </c>
      <c r="BF58" s="27" t="n">
        <v>0</v>
      </c>
      <c r="BG58" s="27">
        <f>SUM(BC58:BF58)</f>
        <v/>
      </c>
      <c r="BH58" s="27">
        <f>BB58+BG58</f>
        <v/>
      </c>
    </row>
    <row r="59">
      <c r="A59" s="29" t="n">
        <v>46</v>
      </c>
      <c r="B59" s="30" t="inlineStr">
        <is>
          <t>Saúde mercantil</t>
        </is>
      </c>
      <c r="C59" s="29" t="n">
        <v>0.900010460296247</v>
      </c>
      <c r="D59" s="29" t="n">
        <v>0.2675607387157056</v>
      </c>
      <c r="E59" s="29" t="n">
        <v>1.337598198138004</v>
      </c>
      <c r="F59" s="29" t="n">
        <v>3.08021409911357</v>
      </c>
      <c r="G59" s="29" t="n">
        <v>1.280645705737973</v>
      </c>
      <c r="H59" s="29" t="n">
        <v>49.46066465588289</v>
      </c>
      <c r="I59" s="29" t="n">
        <v>1.565394036276912</v>
      </c>
      <c r="J59" s="29" t="n">
        <v>6.036512352997529</v>
      </c>
      <c r="K59" s="29" t="n">
        <v>6.236919337267456</v>
      </c>
      <c r="L59" s="29" t="n">
        <v>7.08144866246877</v>
      </c>
      <c r="M59" s="29" t="n">
        <v>1.716181005956923</v>
      </c>
      <c r="N59" s="29" t="n">
        <v>8.210869641676352</v>
      </c>
      <c r="O59" s="29" t="n">
        <v>0.6754196057192322</v>
      </c>
      <c r="P59" s="29" t="n">
        <v>2.673119601852636</v>
      </c>
      <c r="Q59" s="29" t="n">
        <v>1.55143924855252</v>
      </c>
      <c r="R59" s="29" t="n">
        <v>2.696468303256439</v>
      </c>
      <c r="S59" s="29" t="n">
        <v>2.842602819347766</v>
      </c>
      <c r="T59" s="29" t="n">
        <v>6.064983216307994</v>
      </c>
      <c r="U59" s="29" t="n">
        <v>1.7353763086224</v>
      </c>
      <c r="V59" s="29" t="n">
        <v>0.8695412936231807</v>
      </c>
      <c r="W59" s="29" t="n">
        <v>1.075586856585117</v>
      </c>
      <c r="X59" s="29" t="n">
        <v>3.543857505151496</v>
      </c>
      <c r="Y59" s="29" t="n">
        <v>10.03142830889052</v>
      </c>
      <c r="Z59" s="29" t="n">
        <v>7.592157908290686</v>
      </c>
      <c r="AA59" s="29" t="n">
        <v>10.71063164323582</v>
      </c>
      <c r="AB59" s="29" t="n">
        <v>2.948568347063087</v>
      </c>
      <c r="AC59" s="29" t="n">
        <v>6.943414643044456</v>
      </c>
      <c r="AD59" s="29" t="n">
        <v>20.41638420279148</v>
      </c>
      <c r="AE59" s="29" t="n">
        <v>6.048243281970892</v>
      </c>
      <c r="AF59" s="29" t="n">
        <v>8.624142349733701</v>
      </c>
      <c r="AG59" s="29" t="n">
        <v>2.264070471239076</v>
      </c>
      <c r="AH59" s="29" t="n">
        <v>0.9116752021775841</v>
      </c>
      <c r="AI59" s="29" t="n">
        <v>0.6743684451768559</v>
      </c>
      <c r="AJ59" s="29" t="n">
        <v>2.740148294773475</v>
      </c>
      <c r="AK59" s="29" t="n">
        <v>7.053876244440757</v>
      </c>
      <c r="AL59" s="29" t="n">
        <v>7.482998400446427</v>
      </c>
      <c r="AM59" s="29" t="n">
        <v>118.2343998515115</v>
      </c>
      <c r="AN59" s="29" t="n">
        <v>40.52001681892707</v>
      </c>
      <c r="AO59" s="29" t="n">
        <v>41.52633278920924</v>
      </c>
      <c r="AP59" s="29" t="n">
        <v>14.55988197274543</v>
      </c>
      <c r="AQ59" s="29" t="n">
        <v>5.248573750690437</v>
      </c>
      <c r="AR59" s="29" t="n">
        <v>1.135260050809016</v>
      </c>
      <c r="AS59" s="29" t="n">
        <v>13.19194668089447</v>
      </c>
      <c r="AT59" s="29" t="n">
        <v>30.73517265001655</v>
      </c>
      <c r="AU59" s="29" t="n">
        <v>11.12425682488087</v>
      </c>
      <c r="AV59" s="29" t="n">
        <v>5049.817778028026</v>
      </c>
      <c r="AW59" s="29" t="n">
        <v>21.18783437055119</v>
      </c>
      <c r="AX59" s="29" t="n">
        <v>0</v>
      </c>
      <c r="AY59" s="29" t="n">
        <v>4.676424841088842</v>
      </c>
      <c r="AZ59" s="29" t="n">
        <v>7.665094917162349</v>
      </c>
      <c r="BA59" s="29" t="n">
        <v>28.37013469828379</v>
      </c>
      <c r="BB59" s="29">
        <f>SUM(C59:BA59)</f>
        <v/>
      </c>
      <c r="BC59" s="29" t="n">
        <v>0</v>
      </c>
      <c r="BD59" s="29" t="n">
        <v>0</v>
      </c>
      <c r="BE59" s="29" t="n">
        <v>42821.22567824454</v>
      </c>
      <c r="BF59" s="29" t="n">
        <v>0</v>
      </c>
      <c r="BG59" s="29">
        <f>SUM(BC59:BF59)</f>
        <v/>
      </c>
      <c r="BH59" s="29">
        <f>BB59+BG59</f>
        <v/>
      </c>
    </row>
    <row r="60">
      <c r="A60" s="27" t="n">
        <v>47</v>
      </c>
      <c r="B60" s="28" t="inlineStr">
        <is>
          <t>Serviços prestados às famílias e associativas</t>
        </is>
      </c>
      <c r="C60" s="27" t="n">
        <v>47.92053414296353</v>
      </c>
      <c r="D60" s="27" t="n">
        <v>19.69557423072968</v>
      </c>
      <c r="E60" s="27" t="n">
        <v>242.134416113758</v>
      </c>
      <c r="F60" s="27" t="n">
        <v>102.2168137465742</v>
      </c>
      <c r="G60" s="27" t="n">
        <v>51.71325581823697</v>
      </c>
      <c r="H60" s="27" t="n">
        <v>712.9726692073808</v>
      </c>
      <c r="I60" s="27" t="n">
        <v>35.48481689289263</v>
      </c>
      <c r="J60" s="27" t="n">
        <v>72.0466885053368</v>
      </c>
      <c r="K60" s="27" t="n">
        <v>69.51438236505929</v>
      </c>
      <c r="L60" s="27" t="n">
        <v>66.7518599734029</v>
      </c>
      <c r="M60" s="27" t="n">
        <v>39.75416687262952</v>
      </c>
      <c r="N60" s="27" t="n">
        <v>212.8424860174658</v>
      </c>
      <c r="O60" s="27" t="n">
        <v>32.64440908871497</v>
      </c>
      <c r="P60" s="27" t="n">
        <v>113.8364124153384</v>
      </c>
      <c r="Q60" s="27" t="n">
        <v>84.84216092545357</v>
      </c>
      <c r="R60" s="27" t="n">
        <v>126.8946573072654</v>
      </c>
      <c r="S60" s="27" t="n">
        <v>20.8319695416874</v>
      </c>
      <c r="T60" s="27" t="n">
        <v>169.4410211108547</v>
      </c>
      <c r="U60" s="27" t="n">
        <v>73.70355562430568</v>
      </c>
      <c r="V60" s="27" t="n">
        <v>67.81557190481733</v>
      </c>
      <c r="W60" s="27" t="n">
        <v>27.59212256866687</v>
      </c>
      <c r="X60" s="27" t="n">
        <v>137.6149598722704</v>
      </c>
      <c r="Y60" s="27" t="n">
        <v>267.6095076875495</v>
      </c>
      <c r="Z60" s="27" t="n">
        <v>133.1390614402617</v>
      </c>
      <c r="AA60" s="27" t="n">
        <v>162.7556194784626</v>
      </c>
      <c r="AB60" s="27" t="n">
        <v>53.78170282193018</v>
      </c>
      <c r="AC60" s="27" t="n">
        <v>139.8238307930776</v>
      </c>
      <c r="AD60" s="27" t="n">
        <v>224.0932731188517</v>
      </c>
      <c r="AE60" s="27" t="n">
        <v>137.7555124358052</v>
      </c>
      <c r="AF60" s="27" t="n">
        <v>180.7075089313719</v>
      </c>
      <c r="AG60" s="27" t="n">
        <v>338.0919414597328</v>
      </c>
      <c r="AH60" s="27" t="n">
        <v>129.3016037099814</v>
      </c>
      <c r="AI60" s="27" t="n">
        <v>44.4367722760696</v>
      </c>
      <c r="AJ60" s="27" t="n">
        <v>82.49225312078697</v>
      </c>
      <c r="AK60" s="27" t="n">
        <v>326.0002067224088</v>
      </c>
      <c r="AL60" s="27" t="n">
        <v>499.1615988743993</v>
      </c>
      <c r="AM60" s="27" t="n">
        <v>2121.904850758631</v>
      </c>
      <c r="AN60" s="27" t="n">
        <v>1249.114022471822</v>
      </c>
      <c r="AO60" s="27" t="n">
        <v>2058.105223386072</v>
      </c>
      <c r="AP60" s="27" t="n">
        <v>1030.223793040745</v>
      </c>
      <c r="AQ60" s="27" t="n">
        <v>231.4151811768688</v>
      </c>
      <c r="AR60" s="27" t="n">
        <v>24.29421943300017</v>
      </c>
      <c r="AS60" s="27" t="n">
        <v>357.1080783414458</v>
      </c>
      <c r="AT60" s="27" t="n">
        <v>1063.00076470779</v>
      </c>
      <c r="AU60" s="27" t="n">
        <v>471.6424119027525</v>
      </c>
      <c r="AV60" s="27" t="n">
        <v>1011.898070310288</v>
      </c>
      <c r="AW60" s="27" t="n">
        <v>2045.686300842176</v>
      </c>
      <c r="AX60" s="27" t="n">
        <v>0</v>
      </c>
      <c r="AY60" s="27" t="n">
        <v>402.5121657616463</v>
      </c>
      <c r="AZ60" s="27" t="n">
        <v>419.4426324261269</v>
      </c>
      <c r="BA60" s="27" t="n">
        <v>1060.280974250007</v>
      </c>
      <c r="BB60" s="27">
        <f>SUM(C60:BA60)</f>
        <v/>
      </c>
      <c r="BC60" s="27" t="n">
        <v>0</v>
      </c>
      <c r="BD60" s="27" t="n">
        <v>0</v>
      </c>
      <c r="BE60" s="27" t="n">
        <v>51764.26018837878</v>
      </c>
      <c r="BF60" s="27" t="n">
        <v>0</v>
      </c>
      <c r="BG60" s="27">
        <f>SUM(BC60:BF60)</f>
        <v/>
      </c>
      <c r="BH60" s="27">
        <f>BB60+BG60</f>
        <v/>
      </c>
    </row>
    <row r="61">
      <c r="A61" s="29" t="n">
        <v>48</v>
      </c>
      <c r="B61" s="30" t="inlineStr">
        <is>
          <t>Serviços domésticos</t>
        </is>
      </c>
      <c r="C61" s="29" t="n">
        <v>0</v>
      </c>
      <c r="D61" s="29" t="n">
        <v>0</v>
      </c>
      <c r="E61" s="29" t="n">
        <v>0</v>
      </c>
      <c r="F61" s="29" t="n">
        <v>0</v>
      </c>
      <c r="G61" s="29" t="n">
        <v>0</v>
      </c>
      <c r="H61" s="29" t="n">
        <v>0</v>
      </c>
      <c r="I61" s="29" t="n">
        <v>0</v>
      </c>
      <c r="J61" s="29" t="n">
        <v>0</v>
      </c>
      <c r="K61" s="29" t="n">
        <v>0</v>
      </c>
      <c r="L61" s="29" t="n">
        <v>0</v>
      </c>
      <c r="M61" s="29" t="n">
        <v>0</v>
      </c>
      <c r="N61" s="29" t="n">
        <v>0</v>
      </c>
      <c r="O61" s="29" t="n">
        <v>0</v>
      </c>
      <c r="P61" s="29" t="n">
        <v>0</v>
      </c>
      <c r="Q61" s="29" t="n">
        <v>0</v>
      </c>
      <c r="R61" s="29" t="n">
        <v>0</v>
      </c>
      <c r="S61" s="29" t="n">
        <v>0</v>
      </c>
      <c r="T61" s="29" t="n">
        <v>0</v>
      </c>
      <c r="U61" s="29" t="n">
        <v>0</v>
      </c>
      <c r="V61" s="29" t="n">
        <v>0</v>
      </c>
      <c r="W61" s="29" t="n">
        <v>0</v>
      </c>
      <c r="X61" s="29" t="n">
        <v>0</v>
      </c>
      <c r="Y61" s="29" t="n">
        <v>0</v>
      </c>
      <c r="Z61" s="29" t="n">
        <v>0</v>
      </c>
      <c r="AA61" s="29" t="n">
        <v>0</v>
      </c>
      <c r="AB61" s="29" t="n">
        <v>0</v>
      </c>
      <c r="AC61" s="29" t="n">
        <v>0</v>
      </c>
      <c r="AD61" s="29" t="n">
        <v>0</v>
      </c>
      <c r="AE61" s="29" t="n">
        <v>0</v>
      </c>
      <c r="AF61" s="29" t="n">
        <v>0</v>
      </c>
      <c r="AG61" s="29" t="n">
        <v>0</v>
      </c>
      <c r="AH61" s="29" t="n">
        <v>0</v>
      </c>
      <c r="AI61" s="29" t="n">
        <v>0</v>
      </c>
      <c r="AJ61" s="29" t="n">
        <v>0</v>
      </c>
      <c r="AK61" s="29" t="n">
        <v>0</v>
      </c>
      <c r="AL61" s="29" t="n">
        <v>0</v>
      </c>
      <c r="AM61" s="29" t="n">
        <v>0</v>
      </c>
      <c r="AN61" s="29" t="n">
        <v>0</v>
      </c>
      <c r="AO61" s="29" t="n">
        <v>0</v>
      </c>
      <c r="AP61" s="29" t="n">
        <v>0</v>
      </c>
      <c r="AQ61" s="29" t="n">
        <v>0</v>
      </c>
      <c r="AR61" s="29" t="n">
        <v>0</v>
      </c>
      <c r="AS61" s="29" t="n">
        <v>0</v>
      </c>
      <c r="AT61" s="29" t="n">
        <v>0</v>
      </c>
      <c r="AU61" s="29" t="n">
        <v>0</v>
      </c>
      <c r="AV61" s="29" t="n">
        <v>0</v>
      </c>
      <c r="AW61" s="29" t="n">
        <v>0</v>
      </c>
      <c r="AX61" s="29" t="n">
        <v>0</v>
      </c>
      <c r="AY61" s="29" t="n">
        <v>0</v>
      </c>
      <c r="AZ61" s="29" t="n">
        <v>0</v>
      </c>
      <c r="BA61" s="29" t="n">
        <v>0</v>
      </c>
      <c r="BB61" s="29">
        <f>SUM(C61:BA61)</f>
        <v/>
      </c>
      <c r="BC61" s="29" t="n">
        <v>0</v>
      </c>
      <c r="BD61" s="29" t="n">
        <v>0</v>
      </c>
      <c r="BE61" s="29" t="n">
        <v>13220.6650799048</v>
      </c>
      <c r="BF61" s="29" t="n">
        <v>0</v>
      </c>
      <c r="BG61" s="29">
        <f>SUM(BC61:BF61)</f>
        <v/>
      </c>
      <c r="BH61" s="29">
        <f>BB61+BG61</f>
        <v/>
      </c>
    </row>
    <row r="62">
      <c r="A62" s="27" t="n">
        <v>49</v>
      </c>
      <c r="B62" s="28" t="inlineStr">
        <is>
          <t>Educação pública</t>
        </is>
      </c>
      <c r="C62" s="27" t="n">
        <v>11.06282608449795</v>
      </c>
      <c r="D62" s="27" t="n">
        <v>7.114290420033395</v>
      </c>
      <c r="E62" s="27" t="n">
        <v>162.4433168338727</v>
      </c>
      <c r="F62" s="27" t="n">
        <v>23.19479495188202</v>
      </c>
      <c r="G62" s="27" t="n">
        <v>23.63352606558893</v>
      </c>
      <c r="H62" s="27" t="n">
        <v>326.8064582949738</v>
      </c>
      <c r="I62" s="27" t="n">
        <v>21.44166622491717</v>
      </c>
      <c r="J62" s="27" t="n">
        <v>13.90396725938046</v>
      </c>
      <c r="K62" s="27" t="n">
        <v>13.83307733711791</v>
      </c>
      <c r="L62" s="27" t="n">
        <v>23.43464289352441</v>
      </c>
      <c r="M62" s="27" t="n">
        <v>6.587947977840246</v>
      </c>
      <c r="N62" s="27" t="n">
        <v>37.56789453339621</v>
      </c>
      <c r="O62" s="27" t="n">
        <v>6.309247547815859</v>
      </c>
      <c r="P62" s="27" t="n">
        <v>55.96954498887609</v>
      </c>
      <c r="Q62" s="27" t="n">
        <v>6.836629759083115</v>
      </c>
      <c r="R62" s="27" t="n">
        <v>52.84154906248946</v>
      </c>
      <c r="S62" s="27" t="n">
        <v>12.35032590488696</v>
      </c>
      <c r="T62" s="27" t="n">
        <v>76.47050775265551</v>
      </c>
      <c r="U62" s="27" t="n">
        <v>25.07006897874343</v>
      </c>
      <c r="V62" s="27" t="n">
        <v>34.39504715143489</v>
      </c>
      <c r="W62" s="27" t="n">
        <v>17.94085253928272</v>
      </c>
      <c r="X62" s="27" t="n">
        <v>16.89490639052229</v>
      </c>
      <c r="Y62" s="27" t="n">
        <v>42.63900461388267</v>
      </c>
      <c r="Z62" s="27" t="n">
        <v>43.79988751468374</v>
      </c>
      <c r="AA62" s="27" t="n">
        <v>39.99485545098242</v>
      </c>
      <c r="AB62" s="27" t="n">
        <v>18.39687294628637</v>
      </c>
      <c r="AC62" s="27" t="n">
        <v>33.47771514089295</v>
      </c>
      <c r="AD62" s="27" t="n">
        <v>62.78466822096833</v>
      </c>
      <c r="AE62" s="27" t="n">
        <v>53.4427505701984</v>
      </c>
      <c r="AF62" s="27" t="n">
        <v>83.05631105144394</v>
      </c>
      <c r="AG62" s="27" t="n">
        <v>100.3740250258888</v>
      </c>
      <c r="AH62" s="27" t="n">
        <v>32.72887182932362</v>
      </c>
      <c r="AI62" s="27" t="n">
        <v>10.57234892650518</v>
      </c>
      <c r="AJ62" s="27" t="n">
        <v>14.85974425637838</v>
      </c>
      <c r="AK62" s="27" t="n">
        <v>117.743639035836</v>
      </c>
      <c r="AL62" s="27" t="n">
        <v>201.8226848053878</v>
      </c>
      <c r="AM62" s="27" t="n">
        <v>601.8250399138204</v>
      </c>
      <c r="AN62" s="27" t="n">
        <v>279.0670728158374</v>
      </c>
      <c r="AO62" s="27" t="n">
        <v>409.6090540314943</v>
      </c>
      <c r="AP62" s="27" t="n">
        <v>374.6398469827351</v>
      </c>
      <c r="AQ62" s="27" t="n">
        <v>29.89195178800371</v>
      </c>
      <c r="AR62" s="27" t="n">
        <v>3.575853449430525</v>
      </c>
      <c r="AS62" s="27" t="n">
        <v>38.07267229022472</v>
      </c>
      <c r="AT62" s="27" t="n">
        <v>420.5368484139786</v>
      </c>
      <c r="AU62" s="27" t="n">
        <v>88.06645270525867</v>
      </c>
      <c r="AV62" s="27" t="n">
        <v>36.58968696169288</v>
      </c>
      <c r="AW62" s="27" t="n">
        <v>159.4350804793997</v>
      </c>
      <c r="AX62" s="27" t="n">
        <v>0</v>
      </c>
      <c r="AY62" s="27" t="n">
        <v>70.40905819271865</v>
      </c>
      <c r="AZ62" s="27" t="n">
        <v>79.94340616420637</v>
      </c>
      <c r="BA62" s="27" t="n">
        <v>330.855672686629</v>
      </c>
      <c r="BB62" s="27">
        <f>SUM(C62:BA62)</f>
        <v/>
      </c>
      <c r="BC62" s="27" t="n">
        <v>0</v>
      </c>
      <c r="BD62" s="27" t="n">
        <v>0</v>
      </c>
      <c r="BE62" s="27" t="n">
        <v>47125.18738948047</v>
      </c>
      <c r="BF62" s="27" t="n">
        <v>0</v>
      </c>
      <c r="BG62" s="27">
        <f>SUM(BC62:BF62)</f>
        <v/>
      </c>
      <c r="BH62" s="27">
        <f>BB62+BG62</f>
        <v/>
      </c>
    </row>
    <row r="63">
      <c r="A63" s="29" t="n">
        <v>50</v>
      </c>
      <c r="B63" s="30" t="inlineStr">
        <is>
          <t>Saúde pública</t>
        </is>
      </c>
      <c r="C63" s="29" t="n">
        <v>0.7556797787501729</v>
      </c>
      <c r="D63" s="29" t="n">
        <v>0.5598471087081611</v>
      </c>
      <c r="E63" s="29" t="n">
        <v>10.97139279518876</v>
      </c>
      <c r="F63" s="29" t="n">
        <v>1.553683658683112</v>
      </c>
      <c r="G63" s="29" t="n">
        <v>1.592317803434837</v>
      </c>
      <c r="H63" s="29" t="n">
        <v>21.92520016939658</v>
      </c>
      <c r="I63" s="29" t="n">
        <v>1.447631851217689</v>
      </c>
      <c r="J63" s="29" t="n">
        <v>0.9355353757857031</v>
      </c>
      <c r="K63" s="29" t="n">
        <v>0.9298117827880199</v>
      </c>
      <c r="L63" s="29" t="n">
        <v>1.58100237315546</v>
      </c>
      <c r="M63" s="29" t="n">
        <v>0.4447847871640855</v>
      </c>
      <c r="N63" s="29" t="n">
        <v>2.527716409527749</v>
      </c>
      <c r="O63" s="29" t="n">
        <v>0.3987354441545962</v>
      </c>
      <c r="P63" s="29" t="n">
        <v>3.778103793988289</v>
      </c>
      <c r="Q63" s="29" t="n">
        <v>0.4601060399761708</v>
      </c>
      <c r="R63" s="29" t="n">
        <v>3.566612701513577</v>
      </c>
      <c r="S63" s="29" t="n">
        <v>0.8336496662291041</v>
      </c>
      <c r="T63" s="29" t="n">
        <v>5.275598761379499</v>
      </c>
      <c r="U63" s="29" t="n">
        <v>1.697464081508313</v>
      </c>
      <c r="V63" s="29" t="n">
        <v>2.35032764094615</v>
      </c>
      <c r="W63" s="29" t="n">
        <v>1.211190862957413</v>
      </c>
      <c r="X63" s="29" t="n">
        <v>1.140499297469662</v>
      </c>
      <c r="Y63" s="29" t="n">
        <v>2.875266640068061</v>
      </c>
      <c r="Z63" s="29" t="n">
        <v>2.957252605129151</v>
      </c>
      <c r="AA63" s="29" t="n">
        <v>2.65788464833118</v>
      </c>
      <c r="AB63" s="29" t="n">
        <v>1.232920548239383</v>
      </c>
      <c r="AC63" s="29" t="n">
        <v>2.258797741395667</v>
      </c>
      <c r="AD63" s="29" t="n">
        <v>4.232724171078914</v>
      </c>
      <c r="AE63" s="29" t="n">
        <v>3.607618294821231</v>
      </c>
      <c r="AF63" s="29" t="n">
        <v>5.604594621236739</v>
      </c>
      <c r="AG63" s="29" t="n">
        <v>6.765264191009483</v>
      </c>
      <c r="AH63" s="29" t="n">
        <v>2.207682794914815</v>
      </c>
      <c r="AI63" s="29" t="n">
        <v>0.7135011296179226</v>
      </c>
      <c r="AJ63" s="29" t="n">
        <v>1.001055836881517</v>
      </c>
      <c r="AK63" s="29" t="n">
        <v>7.929496450211843</v>
      </c>
      <c r="AL63" s="29" t="n">
        <v>13.61490693999355</v>
      </c>
      <c r="AM63" s="29" t="n">
        <v>40.26840364925509</v>
      </c>
      <c r="AN63" s="29" t="n">
        <v>18.64391251979606</v>
      </c>
      <c r="AO63" s="29" t="n">
        <v>27.51790291822045</v>
      </c>
      <c r="AP63" s="29" t="n">
        <v>25.03977967495711</v>
      </c>
      <c r="AQ63" s="29" t="n">
        <v>1.998311020038334</v>
      </c>
      <c r="AR63" s="29" t="n">
        <v>0.178017796033254</v>
      </c>
      <c r="AS63" s="29" t="n">
        <v>2.531174332050091</v>
      </c>
      <c r="AT63" s="29" t="n">
        <v>27.70676346626303</v>
      </c>
      <c r="AU63" s="29" t="n">
        <v>5.917337113228506</v>
      </c>
      <c r="AV63" s="29" t="n">
        <v>147.5840479380315</v>
      </c>
      <c r="AW63" s="29" t="n">
        <v>10.70491032662233</v>
      </c>
      <c r="AX63" s="29" t="n">
        <v>0</v>
      </c>
      <c r="AY63" s="29" t="n">
        <v>4.651582764785341</v>
      </c>
      <c r="AZ63" s="29" t="n">
        <v>5.471215992174899</v>
      </c>
      <c r="BA63" s="29" t="n">
        <v>22.65209563557657</v>
      </c>
      <c r="BB63" s="29">
        <f>SUM(C63:BA63)</f>
        <v/>
      </c>
      <c r="BC63" s="29" t="n">
        <v>0</v>
      </c>
      <c r="BD63" s="29" t="n">
        <v>0</v>
      </c>
      <c r="BE63" s="29" t="n">
        <v>28970.72394652973</v>
      </c>
      <c r="BF63" s="29" t="n">
        <v>0</v>
      </c>
      <c r="BG63" s="29">
        <f>SUM(BC63:BF63)</f>
        <v/>
      </c>
      <c r="BH63" s="29">
        <f>BB63+BG63</f>
        <v/>
      </c>
    </row>
    <row r="64">
      <c r="A64" s="27" t="n">
        <v>51</v>
      </c>
      <c r="B64" s="28" t="inlineStr">
        <is>
          <t>Administração pública e seguridade social</t>
        </is>
      </c>
      <c r="C64" s="27" t="n">
        <v>93.84424047710453</v>
      </c>
      <c r="D64" s="27" t="n">
        <v>31.97994890450059</v>
      </c>
      <c r="E64" s="27" t="n">
        <v>153.444626621836</v>
      </c>
      <c r="F64" s="27" t="n">
        <v>32.2353011039496</v>
      </c>
      <c r="G64" s="27" t="n">
        <v>27.17028626515758</v>
      </c>
      <c r="H64" s="27" t="n">
        <v>391.9829195712493</v>
      </c>
      <c r="I64" s="27" t="n">
        <v>16.13606685114323</v>
      </c>
      <c r="J64" s="27" t="n">
        <v>25.20683567484067</v>
      </c>
      <c r="K64" s="27" t="n">
        <v>21.13479410100433</v>
      </c>
      <c r="L64" s="27" t="n">
        <v>23.93783476259913</v>
      </c>
      <c r="M64" s="27" t="n">
        <v>18.13939686840247</v>
      </c>
      <c r="N64" s="27" t="n">
        <v>58.1486565433564</v>
      </c>
      <c r="O64" s="27" t="n">
        <v>60.92868689378621</v>
      </c>
      <c r="P64" s="27" t="n">
        <v>49.3998430415057</v>
      </c>
      <c r="Q64" s="27" t="n">
        <v>9.474259408622277</v>
      </c>
      <c r="R64" s="27" t="n">
        <v>120.4252870877345</v>
      </c>
      <c r="S64" s="27" t="n">
        <v>23.25757584963866</v>
      </c>
      <c r="T64" s="27" t="n">
        <v>66.85997056073384</v>
      </c>
      <c r="U64" s="27" t="n">
        <v>22.46125262870219</v>
      </c>
      <c r="V64" s="27" t="n">
        <v>32.16486253444038</v>
      </c>
      <c r="W64" s="27" t="n">
        <v>19.02278769725888</v>
      </c>
      <c r="X64" s="27" t="n">
        <v>20.55650872640343</v>
      </c>
      <c r="Y64" s="27" t="n">
        <v>52.14482492839352</v>
      </c>
      <c r="Z64" s="27" t="n">
        <v>59.77377680066534</v>
      </c>
      <c r="AA64" s="27" t="n">
        <v>88.19562884529391</v>
      </c>
      <c r="AB64" s="27" t="n">
        <v>31.26632864459498</v>
      </c>
      <c r="AC64" s="27" t="n">
        <v>40.89155870761425</v>
      </c>
      <c r="AD64" s="27" t="n">
        <v>59.92432970582266</v>
      </c>
      <c r="AE64" s="27" t="n">
        <v>49.2559395143119</v>
      </c>
      <c r="AF64" s="27" t="n">
        <v>76.65030397208453</v>
      </c>
      <c r="AG64" s="27" t="n">
        <v>93.30478791936581</v>
      </c>
      <c r="AH64" s="27" t="n">
        <v>38.17798557513098</v>
      </c>
      <c r="AI64" s="27" t="n">
        <v>11.17084833376978</v>
      </c>
      <c r="AJ64" s="27" t="n">
        <v>17.87153828409374</v>
      </c>
      <c r="AK64" s="27" t="n">
        <v>251.9941038411367</v>
      </c>
      <c r="AL64" s="27" t="n">
        <v>166.3777352583828</v>
      </c>
      <c r="AM64" s="27" t="n">
        <v>813.9405689317226</v>
      </c>
      <c r="AN64" s="27" t="n">
        <v>398.140667835087</v>
      </c>
      <c r="AO64" s="27" t="n">
        <v>495.6971341599466</v>
      </c>
      <c r="AP64" s="27" t="n">
        <v>350.5382571380538</v>
      </c>
      <c r="AQ64" s="27" t="n">
        <v>36.62931159596345</v>
      </c>
      <c r="AR64" s="27" t="n">
        <v>7.129088242788525</v>
      </c>
      <c r="AS64" s="27" t="n">
        <v>57.75512567345041</v>
      </c>
      <c r="AT64" s="27" t="n">
        <v>518.3648216579618</v>
      </c>
      <c r="AU64" s="27" t="n">
        <v>98.98417384186277</v>
      </c>
      <c r="AV64" s="27" t="n">
        <v>68.41879715076851</v>
      </c>
      <c r="AW64" s="27" t="n">
        <v>324.3308527222508</v>
      </c>
      <c r="AX64" s="27" t="n">
        <v>0</v>
      </c>
      <c r="AY64" s="27" t="n">
        <v>74.20910238881504</v>
      </c>
      <c r="AZ64" s="27" t="n">
        <v>72.45909474676876</v>
      </c>
      <c r="BA64" s="27" t="n">
        <v>332.5285465324243</v>
      </c>
      <c r="BB64" s="27">
        <f>SUM(C64:BA64)</f>
        <v/>
      </c>
      <c r="BC64" s="27" t="n">
        <v>0</v>
      </c>
      <c r="BD64" s="27" t="n">
        <v>0</v>
      </c>
      <c r="BE64" s="27" t="n">
        <v>165985.2118621596</v>
      </c>
      <c r="BF64" s="27" t="n">
        <v>0</v>
      </c>
      <c r="BG64" s="27">
        <f>SUM(BC64:BF64)</f>
        <v/>
      </c>
      <c r="BH64" s="27">
        <f>BB64+BG64</f>
        <v/>
      </c>
    </row>
    <row r="65">
      <c r="B65" s="31" t="inlineStr">
        <is>
          <t>Total consumo intermedio</t>
        </is>
      </c>
      <c r="C65" s="32">
        <f>SUM(C14:C64)</f>
        <v/>
      </c>
      <c r="D65" s="32">
        <f>SUM(D14:D64)</f>
        <v/>
      </c>
      <c r="E65" s="32">
        <f>SUM(E14:E64)</f>
        <v/>
      </c>
      <c r="F65" s="32">
        <f>SUM(F14:F64)</f>
        <v/>
      </c>
      <c r="G65" s="32">
        <f>SUM(G14:G64)</f>
        <v/>
      </c>
      <c r="H65" s="32">
        <f>SUM(H14:H64)</f>
        <v/>
      </c>
      <c r="I65" s="32">
        <f>SUM(I14:I64)</f>
        <v/>
      </c>
      <c r="J65" s="32">
        <f>SUM(J14:J64)</f>
        <v/>
      </c>
      <c r="K65" s="32">
        <f>SUM(K14:K64)</f>
        <v/>
      </c>
      <c r="L65" s="32">
        <f>SUM(L14:L64)</f>
        <v/>
      </c>
      <c r="M65" s="32">
        <f>SUM(M14:M64)</f>
        <v/>
      </c>
      <c r="N65" s="32">
        <f>SUM(N14:N64)</f>
        <v/>
      </c>
      <c r="O65" s="32">
        <f>SUM(O14:O64)</f>
        <v/>
      </c>
      <c r="P65" s="32">
        <f>SUM(P14:P64)</f>
        <v/>
      </c>
      <c r="Q65" s="32">
        <f>SUM(Q14:Q64)</f>
        <v/>
      </c>
      <c r="R65" s="32">
        <f>SUM(R14:R64)</f>
        <v/>
      </c>
      <c r="S65" s="32">
        <f>SUM(S14:S64)</f>
        <v/>
      </c>
      <c r="T65" s="32">
        <f>SUM(T14:T64)</f>
        <v/>
      </c>
      <c r="U65" s="32">
        <f>SUM(U14:U64)</f>
        <v/>
      </c>
      <c r="V65" s="32">
        <f>SUM(V14:V64)</f>
        <v/>
      </c>
      <c r="W65" s="32">
        <f>SUM(W14:W64)</f>
        <v/>
      </c>
      <c r="X65" s="32">
        <f>SUM(X14:X64)</f>
        <v/>
      </c>
      <c r="Y65" s="32">
        <f>SUM(Y14:Y64)</f>
        <v/>
      </c>
      <c r="Z65" s="32">
        <f>SUM(Z14:Z64)</f>
        <v/>
      </c>
      <c r="AA65" s="32">
        <f>SUM(AA14:AA64)</f>
        <v/>
      </c>
      <c r="AB65" s="32">
        <f>SUM(AB14:AB64)</f>
        <v/>
      </c>
      <c r="AC65" s="32">
        <f>SUM(AC14:AC64)</f>
        <v/>
      </c>
      <c r="AD65" s="32">
        <f>SUM(AD14:AD64)</f>
        <v/>
      </c>
      <c r="AE65" s="32">
        <f>SUM(AE14:AE64)</f>
        <v/>
      </c>
      <c r="AF65" s="32">
        <f>SUM(AF14:AF64)</f>
        <v/>
      </c>
      <c r="AG65" s="32">
        <f>SUM(AG14:AG64)</f>
        <v/>
      </c>
      <c r="AH65" s="32">
        <f>SUM(AH14:AH64)</f>
        <v/>
      </c>
      <c r="AI65" s="32">
        <f>SUM(AI14:AI64)</f>
        <v/>
      </c>
      <c r="AJ65" s="32">
        <f>SUM(AJ14:AJ64)</f>
        <v/>
      </c>
      <c r="AK65" s="32">
        <f>SUM(AK14:AK64)</f>
        <v/>
      </c>
      <c r="AL65" s="32">
        <f>SUM(AL14:AL64)</f>
        <v/>
      </c>
      <c r="AM65" s="32">
        <f>SUM(AM14:AM64)</f>
        <v/>
      </c>
      <c r="AN65" s="32">
        <f>SUM(AN14:AN64)</f>
        <v/>
      </c>
      <c r="AO65" s="32">
        <f>SUM(AO14:AO64)</f>
        <v/>
      </c>
      <c r="AP65" s="32">
        <f>SUM(AP14:AP64)</f>
        <v/>
      </c>
      <c r="AQ65" s="32">
        <f>SUM(AQ14:AQ64)</f>
        <v/>
      </c>
      <c r="AR65" s="32">
        <f>SUM(AR14:AR64)</f>
        <v/>
      </c>
      <c r="AS65" s="32">
        <f>SUM(AS14:AS64)</f>
        <v/>
      </c>
      <c r="AT65" s="32">
        <f>SUM(AT14:AT64)</f>
        <v/>
      </c>
      <c r="AU65" s="32">
        <f>SUM(AU14:AU64)</f>
        <v/>
      </c>
      <c r="AV65" s="32">
        <f>SUM(AV14:AV64)</f>
        <v/>
      </c>
      <c r="AW65" s="32">
        <f>SUM(AW14:AW64)</f>
        <v/>
      </c>
      <c r="AX65" s="32">
        <f>SUM(AX14:AX64)</f>
        <v/>
      </c>
      <c r="AY65" s="32">
        <f>SUM(AY14:AY64)</f>
        <v/>
      </c>
      <c r="AZ65" s="32">
        <f>SUM(AZ14:AZ64)</f>
        <v/>
      </c>
      <c r="BA65" s="32">
        <f>SUM(BA14:BA64)</f>
        <v/>
      </c>
      <c r="BB65" s="32">
        <f>SUM(BB14:BB64)</f>
        <v/>
      </c>
      <c r="BC65" s="32">
        <f>SUM(BC14:BC64)</f>
        <v/>
      </c>
      <c r="BD65" s="32">
        <f>SUM(BD14:BD64)</f>
        <v/>
      </c>
      <c r="BE65" s="32">
        <f>SUM(BE14:BE64)</f>
        <v/>
      </c>
      <c r="BF65" s="32">
        <f>SUM(BF14:BF64)</f>
        <v/>
      </c>
      <c r="BG65" s="32">
        <f>SUM(BG14:BG64)</f>
        <v/>
      </c>
      <c r="BH65" s="32">
        <f>SUM(BH14:BH64)</f>
        <v/>
      </c>
    </row>
    <row r="66"/>
    <row r="67">
      <c r="B67" s="31" t="inlineStr">
        <is>
          <t>Ajuste intermedio no asignado a matriz</t>
        </is>
      </c>
      <c r="C67" s="32" t="n">
        <v>6453.26531579189</v>
      </c>
      <c r="D67" s="32" t="n">
        <v>3671.701021564176</v>
      </c>
      <c r="E67" s="32" t="n">
        <v>3606.875003921697</v>
      </c>
      <c r="F67" s="32" t="n">
        <v>435.3140874119395</v>
      </c>
      <c r="G67" s="32" t="n">
        <v>1017.442830588227</v>
      </c>
      <c r="H67" s="32" t="n">
        <v>10839.45695330195</v>
      </c>
      <c r="I67" s="32" t="n">
        <v>475.8014431828615</v>
      </c>
      <c r="J67" s="32" t="n">
        <v>2253.018579258565</v>
      </c>
      <c r="K67" s="32" t="n">
        <v>1758.322044340306</v>
      </c>
      <c r="L67" s="32" t="n">
        <v>1311.108654044249</v>
      </c>
      <c r="M67" s="32" t="n">
        <v>876.4128051997799</v>
      </c>
      <c r="N67" s="32" t="n">
        <v>1638.621483981365</v>
      </c>
      <c r="O67" s="32" t="n">
        <v>1038.845163837666</v>
      </c>
      <c r="P67" s="32" t="n">
        <v>20582.6997814093</v>
      </c>
      <c r="Q67" s="32" t="n">
        <v>298.6495186041907</v>
      </c>
      <c r="R67" s="32" t="n">
        <v>6135.468404914225</v>
      </c>
      <c r="S67" s="32" t="n">
        <v>2604.502517865094</v>
      </c>
      <c r="T67" s="32" t="n">
        <v>887.5359404760526</v>
      </c>
      <c r="U67" s="32" t="n">
        <v>1164.678954663626</v>
      </c>
      <c r="V67" s="32" t="n">
        <v>2122.879568995525</v>
      </c>
      <c r="W67" s="32" t="n">
        <v>929.9296309881499</v>
      </c>
      <c r="X67" s="32" t="n">
        <v>916.019190625745</v>
      </c>
      <c r="Y67" s="32" t="n">
        <v>3739.424712556684</v>
      </c>
      <c r="Z67" s="32" t="n">
        <v>1960.112491932293</v>
      </c>
      <c r="AA67" s="32" t="n">
        <v>3452.114234585639</v>
      </c>
      <c r="AB67" s="32" t="n">
        <v>2424.627711832083</v>
      </c>
      <c r="AC67" s="32" t="n">
        <v>2017.863252295703</v>
      </c>
      <c r="AD67" s="32" t="n">
        <v>4923.41799405723</v>
      </c>
      <c r="AE67" s="32" t="n">
        <v>3226.679218403635</v>
      </c>
      <c r="AF67" s="32" t="n">
        <v>11098.10598780832</v>
      </c>
      <c r="AG67" s="32" t="n">
        <v>7286.541967552303</v>
      </c>
      <c r="AH67" s="32" t="n">
        <v>4448.99040280507</v>
      </c>
      <c r="AI67" s="32" t="n">
        <v>2594.626386496181</v>
      </c>
      <c r="AJ67" s="32" t="n">
        <v>1932.723162418586</v>
      </c>
      <c r="AK67" s="32" t="n">
        <v>6368.851444146121</v>
      </c>
      <c r="AL67" s="32" t="n">
        <v>16170.27197013684</v>
      </c>
      <c r="AM67" s="32" t="n">
        <v>4506.581296971056</v>
      </c>
      <c r="AN67" s="32" t="n">
        <v>4276.687673138029</v>
      </c>
      <c r="AO67" s="32" t="n">
        <v>2768.658601728542</v>
      </c>
      <c r="AP67" s="32" t="n">
        <v>5929.768689682121</v>
      </c>
      <c r="AQ67" s="32" t="n">
        <v>2091.026612173757</v>
      </c>
      <c r="AR67" s="32" t="n">
        <v>629.5748857960261</v>
      </c>
      <c r="AS67" s="32" t="n">
        <v>6483.038411128258</v>
      </c>
      <c r="AT67" s="32" t="n">
        <v>6906.747586178428</v>
      </c>
      <c r="AU67" s="32" t="n">
        <v>1198.903723928576</v>
      </c>
      <c r="AV67" s="32" t="n">
        <v>5870.764950431929</v>
      </c>
      <c r="AW67" s="32" t="n">
        <v>6266.445359607515</v>
      </c>
      <c r="AX67" s="32" t="n">
        <v>0</v>
      </c>
      <c r="AY67" s="32" t="n">
        <v>1960.826574308833</v>
      </c>
      <c r="AZ67" s="32" t="n">
        <v>1742.972090088972</v>
      </c>
      <c r="BA67" s="32" t="n">
        <v>6465.273173480058</v>
      </c>
      <c r="BH67" s="32">
        <f>SUM(C67:BA67)</f>
        <v/>
      </c>
    </row>
    <row r="68"/>
    <row r="69">
      <c r="B69" s="31" t="inlineStr">
        <is>
          <t>Valor agregado</t>
        </is>
      </c>
      <c r="C69" s="32" t="n">
        <v>43785.803373983</v>
      </c>
      <c r="D69" s="32" t="n">
        <v>19384.1826608336</v>
      </c>
      <c r="E69" s="32" t="n">
        <v>13994.7864305984</v>
      </c>
      <c r="F69" s="32" t="n">
        <v>2839.97872626353</v>
      </c>
      <c r="G69" s="32" t="n">
        <v>1341.64185004271</v>
      </c>
      <c r="H69" s="32" t="n">
        <v>19507.9594376283</v>
      </c>
      <c r="I69" s="32" t="n">
        <v>916.82169480279</v>
      </c>
      <c r="J69" s="32" t="n">
        <v>6746.61385102629</v>
      </c>
      <c r="K69" s="32" t="n">
        <v>9623.981885708539</v>
      </c>
      <c r="L69" s="32" t="n">
        <v>4590.42276075605</v>
      </c>
      <c r="M69" s="32" t="n">
        <v>3616.83850738172</v>
      </c>
      <c r="N69" s="32" t="n">
        <v>6676.15433740125</v>
      </c>
      <c r="O69" s="32" t="n">
        <v>4451.79908417284</v>
      </c>
      <c r="P69" s="32" t="n">
        <v>10112.3065302694</v>
      </c>
      <c r="Q69" s="32" t="n">
        <v>2158.44760573645</v>
      </c>
      <c r="R69" s="32" t="n">
        <v>6394.63020513376</v>
      </c>
      <c r="S69" s="32" t="n">
        <v>1375.22205294928</v>
      </c>
      <c r="T69" s="32" t="n">
        <v>8558.022982484041</v>
      </c>
      <c r="U69" s="32" t="n">
        <v>511.087891554102</v>
      </c>
      <c r="V69" s="32" t="n">
        <v>1309.93340611052</v>
      </c>
      <c r="W69" s="32" t="n">
        <v>1159.53735649832</v>
      </c>
      <c r="X69" s="32" t="n">
        <v>1333.07535516706</v>
      </c>
      <c r="Y69" s="32" t="n">
        <v>5293.68048173529</v>
      </c>
      <c r="Z69" s="32" t="n">
        <v>6580.46648297178</v>
      </c>
      <c r="AA69" s="32" t="n">
        <v>3201.38680446018</v>
      </c>
      <c r="AB69" s="32" t="n">
        <v>2364.57585547064</v>
      </c>
      <c r="AC69" s="32" t="n">
        <v>11842.9419400601</v>
      </c>
      <c r="AD69" s="32" t="n">
        <v>13646.7229304514</v>
      </c>
      <c r="AE69" s="32" t="n">
        <v>4119.60905477163</v>
      </c>
      <c r="AF69" s="32" t="n">
        <v>5962.90206165249</v>
      </c>
      <c r="AG69" s="32" t="n">
        <v>12073.7858110099</v>
      </c>
      <c r="AH69" s="32" t="n">
        <v>4405.18067379889</v>
      </c>
      <c r="AI69" s="32" t="n">
        <v>4781.86870033289</v>
      </c>
      <c r="AJ69" s="32" t="n">
        <v>8910.33535733594</v>
      </c>
      <c r="AK69" s="32" t="n">
        <v>37296.4488747698</v>
      </c>
      <c r="AL69" s="32" t="n">
        <v>70181.6594239918</v>
      </c>
      <c r="AM69" s="32" t="n">
        <v>93400.80378417439</v>
      </c>
      <c r="AN69" s="32" t="n">
        <v>40689.1471236031</v>
      </c>
      <c r="AO69" s="32" t="n">
        <v>51368.9910110437</v>
      </c>
      <c r="AP69" s="32" t="n">
        <v>79911.62411694419</v>
      </c>
      <c r="AQ69" s="32" t="n">
        <v>128132.535615956</v>
      </c>
      <c r="AR69" s="32" t="n">
        <v>5159.25569758303</v>
      </c>
      <c r="AS69" s="32" t="n">
        <v>24064.9738058539</v>
      </c>
      <c r="AT69" s="32" t="n">
        <v>61846.4412881059</v>
      </c>
      <c r="AU69" s="32" t="n">
        <v>16612.7510854294</v>
      </c>
      <c r="AV69" s="32" t="n">
        <v>25694.4499066952</v>
      </c>
      <c r="AW69" s="32" t="n">
        <v>35073.4347269914</v>
      </c>
      <c r="AX69" s="32" t="n">
        <v>13220.6650799048</v>
      </c>
      <c r="AY69" s="32" t="n">
        <v>42017.111094164</v>
      </c>
      <c r="AZ69" s="32" t="n">
        <v>19690.5338742694</v>
      </c>
      <c r="BA69" s="32" t="n">
        <v>122488.343221479</v>
      </c>
      <c r="BH69" s="32">
        <f>SUM(C69:BA69)</f>
        <v/>
      </c>
    </row>
    <row r="70"/>
    <row r="71">
      <c r="B71" s="31" t="inlineStr">
        <is>
          <t>Produccion total</t>
        </is>
      </c>
      <c r="C71" s="32">
        <f>C65+C67+C69</f>
        <v/>
      </c>
      <c r="D71" s="32">
        <f>D65+D67+D69</f>
        <v/>
      </c>
      <c r="E71" s="32">
        <f>E65+E67+E69</f>
        <v/>
      </c>
      <c r="F71" s="32">
        <f>F65+F67+F69</f>
        <v/>
      </c>
      <c r="G71" s="32">
        <f>G65+G67+G69</f>
        <v/>
      </c>
      <c r="H71" s="32">
        <f>H65+H67+H69</f>
        <v/>
      </c>
      <c r="I71" s="32">
        <f>I65+I67+I69</f>
        <v/>
      </c>
      <c r="J71" s="32">
        <f>J65+J67+J69</f>
        <v/>
      </c>
      <c r="K71" s="32">
        <f>K65+K67+K69</f>
        <v/>
      </c>
      <c r="L71" s="32">
        <f>L65+L67+L69</f>
        <v/>
      </c>
      <c r="M71" s="32">
        <f>M65+M67+M69</f>
        <v/>
      </c>
      <c r="N71" s="32">
        <f>N65+N67+N69</f>
        <v/>
      </c>
      <c r="O71" s="32">
        <f>O65+O67+O69</f>
        <v/>
      </c>
      <c r="P71" s="32">
        <f>P65+P67+P69</f>
        <v/>
      </c>
      <c r="Q71" s="32">
        <f>Q65+Q67+Q69</f>
        <v/>
      </c>
      <c r="R71" s="32">
        <f>R65+R67+R69</f>
        <v/>
      </c>
      <c r="S71" s="32">
        <f>S65+S67+S69</f>
        <v/>
      </c>
      <c r="T71" s="32">
        <f>T65+T67+T69</f>
        <v/>
      </c>
      <c r="U71" s="32">
        <f>U65+U67+U69</f>
        <v/>
      </c>
      <c r="V71" s="32">
        <f>V65+V67+V69</f>
        <v/>
      </c>
      <c r="W71" s="32">
        <f>W65+W67+W69</f>
        <v/>
      </c>
      <c r="X71" s="32">
        <f>X65+X67+X69</f>
        <v/>
      </c>
      <c r="Y71" s="32">
        <f>Y65+Y67+Y69</f>
        <v/>
      </c>
      <c r="Z71" s="32">
        <f>Z65+Z67+Z69</f>
        <v/>
      </c>
      <c r="AA71" s="32">
        <f>AA65+AA67+AA69</f>
        <v/>
      </c>
      <c r="AB71" s="32">
        <f>AB65+AB67+AB69</f>
        <v/>
      </c>
      <c r="AC71" s="32">
        <f>AC65+AC67+AC69</f>
        <v/>
      </c>
      <c r="AD71" s="32">
        <f>AD65+AD67+AD69</f>
        <v/>
      </c>
      <c r="AE71" s="32">
        <f>AE65+AE67+AE69</f>
        <v/>
      </c>
      <c r="AF71" s="32">
        <f>AF65+AF67+AF69</f>
        <v/>
      </c>
      <c r="AG71" s="32">
        <f>AG65+AG67+AG69</f>
        <v/>
      </c>
      <c r="AH71" s="32">
        <f>AH65+AH67+AH69</f>
        <v/>
      </c>
      <c r="AI71" s="32">
        <f>AI65+AI67+AI69</f>
        <v/>
      </c>
      <c r="AJ71" s="32">
        <f>AJ65+AJ67+AJ69</f>
        <v/>
      </c>
      <c r="AK71" s="32">
        <f>AK65+AK67+AK69</f>
        <v/>
      </c>
      <c r="AL71" s="32">
        <f>AL65+AL67+AL69</f>
        <v/>
      </c>
      <c r="AM71" s="32">
        <f>AM65+AM67+AM69</f>
        <v/>
      </c>
      <c r="AN71" s="32">
        <f>AN65+AN67+AN69</f>
        <v/>
      </c>
      <c r="AO71" s="32">
        <f>AO65+AO67+AO69</f>
        <v/>
      </c>
      <c r="AP71" s="32">
        <f>AP65+AP67+AP69</f>
        <v/>
      </c>
      <c r="AQ71" s="32">
        <f>AQ65+AQ67+AQ69</f>
        <v/>
      </c>
      <c r="AR71" s="32">
        <f>AR65+AR67+AR69</f>
        <v/>
      </c>
      <c r="AS71" s="32">
        <f>AS65+AS67+AS69</f>
        <v/>
      </c>
      <c r="AT71" s="32">
        <f>AT65+AT67+AT69</f>
        <v/>
      </c>
      <c r="AU71" s="32">
        <f>AU65+AU67+AU69</f>
        <v/>
      </c>
      <c r="AV71" s="32">
        <f>AV65+AV67+AV69</f>
        <v/>
      </c>
      <c r="AW71" s="32">
        <f>AW65+AW67+AW69</f>
        <v/>
      </c>
      <c r="AX71" s="32">
        <f>AX65+AX67+AX69</f>
        <v/>
      </c>
      <c r="AY71" s="32">
        <f>AY65+AY67+AY69</f>
        <v/>
      </c>
      <c r="AZ71" s="32">
        <f>AZ65+AZ67+AZ69</f>
        <v/>
      </c>
      <c r="BA71" s="32">
        <f>BA65+BA67+BA69</f>
        <v/>
      </c>
      <c r="BH71" s="32">
        <f>SUM(C71:BA71)</f>
        <v/>
      </c>
    </row>
    <row r="72">
      <c r="B72" s="31" t="inlineStr">
        <is>
          <t>Produccion fuente</t>
        </is>
      </c>
      <c r="C72" s="32" t="n">
        <v>67926.98662659568</v>
      </c>
      <c r="D72" s="32" t="n">
        <v>34514.26511352355</v>
      </c>
      <c r="E72" s="32" t="n">
        <v>32971.18826516477</v>
      </c>
      <c r="F72" s="32" t="n">
        <v>8553.531438061942</v>
      </c>
      <c r="G72" s="32" t="n">
        <v>6872.827820938395</v>
      </c>
      <c r="H72" s="32" t="n">
        <v>145347.8841165121</v>
      </c>
      <c r="I72" s="32" t="n">
        <v>4737.341976116724</v>
      </c>
      <c r="J72" s="32" t="n">
        <v>22233.16517005701</v>
      </c>
      <c r="K72" s="32" t="n">
        <v>21136.37220758929</v>
      </c>
      <c r="L72" s="32" t="n">
        <v>15597.410273542</v>
      </c>
      <c r="M72" s="32" t="n">
        <v>9331.710779311905</v>
      </c>
      <c r="N72" s="32" t="n">
        <v>21216.38797860432</v>
      </c>
      <c r="O72" s="32" t="n">
        <v>8978.951748126216</v>
      </c>
      <c r="P72" s="32" t="n">
        <v>80279.5963774073</v>
      </c>
      <c r="Q72" s="32" t="n">
        <v>7289.99587947688</v>
      </c>
      <c r="R72" s="32" t="n">
        <v>29831.86227757438</v>
      </c>
      <c r="S72" s="32" t="n">
        <v>11799.81760220709</v>
      </c>
      <c r="T72" s="32" t="n">
        <v>16592.06287204962</v>
      </c>
      <c r="U72" s="32" t="n">
        <v>5697.366154856606</v>
      </c>
      <c r="V72" s="32" t="n">
        <v>9321.294559796521</v>
      </c>
      <c r="W72" s="32" t="n">
        <v>5261.424040213389</v>
      </c>
      <c r="X72" s="32" t="n">
        <v>7446.123412822543</v>
      </c>
      <c r="Y72" s="32" t="n">
        <v>26797.05574224392</v>
      </c>
      <c r="Z72" s="32" t="n">
        <v>21729.5868594758</v>
      </c>
      <c r="AA72" s="32" t="n">
        <v>26640.63712934069</v>
      </c>
      <c r="AB72" s="32" t="n">
        <v>13183.43474614057</v>
      </c>
      <c r="AC72" s="32" t="n">
        <v>27375.62145915314</v>
      </c>
      <c r="AD72" s="32" t="n">
        <v>42447.2358201102</v>
      </c>
      <c r="AE72" s="32" t="n">
        <v>19077.99174350851</v>
      </c>
      <c r="AF72" s="32" t="n">
        <v>36634.48752330162</v>
      </c>
      <c r="AG72" s="32" t="n">
        <v>39688.52986050632</v>
      </c>
      <c r="AH72" s="32" t="n">
        <v>21012.49558896925</v>
      </c>
      <c r="AI72" s="32" t="n">
        <v>12809.83661208096</v>
      </c>
      <c r="AJ72" s="32" t="n">
        <v>18685.47865233773</v>
      </c>
      <c r="AK72" s="32" t="n">
        <v>73596.85131039364</v>
      </c>
      <c r="AL72" s="32" t="n">
        <v>150433.3767559023</v>
      </c>
      <c r="AM72" s="32" t="n">
        <v>172998.5776728991</v>
      </c>
      <c r="AN72" s="32" t="n">
        <v>105696.9088122315</v>
      </c>
      <c r="AO72" s="32" t="n">
        <v>101402.0452366215</v>
      </c>
      <c r="AP72" s="32" t="n">
        <v>122091.197288748</v>
      </c>
      <c r="AQ72" s="32" t="n">
        <v>143107.2290033654</v>
      </c>
      <c r="AR72" s="32" t="n">
        <v>7109.591757816136</v>
      </c>
      <c r="AS72" s="32" t="n">
        <v>47597.93777689679</v>
      </c>
      <c r="AT72" s="32" t="n">
        <v>108155.7192366121</v>
      </c>
      <c r="AU72" s="32" t="n">
        <v>25191.4008400982</v>
      </c>
      <c r="AV72" s="32" t="n">
        <v>48414.56330788361</v>
      </c>
      <c r="AW72" s="32" t="n">
        <v>70558.30377430162</v>
      </c>
      <c r="AX72" s="32" t="n">
        <v>13220.6650799048</v>
      </c>
      <c r="AY72" s="32" t="n">
        <v>51879.5015546968</v>
      </c>
      <c r="AZ72" s="32" t="n">
        <v>29435.18526047351</v>
      </c>
      <c r="BA72" s="32" t="n">
        <v>171989.2490372814</v>
      </c>
      <c r="BH72" s="32">
        <f>SUM(C72:BA72)</f>
        <v/>
      </c>
    </row>
    <row r="73">
      <c r="B73" s="33" t="inlineStr">
        <is>
          <t>Check produccion total - fuente</t>
        </is>
      </c>
      <c r="C73" s="34">
        <f>C71-C72</f>
        <v/>
      </c>
      <c r="D73" s="34">
        <f>D71-D72</f>
        <v/>
      </c>
      <c r="E73" s="34">
        <f>E71-E72</f>
        <v/>
      </c>
      <c r="F73" s="34">
        <f>F71-F72</f>
        <v/>
      </c>
      <c r="G73" s="34">
        <f>G71-G72</f>
        <v/>
      </c>
      <c r="H73" s="34">
        <f>H71-H72</f>
        <v/>
      </c>
      <c r="I73" s="34">
        <f>I71-I72</f>
        <v/>
      </c>
      <c r="J73" s="34">
        <f>J71-J72</f>
        <v/>
      </c>
      <c r="K73" s="34">
        <f>K71-K72</f>
        <v/>
      </c>
      <c r="L73" s="34">
        <f>L71-L72</f>
        <v/>
      </c>
      <c r="M73" s="34">
        <f>M71-M72</f>
        <v/>
      </c>
      <c r="N73" s="34">
        <f>N71-N72</f>
        <v/>
      </c>
      <c r="O73" s="34">
        <f>O71-O72</f>
        <v/>
      </c>
      <c r="P73" s="34">
        <f>P71-P72</f>
        <v/>
      </c>
      <c r="Q73" s="34">
        <f>Q71-Q72</f>
        <v/>
      </c>
      <c r="R73" s="34">
        <f>R71-R72</f>
        <v/>
      </c>
      <c r="S73" s="34">
        <f>S71-S72</f>
        <v/>
      </c>
      <c r="T73" s="34">
        <f>T71-T72</f>
        <v/>
      </c>
      <c r="U73" s="34">
        <f>U71-U72</f>
        <v/>
      </c>
      <c r="V73" s="34">
        <f>V71-V72</f>
        <v/>
      </c>
      <c r="W73" s="34">
        <f>W71-W72</f>
        <v/>
      </c>
      <c r="X73" s="34">
        <f>X71-X72</f>
        <v/>
      </c>
      <c r="Y73" s="34">
        <f>Y71-Y72</f>
        <v/>
      </c>
      <c r="Z73" s="34">
        <f>Z71-Z72</f>
        <v/>
      </c>
      <c r="AA73" s="34">
        <f>AA71-AA72</f>
        <v/>
      </c>
      <c r="AB73" s="34">
        <f>AB71-AB72</f>
        <v/>
      </c>
      <c r="AC73" s="34">
        <f>AC71-AC72</f>
        <v/>
      </c>
      <c r="AD73" s="34">
        <f>AD71-AD72</f>
        <v/>
      </c>
      <c r="AE73" s="34">
        <f>AE71-AE72</f>
        <v/>
      </c>
      <c r="AF73" s="34">
        <f>AF71-AF72</f>
        <v/>
      </c>
      <c r="AG73" s="34">
        <f>AG71-AG72</f>
        <v/>
      </c>
      <c r="AH73" s="34">
        <f>AH71-AH72</f>
        <v/>
      </c>
      <c r="AI73" s="34">
        <f>AI71-AI72</f>
        <v/>
      </c>
      <c r="AJ73" s="34">
        <f>AJ71-AJ72</f>
        <v/>
      </c>
      <c r="AK73" s="34">
        <f>AK71-AK72</f>
        <v/>
      </c>
      <c r="AL73" s="34">
        <f>AL71-AL72</f>
        <v/>
      </c>
      <c r="AM73" s="34">
        <f>AM71-AM72</f>
        <v/>
      </c>
      <c r="AN73" s="34">
        <f>AN71-AN72</f>
        <v/>
      </c>
      <c r="AO73" s="34">
        <f>AO71-AO72</f>
        <v/>
      </c>
      <c r="AP73" s="34">
        <f>AP71-AP72</f>
        <v/>
      </c>
      <c r="AQ73" s="34">
        <f>AQ71-AQ72</f>
        <v/>
      </c>
      <c r="AR73" s="34">
        <f>AR71-AR72</f>
        <v/>
      </c>
      <c r="AS73" s="34">
        <f>AS71-AS72</f>
        <v/>
      </c>
      <c r="AT73" s="34">
        <f>AT71-AT72</f>
        <v/>
      </c>
      <c r="AU73" s="34">
        <f>AU71-AU72</f>
        <v/>
      </c>
      <c r="AV73" s="34">
        <f>AV71-AV72</f>
        <v/>
      </c>
      <c r="AW73" s="34">
        <f>AW71-AW72</f>
        <v/>
      </c>
      <c r="AX73" s="34">
        <f>AX71-AX72</f>
        <v/>
      </c>
      <c r="AY73" s="34">
        <f>AY71-AY72</f>
        <v/>
      </c>
      <c r="AZ73" s="34">
        <f>AZ71-AZ72</f>
        <v/>
      </c>
      <c r="BA73" s="34">
        <f>BA71-BA72</f>
        <v/>
      </c>
      <c r="BH73" s="34">
        <f>SUM(C73:BA73)</f>
        <v/>
      </c>
    </row>
    <row r="74"/>
    <row r="75">
      <c r="B75" s="30" t="inlineStr">
        <is>
          <t>Nota</t>
        </is>
      </c>
      <c r="C75" s="30" t="inlineStr">
        <is>
          <t>Z contiene consumo intermedio nacional/domestico. El ajuste intermedio fuera de Z queda visible antes del valor agregado.</t>
        </is>
      </c>
    </row>
  </sheetData>
  <mergeCells count="9">
    <mergeCell ref="BG10:BG12"/>
    <mergeCell ref="C10:BA10"/>
    <mergeCell ref="BH10:BH12"/>
    <mergeCell ref="A3:H4"/>
    <mergeCell ref="B10:B12"/>
    <mergeCell ref="A10:A12"/>
    <mergeCell ref="A1:H1"/>
    <mergeCell ref="BB10:BB12"/>
    <mergeCell ref="BC10:BF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H75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4" customHeight="1"/>
    <row r="2"/>
    <row r="3" ht="16" customHeight="1">
      <c r="A3" s="19" t="inlineStr">
        <is>
          <t>Matriz insumo producto, actividad por actividad - Importada / ajuste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</row>
    <row r="4" ht="16" customHeight="1"/>
    <row r="5">
      <c r="A5" s="20" t="inlineStr">
        <is>
          <t>Valores a precios corrientes</t>
        </is>
      </c>
    </row>
    <row r="6" ht="16.5" customHeight="1">
      <c r="A6" s="20" t="inlineStr">
        <is>
          <t>Ano 2001</t>
        </is>
      </c>
      <c r="J6" s="21" t="inlineStr">
        <is>
          <t>Indice</t>
        </is>
      </c>
    </row>
    <row r="7">
      <c r="A7" s="20" t="inlineStr">
        <is>
          <t>Base / fuente original</t>
        </is>
      </c>
    </row>
    <row r="8">
      <c r="A8" s="20" t="inlineStr">
        <is>
          <t>Unidades monetarias de la fuente</t>
        </is>
      </c>
    </row>
    <row r="9"/>
    <row r="10" ht="16" customHeight="1">
      <c r="A10" s="22" t="inlineStr">
        <is>
          <t>Codigo</t>
        </is>
      </c>
      <c r="B10" s="22" t="inlineStr">
        <is>
          <t>Actividad economica</t>
        </is>
      </c>
      <c r="C10" s="22" t="inlineStr">
        <is>
          <t>Consumo intermedio por actividades economicas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  <c r="AB10" s="23" t="n"/>
      <c r="AC10" s="23" t="n"/>
      <c r="AD10" s="23" t="n"/>
      <c r="AE10" s="23" t="n"/>
      <c r="AF10" s="23" t="n"/>
      <c r="AG10" s="23" t="n"/>
      <c r="AH10" s="23" t="n"/>
      <c r="AI10" s="23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  <c r="AT10" s="23" t="n"/>
      <c r="AU10" s="23" t="n"/>
      <c r="AV10" s="23" t="n"/>
      <c r="AW10" s="23" t="n"/>
      <c r="AX10" s="23" t="n"/>
      <c r="AY10" s="23" t="n"/>
      <c r="AZ10" s="23" t="n"/>
      <c r="BA10" s="23" t="n"/>
      <c r="BB10" s="22" t="inlineStr">
        <is>
          <t>Total consumo intermedio</t>
        </is>
      </c>
      <c r="BC10" s="22" t="inlineStr">
        <is>
          <t>Demanda final</t>
        </is>
      </c>
      <c r="BD10" s="23" t="n"/>
      <c r="BE10" s="23" t="n"/>
      <c r="BF10" s="23" t="n"/>
      <c r="BG10" s="22" t="inlineStr">
        <is>
          <t>Total demanda final</t>
        </is>
      </c>
      <c r="BH10" s="22" t="inlineStr">
        <is>
          <t>Total</t>
        </is>
      </c>
    </row>
    <row r="11" ht="15" customHeight="1">
      <c r="C11" s="24" t="n">
        <v>1</v>
      </c>
      <c r="D11" s="24" t="n">
        <v>2</v>
      </c>
      <c r="E11" s="24" t="n">
        <v>3</v>
      </c>
      <c r="F11" s="24" t="n">
        <v>4</v>
      </c>
      <c r="G11" s="24" t="n">
        <v>5</v>
      </c>
      <c r="H11" s="24" t="n">
        <v>6</v>
      </c>
      <c r="I11" s="24" t="n">
        <v>7</v>
      </c>
      <c r="J11" s="24" t="n">
        <v>8</v>
      </c>
      <c r="K11" s="24" t="n">
        <v>9</v>
      </c>
      <c r="L11" s="24" t="n">
        <v>10</v>
      </c>
      <c r="M11" s="24" t="inlineStr">
        <is>
          <t>Produtos de madeira</t>
        </is>
      </c>
      <c r="N11" s="24" t="n">
        <v>12</v>
      </c>
      <c r="O11" s="24" t="n">
        <v>13</v>
      </c>
      <c r="P11" s="24" t="n">
        <v>14</v>
      </c>
      <c r="Q11" s="24" t="n">
        <v>15</v>
      </c>
      <c r="R11" s="24" t="n">
        <v>16</v>
      </c>
      <c r="S11" s="24" t="n">
        <v>17</v>
      </c>
      <c r="T11" s="24" t="n">
        <v>18</v>
      </c>
      <c r="U11" s="24" t="n">
        <v>19</v>
      </c>
      <c r="V11" s="24" t="n">
        <v>20</v>
      </c>
      <c r="W11" s="24" t="n">
        <v>21</v>
      </c>
      <c r="X11" s="24" t="n">
        <v>22</v>
      </c>
      <c r="Y11" s="24" t="n">
        <v>23</v>
      </c>
      <c r="Z11" s="24" t="n">
        <v>24</v>
      </c>
      <c r="AA11" s="24" t="n">
        <v>25</v>
      </c>
      <c r="AB11" s="24" t="n">
        <v>26</v>
      </c>
      <c r="AC11" s="24" t="inlineStr">
        <is>
          <t>Produtos de metal</t>
        </is>
      </c>
      <c r="AD11" s="24" t="n">
        <v>28</v>
      </c>
      <c r="AE11" s="24" t="n">
        <v>29</v>
      </c>
      <c r="AF11" s="24" t="n">
        <v>30</v>
      </c>
      <c r="AG11" s="24" t="n">
        <v>31</v>
      </c>
      <c r="AH11" s="24" t="n">
        <v>32</v>
      </c>
      <c r="AI11" s="24" t="n">
        <v>33</v>
      </c>
      <c r="AJ11" s="24" t="n">
        <v>34</v>
      </c>
      <c r="AK11" s="24" t="n">
        <v>35</v>
      </c>
      <c r="AL11" s="24" t="n">
        <v>36</v>
      </c>
      <c r="AM11" s="24" t="n">
        <v>37</v>
      </c>
      <c r="AN11" s="24" t="n">
        <v>38</v>
      </c>
      <c r="AO11" s="24" t="n">
        <v>39</v>
      </c>
      <c r="AP11" s="24" t="n">
        <v>40</v>
      </c>
      <c r="AQ11" s="24" t="n">
        <v>41</v>
      </c>
      <c r="AR11" s="24" t="n">
        <v>42</v>
      </c>
      <c r="AS11" s="24" t="n">
        <v>43</v>
      </c>
      <c r="AT11" s="24" t="n">
        <v>44</v>
      </c>
      <c r="AU11" s="24" t="n">
        <v>45</v>
      </c>
      <c r="AV11" s="24" t="n">
        <v>46</v>
      </c>
      <c r="AW11" s="24" t="n">
        <v>47</v>
      </c>
      <c r="AX11" s="24" t="n">
        <v>48</v>
      </c>
      <c r="AY11" s="24" t="n">
        <v>49</v>
      </c>
      <c r="AZ11" s="24" t="n">
        <v>50</v>
      </c>
      <c r="BA11" s="24" t="n">
        <v>51</v>
      </c>
      <c r="BC11" s="24" t="inlineStr"/>
      <c r="BD11" s="24" t="inlineStr"/>
      <c r="BE11" s="24" t="inlineStr"/>
      <c r="BF11" s="24" t="inlineStr"/>
    </row>
    <row r="12" ht="90" customHeight="1">
      <c r="A12" s="25" t="n"/>
      <c r="B12" s="25" t="n"/>
      <c r="C12" s="26" t="inlineStr">
        <is>
          <t>Agricultura silvicultura exploração florestal</t>
        </is>
      </c>
      <c r="D12" s="26" t="inlineStr">
        <is>
          <t>Pecuária e pesca</t>
        </is>
      </c>
      <c r="E12" s="26" t="inlineStr">
        <is>
          <t>Petróleo e gás natural</t>
        </is>
      </c>
      <c r="F12" s="26" t="inlineStr">
        <is>
          <t>Minério de ferro</t>
        </is>
      </c>
      <c r="G12" s="26" t="inlineStr">
        <is>
          <t>Outros da indústria extrativa</t>
        </is>
      </c>
      <c r="H12" s="26" t="inlineStr">
        <is>
          <t>Alimentos e Bebidas</t>
        </is>
      </c>
      <c r="I12" s="26" t="inlineStr">
        <is>
          <t>Produtos do fumo</t>
        </is>
      </c>
      <c r="J12" s="26" t="inlineStr">
        <is>
          <t>Têxteis</t>
        </is>
      </c>
      <c r="K12" s="26" t="inlineStr">
        <is>
          <t>Artigos do vestuário e acessórios</t>
        </is>
      </c>
      <c r="L12" s="26" t="inlineStr">
        <is>
          <t>Artefatos de couro e calçados</t>
        </is>
      </c>
      <c r="M12" s="26" t="inlineStr">
        <is>
          <t>exclusive móveis</t>
        </is>
      </c>
      <c r="N12" s="26" t="inlineStr">
        <is>
          <t>Celulose e produtos de papel</t>
        </is>
      </c>
      <c r="O12" s="26" t="inlineStr">
        <is>
          <t>Jornais revistas discos</t>
        </is>
      </c>
      <c r="P12" s="26" t="inlineStr">
        <is>
          <t>Refino de petróleo e coque</t>
        </is>
      </c>
      <c r="Q12" s="26" t="inlineStr">
        <is>
          <t>Álcool</t>
        </is>
      </c>
      <c r="R12" s="26" t="inlineStr">
        <is>
          <t>Produtos  químicos</t>
        </is>
      </c>
      <c r="S12" s="26" t="inlineStr">
        <is>
          <t>Fabricação de resina e elastômeros</t>
        </is>
      </c>
      <c r="T12" s="26" t="inlineStr">
        <is>
          <t>Produtos farmacêuticos</t>
        </is>
      </c>
      <c r="U12" s="26" t="inlineStr">
        <is>
          <t>Defensivos agrícolas</t>
        </is>
      </c>
      <c r="V12" s="26" t="inlineStr">
        <is>
          <t>Perfumaria higiene e limpeza</t>
        </is>
      </c>
      <c r="W12" s="26" t="inlineStr">
        <is>
          <t>Tintas vernizes esmaltes e lacas</t>
        </is>
      </c>
      <c r="X12" s="26" t="inlineStr">
        <is>
          <t>Produtos e preparados químicos diversos</t>
        </is>
      </c>
      <c r="Y12" s="26" t="inlineStr">
        <is>
          <t>Artigos de borracha e plástico</t>
        </is>
      </c>
      <c r="Z12" s="26" t="inlineStr">
        <is>
          <t>Cimento e outros produtos de minerais não-metálicos</t>
        </is>
      </c>
      <c r="AA12" s="26" t="inlineStr">
        <is>
          <t>Fabricação de aço e derivados</t>
        </is>
      </c>
      <c r="AB12" s="26" t="inlineStr">
        <is>
          <t>Metalurgia de metais não-ferrosos</t>
        </is>
      </c>
      <c r="AC12" s="26" t="inlineStr">
        <is>
          <t>exclusive máquinas e equipamentos</t>
        </is>
      </c>
      <c r="AD12" s="26" t="inlineStr">
        <is>
          <t>Máquinas e equipamentos inclusive manutenção e reparos</t>
        </is>
      </c>
      <c r="AE12" s="26" t="inlineStr">
        <is>
          <t>Eletrodomésticos e material eletronico</t>
        </is>
      </c>
      <c r="AF12" s="26" t="inlineStr">
        <is>
          <t>Máquinas para escritório aparelhos e e material eletronico</t>
        </is>
      </c>
      <c r="AG12" s="26" t="inlineStr">
        <is>
          <t>Automóveis camionetas caminhões e ônibus</t>
        </is>
      </c>
      <c r="AH12" s="26" t="inlineStr">
        <is>
          <t>Peças e acessórios para veículos automotores</t>
        </is>
      </c>
      <c r="AI12" s="26" t="inlineStr">
        <is>
          <t>Outros equipamentos de transporte</t>
        </is>
      </c>
      <c r="AJ12" s="26" t="inlineStr">
        <is>
          <t>Móveis e produtos das indústrias diversas</t>
        </is>
      </c>
      <c r="AK12" s="26" t="inlineStr">
        <is>
          <t>Produção e distribuição de eletricidade gás água esgoto e limpeza urbana</t>
        </is>
      </c>
      <c r="AL12" s="26" t="inlineStr">
        <is>
          <t>Construção civil</t>
        </is>
      </c>
      <c r="AM12" s="26" t="inlineStr">
        <is>
          <t>Comércio</t>
        </is>
      </c>
      <c r="AN12" s="26" t="inlineStr">
        <is>
          <t>Transporte armazenagem e correio</t>
        </is>
      </c>
      <c r="AO12" s="26" t="inlineStr">
        <is>
          <t>Serviços de informação</t>
        </is>
      </c>
      <c r="AP12" s="26" t="inlineStr">
        <is>
          <t>Intermediação financeira seguros e previdência complementar e serviços relacionados</t>
        </is>
      </c>
      <c r="AQ12" s="26" t="inlineStr">
        <is>
          <t>Atividades imobiliárias e aluguéis</t>
        </is>
      </c>
      <c r="AR12" s="26" t="inlineStr">
        <is>
          <t>Serviços de manutenção e reparação</t>
        </is>
      </c>
      <c r="AS12" s="26" t="inlineStr">
        <is>
          <t>Serviços de alojamento e alimentação</t>
        </is>
      </c>
      <c r="AT12" s="26" t="inlineStr">
        <is>
          <t>Serviços prestados às empresas</t>
        </is>
      </c>
      <c r="AU12" s="26" t="inlineStr">
        <is>
          <t>Educação mercantil</t>
        </is>
      </c>
      <c r="AV12" s="26" t="inlineStr">
        <is>
          <t>Saúde mercantil</t>
        </is>
      </c>
      <c r="AW12" s="26" t="inlineStr">
        <is>
          <t>Serviços prestados às famílias e associativas</t>
        </is>
      </c>
      <c r="AX12" s="26" t="inlineStr">
        <is>
          <t>Serviços domésticos</t>
        </is>
      </c>
      <c r="AY12" s="26" t="inlineStr">
        <is>
          <t>Educação pública</t>
        </is>
      </c>
      <c r="AZ12" s="26" t="inlineStr">
        <is>
          <t>Saúde pública</t>
        </is>
      </c>
      <c r="BA12" s="26" t="inlineStr">
        <is>
          <t>Administração pública e seguridade social</t>
        </is>
      </c>
      <c r="BB12" s="25" t="n"/>
      <c r="BC12" s="26" t="inlineStr">
        <is>
          <t>Gasto de consumo final</t>
        </is>
      </c>
      <c r="BD12" s="26" t="inlineStr">
        <is>
          <t>Formacion bruta de capital</t>
        </is>
      </c>
      <c r="BE12" s="26" t="inlineStr">
        <is>
          <t>Exportaciones netas</t>
        </is>
      </c>
      <c r="BF12" s="26" t="inlineStr">
        <is>
          <t>Sin desglose fuente</t>
        </is>
      </c>
      <c r="BG12" s="25" t="n"/>
      <c r="BH12" s="25" t="n"/>
    </row>
    <row r="13"/>
    <row r="14">
      <c r="A14" s="27" t="n">
        <v>1</v>
      </c>
      <c r="B14" s="28" t="inlineStr">
        <is>
          <t>Agricultura silvicultura exploração florestal</t>
        </is>
      </c>
      <c r="C14" s="27" t="n">
        <v>518.3636758371076</v>
      </c>
      <c r="D14" s="27" t="n">
        <v>332.6561441995499</v>
      </c>
      <c r="E14" s="27" t="n">
        <v>4.588518600942534</v>
      </c>
      <c r="F14" s="27" t="n">
        <v>0.7362743144801486</v>
      </c>
      <c r="G14" s="27" t="n">
        <v>0.7556282052259605</v>
      </c>
      <c r="H14" s="27" t="n">
        <v>5582.744474361966</v>
      </c>
      <c r="I14" s="27" t="n">
        <v>93.33980109038357</v>
      </c>
      <c r="J14" s="27" t="n">
        <v>227.2384296618572</v>
      </c>
      <c r="K14" s="27" t="n">
        <v>18.93224544415913</v>
      </c>
      <c r="L14" s="27" t="n">
        <v>5.297750691875372</v>
      </c>
      <c r="M14" s="27" t="n">
        <v>192.2300373755469</v>
      </c>
      <c r="N14" s="27" t="n">
        <v>129.4730267125035</v>
      </c>
      <c r="O14" s="27" t="n">
        <v>0.09755870415139266</v>
      </c>
      <c r="P14" s="27" t="n">
        <v>0.370044946811202</v>
      </c>
      <c r="Q14" s="27" t="n">
        <v>191.3939508485749</v>
      </c>
      <c r="R14" s="27" t="n">
        <v>34.03821619970522</v>
      </c>
      <c r="S14" s="27" t="n">
        <v>48.67999394220451</v>
      </c>
      <c r="T14" s="27" t="n">
        <v>5.758134449096053</v>
      </c>
      <c r="U14" s="27" t="n">
        <v>15.23741481661775</v>
      </c>
      <c r="V14" s="27" t="n">
        <v>11.45246790368178</v>
      </c>
      <c r="W14" s="27" t="n">
        <v>8.608615228442257</v>
      </c>
      <c r="X14" s="27" t="n">
        <v>13.51682856211889</v>
      </c>
      <c r="Y14" s="27" t="n">
        <v>75.99420747399755</v>
      </c>
      <c r="Z14" s="27" t="n">
        <v>6.971937200188383</v>
      </c>
      <c r="AA14" s="27" t="n">
        <v>35.0499820146657</v>
      </c>
      <c r="AB14" s="27" t="n">
        <v>1.345457388885002</v>
      </c>
      <c r="AC14" s="27" t="n">
        <v>1.871929774140025</v>
      </c>
      <c r="AD14" s="27" t="n">
        <v>0.02559048921311533</v>
      </c>
      <c r="AE14" s="27" t="n">
        <v>0.4195389952156281</v>
      </c>
      <c r="AF14" s="27" t="n">
        <v>0.4493614950540973</v>
      </c>
      <c r="AG14" s="27" t="n">
        <v>0.09234050022224378</v>
      </c>
      <c r="AH14" s="27" t="n">
        <v>0.03137679138923721</v>
      </c>
      <c r="AI14" s="27" t="n">
        <v>0.02272539659965704</v>
      </c>
      <c r="AJ14" s="27" t="n">
        <v>1.217453001277919</v>
      </c>
      <c r="AK14" s="27" t="n">
        <v>2.656737334000355</v>
      </c>
      <c r="AL14" s="27" t="n">
        <v>28.29741727425413</v>
      </c>
      <c r="AM14" s="27" t="n">
        <v>351.5516269667423</v>
      </c>
      <c r="AN14" s="27" t="n">
        <v>0.1400188958728333</v>
      </c>
      <c r="AO14" s="27" t="n">
        <v>0.4855915050712275</v>
      </c>
      <c r="AP14" s="27" t="n">
        <v>0.2493608332302066</v>
      </c>
      <c r="AQ14" s="27" t="n">
        <v>0.2700309083259304</v>
      </c>
      <c r="AR14" s="27" t="n">
        <v>0.002823420155731531</v>
      </c>
      <c r="AS14" s="27" t="n">
        <v>206.3990051019462</v>
      </c>
      <c r="AT14" s="27" t="n">
        <v>1.482516263222743</v>
      </c>
      <c r="AU14" s="27" t="n">
        <v>3.888667718153305</v>
      </c>
      <c r="AV14" s="27" t="n">
        <v>15.21459680709145</v>
      </c>
      <c r="AW14" s="27" t="n">
        <v>20.04616520622458</v>
      </c>
      <c r="AX14" s="27" t="n">
        <v>0</v>
      </c>
      <c r="AY14" s="27" t="n">
        <v>39.92649367776094</v>
      </c>
      <c r="AZ14" s="27" t="n">
        <v>14.44656028884214</v>
      </c>
      <c r="BA14" s="27" t="n">
        <v>135.7549898613343</v>
      </c>
      <c r="BB14" s="27">
        <f>SUM(C14:BA14)</f>
        <v/>
      </c>
      <c r="BC14" s="27" t="n">
        <v>0</v>
      </c>
      <c r="BD14" s="27" t="n">
        <v>0</v>
      </c>
      <c r="BE14" s="27" t="n">
        <v>0</v>
      </c>
      <c r="BF14" s="27" t="n">
        <v>0</v>
      </c>
      <c r="BG14" s="27">
        <f>SUM(BC14:BF14)</f>
        <v/>
      </c>
      <c r="BH14" s="27">
        <f>BB14+BG14</f>
        <v/>
      </c>
    </row>
    <row r="15">
      <c r="A15" s="29" t="n">
        <v>2</v>
      </c>
      <c r="B15" s="30" t="inlineStr">
        <is>
          <t>Pecuária e pesca</t>
        </is>
      </c>
      <c r="C15" s="29" t="n">
        <v>34.83595749664381</v>
      </c>
      <c r="D15" s="29" t="n">
        <v>149.2510467627869</v>
      </c>
      <c r="E15" s="29" t="n">
        <v>0.5033221224703299</v>
      </c>
      <c r="F15" s="29" t="n">
        <v>0.09947338069945777</v>
      </c>
      <c r="G15" s="29" t="n">
        <v>0.03804593998308405</v>
      </c>
      <c r="H15" s="29" t="n">
        <v>2137.992955774715</v>
      </c>
      <c r="I15" s="29" t="n">
        <v>3.525811921329816</v>
      </c>
      <c r="J15" s="29" t="n">
        <v>0.5850177973629166</v>
      </c>
      <c r="K15" s="29" t="n">
        <v>0.07367463717272874</v>
      </c>
      <c r="L15" s="29" t="n">
        <v>1.288556366476612</v>
      </c>
      <c r="M15" s="29" t="n">
        <v>10.8436418904968</v>
      </c>
      <c r="N15" s="29" t="n">
        <v>7.175711001252944</v>
      </c>
      <c r="O15" s="29" t="n">
        <v>0.001872078861603537</v>
      </c>
      <c r="P15" s="29" t="n">
        <v>0.001463022335409962</v>
      </c>
      <c r="Q15" s="29" t="n">
        <v>1.948873834214804</v>
      </c>
      <c r="R15" s="29" t="n">
        <v>1.068430007233659</v>
      </c>
      <c r="S15" s="29" t="n">
        <v>1.296508574089413</v>
      </c>
      <c r="T15" s="29" t="n">
        <v>0.1475677366066147</v>
      </c>
      <c r="U15" s="29" t="n">
        <v>0.4247715259878019</v>
      </c>
      <c r="V15" s="29" t="n">
        <v>0.5750335412691424</v>
      </c>
      <c r="W15" s="29" t="n">
        <v>0.2268361640544948</v>
      </c>
      <c r="X15" s="29" t="n">
        <v>0.3557615789772746</v>
      </c>
      <c r="Y15" s="29" t="n">
        <v>4.041145852413831</v>
      </c>
      <c r="Z15" s="29" t="n">
        <v>0.1533236340129416</v>
      </c>
      <c r="AA15" s="29" t="n">
        <v>1.897541462271683</v>
      </c>
      <c r="AB15" s="29" t="n">
        <v>0.1388361425245176</v>
      </c>
      <c r="AC15" s="29" t="n">
        <v>0.07529218741239158</v>
      </c>
      <c r="AD15" s="29" t="n">
        <v>0.006723907594247836</v>
      </c>
      <c r="AE15" s="29" t="n">
        <v>0.01104518551032498</v>
      </c>
      <c r="AF15" s="29" t="n">
        <v>0.01969320398902557</v>
      </c>
      <c r="AG15" s="29" t="n">
        <v>0.01942269330195509</v>
      </c>
      <c r="AH15" s="29" t="n">
        <v>0.002590495550783952</v>
      </c>
      <c r="AI15" s="29" t="n">
        <v>0.01612553256372745</v>
      </c>
      <c r="AJ15" s="29" t="n">
        <v>0.02158390287711371</v>
      </c>
      <c r="AK15" s="29" t="n">
        <v>0.4695910430565262</v>
      </c>
      <c r="AL15" s="29" t="n">
        <v>5.217855772530911</v>
      </c>
      <c r="AM15" s="29" t="n">
        <v>8.451306167067871</v>
      </c>
      <c r="AN15" s="29" t="n">
        <v>0.1245060870711485</v>
      </c>
      <c r="AO15" s="29" t="n">
        <v>0.4350970353856845</v>
      </c>
      <c r="AP15" s="29" t="n">
        <v>0.08226679871976707</v>
      </c>
      <c r="AQ15" s="29" t="n">
        <v>0.1143534349514415</v>
      </c>
      <c r="AR15" s="29" t="n">
        <v>6.168707774955982e-05</v>
      </c>
      <c r="AS15" s="29" t="n">
        <v>50.57563175986286</v>
      </c>
      <c r="AT15" s="29" t="n">
        <v>0.2669041296315791</v>
      </c>
      <c r="AU15" s="29" t="n">
        <v>0.7600579399237077</v>
      </c>
      <c r="AV15" s="29" t="n">
        <v>4.13055689923029</v>
      </c>
      <c r="AW15" s="29" t="n">
        <v>1.571188465169912</v>
      </c>
      <c r="AX15" s="29" t="n">
        <v>0</v>
      </c>
      <c r="AY15" s="29" t="n">
        <v>8.086769166832269</v>
      </c>
      <c r="AZ15" s="29" t="n">
        <v>2.82900479081974</v>
      </c>
      <c r="BA15" s="29" t="n">
        <v>10.78806522573576</v>
      </c>
      <c r="BB15" s="29">
        <f>SUM(C15:BA15)</f>
        <v/>
      </c>
      <c r="BC15" s="29" t="n">
        <v>0</v>
      </c>
      <c r="BD15" s="29" t="n">
        <v>0</v>
      </c>
      <c r="BE15" s="29" t="n">
        <v>0</v>
      </c>
      <c r="BF15" s="29" t="n">
        <v>0</v>
      </c>
      <c r="BG15" s="29">
        <f>SUM(BC15:BF15)</f>
        <v/>
      </c>
      <c r="BH15" s="29">
        <f>BB15+BG15</f>
        <v/>
      </c>
    </row>
    <row r="16">
      <c r="A16" s="27" t="n">
        <v>3</v>
      </c>
      <c r="B16" s="28" t="inlineStr">
        <is>
          <t>Petróleo e gás natural</t>
        </is>
      </c>
      <c r="C16" s="27" t="n">
        <v>6.687697612822702</v>
      </c>
      <c r="D16" s="27" t="n">
        <v>9.580268283925536</v>
      </c>
      <c r="E16" s="27" t="n">
        <v>656.9792772954702</v>
      </c>
      <c r="F16" s="27" t="n">
        <v>15.2113624400318</v>
      </c>
      <c r="G16" s="27" t="n">
        <v>1.743752740312987</v>
      </c>
      <c r="H16" s="27" t="n">
        <v>73.31555146257237</v>
      </c>
      <c r="I16" s="27" t="n">
        <v>0.09537330957512805</v>
      </c>
      <c r="J16" s="27" t="n">
        <v>22.61846197400388</v>
      </c>
      <c r="K16" s="27" t="n">
        <v>0.06825548550398029</v>
      </c>
      <c r="L16" s="27" t="n">
        <v>0.02284094189834212</v>
      </c>
      <c r="M16" s="27" t="n">
        <v>4.691360432864267</v>
      </c>
      <c r="N16" s="27" t="n">
        <v>49.22485183261301</v>
      </c>
      <c r="O16" s="27" t="n">
        <v>0.1234822989126529</v>
      </c>
      <c r="P16" s="27" t="n">
        <v>9254.85538037408</v>
      </c>
      <c r="Q16" s="27" t="n">
        <v>0.03566606246182547</v>
      </c>
      <c r="R16" s="27" t="n">
        <v>95.60290674671737</v>
      </c>
      <c r="S16" s="27" t="n">
        <v>54.57369165923318</v>
      </c>
      <c r="T16" s="27" t="n">
        <v>2.976629221441398</v>
      </c>
      <c r="U16" s="27" t="n">
        <v>3.226077751188491</v>
      </c>
      <c r="V16" s="27" t="n">
        <v>2.222924787183106</v>
      </c>
      <c r="W16" s="27" t="n">
        <v>2.194090446419961</v>
      </c>
      <c r="X16" s="27" t="n">
        <v>4.152164273208311</v>
      </c>
      <c r="Y16" s="27" t="n">
        <v>9.570764253760535</v>
      </c>
      <c r="Z16" s="27" t="n">
        <v>32.25533768320831</v>
      </c>
      <c r="AA16" s="27" t="n">
        <v>45.43222395234471</v>
      </c>
      <c r="AB16" s="27" t="n">
        <v>29.00139022666184</v>
      </c>
      <c r="AC16" s="27" t="n">
        <v>27.92234065609136</v>
      </c>
      <c r="AD16" s="27" t="n">
        <v>4.84480158053626</v>
      </c>
      <c r="AE16" s="27" t="n">
        <v>2.748109756651015</v>
      </c>
      <c r="AF16" s="27" t="n">
        <v>0.42173649630968</v>
      </c>
      <c r="AG16" s="27" t="n">
        <v>6.665017123482759</v>
      </c>
      <c r="AH16" s="27" t="n">
        <v>17.35613642532864</v>
      </c>
      <c r="AI16" s="27" t="n">
        <v>0.2573664539421651</v>
      </c>
      <c r="AJ16" s="27" t="n">
        <v>0.1764470712911428</v>
      </c>
      <c r="AK16" s="27" t="n">
        <v>618.7682896844393</v>
      </c>
      <c r="AL16" s="27" t="n">
        <v>16.53229578453507</v>
      </c>
      <c r="AM16" s="27" t="n">
        <v>7.072214571762141</v>
      </c>
      <c r="AN16" s="27" t="n">
        <v>1.049220322444056</v>
      </c>
      <c r="AO16" s="27" t="n">
        <v>2.312611046976455</v>
      </c>
      <c r="AP16" s="27" t="n">
        <v>0.4618048064611627</v>
      </c>
      <c r="AQ16" s="27" t="n">
        <v>0.536870516237989</v>
      </c>
      <c r="AR16" s="27" t="n">
        <v>0.2668618267362205</v>
      </c>
      <c r="AS16" s="27" t="n">
        <v>18.94648659250605</v>
      </c>
      <c r="AT16" s="27" t="n">
        <v>13.3107145909764</v>
      </c>
      <c r="AU16" s="27" t="n">
        <v>0.4535571520380262</v>
      </c>
      <c r="AV16" s="27" t="n">
        <v>0.587246612677368</v>
      </c>
      <c r="AW16" s="27" t="n">
        <v>3.351779241744361</v>
      </c>
      <c r="AX16" s="27" t="n">
        <v>0</v>
      </c>
      <c r="AY16" s="27" t="n">
        <v>1.064345946489744</v>
      </c>
      <c r="AZ16" s="27" t="n">
        <v>0.923097560992724</v>
      </c>
      <c r="BA16" s="27" t="n">
        <v>5.968655084209795</v>
      </c>
      <c r="BB16" s="27">
        <f>SUM(C16:BA16)</f>
        <v/>
      </c>
      <c r="BC16" s="27" t="n">
        <v>0</v>
      </c>
      <c r="BD16" s="27" t="n">
        <v>0</v>
      </c>
      <c r="BE16" s="27" t="n">
        <v>0</v>
      </c>
      <c r="BF16" s="27" t="n">
        <v>0</v>
      </c>
      <c r="BG16" s="27">
        <f>SUM(BC16:BF16)</f>
        <v/>
      </c>
      <c r="BH16" s="27">
        <f>BB16+BG16</f>
        <v/>
      </c>
    </row>
    <row r="17">
      <c r="A17" s="29" t="n">
        <v>4</v>
      </c>
      <c r="B17" s="30" t="inlineStr">
        <is>
          <t>Minério de ferro</t>
        </is>
      </c>
      <c r="C17" s="29" t="n">
        <v>0.02928035186085852</v>
      </c>
      <c r="D17" s="29" t="n">
        <v>0.0169404393720724</v>
      </c>
      <c r="E17" s="29" t="n">
        <v>0.4858444393160179</v>
      </c>
      <c r="F17" s="29" t="n">
        <v>11.75922364466985</v>
      </c>
      <c r="G17" s="29" t="n">
        <v>1.597409842742723</v>
      </c>
      <c r="H17" s="29" t="n">
        <v>0.8675601765245249</v>
      </c>
      <c r="I17" s="29" t="n">
        <v>0.05728876839878174</v>
      </c>
      <c r="J17" s="29" t="n">
        <v>0.03698017939044844</v>
      </c>
      <c r="K17" s="29" t="n">
        <v>0.03677310384044252</v>
      </c>
      <c r="L17" s="29" t="n">
        <v>0.06261937240443229</v>
      </c>
      <c r="M17" s="29" t="n">
        <v>0.01757263989147072</v>
      </c>
      <c r="N17" s="29" t="n">
        <v>0.09998393912576384</v>
      </c>
      <c r="O17" s="29" t="n">
        <v>0.01574614148551223</v>
      </c>
      <c r="P17" s="29" t="n">
        <v>0.1494442859205183</v>
      </c>
      <c r="Q17" s="29" t="n">
        <v>0.01821394380235756</v>
      </c>
      <c r="R17" s="29" t="n">
        <v>0.1410713700329029</v>
      </c>
      <c r="S17" s="29" t="n">
        <v>0.03299395457840904</v>
      </c>
      <c r="T17" s="29" t="n">
        <v>0.2029833419953105</v>
      </c>
      <c r="U17" s="29" t="n">
        <v>0.06676761285371423</v>
      </c>
      <c r="V17" s="29" t="n">
        <v>0.09180526511576292</v>
      </c>
      <c r="W17" s="29" t="n">
        <v>0.04788766092009721</v>
      </c>
      <c r="X17" s="29" t="n">
        <v>0.04509862741562259</v>
      </c>
      <c r="Y17" s="29" t="n">
        <v>0.1137260125392349</v>
      </c>
      <c r="Z17" s="29" t="n">
        <v>2.243830806070326</v>
      </c>
      <c r="AA17" s="29" t="n">
        <v>201.1270077590134</v>
      </c>
      <c r="AB17" s="29" t="n">
        <v>10.80385115954797</v>
      </c>
      <c r="AC17" s="29" t="n">
        <v>0.08898500906375008</v>
      </c>
      <c r="AD17" s="29" t="n">
        <v>0.1675792433395717</v>
      </c>
      <c r="AE17" s="29" t="n">
        <v>0.1427445725207463</v>
      </c>
      <c r="AF17" s="29" t="n">
        <v>0.2216454142313868</v>
      </c>
      <c r="AG17" s="29" t="n">
        <v>0.2674913883290642</v>
      </c>
      <c r="AH17" s="29" t="n">
        <v>0.1009998474021911</v>
      </c>
      <c r="AI17" s="29" t="n">
        <v>0.02822499834222032</v>
      </c>
      <c r="AJ17" s="29" t="n">
        <v>0.0396004509140681</v>
      </c>
      <c r="AK17" s="29" t="n">
        <v>0.3135596912012549</v>
      </c>
      <c r="AL17" s="29" t="n">
        <v>0.5380421335453183</v>
      </c>
      <c r="AM17" s="29" t="n">
        <v>1.590997242974246</v>
      </c>
      <c r="AN17" s="29" t="n">
        <v>0.7374696878493279</v>
      </c>
      <c r="AO17" s="29" t="n">
        <v>1.088271254025725</v>
      </c>
      <c r="AP17" s="29" t="n">
        <v>0.9894031060083366</v>
      </c>
      <c r="AQ17" s="29" t="n">
        <v>0.07899346771073518</v>
      </c>
      <c r="AR17" s="29" t="n">
        <v>0.007041928817928768</v>
      </c>
      <c r="AS17" s="29" t="n">
        <v>0.100060881596488</v>
      </c>
      <c r="AT17" s="29" t="n">
        <v>1.285585952843648</v>
      </c>
      <c r="AU17" s="29" t="n">
        <v>0.2334724609624393</v>
      </c>
      <c r="AV17" s="29" t="n">
        <v>0.08474704889494004</v>
      </c>
      <c r="AW17" s="29" t="n">
        <v>0.4199186640870446</v>
      </c>
      <c r="AX17" s="29" t="n">
        <v>0</v>
      </c>
      <c r="AY17" s="29" t="n">
        <v>0.1822654344990878</v>
      </c>
      <c r="AZ17" s="29" t="n">
        <v>0.2107195668325869</v>
      </c>
      <c r="BA17" s="29" t="n">
        <v>0.8781454746377287</v>
      </c>
      <c r="BB17" s="29">
        <f>SUM(C17:BA17)</f>
        <v/>
      </c>
      <c r="BC17" s="29" t="n">
        <v>0</v>
      </c>
      <c r="BD17" s="29" t="n">
        <v>0</v>
      </c>
      <c r="BE17" s="29" t="n">
        <v>0</v>
      </c>
      <c r="BF17" s="29" t="n">
        <v>0</v>
      </c>
      <c r="BG17" s="29">
        <f>SUM(BC17:BF17)</f>
        <v/>
      </c>
      <c r="BH17" s="29">
        <f>BB17+BG17</f>
        <v/>
      </c>
    </row>
    <row r="18">
      <c r="A18" s="27" t="n">
        <v>5</v>
      </c>
      <c r="B18" s="28" t="inlineStr">
        <is>
          <t>Outros da indústria extrativa</t>
        </is>
      </c>
      <c r="C18" s="27" t="n">
        <v>65.60817161440588</v>
      </c>
      <c r="D18" s="27" t="n">
        <v>39.18371768543865</v>
      </c>
      <c r="E18" s="27" t="n">
        <v>38.68520259981539</v>
      </c>
      <c r="F18" s="27" t="n">
        <v>0.8426679264935916</v>
      </c>
      <c r="G18" s="27" t="n">
        <v>130.7614776944982</v>
      </c>
      <c r="H18" s="27" t="n">
        <v>42.55401077027</v>
      </c>
      <c r="I18" s="27" t="n">
        <v>0.010465648879359</v>
      </c>
      <c r="J18" s="27" t="n">
        <v>1.542745423855996</v>
      </c>
      <c r="K18" s="27" t="n">
        <v>0.04290682399280851</v>
      </c>
      <c r="L18" s="27" t="n">
        <v>1.09942586661635</v>
      </c>
      <c r="M18" s="27" t="n">
        <v>0.1399949690576575</v>
      </c>
      <c r="N18" s="27" t="n">
        <v>6.705395120284415</v>
      </c>
      <c r="O18" s="27" t="n">
        <v>0.4370814924789296</v>
      </c>
      <c r="P18" s="27" t="n">
        <v>6.967075099386311</v>
      </c>
      <c r="Q18" s="27" t="n">
        <v>12.40897374007221</v>
      </c>
      <c r="R18" s="27" t="n">
        <v>420.4721233757691</v>
      </c>
      <c r="S18" s="27" t="n">
        <v>3.68682941712055</v>
      </c>
      <c r="T18" s="27" t="n">
        <v>0.547481901468351</v>
      </c>
      <c r="U18" s="27" t="n">
        <v>0.4370673001667366</v>
      </c>
      <c r="V18" s="27" t="n">
        <v>3.157188707027813</v>
      </c>
      <c r="W18" s="27" t="n">
        <v>13.05693808726916</v>
      </c>
      <c r="X18" s="27" t="n">
        <v>4.061945648881731</v>
      </c>
      <c r="Y18" s="27" t="n">
        <v>4.200414694834668</v>
      </c>
      <c r="Z18" s="27" t="n">
        <v>469.1714950378696</v>
      </c>
      <c r="AA18" s="27" t="n">
        <v>1554.832574428375</v>
      </c>
      <c r="AB18" s="27" t="n">
        <v>1015.727131851437</v>
      </c>
      <c r="AC18" s="27" t="n">
        <v>3.183940502790313</v>
      </c>
      <c r="AD18" s="27" t="n">
        <v>4.290317170485733</v>
      </c>
      <c r="AE18" s="27" t="n">
        <v>11.15439207421794</v>
      </c>
      <c r="AF18" s="27" t="n">
        <v>0.4315573462179832</v>
      </c>
      <c r="AG18" s="27" t="n">
        <v>2.321735633888139</v>
      </c>
      <c r="AH18" s="27" t="n">
        <v>18.54143411612539</v>
      </c>
      <c r="AI18" s="27" t="n">
        <v>1.021692940222423</v>
      </c>
      <c r="AJ18" s="27" t="n">
        <v>6.022864023857598</v>
      </c>
      <c r="AK18" s="27" t="n">
        <v>183.5106201831582</v>
      </c>
      <c r="AL18" s="27" t="n">
        <v>639.4048720326326</v>
      </c>
      <c r="AM18" s="27" t="n">
        <v>5.947002081458463</v>
      </c>
      <c r="AN18" s="27" t="n">
        <v>0.7843358031528721</v>
      </c>
      <c r="AO18" s="27" t="n">
        <v>0.262714151071623</v>
      </c>
      <c r="AP18" s="27" t="n">
        <v>0.1336404555242872</v>
      </c>
      <c r="AQ18" s="27" t="n">
        <v>19.3715718766316</v>
      </c>
      <c r="AR18" s="27" t="n">
        <v>0.006239219214902799</v>
      </c>
      <c r="AS18" s="27" t="n">
        <v>2.959646092462218</v>
      </c>
      <c r="AT18" s="27" t="n">
        <v>5.682055669798966</v>
      </c>
      <c r="AU18" s="27" t="n">
        <v>0.1254790384891875</v>
      </c>
      <c r="AV18" s="27" t="n">
        <v>3.346201791966415</v>
      </c>
      <c r="AW18" s="27" t="n">
        <v>1.274378242895826</v>
      </c>
      <c r="AX18" s="27" t="n">
        <v>0</v>
      </c>
      <c r="AY18" s="27" t="n">
        <v>5.292585543110661</v>
      </c>
      <c r="AZ18" s="27" t="n">
        <v>1.661504642466147</v>
      </c>
      <c r="BA18" s="27" t="n">
        <v>4.747270444898299</v>
      </c>
      <c r="BB18" s="27">
        <f>SUM(C18:BA18)</f>
        <v/>
      </c>
      <c r="BC18" s="27" t="n">
        <v>0</v>
      </c>
      <c r="BD18" s="27" t="n">
        <v>0</v>
      </c>
      <c r="BE18" s="27" t="n">
        <v>0</v>
      </c>
      <c r="BF18" s="27" t="n">
        <v>0</v>
      </c>
      <c r="BG18" s="27">
        <f>SUM(BC18:BF18)</f>
        <v/>
      </c>
      <c r="BH18" s="27">
        <f>BB18+BG18</f>
        <v/>
      </c>
    </row>
    <row r="19">
      <c r="A19" s="29" t="n">
        <v>6</v>
      </c>
      <c r="B19" s="30" t="inlineStr">
        <is>
          <t>Alimentos e Bebidas</t>
        </is>
      </c>
      <c r="C19" s="29" t="n">
        <v>112.1980063679057</v>
      </c>
      <c r="D19" s="29" t="n">
        <v>809.2474688453264</v>
      </c>
      <c r="E19" s="29" t="n">
        <v>42.34726190687642</v>
      </c>
      <c r="F19" s="29" t="n">
        <v>-1.651052285233424</v>
      </c>
      <c r="G19" s="29" t="n">
        <v>17.21884229631933</v>
      </c>
      <c r="H19" s="29" t="n">
        <v>5610.428666402354</v>
      </c>
      <c r="I19" s="29" t="n">
        <v>-2.548696538029558</v>
      </c>
      <c r="J19" s="29" t="n">
        <v>-1.953565109787767</v>
      </c>
      <c r="K19" s="29" t="n">
        <v>-7.459450930280134</v>
      </c>
      <c r="L19" s="29" t="n">
        <v>234.4591895016225</v>
      </c>
      <c r="M19" s="29" t="n">
        <v>0.6275079974942399</v>
      </c>
      <c r="N19" s="29" t="n">
        <v>37.75160067874932</v>
      </c>
      <c r="O19" s="29" t="n">
        <v>1.989370572606199</v>
      </c>
      <c r="P19" s="29" t="n">
        <v>404.5151676976448</v>
      </c>
      <c r="Q19" s="29" t="n">
        <v>95.33438881299396</v>
      </c>
      <c r="R19" s="29" t="n">
        <v>86.48246386244816</v>
      </c>
      <c r="S19" s="29" t="n">
        <v>34.01596751936406</v>
      </c>
      <c r="T19" s="29" t="n">
        <v>55.31591021617669</v>
      </c>
      <c r="U19" s="29" t="n">
        <v>22.14110304293427</v>
      </c>
      <c r="V19" s="29" t="n">
        <v>235.6396742411561</v>
      </c>
      <c r="W19" s="29" t="n">
        <v>29.89696275094415</v>
      </c>
      <c r="X19" s="29" t="n">
        <v>81.34732615254845</v>
      </c>
      <c r="Y19" s="29" t="n">
        <v>-0.8671806669238596</v>
      </c>
      <c r="Z19" s="29" t="n">
        <v>-5.631515935183653</v>
      </c>
      <c r="AA19" s="29" t="n">
        <v>-3.776481906043135</v>
      </c>
      <c r="AB19" s="29" t="n">
        <v>-0.7746177665875734</v>
      </c>
      <c r="AC19" s="29" t="n">
        <v>2.793728584601662</v>
      </c>
      <c r="AD19" s="29" t="n">
        <v>-14.49885554569408</v>
      </c>
      <c r="AE19" s="29" t="n">
        <v>-6.063528384514277</v>
      </c>
      <c r="AF19" s="29" t="n">
        <v>-12.70338739291515</v>
      </c>
      <c r="AG19" s="29" t="n">
        <v>2.013703498881055</v>
      </c>
      <c r="AH19" s="29" t="n">
        <v>3.33086975659428</v>
      </c>
      <c r="AI19" s="29" t="n">
        <v>1.084083299410619</v>
      </c>
      <c r="AJ19" s="29" t="n">
        <v>1.502381974269135</v>
      </c>
      <c r="AK19" s="29" t="n">
        <v>13.76553411680195</v>
      </c>
      <c r="AL19" s="29" t="n">
        <v>57.05360995790595</v>
      </c>
      <c r="AM19" s="29" t="n">
        <v>144.9838195976822</v>
      </c>
      <c r="AN19" s="29" t="n">
        <v>4.636909798522462</v>
      </c>
      <c r="AO19" s="29" t="n">
        <v>-48.34131347130614</v>
      </c>
      <c r="AP19" s="29" t="n">
        <v>30.68595531318213</v>
      </c>
      <c r="AQ19" s="29" t="n">
        <v>1.875095223302359</v>
      </c>
      <c r="AR19" s="29" t="n">
        <v>2.989886980315453</v>
      </c>
      <c r="AS19" s="29" t="n">
        <v>5055.701589735471</v>
      </c>
      <c r="AT19" s="29" t="n">
        <v>7.509954665965839</v>
      </c>
      <c r="AU19" s="29" t="n">
        <v>29.20854437871094</v>
      </c>
      <c r="AV19" s="29" t="n">
        <v>130.4954097221813</v>
      </c>
      <c r="AW19" s="29" t="n">
        <v>95.69444561149116</v>
      </c>
      <c r="AX19" s="29" t="n">
        <v>0</v>
      </c>
      <c r="AY19" s="29" t="n">
        <v>239.291425822172</v>
      </c>
      <c r="AZ19" s="29" t="n">
        <v>161.6979945418105</v>
      </c>
      <c r="BA19" s="29" t="n">
        <v>284.4358535900232</v>
      </c>
      <c r="BB19" s="29">
        <f>SUM(C19:BA19)</f>
        <v/>
      </c>
      <c r="BC19" s="29" t="n">
        <v>0</v>
      </c>
      <c r="BD19" s="29" t="n">
        <v>0</v>
      </c>
      <c r="BE19" s="29" t="n">
        <v>0</v>
      </c>
      <c r="BF19" s="29" t="n">
        <v>0</v>
      </c>
      <c r="BG19" s="29">
        <f>SUM(BC19:BF19)</f>
        <v/>
      </c>
      <c r="BH19" s="29">
        <f>BB19+BG19</f>
        <v/>
      </c>
    </row>
    <row r="20">
      <c r="A20" s="27" t="n">
        <v>7</v>
      </c>
      <c r="B20" s="28" t="inlineStr">
        <is>
          <t>Produtos do fumo</t>
        </is>
      </c>
      <c r="C20" s="27" t="n">
        <v>0.006848891073192245</v>
      </c>
      <c r="D20" s="27" t="n">
        <v>0.003768102336034699</v>
      </c>
      <c r="E20" s="27" t="n">
        <v>0.1599265285084542</v>
      </c>
      <c r="F20" s="27" t="n">
        <v>0.04761230293102893</v>
      </c>
      <c r="G20" s="27" t="n">
        <v>0.0335940588257784</v>
      </c>
      <c r="H20" s="27" t="n">
        <v>0.1767044168491908</v>
      </c>
      <c r="I20" s="27" t="n">
        <v>407.7473001464261</v>
      </c>
      <c r="J20" s="27" t="n">
        <v>0.009788414155761859</v>
      </c>
      <c r="K20" s="27" t="n">
        <v>0.01247385045991661</v>
      </c>
      <c r="L20" s="27" t="n">
        <v>0.01320038398344436</v>
      </c>
      <c r="M20" s="27" t="n">
        <v>0.01007817316501899</v>
      </c>
      <c r="N20" s="27" t="n">
        <v>0.03523435320499836</v>
      </c>
      <c r="O20" s="27" t="n">
        <v>0.01503885112855772</v>
      </c>
      <c r="P20" s="27" t="n">
        <v>0.03229614298331261</v>
      </c>
      <c r="Q20" s="27" t="n">
        <v>0.006136944281721177</v>
      </c>
      <c r="R20" s="27" t="n">
        <v>0.03285071953879186</v>
      </c>
      <c r="S20" s="27" t="n">
        <v>0.00916797507437617</v>
      </c>
      <c r="T20" s="27" t="n">
        <v>0.04055450917314269</v>
      </c>
      <c r="U20" s="27" t="n">
        <v>0.01307012401487178</v>
      </c>
      <c r="V20" s="27" t="n">
        <v>0.01800768756584182</v>
      </c>
      <c r="W20" s="27" t="n">
        <v>0.01063163352646287</v>
      </c>
      <c r="X20" s="27" t="n">
        <v>0.01117524895772354</v>
      </c>
      <c r="Y20" s="27" t="n">
        <v>0.02612154963692018</v>
      </c>
      <c r="Z20" s="27" t="n">
        <v>0.04147604996524604</v>
      </c>
      <c r="AA20" s="27" t="n">
        <v>0.0958586737219653</v>
      </c>
      <c r="AB20" s="27" t="n">
        <v>0.0257488310117096</v>
      </c>
      <c r="AC20" s="27" t="n">
        <v>0.02269012218746536</v>
      </c>
      <c r="AD20" s="27" t="n">
        <v>0.3515461804710003</v>
      </c>
      <c r="AE20" s="27" t="n">
        <v>0.03673924209716443</v>
      </c>
      <c r="AF20" s="27" t="n">
        <v>0.04246561825479495</v>
      </c>
      <c r="AG20" s="27" t="n">
        <v>0.06619275006920694</v>
      </c>
      <c r="AH20" s="27" t="n">
        <v>0.02300005512105968</v>
      </c>
      <c r="AI20" s="27" t="n">
        <v>0.01136407364242997</v>
      </c>
      <c r="AJ20" s="27" t="n">
        <v>0.01163599719304594</v>
      </c>
      <c r="AK20" s="27" t="n">
        <v>0.0738237469096838</v>
      </c>
      <c r="AL20" s="27" t="n">
        <v>0.1649841792836456</v>
      </c>
      <c r="AM20" s="27" t="n">
        <v>0.3302179395443272</v>
      </c>
      <c r="AN20" s="27" t="n">
        <v>0.175598809989002</v>
      </c>
      <c r="AO20" s="27" t="n">
        <v>0.2156256189524734</v>
      </c>
      <c r="AP20" s="27" t="n">
        <v>0.1807926869386392</v>
      </c>
      <c r="AQ20" s="27" t="n">
        <v>0.01509318572367553</v>
      </c>
      <c r="AR20" s="27" t="n">
        <v>0.001806123404728015</v>
      </c>
      <c r="AS20" s="27" t="n">
        <v>0.02030504002220802</v>
      </c>
      <c r="AT20" s="27" t="n">
        <v>0.2184853310258786</v>
      </c>
      <c r="AU20" s="27" t="n">
        <v>0.04253440175439788</v>
      </c>
      <c r="AV20" s="27" t="n">
        <v>0.02016521855071781</v>
      </c>
      <c r="AW20" s="27" t="n">
        <v>0.09571522918157808</v>
      </c>
      <c r="AX20" s="27" t="n">
        <v>0</v>
      </c>
      <c r="AY20" s="27" t="n">
        <v>0.03390330971261068</v>
      </c>
      <c r="AZ20" s="27" t="n">
        <v>0.04440009052121462</v>
      </c>
      <c r="BA20" s="27" t="n">
        <v>0.1667543410598471</v>
      </c>
      <c r="BB20" s="27">
        <f>SUM(C20:BA20)</f>
        <v/>
      </c>
      <c r="BC20" s="27" t="n">
        <v>0</v>
      </c>
      <c r="BD20" s="27" t="n">
        <v>0</v>
      </c>
      <c r="BE20" s="27" t="n">
        <v>0</v>
      </c>
      <c r="BF20" s="27" t="n">
        <v>0</v>
      </c>
      <c r="BG20" s="27">
        <f>SUM(BC20:BF20)</f>
        <v/>
      </c>
      <c r="BH20" s="27">
        <f>BB20+BG20</f>
        <v/>
      </c>
    </row>
    <row r="21">
      <c r="A21" s="29" t="n">
        <v>8</v>
      </c>
      <c r="B21" s="30" t="inlineStr">
        <is>
          <t>Têxteis</t>
        </is>
      </c>
      <c r="C21" s="29" t="n">
        <v>53.08898679533593</v>
      </c>
      <c r="D21" s="29" t="n">
        <v>1.158014075701916</v>
      </c>
      <c r="E21" s="29" t="n">
        <v>9.477500430900243</v>
      </c>
      <c r="F21" s="29" t="n">
        <v>0.1028526132630728</v>
      </c>
      <c r="G21" s="29" t="n">
        <v>22.14098799410262</v>
      </c>
      <c r="H21" s="29" t="n">
        <v>36.12342742395663</v>
      </c>
      <c r="I21" s="29" t="n">
        <v>0.1290796732266387</v>
      </c>
      <c r="J21" s="29" t="n">
        <v>1215.218734715015</v>
      </c>
      <c r="K21" s="29" t="n">
        <v>1470.024630871805</v>
      </c>
      <c r="L21" s="29" t="n">
        <v>426.623872563676</v>
      </c>
      <c r="M21" s="29" t="n">
        <v>1.718584923909994</v>
      </c>
      <c r="N21" s="29" t="n">
        <v>14.0303636991767</v>
      </c>
      <c r="O21" s="29" t="n">
        <v>0.5779507346088226</v>
      </c>
      <c r="P21" s="29" t="n">
        <v>0.13383723213936</v>
      </c>
      <c r="Q21" s="29" t="n">
        <v>0.04560051007538979</v>
      </c>
      <c r="R21" s="29" t="n">
        <v>1.199671121127296</v>
      </c>
      <c r="S21" s="29" t="n">
        <v>5.516274610468566</v>
      </c>
      <c r="T21" s="29" t="n">
        <v>6.874289323641952</v>
      </c>
      <c r="U21" s="29" t="n">
        <v>0.55036345950017</v>
      </c>
      <c r="V21" s="29" t="n">
        <v>2.717476216820524</v>
      </c>
      <c r="W21" s="29" t="n">
        <v>2.099705492257485</v>
      </c>
      <c r="X21" s="29" t="n">
        <v>5.516543247742425</v>
      </c>
      <c r="Y21" s="29" t="n">
        <v>92.83921569343609</v>
      </c>
      <c r="Z21" s="29" t="n">
        <v>6.046212144261981</v>
      </c>
      <c r="AA21" s="29" t="n">
        <v>0.3329153062947777</v>
      </c>
      <c r="AB21" s="29" t="n">
        <v>0.5580788777423348</v>
      </c>
      <c r="AC21" s="29" t="n">
        <v>6.149417682408065</v>
      </c>
      <c r="AD21" s="29" t="n">
        <v>2.391561122530586</v>
      </c>
      <c r="AE21" s="29" t="n">
        <v>8.390911039374551</v>
      </c>
      <c r="AF21" s="29" t="n">
        <v>3.962960002605954</v>
      </c>
      <c r="AG21" s="29" t="n">
        <v>16.57663922902296</v>
      </c>
      <c r="AH21" s="29" t="n">
        <v>168.6071492930199</v>
      </c>
      <c r="AI21" s="29" t="n">
        <v>6.766006194695132</v>
      </c>
      <c r="AJ21" s="29" t="n">
        <v>153.6185766582992</v>
      </c>
      <c r="AK21" s="29" t="n">
        <v>2.958238374174867</v>
      </c>
      <c r="AL21" s="29" t="n">
        <v>69.04592283855135</v>
      </c>
      <c r="AM21" s="29" t="n">
        <v>17.70995756902373</v>
      </c>
      <c r="AN21" s="29" t="n">
        <v>10.76465728960657</v>
      </c>
      <c r="AO21" s="29" t="n">
        <v>1.503255084263045</v>
      </c>
      <c r="AP21" s="29" t="n">
        <v>1.300864189425518</v>
      </c>
      <c r="AQ21" s="29" t="n">
        <v>0.2911226085525383</v>
      </c>
      <c r="AR21" s="29" t="n">
        <v>2.959549917425297</v>
      </c>
      <c r="AS21" s="29" t="n">
        <v>39.73669321618686</v>
      </c>
      <c r="AT21" s="29" t="n">
        <v>3.576679939004372</v>
      </c>
      <c r="AU21" s="29" t="n">
        <v>0.3298037224606848</v>
      </c>
      <c r="AV21" s="29" t="n">
        <v>1.898080748493213</v>
      </c>
      <c r="AW21" s="29" t="n">
        <v>62.6150430868292</v>
      </c>
      <c r="AX21" s="29" t="n">
        <v>0</v>
      </c>
      <c r="AY21" s="29" t="n">
        <v>6.147030283350419</v>
      </c>
      <c r="AZ21" s="29" t="n">
        <v>3.219174346051599</v>
      </c>
      <c r="BA21" s="29" t="n">
        <v>5.956847821177362</v>
      </c>
      <c r="BB21" s="29">
        <f>SUM(C21:BA21)</f>
        <v/>
      </c>
      <c r="BC21" s="29" t="n">
        <v>0</v>
      </c>
      <c r="BD21" s="29" t="n">
        <v>0</v>
      </c>
      <c r="BE21" s="29" t="n">
        <v>0</v>
      </c>
      <c r="BF21" s="29" t="n">
        <v>0</v>
      </c>
      <c r="BG21" s="29">
        <f>SUM(BC21:BF21)</f>
        <v/>
      </c>
      <c r="BH21" s="29">
        <f>BB21+BG21</f>
        <v/>
      </c>
    </row>
    <row r="22">
      <c r="A22" s="27" t="n">
        <v>9</v>
      </c>
      <c r="B22" s="28" t="inlineStr">
        <is>
          <t>Artigos do vestuário e acessórios</t>
        </is>
      </c>
      <c r="C22" s="27" t="n">
        <v>2.499767003360499</v>
      </c>
      <c r="D22" s="27" t="n">
        <v>0.1655248666139399</v>
      </c>
      <c r="E22" s="27" t="n">
        <v>9.95383464561171</v>
      </c>
      <c r="F22" s="27" t="n">
        <v>0.4455130460090735</v>
      </c>
      <c r="G22" s="27" t="n">
        <v>1.163658861148384</v>
      </c>
      <c r="H22" s="27" t="n">
        <v>3.075340920511214</v>
      </c>
      <c r="I22" s="27" t="n">
        <v>0.03718997064514582</v>
      </c>
      <c r="J22" s="27" t="n">
        <v>17.62056334460466</v>
      </c>
      <c r="K22" s="27" t="n">
        <v>316.5549405998517</v>
      </c>
      <c r="L22" s="27" t="n">
        <v>7.81112662307808</v>
      </c>
      <c r="M22" s="27" t="n">
        <v>0.09994540769147124</v>
      </c>
      <c r="N22" s="27" t="n">
        <v>0.460166486414315</v>
      </c>
      <c r="O22" s="27" t="n">
        <v>0.1708787957426474</v>
      </c>
      <c r="P22" s="27" t="n">
        <v>0.1550543163541603</v>
      </c>
      <c r="Q22" s="27" t="n">
        <v>0.0471621139883663</v>
      </c>
      <c r="R22" s="27" t="n">
        <v>0.2722662198559799</v>
      </c>
      <c r="S22" s="27" t="n">
        <v>0.2268100516479537</v>
      </c>
      <c r="T22" s="27" t="n">
        <v>0.2460988160696962</v>
      </c>
      <c r="U22" s="27" t="n">
        <v>0.6283065429298093</v>
      </c>
      <c r="V22" s="27" t="n">
        <v>0.1240910212258087</v>
      </c>
      <c r="W22" s="27" t="n">
        <v>0.189691220891987</v>
      </c>
      <c r="X22" s="27" t="n">
        <v>0.1666307588251114</v>
      </c>
      <c r="Y22" s="27" t="n">
        <v>1.205437465898487</v>
      </c>
      <c r="Z22" s="27" t="n">
        <v>2.475480023327872</v>
      </c>
      <c r="AA22" s="27" t="n">
        <v>1.743586729188236</v>
      </c>
      <c r="AB22" s="27" t="n">
        <v>0.2191466146310717</v>
      </c>
      <c r="AC22" s="27" t="n">
        <v>7.686198801856066</v>
      </c>
      <c r="AD22" s="27" t="n">
        <v>4.240889770945938</v>
      </c>
      <c r="AE22" s="27" t="n">
        <v>0.4477219450814129</v>
      </c>
      <c r="AF22" s="27" t="n">
        <v>0.491682876360245</v>
      </c>
      <c r="AG22" s="27" t="n">
        <v>0.5246847664593834</v>
      </c>
      <c r="AH22" s="27" t="n">
        <v>3.226654889075488</v>
      </c>
      <c r="AI22" s="27" t="n">
        <v>0.342181039959262</v>
      </c>
      <c r="AJ22" s="27" t="n">
        <v>3.630702364744241</v>
      </c>
      <c r="AK22" s="27" t="n">
        <v>24.87714737112875</v>
      </c>
      <c r="AL22" s="27" t="n">
        <v>8.645231806927299</v>
      </c>
      <c r="AM22" s="27" t="n">
        <v>35.50637876254217</v>
      </c>
      <c r="AN22" s="27" t="n">
        <v>66.06316534534491</v>
      </c>
      <c r="AO22" s="27" t="n">
        <v>22.78175772369165</v>
      </c>
      <c r="AP22" s="27" t="n">
        <v>72.47181149676001</v>
      </c>
      <c r="AQ22" s="27" t="n">
        <v>4.148202033216462</v>
      </c>
      <c r="AR22" s="27" t="n">
        <v>0.0703023538579597</v>
      </c>
      <c r="AS22" s="27" t="n">
        <v>29.36316327220653</v>
      </c>
      <c r="AT22" s="27" t="n">
        <v>48.35384907321584</v>
      </c>
      <c r="AU22" s="27" t="n">
        <v>0.1784661202847318</v>
      </c>
      <c r="AV22" s="27" t="n">
        <v>5.355916514084724</v>
      </c>
      <c r="AW22" s="27" t="n">
        <v>175.9202671871238</v>
      </c>
      <c r="AX22" s="27" t="n">
        <v>0</v>
      </c>
      <c r="AY22" s="27" t="n">
        <v>87.71525256108512</v>
      </c>
      <c r="AZ22" s="27" t="n">
        <v>8.40570223877168</v>
      </c>
      <c r="BA22" s="27" t="n">
        <v>75.35920592471982</v>
      </c>
      <c r="BB22" s="27">
        <f>SUM(C22:BA22)</f>
        <v/>
      </c>
      <c r="BC22" s="27" t="n">
        <v>0</v>
      </c>
      <c r="BD22" s="27" t="n">
        <v>0</v>
      </c>
      <c r="BE22" s="27" t="n">
        <v>0</v>
      </c>
      <c r="BF22" s="27" t="n">
        <v>0</v>
      </c>
      <c r="BG22" s="27">
        <f>SUM(BC22:BF22)</f>
        <v/>
      </c>
      <c r="BH22" s="27">
        <f>BB22+BG22</f>
        <v/>
      </c>
    </row>
    <row r="23">
      <c r="A23" s="29" t="n">
        <v>10</v>
      </c>
      <c r="B23" s="30" t="inlineStr">
        <is>
          <t>Artefatos de couro e calçados</t>
        </is>
      </c>
      <c r="C23" s="29" t="n">
        <v>0.1967792648592117</v>
      </c>
      <c r="D23" s="29" t="n">
        <v>0.2959211651841817</v>
      </c>
      <c r="E23" s="29" t="n">
        <v>0.9080020023052894</v>
      </c>
      <c r="F23" s="29" t="n">
        <v>0.2970852651920797</v>
      </c>
      <c r="G23" s="29" t="n">
        <v>1.371973856416361</v>
      </c>
      <c r="H23" s="29" t="n">
        <v>3.93715338405156</v>
      </c>
      <c r="I23" s="29" t="n">
        <v>0.05049541963108272</v>
      </c>
      <c r="J23" s="29" t="n">
        <v>0.1769598762866626</v>
      </c>
      <c r="K23" s="29" t="n">
        <v>2.282246717988323</v>
      </c>
      <c r="L23" s="29" t="n">
        <v>905.9028269872739</v>
      </c>
      <c r="M23" s="29" t="n">
        <v>0.2528006916852411</v>
      </c>
      <c r="N23" s="29" t="n">
        <v>10.68585950336516</v>
      </c>
      <c r="O23" s="29" t="n">
        <v>0.2085871664767261</v>
      </c>
      <c r="P23" s="29" t="n">
        <v>0.2784843740889162</v>
      </c>
      <c r="Q23" s="29" t="n">
        <v>0.1039938882697943</v>
      </c>
      <c r="R23" s="29" t="n">
        <v>0.34433053399831</v>
      </c>
      <c r="S23" s="29" t="n">
        <v>0.2940595470672041</v>
      </c>
      <c r="T23" s="29" t="n">
        <v>0.5627069006349138</v>
      </c>
      <c r="U23" s="29" t="n">
        <v>0.3248700693086788</v>
      </c>
      <c r="V23" s="29" t="n">
        <v>0.6485293282377873</v>
      </c>
      <c r="W23" s="29" t="n">
        <v>0.4381369883281032</v>
      </c>
      <c r="X23" s="29" t="n">
        <v>1.274336864540871</v>
      </c>
      <c r="Y23" s="29" t="n">
        <v>1.014101509363838</v>
      </c>
      <c r="Z23" s="29" t="n">
        <v>0.4103434848022369</v>
      </c>
      <c r="AA23" s="29" t="n">
        <v>0.5885919897879495</v>
      </c>
      <c r="AB23" s="29" t="n">
        <v>0.1015330626893089</v>
      </c>
      <c r="AC23" s="29" t="n">
        <v>3.12846830442837</v>
      </c>
      <c r="AD23" s="29" t="n">
        <v>1.49875389835887</v>
      </c>
      <c r="AE23" s="29" t="n">
        <v>0.2213554796659131</v>
      </c>
      <c r="AF23" s="29" t="n">
        <v>4.714038501150061</v>
      </c>
      <c r="AG23" s="29" t="n">
        <v>1.398470819608793</v>
      </c>
      <c r="AH23" s="29" t="n">
        <v>1.194799477459232</v>
      </c>
      <c r="AI23" s="29" t="n">
        <v>0.1204062366965303</v>
      </c>
      <c r="AJ23" s="29" t="n">
        <v>1.426329683279123</v>
      </c>
      <c r="AK23" s="29" t="n">
        <v>8.708672102599751</v>
      </c>
      <c r="AL23" s="29" t="n">
        <v>4.267207921859203</v>
      </c>
      <c r="AM23" s="29" t="n">
        <v>2.521897476376822</v>
      </c>
      <c r="AN23" s="29" t="n">
        <v>2.189915486765996</v>
      </c>
      <c r="AO23" s="29" t="n">
        <v>3.998281570428202</v>
      </c>
      <c r="AP23" s="29" t="n">
        <v>1.233537294849309</v>
      </c>
      <c r="AQ23" s="29" t="n">
        <v>0.1463150383916075</v>
      </c>
      <c r="AR23" s="29" t="n">
        <v>0.01149413564469867</v>
      </c>
      <c r="AS23" s="29" t="n">
        <v>1.079045607486407</v>
      </c>
      <c r="AT23" s="29" t="n">
        <v>6.005929247373039</v>
      </c>
      <c r="AU23" s="29" t="n">
        <v>0.2144519374808032</v>
      </c>
      <c r="AV23" s="29" t="n">
        <v>0.161826205229512</v>
      </c>
      <c r="AW23" s="29" t="n">
        <v>1.827522070381649</v>
      </c>
      <c r="AX23" s="29" t="n">
        <v>0</v>
      </c>
      <c r="AY23" s="29" t="n">
        <v>0.9985809403105192</v>
      </c>
      <c r="AZ23" s="29" t="n">
        <v>0.6628634233850795</v>
      </c>
      <c r="BA23" s="29" t="n">
        <v>3.604607226223083</v>
      </c>
      <c r="BB23" s="29">
        <f>SUM(C23:BA23)</f>
        <v/>
      </c>
      <c r="BC23" s="29" t="n">
        <v>0</v>
      </c>
      <c r="BD23" s="29" t="n">
        <v>0</v>
      </c>
      <c r="BE23" s="29" t="n">
        <v>0</v>
      </c>
      <c r="BF23" s="29" t="n">
        <v>0</v>
      </c>
      <c r="BG23" s="29">
        <f>SUM(BC23:BF23)</f>
        <v/>
      </c>
      <c r="BH23" s="29">
        <f>BB23+BG23</f>
        <v/>
      </c>
    </row>
    <row r="24">
      <c r="A24" s="28" t="inlineStr">
        <is>
          <t>Produtos de madeira</t>
        </is>
      </c>
      <c r="B24" s="28" t="inlineStr">
        <is>
          <t>exclusive móveis</t>
        </is>
      </c>
      <c r="C24" s="27" t="n">
        <v>22.90292517204059</v>
      </c>
      <c r="D24" s="27" t="n">
        <v>17.09835269698752</v>
      </c>
      <c r="E24" s="27" t="n">
        <v>0.4709472902885125</v>
      </c>
      <c r="F24" s="27" t="n">
        <v>0.1804470308283216</v>
      </c>
      <c r="G24" s="27" t="n">
        <v>0.5147906029872173</v>
      </c>
      <c r="H24" s="27" t="n">
        <v>28.87542785653747</v>
      </c>
      <c r="I24" s="27" t="n">
        <v>0.0482726873920236</v>
      </c>
      <c r="J24" s="27" t="n">
        <v>2.530068825972899</v>
      </c>
      <c r="K24" s="27" t="n">
        <v>0.7340473646057027</v>
      </c>
      <c r="L24" s="27" t="n">
        <v>0.2905168670524599</v>
      </c>
      <c r="M24" s="27" t="n">
        <v>338.8399046458938</v>
      </c>
      <c r="N24" s="27" t="n">
        <v>27.31529243823603</v>
      </c>
      <c r="O24" s="27" t="n">
        <v>0.2868552501171656</v>
      </c>
      <c r="P24" s="27" t="n">
        <v>0.08471607172702487</v>
      </c>
      <c r="Q24" s="27" t="n">
        <v>0.02399073611992147</v>
      </c>
      <c r="R24" s="27" t="n">
        <v>1.489237401998425</v>
      </c>
      <c r="S24" s="27" t="n">
        <v>0.08053112622409241</v>
      </c>
      <c r="T24" s="27" t="n">
        <v>0.1397785916526203</v>
      </c>
      <c r="U24" s="27" t="n">
        <v>0.6641114077310436</v>
      </c>
      <c r="V24" s="27" t="n">
        <v>0.294457385816281</v>
      </c>
      <c r="W24" s="27" t="n">
        <v>0.2271511766778915</v>
      </c>
      <c r="X24" s="27" t="n">
        <v>2.202893529903054</v>
      </c>
      <c r="Y24" s="27" t="n">
        <v>1.764097775510278</v>
      </c>
      <c r="Z24" s="27" t="n">
        <v>2.729604193013647</v>
      </c>
      <c r="AA24" s="27" t="n">
        <v>1.927079423971475</v>
      </c>
      <c r="AB24" s="27" t="n">
        <v>0.7110547881795022</v>
      </c>
      <c r="AC24" s="27" t="n">
        <v>15.32406073739509</v>
      </c>
      <c r="AD24" s="27" t="n">
        <v>21.80059722707115</v>
      </c>
      <c r="AE24" s="27" t="n">
        <v>1.141473696135804</v>
      </c>
      <c r="AF24" s="27" t="n">
        <v>0.4337936832948818</v>
      </c>
      <c r="AG24" s="27" t="n">
        <v>11.6962498610029</v>
      </c>
      <c r="AH24" s="27" t="n">
        <v>5.641672606635504</v>
      </c>
      <c r="AI24" s="27" t="n">
        <v>8.076560961420636</v>
      </c>
      <c r="AJ24" s="27" t="n">
        <v>424.4688080626124</v>
      </c>
      <c r="AK24" s="27" t="n">
        <v>21.36067159420067</v>
      </c>
      <c r="AL24" s="27" t="n">
        <v>358.318387882213</v>
      </c>
      <c r="AM24" s="27" t="n">
        <v>95.83833118136764</v>
      </c>
      <c r="AN24" s="27" t="n">
        <v>4.639097442592214</v>
      </c>
      <c r="AO24" s="27" t="n">
        <v>12.10624215649656</v>
      </c>
      <c r="AP24" s="27" t="n">
        <v>0.4768702033805228</v>
      </c>
      <c r="AQ24" s="27" t="n">
        <v>21.37281156713638</v>
      </c>
      <c r="AR24" s="27" t="n">
        <v>0.09819790302284966</v>
      </c>
      <c r="AS24" s="27" t="n">
        <v>0.343025143420963</v>
      </c>
      <c r="AT24" s="27" t="n">
        <v>1.212130346776344</v>
      </c>
      <c r="AU24" s="27" t="n">
        <v>0.2125765647148024</v>
      </c>
      <c r="AV24" s="27" t="n">
        <v>0.1905923210452942</v>
      </c>
      <c r="AW24" s="27" t="n">
        <v>19.74412691863227</v>
      </c>
      <c r="AX24" s="27" t="n">
        <v>0</v>
      </c>
      <c r="AY24" s="27" t="n">
        <v>3.207990155061084</v>
      </c>
      <c r="AZ24" s="27" t="n">
        <v>0.4105786704795585</v>
      </c>
      <c r="BA24" s="27" t="n">
        <v>4.206609910826436</v>
      </c>
      <c r="BB24" s="27">
        <f>SUM(C24:BA24)</f>
        <v/>
      </c>
      <c r="BC24" s="27" t="n">
        <v>0</v>
      </c>
      <c r="BD24" s="27" t="n">
        <v>0</v>
      </c>
      <c r="BE24" s="27" t="n">
        <v>0</v>
      </c>
      <c r="BF24" s="27" t="n">
        <v>0</v>
      </c>
      <c r="BG24" s="27">
        <f>SUM(BC24:BF24)</f>
        <v/>
      </c>
      <c r="BH24" s="27">
        <f>BB24+BG24</f>
        <v/>
      </c>
    </row>
    <row r="25">
      <c r="A25" s="29" t="n">
        <v>12</v>
      </c>
      <c r="B25" s="30" t="inlineStr">
        <is>
          <t>Celulose e produtos de papel</t>
        </is>
      </c>
      <c r="C25" s="29" t="n">
        <v>36.3926037472309</v>
      </c>
      <c r="D25" s="29" t="n">
        <v>14.95513012030516</v>
      </c>
      <c r="E25" s="29" t="n">
        <v>7.629257504237654</v>
      </c>
      <c r="F25" s="29" t="n">
        <v>8.284192864520483</v>
      </c>
      <c r="G25" s="29" t="n">
        <v>4.274066652408258</v>
      </c>
      <c r="H25" s="29" t="n">
        <v>616.0781281768818</v>
      </c>
      <c r="I25" s="29" t="n">
        <v>114.8997595876164</v>
      </c>
      <c r="J25" s="29" t="n">
        <v>102.3352832117058</v>
      </c>
      <c r="K25" s="29" t="n">
        <v>84.00475689359071</v>
      </c>
      <c r="L25" s="29" t="n">
        <v>100.3490949658495</v>
      </c>
      <c r="M25" s="29" t="n">
        <v>86.67242846570775</v>
      </c>
      <c r="N25" s="29" t="n">
        <v>1211.398398628002</v>
      </c>
      <c r="O25" s="29" t="n">
        <v>184.8202065791725</v>
      </c>
      <c r="P25" s="29" t="n">
        <v>14.78419012369748</v>
      </c>
      <c r="Q25" s="29" t="n">
        <v>3.200026426862689</v>
      </c>
      <c r="R25" s="29" t="n">
        <v>10.85213386398214</v>
      </c>
      <c r="S25" s="29" t="n">
        <v>2.561684094948833</v>
      </c>
      <c r="T25" s="29" t="n">
        <v>78.84403445824785</v>
      </c>
      <c r="U25" s="29" t="n">
        <v>11.59567875459205</v>
      </c>
      <c r="V25" s="29" t="n">
        <v>158.979528739908</v>
      </c>
      <c r="W25" s="29" t="n">
        <v>1.958918059959421</v>
      </c>
      <c r="X25" s="29" t="n">
        <v>8.215436097944186</v>
      </c>
      <c r="Y25" s="29" t="n">
        <v>214.3861237424205</v>
      </c>
      <c r="Z25" s="29" t="n">
        <v>177.3521511324489</v>
      </c>
      <c r="AA25" s="29" t="n">
        <v>8.349444554692363</v>
      </c>
      <c r="AB25" s="29" t="n">
        <v>2.731410755106404</v>
      </c>
      <c r="AC25" s="29" t="n">
        <v>123.0210222062517</v>
      </c>
      <c r="AD25" s="29" t="n">
        <v>30.88454994987161</v>
      </c>
      <c r="AE25" s="29" t="n">
        <v>49.02980452050139</v>
      </c>
      <c r="AF25" s="29" t="n">
        <v>216.5616320177361</v>
      </c>
      <c r="AG25" s="29" t="n">
        <v>29.77242666085975</v>
      </c>
      <c r="AH25" s="29" t="n">
        <v>81.70651468268612</v>
      </c>
      <c r="AI25" s="29" t="n">
        <v>5.216077127720172</v>
      </c>
      <c r="AJ25" s="29" t="n">
        <v>74.49980030674394</v>
      </c>
      <c r="AK25" s="29" t="n">
        <v>15.23817345314529</v>
      </c>
      <c r="AL25" s="29" t="n">
        <v>60.79251650599912</v>
      </c>
      <c r="AM25" s="29" t="n">
        <v>463.8530946462297</v>
      </c>
      <c r="AN25" s="29" t="n">
        <v>56.80231938780555</v>
      </c>
      <c r="AO25" s="29" t="n">
        <v>267.1225774873626</v>
      </c>
      <c r="AP25" s="29" t="n">
        <v>127.5705320965</v>
      </c>
      <c r="AQ25" s="29" t="n">
        <v>22.62601017164946</v>
      </c>
      <c r="AR25" s="29" t="n">
        <v>4.23784690024217</v>
      </c>
      <c r="AS25" s="29" t="n">
        <v>104.2026782503268</v>
      </c>
      <c r="AT25" s="29" t="n">
        <v>395.1740298935781</v>
      </c>
      <c r="AU25" s="29" t="n">
        <v>40.83900047949151</v>
      </c>
      <c r="AV25" s="29" t="n">
        <v>95.70160080388825</v>
      </c>
      <c r="AW25" s="29" t="n">
        <v>95.57985331104375</v>
      </c>
      <c r="AX25" s="29" t="n">
        <v>0</v>
      </c>
      <c r="AY25" s="29" t="n">
        <v>77.02597905932141</v>
      </c>
      <c r="AZ25" s="29" t="n">
        <v>15.13367653123776</v>
      </c>
      <c r="BA25" s="29" t="n">
        <v>89.46863208946395</v>
      </c>
      <c r="BB25" s="29">
        <f>SUM(C25:BA25)</f>
        <v/>
      </c>
      <c r="BC25" s="29" t="n">
        <v>0</v>
      </c>
      <c r="BD25" s="29" t="n">
        <v>0</v>
      </c>
      <c r="BE25" s="29" t="n">
        <v>0</v>
      </c>
      <c r="BF25" s="29" t="n">
        <v>0</v>
      </c>
      <c r="BG25" s="29">
        <f>SUM(BC25:BF25)</f>
        <v/>
      </c>
      <c r="BH25" s="29">
        <f>BB25+BG25</f>
        <v/>
      </c>
    </row>
    <row r="26">
      <c r="A26" s="27" t="n">
        <v>13</v>
      </c>
      <c r="B26" s="28" t="inlineStr">
        <is>
          <t>Jornais revistas discos</t>
        </is>
      </c>
      <c r="C26" s="27" t="n">
        <v>0.768303650350956</v>
      </c>
      <c r="D26" s="27" t="n">
        <v>0.2639037404782165</v>
      </c>
      <c r="E26" s="27" t="n">
        <v>0.5575833438980764</v>
      </c>
      <c r="F26" s="27" t="n">
        <v>0.8660885608843018</v>
      </c>
      <c r="G26" s="27" t="n">
        <v>0.8406396857863527</v>
      </c>
      <c r="H26" s="27" t="n">
        <v>38.97678922262952</v>
      </c>
      <c r="I26" s="27" t="n">
        <v>1.308639992479294</v>
      </c>
      <c r="J26" s="27" t="n">
        <v>2.648347247642659</v>
      </c>
      <c r="K26" s="27" t="n">
        <v>5.104988483618981</v>
      </c>
      <c r="L26" s="27" t="n">
        <v>2.664655327191119</v>
      </c>
      <c r="M26" s="27" t="n">
        <v>2.496239577216882</v>
      </c>
      <c r="N26" s="27" t="n">
        <v>19.70484858715089</v>
      </c>
      <c r="O26" s="27" t="n">
        <v>155.9354972648146</v>
      </c>
      <c r="P26" s="27" t="n">
        <v>0.582617346383667</v>
      </c>
      <c r="Q26" s="27" t="n">
        <v>0.3934595971882081</v>
      </c>
      <c r="R26" s="27" t="n">
        <v>0.4088535360149751</v>
      </c>
      <c r="S26" s="27" t="n">
        <v>0.1604738749082685</v>
      </c>
      <c r="T26" s="27" t="n">
        <v>1.640825687441125</v>
      </c>
      <c r="U26" s="27" t="n">
        <v>1.171567585890664</v>
      </c>
      <c r="V26" s="27" t="n">
        <v>1.834622336518916</v>
      </c>
      <c r="W26" s="27" t="n">
        <v>0.3397485689299303</v>
      </c>
      <c r="X26" s="27" t="n">
        <v>0.639478323246522</v>
      </c>
      <c r="Y26" s="27" t="n">
        <v>4.363206394160834</v>
      </c>
      <c r="Z26" s="27" t="n">
        <v>3.081513590347021</v>
      </c>
      <c r="AA26" s="27" t="n">
        <v>1.940703640512226</v>
      </c>
      <c r="AB26" s="27" t="n">
        <v>0.2080139902415564</v>
      </c>
      <c r="AC26" s="27" t="n">
        <v>3.048195634415149</v>
      </c>
      <c r="AD26" s="27" t="n">
        <v>2.874353388941717</v>
      </c>
      <c r="AE26" s="27" t="n">
        <v>1.553705130281104</v>
      </c>
      <c r="AF26" s="27" t="n">
        <v>18.04426789915815</v>
      </c>
      <c r="AG26" s="27" t="n">
        <v>2.349783560813599</v>
      </c>
      <c r="AH26" s="27" t="n">
        <v>3.20008984586736</v>
      </c>
      <c r="AI26" s="27" t="n">
        <v>0.3678836806545399</v>
      </c>
      <c r="AJ26" s="27" t="n">
        <v>6.949006403768991</v>
      </c>
      <c r="AK26" s="27" t="n">
        <v>2.402165716443591</v>
      </c>
      <c r="AL26" s="27" t="n">
        <v>5.160297238624866</v>
      </c>
      <c r="AM26" s="27" t="n">
        <v>399.1727987719151</v>
      </c>
      <c r="AN26" s="27" t="n">
        <v>13.10717213128998</v>
      </c>
      <c r="AO26" s="27" t="n">
        <v>427.8337213515118</v>
      </c>
      <c r="AP26" s="27" t="n">
        <v>121.8470572905972</v>
      </c>
      <c r="AQ26" s="27" t="n">
        <v>20.86811341421955</v>
      </c>
      <c r="AR26" s="27" t="n">
        <v>0.07220246575547323</v>
      </c>
      <c r="AS26" s="27" t="n">
        <v>4.828038556371079</v>
      </c>
      <c r="AT26" s="27" t="n">
        <v>397.3636786472122</v>
      </c>
      <c r="AU26" s="27" t="n">
        <v>1.859623267254467</v>
      </c>
      <c r="AV26" s="27" t="n">
        <v>2.675738763237291</v>
      </c>
      <c r="AW26" s="27" t="n">
        <v>84.48082933897773</v>
      </c>
      <c r="AX26" s="27" t="n">
        <v>0</v>
      </c>
      <c r="AY26" s="27" t="n">
        <v>9.498713126172539</v>
      </c>
      <c r="AZ26" s="27" t="n">
        <v>4.244216634217145</v>
      </c>
      <c r="BA26" s="27" t="n">
        <v>70.88731478339548</v>
      </c>
      <c r="BB26" s="27">
        <f>SUM(C26:BA26)</f>
        <v/>
      </c>
      <c r="BC26" s="27" t="n">
        <v>0</v>
      </c>
      <c r="BD26" s="27" t="n">
        <v>0</v>
      </c>
      <c r="BE26" s="27" t="n">
        <v>0</v>
      </c>
      <c r="BF26" s="27" t="n">
        <v>0</v>
      </c>
      <c r="BG26" s="27">
        <f>SUM(BC26:BF26)</f>
        <v/>
      </c>
      <c r="BH26" s="27">
        <f>BB26+BG26</f>
        <v/>
      </c>
    </row>
    <row r="27">
      <c r="A27" s="29" t="n">
        <v>14</v>
      </c>
      <c r="B27" s="30" t="inlineStr">
        <is>
          <t>Refino de petróleo e coque</t>
        </is>
      </c>
      <c r="C27" s="29" t="n">
        <v>582.2526485702261</v>
      </c>
      <c r="D27" s="29" t="n">
        <v>304.0160582876283</v>
      </c>
      <c r="E27" s="29" t="n">
        <v>103.179387359194</v>
      </c>
      <c r="F27" s="29" t="n">
        <v>117.2728762150898</v>
      </c>
      <c r="G27" s="29" t="n">
        <v>126.0650159944981</v>
      </c>
      <c r="H27" s="29" t="n">
        <v>513.4838901316106</v>
      </c>
      <c r="I27" s="29" t="n">
        <v>2.299600612372569</v>
      </c>
      <c r="J27" s="29" t="n">
        <v>29.52133222170058</v>
      </c>
      <c r="K27" s="29" t="n">
        <v>10.30597531258403</v>
      </c>
      <c r="L27" s="29" t="n">
        <v>22.45524238028824</v>
      </c>
      <c r="M27" s="29" t="n">
        <v>20.9665809856576</v>
      </c>
      <c r="N27" s="29" t="n">
        <v>85.41297633054721</v>
      </c>
      <c r="O27" s="29" t="n">
        <v>2.478013580151697</v>
      </c>
      <c r="P27" s="29" t="n">
        <v>10041.08988303589</v>
      </c>
      <c r="Q27" s="29" t="n">
        <v>33.14315260014776</v>
      </c>
      <c r="R27" s="29" t="n">
        <v>961.4975591055629</v>
      </c>
      <c r="S27" s="29" t="n">
        <v>37.23328489506711</v>
      </c>
      <c r="T27" s="29" t="n">
        <v>11.49334821226033</v>
      </c>
      <c r="U27" s="29" t="n">
        <v>19.04341136211414</v>
      </c>
      <c r="V27" s="29" t="n">
        <v>35.31244441665968</v>
      </c>
      <c r="W27" s="29" t="n">
        <v>35.17654017391359</v>
      </c>
      <c r="X27" s="29" t="n">
        <v>40.5143324738716</v>
      </c>
      <c r="Y27" s="29" t="n">
        <v>134.4624144633945</v>
      </c>
      <c r="Z27" s="29" t="n">
        <v>242.0195167292173</v>
      </c>
      <c r="AA27" s="29" t="n">
        <v>234.9838083773892</v>
      </c>
      <c r="AB27" s="29" t="n">
        <v>119.8590767392612</v>
      </c>
      <c r="AC27" s="29" t="n">
        <v>28.36649463211532</v>
      </c>
      <c r="AD27" s="29" t="n">
        <v>51.66011726685694</v>
      </c>
      <c r="AE27" s="29" t="n">
        <v>58.54306447927231</v>
      </c>
      <c r="AF27" s="29" t="n">
        <v>16.73048936756279</v>
      </c>
      <c r="AG27" s="29" t="n">
        <v>54.06467971271232</v>
      </c>
      <c r="AH27" s="29" t="n">
        <v>31.21328320132484</v>
      </c>
      <c r="AI27" s="29" t="n">
        <v>6.095295545701725</v>
      </c>
      <c r="AJ27" s="29" t="n">
        <v>18.77054242249885</v>
      </c>
      <c r="AK27" s="29" t="n">
        <v>386.6312138822677</v>
      </c>
      <c r="AL27" s="29" t="n">
        <v>638.9986739290654</v>
      </c>
      <c r="AM27" s="29" t="n">
        <v>739.1745036927538</v>
      </c>
      <c r="AN27" s="29" t="n">
        <v>5251.561461729355</v>
      </c>
      <c r="AO27" s="29" t="n">
        <v>28.88795286994985</v>
      </c>
      <c r="AP27" s="29" t="n">
        <v>44.22434860180359</v>
      </c>
      <c r="AQ27" s="29" t="n">
        <v>6.83984203830959</v>
      </c>
      <c r="AR27" s="29" t="n">
        <v>8.778143252853187</v>
      </c>
      <c r="AS27" s="29" t="n">
        <v>101.8906620506726</v>
      </c>
      <c r="AT27" s="29" t="n">
        <v>162.5341159343165</v>
      </c>
      <c r="AU27" s="29" t="n">
        <v>7.352981563351769</v>
      </c>
      <c r="AV27" s="29" t="n">
        <v>26.31550365314187</v>
      </c>
      <c r="AW27" s="29" t="n">
        <v>79.86911624961526</v>
      </c>
      <c r="AX27" s="29" t="n">
        <v>0</v>
      </c>
      <c r="AY27" s="29" t="n">
        <v>34.63795813051533</v>
      </c>
      <c r="AZ27" s="29" t="n">
        <v>10.8453443715281</v>
      </c>
      <c r="BA27" s="29" t="n">
        <v>256.3417084022157</v>
      </c>
      <c r="BB27" s="29">
        <f>SUM(C27:BA27)</f>
        <v/>
      </c>
      <c r="BC27" s="29" t="n">
        <v>0</v>
      </c>
      <c r="BD27" s="29" t="n">
        <v>0</v>
      </c>
      <c r="BE27" s="29" t="n">
        <v>0</v>
      </c>
      <c r="BF27" s="29" t="n">
        <v>0</v>
      </c>
      <c r="BG27" s="29">
        <f>SUM(BC27:BF27)</f>
        <v/>
      </c>
      <c r="BH27" s="29">
        <f>BB27+BG27</f>
        <v/>
      </c>
    </row>
    <row r="28">
      <c r="A28" s="27" t="n">
        <v>15</v>
      </c>
      <c r="B28" s="28" t="inlineStr">
        <is>
          <t>Álcool</t>
        </is>
      </c>
      <c r="C28" s="27" t="n">
        <v>11.18288463527582</v>
      </c>
      <c r="D28" s="27" t="n">
        <v>10.87290141723376</v>
      </c>
      <c r="E28" s="27" t="n">
        <v>36.68121909729329</v>
      </c>
      <c r="F28" s="27" t="n">
        <v>0.2162309471221849</v>
      </c>
      <c r="G28" s="27" t="n">
        <v>0.5957709149261754</v>
      </c>
      <c r="H28" s="27" t="n">
        <v>77.57479104219244</v>
      </c>
      <c r="I28" s="27" t="n">
        <v>0.00871785121557192</v>
      </c>
      <c r="J28" s="27" t="n">
        <v>0.1783070567478487</v>
      </c>
      <c r="K28" s="27" t="n">
        <v>0.1186920164995965</v>
      </c>
      <c r="L28" s="27" t="n">
        <v>0.06012614121062003</v>
      </c>
      <c r="M28" s="27" t="n">
        <v>0.1105853128683976</v>
      </c>
      <c r="N28" s="27" t="n">
        <v>0.3880504459956798</v>
      </c>
      <c r="O28" s="27" t="n">
        <v>0.06481865607190834</v>
      </c>
      <c r="P28" s="27" t="n">
        <v>466.4095843128528</v>
      </c>
      <c r="Q28" s="27" t="n">
        <v>23.61666917310414</v>
      </c>
      <c r="R28" s="27" t="n">
        <v>34.57291385988551</v>
      </c>
      <c r="S28" s="27" t="n">
        <v>0.1560206051251741</v>
      </c>
      <c r="T28" s="27" t="n">
        <v>62.19090556012606</v>
      </c>
      <c r="U28" s="27" t="n">
        <v>13.50991587464857</v>
      </c>
      <c r="V28" s="27" t="n">
        <v>111.0378361058209</v>
      </c>
      <c r="W28" s="27" t="n">
        <v>17.51569859014512</v>
      </c>
      <c r="X28" s="27" t="n">
        <v>4.664047679928411</v>
      </c>
      <c r="Y28" s="27" t="n">
        <v>0.2113953198194662</v>
      </c>
      <c r="Z28" s="27" t="n">
        <v>0.3997119046671596</v>
      </c>
      <c r="AA28" s="27" t="n">
        <v>0.9062321171452645</v>
      </c>
      <c r="AB28" s="27" t="n">
        <v>0.3847329679442613</v>
      </c>
      <c r="AC28" s="27" t="n">
        <v>3.438386570738865</v>
      </c>
      <c r="AD28" s="27" t="n">
        <v>1.522501264295729</v>
      </c>
      <c r="AE28" s="27" t="n">
        <v>0.4064662731424077</v>
      </c>
      <c r="AF28" s="27" t="n">
        <v>0.04203166180947703</v>
      </c>
      <c r="AG28" s="27" t="n">
        <v>1.041355230754155</v>
      </c>
      <c r="AH28" s="27" t="n">
        <v>0.2847782619434192</v>
      </c>
      <c r="AI28" s="27" t="n">
        <v>0.04559229162219404</v>
      </c>
      <c r="AJ28" s="27" t="n">
        <v>0.4349382739525717</v>
      </c>
      <c r="AK28" s="27" t="n">
        <v>4.506288330861929</v>
      </c>
      <c r="AL28" s="27" t="n">
        <v>37.45078964228203</v>
      </c>
      <c r="AM28" s="27" t="n">
        <v>22.48911274916224</v>
      </c>
      <c r="AN28" s="27" t="n">
        <v>59.34356101250725</v>
      </c>
      <c r="AO28" s="27" t="n">
        <v>0.5034513551981949</v>
      </c>
      <c r="AP28" s="27" t="n">
        <v>0.2103278993543273</v>
      </c>
      <c r="AQ28" s="27" t="n">
        <v>0.06044645979080467</v>
      </c>
      <c r="AR28" s="27" t="n">
        <v>3.353821020819291</v>
      </c>
      <c r="AS28" s="27" t="n">
        <v>3.930753124060824</v>
      </c>
      <c r="AT28" s="27" t="n">
        <v>12.99349122488077</v>
      </c>
      <c r="AU28" s="27" t="n">
        <v>0.2120505070818907</v>
      </c>
      <c r="AV28" s="27" t="n">
        <v>4.727657812479294</v>
      </c>
      <c r="AW28" s="27" t="n">
        <v>6.954347283459658</v>
      </c>
      <c r="AX28" s="27" t="n">
        <v>0</v>
      </c>
      <c r="AY28" s="27" t="n">
        <v>4.493124411438433</v>
      </c>
      <c r="AZ28" s="27" t="n">
        <v>2.144455230087146</v>
      </c>
      <c r="BA28" s="27" t="n">
        <v>46.33431490204023</v>
      </c>
      <c r="BB28" s="27">
        <f>SUM(C28:BA28)</f>
        <v/>
      </c>
      <c r="BC28" s="27" t="n">
        <v>0</v>
      </c>
      <c r="BD28" s="27" t="n">
        <v>0</v>
      </c>
      <c r="BE28" s="27" t="n">
        <v>0</v>
      </c>
      <c r="BF28" s="27" t="n">
        <v>0</v>
      </c>
      <c r="BG28" s="27">
        <f>SUM(BC28:BF28)</f>
        <v/>
      </c>
      <c r="BH28" s="27">
        <f>BB28+BG28</f>
        <v/>
      </c>
    </row>
    <row r="29">
      <c r="A29" s="29" t="n">
        <v>16</v>
      </c>
      <c r="B29" s="30" t="inlineStr">
        <is>
          <t>Produtos  químicos</t>
        </is>
      </c>
      <c r="C29" s="29" t="n">
        <v>2446.967901355466</v>
      </c>
      <c r="D29" s="29" t="n">
        <v>373.9474990434053</v>
      </c>
      <c r="E29" s="29" t="n">
        <v>279.369878210236</v>
      </c>
      <c r="F29" s="29" t="n">
        <v>30.35599951631319</v>
      </c>
      <c r="G29" s="29" t="n">
        <v>56.55104956841548</v>
      </c>
      <c r="H29" s="29" t="n">
        <v>240.4972501724143</v>
      </c>
      <c r="I29" s="29" t="n">
        <v>0.04061497859924813</v>
      </c>
      <c r="J29" s="29" t="n">
        <v>307.1527252501463</v>
      </c>
      <c r="K29" s="29" t="n">
        <v>29.94329097100842</v>
      </c>
      <c r="L29" s="29" t="n">
        <v>176.753604782052</v>
      </c>
      <c r="M29" s="29" t="n">
        <v>7.559620341644091</v>
      </c>
      <c r="N29" s="29" t="n">
        <v>423.0834941961358</v>
      </c>
      <c r="O29" s="29" t="n">
        <v>5.877079731345381</v>
      </c>
      <c r="P29" s="29" t="n">
        <v>252.0517457660759</v>
      </c>
      <c r="Q29" s="29" t="n">
        <v>55.72886580430822</v>
      </c>
      <c r="R29" s="29" t="n">
        <v>3487.500101123062</v>
      </c>
      <c r="S29" s="29" t="n">
        <v>2095.432254204135</v>
      </c>
      <c r="T29" s="29" t="n">
        <v>240.75107834057</v>
      </c>
      <c r="U29" s="29" t="n">
        <v>626.8884904245754</v>
      </c>
      <c r="V29" s="29" t="n">
        <v>581.1941207255929</v>
      </c>
      <c r="W29" s="29" t="n">
        <v>524.7047733253108</v>
      </c>
      <c r="X29" s="29" t="n">
        <v>700.6647513206285</v>
      </c>
      <c r="Y29" s="29" t="n">
        <v>457.1577362266561</v>
      </c>
      <c r="Z29" s="29" t="n">
        <v>208.4205414052072</v>
      </c>
      <c r="AA29" s="29" t="n">
        <v>229.7587746230485</v>
      </c>
      <c r="AB29" s="29" t="n">
        <v>150.7472791988043</v>
      </c>
      <c r="AC29" s="29" t="n">
        <v>106.1754473152407</v>
      </c>
      <c r="AD29" s="29" t="n">
        <v>30.71962420536144</v>
      </c>
      <c r="AE29" s="29" t="n">
        <v>52.72725018247556</v>
      </c>
      <c r="AF29" s="29" t="n">
        <v>22.32111428823551</v>
      </c>
      <c r="AG29" s="29" t="n">
        <v>5.609266777106749</v>
      </c>
      <c r="AH29" s="29" t="n">
        <v>8.830831811391596</v>
      </c>
      <c r="AI29" s="29" t="n">
        <v>14.91579715380881</v>
      </c>
      <c r="AJ29" s="29" t="n">
        <v>49.76593077608852</v>
      </c>
      <c r="AK29" s="29" t="n">
        <v>147.9790243842829</v>
      </c>
      <c r="AL29" s="29" t="n">
        <v>20.74262651181196</v>
      </c>
      <c r="AM29" s="29" t="n">
        <v>66.26208270648307</v>
      </c>
      <c r="AN29" s="29" t="n">
        <v>-0.0213176857423781</v>
      </c>
      <c r="AO29" s="29" t="n">
        <v>-1.22757389365104</v>
      </c>
      <c r="AP29" s="29" t="n">
        <v>2.438949000471831</v>
      </c>
      <c r="AQ29" s="29" t="n">
        <v>1.168021752899833</v>
      </c>
      <c r="AR29" s="29" t="n">
        <v>0.0639432063738494</v>
      </c>
      <c r="AS29" s="29" t="n">
        <v>2.651265396593947</v>
      </c>
      <c r="AT29" s="29" t="n">
        <v>23.46218632515431</v>
      </c>
      <c r="AU29" s="29" t="n">
        <v>1.851169506283921</v>
      </c>
      <c r="AV29" s="29" t="n">
        <v>129.5250141038776</v>
      </c>
      <c r="AW29" s="29" t="n">
        <v>55.45571303441284</v>
      </c>
      <c r="AX29" s="29" t="n">
        <v>0</v>
      </c>
      <c r="AY29" s="29" t="n">
        <v>12.36871084091581</v>
      </c>
      <c r="AZ29" s="29" t="n">
        <v>36.17817112615114</v>
      </c>
      <c r="BA29" s="29" t="n">
        <v>4.624640410909727</v>
      </c>
      <c r="BB29" s="29">
        <f>SUM(C29:BA29)</f>
        <v/>
      </c>
      <c r="BC29" s="29" t="n">
        <v>0</v>
      </c>
      <c r="BD29" s="29" t="n">
        <v>0</v>
      </c>
      <c r="BE29" s="29" t="n">
        <v>0</v>
      </c>
      <c r="BF29" s="29" t="n">
        <v>0</v>
      </c>
      <c r="BG29" s="29">
        <f>SUM(BC29:BF29)</f>
        <v/>
      </c>
      <c r="BH29" s="29">
        <f>BB29+BG29</f>
        <v/>
      </c>
    </row>
    <row r="30">
      <c r="A30" s="27" t="n">
        <v>17</v>
      </c>
      <c r="B30" s="28" t="inlineStr">
        <is>
          <t>Fabricação de resina e elastômeros</t>
        </is>
      </c>
      <c r="C30" s="27" t="n">
        <v>62.33397965795652</v>
      </c>
      <c r="D30" s="27" t="n">
        <v>7.223386413858583</v>
      </c>
      <c r="E30" s="27" t="n">
        <v>98.21370948743731</v>
      </c>
      <c r="F30" s="27" t="n">
        <v>1.043467370776058</v>
      </c>
      <c r="G30" s="27" t="n">
        <v>2.137175286691555</v>
      </c>
      <c r="H30" s="27" t="n">
        <v>9.739860927147477</v>
      </c>
      <c r="I30" s="27" t="n">
        <v>4.223108730942363</v>
      </c>
      <c r="J30" s="27" t="n">
        <v>693.1069323785626</v>
      </c>
      <c r="K30" s="27" t="n">
        <v>4.742821277735131</v>
      </c>
      <c r="L30" s="27" t="n">
        <v>204.8553474673716</v>
      </c>
      <c r="M30" s="27" t="n">
        <v>89.85466302006432</v>
      </c>
      <c r="N30" s="27" t="n">
        <v>175.6930713375056</v>
      </c>
      <c r="O30" s="27" t="n">
        <v>8.317622701519035</v>
      </c>
      <c r="P30" s="27" t="n">
        <v>0.4415672528306771</v>
      </c>
      <c r="Q30" s="27" t="n">
        <v>0.6731731358392318</v>
      </c>
      <c r="R30" s="27" t="n">
        <v>59.65443490230353</v>
      </c>
      <c r="S30" s="27" t="n">
        <v>319.8655726438154</v>
      </c>
      <c r="T30" s="27" t="n">
        <v>10.33052767203203</v>
      </c>
      <c r="U30" s="27" t="n">
        <v>21.18726936727489</v>
      </c>
      <c r="V30" s="27" t="n">
        <v>121.8596558223628</v>
      </c>
      <c r="W30" s="27" t="n">
        <v>117.7118612787701</v>
      </c>
      <c r="X30" s="27" t="n">
        <v>122.5932016420544</v>
      </c>
      <c r="Y30" s="27" t="n">
        <v>1939.119554983943</v>
      </c>
      <c r="Z30" s="27" t="n">
        <v>204.7008317040655</v>
      </c>
      <c r="AA30" s="27" t="n">
        <v>3.859758476764412</v>
      </c>
      <c r="AB30" s="27" t="n">
        <v>29.82630726890298</v>
      </c>
      <c r="AC30" s="27" t="n">
        <v>115.4834913246473</v>
      </c>
      <c r="AD30" s="27" t="n">
        <v>25.07477206964272</v>
      </c>
      <c r="AE30" s="27" t="n">
        <v>383.2863636146048</v>
      </c>
      <c r="AF30" s="27" t="n">
        <v>97.88796798397186</v>
      </c>
      <c r="AG30" s="27" t="n">
        <v>13.02655052041488</v>
      </c>
      <c r="AH30" s="27" t="n">
        <v>196.2477678937288</v>
      </c>
      <c r="AI30" s="27" t="n">
        <v>27.52187156518222</v>
      </c>
      <c r="AJ30" s="27" t="n">
        <v>153.6823586893815</v>
      </c>
      <c r="AK30" s="27" t="n">
        <v>1.904584831561551</v>
      </c>
      <c r="AL30" s="27" t="n">
        <v>12.53721165284275</v>
      </c>
      <c r="AM30" s="27" t="n">
        <v>7.811379298616954</v>
      </c>
      <c r="AN30" s="27" t="n">
        <v>3.297297389275639</v>
      </c>
      <c r="AO30" s="27" t="n">
        <v>1.403839145016736</v>
      </c>
      <c r="AP30" s="27" t="n">
        <v>0.5793680329517018</v>
      </c>
      <c r="AQ30" s="27" t="n">
        <v>0.8614057743219445</v>
      </c>
      <c r="AR30" s="27" t="n">
        <v>0.05108135898330195</v>
      </c>
      <c r="AS30" s="27" t="n">
        <v>0.4781645226615625</v>
      </c>
      <c r="AT30" s="27" t="n">
        <v>5.226044972995485</v>
      </c>
      <c r="AU30" s="27" t="n">
        <v>0.2458385513672032</v>
      </c>
      <c r="AV30" s="27" t="n">
        <v>1.603227030581555</v>
      </c>
      <c r="AW30" s="27" t="n">
        <v>4.967564090904757</v>
      </c>
      <c r="AX30" s="27" t="n">
        <v>0</v>
      </c>
      <c r="AY30" s="27" t="n">
        <v>0.6348485079460877</v>
      </c>
      <c r="AZ30" s="27" t="n">
        <v>1.036677441147028</v>
      </c>
      <c r="BA30" s="27" t="n">
        <v>1.0655288837868</v>
      </c>
      <c r="BB30" s="27">
        <f>SUM(C30:BA30)</f>
        <v/>
      </c>
      <c r="BC30" s="27" t="n">
        <v>0</v>
      </c>
      <c r="BD30" s="27" t="n">
        <v>0</v>
      </c>
      <c r="BE30" s="27" t="n">
        <v>0</v>
      </c>
      <c r="BF30" s="27" t="n">
        <v>0</v>
      </c>
      <c r="BG30" s="27">
        <f>SUM(BC30:BF30)</f>
        <v/>
      </c>
      <c r="BH30" s="27">
        <f>BB30+BG30</f>
        <v/>
      </c>
    </row>
    <row r="31">
      <c r="A31" s="29" t="n">
        <v>18</v>
      </c>
      <c r="B31" s="30" t="inlineStr">
        <is>
          <t>Produtos farmacêuticos</t>
        </is>
      </c>
      <c r="C31" s="29" t="n">
        <v>106.0365294628593</v>
      </c>
      <c r="D31" s="29" t="n">
        <v>723.7380793674687</v>
      </c>
      <c r="E31" s="29" t="n">
        <v>45.51378121715631</v>
      </c>
      <c r="F31" s="29" t="n">
        <v>0.3278341204534101</v>
      </c>
      <c r="G31" s="29" t="n">
        <v>0.3388858257565698</v>
      </c>
      <c r="H31" s="29" t="n">
        <v>31.02265348338188</v>
      </c>
      <c r="I31" s="29" t="n">
        <v>0.0286926461880244</v>
      </c>
      <c r="J31" s="29" t="n">
        <v>6.904802598920964</v>
      </c>
      <c r="K31" s="29" t="n">
        <v>0.1455730863675368</v>
      </c>
      <c r="L31" s="29" t="n">
        <v>1.572865188326336</v>
      </c>
      <c r="M31" s="29" t="n">
        <v>0.921907054052823</v>
      </c>
      <c r="N31" s="29" t="n">
        <v>1.391149095094574</v>
      </c>
      <c r="O31" s="29" t="n">
        <v>1.014711307035269</v>
      </c>
      <c r="P31" s="29" t="n">
        <v>0.3035166268681653</v>
      </c>
      <c r="Q31" s="29" t="n">
        <v>-0.07215492166210546</v>
      </c>
      <c r="R31" s="29" t="n">
        <v>1.38151916490812</v>
      </c>
      <c r="S31" s="29" t="n">
        <v>2.92496679893025</v>
      </c>
      <c r="T31" s="29" t="n">
        <v>796.7768378622069</v>
      </c>
      <c r="U31" s="29" t="n">
        <v>51.86982522585914</v>
      </c>
      <c r="V31" s="29" t="n">
        <v>5.05844864200733</v>
      </c>
      <c r="W31" s="29" t="n">
        <v>1.368558572793235</v>
      </c>
      <c r="X31" s="29" t="n">
        <v>2.230973156339241</v>
      </c>
      <c r="Y31" s="29" t="n">
        <v>19.59505599933215</v>
      </c>
      <c r="Z31" s="29" t="n">
        <v>1.954381964257253</v>
      </c>
      <c r="AA31" s="29" t="n">
        <v>0.02975428639144195</v>
      </c>
      <c r="AB31" s="29" t="n">
        <v>0.3678405863512485</v>
      </c>
      <c r="AC31" s="29" t="n">
        <v>1.759161087301175</v>
      </c>
      <c r="AD31" s="29" t="n">
        <v>3.7575613135165</v>
      </c>
      <c r="AE31" s="29" t="n">
        <v>3.969393100531549</v>
      </c>
      <c r="AF31" s="29" t="n">
        <v>9.103179852242668</v>
      </c>
      <c r="AG31" s="29" t="n">
        <v>1.301509922824647</v>
      </c>
      <c r="AH31" s="29" t="n">
        <v>2.555077192631235</v>
      </c>
      <c r="AI31" s="29" t="n">
        <v>0.4348001650048922</v>
      </c>
      <c r="AJ31" s="29" t="n">
        <v>2.12146189461411</v>
      </c>
      <c r="AK31" s="29" t="n">
        <v>0.8091516907149623</v>
      </c>
      <c r="AL31" s="29" t="n">
        <v>4.130043480422431</v>
      </c>
      <c r="AM31" s="29" t="n">
        <v>44.57073622011286</v>
      </c>
      <c r="AN31" s="29" t="n">
        <v>-0.2287563423861536</v>
      </c>
      <c r="AO31" s="29" t="n">
        <v>0.5139821580639623</v>
      </c>
      <c r="AP31" s="29" t="n">
        <v>3.048153788790218</v>
      </c>
      <c r="AQ31" s="29" t="n">
        <v>0.2833104259445248</v>
      </c>
      <c r="AR31" s="29" t="n">
        <v>0.1084066733689515</v>
      </c>
      <c r="AS31" s="29" t="n">
        <v>1.200626084984269</v>
      </c>
      <c r="AT31" s="29" t="n">
        <v>16.77809102043945</v>
      </c>
      <c r="AU31" s="29" t="n">
        <v>33.01384412552719</v>
      </c>
      <c r="AV31" s="29" t="n">
        <v>1703.447603792313</v>
      </c>
      <c r="AW31" s="29" t="n">
        <v>138.1181862093921</v>
      </c>
      <c r="AX31" s="29" t="n">
        <v>0</v>
      </c>
      <c r="AY31" s="29" t="n">
        <v>87.20298320160765</v>
      </c>
      <c r="AZ31" s="29" t="n">
        <v>406.5164070531625</v>
      </c>
      <c r="BA31" s="29" t="n">
        <v>76.49233999202909</v>
      </c>
      <c r="BB31" s="29">
        <f>SUM(C31:BA31)</f>
        <v/>
      </c>
      <c r="BC31" s="29" t="n">
        <v>0</v>
      </c>
      <c r="BD31" s="29" t="n">
        <v>0</v>
      </c>
      <c r="BE31" s="29" t="n">
        <v>0</v>
      </c>
      <c r="BF31" s="29" t="n">
        <v>0</v>
      </c>
      <c r="BG31" s="29">
        <f>SUM(BC31:BF31)</f>
        <v/>
      </c>
      <c r="BH31" s="29">
        <f>BB31+BG31</f>
        <v/>
      </c>
    </row>
    <row r="32">
      <c r="A32" s="27" t="n">
        <v>19</v>
      </c>
      <c r="B32" s="28" t="inlineStr">
        <is>
          <t>Defensivos agrícolas</t>
        </is>
      </c>
      <c r="C32" s="27" t="n">
        <v>1626.35052828015</v>
      </c>
      <c r="D32" s="27" t="n">
        <v>175.8729623911268</v>
      </c>
      <c r="E32" s="27" t="n">
        <v>12.63734216020752</v>
      </c>
      <c r="F32" s="27" t="n">
        <v>1.499789418763837</v>
      </c>
      <c r="G32" s="27" t="n">
        <v>9.214330287389995</v>
      </c>
      <c r="H32" s="27" t="n">
        <v>16.20749769216598</v>
      </c>
      <c r="I32" s="27" t="n">
        <v>0.1849168961961514</v>
      </c>
      <c r="J32" s="27" t="n">
        <v>46.34502030219817</v>
      </c>
      <c r="K32" s="27" t="n">
        <v>0.5108951116672017</v>
      </c>
      <c r="L32" s="27" t="n">
        <v>15.38212655003466</v>
      </c>
      <c r="M32" s="27" t="n">
        <v>6.333452918570698</v>
      </c>
      <c r="N32" s="27" t="n">
        <v>16.83956007602009</v>
      </c>
      <c r="O32" s="27" t="n">
        <v>1.781132126940882</v>
      </c>
      <c r="P32" s="27" t="n">
        <v>1.042702270276965</v>
      </c>
      <c r="Q32" s="27" t="n">
        <v>1.970716899719509</v>
      </c>
      <c r="R32" s="27" t="n">
        <v>38.12319643077318</v>
      </c>
      <c r="S32" s="27" t="n">
        <v>82.27713580422228</v>
      </c>
      <c r="T32" s="27" t="n">
        <v>9.905605613597633</v>
      </c>
      <c r="U32" s="27" t="n">
        <v>413.0027307435499</v>
      </c>
      <c r="V32" s="27" t="n">
        <v>84.95814362247599</v>
      </c>
      <c r="W32" s="27" t="n">
        <v>28.39786984360883</v>
      </c>
      <c r="X32" s="27" t="n">
        <v>32.53079319759352</v>
      </c>
      <c r="Y32" s="27" t="n">
        <v>120.1869254957759</v>
      </c>
      <c r="Z32" s="27" t="n">
        <v>12.31903868721942</v>
      </c>
      <c r="AA32" s="27" t="n">
        <v>4.647378078052545</v>
      </c>
      <c r="AB32" s="27" t="n">
        <v>3.079920368025818</v>
      </c>
      <c r="AC32" s="27" t="n">
        <v>12.63187972756584</v>
      </c>
      <c r="AD32" s="27" t="n">
        <v>2.071664739157856</v>
      </c>
      <c r="AE32" s="27" t="n">
        <v>21.5428735750388</v>
      </c>
      <c r="AF32" s="27" t="n">
        <v>5.400453046786827</v>
      </c>
      <c r="AG32" s="27" t="n">
        <v>1.127222444018548</v>
      </c>
      <c r="AH32" s="27" t="n">
        <v>10.87669993457021</v>
      </c>
      <c r="AI32" s="27" t="n">
        <v>1.610444518046522</v>
      </c>
      <c r="AJ32" s="27" t="n">
        <v>9.977151171056034</v>
      </c>
      <c r="AK32" s="27" t="n">
        <v>1.848429277829075</v>
      </c>
      <c r="AL32" s="27" t="n">
        <v>4.601732674270008</v>
      </c>
      <c r="AM32" s="27" t="n">
        <v>3.712856553513284</v>
      </c>
      <c r="AN32" s="27" t="n">
        <v>-2.192561387649996</v>
      </c>
      <c r="AO32" s="27" t="n">
        <v>-1.446682828526191</v>
      </c>
      <c r="AP32" s="27" t="n">
        <v>1.788112146014531</v>
      </c>
      <c r="AQ32" s="27" t="n">
        <v>0.3465592966918647</v>
      </c>
      <c r="AR32" s="27" t="n">
        <v>0.01126190994346438</v>
      </c>
      <c r="AS32" s="27" t="n">
        <v>0.8458638745493677</v>
      </c>
      <c r="AT32" s="27" t="n">
        <v>13.12228543682485</v>
      </c>
      <c r="AU32" s="27" t="n">
        <v>0.40880752403915</v>
      </c>
      <c r="AV32" s="27" t="n">
        <v>0.375873055305427</v>
      </c>
      <c r="AW32" s="27" t="n">
        <v>102.9390116769469</v>
      </c>
      <c r="AX32" s="27" t="n">
        <v>0</v>
      </c>
      <c r="AY32" s="27" t="n">
        <v>1.292636190551314</v>
      </c>
      <c r="AZ32" s="27" t="n">
        <v>2.930134784434889</v>
      </c>
      <c r="BA32" s="27" t="n">
        <v>1.199227270845805</v>
      </c>
      <c r="BB32" s="27">
        <f>SUM(C32:BA32)</f>
        <v/>
      </c>
      <c r="BC32" s="27" t="n">
        <v>0</v>
      </c>
      <c r="BD32" s="27" t="n">
        <v>0</v>
      </c>
      <c r="BE32" s="27" t="n">
        <v>0</v>
      </c>
      <c r="BF32" s="27" t="n">
        <v>0</v>
      </c>
      <c r="BG32" s="27">
        <f>SUM(BC32:BF32)</f>
        <v/>
      </c>
      <c r="BH32" s="27">
        <f>BB32+BG32</f>
        <v/>
      </c>
    </row>
    <row r="33">
      <c r="A33" s="29" t="n">
        <v>20</v>
      </c>
      <c r="B33" s="30" t="inlineStr">
        <is>
          <t>Perfumaria higiene e limpeza</t>
        </is>
      </c>
      <c r="C33" s="29" t="n">
        <v>46.49030466768256</v>
      </c>
      <c r="D33" s="29" t="n">
        <v>18.10019853164974</v>
      </c>
      <c r="E33" s="29" t="n">
        <v>17.6576997636696</v>
      </c>
      <c r="F33" s="29" t="n">
        <v>9.475077376390283</v>
      </c>
      <c r="G33" s="29" t="n">
        <v>8.974151689785648</v>
      </c>
      <c r="H33" s="29" t="n">
        <v>41.17296951661209</v>
      </c>
      <c r="I33" s="29" t="n">
        <v>-0.5721177434634396</v>
      </c>
      <c r="J33" s="29" t="n">
        <v>14.35233761927919</v>
      </c>
      <c r="K33" s="29" t="n">
        <v>11.05366954830555</v>
      </c>
      <c r="L33" s="29" t="n">
        <v>-1.981691915145516</v>
      </c>
      <c r="M33" s="29" t="n">
        <v>6.078324822548512</v>
      </c>
      <c r="N33" s="29" t="n">
        <v>6.096966382200819</v>
      </c>
      <c r="O33" s="29" t="n">
        <v>0.8384076402307644</v>
      </c>
      <c r="P33" s="29" t="n">
        <v>11.82123253863488</v>
      </c>
      <c r="Q33" s="29" t="n">
        <v>0.6359022227434449</v>
      </c>
      <c r="R33" s="29" t="n">
        <v>33.83796229026068</v>
      </c>
      <c r="S33" s="29" t="n">
        <v>5.559950582924017</v>
      </c>
      <c r="T33" s="29" t="n">
        <v>10.89000432219893</v>
      </c>
      <c r="U33" s="29" t="n">
        <v>26.61017562726752</v>
      </c>
      <c r="V33" s="29" t="n">
        <v>306.0852390763944</v>
      </c>
      <c r="W33" s="29" t="n">
        <v>7.491865392746692</v>
      </c>
      <c r="X33" s="29" t="n">
        <v>16.02687734192972</v>
      </c>
      <c r="Y33" s="29" t="n">
        <v>7.727856090321266</v>
      </c>
      <c r="Z33" s="29" t="n">
        <v>33.26336389076562</v>
      </c>
      <c r="AA33" s="29" t="n">
        <v>5.414764693210742</v>
      </c>
      <c r="AB33" s="29" t="n">
        <v>11.71542659244771</v>
      </c>
      <c r="AC33" s="29" t="n">
        <v>101.6058701579774</v>
      </c>
      <c r="AD33" s="29" t="n">
        <v>1.222779044025229</v>
      </c>
      <c r="AE33" s="29" t="n">
        <v>0.9539730373363775</v>
      </c>
      <c r="AF33" s="29" t="n">
        <v>24.07810948320473</v>
      </c>
      <c r="AG33" s="29" t="n">
        <v>4.526976546260959</v>
      </c>
      <c r="AH33" s="29" t="n">
        <v>8.214512248379098</v>
      </c>
      <c r="AI33" s="29" t="n">
        <v>0.4105114075300134</v>
      </c>
      <c r="AJ33" s="29" t="n">
        <v>2.660171266172239</v>
      </c>
      <c r="AK33" s="29" t="n">
        <v>14.20308916638336</v>
      </c>
      <c r="AL33" s="29" t="n">
        <v>58.42010200326469</v>
      </c>
      <c r="AM33" s="29" t="n">
        <v>383.850448284627</v>
      </c>
      <c r="AN33" s="29" t="n">
        <v>79.74277260171628</v>
      </c>
      <c r="AO33" s="29" t="n">
        <v>35.67637213422193</v>
      </c>
      <c r="AP33" s="29" t="n">
        <v>7.375800850245112</v>
      </c>
      <c r="AQ33" s="29" t="n">
        <v>1.147709243506418</v>
      </c>
      <c r="AR33" s="29" t="n">
        <v>0.04334104945743366</v>
      </c>
      <c r="AS33" s="29" t="n">
        <v>28.94130782642751</v>
      </c>
      <c r="AT33" s="29" t="n">
        <v>163.161897585738</v>
      </c>
      <c r="AU33" s="29" t="n">
        <v>31.49416780618979</v>
      </c>
      <c r="AV33" s="29" t="n">
        <v>150.6651607398589</v>
      </c>
      <c r="AW33" s="29" t="n">
        <v>636.3616686832322</v>
      </c>
      <c r="AX33" s="29" t="n">
        <v>0</v>
      </c>
      <c r="AY33" s="29" t="n">
        <v>65.94007844683877</v>
      </c>
      <c r="AZ33" s="29" t="n">
        <v>34.85642268455804</v>
      </c>
      <c r="BA33" s="29" t="n">
        <v>42.51460693121507</v>
      </c>
      <c r="BB33" s="29">
        <f>SUM(C33:BA33)</f>
        <v/>
      </c>
      <c r="BC33" s="29" t="n">
        <v>0</v>
      </c>
      <c r="BD33" s="29" t="n">
        <v>0</v>
      </c>
      <c r="BE33" s="29" t="n">
        <v>0</v>
      </c>
      <c r="BF33" s="29" t="n">
        <v>0</v>
      </c>
      <c r="BG33" s="29">
        <f>SUM(BC33:BF33)</f>
        <v/>
      </c>
      <c r="BH33" s="29">
        <f>BB33+BG33</f>
        <v/>
      </c>
    </row>
    <row r="34">
      <c r="A34" s="27" t="n">
        <v>21</v>
      </c>
      <c r="B34" s="28" t="inlineStr">
        <is>
          <t>Tintas vernizes esmaltes e lacas</t>
        </is>
      </c>
      <c r="C34" s="27" t="n">
        <v>9.346753949781991</v>
      </c>
      <c r="D34" s="27" t="n">
        <v>4.871566765539685</v>
      </c>
      <c r="E34" s="27" t="n">
        <v>2.713040646840948</v>
      </c>
      <c r="F34" s="27" t="n">
        <v>0.5960552522265479</v>
      </c>
      <c r="G34" s="27" t="n">
        <v>4.938571548698923</v>
      </c>
      <c r="H34" s="27" t="n">
        <v>13.6604025928658</v>
      </c>
      <c r="I34" s="27" t="n">
        <v>0.09290131458555824</v>
      </c>
      <c r="J34" s="27" t="n">
        <v>19.17931213658003</v>
      </c>
      <c r="K34" s="27" t="n">
        <v>7.486945685821877</v>
      </c>
      <c r="L34" s="27" t="n">
        <v>18.72688794230173</v>
      </c>
      <c r="M34" s="27" t="n">
        <v>41.69801088805132</v>
      </c>
      <c r="N34" s="27" t="n">
        <v>122.5123340189935</v>
      </c>
      <c r="O34" s="27" t="n">
        <v>119.3477480000809</v>
      </c>
      <c r="P34" s="27" t="n">
        <v>0.652290244282248</v>
      </c>
      <c r="Q34" s="27" t="n">
        <v>0.4314231282766133</v>
      </c>
      <c r="R34" s="27" t="n">
        <v>13.62115223151625</v>
      </c>
      <c r="S34" s="27" t="n">
        <v>13.57872019017896</v>
      </c>
      <c r="T34" s="27" t="n">
        <v>2.828985306406267</v>
      </c>
      <c r="U34" s="27" t="n">
        <v>3.400039060958252</v>
      </c>
      <c r="V34" s="27" t="n">
        <v>7.353348528914137</v>
      </c>
      <c r="W34" s="27" t="n">
        <v>17.26916142199211</v>
      </c>
      <c r="X34" s="27" t="n">
        <v>10.42924547539092</v>
      </c>
      <c r="Y34" s="27" t="n">
        <v>189.0546678234646</v>
      </c>
      <c r="Z34" s="27" t="n">
        <v>92.74790849427029</v>
      </c>
      <c r="AA34" s="27" t="n">
        <v>2.098997304701258</v>
      </c>
      <c r="AB34" s="27" t="n">
        <v>0.9529291026399019</v>
      </c>
      <c r="AC34" s="27" t="n">
        <v>58.70474365546836</v>
      </c>
      <c r="AD34" s="27" t="n">
        <v>60.38270667204384</v>
      </c>
      <c r="AE34" s="27" t="n">
        <v>7.234444961852272</v>
      </c>
      <c r="AF34" s="27" t="n">
        <v>35.61740065477417</v>
      </c>
      <c r="AG34" s="27" t="n">
        <v>48.51068584856631</v>
      </c>
      <c r="AH34" s="27" t="n">
        <v>29.29285966135677</v>
      </c>
      <c r="AI34" s="27" t="n">
        <v>10.52065261082901</v>
      </c>
      <c r="AJ34" s="27" t="n">
        <v>29.20042455677445</v>
      </c>
      <c r="AK34" s="27" t="n">
        <v>16.36394079035238</v>
      </c>
      <c r="AL34" s="27" t="n">
        <v>648.7933101081089</v>
      </c>
      <c r="AM34" s="27" t="n">
        <v>106.9769793082076</v>
      </c>
      <c r="AN34" s="27" t="n">
        <v>28.24457846158542</v>
      </c>
      <c r="AO34" s="27" t="n">
        <v>42.4971042049831</v>
      </c>
      <c r="AP34" s="27" t="n">
        <v>0.6487524413598742</v>
      </c>
      <c r="AQ34" s="27" t="n">
        <v>70.06996621503777</v>
      </c>
      <c r="AR34" s="27" t="n">
        <v>0.008038105865715781</v>
      </c>
      <c r="AS34" s="27" t="n">
        <v>0.7045900771217392</v>
      </c>
      <c r="AT34" s="27" t="n">
        <v>3.492666203361725</v>
      </c>
      <c r="AU34" s="27" t="n">
        <v>0.1623959654012756</v>
      </c>
      <c r="AV34" s="27" t="n">
        <v>0.6452574684907807</v>
      </c>
      <c r="AW34" s="27" t="n">
        <v>39.47053438020403</v>
      </c>
      <c r="AX34" s="27" t="n">
        <v>0</v>
      </c>
      <c r="AY34" s="27" t="n">
        <v>5.039249973678018</v>
      </c>
      <c r="AZ34" s="27" t="n">
        <v>1.844002316545205</v>
      </c>
      <c r="BA34" s="27" t="n">
        <v>17.35991623007551</v>
      </c>
      <c r="BB34" s="27">
        <f>SUM(C34:BA34)</f>
        <v/>
      </c>
      <c r="BC34" s="27" t="n">
        <v>0</v>
      </c>
      <c r="BD34" s="27" t="n">
        <v>0</v>
      </c>
      <c r="BE34" s="27" t="n">
        <v>0</v>
      </c>
      <c r="BF34" s="27" t="n">
        <v>0</v>
      </c>
      <c r="BG34" s="27">
        <f>SUM(BC34:BF34)</f>
        <v/>
      </c>
      <c r="BH34" s="27">
        <f>BB34+BG34</f>
        <v/>
      </c>
    </row>
    <row r="35">
      <c r="A35" s="29" t="n">
        <v>22</v>
      </c>
      <c r="B35" s="30" t="inlineStr">
        <is>
          <t>Produtos e preparados químicos diversos</t>
        </is>
      </c>
      <c r="C35" s="29" t="n">
        <v>23.03309298613094</v>
      </c>
      <c r="D35" s="29" t="n">
        <v>6.275279016350701</v>
      </c>
      <c r="E35" s="29" t="n">
        <v>27.19347510038202</v>
      </c>
      <c r="F35" s="29" t="n">
        <v>18.4996769260128</v>
      </c>
      <c r="G35" s="29" t="n">
        <v>239.3450643319471</v>
      </c>
      <c r="H35" s="29" t="n">
        <v>343.5158002528199</v>
      </c>
      <c r="I35" s="29" t="n">
        <v>1.208562099689004</v>
      </c>
      <c r="J35" s="29" t="n">
        <v>53.48072686004055</v>
      </c>
      <c r="K35" s="29" t="n">
        <v>1.652982228336212</v>
      </c>
      <c r="L35" s="29" t="n">
        <v>26.88689800814619</v>
      </c>
      <c r="M35" s="29" t="n">
        <v>47.06173510164344</v>
      </c>
      <c r="N35" s="29" t="n">
        <v>63.0253647787575</v>
      </c>
      <c r="O35" s="29" t="n">
        <v>38.78583302536762</v>
      </c>
      <c r="P35" s="29" t="n">
        <v>28.30408289461963</v>
      </c>
      <c r="Q35" s="29" t="n">
        <v>9.157765816669906</v>
      </c>
      <c r="R35" s="29" t="n">
        <v>76.34807081586457</v>
      </c>
      <c r="S35" s="29" t="n">
        <v>94.88705355045674</v>
      </c>
      <c r="T35" s="29" t="n">
        <v>78.37353796786367</v>
      </c>
      <c r="U35" s="29" t="n">
        <v>29.5755321283554</v>
      </c>
      <c r="V35" s="29" t="n">
        <v>100.5828787355633</v>
      </c>
      <c r="W35" s="29" t="n">
        <v>73.5080624864041</v>
      </c>
      <c r="X35" s="29" t="n">
        <v>249.559398521175</v>
      </c>
      <c r="Y35" s="29" t="n">
        <v>204.0655102560776</v>
      </c>
      <c r="Z35" s="29" t="n">
        <v>50.76423418396947</v>
      </c>
      <c r="AA35" s="29" t="n">
        <v>56.24394587025388</v>
      </c>
      <c r="AB35" s="29" t="n">
        <v>7.40134555290241</v>
      </c>
      <c r="AC35" s="29" t="n">
        <v>24.52009135162005</v>
      </c>
      <c r="AD35" s="29" t="n">
        <v>39.15898826474408</v>
      </c>
      <c r="AE35" s="29" t="n">
        <v>27.21540781064812</v>
      </c>
      <c r="AF35" s="29" t="n">
        <v>7.211601054907132</v>
      </c>
      <c r="AG35" s="29" t="n">
        <v>10.09225128983229</v>
      </c>
      <c r="AH35" s="29" t="n">
        <v>10.885770908103</v>
      </c>
      <c r="AI35" s="29" t="n">
        <v>3.213015689849765</v>
      </c>
      <c r="AJ35" s="29" t="n">
        <v>39.71867525937768</v>
      </c>
      <c r="AK35" s="29" t="n">
        <v>21.99312467986907</v>
      </c>
      <c r="AL35" s="29" t="n">
        <v>102.7978046211836</v>
      </c>
      <c r="AM35" s="29" t="n">
        <v>139.9712099519872</v>
      </c>
      <c r="AN35" s="29" t="n">
        <v>7.981285302270087</v>
      </c>
      <c r="AO35" s="29" t="n">
        <v>3.227858207250874</v>
      </c>
      <c r="AP35" s="29" t="n">
        <v>3.132258055835761</v>
      </c>
      <c r="AQ35" s="29" t="n">
        <v>6.085193903824335</v>
      </c>
      <c r="AR35" s="29" t="n">
        <v>0.02418936505404719</v>
      </c>
      <c r="AS35" s="29" t="n">
        <v>0.2913785344673999</v>
      </c>
      <c r="AT35" s="29" t="n">
        <v>11.36899562028559</v>
      </c>
      <c r="AU35" s="29" t="n">
        <v>0.2812062074524194</v>
      </c>
      <c r="AV35" s="29" t="n">
        <v>1.387947682319318</v>
      </c>
      <c r="AW35" s="29" t="n">
        <v>5.434900806773083</v>
      </c>
      <c r="AX35" s="29" t="n">
        <v>0</v>
      </c>
      <c r="AY35" s="29" t="n">
        <v>25.22827884642725</v>
      </c>
      <c r="AZ35" s="29" t="n">
        <v>56.6108019424111</v>
      </c>
      <c r="BA35" s="29" t="n">
        <v>7.461125890714227</v>
      </c>
      <c r="BB35" s="29">
        <f>SUM(C35:BA35)</f>
        <v/>
      </c>
      <c r="BC35" s="29" t="n">
        <v>0</v>
      </c>
      <c r="BD35" s="29" t="n">
        <v>0</v>
      </c>
      <c r="BE35" s="29" t="n">
        <v>0</v>
      </c>
      <c r="BF35" s="29" t="n">
        <v>0</v>
      </c>
      <c r="BG35" s="29">
        <f>SUM(BC35:BF35)</f>
        <v/>
      </c>
      <c r="BH35" s="29">
        <f>BB35+BG35</f>
        <v/>
      </c>
    </row>
    <row r="36">
      <c r="A36" s="27" t="n">
        <v>23</v>
      </c>
      <c r="B36" s="28" t="inlineStr">
        <is>
          <t>Artigos de borracha e plástico</t>
        </is>
      </c>
      <c r="C36" s="27" t="n">
        <v>37.76724619201062</v>
      </c>
      <c r="D36" s="27" t="n">
        <v>16.90940237573428</v>
      </c>
      <c r="E36" s="27" t="n">
        <v>19.09523029456251</v>
      </c>
      <c r="F36" s="27" t="n">
        <v>45.3474013891975</v>
      </c>
      <c r="G36" s="27" t="n">
        <v>26.9831708798051</v>
      </c>
      <c r="H36" s="27" t="n">
        <v>872.895547860762</v>
      </c>
      <c r="I36" s="27" t="n">
        <v>0.5565017808180586</v>
      </c>
      <c r="J36" s="27" t="n">
        <v>44.68150716109466</v>
      </c>
      <c r="K36" s="27" t="n">
        <v>45.00331331445602</v>
      </c>
      <c r="L36" s="27" t="n">
        <v>126.41164649015</v>
      </c>
      <c r="M36" s="27" t="n">
        <v>21.23758410813874</v>
      </c>
      <c r="N36" s="27" t="n">
        <v>56.21610199583417</v>
      </c>
      <c r="O36" s="27" t="n">
        <v>96.61081047971656</v>
      </c>
      <c r="P36" s="27" t="n">
        <v>7.132898207454629</v>
      </c>
      <c r="Q36" s="27" t="n">
        <v>1.828548982724232</v>
      </c>
      <c r="R36" s="27" t="n">
        <v>78.77224299437064</v>
      </c>
      <c r="S36" s="27" t="n">
        <v>30.43052472166075</v>
      </c>
      <c r="T36" s="27" t="n">
        <v>28.58852844667414</v>
      </c>
      <c r="U36" s="27" t="n">
        <v>23.20607971853962</v>
      </c>
      <c r="V36" s="27" t="n">
        <v>117.1557674561032</v>
      </c>
      <c r="W36" s="27" t="n">
        <v>12.98193115062258</v>
      </c>
      <c r="X36" s="27" t="n">
        <v>19.12879085162448</v>
      </c>
      <c r="Y36" s="27" t="n">
        <v>1226.878696950068</v>
      </c>
      <c r="Z36" s="27" t="n">
        <v>167.3450600053075</v>
      </c>
      <c r="AA36" s="27" t="n">
        <v>66.03198116815416</v>
      </c>
      <c r="AB36" s="27" t="n">
        <v>3.101254642703891</v>
      </c>
      <c r="AC36" s="27" t="n">
        <v>59.12008459451882</v>
      </c>
      <c r="AD36" s="27" t="n">
        <v>279.7128383399848</v>
      </c>
      <c r="AE36" s="27" t="n">
        <v>177.1698426098195</v>
      </c>
      <c r="AF36" s="27" t="n">
        <v>195.1274006336621</v>
      </c>
      <c r="AG36" s="27" t="n">
        <v>689.8850836640911</v>
      </c>
      <c r="AH36" s="27" t="n">
        <v>377.0084652222355</v>
      </c>
      <c r="AI36" s="27" t="n">
        <v>68.46063327718272</v>
      </c>
      <c r="AJ36" s="27" t="n">
        <v>164.8865868062029</v>
      </c>
      <c r="AK36" s="27" t="n">
        <v>35.33245800231243</v>
      </c>
      <c r="AL36" s="27" t="n">
        <v>878.2766707183238</v>
      </c>
      <c r="AM36" s="27" t="n">
        <v>400.6710387787879</v>
      </c>
      <c r="AN36" s="27" t="n">
        <v>666.6835097277906</v>
      </c>
      <c r="AO36" s="27" t="n">
        <v>1.615033390151281</v>
      </c>
      <c r="AP36" s="27" t="n">
        <v>5.140736733111578</v>
      </c>
      <c r="AQ36" s="27" t="n">
        <v>6.486944954871698</v>
      </c>
      <c r="AR36" s="27" t="n">
        <v>8.484429308021227</v>
      </c>
      <c r="AS36" s="27" t="n">
        <v>26.72143410487178</v>
      </c>
      <c r="AT36" s="27" t="n">
        <v>80.79582543200715</v>
      </c>
      <c r="AU36" s="27" t="n">
        <v>0.9374612322833552</v>
      </c>
      <c r="AV36" s="27" t="n">
        <v>30.29573539912149</v>
      </c>
      <c r="AW36" s="27" t="n">
        <v>25.55486992600514</v>
      </c>
      <c r="AX36" s="27" t="n">
        <v>0</v>
      </c>
      <c r="AY36" s="27" t="n">
        <v>23.45166328182597</v>
      </c>
      <c r="AZ36" s="27" t="n">
        <v>36.95042705858936</v>
      </c>
      <c r="BA36" s="27" t="n">
        <v>13.60609208729713</v>
      </c>
      <c r="BB36" s="27">
        <f>SUM(C36:BA36)</f>
        <v/>
      </c>
      <c r="BC36" s="27" t="n">
        <v>0</v>
      </c>
      <c r="BD36" s="27" t="n">
        <v>0</v>
      </c>
      <c r="BE36" s="27" t="n">
        <v>0</v>
      </c>
      <c r="BF36" s="27" t="n">
        <v>0</v>
      </c>
      <c r="BG36" s="27">
        <f>SUM(BC36:BF36)</f>
        <v/>
      </c>
      <c r="BH36" s="27">
        <f>BB36+BG36</f>
        <v/>
      </c>
    </row>
    <row r="37">
      <c r="A37" s="29" t="n">
        <v>24</v>
      </c>
      <c r="B37" s="30" t="inlineStr">
        <is>
          <t>Cimento e outros produtos de minerais não-metálicos</t>
        </is>
      </c>
      <c r="C37" s="29" t="n">
        <v>172.7337895453638</v>
      </c>
      <c r="D37" s="29" t="n">
        <v>148.0273003261794</v>
      </c>
      <c r="E37" s="29" t="n">
        <v>10.2917721362841</v>
      </c>
      <c r="F37" s="29" t="n">
        <v>0.736312444097088</v>
      </c>
      <c r="G37" s="29" t="n">
        <v>9.170654595375728</v>
      </c>
      <c r="H37" s="29" t="n">
        <v>222.898777530615</v>
      </c>
      <c r="I37" s="29" t="n">
        <v>0.05062513659422972</v>
      </c>
      <c r="J37" s="29" t="n">
        <v>0.7162162083580149</v>
      </c>
      <c r="K37" s="29" t="n">
        <v>0.3848067298551895</v>
      </c>
      <c r="L37" s="29" t="n">
        <v>0.7726422310922755</v>
      </c>
      <c r="M37" s="29" t="n">
        <v>1.722971920875396</v>
      </c>
      <c r="N37" s="29" t="n">
        <v>15.16667959818546</v>
      </c>
      <c r="O37" s="29" t="n">
        <v>3.63954843629898</v>
      </c>
      <c r="P37" s="29" t="n">
        <v>0.6036384297396633</v>
      </c>
      <c r="Q37" s="29" t="n">
        <v>0.4655027417826772</v>
      </c>
      <c r="R37" s="29" t="n">
        <v>40.26699939899525</v>
      </c>
      <c r="S37" s="29" t="n">
        <v>0.8652152888539086</v>
      </c>
      <c r="T37" s="29" t="n">
        <v>4.07967672968098</v>
      </c>
      <c r="U37" s="29" t="n">
        <v>0.4514064601702985</v>
      </c>
      <c r="V37" s="29" t="n">
        <v>22.036014231804</v>
      </c>
      <c r="W37" s="29" t="n">
        <v>4.721605377099235</v>
      </c>
      <c r="X37" s="29" t="n">
        <v>15.42741666762831</v>
      </c>
      <c r="Y37" s="29" t="n">
        <v>41.52544204244906</v>
      </c>
      <c r="Z37" s="29" t="n">
        <v>575.0170197847516</v>
      </c>
      <c r="AA37" s="29" t="n">
        <v>34.25824654890013</v>
      </c>
      <c r="AB37" s="29" t="n">
        <v>2.257904291632863</v>
      </c>
      <c r="AC37" s="29" t="n">
        <v>12.84430508875516</v>
      </c>
      <c r="AD37" s="29" t="n">
        <v>37.84764293726027</v>
      </c>
      <c r="AE37" s="29" t="n">
        <v>25.09711323026712</v>
      </c>
      <c r="AF37" s="29" t="n">
        <v>3.762167627507521</v>
      </c>
      <c r="AG37" s="29" t="n">
        <v>118.0182815311776</v>
      </c>
      <c r="AH37" s="29" t="n">
        <v>11.2438501083437</v>
      </c>
      <c r="AI37" s="29" t="n">
        <v>8.035870924258282</v>
      </c>
      <c r="AJ37" s="29" t="n">
        <v>35.32088348550408</v>
      </c>
      <c r="AK37" s="29" t="n">
        <v>113.8009880103453</v>
      </c>
      <c r="AL37" s="29" t="n">
        <v>3545.956324022442</v>
      </c>
      <c r="AM37" s="29" t="n">
        <v>22.48163465621544</v>
      </c>
      <c r="AN37" s="29" t="n">
        <v>4.713654293211324</v>
      </c>
      <c r="AO37" s="29" t="n">
        <v>2.293714054465585</v>
      </c>
      <c r="AP37" s="29" t="n">
        <v>0.9737189930025278</v>
      </c>
      <c r="AQ37" s="29" t="n">
        <v>109.4861221972266</v>
      </c>
      <c r="AR37" s="29" t="n">
        <v>0.06869608807977604</v>
      </c>
      <c r="AS37" s="29" t="n">
        <v>39.20443997298172</v>
      </c>
      <c r="AT37" s="29" t="n">
        <v>2.470627846239205</v>
      </c>
      <c r="AU37" s="29" t="n">
        <v>0.4584431155328449</v>
      </c>
      <c r="AV37" s="29" t="n">
        <v>5.309528237519253</v>
      </c>
      <c r="AW37" s="29" t="n">
        <v>17.66771021355604</v>
      </c>
      <c r="AX37" s="29" t="n">
        <v>0</v>
      </c>
      <c r="AY37" s="29" t="n">
        <v>11.22219436811045</v>
      </c>
      <c r="AZ37" s="29" t="n">
        <v>9.339534526574932</v>
      </c>
      <c r="BA37" s="29" t="n">
        <v>27.18048587672844</v>
      </c>
      <c r="BB37" s="29">
        <f>SUM(C37:BA37)</f>
        <v/>
      </c>
      <c r="BC37" s="29" t="n">
        <v>0</v>
      </c>
      <c r="BD37" s="29" t="n">
        <v>0</v>
      </c>
      <c r="BE37" s="29" t="n">
        <v>0</v>
      </c>
      <c r="BF37" s="29" t="n">
        <v>0</v>
      </c>
      <c r="BG37" s="29">
        <f>SUM(BC37:BF37)</f>
        <v/>
      </c>
      <c r="BH37" s="29">
        <f>BB37+BG37</f>
        <v/>
      </c>
    </row>
    <row r="38">
      <c r="A38" s="27" t="n">
        <v>25</v>
      </c>
      <c r="B38" s="28" t="inlineStr">
        <is>
          <t>Fabricação de aço e derivados</t>
        </is>
      </c>
      <c r="C38" s="27" t="n">
        <v>10.7400108526773</v>
      </c>
      <c r="D38" s="27" t="n">
        <v>17.01703370555688</v>
      </c>
      <c r="E38" s="27" t="n">
        <v>103.7942531813854</v>
      </c>
      <c r="F38" s="27" t="n">
        <v>2.848885278033969</v>
      </c>
      <c r="G38" s="27" t="n">
        <v>16.67407842985772</v>
      </c>
      <c r="H38" s="27" t="n">
        <v>35.14808275259976</v>
      </c>
      <c r="I38" s="27" t="n">
        <v>0.2318835686886346</v>
      </c>
      <c r="J38" s="27" t="n">
        <v>1.274383368266342</v>
      </c>
      <c r="K38" s="27" t="n">
        <v>0.6741986688563859</v>
      </c>
      <c r="L38" s="27" t="n">
        <v>0.9187284323903618</v>
      </c>
      <c r="M38" s="27" t="n">
        <v>1.793097805554894</v>
      </c>
      <c r="N38" s="27" t="n">
        <v>10.31682928042891</v>
      </c>
      <c r="O38" s="27" t="n">
        <v>1.209112695316825</v>
      </c>
      <c r="P38" s="27" t="n">
        <v>1.549642950335412</v>
      </c>
      <c r="Q38" s="27" t="n">
        <v>0.4504507312520237</v>
      </c>
      <c r="R38" s="27" t="n">
        <v>6.62041946963462</v>
      </c>
      <c r="S38" s="27" t="n">
        <v>4.846556162299057</v>
      </c>
      <c r="T38" s="27" t="n">
        <v>2.359458116180949</v>
      </c>
      <c r="U38" s="27" t="n">
        <v>1.677278272984687</v>
      </c>
      <c r="V38" s="27" t="n">
        <v>3.937551515817048</v>
      </c>
      <c r="W38" s="27" t="n">
        <v>3.25688893638772</v>
      </c>
      <c r="X38" s="27" t="n">
        <v>4.632687334209645</v>
      </c>
      <c r="Y38" s="27" t="n">
        <v>54.63758723014509</v>
      </c>
      <c r="Z38" s="27" t="n">
        <v>34.72846317338757</v>
      </c>
      <c r="AA38" s="27" t="n">
        <v>567.4281699418004</v>
      </c>
      <c r="AB38" s="27" t="n">
        <v>56.62762596090973</v>
      </c>
      <c r="AC38" s="27" t="n">
        <v>1199.708967657522</v>
      </c>
      <c r="AD38" s="27" t="n">
        <v>524.5524947439238</v>
      </c>
      <c r="AE38" s="27" t="n">
        <v>213.5648770450473</v>
      </c>
      <c r="AF38" s="27" t="n">
        <v>14.65174269703124</v>
      </c>
      <c r="AG38" s="27" t="n">
        <v>321.1464064894224</v>
      </c>
      <c r="AH38" s="27" t="n">
        <v>479.6510003759967</v>
      </c>
      <c r="AI38" s="27" t="n">
        <v>42.79398070627291</v>
      </c>
      <c r="AJ38" s="27" t="n">
        <v>83.48012565739083</v>
      </c>
      <c r="AK38" s="27" t="n">
        <v>19.18620464023718</v>
      </c>
      <c r="AL38" s="27" t="n">
        <v>1000.127217959679</v>
      </c>
      <c r="AM38" s="27" t="n">
        <v>55.21472711266984</v>
      </c>
      <c r="AN38" s="27" t="n">
        <v>6.152897063661199</v>
      </c>
      <c r="AO38" s="27" t="n">
        <v>4.825551643758637</v>
      </c>
      <c r="AP38" s="27" t="n">
        <v>3.228517929417678</v>
      </c>
      <c r="AQ38" s="27" t="n">
        <v>1.147153059477787</v>
      </c>
      <c r="AR38" s="27" t="n">
        <v>0.08321886240715624</v>
      </c>
      <c r="AS38" s="27" t="n">
        <v>3.659739047382087</v>
      </c>
      <c r="AT38" s="27" t="n">
        <v>16.37141186056762</v>
      </c>
      <c r="AU38" s="27" t="n">
        <v>1.034157922600524</v>
      </c>
      <c r="AV38" s="27" t="n">
        <v>0.7591901345273634</v>
      </c>
      <c r="AW38" s="27" t="n">
        <v>3.232361679122948</v>
      </c>
      <c r="AX38" s="27" t="n">
        <v>0</v>
      </c>
      <c r="AY38" s="27" t="n">
        <v>2.84972488044096</v>
      </c>
      <c r="AZ38" s="27" t="n">
        <v>1.899366948058366</v>
      </c>
      <c r="BA38" s="27" t="n">
        <v>11.12717131369775</v>
      </c>
      <c r="BB38" s="27">
        <f>SUM(C38:BA38)</f>
        <v/>
      </c>
      <c r="BC38" s="27" t="n">
        <v>0</v>
      </c>
      <c r="BD38" s="27" t="n">
        <v>0</v>
      </c>
      <c r="BE38" s="27" t="n">
        <v>0</v>
      </c>
      <c r="BF38" s="27" t="n">
        <v>0</v>
      </c>
      <c r="BG38" s="27">
        <f>SUM(BC38:BF38)</f>
        <v/>
      </c>
      <c r="BH38" s="27">
        <f>BB38+BG38</f>
        <v/>
      </c>
    </row>
    <row r="39">
      <c r="A39" s="29" t="n">
        <v>26</v>
      </c>
      <c r="B39" s="30" t="inlineStr">
        <is>
          <t>Metalurgia de metais não-ferrosos</t>
        </is>
      </c>
      <c r="C39" s="29" t="n">
        <v>72.03070208909374</v>
      </c>
      <c r="D39" s="29" t="n">
        <v>11.3437505302319</v>
      </c>
      <c r="E39" s="29" t="n">
        <v>6.986930992332383</v>
      </c>
      <c r="F39" s="29" t="n">
        <v>1.603822042882108</v>
      </c>
      <c r="G39" s="29" t="n">
        <v>6.798068768554165</v>
      </c>
      <c r="H39" s="29" t="n">
        <v>85.69115125367472</v>
      </c>
      <c r="I39" s="29" t="n">
        <v>0.07366738956197573</v>
      </c>
      <c r="J39" s="29" t="n">
        <v>1.568632555548076</v>
      </c>
      <c r="K39" s="29" t="n">
        <v>0.360716498787843</v>
      </c>
      <c r="L39" s="29" t="n">
        <v>1.374996470613202</v>
      </c>
      <c r="M39" s="29" t="n">
        <v>0.7481185158762853</v>
      </c>
      <c r="N39" s="29" t="n">
        <v>32.56834976453919</v>
      </c>
      <c r="O39" s="29" t="n">
        <v>38.96469468187501</v>
      </c>
      <c r="P39" s="29" t="n">
        <v>0.6033025824395347</v>
      </c>
      <c r="Q39" s="29" t="n">
        <v>0.2181263273892143</v>
      </c>
      <c r="R39" s="29" t="n">
        <v>79.45509869748311</v>
      </c>
      <c r="S39" s="29" t="n">
        <v>5.158712092844781</v>
      </c>
      <c r="T39" s="29" t="n">
        <v>1.949023644839747</v>
      </c>
      <c r="U39" s="29" t="n">
        <v>2.180428982028273</v>
      </c>
      <c r="V39" s="29" t="n">
        <v>4.434128834425509</v>
      </c>
      <c r="W39" s="29" t="n">
        <v>6.106321383412975</v>
      </c>
      <c r="X39" s="29" t="n">
        <v>31.02837388287232</v>
      </c>
      <c r="Y39" s="29" t="n">
        <v>12.12289748530777</v>
      </c>
      <c r="Z39" s="29" t="n">
        <v>17.49537958444125</v>
      </c>
      <c r="AA39" s="29" t="n">
        <v>168.97144165408</v>
      </c>
      <c r="AB39" s="29" t="n">
        <v>806.9229540098523</v>
      </c>
      <c r="AC39" s="29" t="n">
        <v>213.0101491931111</v>
      </c>
      <c r="AD39" s="29" t="n">
        <v>249.1267908046913</v>
      </c>
      <c r="AE39" s="29" t="n">
        <v>670.0753401328855</v>
      </c>
      <c r="AF39" s="29" t="n">
        <v>28.64713242544841</v>
      </c>
      <c r="AG39" s="29" t="n">
        <v>53.50838003769321</v>
      </c>
      <c r="AH39" s="29" t="n">
        <v>459.7201480312967</v>
      </c>
      <c r="AI39" s="29" t="n">
        <v>66.06402266209325</v>
      </c>
      <c r="AJ39" s="29" t="n">
        <v>234.1865634866053</v>
      </c>
      <c r="AK39" s="29" t="n">
        <v>21.25792658823948</v>
      </c>
      <c r="AL39" s="29" t="n">
        <v>411.187507715274</v>
      </c>
      <c r="AM39" s="29" t="n">
        <v>27.46524651690562</v>
      </c>
      <c r="AN39" s="29" t="n">
        <v>3.973971825598188</v>
      </c>
      <c r="AO39" s="29" t="n">
        <v>1.896841401985272</v>
      </c>
      <c r="AP39" s="29" t="n">
        <v>1.276384143574756</v>
      </c>
      <c r="AQ39" s="29" t="n">
        <v>5.830688011549464</v>
      </c>
      <c r="AR39" s="29" t="n">
        <v>0.07112657898508919</v>
      </c>
      <c r="AS39" s="29" t="n">
        <v>1.610808154294683</v>
      </c>
      <c r="AT39" s="29" t="n">
        <v>2.455584088112885</v>
      </c>
      <c r="AU39" s="29" t="n">
        <v>0.5825057417181198</v>
      </c>
      <c r="AV39" s="29" t="n">
        <v>3.746014250685242</v>
      </c>
      <c r="AW39" s="29" t="n">
        <v>2.804584448543477</v>
      </c>
      <c r="AX39" s="29" t="n">
        <v>0</v>
      </c>
      <c r="AY39" s="29" t="n">
        <v>0.8210214875756403</v>
      </c>
      <c r="AZ39" s="29" t="n">
        <v>1.131453122121527</v>
      </c>
      <c r="BA39" s="29" t="n">
        <v>3.210014130986605</v>
      </c>
      <c r="BB39" s="29">
        <f>SUM(C39:BA39)</f>
        <v/>
      </c>
      <c r="BC39" s="29" t="n">
        <v>0</v>
      </c>
      <c r="BD39" s="29" t="n">
        <v>0</v>
      </c>
      <c r="BE39" s="29" t="n">
        <v>0</v>
      </c>
      <c r="BF39" s="29" t="n">
        <v>0</v>
      </c>
      <c r="BG39" s="29">
        <f>SUM(BC39:BF39)</f>
        <v/>
      </c>
      <c r="BH39" s="29">
        <f>BB39+BG39</f>
        <v/>
      </c>
    </row>
    <row r="40">
      <c r="A40" s="28" t="inlineStr">
        <is>
          <t>Produtos de metal</t>
        </is>
      </c>
      <c r="B40" s="28" t="inlineStr">
        <is>
          <t>exclusive máquinas e equipamentos</t>
        </is>
      </c>
      <c r="C40" s="27" t="n">
        <v>26.09260303178785</v>
      </c>
      <c r="D40" s="27" t="n">
        <v>45.69896321434783</v>
      </c>
      <c r="E40" s="27" t="n">
        <v>103.2634053324494</v>
      </c>
      <c r="F40" s="27" t="n">
        <v>43.74994318543982</v>
      </c>
      <c r="G40" s="27" t="n">
        <v>26.32679494442332</v>
      </c>
      <c r="H40" s="27" t="n">
        <v>598.5890506161844</v>
      </c>
      <c r="I40" s="27" t="n">
        <v>2.253715325656481</v>
      </c>
      <c r="J40" s="27" t="n">
        <v>10.88221495766083</v>
      </c>
      <c r="K40" s="27" t="n">
        <v>15.17580402412573</v>
      </c>
      <c r="L40" s="27" t="n">
        <v>8.568302681978061</v>
      </c>
      <c r="M40" s="27" t="n">
        <v>40.21021939776845</v>
      </c>
      <c r="N40" s="27" t="n">
        <v>11.2316424058478</v>
      </c>
      <c r="O40" s="27" t="n">
        <v>5.393847477846782</v>
      </c>
      <c r="P40" s="27" t="n">
        <v>24.37607751575323</v>
      </c>
      <c r="Q40" s="27" t="n">
        <v>3.236892848929613</v>
      </c>
      <c r="R40" s="27" t="n">
        <v>29.43651575872658</v>
      </c>
      <c r="S40" s="27" t="n">
        <v>12.3764817990329</v>
      </c>
      <c r="T40" s="27" t="n">
        <v>9.725739552935895</v>
      </c>
      <c r="U40" s="27" t="n">
        <v>3.881421339122743</v>
      </c>
      <c r="V40" s="27" t="n">
        <v>74.27315549918357</v>
      </c>
      <c r="W40" s="27" t="n">
        <v>60.4281865089775</v>
      </c>
      <c r="X40" s="27" t="n">
        <v>5.982669235490999</v>
      </c>
      <c r="Y40" s="27" t="n">
        <v>21.93691995881201</v>
      </c>
      <c r="Z40" s="27" t="n">
        <v>20.53490360731368</v>
      </c>
      <c r="AA40" s="27" t="n">
        <v>210.4618755301587</v>
      </c>
      <c r="AB40" s="27" t="n">
        <v>31.2895328355916</v>
      </c>
      <c r="AC40" s="27" t="n">
        <v>625.1836080706991</v>
      </c>
      <c r="AD40" s="27" t="n">
        <v>617.4115868260759</v>
      </c>
      <c r="AE40" s="27" t="n">
        <v>219.0078809270931</v>
      </c>
      <c r="AF40" s="27" t="n">
        <v>115.7884575419039</v>
      </c>
      <c r="AG40" s="27" t="n">
        <v>277.432639426033</v>
      </c>
      <c r="AH40" s="27" t="n">
        <v>219.5105461032296</v>
      </c>
      <c r="AI40" s="27" t="n">
        <v>126.6537297486951</v>
      </c>
      <c r="AJ40" s="27" t="n">
        <v>103.1062053891179</v>
      </c>
      <c r="AK40" s="27" t="n">
        <v>189.1855604039607</v>
      </c>
      <c r="AL40" s="27" t="n">
        <v>1894.183537871388</v>
      </c>
      <c r="AM40" s="27" t="n">
        <v>108.6421016621661</v>
      </c>
      <c r="AN40" s="27" t="n">
        <v>23.93167096256387</v>
      </c>
      <c r="AO40" s="27" t="n">
        <v>3.473545038835838</v>
      </c>
      <c r="AP40" s="27" t="n">
        <v>2.076447252805619</v>
      </c>
      <c r="AQ40" s="27" t="n">
        <v>28.78613269735954</v>
      </c>
      <c r="AR40" s="27" t="n">
        <v>0.9351539349807992</v>
      </c>
      <c r="AS40" s="27" t="n">
        <v>120.2393973927409</v>
      </c>
      <c r="AT40" s="27" t="n">
        <v>20.85007774566196</v>
      </c>
      <c r="AU40" s="27" t="n">
        <v>1.406736124034994</v>
      </c>
      <c r="AV40" s="27" t="n">
        <v>4.29084223810961</v>
      </c>
      <c r="AW40" s="27" t="n">
        <v>44.48006527506042</v>
      </c>
      <c r="AX40" s="27" t="n">
        <v>0</v>
      </c>
      <c r="AY40" s="27" t="n">
        <v>5.356147295591625</v>
      </c>
      <c r="AZ40" s="27" t="n">
        <v>5.02171352823573</v>
      </c>
      <c r="BA40" s="27" t="n">
        <v>78.36831161632929</v>
      </c>
      <c r="BB40" s="27">
        <f>SUM(C40:BA40)</f>
        <v/>
      </c>
      <c r="BC40" s="27" t="n">
        <v>0</v>
      </c>
      <c r="BD40" s="27" t="n">
        <v>0</v>
      </c>
      <c r="BE40" s="27" t="n">
        <v>0</v>
      </c>
      <c r="BF40" s="27" t="n">
        <v>0</v>
      </c>
      <c r="BG40" s="27">
        <f>SUM(BC40:BF40)</f>
        <v/>
      </c>
      <c r="BH40" s="27">
        <f>BB40+BG40</f>
        <v/>
      </c>
    </row>
    <row r="41">
      <c r="A41" s="29" t="n">
        <v>28</v>
      </c>
      <c r="B41" s="30" t="inlineStr">
        <is>
          <t>Máquinas e equipamentos inclusive manutenção e reparos</t>
        </is>
      </c>
      <c r="C41" s="29" t="n">
        <v>22.22907818375895</v>
      </c>
      <c r="D41" s="29" t="n">
        <v>11.83779381259622</v>
      </c>
      <c r="E41" s="29" t="n">
        <v>1072.463140710049</v>
      </c>
      <c r="F41" s="29" t="n">
        <v>475.8926803424651</v>
      </c>
      <c r="G41" s="29" t="n">
        <v>290.5510730115998</v>
      </c>
      <c r="H41" s="29" t="n">
        <v>280.2261476317643</v>
      </c>
      <c r="I41" s="29" t="n">
        <v>1.235387616166501</v>
      </c>
      <c r="J41" s="29" t="n">
        <v>39.843636527454</v>
      </c>
      <c r="K41" s="29" t="n">
        <v>77.85978238443246</v>
      </c>
      <c r="L41" s="29" t="n">
        <v>24.61766982314832</v>
      </c>
      <c r="M41" s="29" t="n">
        <v>91.12923751669341</v>
      </c>
      <c r="N41" s="29" t="n">
        <v>222.6151653364292</v>
      </c>
      <c r="O41" s="29" t="n">
        <v>161.8156290985432</v>
      </c>
      <c r="P41" s="29" t="n">
        <v>70.35037084512085</v>
      </c>
      <c r="Q41" s="29" t="n">
        <v>36.72316972296623</v>
      </c>
      <c r="R41" s="29" t="n">
        <v>98.73611601820656</v>
      </c>
      <c r="S41" s="29" t="n">
        <v>41.9329045409459</v>
      </c>
      <c r="T41" s="29" t="n">
        <v>51.30509253556806</v>
      </c>
      <c r="U41" s="29" t="n">
        <v>13.65079444838847</v>
      </c>
      <c r="V41" s="29" t="n">
        <v>22.54579379851835</v>
      </c>
      <c r="W41" s="29" t="n">
        <v>27.83922669612437</v>
      </c>
      <c r="X41" s="29" t="n">
        <v>39.07084869265812</v>
      </c>
      <c r="Y41" s="29" t="n">
        <v>83.57163954500511</v>
      </c>
      <c r="Z41" s="29" t="n">
        <v>267.1387510187064</v>
      </c>
      <c r="AA41" s="29" t="n">
        <v>1004.651841507014</v>
      </c>
      <c r="AB41" s="29" t="n">
        <v>221.6617862857231</v>
      </c>
      <c r="AC41" s="29" t="n">
        <v>106.2558825625359</v>
      </c>
      <c r="AD41" s="29" t="n">
        <v>4228.595281703901</v>
      </c>
      <c r="AE41" s="29" t="n">
        <v>196.5586906654232</v>
      </c>
      <c r="AF41" s="29" t="n">
        <v>147.5466988070701</v>
      </c>
      <c r="AG41" s="29" t="n">
        <v>319.3801432391594</v>
      </c>
      <c r="AH41" s="29" t="n">
        <v>137.4150830352811</v>
      </c>
      <c r="AI41" s="29" t="n">
        <v>106.5788081365589</v>
      </c>
      <c r="AJ41" s="29" t="n">
        <v>67.84282357599186</v>
      </c>
      <c r="AK41" s="29" t="n">
        <v>255.7060209247357</v>
      </c>
      <c r="AL41" s="29" t="n">
        <v>1024.656605217177</v>
      </c>
      <c r="AM41" s="29" t="n">
        <v>553.5691855985447</v>
      </c>
      <c r="AN41" s="29" t="n">
        <v>576.6019368276231</v>
      </c>
      <c r="AO41" s="29" t="n">
        <v>272.2772209486568</v>
      </c>
      <c r="AP41" s="29" t="n">
        <v>34.89207501826717</v>
      </c>
      <c r="AQ41" s="29" t="n">
        <v>11.98569082900023</v>
      </c>
      <c r="AR41" s="29" t="n">
        <v>17.40212840603362</v>
      </c>
      <c r="AS41" s="29" t="n">
        <v>26.6936582217755</v>
      </c>
      <c r="AT41" s="29" t="n">
        <v>296.9106861966716</v>
      </c>
      <c r="AU41" s="29" t="n">
        <v>3.179239084292409</v>
      </c>
      <c r="AV41" s="29" t="n">
        <v>123.1517721962802</v>
      </c>
      <c r="AW41" s="29" t="n">
        <v>262.9401082865357</v>
      </c>
      <c r="AX41" s="29" t="n">
        <v>0</v>
      </c>
      <c r="AY41" s="29" t="n">
        <v>36.52198237054574</v>
      </c>
      <c r="AZ41" s="29" t="n">
        <v>102.524541536079</v>
      </c>
      <c r="BA41" s="29" t="n">
        <v>123.2409157177592</v>
      </c>
      <c r="BB41" s="29">
        <f>SUM(C41:BA41)</f>
        <v/>
      </c>
      <c r="BC41" s="29" t="n">
        <v>0</v>
      </c>
      <c r="BD41" s="29" t="n">
        <v>0</v>
      </c>
      <c r="BE41" s="29" t="n">
        <v>0</v>
      </c>
      <c r="BF41" s="29" t="n">
        <v>0</v>
      </c>
      <c r="BG41" s="29">
        <f>SUM(BC41:BF41)</f>
        <v/>
      </c>
      <c r="BH41" s="29">
        <f>BB41+BG41</f>
        <v/>
      </c>
    </row>
    <row r="42">
      <c r="A42" s="27" t="n">
        <v>29</v>
      </c>
      <c r="B42" s="28" t="inlineStr">
        <is>
          <t>Eletrodomésticos e material eletronico</t>
        </is>
      </c>
      <c r="C42" s="27" t="n">
        <v>7.824818059459696</v>
      </c>
      <c r="D42" s="27" t="n">
        <v>20.75459276751974</v>
      </c>
      <c r="E42" s="27" t="n">
        <v>43.00100419438994</v>
      </c>
      <c r="F42" s="27" t="n">
        <v>8.355531968502433</v>
      </c>
      <c r="G42" s="27" t="n">
        <v>10.85149835372</v>
      </c>
      <c r="H42" s="27" t="n">
        <v>44.56565131678339</v>
      </c>
      <c r="I42" s="27" t="n">
        <v>1.02406436786121</v>
      </c>
      <c r="J42" s="27" t="n">
        <v>14.54389224916726</v>
      </c>
      <c r="K42" s="27" t="n">
        <v>3.568226992951026</v>
      </c>
      <c r="L42" s="27" t="n">
        <v>3.527478621868029</v>
      </c>
      <c r="M42" s="27" t="n">
        <v>7.158413472638464</v>
      </c>
      <c r="N42" s="27" t="n">
        <v>13.59775175273944</v>
      </c>
      <c r="O42" s="27" t="n">
        <v>6.505135501810307</v>
      </c>
      <c r="P42" s="27" t="n">
        <v>1.966279595439791</v>
      </c>
      <c r="Q42" s="27" t="n">
        <v>1.206368303133061</v>
      </c>
      <c r="R42" s="27" t="n">
        <v>18.24553264890562</v>
      </c>
      <c r="S42" s="27" t="n">
        <v>8.332464973389673</v>
      </c>
      <c r="T42" s="27" t="n">
        <v>2.810162394423605</v>
      </c>
      <c r="U42" s="27" t="n">
        <v>0.7476380448397855</v>
      </c>
      <c r="V42" s="27" t="n">
        <v>3.46634334705121</v>
      </c>
      <c r="W42" s="27" t="n">
        <v>1.470663930571027</v>
      </c>
      <c r="X42" s="27" t="n">
        <v>4.453742967734989</v>
      </c>
      <c r="Y42" s="27" t="n">
        <v>20.36057968196945</v>
      </c>
      <c r="Z42" s="27" t="n">
        <v>30.99387890064643</v>
      </c>
      <c r="AA42" s="27" t="n">
        <v>18.55168317244482</v>
      </c>
      <c r="AB42" s="27" t="n">
        <v>31.22733785035685</v>
      </c>
      <c r="AC42" s="27" t="n">
        <v>15.47001862298866</v>
      </c>
      <c r="AD42" s="27" t="n">
        <v>869.1970344031615</v>
      </c>
      <c r="AE42" s="27" t="n">
        <v>1554.567718237014</v>
      </c>
      <c r="AF42" s="27" t="n">
        <v>612.7575762311728</v>
      </c>
      <c r="AG42" s="27" t="n">
        <v>184.1568027038622</v>
      </c>
      <c r="AH42" s="27" t="n">
        <v>241.2784417792457</v>
      </c>
      <c r="AI42" s="27" t="n">
        <v>49.65018877462605</v>
      </c>
      <c r="AJ42" s="27" t="n">
        <v>56.51133280955217</v>
      </c>
      <c r="AK42" s="27" t="n">
        <v>899.8837079276916</v>
      </c>
      <c r="AL42" s="27" t="n">
        <v>2150.769127127194</v>
      </c>
      <c r="AM42" s="27" t="n">
        <v>205.6257737200764</v>
      </c>
      <c r="AN42" s="27" t="n">
        <v>246.7222911433735</v>
      </c>
      <c r="AO42" s="27" t="n">
        <v>207.4361239075876</v>
      </c>
      <c r="AP42" s="27" t="n">
        <v>9.559611759076221</v>
      </c>
      <c r="AQ42" s="27" t="n">
        <v>76.57439387010632</v>
      </c>
      <c r="AR42" s="27" t="n">
        <v>83.22551984652185</v>
      </c>
      <c r="AS42" s="27" t="n">
        <v>10.31991706187466</v>
      </c>
      <c r="AT42" s="27" t="n">
        <v>148.1551745709719</v>
      </c>
      <c r="AU42" s="27" t="n">
        <v>0.8824972211502812</v>
      </c>
      <c r="AV42" s="27" t="n">
        <v>74.88833584986811</v>
      </c>
      <c r="AW42" s="27" t="n">
        <v>256.4612608646585</v>
      </c>
      <c r="AX42" s="27" t="n">
        <v>0</v>
      </c>
      <c r="AY42" s="27" t="n">
        <v>22.33296487008183</v>
      </c>
      <c r="AZ42" s="27" t="n">
        <v>22.4422537976968</v>
      </c>
      <c r="BA42" s="27" t="n">
        <v>25.44476693060301</v>
      </c>
      <c r="BB42" s="27">
        <f>SUM(C42:BA42)</f>
        <v/>
      </c>
      <c r="BC42" s="27" t="n">
        <v>0</v>
      </c>
      <c r="BD42" s="27" t="n">
        <v>0</v>
      </c>
      <c r="BE42" s="27" t="n">
        <v>0</v>
      </c>
      <c r="BF42" s="27" t="n">
        <v>0</v>
      </c>
      <c r="BG42" s="27">
        <f>SUM(BC42:BF42)</f>
        <v/>
      </c>
      <c r="BH42" s="27">
        <f>BB42+BG42</f>
        <v/>
      </c>
    </row>
    <row r="43">
      <c r="A43" s="29" t="n">
        <v>30</v>
      </c>
      <c r="B43" s="30" t="inlineStr">
        <is>
          <t>Máquinas para escritório aparelhos e e material eletronico</t>
        </is>
      </c>
      <c r="C43" s="29" t="n">
        <v>0.786612560543101</v>
      </c>
      <c r="D43" s="29" t="n">
        <v>1.144642613771147</v>
      </c>
      <c r="E43" s="29" t="n">
        <v>89.38434247685126</v>
      </c>
      <c r="F43" s="29" t="n">
        <v>4.278703054670041</v>
      </c>
      <c r="G43" s="29" t="n">
        <v>10.56087357789692</v>
      </c>
      <c r="H43" s="29" t="n">
        <v>18.54526036349423</v>
      </c>
      <c r="I43" s="29" t="n">
        <v>0.2668844591800432</v>
      </c>
      <c r="J43" s="29" t="n">
        <v>1.464460111967698</v>
      </c>
      <c r="K43" s="29" t="n">
        <v>1.125465338508187</v>
      </c>
      <c r="L43" s="29" t="n">
        <v>0.6689880004754445</v>
      </c>
      <c r="M43" s="29" t="n">
        <v>2.219359114290695</v>
      </c>
      <c r="N43" s="29" t="n">
        <v>3.699305811489223</v>
      </c>
      <c r="O43" s="29" t="n">
        <v>157.5543957334176</v>
      </c>
      <c r="P43" s="29" t="n">
        <v>2.029615121990325</v>
      </c>
      <c r="Q43" s="29" t="n">
        <v>0.5157610460955988</v>
      </c>
      <c r="R43" s="29" t="n">
        <v>2.769074710424103</v>
      </c>
      <c r="S43" s="29" t="n">
        <v>2.088180545014222</v>
      </c>
      <c r="T43" s="29" t="n">
        <v>10.3474472889099</v>
      </c>
      <c r="U43" s="29" t="n">
        <v>0.9330337176251186</v>
      </c>
      <c r="V43" s="29" t="n">
        <v>3.715940233774544</v>
      </c>
      <c r="W43" s="29" t="n">
        <v>2.452623357584612</v>
      </c>
      <c r="X43" s="29" t="n">
        <v>8.109216280746811</v>
      </c>
      <c r="Y43" s="29" t="n">
        <v>5.840109266381086</v>
      </c>
      <c r="Z43" s="29" t="n">
        <v>3.864558727920026</v>
      </c>
      <c r="AA43" s="29" t="n">
        <v>9.067424253141121</v>
      </c>
      <c r="AB43" s="29" t="n">
        <v>2.795014026520974</v>
      </c>
      <c r="AC43" s="29" t="n">
        <v>1.364270887454203</v>
      </c>
      <c r="AD43" s="29" t="n">
        <v>372.736674718407</v>
      </c>
      <c r="AE43" s="29" t="n">
        <v>177.6503436560882</v>
      </c>
      <c r="AF43" s="29" t="n">
        <v>10469.50299828102</v>
      </c>
      <c r="AG43" s="29" t="n">
        <v>99.82239806838014</v>
      </c>
      <c r="AH43" s="29" t="n">
        <v>74.58985677769337</v>
      </c>
      <c r="AI43" s="29" t="n">
        <v>18.62205475282194</v>
      </c>
      <c r="AJ43" s="29" t="n">
        <v>22.3318888114182</v>
      </c>
      <c r="AK43" s="29" t="n">
        <v>64.23047366261063</v>
      </c>
      <c r="AL43" s="29" t="n">
        <v>209.8928788763663</v>
      </c>
      <c r="AM43" s="29" t="n">
        <v>88.60060876132177</v>
      </c>
      <c r="AN43" s="29" t="n">
        <v>85.67098815560018</v>
      </c>
      <c r="AO43" s="29" t="n">
        <v>828.1469381897427</v>
      </c>
      <c r="AP43" s="29" t="n">
        <v>162.1271702767629</v>
      </c>
      <c r="AQ43" s="29" t="n">
        <v>2.592624756111667</v>
      </c>
      <c r="AR43" s="29" t="n">
        <v>397.0622525262797</v>
      </c>
      <c r="AS43" s="29" t="n">
        <v>1.419113355063657</v>
      </c>
      <c r="AT43" s="29" t="n">
        <v>1068.173657102365</v>
      </c>
      <c r="AU43" s="29" t="n">
        <v>64.19617233569848</v>
      </c>
      <c r="AV43" s="29" t="n">
        <v>2752.573276354021</v>
      </c>
      <c r="AW43" s="29" t="n">
        <v>133.2898398560102</v>
      </c>
      <c r="AX43" s="29" t="n">
        <v>0</v>
      </c>
      <c r="AY43" s="29" t="n">
        <v>711.9735888439528</v>
      </c>
      <c r="AZ43" s="29" t="n">
        <v>796.7977373376388</v>
      </c>
      <c r="BA43" s="29" t="n">
        <v>284.950462220083</v>
      </c>
      <c r="BB43" s="29">
        <f>SUM(C43:BA43)</f>
        <v/>
      </c>
      <c r="BC43" s="29" t="n">
        <v>0</v>
      </c>
      <c r="BD43" s="29" t="n">
        <v>0</v>
      </c>
      <c r="BE43" s="29" t="n">
        <v>0</v>
      </c>
      <c r="BF43" s="29" t="n">
        <v>0</v>
      </c>
      <c r="BG43" s="29">
        <f>SUM(BC43:BF43)</f>
        <v/>
      </c>
      <c r="BH43" s="29">
        <f>BB43+BG43</f>
        <v/>
      </c>
    </row>
    <row r="44">
      <c r="A44" s="27" t="n">
        <v>31</v>
      </c>
      <c r="B44" s="28" t="inlineStr">
        <is>
          <t>Automóveis camionetas caminhões e ônibus</t>
        </is>
      </c>
      <c r="C44" s="27" t="n">
        <v>0.2164153918489441</v>
      </c>
      <c r="D44" s="27" t="n">
        <v>0.4886799442635633</v>
      </c>
      <c r="E44" s="27" t="n">
        <v>11.6076657104333</v>
      </c>
      <c r="F44" s="27" t="n">
        <v>3.166762966255543</v>
      </c>
      <c r="G44" s="27" t="n">
        <v>2.439143156335245</v>
      </c>
      <c r="H44" s="27" t="n">
        <v>-1.281218303736442</v>
      </c>
      <c r="I44" s="27" t="n">
        <v>-0.05056305055051092</v>
      </c>
      <c r="J44" s="27" t="n">
        <v>-0.7626421184889756</v>
      </c>
      <c r="K44" s="27" t="n">
        <v>-0.6682013511384586</v>
      </c>
      <c r="L44" s="27" t="n">
        <v>-1.535218088358977</v>
      </c>
      <c r="M44" s="27" t="n">
        <v>0.4157940154495582</v>
      </c>
      <c r="N44" s="27" t="n">
        <v>0.01056336567551149</v>
      </c>
      <c r="O44" s="27" t="n">
        <v>1.192403708364303</v>
      </c>
      <c r="P44" s="27" t="n">
        <v>0.8830775440614116</v>
      </c>
      <c r="Q44" s="27" t="n">
        <v>0.01445988082128767</v>
      </c>
      <c r="R44" s="27" t="n">
        <v>1.289316357960021</v>
      </c>
      <c r="S44" s="27" t="n">
        <v>-0.2128735896423534</v>
      </c>
      <c r="T44" s="27" t="n">
        <v>0.04274647340374541</v>
      </c>
      <c r="U44" s="27" t="n">
        <v>0.03821800173068403</v>
      </c>
      <c r="V44" s="27" t="n">
        <v>0.7192643891577241</v>
      </c>
      <c r="W44" s="27" t="n">
        <v>0.2561144405986472</v>
      </c>
      <c r="X44" s="27" t="n">
        <v>1.461828940040222</v>
      </c>
      <c r="Y44" s="27" t="n">
        <v>-1.310128806195014</v>
      </c>
      <c r="Z44" s="27" t="n">
        <v>0.9975870805986883</v>
      </c>
      <c r="AA44" s="27" t="n">
        <v>5.445138482833173</v>
      </c>
      <c r="AB44" s="27" t="n">
        <v>1.380863419929013</v>
      </c>
      <c r="AC44" s="27" t="n">
        <v>-0.2624765406934622</v>
      </c>
      <c r="AD44" s="27" t="n">
        <v>44.24602970678668</v>
      </c>
      <c r="AE44" s="27" t="n">
        <v>24.4035730611505</v>
      </c>
      <c r="AF44" s="27" t="n">
        <v>7.571235562490415</v>
      </c>
      <c r="AG44" s="27" t="n">
        <v>524.3429939267746</v>
      </c>
      <c r="AH44" s="27" t="n">
        <v>21.76405143274354</v>
      </c>
      <c r="AI44" s="27" t="n">
        <v>21.34902352907068</v>
      </c>
      <c r="AJ44" s="27" t="n">
        <v>0.948900287876885</v>
      </c>
      <c r="AK44" s="27" t="n">
        <v>18.37748215667263</v>
      </c>
      <c r="AL44" s="27" t="n">
        <v>47.834634270545</v>
      </c>
      <c r="AM44" s="27" t="n">
        <v>55.60724778221532</v>
      </c>
      <c r="AN44" s="27" t="n">
        <v>60.48401315668907</v>
      </c>
      <c r="AO44" s="27" t="n">
        <v>3.70709062180145</v>
      </c>
      <c r="AP44" s="27" t="n">
        <v>6.936377269648107</v>
      </c>
      <c r="AQ44" s="27" t="n">
        <v>1.936063636510333</v>
      </c>
      <c r="AR44" s="27" t="n">
        <v>0.3494740743891258</v>
      </c>
      <c r="AS44" s="27" t="n">
        <v>0.9895180405130464</v>
      </c>
      <c r="AT44" s="27" t="n">
        <v>15.93066348362981</v>
      </c>
      <c r="AU44" s="27" t="n">
        <v>1.600934375799554</v>
      </c>
      <c r="AV44" s="27" t="n">
        <v>0.0543308700743662</v>
      </c>
      <c r="AW44" s="27" t="n">
        <v>9.063295587246062</v>
      </c>
      <c r="AX44" s="27" t="n">
        <v>0</v>
      </c>
      <c r="AY44" s="27" t="n">
        <v>1.231480259640935</v>
      </c>
      <c r="AZ44" s="27" t="n">
        <v>0.8397721933028653</v>
      </c>
      <c r="BA44" s="27" t="n">
        <v>9.936556342279163</v>
      </c>
      <c r="BB44" s="27">
        <f>SUM(C44:BA44)</f>
        <v/>
      </c>
      <c r="BC44" s="27" t="n">
        <v>0</v>
      </c>
      <c r="BD44" s="27" t="n">
        <v>0</v>
      </c>
      <c r="BE44" s="27" t="n">
        <v>0</v>
      </c>
      <c r="BF44" s="27" t="n">
        <v>0</v>
      </c>
      <c r="BG44" s="27">
        <f>SUM(BC44:BF44)</f>
        <v/>
      </c>
      <c r="BH44" s="27">
        <f>BB44+BG44</f>
        <v/>
      </c>
    </row>
    <row r="45">
      <c r="A45" s="29" t="n">
        <v>32</v>
      </c>
      <c r="B45" s="30" t="inlineStr">
        <is>
          <t>Peças e acessórios para veículos automotores</t>
        </is>
      </c>
      <c r="C45" s="29" t="n">
        <v>1.584416644831362</v>
      </c>
      <c r="D45" s="29" t="n">
        <v>1.384646624274563</v>
      </c>
      <c r="E45" s="29" t="n">
        <v>21.97061153762825</v>
      </c>
      <c r="F45" s="29" t="n">
        <v>9.41415195045253</v>
      </c>
      <c r="G45" s="29" t="n">
        <v>5.656643776201328</v>
      </c>
      <c r="H45" s="29" t="n">
        <v>22.31737303893167</v>
      </c>
      <c r="I45" s="29" t="n">
        <v>0.2190981686378149</v>
      </c>
      <c r="J45" s="29" t="n">
        <v>1.18073656571355</v>
      </c>
      <c r="K45" s="29" t="n">
        <v>1.697977676502676</v>
      </c>
      <c r="L45" s="29" t="n">
        <v>2.56076753668017</v>
      </c>
      <c r="M45" s="29" t="n">
        <v>2.145119640851874</v>
      </c>
      <c r="N45" s="29" t="n">
        <v>4.84284433445494</v>
      </c>
      <c r="O45" s="29" t="n">
        <v>5.611933400813779</v>
      </c>
      <c r="P45" s="29" t="n">
        <v>1.894569719086229</v>
      </c>
      <c r="Q45" s="29" t="n">
        <v>0.7299276046270162</v>
      </c>
      <c r="R45" s="29" t="n">
        <v>3.253066065204222</v>
      </c>
      <c r="S45" s="29" t="n">
        <v>1.20881916920004</v>
      </c>
      <c r="T45" s="29" t="n">
        <v>1.98172065697848</v>
      </c>
      <c r="U45" s="29" t="n">
        <v>0.6816717701046016</v>
      </c>
      <c r="V45" s="29" t="n">
        <v>2.360165019525637</v>
      </c>
      <c r="W45" s="29" t="n">
        <v>1.247376116628643</v>
      </c>
      <c r="X45" s="29" t="n">
        <v>1.170022651320282</v>
      </c>
      <c r="Y45" s="29" t="n">
        <v>15.70840341962927</v>
      </c>
      <c r="Z45" s="29" t="n">
        <v>7.647747874142806</v>
      </c>
      <c r="AA45" s="29" t="n">
        <v>22.35863005176664</v>
      </c>
      <c r="AB45" s="29" t="n">
        <v>7.489008874261796</v>
      </c>
      <c r="AC45" s="29" t="n">
        <v>13.2537397915739</v>
      </c>
      <c r="AD45" s="29" t="n">
        <v>92.92999894612009</v>
      </c>
      <c r="AE45" s="29" t="n">
        <v>19.72729877701257</v>
      </c>
      <c r="AF45" s="29" t="n">
        <v>24.88410983588796</v>
      </c>
      <c r="AG45" s="29" t="n">
        <v>4151.940698561829</v>
      </c>
      <c r="AH45" s="29" t="n">
        <v>1354.927055302425</v>
      </c>
      <c r="AI45" s="29" t="n">
        <v>16.32443156634771</v>
      </c>
      <c r="AJ45" s="29" t="n">
        <v>5.37298252877073</v>
      </c>
      <c r="AK45" s="29" t="n">
        <v>13.03408920803214</v>
      </c>
      <c r="AL45" s="29" t="n">
        <v>73.09278199645581</v>
      </c>
      <c r="AM45" s="29" t="n">
        <v>1606.164503557965</v>
      </c>
      <c r="AN45" s="29" t="n">
        <v>1338.299231210712</v>
      </c>
      <c r="AO45" s="29" t="n">
        <v>9.259473938026204</v>
      </c>
      <c r="AP45" s="29" t="n">
        <v>3.662369085146692</v>
      </c>
      <c r="AQ45" s="29" t="n">
        <v>1.551040126305697</v>
      </c>
      <c r="AR45" s="29" t="n">
        <v>0.8179810907495779</v>
      </c>
      <c r="AS45" s="29" t="n">
        <v>2.494004300842938</v>
      </c>
      <c r="AT45" s="29" t="n">
        <v>36.04783041791974</v>
      </c>
      <c r="AU45" s="29" t="n">
        <v>0.9413892957395712</v>
      </c>
      <c r="AV45" s="29" t="n">
        <v>63.71787817434163</v>
      </c>
      <c r="AW45" s="29" t="n">
        <v>8.021495387100199</v>
      </c>
      <c r="AX45" s="29" t="n">
        <v>0</v>
      </c>
      <c r="AY45" s="29" t="n">
        <v>49.95494851665264</v>
      </c>
      <c r="AZ45" s="29" t="n">
        <v>35.48822905065814</v>
      </c>
      <c r="BA45" s="29" t="n">
        <v>127.8546549912411</v>
      </c>
      <c r="BB45" s="29">
        <f>SUM(C45:BA45)</f>
        <v/>
      </c>
      <c r="BC45" s="29" t="n">
        <v>0</v>
      </c>
      <c r="BD45" s="29" t="n">
        <v>0</v>
      </c>
      <c r="BE45" s="29" t="n">
        <v>0</v>
      </c>
      <c r="BF45" s="29" t="n">
        <v>0</v>
      </c>
      <c r="BG45" s="29">
        <f>SUM(BC45:BF45)</f>
        <v/>
      </c>
      <c r="BH45" s="29">
        <f>BB45+BG45</f>
        <v/>
      </c>
    </row>
    <row r="46">
      <c r="A46" s="27" t="n">
        <v>33</v>
      </c>
      <c r="B46" s="28" t="inlineStr">
        <is>
          <t>Outros equipamentos de transporte</t>
        </is>
      </c>
      <c r="C46" s="27" t="n">
        <v>0.120598246558811</v>
      </c>
      <c r="D46" s="27" t="n">
        <v>0.06578491247163833</v>
      </c>
      <c r="E46" s="27" t="n">
        <v>3.685431456259018</v>
      </c>
      <c r="F46" s="27" t="n">
        <v>1.419266295274307</v>
      </c>
      <c r="G46" s="27" t="n">
        <v>0.8951460224286767</v>
      </c>
      <c r="H46" s="27" t="n">
        <v>2.251539525703107</v>
      </c>
      <c r="I46" s="27" t="n">
        <v>0.1011695920714539</v>
      </c>
      <c r="J46" s="27" t="n">
        <v>0.1954693627250892</v>
      </c>
      <c r="K46" s="27" t="n">
        <v>2.765355576702054</v>
      </c>
      <c r="L46" s="27" t="n">
        <v>0.8363878288315081</v>
      </c>
      <c r="M46" s="27" t="n">
        <v>0.2887506472757333</v>
      </c>
      <c r="N46" s="27" t="n">
        <v>0.7774435019332885</v>
      </c>
      <c r="O46" s="27" t="n">
        <v>0.4546278692357589</v>
      </c>
      <c r="P46" s="27" t="n">
        <v>0.4470847712104826</v>
      </c>
      <c r="Q46" s="27" t="n">
        <v>0.1328383508666251</v>
      </c>
      <c r="R46" s="27" t="n">
        <v>0.6130672101237553</v>
      </c>
      <c r="S46" s="27" t="n">
        <v>0.2127034271419764</v>
      </c>
      <c r="T46" s="27" t="n">
        <v>0.5040447998241672</v>
      </c>
      <c r="U46" s="27" t="n">
        <v>0.2018794639337949</v>
      </c>
      <c r="V46" s="27" t="n">
        <v>0.2074120396258121</v>
      </c>
      <c r="W46" s="27" t="n">
        <v>0.1534636822766383</v>
      </c>
      <c r="X46" s="27" t="n">
        <v>0.1835084382688935</v>
      </c>
      <c r="Y46" s="27" t="n">
        <v>0.4044865241290324</v>
      </c>
      <c r="Z46" s="27" t="n">
        <v>1.112703094845028</v>
      </c>
      <c r="AA46" s="27" t="n">
        <v>2.991632384360761</v>
      </c>
      <c r="AB46" s="27" t="n">
        <v>0.681982555859951</v>
      </c>
      <c r="AC46" s="27" t="n">
        <v>0.6433802816714498</v>
      </c>
      <c r="AD46" s="27" t="n">
        <v>299.8048218869634</v>
      </c>
      <c r="AE46" s="27" t="n">
        <v>0.6754908170506178</v>
      </c>
      <c r="AF46" s="27" t="n">
        <v>0.4781787130736493</v>
      </c>
      <c r="AG46" s="27" t="n">
        <v>1.546359068443102</v>
      </c>
      <c r="AH46" s="27" t="n">
        <v>1.201389990265457</v>
      </c>
      <c r="AI46" s="27" t="n">
        <v>1967.302300094266</v>
      </c>
      <c r="AJ46" s="27" t="n">
        <v>3.559299884490554</v>
      </c>
      <c r="AK46" s="27" t="n">
        <v>1.266261888660899</v>
      </c>
      <c r="AL46" s="27" t="n">
        <v>4.761125850361107</v>
      </c>
      <c r="AM46" s="27" t="n">
        <v>34.58036571374549</v>
      </c>
      <c r="AN46" s="27" t="n">
        <v>255.0467745562883</v>
      </c>
      <c r="AO46" s="27" t="n">
        <v>2.708199874060988</v>
      </c>
      <c r="AP46" s="27" t="n">
        <v>2.031996603790994</v>
      </c>
      <c r="AQ46" s="27" t="n">
        <v>0.3179094517141101</v>
      </c>
      <c r="AR46" s="27" t="n">
        <v>17.86838159177158</v>
      </c>
      <c r="AS46" s="27" t="n">
        <v>0.2678805406388131</v>
      </c>
      <c r="AT46" s="27" t="n">
        <v>4.50155560024146</v>
      </c>
      <c r="AU46" s="27" t="n">
        <v>0.4595075210415276</v>
      </c>
      <c r="AV46" s="27" t="n">
        <v>0.4001791811783433</v>
      </c>
      <c r="AW46" s="27" t="n">
        <v>2.009995148461374</v>
      </c>
      <c r="AX46" s="27" t="n">
        <v>0</v>
      </c>
      <c r="AY46" s="27" t="n">
        <v>0.7469295431850511</v>
      </c>
      <c r="AZ46" s="27" t="n">
        <v>0.9024353542796948</v>
      </c>
      <c r="BA46" s="27" t="n">
        <v>52.15052861615638</v>
      </c>
      <c r="BB46" s="27">
        <f>SUM(C46:BA46)</f>
        <v/>
      </c>
      <c r="BC46" s="27" t="n">
        <v>0</v>
      </c>
      <c r="BD46" s="27" t="n">
        <v>0</v>
      </c>
      <c r="BE46" s="27" t="n">
        <v>0</v>
      </c>
      <c r="BF46" s="27" t="n">
        <v>0</v>
      </c>
      <c r="BG46" s="27">
        <f>SUM(BC46:BF46)</f>
        <v/>
      </c>
      <c r="BH46" s="27">
        <f>BB46+BG46</f>
        <v/>
      </c>
    </row>
    <row r="47">
      <c r="A47" s="29" t="n">
        <v>34</v>
      </c>
      <c r="B47" s="30" t="inlineStr">
        <is>
          <t>Móveis e produtos das indústrias diversas</t>
        </is>
      </c>
      <c r="C47" s="29" t="n">
        <v>2.757958384891898</v>
      </c>
      <c r="D47" s="29" t="n">
        <v>1.694478115829574</v>
      </c>
      <c r="E47" s="29" t="n">
        <v>9.473958355744097</v>
      </c>
      <c r="F47" s="29" t="n">
        <v>5.188960426011734</v>
      </c>
      <c r="G47" s="29" t="n">
        <v>1.685621283129507</v>
      </c>
      <c r="H47" s="29" t="n">
        <v>25.14983705206921</v>
      </c>
      <c r="I47" s="29" t="n">
        <v>0.1008643436473695</v>
      </c>
      <c r="J47" s="29" t="n">
        <v>7.196947340290769</v>
      </c>
      <c r="K47" s="29" t="n">
        <v>315.5788629684814</v>
      </c>
      <c r="L47" s="29" t="n">
        <v>86.261844729513</v>
      </c>
      <c r="M47" s="29" t="n">
        <v>2.813271353365207</v>
      </c>
      <c r="N47" s="29" t="n">
        <v>1.747237645352057</v>
      </c>
      <c r="O47" s="29" t="n">
        <v>1.48744667627789</v>
      </c>
      <c r="P47" s="29" t="n">
        <v>1.199945933369977</v>
      </c>
      <c r="Q47" s="29" t="n">
        <v>0.3331403376310726</v>
      </c>
      <c r="R47" s="29" t="n">
        <v>15.72722531554737</v>
      </c>
      <c r="S47" s="29" t="n">
        <v>5.894437639479629</v>
      </c>
      <c r="T47" s="29" t="n">
        <v>3.081775367999148</v>
      </c>
      <c r="U47" s="29" t="n">
        <v>6.831844204842314</v>
      </c>
      <c r="V47" s="29" t="n">
        <v>2.76995983958867</v>
      </c>
      <c r="W47" s="29" t="n">
        <v>0.9866106068694663</v>
      </c>
      <c r="X47" s="29" t="n">
        <v>0.34066985944362</v>
      </c>
      <c r="Y47" s="29" t="n">
        <v>13.19785500263084</v>
      </c>
      <c r="Z47" s="29" t="n">
        <v>26.3365126798344</v>
      </c>
      <c r="AA47" s="29" t="n">
        <v>5.840498566311755</v>
      </c>
      <c r="AB47" s="29" t="n">
        <v>0.6879731683092156</v>
      </c>
      <c r="AC47" s="29" t="n">
        <v>7.234672510954089</v>
      </c>
      <c r="AD47" s="29" t="n">
        <v>118.7717249080576</v>
      </c>
      <c r="AE47" s="29" t="n">
        <v>4.329199634630934</v>
      </c>
      <c r="AF47" s="29" t="n">
        <v>4.242051112313649</v>
      </c>
      <c r="AG47" s="29" t="n">
        <v>53.97441159242603</v>
      </c>
      <c r="AH47" s="29" t="n">
        <v>91.3693956614544</v>
      </c>
      <c r="AI47" s="29" t="n">
        <v>13.85352820536378</v>
      </c>
      <c r="AJ47" s="29" t="n">
        <v>413.432949105552</v>
      </c>
      <c r="AK47" s="29" t="n">
        <v>17.06284887093385</v>
      </c>
      <c r="AL47" s="29" t="n">
        <v>177.2112229016416</v>
      </c>
      <c r="AM47" s="29" t="n">
        <v>69.88260556816397</v>
      </c>
      <c r="AN47" s="29" t="n">
        <v>67.41230323195414</v>
      </c>
      <c r="AO47" s="29" t="n">
        <v>21.38322647773459</v>
      </c>
      <c r="AP47" s="29" t="n">
        <v>32.39235836375053</v>
      </c>
      <c r="AQ47" s="29" t="n">
        <v>18.8625169129757</v>
      </c>
      <c r="AR47" s="29" t="n">
        <v>1.154922038075827</v>
      </c>
      <c r="AS47" s="29" t="n">
        <v>3.249015768276502</v>
      </c>
      <c r="AT47" s="29" t="n">
        <v>234.8850764988742</v>
      </c>
      <c r="AU47" s="29" t="n">
        <v>5.292508030040961</v>
      </c>
      <c r="AV47" s="29" t="n">
        <v>10.98450172370194</v>
      </c>
      <c r="AW47" s="29" t="n">
        <v>74.49358988377561</v>
      </c>
      <c r="AX47" s="29" t="n">
        <v>0</v>
      </c>
      <c r="AY47" s="29" t="n">
        <v>16.9987576359981</v>
      </c>
      <c r="AZ47" s="29" t="n">
        <v>39.86350158799107</v>
      </c>
      <c r="BA47" s="29" t="n">
        <v>64.84776925971711</v>
      </c>
      <c r="BB47" s="29">
        <f>SUM(C47:BA47)</f>
        <v/>
      </c>
      <c r="BC47" s="29" t="n">
        <v>0</v>
      </c>
      <c r="BD47" s="29" t="n">
        <v>0</v>
      </c>
      <c r="BE47" s="29" t="n">
        <v>0</v>
      </c>
      <c r="BF47" s="29" t="n">
        <v>0</v>
      </c>
      <c r="BG47" s="29">
        <f>SUM(BC47:BF47)</f>
        <v/>
      </c>
      <c r="BH47" s="29">
        <f>BB47+BG47</f>
        <v/>
      </c>
    </row>
    <row r="48">
      <c r="A48" s="27" t="n">
        <v>35</v>
      </c>
      <c r="B48" s="28" t="inlineStr">
        <is>
          <t>Produção e distribuição de eletricidade gás água esgoto e limpeza urbana</t>
        </is>
      </c>
      <c r="C48" s="27" t="n">
        <v>318.8154549616744</v>
      </c>
      <c r="D48" s="27" t="n">
        <v>248.2351638597463</v>
      </c>
      <c r="E48" s="27" t="n">
        <v>13.61782699296252</v>
      </c>
      <c r="F48" s="27" t="n">
        <v>48.14404947479667</v>
      </c>
      <c r="G48" s="27" t="n">
        <v>65.07523064722251</v>
      </c>
      <c r="H48" s="27" t="n">
        <v>304.8950267130787</v>
      </c>
      <c r="I48" s="27" t="n">
        <v>4.657034771621175</v>
      </c>
      <c r="J48" s="27" t="n">
        <v>136.0910455353327</v>
      </c>
      <c r="K48" s="27" t="n">
        <v>18.49741057798669</v>
      </c>
      <c r="L48" s="27" t="n">
        <v>25.71764430129673</v>
      </c>
      <c r="M48" s="27" t="n">
        <v>67.98550122287496</v>
      </c>
      <c r="N48" s="27" t="n">
        <v>138.5409351788465</v>
      </c>
      <c r="O48" s="27" t="n">
        <v>11.31712415163803</v>
      </c>
      <c r="P48" s="27" t="n">
        <v>19.62926227223098</v>
      </c>
      <c r="Q48" s="27" t="n">
        <v>6.227756842949732</v>
      </c>
      <c r="R48" s="27" t="n">
        <v>207.135982447846</v>
      </c>
      <c r="S48" s="27" t="n">
        <v>117.8880992159302</v>
      </c>
      <c r="T48" s="27" t="n">
        <v>16.24401951753483</v>
      </c>
      <c r="U48" s="27" t="n">
        <v>13.358678587694</v>
      </c>
      <c r="V48" s="27" t="n">
        <v>16.94516140974383</v>
      </c>
      <c r="W48" s="27" t="n">
        <v>8.20406660259632</v>
      </c>
      <c r="X48" s="27" t="n">
        <v>32.17731935513032</v>
      </c>
      <c r="Y48" s="27" t="n">
        <v>153.052751801427</v>
      </c>
      <c r="Z48" s="27" t="n">
        <v>256.3541928333161</v>
      </c>
      <c r="AA48" s="27" t="n">
        <v>490.1765119547229</v>
      </c>
      <c r="AB48" s="27" t="n">
        <v>258.1152186096912</v>
      </c>
      <c r="AC48" s="27" t="n">
        <v>73.44458607062494</v>
      </c>
      <c r="AD48" s="27" t="n">
        <v>45.33763645825894</v>
      </c>
      <c r="AE48" s="27" t="n">
        <v>40.72000953731636</v>
      </c>
      <c r="AF48" s="27" t="n">
        <v>16.79382422004606</v>
      </c>
      <c r="AG48" s="27" t="n">
        <v>28.16107782269514</v>
      </c>
      <c r="AH48" s="27" t="n">
        <v>92.32966850114195</v>
      </c>
      <c r="AI48" s="27" t="n">
        <v>14.51048836367316</v>
      </c>
      <c r="AJ48" s="27" t="n">
        <v>22.39840403163941</v>
      </c>
      <c r="AK48" s="27" t="n">
        <v>2993.096620524911</v>
      </c>
      <c r="AL48" s="27" t="n">
        <v>48.79367329334382</v>
      </c>
      <c r="AM48" s="27" t="n">
        <v>897.0873281347358</v>
      </c>
      <c r="AN48" s="27" t="n">
        <v>171.115998256806</v>
      </c>
      <c r="AO48" s="27" t="n">
        <v>168.5850361495949</v>
      </c>
      <c r="AP48" s="27" t="n">
        <v>102.3571750108114</v>
      </c>
      <c r="AQ48" s="27" t="n">
        <v>31.34054237091404</v>
      </c>
      <c r="AR48" s="27" t="n">
        <v>12.91760927807744</v>
      </c>
      <c r="AS48" s="27" t="n">
        <v>164.6338642033033</v>
      </c>
      <c r="AT48" s="27" t="n">
        <v>134.078763984118</v>
      </c>
      <c r="AU48" s="27" t="n">
        <v>119.3580315795114</v>
      </c>
      <c r="AV48" s="27" t="n">
        <v>165.089701512604</v>
      </c>
      <c r="AW48" s="27" t="n">
        <v>767.2607661009868</v>
      </c>
      <c r="AX48" s="27" t="n">
        <v>0</v>
      </c>
      <c r="AY48" s="27" t="n">
        <v>73.71122382056278</v>
      </c>
      <c r="AZ48" s="27" t="n">
        <v>90.44418228006187</v>
      </c>
      <c r="BA48" s="27" t="n">
        <v>653.2928605555353</v>
      </c>
      <c r="BB48" s="27">
        <f>SUM(C48:BA48)</f>
        <v/>
      </c>
      <c r="BC48" s="27" t="n">
        <v>0</v>
      </c>
      <c r="BD48" s="27" t="n">
        <v>0</v>
      </c>
      <c r="BE48" s="27" t="n">
        <v>0</v>
      </c>
      <c r="BF48" s="27" t="n">
        <v>0</v>
      </c>
      <c r="BG48" s="27">
        <f>SUM(BC48:BF48)</f>
        <v/>
      </c>
      <c r="BH48" s="27">
        <f>BB48+BG48</f>
        <v/>
      </c>
    </row>
    <row r="49">
      <c r="A49" s="29" t="n">
        <v>36</v>
      </c>
      <c r="B49" s="30" t="inlineStr">
        <is>
          <t>Construção civil</t>
        </is>
      </c>
      <c r="C49" s="29" t="n">
        <v>0.9454318942624523</v>
      </c>
      <c r="D49" s="29" t="n">
        <v>2.540344454936282</v>
      </c>
      <c r="E49" s="29" t="n">
        <v>72.84943245958058</v>
      </c>
      <c r="F49" s="29" t="n">
        <v>14.88234129351487</v>
      </c>
      <c r="G49" s="29" t="n">
        <v>4.548074596709701</v>
      </c>
      <c r="H49" s="29" t="n">
        <v>1.547093817207208</v>
      </c>
      <c r="I49" s="29" t="n">
        <v>0.08280830248722275</v>
      </c>
      <c r="J49" s="29" t="n">
        <v>0.7143202383770518</v>
      </c>
      <c r="K49" s="29" t="n">
        <v>0.1438642429529022</v>
      </c>
      <c r="L49" s="29" t="n">
        <v>0.109763443272046</v>
      </c>
      <c r="M49" s="29" t="n">
        <v>0.03091421450905843</v>
      </c>
      <c r="N49" s="29" t="n">
        <v>0.4443841804227711</v>
      </c>
      <c r="O49" s="29" t="n">
        <v>0.3728349849942445</v>
      </c>
      <c r="P49" s="29" t="n">
        <v>0.4870294212545134</v>
      </c>
      <c r="Q49" s="29" t="n">
        <v>0.3314788450778228</v>
      </c>
      <c r="R49" s="29" t="n">
        <v>1.488403165421901</v>
      </c>
      <c r="S49" s="29" t="n">
        <v>0.05109074969830252</v>
      </c>
      <c r="T49" s="29" t="n">
        <v>0.3043524003468292</v>
      </c>
      <c r="U49" s="29" t="n">
        <v>0.1119292859527396</v>
      </c>
      <c r="V49" s="29" t="n">
        <v>0.1471321087387752</v>
      </c>
      <c r="W49" s="29" t="n">
        <v>0.08436043866040632</v>
      </c>
      <c r="X49" s="29" t="n">
        <v>0.06807228054849083</v>
      </c>
      <c r="Y49" s="29" t="n">
        <v>0.2202285232688882</v>
      </c>
      <c r="Z49" s="29" t="n">
        <v>0.5959814016171123</v>
      </c>
      <c r="AA49" s="29" t="n">
        <v>2.93417789473477</v>
      </c>
      <c r="AB49" s="29" t="n">
        <v>20.43103115264917</v>
      </c>
      <c r="AC49" s="29" t="n">
        <v>0.9144280582568192</v>
      </c>
      <c r="AD49" s="29" t="n">
        <v>1.379764787818629</v>
      </c>
      <c r="AE49" s="29" t="n">
        <v>0.3891489173630655</v>
      </c>
      <c r="AF49" s="29" t="n">
        <v>1.780665877263004</v>
      </c>
      <c r="AG49" s="29" t="n">
        <v>3.559683522041998</v>
      </c>
      <c r="AH49" s="29" t="n">
        <v>0.6205575628921794</v>
      </c>
      <c r="AI49" s="29" t="n">
        <v>2.963230407194406</v>
      </c>
      <c r="AJ49" s="29" t="n">
        <v>0.3303639395407837</v>
      </c>
      <c r="AK49" s="29" t="n">
        <v>70.44864620000961</v>
      </c>
      <c r="AL49" s="29" t="n">
        <v>746.534398564612</v>
      </c>
      <c r="AM49" s="29" t="n">
        <v>21.83360852472276</v>
      </c>
      <c r="AN49" s="29" t="n">
        <v>24.19965943413611</v>
      </c>
      <c r="AO49" s="29" t="n">
        <v>81.60396780065581</v>
      </c>
      <c r="AP49" s="29" t="n">
        <v>16.97749033010032</v>
      </c>
      <c r="AQ49" s="29" t="n">
        <v>21.24763872512172</v>
      </c>
      <c r="AR49" s="29" t="n">
        <v>0.07237335512484702</v>
      </c>
      <c r="AS49" s="29" t="n">
        <v>7.747362387770238</v>
      </c>
      <c r="AT49" s="29" t="n">
        <v>17.46869949327009</v>
      </c>
      <c r="AU49" s="29" t="n">
        <v>6.517402999558795</v>
      </c>
      <c r="AV49" s="29" t="n">
        <v>0.3934744092133892</v>
      </c>
      <c r="AW49" s="29" t="n">
        <v>43.48561691138523</v>
      </c>
      <c r="AX49" s="29" t="n">
        <v>0</v>
      </c>
      <c r="AY49" s="29" t="n">
        <v>8.8460984679094</v>
      </c>
      <c r="AZ49" s="29" t="n">
        <v>32.06790981251577</v>
      </c>
      <c r="BA49" s="29" t="n">
        <v>150.2601232348253</v>
      </c>
      <c r="BB49" s="29">
        <f>SUM(C49:BA49)</f>
        <v/>
      </c>
      <c r="BC49" s="29" t="n">
        <v>0</v>
      </c>
      <c r="BD49" s="29" t="n">
        <v>0</v>
      </c>
      <c r="BE49" s="29" t="n">
        <v>0</v>
      </c>
      <c r="BF49" s="29" t="n">
        <v>0</v>
      </c>
      <c r="BG49" s="29">
        <f>SUM(BC49:BF49)</f>
        <v/>
      </c>
      <c r="BH49" s="29">
        <f>BB49+BG49</f>
        <v/>
      </c>
    </row>
    <row r="50">
      <c r="A50" s="27" t="n">
        <v>37</v>
      </c>
      <c r="B50" s="28" t="inlineStr">
        <is>
          <t>Comércio</t>
        </is>
      </c>
      <c r="C50" s="27" t="n">
        <v>-139.4121345996348</v>
      </c>
      <c r="D50" s="27" t="n">
        <v>35.60884583504012</v>
      </c>
      <c r="E50" s="27" t="n">
        <v>-0.7058010377071892</v>
      </c>
      <c r="F50" s="27" t="n">
        <v>-547.3251180183265</v>
      </c>
      <c r="G50" s="27" t="n">
        <v>-197.5565271311104</v>
      </c>
      <c r="H50" s="27" t="n">
        <v>-8457.629729205984</v>
      </c>
      <c r="I50" s="27" t="n">
        <v>-269.9427029472894</v>
      </c>
      <c r="J50" s="27" t="n">
        <v>-889.4779803740754</v>
      </c>
      <c r="K50" s="27" t="n">
        <v>-858.4852832005593</v>
      </c>
      <c r="L50" s="27" t="n">
        <v>-1257.521346442149</v>
      </c>
      <c r="M50" s="27" t="n">
        <v>-298.0621037430968</v>
      </c>
      <c r="N50" s="27" t="n">
        <v>-1468.755742764172</v>
      </c>
      <c r="O50" s="27" t="n">
        <v>-81.67089977351688</v>
      </c>
      <c r="P50" s="27" t="n">
        <v>-330.1233495484727</v>
      </c>
      <c r="Q50" s="27" t="n">
        <v>-230.2700337972941</v>
      </c>
      <c r="R50" s="27" t="n">
        <v>-113.6715741198183</v>
      </c>
      <c r="S50" s="27" t="n">
        <v>-513.6714824892507</v>
      </c>
      <c r="T50" s="27" t="n">
        <v>-956.1506241790897</v>
      </c>
      <c r="U50" s="27" t="n">
        <v>-298.604456143379</v>
      </c>
      <c r="V50" s="27" t="n">
        <v>-60.27989498350806</v>
      </c>
      <c r="W50" s="27" t="n">
        <v>-175.3612180998821</v>
      </c>
      <c r="X50" s="27" t="n">
        <v>-638.958500345631</v>
      </c>
      <c r="Y50" s="27" t="n">
        <v>-1646.615007123986</v>
      </c>
      <c r="Z50" s="27" t="n">
        <v>-1264.700602643204</v>
      </c>
      <c r="AA50" s="27" t="n">
        <v>-1737.39919818325</v>
      </c>
      <c r="AB50" s="27" t="n">
        <v>-540.784729624128</v>
      </c>
      <c r="AC50" s="27" t="n">
        <v>-1175.852398675869</v>
      </c>
      <c r="AD50" s="27" t="n">
        <v>-3594.624110524352</v>
      </c>
      <c r="AE50" s="27" t="n">
        <v>-1038.62955788287</v>
      </c>
      <c r="AF50" s="27" t="n">
        <v>-1449.947565323229</v>
      </c>
      <c r="AG50" s="27" t="n">
        <v>-303.4837149394654</v>
      </c>
      <c r="AH50" s="27" t="n">
        <v>-15.07883782304472</v>
      </c>
      <c r="AI50" s="27" t="n">
        <v>-95.49263157616006</v>
      </c>
      <c r="AJ50" s="27" t="n">
        <v>-382.6397853818992</v>
      </c>
      <c r="AK50" s="27" t="n">
        <v>-714.1264362983367</v>
      </c>
      <c r="AL50" s="27" t="n">
        <v>-321.569304859617</v>
      </c>
      <c r="AM50" s="27" t="n">
        <v>-6610.709032496311</v>
      </c>
      <c r="AN50" s="27" t="n">
        <v>-5556.61003555916</v>
      </c>
      <c r="AO50" s="27" t="n">
        <v>-5192.989225476562</v>
      </c>
      <c r="AP50" s="27" t="n">
        <v>-74.4534816158631</v>
      </c>
      <c r="AQ50" s="27" t="n">
        <v>-8.397588722653563</v>
      </c>
      <c r="AR50" s="27" t="n">
        <v>-0.5635573850818246</v>
      </c>
      <c r="AS50" s="27" t="n">
        <v>31.31219976006858</v>
      </c>
      <c r="AT50" s="27" t="n">
        <v>-1450.626046853281</v>
      </c>
      <c r="AU50" s="27" t="n">
        <v>1.580238931182575</v>
      </c>
      <c r="AV50" s="27" t="n">
        <v>-435.7338977186166</v>
      </c>
      <c r="AW50" s="27" t="n">
        <v>-54.97960637980431</v>
      </c>
      <c r="AX50" s="27" t="n">
        <v>0</v>
      </c>
      <c r="AY50" s="27" t="n">
        <v>-421.141999739697</v>
      </c>
      <c r="AZ50" s="27" t="n">
        <v>-767.4506619499927</v>
      </c>
      <c r="BA50" s="27" t="n">
        <v>-1171.986596756622</v>
      </c>
      <c r="BB50" s="27">
        <f>SUM(C50:BA50)</f>
        <v/>
      </c>
      <c r="BC50" s="27" t="n">
        <v>0</v>
      </c>
      <c r="BD50" s="27" t="n">
        <v>0</v>
      </c>
      <c r="BE50" s="27" t="n">
        <v>0</v>
      </c>
      <c r="BF50" s="27" t="n">
        <v>0</v>
      </c>
      <c r="BG50" s="27">
        <f>SUM(BC50:BF50)</f>
        <v/>
      </c>
      <c r="BH50" s="27">
        <f>BB50+BG50</f>
        <v/>
      </c>
    </row>
    <row r="51">
      <c r="A51" s="29" t="n">
        <v>38</v>
      </c>
      <c r="B51" s="30" t="inlineStr">
        <is>
          <t>Transporte armazenagem e correio</t>
        </is>
      </c>
      <c r="C51" s="29" t="n">
        <v>-113.7788419469328</v>
      </c>
      <c r="D51" s="29" t="n">
        <v>-23.70264405732333</v>
      </c>
      <c r="E51" s="29" t="n">
        <v>-186.5075467480676</v>
      </c>
      <c r="F51" s="29" t="n">
        <v>-84.07700359174298</v>
      </c>
      <c r="G51" s="29" t="n">
        <v>-43.6508388301291</v>
      </c>
      <c r="H51" s="29" t="n">
        <v>-833.5789742293268</v>
      </c>
      <c r="I51" s="29" t="n">
        <v>-2.569328258594186</v>
      </c>
      <c r="J51" s="29" t="n">
        <v>-35.40494339483735</v>
      </c>
      <c r="K51" s="29" t="n">
        <v>-7.231265749580309</v>
      </c>
      <c r="L51" s="29" t="n">
        <v>-27.40468451391495</v>
      </c>
      <c r="M51" s="29" t="n">
        <v>-2.003781315566833</v>
      </c>
      <c r="N51" s="29" t="n">
        <v>-101.3081811269519</v>
      </c>
      <c r="O51" s="29" t="n">
        <v>-13.04199542205836</v>
      </c>
      <c r="P51" s="29" t="n">
        <v>-67.39503016063539</v>
      </c>
      <c r="Q51" s="29" t="n">
        <v>-22.73596507434621</v>
      </c>
      <c r="R51" s="29" t="n">
        <v>-122.6241557692929</v>
      </c>
      <c r="S51" s="29" t="n">
        <v>-34.32180841436451</v>
      </c>
      <c r="T51" s="29" t="n">
        <v>-47.04826375026324</v>
      </c>
      <c r="U51" s="29" t="n">
        <v>-3.872059634751652</v>
      </c>
      <c r="V51" s="29" t="n">
        <v>-35.647330709766</v>
      </c>
      <c r="W51" s="29" t="n">
        <v>-5.311497756573337</v>
      </c>
      <c r="X51" s="29" t="n">
        <v>-19.80556247266084</v>
      </c>
      <c r="Y51" s="29" t="n">
        <v>-54.69010282846119</v>
      </c>
      <c r="Z51" s="29" t="n">
        <v>-45.33174631999516</v>
      </c>
      <c r="AA51" s="29" t="n">
        <v>-212.8590529372658</v>
      </c>
      <c r="AB51" s="29" t="n">
        <v>-14.64244482901843</v>
      </c>
      <c r="AC51" s="29" t="n">
        <v>-52.34891118976471</v>
      </c>
      <c r="AD51" s="29" t="n">
        <v>-18.28111332356627</v>
      </c>
      <c r="AE51" s="29" t="n">
        <v>-43.57368754539227</v>
      </c>
      <c r="AF51" s="29" t="n">
        <v>-65.00108795706912</v>
      </c>
      <c r="AG51" s="29" t="n">
        <v>-139.9075139124278</v>
      </c>
      <c r="AH51" s="29" t="n">
        <v>-40.54721122623283</v>
      </c>
      <c r="AI51" s="29" t="n">
        <v>-12.21369965435878</v>
      </c>
      <c r="AJ51" s="29" t="n">
        <v>-25.18567591839028</v>
      </c>
      <c r="AK51" s="29" t="n">
        <v>-16.64618635609646</v>
      </c>
      <c r="AL51" s="29" t="n">
        <v>26.33617328510765</v>
      </c>
      <c r="AM51" s="29" t="n">
        <v>-599.9037730354185</v>
      </c>
      <c r="AN51" s="29" t="n">
        <v>-1289.175021956223</v>
      </c>
      <c r="AO51" s="29" t="n">
        <v>67.70740156687727</v>
      </c>
      <c r="AP51" s="29" t="n">
        <v>161.6773290230411</v>
      </c>
      <c r="AQ51" s="29" t="n">
        <v>9.96274271765281</v>
      </c>
      <c r="AR51" s="29" t="n">
        <v>0.3755356686045195</v>
      </c>
      <c r="AS51" s="29" t="n">
        <v>-0.8409921292523764</v>
      </c>
      <c r="AT51" s="29" t="n">
        <v>117.6619165092586</v>
      </c>
      <c r="AU51" s="29" t="n">
        <v>107.9481003238305</v>
      </c>
      <c r="AV51" s="29" t="n">
        <v>9.835372451084233</v>
      </c>
      <c r="AW51" s="29" t="n">
        <v>449.4928603668787</v>
      </c>
      <c r="AX51" s="29" t="n">
        <v>0</v>
      </c>
      <c r="AY51" s="29" t="n">
        <v>34.44737415293528</v>
      </c>
      <c r="AZ51" s="29" t="n">
        <v>19.29037263034409</v>
      </c>
      <c r="BA51" s="29" t="n">
        <v>73.04373331911997</v>
      </c>
      <c r="BB51" s="29">
        <f>SUM(C51:BA51)</f>
        <v/>
      </c>
      <c r="BC51" s="29" t="n">
        <v>0</v>
      </c>
      <c r="BD51" s="29" t="n">
        <v>0</v>
      </c>
      <c r="BE51" s="29" t="n">
        <v>0</v>
      </c>
      <c r="BF51" s="29" t="n">
        <v>0</v>
      </c>
      <c r="BG51" s="29">
        <f>SUM(BC51:BF51)</f>
        <v/>
      </c>
      <c r="BH51" s="29">
        <f>BB51+BG51</f>
        <v/>
      </c>
    </row>
    <row r="52">
      <c r="A52" s="27" t="n">
        <v>39</v>
      </c>
      <c r="B52" s="28" t="inlineStr">
        <is>
          <t>Serviços de informação</t>
        </is>
      </c>
      <c r="C52" s="27" t="n">
        <v>2.179962112676219</v>
      </c>
      <c r="D52" s="27" t="n">
        <v>1.089564284834128</v>
      </c>
      <c r="E52" s="27" t="n">
        <v>41.44920852164375</v>
      </c>
      <c r="F52" s="27" t="n">
        <v>14.36754934867498</v>
      </c>
      <c r="G52" s="27" t="n">
        <v>7.272612276297013</v>
      </c>
      <c r="H52" s="27" t="n">
        <v>301.9319840910539</v>
      </c>
      <c r="I52" s="27" t="n">
        <v>5.393590123483887</v>
      </c>
      <c r="J52" s="27" t="n">
        <v>35.53016174902495</v>
      </c>
      <c r="K52" s="27" t="n">
        <v>62.09976162386775</v>
      </c>
      <c r="L52" s="27" t="n">
        <v>24.26826800853673</v>
      </c>
      <c r="M52" s="27" t="n">
        <v>11.33934621336116</v>
      </c>
      <c r="N52" s="27" t="n">
        <v>39.08966246371818</v>
      </c>
      <c r="O52" s="27" t="n">
        <v>54.5018158828365</v>
      </c>
      <c r="P52" s="27" t="n">
        <v>21.88628808660989</v>
      </c>
      <c r="Q52" s="27" t="n">
        <v>7.18304839961159</v>
      </c>
      <c r="R52" s="27" t="n">
        <v>52.42707926350567</v>
      </c>
      <c r="S52" s="27" t="n">
        <v>13.80128465766465</v>
      </c>
      <c r="T52" s="27" t="n">
        <v>39.63883829093233</v>
      </c>
      <c r="U52" s="27" t="n">
        <v>16.76812560716088</v>
      </c>
      <c r="V52" s="27" t="n">
        <v>4.074551702811083</v>
      </c>
      <c r="W52" s="27" t="n">
        <v>11.50224408190466</v>
      </c>
      <c r="X52" s="27" t="n">
        <v>10.39523031005894</v>
      </c>
      <c r="Y52" s="27" t="n">
        <v>42.2477616844261</v>
      </c>
      <c r="Z52" s="27" t="n">
        <v>44.63309245532471</v>
      </c>
      <c r="AA52" s="27" t="n">
        <v>40.1893847027362</v>
      </c>
      <c r="AB52" s="27" t="n">
        <v>8.359331365832757</v>
      </c>
      <c r="AC52" s="27" t="n">
        <v>41.53150565107808</v>
      </c>
      <c r="AD52" s="27" t="n">
        <v>61.90477071649028</v>
      </c>
      <c r="AE52" s="27" t="n">
        <v>68.50760408533735</v>
      </c>
      <c r="AF52" s="27" t="n">
        <v>96.14467177694272</v>
      </c>
      <c r="AG52" s="27" t="n">
        <v>153.2972714267745</v>
      </c>
      <c r="AH52" s="27" t="n">
        <v>129.5181693542591</v>
      </c>
      <c r="AI52" s="27" t="n">
        <v>15.66197562899653</v>
      </c>
      <c r="AJ52" s="27" t="n">
        <v>37.66455658482573</v>
      </c>
      <c r="AK52" s="27" t="n">
        <v>107.4969456536791</v>
      </c>
      <c r="AL52" s="27" t="n">
        <v>145.1730934745116</v>
      </c>
      <c r="AM52" s="27" t="n">
        <v>910.8172183148907</v>
      </c>
      <c r="AN52" s="27" t="n">
        <v>306.8290473625962</v>
      </c>
      <c r="AO52" s="27" t="n">
        <v>3327.63913935536</v>
      </c>
      <c r="AP52" s="27" t="n">
        <v>1242.869929698825</v>
      </c>
      <c r="AQ52" s="27" t="n">
        <v>62.99713773469532</v>
      </c>
      <c r="AR52" s="27" t="n">
        <v>21.84891583390407</v>
      </c>
      <c r="AS52" s="27" t="n">
        <v>67.91963120955067</v>
      </c>
      <c r="AT52" s="27" t="n">
        <v>2674.041639031922</v>
      </c>
      <c r="AU52" s="27" t="n">
        <v>271.2716458581788</v>
      </c>
      <c r="AV52" s="27" t="n">
        <v>103.535680129984</v>
      </c>
      <c r="AW52" s="27" t="n">
        <v>355.8560120865334</v>
      </c>
      <c r="AX52" s="27" t="n">
        <v>0</v>
      </c>
      <c r="AY52" s="27" t="n">
        <v>316.5065486682999</v>
      </c>
      <c r="AZ52" s="27" t="n">
        <v>107.2445098362084</v>
      </c>
      <c r="BA52" s="27" t="n">
        <v>798.5922169795057</v>
      </c>
      <c r="BB52" s="27">
        <f>SUM(C52:BA52)</f>
        <v/>
      </c>
      <c r="BC52" s="27" t="n">
        <v>0</v>
      </c>
      <c r="BD52" s="27" t="n">
        <v>0</v>
      </c>
      <c r="BE52" s="27" t="n">
        <v>0</v>
      </c>
      <c r="BF52" s="27" t="n">
        <v>0</v>
      </c>
      <c r="BG52" s="27">
        <f>SUM(BC52:BF52)</f>
        <v/>
      </c>
      <c r="BH52" s="27">
        <f>BB52+BG52</f>
        <v/>
      </c>
    </row>
    <row r="53">
      <c r="A53" s="29" t="n">
        <v>40</v>
      </c>
      <c r="B53" s="30" t="inlineStr">
        <is>
          <t>Intermediação financeira seguros e previdência complementar e serviços relacionados</t>
        </is>
      </c>
      <c r="C53" s="29" t="n">
        <v>187.1443247734082</v>
      </c>
      <c r="D53" s="29" t="n">
        <v>99.25128386721978</v>
      </c>
      <c r="E53" s="29" t="n">
        <v>153.5500052206464</v>
      </c>
      <c r="F53" s="29" t="n">
        <v>80.82921739361676</v>
      </c>
      <c r="G53" s="29" t="n">
        <v>51.84612886553295</v>
      </c>
      <c r="H53" s="29" t="n">
        <v>676.8491378460827</v>
      </c>
      <c r="I53" s="29" t="n">
        <v>26.61454962618102</v>
      </c>
      <c r="J53" s="29" t="n">
        <v>68.84548769097422</v>
      </c>
      <c r="K53" s="29" t="n">
        <v>70.73881280702126</v>
      </c>
      <c r="L53" s="29" t="n">
        <v>60.64265485031914</v>
      </c>
      <c r="M53" s="29" t="n">
        <v>40.62585700996882</v>
      </c>
      <c r="N53" s="29" t="n">
        <v>105.8140671865016</v>
      </c>
      <c r="O53" s="29" t="n">
        <v>25.9995312789186</v>
      </c>
      <c r="P53" s="29" t="n">
        <v>135.2571628597961</v>
      </c>
      <c r="Q53" s="29" t="n">
        <v>33.97765352116927</v>
      </c>
      <c r="R53" s="29" t="n">
        <v>137.0191981396645</v>
      </c>
      <c r="S53" s="29" t="n">
        <v>59.60550691818987</v>
      </c>
      <c r="T53" s="29" t="n">
        <v>43.60063284942536</v>
      </c>
      <c r="U53" s="29" t="n">
        <v>23.48796600172652</v>
      </c>
      <c r="V53" s="29" t="n">
        <v>38.14169543394272</v>
      </c>
      <c r="W53" s="29" t="n">
        <v>17.38283847993731</v>
      </c>
      <c r="X53" s="29" t="n">
        <v>29.80449716334936</v>
      </c>
      <c r="Y53" s="29" t="n">
        <v>108.2200263192584</v>
      </c>
      <c r="Z53" s="29" t="n">
        <v>106.815651583496</v>
      </c>
      <c r="AA53" s="29" t="n">
        <v>194.89717779115</v>
      </c>
      <c r="AB53" s="29" t="n">
        <v>67.02544962052733</v>
      </c>
      <c r="AC53" s="29" t="n">
        <v>100.5592845424282</v>
      </c>
      <c r="AD53" s="29" t="n">
        <v>138.2897087038344</v>
      </c>
      <c r="AE53" s="29" t="n">
        <v>90.910875008519</v>
      </c>
      <c r="AF53" s="29" t="n">
        <v>108.0016421755138</v>
      </c>
      <c r="AG53" s="29" t="n">
        <v>141.4876928233232</v>
      </c>
      <c r="AH53" s="29" t="n">
        <v>79.69211739431547</v>
      </c>
      <c r="AI53" s="29" t="n">
        <v>32.87681469612477</v>
      </c>
      <c r="AJ53" s="29" t="n">
        <v>49.88720386262498</v>
      </c>
      <c r="AK53" s="29" t="n">
        <v>289.8081001093352</v>
      </c>
      <c r="AL53" s="29" t="n">
        <v>470.7478539598533</v>
      </c>
      <c r="AM53" s="29" t="n">
        <v>999.7696033585571</v>
      </c>
      <c r="AN53" s="29" t="n">
        <v>584.4262400800226</v>
      </c>
      <c r="AO53" s="29" t="n">
        <v>430.5041546144089</v>
      </c>
      <c r="AP53" s="29" t="n">
        <v>2192.522064947451</v>
      </c>
      <c r="AQ53" s="29" t="n">
        <v>1391.797978166995</v>
      </c>
      <c r="AR53" s="29" t="n">
        <v>20.42750677449103</v>
      </c>
      <c r="AS53" s="29" t="n">
        <v>123.8332462219536</v>
      </c>
      <c r="AT53" s="29" t="n">
        <v>412.0034947815088</v>
      </c>
      <c r="AU53" s="29" t="n">
        <v>56.39359605448934</v>
      </c>
      <c r="AV53" s="29" t="n">
        <v>217.506939850035</v>
      </c>
      <c r="AW53" s="29" t="n">
        <v>252.1704631289063</v>
      </c>
      <c r="AX53" s="29" t="n">
        <v>0</v>
      </c>
      <c r="AY53" s="29" t="n">
        <v>10.14582875880779</v>
      </c>
      <c r="AZ53" s="29" t="n">
        <v>9.081493651092231</v>
      </c>
      <c r="BA53" s="29" t="n">
        <v>2181.771849199892</v>
      </c>
      <c r="BB53" s="29">
        <f>SUM(C53:BA53)</f>
        <v/>
      </c>
      <c r="BC53" s="29" t="n">
        <v>0</v>
      </c>
      <c r="BD53" s="29" t="n">
        <v>0</v>
      </c>
      <c r="BE53" s="29" t="n">
        <v>0</v>
      </c>
      <c r="BF53" s="29" t="n">
        <v>0</v>
      </c>
      <c r="BG53" s="29">
        <f>SUM(BC53:BF53)</f>
        <v/>
      </c>
      <c r="BH53" s="29">
        <f>BB53+BG53</f>
        <v/>
      </c>
    </row>
    <row r="54">
      <c r="A54" s="27" t="n">
        <v>41</v>
      </c>
      <c r="B54" s="28" t="inlineStr">
        <is>
          <t>Atividades imobiliárias e aluguéis</t>
        </is>
      </c>
      <c r="C54" s="27" t="n">
        <v>0.06499274335803723</v>
      </c>
      <c r="D54" s="27" t="n">
        <v>0.02196948091900761</v>
      </c>
      <c r="E54" s="27" t="n">
        <v>1.41202220351243</v>
      </c>
      <c r="F54" s="27" t="n">
        <v>0.06884003837500034</v>
      </c>
      <c r="G54" s="27" t="n">
        <v>0.2795869524516083</v>
      </c>
      <c r="H54" s="27" t="n">
        <v>6.768155397413416</v>
      </c>
      <c r="I54" s="27" t="n">
        <v>0.2299951366076277</v>
      </c>
      <c r="J54" s="27" t="n">
        <v>2.869173501988151</v>
      </c>
      <c r="K54" s="27" t="n">
        <v>3.630507242133743</v>
      </c>
      <c r="L54" s="27" t="n">
        <v>0.8746212610782704</v>
      </c>
      <c r="M54" s="27" t="n">
        <v>0.2573347626003534</v>
      </c>
      <c r="N54" s="27" t="n">
        <v>0.7401275065597454</v>
      </c>
      <c r="O54" s="27" t="n">
        <v>0.4571832012920638</v>
      </c>
      <c r="P54" s="27" t="n">
        <v>0.9679671892408122</v>
      </c>
      <c r="Q54" s="27" t="n">
        <v>0.6767253552445293</v>
      </c>
      <c r="R54" s="27" t="n">
        <v>0.906422144880847</v>
      </c>
      <c r="S54" s="27" t="n">
        <v>0.2155711038693036</v>
      </c>
      <c r="T54" s="27" t="n">
        <v>1.238425357464175</v>
      </c>
      <c r="U54" s="27" t="n">
        <v>0.1858798152869073</v>
      </c>
      <c r="V54" s="27" t="n">
        <v>0.9898649869620332</v>
      </c>
      <c r="W54" s="27" t="n">
        <v>0.1262038602084735</v>
      </c>
      <c r="X54" s="27" t="n">
        <v>0.2334829303437383</v>
      </c>
      <c r="Y54" s="27" t="n">
        <v>2.500215727979886</v>
      </c>
      <c r="Z54" s="27" t="n">
        <v>1.10626777797427</v>
      </c>
      <c r="AA54" s="27" t="n">
        <v>2.304964274822562</v>
      </c>
      <c r="AB54" s="27" t="n">
        <v>0.009572473308512845</v>
      </c>
      <c r="AC54" s="27" t="n">
        <v>1.326361062623766</v>
      </c>
      <c r="AD54" s="27" t="n">
        <v>1.081263537897996</v>
      </c>
      <c r="AE54" s="27" t="n">
        <v>0.7387781899355301</v>
      </c>
      <c r="AF54" s="27" t="n">
        <v>1.575020948237451</v>
      </c>
      <c r="AG54" s="27" t="n">
        <v>0.6428782403915896</v>
      </c>
      <c r="AH54" s="27" t="n">
        <v>1.498233517264889</v>
      </c>
      <c r="AI54" s="27" t="n">
        <v>0.2705710281364139</v>
      </c>
      <c r="AJ54" s="27" t="n">
        <v>1.403075869986588</v>
      </c>
      <c r="AK54" s="27" t="n">
        <v>6.660499253327502</v>
      </c>
      <c r="AL54" s="27" t="n">
        <v>9.775382179943911</v>
      </c>
      <c r="AM54" s="27" t="n">
        <v>185.0905861755983</v>
      </c>
      <c r="AN54" s="27" t="n">
        <v>21.49299142140431</v>
      </c>
      <c r="AO54" s="27" t="n">
        <v>29.70440717939944</v>
      </c>
      <c r="AP54" s="27" t="n">
        <v>30.1868069300271</v>
      </c>
      <c r="AQ54" s="27" t="n">
        <v>11.60527485350207</v>
      </c>
      <c r="AR54" s="27" t="n">
        <v>2.488201997807731</v>
      </c>
      <c r="AS54" s="27" t="n">
        <v>28.95569292339869</v>
      </c>
      <c r="AT54" s="27" t="n">
        <v>49.8980958786656</v>
      </c>
      <c r="AU54" s="27" t="n">
        <v>24.69986194484933</v>
      </c>
      <c r="AV54" s="27" t="n">
        <v>11.01578731010359</v>
      </c>
      <c r="AW54" s="27" t="n">
        <v>46.07389503077554</v>
      </c>
      <c r="AX54" s="27" t="n">
        <v>0</v>
      </c>
      <c r="AY54" s="27" t="n">
        <v>3.207796512922847</v>
      </c>
      <c r="AZ54" s="27" t="n">
        <v>1.802423220141242</v>
      </c>
      <c r="BA54" s="27" t="n">
        <v>14.90644983316106</v>
      </c>
      <c r="BB54" s="27">
        <f>SUM(C54:BA54)</f>
        <v/>
      </c>
      <c r="BC54" s="27" t="n">
        <v>0</v>
      </c>
      <c r="BD54" s="27" t="n">
        <v>0</v>
      </c>
      <c r="BE54" s="27" t="n">
        <v>0</v>
      </c>
      <c r="BF54" s="27" t="n">
        <v>0</v>
      </c>
      <c r="BG54" s="27">
        <f>SUM(BC54:BF54)</f>
        <v/>
      </c>
      <c r="BH54" s="27">
        <f>BB54+BG54</f>
        <v/>
      </c>
    </row>
    <row r="55">
      <c r="A55" s="29" t="n">
        <v>42</v>
      </c>
      <c r="B55" s="30" t="inlineStr">
        <is>
          <t>Serviços de manutenção e reparação</t>
        </is>
      </c>
      <c r="C55" s="29" t="n">
        <v>-0.06341225322113141</v>
      </c>
      <c r="D55" s="29" t="n">
        <v>-0.0377174016536164</v>
      </c>
      <c r="E55" s="29" t="n">
        <v>0.4710471989935615</v>
      </c>
      <c r="F55" s="29" t="n">
        <v>-0.4610836989930834</v>
      </c>
      <c r="G55" s="29" t="n">
        <v>-0.1390841571275017</v>
      </c>
      <c r="H55" s="29" t="n">
        <v>-7.002591759277881</v>
      </c>
      <c r="I55" s="29" t="n">
        <v>-0.2182903927542839</v>
      </c>
      <c r="J55" s="29" t="n">
        <v>-0.5235300384275829</v>
      </c>
      <c r="K55" s="29" t="n">
        <v>-0.707110923683772</v>
      </c>
      <c r="L55" s="29" t="n">
        <v>-1.020792225150553</v>
      </c>
      <c r="M55" s="29" t="n">
        <v>-0.2437318145340489</v>
      </c>
      <c r="N55" s="29" t="n">
        <v>-1.19791622879073</v>
      </c>
      <c r="O55" s="29" t="n">
        <v>0.1863409286068026</v>
      </c>
      <c r="P55" s="29" t="n">
        <v>-0.3281398489920095</v>
      </c>
      <c r="Q55" s="29" t="n">
        <v>-0.1901812320965405</v>
      </c>
      <c r="R55" s="29" t="n">
        <v>-0.3368541214766541</v>
      </c>
      <c r="S55" s="29" t="n">
        <v>-0.4177592587501374</v>
      </c>
      <c r="T55" s="29" t="n">
        <v>-0.8240945437598152</v>
      </c>
      <c r="U55" s="29" t="n">
        <v>-0.2462471979699999</v>
      </c>
      <c r="V55" s="29" t="n">
        <v>-0.05632865493144486</v>
      </c>
      <c r="W55" s="29" t="n">
        <v>-0.1511374866847181</v>
      </c>
      <c r="X55" s="29" t="n">
        <v>-0.5229265348892143</v>
      </c>
      <c r="Y55" s="29" t="n">
        <v>-1.356189360170518</v>
      </c>
      <c r="Z55" s="29" t="n">
        <v>-1.042505246050825</v>
      </c>
      <c r="AA55" s="29" t="n">
        <v>-1.122689525179413</v>
      </c>
      <c r="AB55" s="29" t="n">
        <v>-0.3971321507080749</v>
      </c>
      <c r="AC55" s="29" t="n">
        <v>-0.6087644160202876</v>
      </c>
      <c r="AD55" s="29" t="n">
        <v>-2.826172164449992</v>
      </c>
      <c r="AE55" s="29" t="n">
        <v>-0.2033377855730356</v>
      </c>
      <c r="AF55" s="29" t="n">
        <v>4.047893275631157</v>
      </c>
      <c r="AG55" s="29" t="n">
        <v>-0.2541827446055209</v>
      </c>
      <c r="AH55" s="29" t="n">
        <v>-0.02884444768983437</v>
      </c>
      <c r="AI55" s="29" t="n">
        <v>-0.08201032216394034</v>
      </c>
      <c r="AJ55" s="29" t="n">
        <v>-0.2545624248151742</v>
      </c>
      <c r="AK55" s="29" t="n">
        <v>4.886572348773273</v>
      </c>
      <c r="AL55" s="29" t="n">
        <v>1.066406727724721</v>
      </c>
      <c r="AM55" s="29" t="n">
        <v>17.6460933642119</v>
      </c>
      <c r="AN55" s="29" t="n">
        <v>1.466247271599991</v>
      </c>
      <c r="AO55" s="29" t="n">
        <v>62.79504715047104</v>
      </c>
      <c r="AP55" s="29" t="n">
        <v>12.70776080939697</v>
      </c>
      <c r="AQ55" s="29" t="n">
        <v>0.9072723839680689</v>
      </c>
      <c r="AR55" s="29" t="n">
        <v>1.591848102008294</v>
      </c>
      <c r="AS55" s="29" t="n">
        <v>1.351376496638471</v>
      </c>
      <c r="AT55" s="29" t="n">
        <v>15.75527784442401</v>
      </c>
      <c r="AU55" s="29" t="n">
        <v>5.330968501643476</v>
      </c>
      <c r="AV55" s="29" t="n">
        <v>7.075403660673051</v>
      </c>
      <c r="AW55" s="29" t="n">
        <v>0.2213428334400405</v>
      </c>
      <c r="AX55" s="29" t="n">
        <v>0</v>
      </c>
      <c r="AY55" s="29" t="n">
        <v>0.09909802753351216</v>
      </c>
      <c r="AZ55" s="29" t="n">
        <v>0.8523529592413457</v>
      </c>
      <c r="BA55" s="29" t="n">
        <v>5.712923323660634</v>
      </c>
      <c r="BB55" s="29">
        <f>SUM(C55:BA55)</f>
        <v/>
      </c>
      <c r="BC55" s="29" t="n">
        <v>0</v>
      </c>
      <c r="BD55" s="29" t="n">
        <v>0</v>
      </c>
      <c r="BE55" s="29" t="n">
        <v>0</v>
      </c>
      <c r="BF55" s="29" t="n">
        <v>0</v>
      </c>
      <c r="BG55" s="29">
        <f>SUM(BC55:BF55)</f>
        <v/>
      </c>
      <c r="BH55" s="29">
        <f>BB55+BG55</f>
        <v/>
      </c>
    </row>
    <row r="56">
      <c r="A56" s="27" t="n">
        <v>43</v>
      </c>
      <c r="B56" s="28" t="inlineStr">
        <is>
          <t>Serviços de alojamento e alimentação</t>
        </is>
      </c>
      <c r="C56" s="27" t="n">
        <v>0.3551751425899676</v>
      </c>
      <c r="D56" s="27" t="n">
        <v>0.0210072103537864</v>
      </c>
      <c r="E56" s="27" t="n">
        <v>15.88612759696356</v>
      </c>
      <c r="F56" s="27" t="n">
        <v>2.12188085793538</v>
      </c>
      <c r="G56" s="27" t="n">
        <v>1.655121552211065</v>
      </c>
      <c r="H56" s="27" t="n">
        <v>26.9969085665844</v>
      </c>
      <c r="I56" s="27" t="n">
        <v>2.269670103414503</v>
      </c>
      <c r="J56" s="27" t="n">
        <v>1.969612497860461</v>
      </c>
      <c r="K56" s="27" t="n">
        <v>0.4757275837343226</v>
      </c>
      <c r="L56" s="27" t="n">
        <v>0.4649022224486592</v>
      </c>
      <c r="M56" s="27" t="n">
        <v>0.1142696304835729</v>
      </c>
      <c r="N56" s="27" t="n">
        <v>2.206701901761235</v>
      </c>
      <c r="O56" s="27" t="n">
        <v>1.556541867205533</v>
      </c>
      <c r="P56" s="27" t="n">
        <v>1.33305415457192</v>
      </c>
      <c r="Q56" s="27" t="n">
        <v>0.1923215260528785</v>
      </c>
      <c r="R56" s="27" t="n">
        <v>11.30343566309625</v>
      </c>
      <c r="S56" s="27" t="n">
        <v>0.2885359309238174</v>
      </c>
      <c r="T56" s="27" t="n">
        <v>18.62690558968389</v>
      </c>
      <c r="U56" s="27" t="n">
        <v>4.83753297262343</v>
      </c>
      <c r="V56" s="27" t="n">
        <v>2.320941024425635</v>
      </c>
      <c r="W56" s="27" t="n">
        <v>1.914507897463191</v>
      </c>
      <c r="X56" s="27" t="n">
        <v>5.672125895024934</v>
      </c>
      <c r="Y56" s="27" t="n">
        <v>4.341387353675249</v>
      </c>
      <c r="Z56" s="27" t="n">
        <v>2.851365439923193</v>
      </c>
      <c r="AA56" s="27" t="n">
        <v>13.60554280010105</v>
      </c>
      <c r="AB56" s="27" t="n">
        <v>3.852366968420387</v>
      </c>
      <c r="AC56" s="27" t="n">
        <v>8.870875076819901</v>
      </c>
      <c r="AD56" s="27" t="n">
        <v>18.43089476191116</v>
      </c>
      <c r="AE56" s="27" t="n">
        <v>6.761175674593891</v>
      </c>
      <c r="AF56" s="27" t="n">
        <v>10.609311135397</v>
      </c>
      <c r="AG56" s="27" t="n">
        <v>20.35593247490089</v>
      </c>
      <c r="AH56" s="27" t="n">
        <v>6.605935270447209</v>
      </c>
      <c r="AI56" s="27" t="n">
        <v>2.141591975501843</v>
      </c>
      <c r="AJ56" s="27" t="n">
        <v>3.522250588156004</v>
      </c>
      <c r="AK56" s="27" t="n">
        <v>16.68128388968259</v>
      </c>
      <c r="AL56" s="27" t="n">
        <v>83.77014624575277</v>
      </c>
      <c r="AM56" s="27" t="n">
        <v>145.3593977963013</v>
      </c>
      <c r="AN56" s="27" t="n">
        <v>73.9595120664064</v>
      </c>
      <c r="AO56" s="27" t="n">
        <v>51.84615471229526</v>
      </c>
      <c r="AP56" s="27" t="n">
        <v>146.1779957463399</v>
      </c>
      <c r="AQ56" s="27" t="n">
        <v>5.278619001354562</v>
      </c>
      <c r="AR56" s="27" t="n">
        <v>4.548779691759465</v>
      </c>
      <c r="AS56" s="27" t="n">
        <v>9.656666815733194</v>
      </c>
      <c r="AT56" s="27" t="n">
        <v>114.0805083114346</v>
      </c>
      <c r="AU56" s="27" t="n">
        <v>28.52327295352496</v>
      </c>
      <c r="AV56" s="27" t="n">
        <v>152.0997085340433</v>
      </c>
      <c r="AW56" s="27" t="n">
        <v>1231.539358080912</v>
      </c>
      <c r="AX56" s="27" t="n">
        <v>0</v>
      </c>
      <c r="AY56" s="27" t="n">
        <v>59.47968485809653</v>
      </c>
      <c r="AZ56" s="27" t="n">
        <v>121.4533067969504</v>
      </c>
      <c r="BA56" s="27" t="n">
        <v>538.5492413238599</v>
      </c>
      <c r="BB56" s="27">
        <f>SUM(C56:BA56)</f>
        <v/>
      </c>
      <c r="BC56" s="27" t="n">
        <v>0</v>
      </c>
      <c r="BD56" s="27" t="n">
        <v>0</v>
      </c>
      <c r="BE56" s="27" t="n">
        <v>0</v>
      </c>
      <c r="BF56" s="27" t="n">
        <v>0</v>
      </c>
      <c r="BG56" s="27">
        <f>SUM(BC56:BF56)</f>
        <v/>
      </c>
      <c r="BH56" s="27">
        <f>BB56+BG56</f>
        <v/>
      </c>
    </row>
    <row r="57">
      <c r="A57" s="29" t="n">
        <v>44</v>
      </c>
      <c r="B57" s="30" t="inlineStr">
        <is>
          <t>Serviços prestados às empresas</t>
        </is>
      </c>
      <c r="C57" s="29" t="n">
        <v>36.16219223061903</v>
      </c>
      <c r="D57" s="29" t="n">
        <v>20.92419756232329</v>
      </c>
      <c r="E57" s="29" t="n">
        <v>546.0185016051271</v>
      </c>
      <c r="F57" s="29" t="n">
        <v>80.98610413367419</v>
      </c>
      <c r="G57" s="29" t="n">
        <v>80.85557994384817</v>
      </c>
      <c r="H57" s="29" t="n">
        <v>1064.657532925206</v>
      </c>
      <c r="I57" s="29" t="n">
        <v>70.31937263123648</v>
      </c>
      <c r="J57" s="29" t="n">
        <v>45.41706385467139</v>
      </c>
      <c r="K57" s="29" t="n">
        <v>45.62872293140619</v>
      </c>
      <c r="L57" s="29" t="n">
        <v>76.47146985298605</v>
      </c>
      <c r="M57" s="29" t="n">
        <v>22.50542480584858</v>
      </c>
      <c r="N57" s="29" t="n">
        <v>124.7101970642043</v>
      </c>
      <c r="O57" s="29" t="n">
        <v>21.28991169219608</v>
      </c>
      <c r="P57" s="29" t="n">
        <v>184.4600409312775</v>
      </c>
      <c r="Q57" s="29" t="n">
        <v>22.70983525888504</v>
      </c>
      <c r="R57" s="29" t="n">
        <v>174.4785770448644</v>
      </c>
      <c r="S57" s="29" t="n">
        <v>40.74274770085683</v>
      </c>
      <c r="T57" s="29" t="n">
        <v>249.6865698949036</v>
      </c>
      <c r="U57" s="29" t="n">
        <v>82.10612844012131</v>
      </c>
      <c r="V57" s="29" t="n">
        <v>113.1616954329692</v>
      </c>
      <c r="W57" s="29" t="n">
        <v>59.1088722207756</v>
      </c>
      <c r="X57" s="29" t="n">
        <v>55.51793202408288</v>
      </c>
      <c r="Y57" s="29" t="n">
        <v>139.6827156926132</v>
      </c>
      <c r="Z57" s="29" t="n">
        <v>146.1938238198788</v>
      </c>
      <c r="AA57" s="29" t="n">
        <v>140.3421732696132</v>
      </c>
      <c r="AB57" s="29" t="n">
        <v>62.26822533158449</v>
      </c>
      <c r="AC57" s="29" t="n">
        <v>109.7238741739282</v>
      </c>
      <c r="AD57" s="29" t="n">
        <v>254.2995792525073</v>
      </c>
      <c r="AE57" s="29" t="n">
        <v>176.6388238180504</v>
      </c>
      <c r="AF57" s="29" t="n">
        <v>272.111577620413</v>
      </c>
      <c r="AG57" s="29" t="n">
        <v>331.7608931694461</v>
      </c>
      <c r="AH57" s="29" t="n">
        <v>108.558665695331</v>
      </c>
      <c r="AI57" s="29" t="n">
        <v>35.65547680397721</v>
      </c>
      <c r="AJ57" s="29" t="n">
        <v>49.18714895329679</v>
      </c>
      <c r="AK57" s="29" t="n">
        <v>388.1755449600623</v>
      </c>
      <c r="AL57" s="29" t="n">
        <v>672.6095609496101</v>
      </c>
      <c r="AM57" s="29" t="n">
        <v>1963.766696983966</v>
      </c>
      <c r="AN57" s="29" t="n">
        <v>910.5501578354949</v>
      </c>
      <c r="AO57" s="29" t="n">
        <v>1339.469611110777</v>
      </c>
      <c r="AP57" s="29" t="n">
        <v>1218.548464635646</v>
      </c>
      <c r="AQ57" s="29" t="n">
        <v>97.57782705817795</v>
      </c>
      <c r="AR57" s="29" t="n">
        <v>8.814250418491609</v>
      </c>
      <c r="AS57" s="29" t="n">
        <v>124.0457001446667</v>
      </c>
      <c r="AT57" s="29" t="n">
        <v>1350.512848294636</v>
      </c>
      <c r="AU57" s="29" t="n">
        <v>287.8854196391221</v>
      </c>
      <c r="AV57" s="29" t="n">
        <v>104.889592779542</v>
      </c>
      <c r="AW57" s="29" t="n">
        <v>520.8183595946989</v>
      </c>
      <c r="AX57" s="29" t="n">
        <v>0</v>
      </c>
      <c r="AY57" s="29" t="n">
        <v>224.246567278959</v>
      </c>
      <c r="AZ57" s="29" t="n">
        <v>259.7684487722848</v>
      </c>
      <c r="BA57" s="29" t="n">
        <v>1081.391017441787</v>
      </c>
      <c r="BB57" s="29">
        <f>SUM(C57:BA57)</f>
        <v/>
      </c>
      <c r="BC57" s="29" t="n">
        <v>0</v>
      </c>
      <c r="BD57" s="29" t="n">
        <v>0</v>
      </c>
      <c r="BE57" s="29" t="n">
        <v>0</v>
      </c>
      <c r="BF57" s="29" t="n">
        <v>0</v>
      </c>
      <c r="BG57" s="29">
        <f>SUM(BC57:BF57)</f>
        <v/>
      </c>
      <c r="BH57" s="29">
        <f>BB57+BG57</f>
        <v/>
      </c>
    </row>
    <row r="58">
      <c r="A58" s="27" t="n">
        <v>45</v>
      </c>
      <c r="B58" s="28" t="inlineStr">
        <is>
          <t>Educação mercantil</t>
        </is>
      </c>
      <c r="C58" s="27" t="n">
        <v>0.1310639573445584</v>
      </c>
      <c r="D58" s="27" t="n">
        <v>0.07634606267803414</v>
      </c>
      <c r="E58" s="27" t="n">
        <v>1.784020306326882</v>
      </c>
      <c r="F58" s="27" t="n">
        <v>1.134534396649007</v>
      </c>
      <c r="G58" s="27" t="n">
        <v>0.4593269695572459</v>
      </c>
      <c r="H58" s="27" t="n">
        <v>3.266366592684676</v>
      </c>
      <c r="I58" s="27" t="n">
        <v>0.1992701037123465</v>
      </c>
      <c r="J58" s="27" t="n">
        <v>0.1494613163117411</v>
      </c>
      <c r="K58" s="27" t="n">
        <v>0.1286627639304348</v>
      </c>
      <c r="L58" s="27" t="n">
        <v>0.2179716274833352</v>
      </c>
      <c r="M58" s="27" t="n">
        <v>0.06116948884672227</v>
      </c>
      <c r="N58" s="27" t="n">
        <v>0.7271862997071489</v>
      </c>
      <c r="O58" s="27" t="n">
        <v>0.05485374680182954</v>
      </c>
      <c r="P58" s="27" t="n">
        <v>0.5920702271612706</v>
      </c>
      <c r="Q58" s="27" t="n">
        <v>0.06348574762656294</v>
      </c>
      <c r="R58" s="27" t="n">
        <v>0.6098763842562199</v>
      </c>
      <c r="S58" s="27" t="n">
        <v>0.1147925863689456</v>
      </c>
      <c r="T58" s="27" t="n">
        <v>0.7061370196811072</v>
      </c>
      <c r="U58" s="27" t="n">
        <v>0.4345546195881281</v>
      </c>
      <c r="V58" s="27" t="n">
        <v>0.3194502244183491</v>
      </c>
      <c r="W58" s="27" t="n">
        <v>0.2084670905830916</v>
      </c>
      <c r="X58" s="27" t="n">
        <v>0.1568925369758737</v>
      </c>
      <c r="Y58" s="27" t="n">
        <v>0.4319600719321247</v>
      </c>
      <c r="Z58" s="27" t="n">
        <v>0.4069348219353933</v>
      </c>
      <c r="AA58" s="27" t="n">
        <v>3.077361216371111</v>
      </c>
      <c r="AB58" s="27" t="n">
        <v>0.8829110393349336</v>
      </c>
      <c r="AC58" s="27" t="n">
        <v>0.9517216013802736</v>
      </c>
      <c r="AD58" s="27" t="n">
        <v>0.9064409176922379</v>
      </c>
      <c r="AE58" s="27" t="n">
        <v>0.4965614283563323</v>
      </c>
      <c r="AF58" s="27" t="n">
        <v>0.7921316226554682</v>
      </c>
      <c r="AG58" s="27" t="n">
        <v>1.745109932976294</v>
      </c>
      <c r="AH58" s="27" t="n">
        <v>0.3481926842554625</v>
      </c>
      <c r="AI58" s="27" t="n">
        <v>0.0982084094620994</v>
      </c>
      <c r="AJ58" s="27" t="n">
        <v>0.1380118824999456</v>
      </c>
      <c r="AK58" s="27" t="n">
        <v>1.899576245170018</v>
      </c>
      <c r="AL58" s="27" t="n">
        <v>1.904945172716626</v>
      </c>
      <c r="AM58" s="27" t="n">
        <v>10.77148337997452</v>
      </c>
      <c r="AN58" s="27" t="n">
        <v>14.58923469158749</v>
      </c>
      <c r="AO58" s="27" t="n">
        <v>4.408331336995727</v>
      </c>
      <c r="AP58" s="27" t="n">
        <v>16.55087928531866</v>
      </c>
      <c r="AQ58" s="27" t="n">
        <v>0.2771293655686216</v>
      </c>
      <c r="AR58" s="27" t="n">
        <v>4.136067047955859</v>
      </c>
      <c r="AS58" s="27" t="n">
        <v>0.3688832768912216</v>
      </c>
      <c r="AT58" s="27" t="n">
        <v>42.69093928106138</v>
      </c>
      <c r="AU58" s="27" t="n">
        <v>0.8170617801839355</v>
      </c>
      <c r="AV58" s="27" t="n">
        <v>0.2970295499870677</v>
      </c>
      <c r="AW58" s="27" t="n">
        <v>3.046077794053411</v>
      </c>
      <c r="AX58" s="27" t="n">
        <v>0</v>
      </c>
      <c r="AY58" s="27" t="n">
        <v>9.891243214602483</v>
      </c>
      <c r="AZ58" s="27" t="n">
        <v>4.067774740345097</v>
      </c>
      <c r="BA58" s="27" t="n">
        <v>8.283026765353924</v>
      </c>
      <c r="BB58" s="27">
        <f>SUM(C58:BA58)</f>
        <v/>
      </c>
      <c r="BC58" s="27" t="n">
        <v>0</v>
      </c>
      <c r="BD58" s="27" t="n">
        <v>0</v>
      </c>
      <c r="BE58" s="27" t="n">
        <v>0</v>
      </c>
      <c r="BF58" s="27" t="n">
        <v>0</v>
      </c>
      <c r="BG58" s="27">
        <f>SUM(BC58:BF58)</f>
        <v/>
      </c>
      <c r="BH58" s="27">
        <f>BB58+BG58</f>
        <v/>
      </c>
    </row>
    <row r="59">
      <c r="A59" s="29" t="n">
        <v>46</v>
      </c>
      <c r="B59" s="30" t="inlineStr">
        <is>
          <t>Saúde mercantil</t>
        </is>
      </c>
      <c r="C59" s="29" t="n">
        <v>-0.6878176161471375</v>
      </c>
      <c r="D59" s="29" t="n">
        <v>-0.1978559778556275</v>
      </c>
      <c r="E59" s="29" t="n">
        <v>-0.2634429589193918</v>
      </c>
      <c r="F59" s="29" t="n">
        <v>-2.438472451201879</v>
      </c>
      <c r="G59" s="29" t="n">
        <v>-0.8941612971961429</v>
      </c>
      <c r="H59" s="29" t="n">
        <v>-37.14361859558392</v>
      </c>
      <c r="I59" s="29" t="n">
        <v>-1.14867394848478</v>
      </c>
      <c r="J59" s="29" t="n">
        <v>-3.821821838094112</v>
      </c>
      <c r="K59" s="29" t="n">
        <v>-3.703185131119633</v>
      </c>
      <c r="L59" s="29" t="n">
        <v>-5.398388780822809</v>
      </c>
      <c r="M59" s="29" t="n">
        <v>-1.288052487041359</v>
      </c>
      <c r="N59" s="29" t="n">
        <v>-6.33546193107456</v>
      </c>
      <c r="O59" s="29" t="n">
        <v>-0.3676501720278065</v>
      </c>
      <c r="P59" s="29" t="n">
        <v>-1.711563816948118</v>
      </c>
      <c r="Q59" s="29" t="n">
        <v>-0.9986798181904117</v>
      </c>
      <c r="R59" s="29" t="n">
        <v>-1.759552966182483</v>
      </c>
      <c r="S59" s="29" t="n">
        <v>-2.210162596796005</v>
      </c>
      <c r="T59" s="29" t="n">
        <v>-4.333536128632002</v>
      </c>
      <c r="U59" s="29" t="n">
        <v>-1.29643472817466</v>
      </c>
      <c r="V59" s="29" t="n">
        <v>-0.2758478057774621</v>
      </c>
      <c r="W59" s="29" t="n">
        <v>-0.7947350729011018</v>
      </c>
      <c r="X59" s="29" t="n">
        <v>-2.766546836253582</v>
      </c>
      <c r="Y59" s="29" t="n">
        <v>-7.152070600548305</v>
      </c>
      <c r="Z59" s="29" t="n">
        <v>-5.683804320755669</v>
      </c>
      <c r="AA59" s="29" t="n">
        <v>-7.787994287871574</v>
      </c>
      <c r="AB59" s="29" t="n">
        <v>-2.36176347306459</v>
      </c>
      <c r="AC59" s="29" t="n">
        <v>-5.094491921333065</v>
      </c>
      <c r="AD59" s="29" t="n">
        <v>-16.10368267684845</v>
      </c>
      <c r="AE59" s="29" t="n">
        <v>-4.547571305571194</v>
      </c>
      <c r="AF59" s="29" t="n">
        <v>-6.277194071246587</v>
      </c>
      <c r="AG59" s="29" t="n">
        <v>-1.417242413445223</v>
      </c>
      <c r="AH59" s="29" t="n">
        <v>-0.1243112743145929</v>
      </c>
      <c r="AI59" s="29" t="n">
        <v>-0.4284944454172103</v>
      </c>
      <c r="AJ59" s="29" t="n">
        <v>-1.680152372839438</v>
      </c>
      <c r="AK59" s="29" t="n">
        <v>-3.044376080181805</v>
      </c>
      <c r="AL59" s="29" t="n">
        <v>-2.077369603154271</v>
      </c>
      <c r="AM59" s="29" t="n">
        <v>-26.27084767675607</v>
      </c>
      <c r="AN59" s="29" t="n">
        <v>-24.47267162822698</v>
      </c>
      <c r="AO59" s="29" t="n">
        <v>-21.98100071745821</v>
      </c>
      <c r="AP59" s="29" t="n">
        <v>0.07169096302612422</v>
      </c>
      <c r="AQ59" s="29" t="n">
        <v>0.1015072567208427</v>
      </c>
      <c r="AR59" s="29" t="n">
        <v>0.006215591588105875</v>
      </c>
      <c r="AS59" s="29" t="n">
        <v>0.09614277402399489</v>
      </c>
      <c r="AT59" s="29" t="n">
        <v>-5.679700640398612</v>
      </c>
      <c r="AU59" s="29" t="n">
        <v>0.3024759145195682</v>
      </c>
      <c r="AV59" s="29" t="n">
        <v>113.5379273544966</v>
      </c>
      <c r="AW59" s="29" t="n">
        <v>0.1879365265847502</v>
      </c>
      <c r="AX59" s="29" t="n">
        <v>0</v>
      </c>
      <c r="AY59" s="29" t="n">
        <v>-1.86814835621982</v>
      </c>
      <c r="AZ59" s="29" t="n">
        <v>-3.426390433146027</v>
      </c>
      <c r="BA59" s="29" t="n">
        <v>-4.664189479584193</v>
      </c>
      <c r="BB59" s="29">
        <f>SUM(C59:BA59)</f>
        <v/>
      </c>
      <c r="BC59" s="29" t="n">
        <v>0</v>
      </c>
      <c r="BD59" s="29" t="n">
        <v>0</v>
      </c>
      <c r="BE59" s="29" t="n">
        <v>0</v>
      </c>
      <c r="BF59" s="29" t="n">
        <v>0</v>
      </c>
      <c r="BG59" s="29">
        <f>SUM(BC59:BF59)</f>
        <v/>
      </c>
      <c r="BH59" s="29">
        <f>BB59+BG59</f>
        <v/>
      </c>
    </row>
    <row r="60">
      <c r="A60" s="27" t="n">
        <v>47</v>
      </c>
      <c r="B60" s="28" t="inlineStr">
        <is>
          <t>Serviços prestados às famílias e associativas</t>
        </is>
      </c>
      <c r="C60" s="27" t="n">
        <v>0.6285208311006386</v>
      </c>
      <c r="D60" s="27" t="n">
        <v>0.3431298456715874</v>
      </c>
      <c r="E60" s="27" t="n">
        <v>8.558618386653215</v>
      </c>
      <c r="F60" s="27" t="n">
        <v>2.299140308644879</v>
      </c>
      <c r="G60" s="27" t="n">
        <v>1.147333356840667</v>
      </c>
      <c r="H60" s="27" t="n">
        <v>23.13727397947799</v>
      </c>
      <c r="I60" s="27" t="n">
        <v>1.390599731825016</v>
      </c>
      <c r="J60" s="27" t="n">
        <v>1.65228835097257</v>
      </c>
      <c r="K60" s="27" t="n">
        <v>0.6144257078851185</v>
      </c>
      <c r="L60" s="27" t="n">
        <v>1.191402555606815</v>
      </c>
      <c r="M60" s="27" t="n">
        <v>0.6102346648660278</v>
      </c>
      <c r="N60" s="27" t="n">
        <v>7.73628181515968</v>
      </c>
      <c r="O60" s="27" t="n">
        <v>0.7383432033318972</v>
      </c>
      <c r="P60" s="27" t="n">
        <v>3.828446725353111</v>
      </c>
      <c r="Q60" s="27" t="n">
        <v>3.515503558197781</v>
      </c>
      <c r="R60" s="27" t="n">
        <v>4.996061967299908</v>
      </c>
      <c r="S60" s="27" t="n">
        <v>0.1422200385443269</v>
      </c>
      <c r="T60" s="27" t="n">
        <v>7.001545218806817</v>
      </c>
      <c r="U60" s="27" t="n">
        <v>3.475918675220663</v>
      </c>
      <c r="V60" s="27" t="n">
        <v>2.925841096424097</v>
      </c>
      <c r="W60" s="27" t="n">
        <v>1.167982265294065</v>
      </c>
      <c r="X60" s="27" t="n">
        <v>5.618184094344324</v>
      </c>
      <c r="Y60" s="27" t="n">
        <v>9.271076390084042</v>
      </c>
      <c r="Z60" s="27" t="n">
        <v>3.43838569493853</v>
      </c>
      <c r="AA60" s="27" t="n">
        <v>4.559856835245279</v>
      </c>
      <c r="AB60" s="27" t="n">
        <v>1.503337632458158</v>
      </c>
      <c r="AC60" s="27" t="n">
        <v>3.086478474005392</v>
      </c>
      <c r="AD60" s="27" t="n">
        <v>6.049843848797903</v>
      </c>
      <c r="AE60" s="27" t="n">
        <v>4.714317403249257</v>
      </c>
      <c r="AF60" s="27" t="n">
        <v>6.333224066976272</v>
      </c>
      <c r="AG60" s="27" t="n">
        <v>13.93347206570745</v>
      </c>
      <c r="AH60" s="27" t="n">
        <v>4.005041531672171</v>
      </c>
      <c r="AI60" s="27" t="n">
        <v>1.616142352420022</v>
      </c>
      <c r="AJ60" s="27" t="n">
        <v>2.354331205232204</v>
      </c>
      <c r="AK60" s="27" t="n">
        <v>16.49917426563663</v>
      </c>
      <c r="AL60" s="27" t="n">
        <v>25.92691469881703</v>
      </c>
      <c r="AM60" s="27" t="n">
        <v>101.7665932130531</v>
      </c>
      <c r="AN60" s="27" t="n">
        <v>45.25818515054848</v>
      </c>
      <c r="AO60" s="27" t="n">
        <v>97.69201273599855</v>
      </c>
      <c r="AP60" s="27" t="n">
        <v>52.94069768941848</v>
      </c>
      <c r="AQ60" s="27" t="n">
        <v>11.12977039499898</v>
      </c>
      <c r="AR60" s="27" t="n">
        <v>1.06752440335808</v>
      </c>
      <c r="AS60" s="27" t="n">
        <v>16.96766408077582</v>
      </c>
      <c r="AT60" s="27" t="n">
        <v>52.07798895823053</v>
      </c>
      <c r="AU60" s="27" t="n">
        <v>23.45457412144625</v>
      </c>
      <c r="AV60" s="27" t="n">
        <v>48.25534654791462</v>
      </c>
      <c r="AW60" s="27" t="n">
        <v>98.83092732605478</v>
      </c>
      <c r="AX60" s="27" t="n">
        <v>0</v>
      </c>
      <c r="AY60" s="27" t="n">
        <v>19.73084289218188</v>
      </c>
      <c r="AZ60" s="27" t="n">
        <v>20.43919958724214</v>
      </c>
      <c r="BA60" s="27" t="n">
        <v>53.79397124227391</v>
      </c>
      <c r="BB60" s="27">
        <f>SUM(C60:BA60)</f>
        <v/>
      </c>
      <c r="BC60" s="27" t="n">
        <v>0</v>
      </c>
      <c r="BD60" s="27" t="n">
        <v>0</v>
      </c>
      <c r="BE60" s="27" t="n">
        <v>0</v>
      </c>
      <c r="BF60" s="27" t="n">
        <v>0</v>
      </c>
      <c r="BG60" s="27">
        <f>SUM(BC60:BF60)</f>
        <v/>
      </c>
      <c r="BH60" s="27">
        <f>BB60+BG60</f>
        <v/>
      </c>
    </row>
    <row r="61">
      <c r="A61" s="29" t="n">
        <v>48</v>
      </c>
      <c r="B61" s="30" t="inlineStr">
        <is>
          <t>Serviços domésticos</t>
        </is>
      </c>
      <c r="C61" s="29" t="n">
        <v>0</v>
      </c>
      <c r="D61" s="29" t="n">
        <v>0</v>
      </c>
      <c r="E61" s="29" t="n">
        <v>0</v>
      </c>
      <c r="F61" s="29" t="n">
        <v>0</v>
      </c>
      <c r="G61" s="29" t="n">
        <v>0</v>
      </c>
      <c r="H61" s="29" t="n">
        <v>0</v>
      </c>
      <c r="I61" s="29" t="n">
        <v>0</v>
      </c>
      <c r="J61" s="29" t="n">
        <v>0</v>
      </c>
      <c r="K61" s="29" t="n">
        <v>0</v>
      </c>
      <c r="L61" s="29" t="n">
        <v>0</v>
      </c>
      <c r="M61" s="29" t="n">
        <v>0</v>
      </c>
      <c r="N61" s="29" t="n">
        <v>0</v>
      </c>
      <c r="O61" s="29" t="n">
        <v>0</v>
      </c>
      <c r="P61" s="29" t="n">
        <v>0</v>
      </c>
      <c r="Q61" s="29" t="n">
        <v>0</v>
      </c>
      <c r="R61" s="29" t="n">
        <v>0</v>
      </c>
      <c r="S61" s="29" t="n">
        <v>0</v>
      </c>
      <c r="T61" s="29" t="n">
        <v>0</v>
      </c>
      <c r="U61" s="29" t="n">
        <v>0</v>
      </c>
      <c r="V61" s="29" t="n">
        <v>0</v>
      </c>
      <c r="W61" s="29" t="n">
        <v>0</v>
      </c>
      <c r="X61" s="29" t="n">
        <v>0</v>
      </c>
      <c r="Y61" s="29" t="n">
        <v>0</v>
      </c>
      <c r="Z61" s="29" t="n">
        <v>0</v>
      </c>
      <c r="AA61" s="29" t="n">
        <v>0</v>
      </c>
      <c r="AB61" s="29" t="n">
        <v>0</v>
      </c>
      <c r="AC61" s="29" t="n">
        <v>0</v>
      </c>
      <c r="AD61" s="29" t="n">
        <v>0</v>
      </c>
      <c r="AE61" s="29" t="n">
        <v>0</v>
      </c>
      <c r="AF61" s="29" t="n">
        <v>0</v>
      </c>
      <c r="AG61" s="29" t="n">
        <v>0</v>
      </c>
      <c r="AH61" s="29" t="n">
        <v>0</v>
      </c>
      <c r="AI61" s="29" t="n">
        <v>0</v>
      </c>
      <c r="AJ61" s="29" t="n">
        <v>0</v>
      </c>
      <c r="AK61" s="29" t="n">
        <v>0</v>
      </c>
      <c r="AL61" s="29" t="n">
        <v>0</v>
      </c>
      <c r="AM61" s="29" t="n">
        <v>0</v>
      </c>
      <c r="AN61" s="29" t="n">
        <v>0</v>
      </c>
      <c r="AO61" s="29" t="n">
        <v>0</v>
      </c>
      <c r="AP61" s="29" t="n">
        <v>0</v>
      </c>
      <c r="AQ61" s="29" t="n">
        <v>0</v>
      </c>
      <c r="AR61" s="29" t="n">
        <v>0</v>
      </c>
      <c r="AS61" s="29" t="n">
        <v>0</v>
      </c>
      <c r="AT61" s="29" t="n">
        <v>0</v>
      </c>
      <c r="AU61" s="29" t="n">
        <v>0</v>
      </c>
      <c r="AV61" s="29" t="n">
        <v>0</v>
      </c>
      <c r="AW61" s="29" t="n">
        <v>0</v>
      </c>
      <c r="AX61" s="29" t="n">
        <v>0</v>
      </c>
      <c r="AY61" s="29" t="n">
        <v>0</v>
      </c>
      <c r="AZ61" s="29" t="n">
        <v>0</v>
      </c>
      <c r="BA61" s="29" t="n">
        <v>0</v>
      </c>
      <c r="BB61" s="29">
        <f>SUM(C61:BA61)</f>
        <v/>
      </c>
      <c r="BC61" s="29" t="n">
        <v>0</v>
      </c>
      <c r="BD61" s="29" t="n">
        <v>0</v>
      </c>
      <c r="BE61" s="29" t="n">
        <v>0</v>
      </c>
      <c r="BF61" s="29" t="n">
        <v>0</v>
      </c>
      <c r="BG61" s="29">
        <f>SUM(BC61:BF61)</f>
        <v/>
      </c>
      <c r="BH61" s="29">
        <f>BB61+BG61</f>
        <v/>
      </c>
    </row>
    <row r="62">
      <c r="A62" s="27" t="n">
        <v>49</v>
      </c>
      <c r="B62" s="28" t="inlineStr">
        <is>
          <t>Educação pública</t>
        </is>
      </c>
      <c r="C62" s="27" t="n">
        <v>1.912349573530446</v>
      </c>
      <c r="D62" s="27" t="n">
        <v>1.555843336315447</v>
      </c>
      <c r="E62" s="27" t="n">
        <v>27.497576060177</v>
      </c>
      <c r="F62" s="27" t="n">
        <v>3.905391287033862</v>
      </c>
      <c r="G62" s="27" t="n">
        <v>3.995803533757128</v>
      </c>
      <c r="H62" s="27" t="n">
        <v>55.32249684881614</v>
      </c>
      <c r="I62" s="27" t="n">
        <v>3.632770271075552</v>
      </c>
      <c r="J62" s="27" t="n">
        <v>2.348073906452987</v>
      </c>
      <c r="K62" s="27" t="n">
        <v>2.334987711388798</v>
      </c>
      <c r="L62" s="27" t="n">
        <v>3.971737944737866</v>
      </c>
      <c r="M62" s="27" t="n">
        <v>1.115305422088488</v>
      </c>
      <c r="N62" s="27" t="n">
        <v>6.357120314612608</v>
      </c>
      <c r="O62" s="27" t="n">
        <v>1.086939393864781</v>
      </c>
      <c r="P62" s="27" t="n">
        <v>9.477010185602165</v>
      </c>
      <c r="Q62" s="27" t="n">
        <v>1.156511828723822</v>
      </c>
      <c r="R62" s="27" t="n">
        <v>8.94793924558261</v>
      </c>
      <c r="S62" s="27" t="n">
        <v>2.092291557095169</v>
      </c>
      <c r="T62" s="27" t="n">
        <v>13.27796756507461</v>
      </c>
      <c r="U62" s="27" t="n">
        <v>4.260247628139062</v>
      </c>
      <c r="V62" s="27" t="n">
        <v>5.821632630752067</v>
      </c>
      <c r="W62" s="27" t="n">
        <v>3.037093013642548</v>
      </c>
      <c r="X62" s="27" t="n">
        <v>2.866415840503465</v>
      </c>
      <c r="Y62" s="27" t="n">
        <v>7.214767051699973</v>
      </c>
      <c r="Z62" s="27" t="n">
        <v>7.416779665137271</v>
      </c>
      <c r="AA62" s="27" t="n">
        <v>6.697935118403702</v>
      </c>
      <c r="AB62" s="27" t="n">
        <v>3.097612518558616</v>
      </c>
      <c r="AC62" s="27" t="n">
        <v>5.650835233226642</v>
      </c>
      <c r="AD62" s="27" t="n">
        <v>10.63280198959204</v>
      </c>
      <c r="AE62" s="27" t="n">
        <v>9.052941713483133</v>
      </c>
      <c r="AF62" s="27" t="n">
        <v>14.06585078686998</v>
      </c>
      <c r="AG62" s="27" t="n">
        <v>16.97128499041772</v>
      </c>
      <c r="AH62" s="27" t="n">
        <v>5.537242131598413</v>
      </c>
      <c r="AI62" s="27" t="n">
        <v>1.790236877134865</v>
      </c>
      <c r="AJ62" s="27" t="n">
        <v>2.513551991236096</v>
      </c>
      <c r="AK62" s="27" t="n">
        <v>19.89631589100031</v>
      </c>
      <c r="AL62" s="27" t="n">
        <v>34.13147723784044</v>
      </c>
      <c r="AM62" s="27" t="n">
        <v>101.3099508540203</v>
      </c>
      <c r="AN62" s="27" t="n">
        <v>46.8947487641816</v>
      </c>
      <c r="AO62" s="27" t="n">
        <v>69.29980489325295</v>
      </c>
      <c r="AP62" s="27" t="n">
        <v>62.95592149608834</v>
      </c>
      <c r="AQ62" s="27" t="n">
        <v>5.028231628196536</v>
      </c>
      <c r="AR62" s="27" t="n">
        <v>0.4846572756578802</v>
      </c>
      <c r="AS62" s="27" t="n">
        <v>6.367691683205791</v>
      </c>
      <c r="AT62" s="27" t="n">
        <v>70.01850945132414</v>
      </c>
      <c r="AU62" s="27" t="n">
        <v>14.84014190532579</v>
      </c>
      <c r="AV62" s="27" t="n">
        <v>6.331799744447622</v>
      </c>
      <c r="AW62" s="27" t="n">
        <v>26.91834504289048</v>
      </c>
      <c r="AX62" s="27" t="n">
        <v>0</v>
      </c>
      <c r="AY62" s="27" t="n">
        <v>11.6951342421653</v>
      </c>
      <c r="AZ62" s="27" t="n">
        <v>13.60896929760237</v>
      </c>
      <c r="BA62" s="27" t="n">
        <v>55.87171056991016</v>
      </c>
      <c r="BB62" s="27">
        <f>SUM(C62:BA62)</f>
        <v/>
      </c>
      <c r="BC62" s="27" t="n">
        <v>0</v>
      </c>
      <c r="BD62" s="27" t="n">
        <v>0</v>
      </c>
      <c r="BE62" s="27" t="n">
        <v>0</v>
      </c>
      <c r="BF62" s="27" t="n">
        <v>0</v>
      </c>
      <c r="BG62" s="27">
        <f>SUM(BC62:BF62)</f>
        <v/>
      </c>
      <c r="BH62" s="27">
        <f>BB62+BG62</f>
        <v/>
      </c>
    </row>
    <row r="63">
      <c r="A63" s="29" t="n">
        <v>50</v>
      </c>
      <c r="B63" s="30" t="inlineStr">
        <is>
          <t>Saúde pública</t>
        </is>
      </c>
      <c r="C63" s="29" t="n">
        <v>0.1383712521899008</v>
      </c>
      <c r="D63" s="29" t="n">
        <v>0.1857975239800535</v>
      </c>
      <c r="E63" s="29" t="n">
        <v>1.855880428199991</v>
      </c>
      <c r="F63" s="29" t="n">
        <v>0.2633609250741398</v>
      </c>
      <c r="G63" s="29" t="n">
        <v>0.2689242899910594</v>
      </c>
      <c r="H63" s="29" t="n">
        <v>3.711320167439124</v>
      </c>
      <c r="I63" s="29" t="n">
        <v>0.2443134272792966</v>
      </c>
      <c r="J63" s="29" t="n">
        <v>0.1596682168388837</v>
      </c>
      <c r="K63" s="29" t="n">
        <v>0.158377505701382</v>
      </c>
      <c r="L63" s="29" t="n">
        <v>0.2670842378293209</v>
      </c>
      <c r="M63" s="29" t="n">
        <v>0.07569990811653497</v>
      </c>
      <c r="N63" s="29" t="n">
        <v>0.4274448280945333</v>
      </c>
      <c r="O63" s="29" t="n">
        <v>0.06717923585229223</v>
      </c>
      <c r="P63" s="29" t="n">
        <v>0.6383038784304353</v>
      </c>
      <c r="Q63" s="29" t="n">
        <v>0.07769316995243518</v>
      </c>
      <c r="R63" s="29" t="n">
        <v>0.6034921993246116</v>
      </c>
      <c r="S63" s="29" t="n">
        <v>0.140705872160449</v>
      </c>
      <c r="T63" s="29" t="n">
        <v>0.990827222723477</v>
      </c>
      <c r="U63" s="29" t="n">
        <v>0.2937980851880463</v>
      </c>
      <c r="V63" s="29" t="n">
        <v>0.4298190441848835</v>
      </c>
      <c r="W63" s="29" t="n">
        <v>0.2048354530257427</v>
      </c>
      <c r="X63" s="29" t="n">
        <v>0.1939690970853634</v>
      </c>
      <c r="Y63" s="29" t="n">
        <v>0.4859751585668767</v>
      </c>
      <c r="Z63" s="29" t="n">
        <v>0.5005422090239281</v>
      </c>
      <c r="AA63" s="29" t="n">
        <v>0.4493115912103538</v>
      </c>
      <c r="AB63" s="29" t="n">
        <v>0.2093425207244813</v>
      </c>
      <c r="AC63" s="29" t="n">
        <v>0.3927460691204767</v>
      </c>
      <c r="AD63" s="29" t="n">
        <v>0.7155189171303223</v>
      </c>
      <c r="AE63" s="29" t="n">
        <v>0.6090909370922707</v>
      </c>
      <c r="AF63" s="29" t="n">
        <v>0.9487192778529147</v>
      </c>
      <c r="AG63" s="29" t="n">
        <v>1.141271850608537</v>
      </c>
      <c r="AH63" s="29" t="n">
        <v>0.3731503290876388</v>
      </c>
      <c r="AI63" s="29" t="n">
        <v>0.1204327115818394</v>
      </c>
      <c r="AJ63" s="29" t="n">
        <v>0.1690439788500521</v>
      </c>
      <c r="AK63" s="29" t="n">
        <v>1.338918990351034</v>
      </c>
      <c r="AL63" s="29" t="n">
        <v>2.298037537683329</v>
      </c>
      <c r="AM63" s="29" t="n">
        <v>6.841393063244745</v>
      </c>
      <c r="AN63" s="29" t="n">
        <v>3.156740174692028</v>
      </c>
      <c r="AO63" s="29" t="n">
        <v>4.647032088301398</v>
      </c>
      <c r="AP63" s="29" t="n">
        <v>4.220002622681379</v>
      </c>
      <c r="AQ63" s="29" t="n">
        <v>0.3368751915689038</v>
      </c>
      <c r="AR63" s="29" t="n">
        <v>0.03003097836192284</v>
      </c>
      <c r="AS63" s="29" t="n">
        <v>0.4302959760065246</v>
      </c>
      <c r="AT63" s="29" t="n">
        <v>4.689719599221065</v>
      </c>
      <c r="AU63" s="29" t="n">
        <v>1.004565793934945</v>
      </c>
      <c r="AV63" s="29" t="n">
        <v>3.966303499819069</v>
      </c>
      <c r="AW63" s="29" t="n">
        <v>1.891508621813468</v>
      </c>
      <c r="AX63" s="29" t="n">
        <v>0</v>
      </c>
      <c r="AY63" s="29" t="n">
        <v>0.7990890009609195</v>
      </c>
      <c r="AZ63" s="29" t="n">
        <v>0.9665624251068538</v>
      </c>
      <c r="BA63" s="29" t="n">
        <v>3.771351607110793</v>
      </c>
      <c r="BB63" s="29">
        <f>SUM(C63:BA63)</f>
        <v/>
      </c>
      <c r="BC63" s="29" t="n">
        <v>0</v>
      </c>
      <c r="BD63" s="29" t="n">
        <v>0</v>
      </c>
      <c r="BE63" s="29" t="n">
        <v>0</v>
      </c>
      <c r="BF63" s="29" t="n">
        <v>0</v>
      </c>
      <c r="BG63" s="29">
        <f>SUM(BC63:BF63)</f>
        <v/>
      </c>
      <c r="BH63" s="29">
        <f>BB63+BG63</f>
        <v/>
      </c>
    </row>
    <row r="64">
      <c r="A64" s="27" t="n">
        <v>51</v>
      </c>
      <c r="B64" s="28" t="inlineStr">
        <is>
          <t>Administração pública e seguridade social</t>
        </is>
      </c>
      <c r="C64" s="27" t="n">
        <v>36.27180618172036</v>
      </c>
      <c r="D64" s="27" t="n">
        <v>10.62454451594502</v>
      </c>
      <c r="E64" s="27" t="n">
        <v>18.47776955417977</v>
      </c>
      <c r="F64" s="27" t="n">
        <v>2.102186123014261</v>
      </c>
      <c r="G64" s="27" t="n">
        <v>3.072068341176245</v>
      </c>
      <c r="H64" s="27" t="n">
        <v>36.71006334720401</v>
      </c>
      <c r="I64" s="27" t="n">
        <v>2.36738673844796</v>
      </c>
      <c r="J64" s="27" t="n">
        <v>2.885731769194767</v>
      </c>
      <c r="K64" s="27" t="n">
        <v>4.097985240084927</v>
      </c>
      <c r="L64" s="27" t="n">
        <v>2.675027938724523</v>
      </c>
      <c r="M64" s="27" t="n">
        <v>2.18250207195353</v>
      </c>
      <c r="N64" s="27" t="n">
        <v>8.131062858527404</v>
      </c>
      <c r="O64" s="27" t="n">
        <v>12.67203117891309</v>
      </c>
      <c r="P64" s="27" t="n">
        <v>5.638349660931874</v>
      </c>
      <c r="Q64" s="27" t="n">
        <v>0.6312262763551417</v>
      </c>
      <c r="R64" s="27" t="n">
        <v>39.81793469711128</v>
      </c>
      <c r="S64" s="27" t="n">
        <v>3.856811900948333</v>
      </c>
      <c r="T64" s="27" t="n">
        <v>10.96299613289373</v>
      </c>
      <c r="U64" s="27" t="n">
        <v>3.327138416569946</v>
      </c>
      <c r="V64" s="27" t="n">
        <v>5.041767012241881</v>
      </c>
      <c r="W64" s="27" t="n">
        <v>4.266031248640406</v>
      </c>
      <c r="X64" s="27" t="n">
        <v>3.659589762471812</v>
      </c>
      <c r="Y64" s="27" t="n">
        <v>6.462229984754359</v>
      </c>
      <c r="Z64" s="27" t="n">
        <v>9.454849219865505</v>
      </c>
      <c r="AA64" s="27" t="n">
        <v>8.505766953375563</v>
      </c>
      <c r="AB64" s="27" t="n">
        <v>5.804250454910096</v>
      </c>
      <c r="AC64" s="27" t="n">
        <v>4.486683738390676</v>
      </c>
      <c r="AD64" s="27" t="n">
        <v>6.842805705875799</v>
      </c>
      <c r="AE64" s="27" t="n">
        <v>6.153427128622246</v>
      </c>
      <c r="AF64" s="27" t="n">
        <v>9.68375835254135</v>
      </c>
      <c r="AG64" s="27" t="n">
        <v>10.3287981552389</v>
      </c>
      <c r="AH64" s="27" t="n">
        <v>4.638480388191692</v>
      </c>
      <c r="AI64" s="27" t="n">
        <v>1.350801979075695</v>
      </c>
      <c r="AJ64" s="27" t="n">
        <v>2.018009589123837</v>
      </c>
      <c r="AK64" s="27" t="n">
        <v>46.11415081898028</v>
      </c>
      <c r="AL64" s="27" t="n">
        <v>24.99001079312961</v>
      </c>
      <c r="AM64" s="27" t="n">
        <v>103.5510058473346</v>
      </c>
      <c r="AN64" s="27" t="n">
        <v>18.37069004785801</v>
      </c>
      <c r="AO64" s="27" t="n">
        <v>86.86303187492702</v>
      </c>
      <c r="AP64" s="27" t="n">
        <v>58.03023129305502</v>
      </c>
      <c r="AQ64" s="27" t="n">
        <v>5.701334987388694</v>
      </c>
      <c r="AR64" s="27" t="n">
        <v>0.6391016132312443</v>
      </c>
      <c r="AS64" s="27" t="n">
        <v>8.134078600862672</v>
      </c>
      <c r="AT64" s="27" t="n">
        <v>86.94447333514948</v>
      </c>
      <c r="AU64" s="27" t="n">
        <v>14.63611668892835</v>
      </c>
      <c r="AV64" s="27" t="n">
        <v>13.94127141222844</v>
      </c>
      <c r="AW64" s="27" t="n">
        <v>51.42004499660517</v>
      </c>
      <c r="AX64" s="27" t="n">
        <v>0</v>
      </c>
      <c r="AY64" s="27" t="n">
        <v>12.25958557941385</v>
      </c>
      <c r="AZ64" s="27" t="n">
        <v>12.70876014529462</v>
      </c>
      <c r="BA64" s="27" t="n">
        <v>55.14939452585342</v>
      </c>
      <c r="BB64" s="27">
        <f>SUM(C64:BA64)</f>
        <v/>
      </c>
      <c r="BC64" s="27" t="n">
        <v>0</v>
      </c>
      <c r="BD64" s="27" t="n">
        <v>0</v>
      </c>
      <c r="BE64" s="27" t="n">
        <v>0</v>
      </c>
      <c r="BF64" s="27" t="n">
        <v>0</v>
      </c>
      <c r="BG64" s="27">
        <f>SUM(BC64:BF64)</f>
        <v/>
      </c>
      <c r="BH64" s="27">
        <f>BB64+BG64</f>
        <v/>
      </c>
    </row>
    <row r="65">
      <c r="B65" s="31" t="inlineStr">
        <is>
          <t>Total consumo intermedio</t>
        </is>
      </c>
      <c r="C65" s="32">
        <f>SUM(C14:C64)</f>
        <v/>
      </c>
      <c r="D65" s="32">
        <f>SUM(D14:D64)</f>
        <v/>
      </c>
      <c r="E65" s="32">
        <f>SUM(E14:E64)</f>
        <v/>
      </c>
      <c r="F65" s="32">
        <f>SUM(F14:F64)</f>
        <v/>
      </c>
      <c r="G65" s="32">
        <f>SUM(G14:G64)</f>
        <v/>
      </c>
      <c r="H65" s="32">
        <f>SUM(H14:H64)</f>
        <v/>
      </c>
      <c r="I65" s="32">
        <f>SUM(I14:I64)</f>
        <v/>
      </c>
      <c r="J65" s="32">
        <f>SUM(J14:J64)</f>
        <v/>
      </c>
      <c r="K65" s="32">
        <f>SUM(K14:K64)</f>
        <v/>
      </c>
      <c r="L65" s="32">
        <f>SUM(L14:L64)</f>
        <v/>
      </c>
      <c r="M65" s="32">
        <f>SUM(M14:M64)</f>
        <v/>
      </c>
      <c r="N65" s="32">
        <f>SUM(N14:N64)</f>
        <v/>
      </c>
      <c r="O65" s="32">
        <f>SUM(O14:O64)</f>
        <v/>
      </c>
      <c r="P65" s="32">
        <f>SUM(P14:P64)</f>
        <v/>
      </c>
      <c r="Q65" s="32">
        <f>SUM(Q14:Q64)</f>
        <v/>
      </c>
      <c r="R65" s="32">
        <f>SUM(R14:R64)</f>
        <v/>
      </c>
      <c r="S65" s="32">
        <f>SUM(S14:S64)</f>
        <v/>
      </c>
      <c r="T65" s="32">
        <f>SUM(T14:T64)</f>
        <v/>
      </c>
      <c r="U65" s="32">
        <f>SUM(U14:U64)</f>
        <v/>
      </c>
      <c r="V65" s="32">
        <f>SUM(V14:V64)</f>
        <v/>
      </c>
      <c r="W65" s="32">
        <f>SUM(W14:W64)</f>
        <v/>
      </c>
      <c r="X65" s="32">
        <f>SUM(X14:X64)</f>
        <v/>
      </c>
      <c r="Y65" s="32">
        <f>SUM(Y14:Y64)</f>
        <v/>
      </c>
      <c r="Z65" s="32">
        <f>SUM(Z14:Z64)</f>
        <v/>
      </c>
      <c r="AA65" s="32">
        <f>SUM(AA14:AA64)</f>
        <v/>
      </c>
      <c r="AB65" s="32">
        <f>SUM(AB14:AB64)</f>
        <v/>
      </c>
      <c r="AC65" s="32">
        <f>SUM(AC14:AC64)</f>
        <v/>
      </c>
      <c r="AD65" s="32">
        <f>SUM(AD14:AD64)</f>
        <v/>
      </c>
      <c r="AE65" s="32">
        <f>SUM(AE14:AE64)</f>
        <v/>
      </c>
      <c r="AF65" s="32">
        <f>SUM(AF14:AF64)</f>
        <v/>
      </c>
      <c r="AG65" s="32">
        <f>SUM(AG14:AG64)</f>
        <v/>
      </c>
      <c r="AH65" s="32">
        <f>SUM(AH14:AH64)</f>
        <v/>
      </c>
      <c r="AI65" s="32">
        <f>SUM(AI14:AI64)</f>
        <v/>
      </c>
      <c r="AJ65" s="32">
        <f>SUM(AJ14:AJ64)</f>
        <v/>
      </c>
      <c r="AK65" s="32">
        <f>SUM(AK14:AK64)</f>
        <v/>
      </c>
      <c r="AL65" s="32">
        <f>SUM(AL14:AL64)</f>
        <v/>
      </c>
      <c r="AM65" s="32">
        <f>SUM(AM14:AM64)</f>
        <v/>
      </c>
      <c r="AN65" s="32">
        <f>SUM(AN14:AN64)</f>
        <v/>
      </c>
      <c r="AO65" s="32">
        <f>SUM(AO14:AO64)</f>
        <v/>
      </c>
      <c r="AP65" s="32">
        <f>SUM(AP14:AP64)</f>
        <v/>
      </c>
      <c r="AQ65" s="32">
        <f>SUM(AQ14:AQ64)</f>
        <v/>
      </c>
      <c r="AR65" s="32">
        <f>SUM(AR14:AR64)</f>
        <v/>
      </c>
      <c r="AS65" s="32">
        <f>SUM(AS14:AS64)</f>
        <v/>
      </c>
      <c r="AT65" s="32">
        <f>SUM(AT14:AT64)</f>
        <v/>
      </c>
      <c r="AU65" s="32">
        <f>SUM(AU14:AU64)</f>
        <v/>
      </c>
      <c r="AV65" s="32">
        <f>SUM(AV14:AV64)</f>
        <v/>
      </c>
      <c r="AW65" s="32">
        <f>SUM(AW14:AW64)</f>
        <v/>
      </c>
      <c r="AX65" s="32">
        <f>SUM(AX14:AX64)</f>
        <v/>
      </c>
      <c r="AY65" s="32">
        <f>SUM(AY14:AY64)</f>
        <v/>
      </c>
      <c r="AZ65" s="32">
        <f>SUM(AZ14:AZ64)</f>
        <v/>
      </c>
      <c r="BA65" s="32">
        <f>SUM(BA14:BA64)</f>
        <v/>
      </c>
      <c r="BB65" s="32">
        <f>SUM(BB14:BB64)</f>
        <v/>
      </c>
      <c r="BC65" s="32">
        <f>SUM(BC14:BC64)</f>
        <v/>
      </c>
      <c r="BD65" s="32">
        <f>SUM(BD14:BD64)</f>
        <v/>
      </c>
      <c r="BE65" s="32">
        <f>SUM(BE14:BE64)</f>
        <v/>
      </c>
      <c r="BF65" s="32">
        <f>SUM(BF14:BF64)</f>
        <v/>
      </c>
      <c r="BG65" s="32">
        <f>SUM(BG14:BG64)</f>
        <v/>
      </c>
      <c r="BH65" s="32">
        <f>SUM(BH14:BH64)</f>
        <v/>
      </c>
    </row>
    <row r="66"/>
    <row r="67">
      <c r="B67" s="31" t="inlineStr">
        <is>
          <t>Ajuste intermedio no asignado a matriz</t>
        </is>
      </c>
      <c r="C67" s="32" t="n">
        <v>-6.366462912410498e-12</v>
      </c>
      <c r="D67" s="32" t="n">
        <v>1.364242052659392e-12</v>
      </c>
      <c r="E67" s="32" t="n">
        <v>-9.094947017729282e-13</v>
      </c>
      <c r="F67" s="32" t="n">
        <v>2.273736754432321e-13</v>
      </c>
      <c r="G67" s="32" t="n">
        <v>1.023181539494544e-12</v>
      </c>
      <c r="H67" s="32" t="n">
        <v>-7.275957614183426e-12</v>
      </c>
      <c r="I67" s="32" t="n">
        <v>5.684341886080801e-14</v>
      </c>
      <c r="J67" s="32" t="n">
        <v>-4.547473508864641e-13</v>
      </c>
      <c r="K67" s="32" t="n">
        <v>6.821210263296962e-13</v>
      </c>
      <c r="L67" s="32" t="n">
        <v>9.094947017729282e-13</v>
      </c>
      <c r="M67" s="32" t="n">
        <v>-6.821210263296962e-13</v>
      </c>
      <c r="N67" s="32" t="n">
        <v>2.273736754432321e-13</v>
      </c>
      <c r="O67" s="32" t="n">
        <v>0</v>
      </c>
      <c r="P67" s="32" t="n">
        <v>7.275957614183426e-12</v>
      </c>
      <c r="Q67" s="32" t="n">
        <v>5.684341886080801e-14</v>
      </c>
      <c r="R67" s="32" t="n">
        <v>1.818989403545856e-12</v>
      </c>
      <c r="S67" s="32" t="n">
        <v>0</v>
      </c>
      <c r="T67" s="32" t="n">
        <v>-4.547473508864641e-13</v>
      </c>
      <c r="U67" s="32" t="n">
        <v>-4.547473508864641e-13</v>
      </c>
      <c r="V67" s="32" t="n">
        <v>4.547473508864641e-13</v>
      </c>
      <c r="W67" s="32" t="n">
        <v>-1.13686837721616e-13</v>
      </c>
      <c r="X67" s="32" t="n">
        <v>3.410605131648481e-13</v>
      </c>
      <c r="Y67" s="32" t="n">
        <v>-9.094947017729282e-13</v>
      </c>
      <c r="Z67" s="32" t="n">
        <v>-4.547473508864641e-13</v>
      </c>
      <c r="AA67" s="32" t="n">
        <v>-4.547473508864641e-13</v>
      </c>
      <c r="AB67" s="32" t="n">
        <v>0</v>
      </c>
      <c r="AC67" s="32" t="n">
        <v>-6.821210263296962e-13</v>
      </c>
      <c r="AD67" s="32" t="n">
        <v>-9.094947017729282e-13</v>
      </c>
      <c r="AE67" s="32" t="n">
        <v>-4.547473508864641e-13</v>
      </c>
      <c r="AF67" s="32" t="n">
        <v>5.456968210637569e-12</v>
      </c>
      <c r="AG67" s="32" t="n">
        <v>-9.094947017729282e-13</v>
      </c>
      <c r="AH67" s="32" t="n">
        <v>9.094947017729282e-13</v>
      </c>
      <c r="AI67" s="32" t="n">
        <v>-4.547473508864641e-13</v>
      </c>
      <c r="AJ67" s="32" t="n">
        <v>0</v>
      </c>
      <c r="AK67" s="32" t="n">
        <v>0</v>
      </c>
      <c r="AL67" s="32" t="n">
        <v>1.818989403545856e-12</v>
      </c>
      <c r="AM67" s="32" t="n">
        <v>0</v>
      </c>
      <c r="AN67" s="32" t="n">
        <v>-9.094947017729282e-13</v>
      </c>
      <c r="AO67" s="32" t="n">
        <v>2.728484105318785e-12</v>
      </c>
      <c r="AP67" s="32" t="n">
        <v>-1.818989403545856e-12</v>
      </c>
      <c r="AQ67" s="32" t="n">
        <v>0</v>
      </c>
      <c r="AR67" s="32" t="n">
        <v>3.410605131648481e-13</v>
      </c>
      <c r="AS67" s="32" t="n">
        <v>9.094947017729282e-13</v>
      </c>
      <c r="AT67" s="32" t="n">
        <v>-9.094947017729282e-13</v>
      </c>
      <c r="AU67" s="32" t="n">
        <v>-2.273736754432321e-13</v>
      </c>
      <c r="AV67" s="32" t="n">
        <v>1.818989403545856e-12</v>
      </c>
      <c r="AW67" s="32" t="n">
        <v>0</v>
      </c>
      <c r="AX67" s="32" t="n">
        <v>0</v>
      </c>
      <c r="AY67" s="32" t="n">
        <v>-9.094947017729282e-13</v>
      </c>
      <c r="AZ67" s="32" t="n">
        <v>-6.821210263296962e-13</v>
      </c>
      <c r="BA67" s="32" t="n">
        <v>9.094947017729282e-13</v>
      </c>
      <c r="BH67" s="32">
        <f>SUM(C67:BA67)</f>
        <v/>
      </c>
    </row>
    <row r="68"/>
    <row r="69">
      <c r="B69" s="31" t="inlineStr">
        <is>
          <t>Sin valor agregado</t>
        </is>
      </c>
      <c r="C69" s="32" t="n">
        <v>0</v>
      </c>
      <c r="D69" s="32" t="n">
        <v>0</v>
      </c>
      <c r="E69" s="32" t="n">
        <v>0</v>
      </c>
      <c r="F69" s="32" t="n">
        <v>0</v>
      </c>
      <c r="G69" s="32" t="n">
        <v>0</v>
      </c>
      <c r="H69" s="32" t="n">
        <v>0</v>
      </c>
      <c r="I69" s="32" t="n">
        <v>0</v>
      </c>
      <c r="J69" s="32" t="n">
        <v>0</v>
      </c>
      <c r="K69" s="32" t="n">
        <v>0</v>
      </c>
      <c r="L69" s="32" t="n">
        <v>0</v>
      </c>
      <c r="M69" s="32" t="n">
        <v>0</v>
      </c>
      <c r="N69" s="32" t="n">
        <v>0</v>
      </c>
      <c r="O69" s="32" t="n">
        <v>0</v>
      </c>
      <c r="P69" s="32" t="n">
        <v>0</v>
      </c>
      <c r="Q69" s="32" t="n">
        <v>0</v>
      </c>
      <c r="R69" s="32" t="n">
        <v>0</v>
      </c>
      <c r="S69" s="32" t="n">
        <v>0</v>
      </c>
      <c r="T69" s="32" t="n">
        <v>0</v>
      </c>
      <c r="U69" s="32" t="n">
        <v>0</v>
      </c>
      <c r="V69" s="32" t="n">
        <v>0</v>
      </c>
      <c r="W69" s="32" t="n">
        <v>0</v>
      </c>
      <c r="X69" s="32" t="n">
        <v>0</v>
      </c>
      <c r="Y69" s="32" t="n">
        <v>0</v>
      </c>
      <c r="Z69" s="32" t="n">
        <v>0</v>
      </c>
      <c r="AA69" s="32" t="n">
        <v>0</v>
      </c>
      <c r="AB69" s="32" t="n">
        <v>0</v>
      </c>
      <c r="AC69" s="32" t="n">
        <v>0</v>
      </c>
      <c r="AD69" s="32" t="n">
        <v>0</v>
      </c>
      <c r="AE69" s="32" t="n">
        <v>0</v>
      </c>
      <c r="AF69" s="32" t="n">
        <v>0</v>
      </c>
      <c r="AG69" s="32" t="n">
        <v>0</v>
      </c>
      <c r="AH69" s="32" t="n">
        <v>0</v>
      </c>
      <c r="AI69" s="32" t="n">
        <v>0</v>
      </c>
      <c r="AJ69" s="32" t="n">
        <v>0</v>
      </c>
      <c r="AK69" s="32" t="n">
        <v>0</v>
      </c>
      <c r="AL69" s="32" t="n">
        <v>0</v>
      </c>
      <c r="AM69" s="32" t="n">
        <v>0</v>
      </c>
      <c r="AN69" s="32" t="n">
        <v>0</v>
      </c>
      <c r="AO69" s="32" t="n">
        <v>0</v>
      </c>
      <c r="AP69" s="32" t="n">
        <v>0</v>
      </c>
      <c r="AQ69" s="32" t="n">
        <v>0</v>
      </c>
      <c r="AR69" s="32" t="n">
        <v>0</v>
      </c>
      <c r="AS69" s="32" t="n">
        <v>0</v>
      </c>
      <c r="AT69" s="32" t="n">
        <v>0</v>
      </c>
      <c r="AU69" s="32" t="n">
        <v>0</v>
      </c>
      <c r="AV69" s="32" t="n">
        <v>0</v>
      </c>
      <c r="AW69" s="32" t="n">
        <v>0</v>
      </c>
      <c r="AX69" s="32" t="n">
        <v>0</v>
      </c>
      <c r="AY69" s="32" t="n">
        <v>0</v>
      </c>
      <c r="AZ69" s="32" t="n">
        <v>0</v>
      </c>
      <c r="BA69" s="32" t="n">
        <v>0</v>
      </c>
      <c r="BH69" s="32">
        <f>SUM(C69:BA69)</f>
        <v/>
      </c>
    </row>
    <row r="70"/>
    <row r="71">
      <c r="B71" s="31" t="inlineStr">
        <is>
          <t>Produccion total</t>
        </is>
      </c>
      <c r="C71" s="32">
        <f>C65+C67+C69</f>
        <v/>
      </c>
      <c r="D71" s="32">
        <f>D65+D67+D69</f>
        <v/>
      </c>
      <c r="E71" s="32">
        <f>E65+E67+E69</f>
        <v/>
      </c>
      <c r="F71" s="32">
        <f>F65+F67+F69</f>
        <v/>
      </c>
      <c r="G71" s="32">
        <f>G65+G67+G69</f>
        <v/>
      </c>
      <c r="H71" s="32">
        <f>H65+H67+H69</f>
        <v/>
      </c>
      <c r="I71" s="32">
        <f>I65+I67+I69</f>
        <v/>
      </c>
      <c r="J71" s="32">
        <f>J65+J67+J69</f>
        <v/>
      </c>
      <c r="K71" s="32">
        <f>K65+K67+K69</f>
        <v/>
      </c>
      <c r="L71" s="32">
        <f>L65+L67+L69</f>
        <v/>
      </c>
      <c r="M71" s="32">
        <f>M65+M67+M69</f>
        <v/>
      </c>
      <c r="N71" s="32">
        <f>N65+N67+N69</f>
        <v/>
      </c>
      <c r="O71" s="32">
        <f>O65+O67+O69</f>
        <v/>
      </c>
      <c r="P71" s="32">
        <f>P65+P67+P69</f>
        <v/>
      </c>
      <c r="Q71" s="32">
        <f>Q65+Q67+Q69</f>
        <v/>
      </c>
      <c r="R71" s="32">
        <f>R65+R67+R69</f>
        <v/>
      </c>
      <c r="S71" s="32">
        <f>S65+S67+S69</f>
        <v/>
      </c>
      <c r="T71" s="32">
        <f>T65+T67+T69</f>
        <v/>
      </c>
      <c r="U71" s="32">
        <f>U65+U67+U69</f>
        <v/>
      </c>
      <c r="V71" s="32">
        <f>V65+V67+V69</f>
        <v/>
      </c>
      <c r="W71" s="32">
        <f>W65+W67+W69</f>
        <v/>
      </c>
      <c r="X71" s="32">
        <f>X65+X67+X69</f>
        <v/>
      </c>
      <c r="Y71" s="32">
        <f>Y65+Y67+Y69</f>
        <v/>
      </c>
      <c r="Z71" s="32">
        <f>Z65+Z67+Z69</f>
        <v/>
      </c>
      <c r="AA71" s="32">
        <f>AA65+AA67+AA69</f>
        <v/>
      </c>
      <c r="AB71" s="32">
        <f>AB65+AB67+AB69</f>
        <v/>
      </c>
      <c r="AC71" s="32">
        <f>AC65+AC67+AC69</f>
        <v/>
      </c>
      <c r="AD71" s="32">
        <f>AD65+AD67+AD69</f>
        <v/>
      </c>
      <c r="AE71" s="32">
        <f>AE65+AE67+AE69</f>
        <v/>
      </c>
      <c r="AF71" s="32">
        <f>AF65+AF67+AF69</f>
        <v/>
      </c>
      <c r="AG71" s="32">
        <f>AG65+AG67+AG69</f>
        <v/>
      </c>
      <c r="AH71" s="32">
        <f>AH65+AH67+AH69</f>
        <v/>
      </c>
      <c r="AI71" s="32">
        <f>AI65+AI67+AI69</f>
        <v/>
      </c>
      <c r="AJ71" s="32">
        <f>AJ65+AJ67+AJ69</f>
        <v/>
      </c>
      <c r="AK71" s="32">
        <f>AK65+AK67+AK69</f>
        <v/>
      </c>
      <c r="AL71" s="32">
        <f>AL65+AL67+AL69</f>
        <v/>
      </c>
      <c r="AM71" s="32">
        <f>AM65+AM67+AM69</f>
        <v/>
      </c>
      <c r="AN71" s="32">
        <f>AN65+AN67+AN69</f>
        <v/>
      </c>
      <c r="AO71" s="32">
        <f>AO65+AO67+AO69</f>
        <v/>
      </c>
      <c r="AP71" s="32">
        <f>AP65+AP67+AP69</f>
        <v/>
      </c>
      <c r="AQ71" s="32">
        <f>AQ65+AQ67+AQ69</f>
        <v/>
      </c>
      <c r="AR71" s="32">
        <f>AR65+AR67+AR69</f>
        <v/>
      </c>
      <c r="AS71" s="32">
        <f>AS65+AS67+AS69</f>
        <v/>
      </c>
      <c r="AT71" s="32">
        <f>AT65+AT67+AT69</f>
        <v/>
      </c>
      <c r="AU71" s="32">
        <f>AU65+AU67+AU69</f>
        <v/>
      </c>
      <c r="AV71" s="32">
        <f>AV65+AV67+AV69</f>
        <v/>
      </c>
      <c r="AW71" s="32">
        <f>AW65+AW67+AW69</f>
        <v/>
      </c>
      <c r="AX71" s="32">
        <f>AX65+AX67+AX69</f>
        <v/>
      </c>
      <c r="AY71" s="32">
        <f>AY65+AY67+AY69</f>
        <v/>
      </c>
      <c r="AZ71" s="32">
        <f>AZ65+AZ67+AZ69</f>
        <v/>
      </c>
      <c r="BA71" s="32">
        <f>BA65+BA67+BA69</f>
        <v/>
      </c>
      <c r="BH71" s="32">
        <f>SUM(C71:BA71)</f>
        <v/>
      </c>
    </row>
    <row r="72">
      <c r="B72" s="31" t="inlineStr">
        <is>
          <t>Produccion fuente</t>
        </is>
      </c>
      <c r="C72" s="32" t="n">
        <v>8379.81373468008</v>
      </c>
      <c r="D72" s="32" t="n">
        <v>2452.56687375811</v>
      </c>
      <c r="E72" s="32" t="n">
        <v>11128.45979045327</v>
      </c>
      <c r="F72" s="32" t="n">
        <v>239.9638697594583</v>
      </c>
      <c r="G72" s="32" t="n">
        <v>4757.818554002502</v>
      </c>
      <c r="H72" s="32" t="n">
        <v>14075.43802910226</v>
      </c>
      <c r="I72" s="32" t="n">
        <v>411.0005038541104</v>
      </c>
      <c r="J72" s="32" t="n">
        <v>3971.32131200672</v>
      </c>
      <c r="K72" s="32" t="n">
        <v>1053.564748705561</v>
      </c>
      <c r="L72" s="32" t="n">
        <v>984.2854799272662</v>
      </c>
      <c r="M72" s="32" t="n">
        <v>1484.7480091344</v>
      </c>
      <c r="N72" s="32" t="n">
        <v>5807.964416741696</v>
      </c>
      <c r="O72" s="32" t="n">
        <v>1853.590576197022</v>
      </c>
      <c r="P72" s="32" t="n">
        <v>21915.86586754605</v>
      </c>
      <c r="Q72" s="32" t="n">
        <v>1090.552802399629</v>
      </c>
      <c r="R72" s="32" t="n">
        <v>14783.6884098421</v>
      </c>
      <c r="S72" s="32" t="n">
        <v>5369.224067355062</v>
      </c>
      <c r="T72" s="32" t="n">
        <v>4343.754242520798</v>
      </c>
      <c r="U72" s="32" t="n">
        <v>2958.623647878148</v>
      </c>
      <c r="V72" s="32" t="n">
        <v>2532.884767789958</v>
      </c>
      <c r="W72" s="32" t="n">
        <v>1981.374599927405</v>
      </c>
      <c r="X72" s="32" t="n">
        <v>2504.029270743007</v>
      </c>
      <c r="Y72" s="32" t="n">
        <v>7444.673034901357</v>
      </c>
      <c r="Z72" s="32" t="n">
        <v>5493.086116237968</v>
      </c>
      <c r="AA72" s="32" t="n">
        <v>4955.84156524527</v>
      </c>
      <c r="AB72" s="32" t="n">
        <v>3860.419995694962</v>
      </c>
      <c r="AC72" s="32" t="n">
        <v>6280.698973658217</v>
      </c>
      <c r="AD72" s="32" t="n">
        <v>13783.92193675594</v>
      </c>
      <c r="AE72" s="32" t="n">
        <v>8353.423569460472</v>
      </c>
      <c r="AF72" s="32" t="n">
        <v>19234.54556035559</v>
      </c>
      <c r="AG72" s="32" t="n">
        <v>905.4874630488066</v>
      </c>
      <c r="AH72" s="32" t="n">
        <v>9198.079665546305</v>
      </c>
      <c r="AI72" s="32" t="n">
        <v>2676.935025351737</v>
      </c>
      <c r="AJ72" s="32" t="n">
        <v>2107.550394680819</v>
      </c>
      <c r="AK72" s="32" t="n">
        <v>9923.957541901163</v>
      </c>
      <c r="AL72" s="32" t="n">
        <v>1388.109189514498</v>
      </c>
      <c r="AM72" s="32" t="n">
        <v>-53741.72082993071</v>
      </c>
      <c r="AN72" s="32" t="n">
        <v>-3386.391012031879</v>
      </c>
      <c r="AO72" s="32" t="n">
        <v>12338.48958376194</v>
      </c>
      <c r="AP72" s="32" t="n">
        <v>13028.60226796251</v>
      </c>
      <c r="AQ72" s="32" t="n">
        <v>515.236407465378</v>
      </c>
      <c r="AR72" s="32" t="n">
        <v>121.305952848049</v>
      </c>
      <c r="AS72" s="32" t="n">
        <v>2987.535273731708</v>
      </c>
      <c r="AT72" s="32" t="n">
        <v>15597.41171568065</v>
      </c>
      <c r="AU72" s="32" t="n">
        <v>145.8711886253112</v>
      </c>
      <c r="AV72" s="32" t="n">
        <v>-117.6752343528469</v>
      </c>
      <c r="AW72" s="32" t="n">
        <v>829.416191186257</v>
      </c>
      <c r="AX72" s="32" t="n">
        <v>0</v>
      </c>
      <c r="AY72" s="32" t="n">
        <v>802.268755143435</v>
      </c>
      <c r="AZ72" s="32" t="n">
        <v>57.90043869037002</v>
      </c>
      <c r="BA72" s="32" t="n">
        <v>894.6551551774563</v>
      </c>
      <c r="BH72" s="32">
        <f>SUM(C72:BA72)</f>
        <v/>
      </c>
    </row>
    <row r="73">
      <c r="B73" s="33" t="inlineStr">
        <is>
          <t>Check produccion total - fuente</t>
        </is>
      </c>
      <c r="C73" s="34">
        <f>C71-C72</f>
        <v/>
      </c>
      <c r="D73" s="34">
        <f>D71-D72</f>
        <v/>
      </c>
      <c r="E73" s="34">
        <f>E71-E72</f>
        <v/>
      </c>
      <c r="F73" s="34">
        <f>F71-F72</f>
        <v/>
      </c>
      <c r="G73" s="34">
        <f>G71-G72</f>
        <v/>
      </c>
      <c r="H73" s="34">
        <f>H71-H72</f>
        <v/>
      </c>
      <c r="I73" s="34">
        <f>I71-I72</f>
        <v/>
      </c>
      <c r="J73" s="34">
        <f>J71-J72</f>
        <v/>
      </c>
      <c r="K73" s="34">
        <f>K71-K72</f>
        <v/>
      </c>
      <c r="L73" s="34">
        <f>L71-L72</f>
        <v/>
      </c>
      <c r="M73" s="34">
        <f>M71-M72</f>
        <v/>
      </c>
      <c r="N73" s="34">
        <f>N71-N72</f>
        <v/>
      </c>
      <c r="O73" s="34">
        <f>O71-O72</f>
        <v/>
      </c>
      <c r="P73" s="34">
        <f>P71-P72</f>
        <v/>
      </c>
      <c r="Q73" s="34">
        <f>Q71-Q72</f>
        <v/>
      </c>
      <c r="R73" s="34">
        <f>R71-R72</f>
        <v/>
      </c>
      <c r="S73" s="34">
        <f>S71-S72</f>
        <v/>
      </c>
      <c r="T73" s="34">
        <f>T71-T72</f>
        <v/>
      </c>
      <c r="U73" s="34">
        <f>U71-U72</f>
        <v/>
      </c>
      <c r="V73" s="34">
        <f>V71-V72</f>
        <v/>
      </c>
      <c r="W73" s="34">
        <f>W71-W72</f>
        <v/>
      </c>
      <c r="X73" s="34">
        <f>X71-X72</f>
        <v/>
      </c>
      <c r="Y73" s="34">
        <f>Y71-Y72</f>
        <v/>
      </c>
      <c r="Z73" s="34">
        <f>Z71-Z72</f>
        <v/>
      </c>
      <c r="AA73" s="34">
        <f>AA71-AA72</f>
        <v/>
      </c>
      <c r="AB73" s="34">
        <f>AB71-AB72</f>
        <v/>
      </c>
      <c r="AC73" s="34">
        <f>AC71-AC72</f>
        <v/>
      </c>
      <c r="AD73" s="34">
        <f>AD71-AD72</f>
        <v/>
      </c>
      <c r="AE73" s="34">
        <f>AE71-AE72</f>
        <v/>
      </c>
      <c r="AF73" s="34">
        <f>AF71-AF72</f>
        <v/>
      </c>
      <c r="AG73" s="34">
        <f>AG71-AG72</f>
        <v/>
      </c>
      <c r="AH73" s="34">
        <f>AH71-AH72</f>
        <v/>
      </c>
      <c r="AI73" s="34">
        <f>AI71-AI72</f>
        <v/>
      </c>
      <c r="AJ73" s="34">
        <f>AJ71-AJ72</f>
        <v/>
      </c>
      <c r="AK73" s="34">
        <f>AK71-AK72</f>
        <v/>
      </c>
      <c r="AL73" s="34">
        <f>AL71-AL72</f>
        <v/>
      </c>
      <c r="AM73" s="34">
        <f>AM71-AM72</f>
        <v/>
      </c>
      <c r="AN73" s="34">
        <f>AN71-AN72</f>
        <v/>
      </c>
      <c r="AO73" s="34">
        <f>AO71-AO72</f>
        <v/>
      </c>
      <c r="AP73" s="34">
        <f>AP71-AP72</f>
        <v/>
      </c>
      <c r="AQ73" s="34">
        <f>AQ71-AQ72</f>
        <v/>
      </c>
      <c r="AR73" s="34">
        <f>AR71-AR72</f>
        <v/>
      </c>
      <c r="AS73" s="34">
        <f>AS71-AS72</f>
        <v/>
      </c>
      <c r="AT73" s="34">
        <f>AT71-AT72</f>
        <v/>
      </c>
      <c r="AU73" s="34">
        <f>AU71-AU72</f>
        <v/>
      </c>
      <c r="AV73" s="34">
        <f>AV71-AV72</f>
        <v/>
      </c>
      <c r="AW73" s="34">
        <f>AW71-AW72</f>
        <v/>
      </c>
      <c r="AX73" s="34">
        <f>AX71-AX72</f>
        <v/>
      </c>
      <c r="AY73" s="34">
        <f>AY71-AY72</f>
        <v/>
      </c>
      <c r="AZ73" s="34">
        <f>AZ71-AZ72</f>
        <v/>
      </c>
      <c r="BA73" s="34">
        <f>BA71-BA72</f>
        <v/>
      </c>
      <c r="BH73" s="34">
        <f>SUM(C73:BA73)</f>
        <v/>
      </c>
    </row>
    <row r="74"/>
    <row r="75">
      <c r="B75" s="30" t="inlineStr">
        <is>
          <t>Nota</t>
        </is>
      </c>
      <c r="C75" s="30" t="inlineStr">
        <is>
          <t>U_importada/ajuste transformado a industrias con D = V * diag(q)^-1.</t>
        </is>
      </c>
    </row>
  </sheetData>
  <mergeCells count="9">
    <mergeCell ref="BG10:BG12"/>
    <mergeCell ref="C10:BA10"/>
    <mergeCell ref="BH10:BH12"/>
    <mergeCell ref="A3:H4"/>
    <mergeCell ref="B10:B12"/>
    <mergeCell ref="A10:A12"/>
    <mergeCell ref="A1:H1"/>
    <mergeCell ref="BB10:BB12"/>
    <mergeCell ref="BC10:BF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H75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4" customHeight="1"/>
    <row r="2"/>
    <row r="3" ht="16" customHeight="1">
      <c r="A3" s="19" t="inlineStr">
        <is>
          <t>Matriz insumo producto, actividad por actividad - Total auditable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</row>
    <row r="4" ht="16" customHeight="1"/>
    <row r="5">
      <c r="A5" s="20" t="inlineStr">
        <is>
          <t>Valores a precios corrientes</t>
        </is>
      </c>
    </row>
    <row r="6" ht="16.5" customHeight="1">
      <c r="A6" s="20" t="inlineStr">
        <is>
          <t>Ano 2001</t>
        </is>
      </c>
      <c r="J6" s="21" t="inlineStr">
        <is>
          <t>Indice</t>
        </is>
      </c>
    </row>
    <row r="7">
      <c r="A7" s="20" t="inlineStr">
        <is>
          <t>Base / fuente original</t>
        </is>
      </c>
    </row>
    <row r="8">
      <c r="A8" s="20" t="inlineStr">
        <is>
          <t>Unidades monetarias de la fuente</t>
        </is>
      </c>
    </row>
    <row r="9"/>
    <row r="10" ht="16" customHeight="1">
      <c r="A10" s="22" t="inlineStr">
        <is>
          <t>Codigo</t>
        </is>
      </c>
      <c r="B10" s="22" t="inlineStr">
        <is>
          <t>Actividad economica</t>
        </is>
      </c>
      <c r="C10" s="22" t="inlineStr">
        <is>
          <t>Consumo intermedio por actividades economicas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  <c r="AB10" s="23" t="n"/>
      <c r="AC10" s="23" t="n"/>
      <c r="AD10" s="23" t="n"/>
      <c r="AE10" s="23" t="n"/>
      <c r="AF10" s="23" t="n"/>
      <c r="AG10" s="23" t="n"/>
      <c r="AH10" s="23" t="n"/>
      <c r="AI10" s="23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  <c r="AT10" s="23" t="n"/>
      <c r="AU10" s="23" t="n"/>
      <c r="AV10" s="23" t="n"/>
      <c r="AW10" s="23" t="n"/>
      <c r="AX10" s="23" t="n"/>
      <c r="AY10" s="23" t="n"/>
      <c r="AZ10" s="23" t="n"/>
      <c r="BA10" s="23" t="n"/>
      <c r="BB10" s="22" t="inlineStr">
        <is>
          <t>Total consumo intermedio</t>
        </is>
      </c>
      <c r="BC10" s="22" t="inlineStr">
        <is>
          <t>Demanda final</t>
        </is>
      </c>
      <c r="BD10" s="23" t="n"/>
      <c r="BE10" s="23" t="n"/>
      <c r="BF10" s="23" t="n"/>
      <c r="BG10" s="22" t="inlineStr">
        <is>
          <t>Total demanda final</t>
        </is>
      </c>
      <c r="BH10" s="22" t="inlineStr">
        <is>
          <t>Total</t>
        </is>
      </c>
    </row>
    <row r="11" ht="15" customHeight="1">
      <c r="C11" s="24" t="n">
        <v>1</v>
      </c>
      <c r="D11" s="24" t="n">
        <v>2</v>
      </c>
      <c r="E11" s="24" t="n">
        <v>3</v>
      </c>
      <c r="F11" s="24" t="n">
        <v>4</v>
      </c>
      <c r="G11" s="24" t="n">
        <v>5</v>
      </c>
      <c r="H11" s="24" t="n">
        <v>6</v>
      </c>
      <c r="I11" s="24" t="n">
        <v>7</v>
      </c>
      <c r="J11" s="24" t="n">
        <v>8</v>
      </c>
      <c r="K11" s="24" t="n">
        <v>9</v>
      </c>
      <c r="L11" s="24" t="n">
        <v>10</v>
      </c>
      <c r="M11" s="24" t="inlineStr">
        <is>
          <t>Produtos de madeira</t>
        </is>
      </c>
      <c r="N11" s="24" t="n">
        <v>12</v>
      </c>
      <c r="O11" s="24" t="n">
        <v>13</v>
      </c>
      <c r="P11" s="24" t="n">
        <v>14</v>
      </c>
      <c r="Q11" s="24" t="n">
        <v>15</v>
      </c>
      <c r="R11" s="24" t="n">
        <v>16</v>
      </c>
      <c r="S11" s="24" t="n">
        <v>17</v>
      </c>
      <c r="T11" s="24" t="n">
        <v>18</v>
      </c>
      <c r="U11" s="24" t="n">
        <v>19</v>
      </c>
      <c r="V11" s="24" t="n">
        <v>20</v>
      </c>
      <c r="W11" s="24" t="n">
        <v>21</v>
      </c>
      <c r="X11" s="24" t="n">
        <v>22</v>
      </c>
      <c r="Y11" s="24" t="n">
        <v>23</v>
      </c>
      <c r="Z11" s="24" t="n">
        <v>24</v>
      </c>
      <c r="AA11" s="24" t="n">
        <v>25</v>
      </c>
      <c r="AB11" s="24" t="n">
        <v>26</v>
      </c>
      <c r="AC11" s="24" t="inlineStr">
        <is>
          <t>Produtos de metal</t>
        </is>
      </c>
      <c r="AD11" s="24" t="n">
        <v>28</v>
      </c>
      <c r="AE11" s="24" t="n">
        <v>29</v>
      </c>
      <c r="AF11" s="24" t="n">
        <v>30</v>
      </c>
      <c r="AG11" s="24" t="n">
        <v>31</v>
      </c>
      <c r="AH11" s="24" t="n">
        <v>32</v>
      </c>
      <c r="AI11" s="24" t="n">
        <v>33</v>
      </c>
      <c r="AJ11" s="24" t="n">
        <v>34</v>
      </c>
      <c r="AK11" s="24" t="n">
        <v>35</v>
      </c>
      <c r="AL11" s="24" t="n">
        <v>36</v>
      </c>
      <c r="AM11" s="24" t="n">
        <v>37</v>
      </c>
      <c r="AN11" s="24" t="n">
        <v>38</v>
      </c>
      <c r="AO11" s="24" t="n">
        <v>39</v>
      </c>
      <c r="AP11" s="24" t="n">
        <v>40</v>
      </c>
      <c r="AQ11" s="24" t="n">
        <v>41</v>
      </c>
      <c r="AR11" s="24" t="n">
        <v>42</v>
      </c>
      <c r="AS11" s="24" t="n">
        <v>43</v>
      </c>
      <c r="AT11" s="24" t="n">
        <v>44</v>
      </c>
      <c r="AU11" s="24" t="n">
        <v>45</v>
      </c>
      <c r="AV11" s="24" t="n">
        <v>46</v>
      </c>
      <c r="AW11" s="24" t="n">
        <v>47</v>
      </c>
      <c r="AX11" s="24" t="n">
        <v>48</v>
      </c>
      <c r="AY11" s="24" t="n">
        <v>49</v>
      </c>
      <c r="AZ11" s="24" t="n">
        <v>50</v>
      </c>
      <c r="BA11" s="24" t="n">
        <v>51</v>
      </c>
      <c r="BC11" s="24" t="inlineStr"/>
      <c r="BD11" s="24" t="inlineStr"/>
      <c r="BE11" s="24" t="inlineStr"/>
      <c r="BF11" s="24" t="inlineStr"/>
    </row>
    <row r="12" ht="90" customHeight="1">
      <c r="A12" s="25" t="n"/>
      <c r="B12" s="25" t="n"/>
      <c r="C12" s="26" t="inlineStr">
        <is>
          <t>Agricultura silvicultura exploração florestal</t>
        </is>
      </c>
      <c r="D12" s="26" t="inlineStr">
        <is>
          <t>Pecuária e pesca</t>
        </is>
      </c>
      <c r="E12" s="26" t="inlineStr">
        <is>
          <t>Petróleo e gás natural</t>
        </is>
      </c>
      <c r="F12" s="26" t="inlineStr">
        <is>
          <t>Minério de ferro</t>
        </is>
      </c>
      <c r="G12" s="26" t="inlineStr">
        <is>
          <t>Outros da indústria extrativa</t>
        </is>
      </c>
      <c r="H12" s="26" t="inlineStr">
        <is>
          <t>Alimentos e Bebidas</t>
        </is>
      </c>
      <c r="I12" s="26" t="inlineStr">
        <is>
          <t>Produtos do fumo</t>
        </is>
      </c>
      <c r="J12" s="26" t="inlineStr">
        <is>
          <t>Têxteis</t>
        </is>
      </c>
      <c r="K12" s="26" t="inlineStr">
        <is>
          <t>Artigos do vestuário e acessórios</t>
        </is>
      </c>
      <c r="L12" s="26" t="inlineStr">
        <is>
          <t>Artefatos de couro e calçados</t>
        </is>
      </c>
      <c r="M12" s="26" t="inlineStr">
        <is>
          <t>exclusive móveis</t>
        </is>
      </c>
      <c r="N12" s="26" t="inlineStr">
        <is>
          <t>Celulose e produtos de papel</t>
        </is>
      </c>
      <c r="O12" s="26" t="inlineStr">
        <is>
          <t>Jornais revistas discos</t>
        </is>
      </c>
      <c r="P12" s="26" t="inlineStr">
        <is>
          <t>Refino de petróleo e coque</t>
        </is>
      </c>
      <c r="Q12" s="26" t="inlineStr">
        <is>
          <t>Álcool</t>
        </is>
      </c>
      <c r="R12" s="26" t="inlineStr">
        <is>
          <t>Produtos  químicos</t>
        </is>
      </c>
      <c r="S12" s="26" t="inlineStr">
        <is>
          <t>Fabricação de resina e elastômeros</t>
        </is>
      </c>
      <c r="T12" s="26" t="inlineStr">
        <is>
          <t>Produtos farmacêuticos</t>
        </is>
      </c>
      <c r="U12" s="26" t="inlineStr">
        <is>
          <t>Defensivos agrícolas</t>
        </is>
      </c>
      <c r="V12" s="26" t="inlineStr">
        <is>
          <t>Perfumaria higiene e limpeza</t>
        </is>
      </c>
      <c r="W12" s="26" t="inlineStr">
        <is>
          <t>Tintas vernizes esmaltes e lacas</t>
        </is>
      </c>
      <c r="X12" s="26" t="inlineStr">
        <is>
          <t>Produtos e preparados químicos diversos</t>
        </is>
      </c>
      <c r="Y12" s="26" t="inlineStr">
        <is>
          <t>Artigos de borracha e plástico</t>
        </is>
      </c>
      <c r="Z12" s="26" t="inlineStr">
        <is>
          <t>Cimento e outros produtos de minerais não-metálicos</t>
        </is>
      </c>
      <c r="AA12" s="26" t="inlineStr">
        <is>
          <t>Fabricação de aço e derivados</t>
        </is>
      </c>
      <c r="AB12" s="26" t="inlineStr">
        <is>
          <t>Metalurgia de metais não-ferrosos</t>
        </is>
      </c>
      <c r="AC12" s="26" t="inlineStr">
        <is>
          <t>exclusive máquinas e equipamentos</t>
        </is>
      </c>
      <c r="AD12" s="26" t="inlineStr">
        <is>
          <t>Máquinas e equipamentos inclusive manutenção e reparos</t>
        </is>
      </c>
      <c r="AE12" s="26" t="inlineStr">
        <is>
          <t>Eletrodomésticos e material eletronico</t>
        </is>
      </c>
      <c r="AF12" s="26" t="inlineStr">
        <is>
          <t>Máquinas para escritório aparelhos e e material eletronico</t>
        </is>
      </c>
      <c r="AG12" s="26" t="inlineStr">
        <is>
          <t>Automóveis camionetas caminhões e ônibus</t>
        </is>
      </c>
      <c r="AH12" s="26" t="inlineStr">
        <is>
          <t>Peças e acessórios para veículos automotores</t>
        </is>
      </c>
      <c r="AI12" s="26" t="inlineStr">
        <is>
          <t>Outros equipamentos de transporte</t>
        </is>
      </c>
      <c r="AJ12" s="26" t="inlineStr">
        <is>
          <t>Móveis e produtos das indústrias diversas</t>
        </is>
      </c>
      <c r="AK12" s="26" t="inlineStr">
        <is>
          <t>Produção e distribuição de eletricidade gás água esgoto e limpeza urbana</t>
        </is>
      </c>
      <c r="AL12" s="26" t="inlineStr">
        <is>
          <t>Construção civil</t>
        </is>
      </c>
      <c r="AM12" s="26" t="inlineStr">
        <is>
          <t>Comércio</t>
        </is>
      </c>
      <c r="AN12" s="26" t="inlineStr">
        <is>
          <t>Transporte armazenagem e correio</t>
        </is>
      </c>
      <c r="AO12" s="26" t="inlineStr">
        <is>
          <t>Serviços de informação</t>
        </is>
      </c>
      <c r="AP12" s="26" t="inlineStr">
        <is>
          <t>Intermediação financeira seguros e previdência complementar e serviços relacionados</t>
        </is>
      </c>
      <c r="AQ12" s="26" t="inlineStr">
        <is>
          <t>Atividades imobiliárias e aluguéis</t>
        </is>
      </c>
      <c r="AR12" s="26" t="inlineStr">
        <is>
          <t>Serviços de manutenção e reparação</t>
        </is>
      </c>
      <c r="AS12" s="26" t="inlineStr">
        <is>
          <t>Serviços de alojamento e alimentação</t>
        </is>
      </c>
      <c r="AT12" s="26" t="inlineStr">
        <is>
          <t>Serviços prestados às empresas</t>
        </is>
      </c>
      <c r="AU12" s="26" t="inlineStr">
        <is>
          <t>Educação mercantil</t>
        </is>
      </c>
      <c r="AV12" s="26" t="inlineStr">
        <is>
          <t>Saúde mercantil</t>
        </is>
      </c>
      <c r="AW12" s="26" t="inlineStr">
        <is>
          <t>Serviços prestados às famílias e associativas</t>
        </is>
      </c>
      <c r="AX12" s="26" t="inlineStr">
        <is>
          <t>Serviços domésticos</t>
        </is>
      </c>
      <c r="AY12" s="26" t="inlineStr">
        <is>
          <t>Educação pública</t>
        </is>
      </c>
      <c r="AZ12" s="26" t="inlineStr">
        <is>
          <t>Saúde pública</t>
        </is>
      </c>
      <c r="BA12" s="26" t="inlineStr">
        <is>
          <t>Administração pública e seguridade social</t>
        </is>
      </c>
      <c r="BB12" s="25" t="n"/>
      <c r="BC12" s="26" t="inlineStr">
        <is>
          <t>Gasto de consumo final</t>
        </is>
      </c>
      <c r="BD12" s="26" t="inlineStr">
        <is>
          <t>Formacion bruta de capital</t>
        </is>
      </c>
      <c r="BE12" s="26" t="inlineStr">
        <is>
          <t>Exportaciones netas</t>
        </is>
      </c>
      <c r="BF12" s="26" t="inlineStr">
        <is>
          <t>Sin desglose fuente</t>
        </is>
      </c>
      <c r="BG12" s="25" t="n"/>
      <c r="BH12" s="25" t="n"/>
    </row>
    <row r="13"/>
    <row r="14">
      <c r="A14" s="27" t="n">
        <v>1</v>
      </c>
      <c r="B14" s="28" t="inlineStr">
        <is>
          <t>Agricultura silvicultura exploração florestal</t>
        </is>
      </c>
      <c r="C14" s="27" t="n">
        <v>2714.226147632314</v>
      </c>
      <c r="D14" s="27" t="n">
        <v>1923.821435936511</v>
      </c>
      <c r="E14" s="27" t="n">
        <v>16.03807961130476</v>
      </c>
      <c r="F14" s="27" t="n">
        <v>2.710884333227432</v>
      </c>
      <c r="G14" s="27" t="n">
        <v>2.485001673889426</v>
      </c>
      <c r="H14" s="27" t="n">
        <v>32767.4851832484</v>
      </c>
      <c r="I14" s="27" t="n">
        <v>1521.789959512477</v>
      </c>
      <c r="J14" s="27" t="n">
        <v>2280.523264955329</v>
      </c>
      <c r="K14" s="27" t="n">
        <v>116.7771331895544</v>
      </c>
      <c r="L14" s="27" t="n">
        <v>17.94277869807912</v>
      </c>
      <c r="M14" s="27" t="n">
        <v>784.2994159806743</v>
      </c>
      <c r="N14" s="27" t="n">
        <v>522.1496155543874</v>
      </c>
      <c r="O14" s="27" t="n">
        <v>0.5496870400067736</v>
      </c>
      <c r="P14" s="27" t="n">
        <v>1.299084535335971</v>
      </c>
      <c r="Q14" s="27" t="n">
        <v>2929.672390618838</v>
      </c>
      <c r="R14" s="27" t="n">
        <v>105.5353453492661</v>
      </c>
      <c r="S14" s="27" t="n">
        <v>134.6533651096698</v>
      </c>
      <c r="T14" s="27" t="n">
        <v>17.16270177862791</v>
      </c>
      <c r="U14" s="27" t="n">
        <v>42.17340933306578</v>
      </c>
      <c r="V14" s="27" t="n">
        <v>31.97969109354445</v>
      </c>
      <c r="W14" s="27" t="n">
        <v>23.85059975045424</v>
      </c>
      <c r="X14" s="27" t="n">
        <v>38.14065578307941</v>
      </c>
      <c r="Y14" s="27" t="n">
        <v>299.8989499389764</v>
      </c>
      <c r="Z14" s="27" t="n">
        <v>23.70473829761562</v>
      </c>
      <c r="AA14" s="27" t="n">
        <v>139.4453418744041</v>
      </c>
      <c r="AB14" s="27" t="n">
        <v>4.697184148543911</v>
      </c>
      <c r="AC14" s="27" t="n">
        <v>6.039241281510773</v>
      </c>
      <c r="AD14" s="27" t="n">
        <v>0.2113221602026636</v>
      </c>
      <c r="AE14" s="27" t="n">
        <v>1.195328657919689</v>
      </c>
      <c r="AF14" s="27" t="n">
        <v>1.357014592143983</v>
      </c>
      <c r="AG14" s="27" t="n">
        <v>0.4279620554691704</v>
      </c>
      <c r="AH14" s="27" t="n">
        <v>0.1273535716085331</v>
      </c>
      <c r="AI14" s="27" t="n">
        <v>0.2198512377134436</v>
      </c>
      <c r="AJ14" s="27" t="n">
        <v>5.310987591531187</v>
      </c>
      <c r="AK14" s="27" t="n">
        <v>12.74985575091265</v>
      </c>
      <c r="AL14" s="27" t="n">
        <v>140.3014823557339</v>
      </c>
      <c r="AM14" s="27" t="n">
        <v>2069.969490757691</v>
      </c>
      <c r="AN14" s="27" t="n">
        <v>1.611303128138178</v>
      </c>
      <c r="AO14" s="27" t="n">
        <v>5.783427368182619</v>
      </c>
      <c r="AP14" s="27" t="n">
        <v>1.711483554802546</v>
      </c>
      <c r="AQ14" s="27" t="n">
        <v>1.823905502882097</v>
      </c>
      <c r="AR14" s="27" t="n">
        <v>0.01451053287203312</v>
      </c>
      <c r="AS14" s="27" t="n">
        <v>994.2573066001729</v>
      </c>
      <c r="AT14" s="27" t="n">
        <v>9.789958453796931</v>
      </c>
      <c r="AU14" s="27" t="n">
        <v>16.04741591292958</v>
      </c>
      <c r="AV14" s="27" t="n">
        <v>62.94608408879176</v>
      </c>
      <c r="AW14" s="27" t="n">
        <v>84.25984352515621</v>
      </c>
      <c r="AX14" s="27" t="n">
        <v>0</v>
      </c>
      <c r="AY14" s="27" t="n">
        <v>163.8412304111537</v>
      </c>
      <c r="AZ14" s="27" t="n">
        <v>59.21519117500374</v>
      </c>
      <c r="BA14" s="27" t="n">
        <v>447.1215404795088</v>
      </c>
      <c r="BB14" s="27">
        <f>SUM(C14:BA14)</f>
        <v/>
      </c>
      <c r="BC14" s="27" t="n">
        <v>0</v>
      </c>
      <c r="BD14" s="27" t="n">
        <v>0</v>
      </c>
      <c r="BE14" s="27" t="n">
        <v>25757.45522555313</v>
      </c>
      <c r="BF14" s="27" t="n">
        <v>0</v>
      </c>
      <c r="BG14" s="27">
        <f>SUM(BC14:BF14)</f>
        <v/>
      </c>
      <c r="BH14" s="27">
        <f>BB14+BG14</f>
        <v/>
      </c>
    </row>
    <row r="15">
      <c r="A15" s="29" t="n">
        <v>2</v>
      </c>
      <c r="B15" s="30" t="inlineStr">
        <is>
          <t>Pecuária e pesca</t>
        </is>
      </c>
      <c r="C15" s="29" t="n">
        <v>247.4896411309479</v>
      </c>
      <c r="D15" s="29" t="n">
        <v>1392.503088997065</v>
      </c>
      <c r="E15" s="29" t="n">
        <v>7.553007207918026</v>
      </c>
      <c r="F15" s="29" t="n">
        <v>1.534958759366715</v>
      </c>
      <c r="G15" s="29" t="n">
        <v>0.4918980913940824</v>
      </c>
      <c r="H15" s="29" t="n">
        <v>22671.39070610466</v>
      </c>
      <c r="I15" s="29" t="n">
        <v>58.50170464972983</v>
      </c>
      <c r="J15" s="29" t="n">
        <v>3.589217123951423</v>
      </c>
      <c r="K15" s="29" t="n">
        <v>0.2768482272677769</v>
      </c>
      <c r="L15" s="29" t="n">
        <v>5.712314417933975</v>
      </c>
      <c r="M15" s="29" t="n">
        <v>44.230106426466</v>
      </c>
      <c r="N15" s="29" t="n">
        <v>29.13091827185279</v>
      </c>
      <c r="O15" s="29" t="n">
        <v>0.03457725442246246</v>
      </c>
      <c r="P15" s="29" t="n">
        <v>0.02725333461239885</v>
      </c>
      <c r="Q15" s="29" t="n">
        <v>20.41245810531253</v>
      </c>
      <c r="R15" s="29" t="n">
        <v>3.66613934240742</v>
      </c>
      <c r="S15" s="29" t="n">
        <v>3.586483545709927</v>
      </c>
      <c r="T15" s="29" t="n">
        <v>0.4123173646590649</v>
      </c>
      <c r="U15" s="29" t="n">
        <v>1.19112741713597</v>
      </c>
      <c r="V15" s="29" t="n">
        <v>2.097584548122451</v>
      </c>
      <c r="W15" s="29" t="n">
        <v>0.62926759017651</v>
      </c>
      <c r="X15" s="29" t="n">
        <v>0.9841589581042585</v>
      </c>
      <c r="Y15" s="29" t="n">
        <v>16.20286121043293</v>
      </c>
      <c r="Z15" s="29" t="n">
        <v>0.6581557696068209</v>
      </c>
      <c r="AA15" s="29" t="n">
        <v>7.869683238138918</v>
      </c>
      <c r="AB15" s="29" t="n">
        <v>2.118032470476256</v>
      </c>
      <c r="AC15" s="29" t="n">
        <v>0.3249051223602781</v>
      </c>
      <c r="AD15" s="29" t="n">
        <v>0.1149012567612476</v>
      </c>
      <c r="AE15" s="29" t="n">
        <v>0.04636252207606234</v>
      </c>
      <c r="AF15" s="29" t="n">
        <v>0.1786709646821262</v>
      </c>
      <c r="AG15" s="29" t="n">
        <v>0.3259063239003634</v>
      </c>
      <c r="AH15" s="29" t="n">
        <v>0.04814332101821186</v>
      </c>
      <c r="AI15" s="29" t="n">
        <v>0.2934181144475352</v>
      </c>
      <c r="AJ15" s="29" t="n">
        <v>0.09269729542720606</v>
      </c>
      <c r="AK15" s="29" t="n">
        <v>7.351408052493932</v>
      </c>
      <c r="AL15" s="29" t="n">
        <v>79.50344027938952</v>
      </c>
      <c r="AM15" s="29" t="n">
        <v>66.88742733009519</v>
      </c>
      <c r="AN15" s="29" t="n">
        <v>2.291367629242981</v>
      </c>
      <c r="AO15" s="29" t="n">
        <v>7.991208875965537</v>
      </c>
      <c r="AP15" s="29" t="n">
        <v>1.522709212184505</v>
      </c>
      <c r="AQ15" s="29" t="n">
        <v>2.103003076420892</v>
      </c>
      <c r="AR15" s="29" t="n">
        <v>0.002178680956277018</v>
      </c>
      <c r="AS15" s="29" t="n">
        <v>374.484246228293</v>
      </c>
      <c r="AT15" s="29" t="n">
        <v>3.476071049525158</v>
      </c>
      <c r="AU15" s="29" t="n">
        <v>6.108902959748313</v>
      </c>
      <c r="AV15" s="29" t="n">
        <v>38.78152395251703</v>
      </c>
      <c r="AW15" s="29" t="n">
        <v>11.26651058336929</v>
      </c>
      <c r="AX15" s="29" t="n">
        <v>0</v>
      </c>
      <c r="AY15" s="29" t="n">
        <v>61.36430841484373</v>
      </c>
      <c r="AZ15" s="29" t="n">
        <v>20.46842849140412</v>
      </c>
      <c r="BA15" s="29" t="n">
        <v>91.29074328519445</v>
      </c>
      <c r="BB15" s="29">
        <f>SUM(C15:BA15)</f>
        <v/>
      </c>
      <c r="BC15" s="29" t="n">
        <v>0</v>
      </c>
      <c r="BD15" s="29" t="n">
        <v>0</v>
      </c>
      <c r="BE15" s="29" t="n">
        <v>11668.21899470163</v>
      </c>
      <c r="BF15" s="29" t="n">
        <v>0</v>
      </c>
      <c r="BG15" s="29">
        <f>SUM(BC15:BF15)</f>
        <v/>
      </c>
      <c r="BH15" s="29">
        <f>BB15+BG15</f>
        <v/>
      </c>
    </row>
    <row r="16">
      <c r="A16" s="27" t="n">
        <v>3</v>
      </c>
      <c r="B16" s="28" t="inlineStr">
        <is>
          <t>Petróleo e gás natural</t>
        </is>
      </c>
      <c r="C16" s="27" t="n">
        <v>17.24553913807991</v>
      </c>
      <c r="D16" s="27" t="n">
        <v>25.09593894824368</v>
      </c>
      <c r="E16" s="27" t="n">
        <v>2079.529635430242</v>
      </c>
      <c r="F16" s="27" t="n">
        <v>52.16289486813292</v>
      </c>
      <c r="G16" s="27" t="n">
        <v>6.765635784543857</v>
      </c>
      <c r="H16" s="27" t="n">
        <v>227.4333787665787</v>
      </c>
      <c r="I16" s="27" t="n">
        <v>0.2777115688269949</v>
      </c>
      <c r="J16" s="27" t="n">
        <v>70.42499944215876</v>
      </c>
      <c r="K16" s="27" t="n">
        <v>0.6164802674420028</v>
      </c>
      <c r="L16" s="27" t="n">
        <v>0.18691089523561</v>
      </c>
      <c r="M16" s="27" t="n">
        <v>14.6762525970366</v>
      </c>
      <c r="N16" s="27" t="n">
        <v>153.8486228277743</v>
      </c>
      <c r="O16" s="27" t="n">
        <v>0.4889022545685766</v>
      </c>
      <c r="P16" s="27" t="n">
        <v>28950.01490415923</v>
      </c>
      <c r="Q16" s="27" t="n">
        <v>0.2726887036547241</v>
      </c>
      <c r="R16" s="27" t="n">
        <v>298.4610774351332</v>
      </c>
      <c r="S16" s="27" t="n">
        <v>170.6865597341322</v>
      </c>
      <c r="T16" s="27" t="n">
        <v>9.446298131768611</v>
      </c>
      <c r="U16" s="27" t="n">
        <v>9.752438120960555</v>
      </c>
      <c r="V16" s="27" t="n">
        <v>7.060072633939996</v>
      </c>
      <c r="W16" s="27" t="n">
        <v>6.840035392694292</v>
      </c>
      <c r="X16" s="27" t="n">
        <v>13.00762128867316</v>
      </c>
      <c r="Y16" s="27" t="n">
        <v>30.09550560157526</v>
      </c>
      <c r="Z16" s="27" t="n">
        <v>100.8892420387725</v>
      </c>
      <c r="AA16" s="27" t="n">
        <v>142.3858749449853</v>
      </c>
      <c r="AB16" s="27" t="n">
        <v>97.18058365022937</v>
      </c>
      <c r="AC16" s="27" t="n">
        <v>87.60264926682729</v>
      </c>
      <c r="AD16" s="27" t="n">
        <v>13.85421734983385</v>
      </c>
      <c r="AE16" s="27" t="n">
        <v>8.575077310273709</v>
      </c>
      <c r="AF16" s="27" t="n">
        <v>1.976170422274907</v>
      </c>
      <c r="AG16" s="27" t="n">
        <v>21.79871262363465</v>
      </c>
      <c r="AH16" s="27" t="n">
        <v>54.23620364437312</v>
      </c>
      <c r="AI16" s="27" t="n">
        <v>1.666125175286649</v>
      </c>
      <c r="AJ16" s="27" t="n">
        <v>0.703114014132654</v>
      </c>
      <c r="AK16" s="27" t="n">
        <v>1959.176527128993</v>
      </c>
      <c r="AL16" s="27" t="n">
        <v>292.6225722294512</v>
      </c>
      <c r="AM16" s="27" t="n">
        <v>44.86732687692293</v>
      </c>
      <c r="AN16" s="27" t="n">
        <v>12.91637925153715</v>
      </c>
      <c r="AO16" s="27" t="n">
        <v>36.2466504193379</v>
      </c>
      <c r="AP16" s="27" t="n">
        <v>9.774432405975009</v>
      </c>
      <c r="AQ16" s="27" t="n">
        <v>9.699774669132474</v>
      </c>
      <c r="AR16" s="27" t="n">
        <v>0.9671066047303036</v>
      </c>
      <c r="AS16" s="27" t="n">
        <v>53.64829397512599</v>
      </c>
      <c r="AT16" s="27" t="n">
        <v>50.72767073787952</v>
      </c>
      <c r="AU16" s="27" t="n">
        <v>6.070019034283259</v>
      </c>
      <c r="AV16" s="27" t="n">
        <v>2.790336295849968</v>
      </c>
      <c r="AW16" s="27" t="n">
        <v>27.88964374491164</v>
      </c>
      <c r="AX16" s="27" t="n">
        <v>0</v>
      </c>
      <c r="AY16" s="27" t="n">
        <v>5.943999149236944</v>
      </c>
      <c r="AZ16" s="27" t="n">
        <v>13.1964934921979</v>
      </c>
      <c r="BA16" s="27" t="n">
        <v>66.71924406941891</v>
      </c>
      <c r="BB16" s="27">
        <f>SUM(C16:BA16)</f>
        <v/>
      </c>
      <c r="BC16" s="27" t="n">
        <v>0</v>
      </c>
      <c r="BD16" s="27" t="n">
        <v>0</v>
      </c>
      <c r="BE16" s="27" t="n">
        <v>8831.13351105641</v>
      </c>
      <c r="BF16" s="27" t="n">
        <v>0</v>
      </c>
      <c r="BG16" s="27">
        <f>SUM(BC16:BF16)</f>
        <v/>
      </c>
      <c r="BH16" s="27">
        <f>BB16+BG16</f>
        <v/>
      </c>
    </row>
    <row r="17">
      <c r="A17" s="29" t="n">
        <v>4</v>
      </c>
      <c r="B17" s="30" t="inlineStr">
        <is>
          <t>Minério de ferro</t>
        </is>
      </c>
      <c r="C17" s="29" t="n">
        <v>0.2021510834778946</v>
      </c>
      <c r="D17" s="29" t="n">
        <v>0.1169382906437544</v>
      </c>
      <c r="E17" s="29" t="n">
        <v>3.125434900367891</v>
      </c>
      <c r="F17" s="29" t="n">
        <v>134.8702050561862</v>
      </c>
      <c r="G17" s="29" t="n">
        <v>7.734247378244673</v>
      </c>
      <c r="H17" s="29" t="n">
        <v>5.986988451056577</v>
      </c>
      <c r="I17" s="29" t="n">
        <v>0.3954688736931949</v>
      </c>
      <c r="J17" s="29" t="n">
        <v>0.2551843811647999</v>
      </c>
      <c r="K17" s="29" t="n">
        <v>0.2537120220858227</v>
      </c>
      <c r="L17" s="29" t="n">
        <v>0.4319493823295042</v>
      </c>
      <c r="M17" s="29" t="n">
        <v>0.1213446291402727</v>
      </c>
      <c r="N17" s="29" t="n">
        <v>0.6902961386624293</v>
      </c>
      <c r="O17" s="29" t="n">
        <v>0.1088894104375882</v>
      </c>
      <c r="P17" s="29" t="n">
        <v>1.031870660725481</v>
      </c>
      <c r="Q17" s="29" t="n">
        <v>0.1256957633461846</v>
      </c>
      <c r="R17" s="29" t="n">
        <v>0.9739237868095568</v>
      </c>
      <c r="S17" s="29" t="n">
        <v>0.2277421784910482</v>
      </c>
      <c r="T17" s="29" t="n">
        <v>1.401431910899065</v>
      </c>
      <c r="U17" s="29" t="n">
        <v>0.4610135529274914</v>
      </c>
      <c r="V17" s="29" t="n">
        <v>0.6341134332473672</v>
      </c>
      <c r="W17" s="29" t="n">
        <v>0.3307248119712174</v>
      </c>
      <c r="X17" s="29" t="n">
        <v>0.311223499401687</v>
      </c>
      <c r="Y17" s="29" t="n">
        <v>0.7852421645131595</v>
      </c>
      <c r="Z17" s="29" t="n">
        <v>24.81060221327864</v>
      </c>
      <c r="AA17" s="29" t="n">
        <v>2293.731551263568</v>
      </c>
      <c r="AB17" s="29" t="n">
        <v>27.1587687858645</v>
      </c>
      <c r="AC17" s="29" t="n">
        <v>0.6143255899914153</v>
      </c>
      <c r="AD17" s="29" t="n">
        <v>1.15623095131835</v>
      </c>
      <c r="AE17" s="29" t="n">
        <v>0.9854569476455404</v>
      </c>
      <c r="AF17" s="29" t="n">
        <v>1.530315337457457</v>
      </c>
      <c r="AG17" s="29" t="n">
        <v>1.847826007480381</v>
      </c>
      <c r="AH17" s="29" t="n">
        <v>0.6370802326816585</v>
      </c>
      <c r="AI17" s="29" t="n">
        <v>0.1948940569301696</v>
      </c>
      <c r="AJ17" s="29" t="n">
        <v>0.2734273962960451</v>
      </c>
      <c r="AK17" s="29" t="n">
        <v>2.165660991071673</v>
      </c>
      <c r="AL17" s="29" t="n">
        <v>3.71799151638429</v>
      </c>
      <c r="AM17" s="29" t="n">
        <v>10.98753203577569</v>
      </c>
      <c r="AN17" s="29" t="n">
        <v>5.090793475504582</v>
      </c>
      <c r="AO17" s="29" t="n">
        <v>7.515650056899469</v>
      </c>
      <c r="AP17" s="29" t="n">
        <v>6.838820219003172</v>
      </c>
      <c r="AQ17" s="29" t="n">
        <v>0.5458172880066922</v>
      </c>
      <c r="AR17" s="29" t="n">
        <v>0.04862852209174056</v>
      </c>
      <c r="AS17" s="29" t="n">
        <v>0.6907366351937509</v>
      </c>
      <c r="AT17" s="29" t="n">
        <v>9.724598936381415</v>
      </c>
      <c r="AU17" s="29" t="n">
        <v>1.613767912213024</v>
      </c>
      <c r="AV17" s="29" t="n">
        <v>0.5848334899992508</v>
      </c>
      <c r="AW17" s="29" t="n">
        <v>2.900995514151633</v>
      </c>
      <c r="AX17" s="29" t="n">
        <v>0</v>
      </c>
      <c r="AY17" s="29" t="n">
        <v>1.258958080725632</v>
      </c>
      <c r="AZ17" s="29" t="n">
        <v>1.455169698922181</v>
      </c>
      <c r="BA17" s="29" t="n">
        <v>6.067272479239697</v>
      </c>
      <c r="BB17" s="29">
        <f>SUM(C17:BA17)</f>
        <v/>
      </c>
      <c r="BC17" s="29" t="n">
        <v>0</v>
      </c>
      <c r="BD17" s="29" t="n">
        <v>0</v>
      </c>
      <c r="BE17" s="29" t="n">
        <v>6218.77181042773</v>
      </c>
      <c r="BF17" s="29" t="n">
        <v>0</v>
      </c>
      <c r="BG17" s="29">
        <f>SUM(BC17:BF17)</f>
        <v/>
      </c>
      <c r="BH17" s="29">
        <f>BB17+BG17</f>
        <v/>
      </c>
    </row>
    <row r="18">
      <c r="A18" s="27" t="n">
        <v>5</v>
      </c>
      <c r="B18" s="28" t="inlineStr">
        <is>
          <t>Outros da indústria extrativa</t>
        </is>
      </c>
      <c r="C18" s="27" t="n">
        <v>177.3606540812533</v>
      </c>
      <c r="D18" s="27" t="n">
        <v>116.1616895058718</v>
      </c>
      <c r="E18" s="27" t="n">
        <v>111.988498932339</v>
      </c>
      <c r="F18" s="27" t="n">
        <v>2.161490881896977</v>
      </c>
      <c r="G18" s="27" t="n">
        <v>341.8943314855236</v>
      </c>
      <c r="H18" s="27" t="n">
        <v>126.6137444286553</v>
      </c>
      <c r="I18" s="27" t="n">
        <v>0.05985706558733973</v>
      </c>
      <c r="J18" s="27" t="n">
        <v>4.409573085432955</v>
      </c>
      <c r="K18" s="27" t="n">
        <v>0.2527529818799416</v>
      </c>
      <c r="L18" s="27" t="n">
        <v>3.008310398622838</v>
      </c>
      <c r="M18" s="27" t="n">
        <v>0.4180627763906267</v>
      </c>
      <c r="N18" s="27" t="n">
        <v>18.21659651931068</v>
      </c>
      <c r="O18" s="27" t="n">
        <v>1.368421842374058</v>
      </c>
      <c r="P18" s="27" t="n">
        <v>8.514380219608038</v>
      </c>
      <c r="Q18" s="27" t="n">
        <v>36.81448675033636</v>
      </c>
      <c r="R18" s="27" t="n">
        <v>1201.639375454861</v>
      </c>
      <c r="S18" s="27" t="n">
        <v>9.772061109516805</v>
      </c>
      <c r="T18" s="27" t="n">
        <v>1.641844514096953</v>
      </c>
      <c r="U18" s="27" t="n">
        <v>1.187186304883476</v>
      </c>
      <c r="V18" s="27" t="n">
        <v>8.93712271736403</v>
      </c>
      <c r="W18" s="27" t="n">
        <v>37.33012984025945</v>
      </c>
      <c r="X18" s="27" t="n">
        <v>11.19857928247225</v>
      </c>
      <c r="Y18" s="27" t="n">
        <v>12.83229897182484</v>
      </c>
      <c r="Z18" s="27" t="n">
        <v>1391.759024481303</v>
      </c>
      <c r="AA18" s="27" t="n">
        <v>2180.837325816064</v>
      </c>
      <c r="AB18" s="27" t="n">
        <v>2429.823843043949</v>
      </c>
      <c r="AC18" s="27" t="n">
        <v>9.845134446153756</v>
      </c>
      <c r="AD18" s="27" t="n">
        <v>12.92605061128204</v>
      </c>
      <c r="AE18" s="27" t="n">
        <v>34.80918106816019</v>
      </c>
      <c r="AF18" s="27" t="n">
        <v>1.505403783644973</v>
      </c>
      <c r="AG18" s="27" t="n">
        <v>9.501464483767563</v>
      </c>
      <c r="AH18" s="27" t="n">
        <v>35.08669454558438</v>
      </c>
      <c r="AI18" s="27" t="n">
        <v>3.211085736114364</v>
      </c>
      <c r="AJ18" s="27" t="n">
        <v>18.99640894062585</v>
      </c>
      <c r="AK18" s="27" t="n">
        <v>276.1183225411507</v>
      </c>
      <c r="AL18" s="27" t="n">
        <v>1963.700542550373</v>
      </c>
      <c r="AM18" s="27" t="n">
        <v>24.38165588043281</v>
      </c>
      <c r="AN18" s="27" t="n">
        <v>3.258250465311666</v>
      </c>
      <c r="AO18" s="27" t="n">
        <v>2.181538539894335</v>
      </c>
      <c r="AP18" s="27" t="n">
        <v>1.763935475049551</v>
      </c>
      <c r="AQ18" s="27" t="n">
        <v>59.57752449142915</v>
      </c>
      <c r="AR18" s="27" t="n">
        <v>0.1037440170840652</v>
      </c>
      <c r="AS18" s="27" t="n">
        <v>11.2898900489065</v>
      </c>
      <c r="AT18" s="27" t="n">
        <v>9.96876060987262</v>
      </c>
      <c r="AU18" s="27" t="n">
        <v>1.312598424243719</v>
      </c>
      <c r="AV18" s="27" t="n">
        <v>9.541363868914162</v>
      </c>
      <c r="AW18" s="27" t="n">
        <v>5.537359482694092</v>
      </c>
      <c r="AX18" s="27" t="n">
        <v>0</v>
      </c>
      <c r="AY18" s="27" t="n">
        <v>16.23460451574317</v>
      </c>
      <c r="AZ18" s="27" t="n">
        <v>5.352562033826263</v>
      </c>
      <c r="BA18" s="27" t="n">
        <v>15.56164415062803</v>
      </c>
      <c r="BB18" s="27">
        <f>SUM(C18:BA18)</f>
        <v/>
      </c>
      <c r="BC18" s="27" t="n">
        <v>0</v>
      </c>
      <c r="BD18" s="27" t="n">
        <v>0</v>
      </c>
      <c r="BE18" s="27" t="n">
        <v>862.6790117385824</v>
      </c>
      <c r="BF18" s="27" t="n">
        <v>0</v>
      </c>
      <c r="BG18" s="27">
        <f>SUM(BC18:BF18)</f>
        <v/>
      </c>
      <c r="BH18" s="27">
        <f>BB18+BG18</f>
        <v/>
      </c>
    </row>
    <row r="19">
      <c r="A19" s="29" t="n">
        <v>6</v>
      </c>
      <c r="B19" s="30" t="inlineStr">
        <is>
          <t>Alimentos e Bebidas</t>
        </is>
      </c>
      <c r="C19" s="29" t="n">
        <v>400.1824930292613</v>
      </c>
      <c r="D19" s="29" t="n">
        <v>3167.07442388524</v>
      </c>
      <c r="E19" s="29" t="n">
        <v>147.5638758330329</v>
      </c>
      <c r="F19" s="29" t="n">
        <v>15.58743052791609</v>
      </c>
      <c r="G19" s="29" t="n">
        <v>67.49232764439935</v>
      </c>
      <c r="H19" s="29" t="n">
        <v>23407.32740847493</v>
      </c>
      <c r="I19" s="29" t="n">
        <v>2.07244298059115</v>
      </c>
      <c r="J19" s="29" t="n">
        <v>27.94386637071999</v>
      </c>
      <c r="K19" s="29" t="n">
        <v>9.648774798408706</v>
      </c>
      <c r="L19" s="29" t="n">
        <v>1129.959167207354</v>
      </c>
      <c r="M19" s="29" t="n">
        <v>14.64015451467726</v>
      </c>
      <c r="N19" s="29" t="n">
        <v>192.8589826447794</v>
      </c>
      <c r="O19" s="29" t="n">
        <v>10.22258710079391</v>
      </c>
      <c r="P19" s="29" t="n">
        <v>1415.422657652508</v>
      </c>
      <c r="Q19" s="29" t="n">
        <v>581.7894827996681</v>
      </c>
      <c r="R19" s="29" t="n">
        <v>273.3929320018591</v>
      </c>
      <c r="S19" s="29" t="n">
        <v>113.9621584078181</v>
      </c>
      <c r="T19" s="29" t="n">
        <v>226.986121738764</v>
      </c>
      <c r="U19" s="29" t="n">
        <v>82.06110882746212</v>
      </c>
      <c r="V19" s="29" t="n">
        <v>903.5798828517284</v>
      </c>
      <c r="W19" s="29" t="n">
        <v>120.0165950997636</v>
      </c>
      <c r="X19" s="29" t="n">
        <v>489.7880699066692</v>
      </c>
      <c r="Y19" s="29" t="n">
        <v>60.73468754055701</v>
      </c>
      <c r="Z19" s="29" t="n">
        <v>32.33151801275159</v>
      </c>
      <c r="AA19" s="29" t="n">
        <v>59.69352351989376</v>
      </c>
      <c r="AB19" s="29" t="n">
        <v>19.21283725949409</v>
      </c>
      <c r="AC19" s="29" t="n">
        <v>63.22460658982469</v>
      </c>
      <c r="AD19" s="29" t="n">
        <v>86.80369508009093</v>
      </c>
      <c r="AE19" s="29" t="n">
        <v>22.36686744480765</v>
      </c>
      <c r="AF19" s="29" t="n">
        <v>15.6368220930807</v>
      </c>
      <c r="AG19" s="29" t="n">
        <v>23.76417005465389</v>
      </c>
      <c r="AH19" s="29" t="n">
        <v>16.79025421499947</v>
      </c>
      <c r="AI19" s="29" t="n">
        <v>8.536325685653869</v>
      </c>
      <c r="AJ19" s="29" t="n">
        <v>21.75428731555622</v>
      </c>
      <c r="AK19" s="29" t="n">
        <v>115.0041482655764</v>
      </c>
      <c r="AL19" s="29" t="n">
        <v>244.7777915184384</v>
      </c>
      <c r="AM19" s="29" t="n">
        <v>1094.007890866956</v>
      </c>
      <c r="AN19" s="29" t="n">
        <v>252.085775319365</v>
      </c>
      <c r="AO19" s="29" t="n">
        <v>58.78144188118825</v>
      </c>
      <c r="AP19" s="29" t="n">
        <v>121.9881140303522</v>
      </c>
      <c r="AQ19" s="29" t="n">
        <v>15.35755239905734</v>
      </c>
      <c r="AR19" s="29" t="n">
        <v>12.20966598925992</v>
      </c>
      <c r="AS19" s="29" t="n">
        <v>14294.63894454501</v>
      </c>
      <c r="AT19" s="29" t="n">
        <v>120.9754248298405</v>
      </c>
      <c r="AU19" s="29" t="n">
        <v>129.7181070998936</v>
      </c>
      <c r="AV19" s="29" t="n">
        <v>488.3858725198864</v>
      </c>
      <c r="AW19" s="29" t="n">
        <v>392.8148097643327</v>
      </c>
      <c r="AX19" s="29" t="n">
        <v>0</v>
      </c>
      <c r="AY19" s="29" t="n">
        <v>928.8493139568874</v>
      </c>
      <c r="AZ19" s="29" t="n">
        <v>612.6023863868604</v>
      </c>
      <c r="BA19" s="29" t="n">
        <v>1174.519029157331</v>
      </c>
      <c r="BB19" s="29">
        <f>SUM(C19:BA19)</f>
        <v/>
      </c>
      <c r="BC19" s="29" t="n">
        <v>0</v>
      </c>
      <c r="BD19" s="29" t="n">
        <v>0</v>
      </c>
      <c r="BE19" s="29" t="n">
        <v>106136.1833379733</v>
      </c>
      <c r="BF19" s="29" t="n">
        <v>0</v>
      </c>
      <c r="BG19" s="29">
        <f>SUM(BC19:BF19)</f>
        <v/>
      </c>
      <c r="BH19" s="29">
        <f>BB19+BG19</f>
        <v/>
      </c>
    </row>
    <row r="20">
      <c r="A20" s="27" t="n">
        <v>7</v>
      </c>
      <c r="B20" s="28" t="inlineStr">
        <is>
          <t>Produtos do fumo</t>
        </is>
      </c>
      <c r="C20" s="27" t="n">
        <v>0.04054188833134516</v>
      </c>
      <c r="D20" s="27" t="n">
        <v>0.02293551491489481</v>
      </c>
      <c r="E20" s="27" t="n">
        <v>0.7520252716822909</v>
      </c>
      <c r="F20" s="27" t="n">
        <v>0.170910927612635</v>
      </c>
      <c r="G20" s="27" t="n">
        <v>0.1360452352765166</v>
      </c>
      <c r="H20" s="27" t="n">
        <v>1.136539020110793</v>
      </c>
      <c r="I20" s="27" t="n">
        <v>762.2079269717703</v>
      </c>
      <c r="J20" s="27" t="n">
        <v>0.05601884473954748</v>
      </c>
      <c r="K20" s="27" t="n">
        <v>0.06328239887491223</v>
      </c>
      <c r="L20" s="27" t="n">
        <v>0.08346452326750228</v>
      </c>
      <c r="M20" s="27" t="n">
        <v>0.03991997205796517</v>
      </c>
      <c r="N20" s="27" t="n">
        <v>0.1694791137813723</v>
      </c>
      <c r="O20" s="27" t="n">
        <v>0.05149012388355659</v>
      </c>
      <c r="P20" s="27" t="n">
        <v>0.2004506331789008</v>
      </c>
      <c r="Q20" s="27" t="n">
        <v>0.0304874561147734</v>
      </c>
      <c r="R20" s="27" t="n">
        <v>0.1953005460101281</v>
      </c>
      <c r="S20" s="27" t="n">
        <v>0.04954644675903926</v>
      </c>
      <c r="T20" s="27" t="n">
        <v>0.2636781147279214</v>
      </c>
      <c r="U20" s="27" t="n">
        <v>0.08589397054284911</v>
      </c>
      <c r="V20" s="27" t="n">
        <v>0.1186900387791128</v>
      </c>
      <c r="W20" s="27" t="n">
        <v>0.06486084375973748</v>
      </c>
      <c r="X20" s="27" t="n">
        <v>0.06416012808096686</v>
      </c>
      <c r="Y20" s="27" t="n">
        <v>0.1578209044900891</v>
      </c>
      <c r="Z20" s="27" t="n">
        <v>0.1990494669345354</v>
      </c>
      <c r="AA20" s="27" t="n">
        <v>0.3311233941970504</v>
      </c>
      <c r="AB20" s="27" t="n">
        <v>0.1045148761048387</v>
      </c>
      <c r="AC20" s="27" t="n">
        <v>0.1288603759063424</v>
      </c>
      <c r="AD20" s="27" t="n">
        <v>1.039270600494427</v>
      </c>
      <c r="AE20" s="27" t="n">
        <v>0.2065957672075202</v>
      </c>
      <c r="AF20" s="27" t="n">
        <v>0.2834118428805882</v>
      </c>
      <c r="AG20" s="27" t="n">
        <v>0.3798751093942517</v>
      </c>
      <c r="AH20" s="27" t="n">
        <v>0.1284001177434159</v>
      </c>
      <c r="AI20" s="27" t="n">
        <v>0.05152329761331641</v>
      </c>
      <c r="AJ20" s="27" t="n">
        <v>0.06185147977080475</v>
      </c>
      <c r="AK20" s="27" t="n">
        <v>0.4394023324138825</v>
      </c>
      <c r="AL20" s="27" t="n">
        <v>0.8522360551449402</v>
      </c>
      <c r="AM20" s="27" t="n">
        <v>2.214655466669449</v>
      </c>
      <c r="AN20" s="27" t="n">
        <v>1.042220255275362</v>
      </c>
      <c r="AO20" s="27" t="n">
        <v>1.424578324477859</v>
      </c>
      <c r="AP20" s="27" t="n">
        <v>1.258522320489035</v>
      </c>
      <c r="AQ20" s="27" t="n">
        <v>0.1082112865575575</v>
      </c>
      <c r="AR20" s="27" t="n">
        <v>0.01178946407016462</v>
      </c>
      <c r="AS20" s="27" t="n">
        <v>0.1494008518016751</v>
      </c>
      <c r="AT20" s="27" t="n">
        <v>1.450608931262696</v>
      </c>
      <c r="AU20" s="27" t="n">
        <v>0.3082380126780123</v>
      </c>
      <c r="AV20" s="27" t="n">
        <v>0.125314665073185</v>
      </c>
      <c r="AW20" s="27" t="n">
        <v>0.6048642245537451</v>
      </c>
      <c r="AX20" s="27" t="n">
        <v>0</v>
      </c>
      <c r="AY20" s="27" t="n">
        <v>0.2317166760956951</v>
      </c>
      <c r="AZ20" s="27" t="n">
        <v>0.2800501948777374</v>
      </c>
      <c r="BA20" s="27" t="n">
        <v>1.125071602214942</v>
      </c>
      <c r="BB20" s="27">
        <f>SUM(C20:BA20)</f>
        <v/>
      </c>
      <c r="BC20" s="27" t="n">
        <v>0</v>
      </c>
      <c r="BD20" s="27" t="n">
        <v>0</v>
      </c>
      <c r="BE20" s="27" t="n">
        <v>4367.639654090223</v>
      </c>
      <c r="BF20" s="27" t="n">
        <v>0</v>
      </c>
      <c r="BG20" s="27">
        <f>SUM(BC20:BF20)</f>
        <v/>
      </c>
      <c r="BH20" s="27">
        <f>BB20+BG20</f>
        <v/>
      </c>
    </row>
    <row r="21">
      <c r="A21" s="29" t="n">
        <v>8</v>
      </c>
      <c r="B21" s="30" t="inlineStr">
        <is>
          <t>Têxteis</t>
        </is>
      </c>
      <c r="C21" s="29" t="n">
        <v>215.2441891701893</v>
      </c>
      <c r="D21" s="29" t="n">
        <v>5.06039106130068</v>
      </c>
      <c r="E21" s="29" t="n">
        <v>36.45931762524933</v>
      </c>
      <c r="F21" s="29" t="n">
        <v>0.4628071096813338</v>
      </c>
      <c r="G21" s="29" t="n">
        <v>86.98157739192806</v>
      </c>
      <c r="H21" s="29" t="n">
        <v>145.5199419134277</v>
      </c>
      <c r="I21" s="29" t="n">
        <v>0.5829799780494742</v>
      </c>
      <c r="J21" s="29" t="n">
        <v>5928.203219362202</v>
      </c>
      <c r="K21" s="29" t="n">
        <v>6438.619163987489</v>
      </c>
      <c r="L21" s="29" t="n">
        <v>1677.501422130306</v>
      </c>
      <c r="M21" s="29" t="n">
        <v>5.328702129069551</v>
      </c>
      <c r="N21" s="29" t="n">
        <v>52.47148483959865</v>
      </c>
      <c r="O21" s="29" t="n">
        <v>2.349593879727299</v>
      </c>
      <c r="P21" s="29" t="n">
        <v>0.9968696199650953</v>
      </c>
      <c r="Q21" s="29" t="n">
        <v>0.3552185335120173</v>
      </c>
      <c r="R21" s="29" t="n">
        <v>4.477207416490135</v>
      </c>
      <c r="S21" s="29" t="n">
        <v>16.71730080284183</v>
      </c>
      <c r="T21" s="29" t="n">
        <v>40.20125457587806</v>
      </c>
      <c r="U21" s="29" t="n">
        <v>2.212234181881417</v>
      </c>
      <c r="V21" s="29" t="n">
        <v>9.213173828245449</v>
      </c>
      <c r="W21" s="29" t="n">
        <v>6.45904986776215</v>
      </c>
      <c r="X21" s="29" t="n">
        <v>19.84612743781312</v>
      </c>
      <c r="Y21" s="29" t="n">
        <v>341.6994441096181</v>
      </c>
      <c r="Z21" s="29" t="n">
        <v>20.85124839068019</v>
      </c>
      <c r="AA21" s="29" t="n">
        <v>1.904626682567507</v>
      </c>
      <c r="AB21" s="29" t="n">
        <v>1.790514714707105</v>
      </c>
      <c r="AC21" s="29" t="n">
        <v>24.6441024677141</v>
      </c>
      <c r="AD21" s="29" t="n">
        <v>8.73800244192552</v>
      </c>
      <c r="AE21" s="29" t="n">
        <v>26.97438270662921</v>
      </c>
      <c r="AF21" s="29" t="n">
        <v>14.76316647667971</v>
      </c>
      <c r="AG21" s="29" t="n">
        <v>45.85445338925088</v>
      </c>
      <c r="AH21" s="29" t="n">
        <v>652.0339740330124</v>
      </c>
      <c r="AI21" s="29" t="n">
        <v>26.18046268565936</v>
      </c>
      <c r="AJ21" s="29" t="n">
        <v>608.9263772990452</v>
      </c>
      <c r="AK21" s="29" t="n">
        <v>13.35158909771912</v>
      </c>
      <c r="AL21" s="29" t="n">
        <v>274.8824748788538</v>
      </c>
      <c r="AM21" s="29" t="n">
        <v>103.909986688004</v>
      </c>
      <c r="AN21" s="29" t="n">
        <v>41.23879797157994</v>
      </c>
      <c r="AO21" s="29" t="n">
        <v>13.98987938306791</v>
      </c>
      <c r="AP21" s="29" t="n">
        <v>12.65900098581592</v>
      </c>
      <c r="AQ21" s="29" t="n">
        <v>3.663946720464495</v>
      </c>
      <c r="AR21" s="29" t="n">
        <v>12.14648107981025</v>
      </c>
      <c r="AS21" s="29" t="n">
        <v>161.9472655308389</v>
      </c>
      <c r="AT21" s="29" t="n">
        <v>25.94563613122108</v>
      </c>
      <c r="AU21" s="29" t="n">
        <v>6.925428941118651</v>
      </c>
      <c r="AV21" s="29" t="n">
        <v>9.879077057293701</v>
      </c>
      <c r="AW21" s="29" t="n">
        <v>254.7600080814277</v>
      </c>
      <c r="AX21" s="29" t="n">
        <v>0</v>
      </c>
      <c r="AY21" s="29" t="n">
        <v>24.32471707867281</v>
      </c>
      <c r="AZ21" s="29" t="n">
        <v>13.14102918822613</v>
      </c>
      <c r="BA21" s="29" t="n">
        <v>26.83281067601782</v>
      </c>
      <c r="BB21" s="29">
        <f>SUM(C21:BA21)</f>
        <v/>
      </c>
      <c r="BC21" s="29" t="n">
        <v>0</v>
      </c>
      <c r="BD21" s="29" t="n">
        <v>0</v>
      </c>
      <c r="BE21" s="29" t="n">
        <v>8735.264370336843</v>
      </c>
      <c r="BF21" s="29" t="n">
        <v>0</v>
      </c>
      <c r="BG21" s="29">
        <f>SUM(BC21:BF21)</f>
        <v/>
      </c>
      <c r="BH21" s="29">
        <f>BB21+BG21</f>
        <v/>
      </c>
    </row>
    <row r="22">
      <c r="A22" s="27" t="n">
        <v>9</v>
      </c>
      <c r="B22" s="28" t="inlineStr">
        <is>
          <t>Artigos do vestuário e acessórios</t>
        </is>
      </c>
      <c r="C22" s="27" t="n">
        <v>7.951025547471314</v>
      </c>
      <c r="D22" s="27" t="n">
        <v>0.5215997251610041</v>
      </c>
      <c r="E22" s="27" t="n">
        <v>28.00860662029732</v>
      </c>
      <c r="F22" s="27" t="n">
        <v>1.340114276277724</v>
      </c>
      <c r="G22" s="27" t="n">
        <v>3.770100107899358</v>
      </c>
      <c r="H22" s="27" t="n">
        <v>11.58149285390481</v>
      </c>
      <c r="I22" s="27" t="n">
        <v>0.2570541923799538</v>
      </c>
      <c r="J22" s="27" t="n">
        <v>72.93738201270713</v>
      </c>
      <c r="K22" s="27" t="n">
        <v>880.7145490221685</v>
      </c>
      <c r="L22" s="27" t="n">
        <v>30.55292218292566</v>
      </c>
      <c r="M22" s="27" t="n">
        <v>0.3273758430003069</v>
      </c>
      <c r="N22" s="27" t="n">
        <v>1.747405979071584</v>
      </c>
      <c r="O22" s="27" t="n">
        <v>0.4744971651120722</v>
      </c>
      <c r="P22" s="27" t="n">
        <v>0.8356161348252069</v>
      </c>
      <c r="Q22" s="27" t="n">
        <v>0.1941643249359676</v>
      </c>
      <c r="R22" s="27" t="n">
        <v>1.138845156239879</v>
      </c>
      <c r="S22" s="27" t="n">
        <v>0.7211813385866581</v>
      </c>
      <c r="T22" s="27" t="n">
        <v>1.358240928060285</v>
      </c>
      <c r="U22" s="27" t="n">
        <v>1.87783752313452</v>
      </c>
      <c r="V22" s="27" t="n">
        <v>0.6248656876991058</v>
      </c>
      <c r="W22" s="27" t="n">
        <v>0.6536264971540783</v>
      </c>
      <c r="X22" s="27" t="n">
        <v>0.6517109891987453</v>
      </c>
      <c r="Y22" s="27" t="n">
        <v>4.873070997776974</v>
      </c>
      <c r="Z22" s="27" t="n">
        <v>7.012637235711754</v>
      </c>
      <c r="AA22" s="27" t="n">
        <v>4.994090503586198</v>
      </c>
      <c r="AB22" s="27" t="n">
        <v>0.7167947231039512</v>
      </c>
      <c r="AC22" s="27" t="n">
        <v>21.10622497200853</v>
      </c>
      <c r="AD22" s="27" t="n">
        <v>11.62544768543337</v>
      </c>
      <c r="AE22" s="27" t="n">
        <v>1.655066167117197</v>
      </c>
      <c r="AF22" s="27" t="n">
        <v>1.692697643318755</v>
      </c>
      <c r="AG22" s="27" t="n">
        <v>2.178493415876428</v>
      </c>
      <c r="AH22" s="27" t="n">
        <v>12.54918106756722</v>
      </c>
      <c r="AI22" s="27" t="n">
        <v>1.133042334173315</v>
      </c>
      <c r="AJ22" s="27" t="n">
        <v>13.33459812512045</v>
      </c>
      <c r="AK22" s="27" t="n">
        <v>67.88304091643914</v>
      </c>
      <c r="AL22" s="27" t="n">
        <v>27.16730097576991</v>
      </c>
      <c r="AM22" s="27" t="n">
        <v>105.3655434197076</v>
      </c>
      <c r="AN22" s="27" t="n">
        <v>179.8429313719332</v>
      </c>
      <c r="AO22" s="27" t="n">
        <v>64.9230840809592</v>
      </c>
      <c r="AP22" s="27" t="n">
        <v>198.0438839728103</v>
      </c>
      <c r="AQ22" s="27" t="n">
        <v>11.72446935202486</v>
      </c>
      <c r="AR22" s="27" t="n">
        <v>0.3461846755908088</v>
      </c>
      <c r="AS22" s="27" t="n">
        <v>80.80324603568084</v>
      </c>
      <c r="AT22" s="27" t="n">
        <v>134.1435756130873</v>
      </c>
      <c r="AU22" s="27" t="n">
        <v>1.863439454953637</v>
      </c>
      <c r="AV22" s="27" t="n">
        <v>13.85998411091731</v>
      </c>
      <c r="AW22" s="27" t="n">
        <v>475.9084995893426</v>
      </c>
      <c r="AX22" s="27" t="n">
        <v>0</v>
      </c>
      <c r="AY22" s="27" t="n">
        <v>235.8945922814333</v>
      </c>
      <c r="AZ22" s="27" t="n">
        <v>22.94268320730672</v>
      </c>
      <c r="BA22" s="27" t="n">
        <v>205.1365167908234</v>
      </c>
      <c r="BB22" s="27">
        <f>SUM(C22:BA22)</f>
        <v/>
      </c>
      <c r="BC22" s="27" t="n">
        <v>0</v>
      </c>
      <c r="BD22" s="27" t="n">
        <v>0</v>
      </c>
      <c r="BE22" s="27" t="n">
        <v>19232.97642146747</v>
      </c>
      <c r="BF22" s="27" t="n">
        <v>0</v>
      </c>
      <c r="BG22" s="27">
        <f>SUM(BC22:BF22)</f>
        <v/>
      </c>
      <c r="BH22" s="27">
        <f>BB22+BG22</f>
        <v/>
      </c>
    </row>
    <row r="23">
      <c r="A23" s="29" t="n">
        <v>10</v>
      </c>
      <c r="B23" s="30" t="inlineStr">
        <is>
          <t>Artefatos de couro e calçados</t>
        </is>
      </c>
      <c r="C23" s="29" t="n">
        <v>0.748554584120034</v>
      </c>
      <c r="D23" s="29" t="n">
        <v>1.258709086129936</v>
      </c>
      <c r="E23" s="29" t="n">
        <v>4.123514221473079</v>
      </c>
      <c r="F23" s="29" t="n">
        <v>1.081315366204143</v>
      </c>
      <c r="G23" s="29" t="n">
        <v>4.804334842989365</v>
      </c>
      <c r="H23" s="29" t="n">
        <v>16.14889173276611</v>
      </c>
      <c r="I23" s="29" t="n">
        <v>0.3310614328600899</v>
      </c>
      <c r="J23" s="29" t="n">
        <v>0.708885814329602</v>
      </c>
      <c r="K23" s="29" t="n">
        <v>6.381475223969451</v>
      </c>
      <c r="L23" s="29" t="n">
        <v>3372.727561369807</v>
      </c>
      <c r="M23" s="29" t="n">
        <v>0.8973253961667403</v>
      </c>
      <c r="N23" s="29" t="n">
        <v>42.38092292990713</v>
      </c>
      <c r="O23" s="29" t="n">
        <v>0.7378237983289704</v>
      </c>
      <c r="P23" s="29" t="n">
        <v>1.35705014023078</v>
      </c>
      <c r="Q23" s="29" t="n">
        <v>0.4526697762558652</v>
      </c>
      <c r="R23" s="29" t="n">
        <v>1.53389086619513</v>
      </c>
      <c r="S23" s="29" t="n">
        <v>1.081066256568204</v>
      </c>
      <c r="T23" s="29" t="n">
        <v>2.474997871640688</v>
      </c>
      <c r="U23" s="29" t="n">
        <v>1.285763672646807</v>
      </c>
      <c r="V23" s="29" t="n">
        <v>2.606403209761353</v>
      </c>
      <c r="W23" s="29" t="n">
        <v>1.625563347031687</v>
      </c>
      <c r="X23" s="29" t="n">
        <v>4.462788910272277</v>
      </c>
      <c r="Y23" s="29" t="n">
        <v>3.641059278028882</v>
      </c>
      <c r="Z23" s="29" t="n">
        <v>1.644213396110442</v>
      </c>
      <c r="AA23" s="29" t="n">
        <v>2.149072255254148</v>
      </c>
      <c r="AB23" s="29" t="n">
        <v>0.4502342894561797</v>
      </c>
      <c r="AC23" s="29" t="n">
        <v>11.01502107959569</v>
      </c>
      <c r="AD23" s="29" t="n">
        <v>4.746020758966249</v>
      </c>
      <c r="AE23" s="29" t="n">
        <v>1.122902472778979</v>
      </c>
      <c r="AF23" s="29" t="n">
        <v>19.18282111385651</v>
      </c>
      <c r="AG23" s="29" t="n">
        <v>5.117717359503827</v>
      </c>
      <c r="AH23" s="29" t="n">
        <v>4.371729054534775</v>
      </c>
      <c r="AI23" s="29" t="n">
        <v>0.442857821810964</v>
      </c>
      <c r="AJ23" s="29" t="n">
        <v>4.421826051939832</v>
      </c>
      <c r="AK23" s="29" t="n">
        <v>30.83854989978554</v>
      </c>
      <c r="AL23" s="29" t="n">
        <v>15.92121765383746</v>
      </c>
      <c r="AM23" s="29" t="n">
        <v>14.15725527559764</v>
      </c>
      <c r="AN23" s="29" t="n">
        <v>8.794676629844421</v>
      </c>
      <c r="AO23" s="29" t="n">
        <v>17.00688858615942</v>
      </c>
      <c r="AP23" s="29" t="n">
        <v>6.866282888634258</v>
      </c>
      <c r="AQ23" s="29" t="n">
        <v>0.7692283645685576</v>
      </c>
      <c r="AR23" s="29" t="n">
        <v>0.0759169941475297</v>
      </c>
      <c r="AS23" s="29" t="n">
        <v>4.846341250101789</v>
      </c>
      <c r="AT23" s="29" t="n">
        <v>23.62683805486951</v>
      </c>
      <c r="AU23" s="29" t="n">
        <v>1.582397108770486</v>
      </c>
      <c r="AV23" s="29" t="n">
        <v>0.8722583498012739</v>
      </c>
      <c r="AW23" s="29" t="n">
        <v>7.037087473637436</v>
      </c>
      <c r="AX23" s="29" t="n">
        <v>0</v>
      </c>
      <c r="AY23" s="29" t="n">
        <v>3.792739814335432</v>
      </c>
      <c r="AZ23" s="29" t="n">
        <v>2.805674145417895</v>
      </c>
      <c r="BA23" s="29" t="n">
        <v>15.81063968183255</v>
      </c>
      <c r="BB23" s="29">
        <f>SUM(C23:BA23)</f>
        <v/>
      </c>
      <c r="BC23" s="29" t="n">
        <v>0</v>
      </c>
      <c r="BD23" s="29" t="n">
        <v>0</v>
      </c>
      <c r="BE23" s="29" t="n">
        <v>12899.37571651701</v>
      </c>
      <c r="BF23" s="29" t="n">
        <v>0</v>
      </c>
      <c r="BG23" s="29">
        <f>SUM(BC23:BF23)</f>
        <v/>
      </c>
      <c r="BH23" s="29">
        <f>BB23+BG23</f>
        <v/>
      </c>
    </row>
    <row r="24">
      <c r="A24" s="28" t="inlineStr">
        <is>
          <t>Produtos de madeira</t>
        </is>
      </c>
      <c r="B24" s="28" t="inlineStr">
        <is>
          <t>exclusive móveis</t>
        </is>
      </c>
      <c r="C24" s="27" t="n">
        <v>114.5454989304589</v>
      </c>
      <c r="D24" s="27" t="n">
        <v>85.5101803673498</v>
      </c>
      <c r="E24" s="27" t="n">
        <v>2.014959563319091</v>
      </c>
      <c r="F24" s="27" t="n">
        <v>0.6019194307651435</v>
      </c>
      <c r="G24" s="27" t="n">
        <v>2.429694454580137</v>
      </c>
      <c r="H24" s="27" t="n">
        <v>144.1175876746715</v>
      </c>
      <c r="I24" s="27" t="n">
        <v>0.2540377899240635</v>
      </c>
      <c r="J24" s="27" t="n">
        <v>13.06485259154091</v>
      </c>
      <c r="K24" s="27" t="n">
        <v>2.90157734670376</v>
      </c>
      <c r="L24" s="27" t="n">
        <v>1.186007555224596</v>
      </c>
      <c r="M24" s="27" t="n">
        <v>1695.90627619416</v>
      </c>
      <c r="N24" s="27" t="n">
        <v>136.2700397403948</v>
      </c>
      <c r="O24" s="27" t="n">
        <v>1.150779358840671</v>
      </c>
      <c r="P24" s="27" t="n">
        <v>0.5847085983977358</v>
      </c>
      <c r="Q24" s="27" t="n">
        <v>0.2216534267312671</v>
      </c>
      <c r="R24" s="27" t="n">
        <v>7.428326636454449</v>
      </c>
      <c r="S24" s="27" t="n">
        <v>0.3756667917740117</v>
      </c>
      <c r="T24" s="27" t="n">
        <v>0.894496637033308</v>
      </c>
      <c r="U24" s="27" t="n">
        <v>3.313150985935981</v>
      </c>
      <c r="V24" s="27" t="n">
        <v>1.417868815361736</v>
      </c>
      <c r="W24" s="27" t="n">
        <v>1.120748563703543</v>
      </c>
      <c r="X24" s="27" t="n">
        <v>11.00731982569936</v>
      </c>
      <c r="Y24" s="27" t="n">
        <v>7.805011653062106</v>
      </c>
      <c r="Z24" s="27" t="n">
        <v>13.34411426793104</v>
      </c>
      <c r="AA24" s="27" t="n">
        <v>9.29075133942489</v>
      </c>
      <c r="AB24" s="27" t="n">
        <v>2.396028562112688</v>
      </c>
      <c r="AC24" s="27" t="n">
        <v>76.22886171178754</v>
      </c>
      <c r="AD24" s="27" t="n">
        <v>105.4985524458669</v>
      </c>
      <c r="AE24" s="27" t="n">
        <v>4.661123153625462</v>
      </c>
      <c r="AF24" s="27" t="n">
        <v>2.167998728009793</v>
      </c>
      <c r="AG24" s="27" t="n">
        <v>58.03843851442848</v>
      </c>
      <c r="AH24" s="27" t="n">
        <v>27.27314398173208</v>
      </c>
      <c r="AI24" s="27" t="n">
        <v>40.27058095229437</v>
      </c>
      <c r="AJ24" s="27" t="n">
        <v>2122.320096189678</v>
      </c>
      <c r="AK24" s="27" t="n">
        <v>107.9665674262917</v>
      </c>
      <c r="AL24" s="27" t="n">
        <v>1793.312087301447</v>
      </c>
      <c r="AM24" s="27" t="n">
        <v>512.0586541534732</v>
      </c>
      <c r="AN24" s="27" t="n">
        <v>26.76891820694011</v>
      </c>
      <c r="AO24" s="27" t="n">
        <v>66.07855818095976</v>
      </c>
      <c r="AP24" s="27" t="n">
        <v>7.911085878390151</v>
      </c>
      <c r="AQ24" s="27" t="n">
        <v>109.0210378578774</v>
      </c>
      <c r="AR24" s="27" t="n">
        <v>0.9179894294204546</v>
      </c>
      <c r="AS24" s="27" t="n">
        <v>6.733256323221224</v>
      </c>
      <c r="AT24" s="27" t="n">
        <v>13.9795928532672</v>
      </c>
      <c r="AU24" s="27" t="n">
        <v>5.499431436259733</v>
      </c>
      <c r="AV24" s="27" t="n">
        <v>2.790409890935516</v>
      </c>
      <c r="AW24" s="27" t="n">
        <v>106.6915914571537</v>
      </c>
      <c r="AX24" s="27" t="n">
        <v>0</v>
      </c>
      <c r="AY24" s="27" t="n">
        <v>16.57145965695115</v>
      </c>
      <c r="AZ24" s="27" t="n">
        <v>2.220000370826403</v>
      </c>
      <c r="BA24" s="27" t="n">
        <v>23.73941755947363</v>
      </c>
      <c r="BB24" s="27">
        <f>SUM(C24:BA24)</f>
        <v/>
      </c>
      <c r="BC24" s="27" t="n">
        <v>0</v>
      </c>
      <c r="BD24" s="27" t="n">
        <v>0</v>
      </c>
      <c r="BE24" s="27" t="n">
        <v>3318.586677685692</v>
      </c>
      <c r="BF24" s="27" t="n">
        <v>0</v>
      </c>
      <c r="BG24" s="27">
        <f>SUM(BC24:BF24)</f>
        <v/>
      </c>
      <c r="BH24" s="27">
        <f>BB24+BG24</f>
        <v/>
      </c>
    </row>
    <row r="25">
      <c r="A25" s="29" t="n">
        <v>12</v>
      </c>
      <c r="B25" s="30" t="inlineStr">
        <is>
          <t>Celulose e produtos de papel</t>
        </is>
      </c>
      <c r="C25" s="29" t="n">
        <v>124.6846105006696</v>
      </c>
      <c r="D25" s="29" t="n">
        <v>51.01160070597457</v>
      </c>
      <c r="E25" s="29" t="n">
        <v>26.71000627207161</v>
      </c>
      <c r="F25" s="29" t="n">
        <v>27.07890957610715</v>
      </c>
      <c r="G25" s="29" t="n">
        <v>14.52964751898539</v>
      </c>
      <c r="H25" s="29" t="n">
        <v>2113.568638088998</v>
      </c>
      <c r="I25" s="29" t="n">
        <v>391.4218822254132</v>
      </c>
      <c r="J25" s="29" t="n">
        <v>349.5513752460042</v>
      </c>
      <c r="K25" s="29" t="n">
        <v>287.9175490591447</v>
      </c>
      <c r="L25" s="29" t="n">
        <v>342.7631166136804</v>
      </c>
      <c r="M25" s="29" t="n">
        <v>299.051810624253</v>
      </c>
      <c r="N25" s="29" t="n">
        <v>4745.2618203882</v>
      </c>
      <c r="O25" s="29" t="n">
        <v>639.5388140079634</v>
      </c>
      <c r="P25" s="29" t="n">
        <v>51.46787778503936</v>
      </c>
      <c r="Q25" s="29" t="n">
        <v>11.38279993776863</v>
      </c>
      <c r="R25" s="29" t="n">
        <v>39.9725444238645</v>
      </c>
      <c r="S25" s="29" t="n">
        <v>11.04303091764809</v>
      </c>
      <c r="T25" s="29" t="n">
        <v>270.4883320557059</v>
      </c>
      <c r="U25" s="29" t="n">
        <v>39.50291226799075</v>
      </c>
      <c r="V25" s="29" t="n">
        <v>524.5663789220118</v>
      </c>
      <c r="W25" s="29" t="n">
        <v>6.870769188872456</v>
      </c>
      <c r="X25" s="29" t="n">
        <v>27.83530801078071</v>
      </c>
      <c r="Y25" s="29" t="n">
        <v>741.703684775426</v>
      </c>
      <c r="Z25" s="29" t="n">
        <v>605.1879071704295</v>
      </c>
      <c r="AA25" s="29" t="n">
        <v>28.47458787033941</v>
      </c>
      <c r="AB25" s="29" t="n">
        <v>8.523518009120657</v>
      </c>
      <c r="AC25" s="29" t="n">
        <v>414.1138314824021</v>
      </c>
      <c r="AD25" s="29" t="n">
        <v>97.90882773829738</v>
      </c>
      <c r="AE25" s="29" t="n">
        <v>169.4853028783344</v>
      </c>
      <c r="AF25" s="29" t="n">
        <v>735.6192442384942</v>
      </c>
      <c r="AG25" s="29" t="n">
        <v>104.450388750774</v>
      </c>
      <c r="AH25" s="29" t="n">
        <v>280.9438700630736</v>
      </c>
      <c r="AI25" s="29" t="n">
        <v>18.05539132572201</v>
      </c>
      <c r="AJ25" s="29" t="n">
        <v>261.2966675072287</v>
      </c>
      <c r="AK25" s="29" t="n">
        <v>57.60945393894356</v>
      </c>
      <c r="AL25" s="29" t="n">
        <v>226.3046942574778</v>
      </c>
      <c r="AM25" s="29" t="n">
        <v>1702.10693709171</v>
      </c>
      <c r="AN25" s="29" t="n">
        <v>205.7266114475161</v>
      </c>
      <c r="AO25" s="29" t="n">
        <v>957.5534610415829</v>
      </c>
      <c r="AP25" s="29" t="n">
        <v>466.6407190901583</v>
      </c>
      <c r="AQ25" s="29" t="n">
        <v>86.02153992932436</v>
      </c>
      <c r="AR25" s="29" t="n">
        <v>15.93710939285625</v>
      </c>
      <c r="AS25" s="29" t="n">
        <v>370.9323889681028</v>
      </c>
      <c r="AT25" s="29" t="n">
        <v>1395.133851225127</v>
      </c>
      <c r="AU25" s="29" t="n">
        <v>153.5449839579063</v>
      </c>
      <c r="AV25" s="29" t="n">
        <v>309.1733444966233</v>
      </c>
      <c r="AW25" s="29" t="n">
        <v>320.9600546253367</v>
      </c>
      <c r="AX25" s="29" t="n">
        <v>0</v>
      </c>
      <c r="AY25" s="29" t="n">
        <v>260.5214713866905</v>
      </c>
      <c r="AZ25" s="29" t="n">
        <v>48.57541558838203</v>
      </c>
      <c r="BA25" s="29" t="n">
        <v>321.213620874366</v>
      </c>
      <c r="BB25" s="29">
        <f>SUM(C25:BA25)</f>
        <v/>
      </c>
      <c r="BC25" s="29" t="n">
        <v>0</v>
      </c>
      <c r="BD25" s="29" t="n">
        <v>0</v>
      </c>
      <c r="BE25" s="29" t="n">
        <v>6264.41378188955</v>
      </c>
      <c r="BF25" s="29" t="n">
        <v>0</v>
      </c>
      <c r="BG25" s="29">
        <f>SUM(BC25:BF25)</f>
        <v/>
      </c>
      <c r="BH25" s="29">
        <f>BB25+BG25</f>
        <v/>
      </c>
    </row>
    <row r="26">
      <c r="A26" s="27" t="n">
        <v>13</v>
      </c>
      <c r="B26" s="28" t="inlineStr">
        <is>
          <t>Jornais revistas discos</t>
        </is>
      </c>
      <c r="C26" s="27" t="n">
        <v>3.339700955201345</v>
      </c>
      <c r="D26" s="27" t="n">
        <v>1.075367435287554</v>
      </c>
      <c r="E26" s="27" t="n">
        <v>2.996541486838813</v>
      </c>
      <c r="F26" s="27" t="n">
        <v>4.40458963559023</v>
      </c>
      <c r="G26" s="27" t="n">
        <v>3.602757778821291</v>
      </c>
      <c r="H26" s="27" t="n">
        <v>198.9478152298976</v>
      </c>
      <c r="I26" s="27" t="n">
        <v>4.531441265636833</v>
      </c>
      <c r="J26" s="27" t="n">
        <v>12.52860085500569</v>
      </c>
      <c r="K26" s="27" t="n">
        <v>18.73084758930346</v>
      </c>
      <c r="L26" s="27" t="n">
        <v>10.27489408631962</v>
      </c>
      <c r="M26" s="27" t="n">
        <v>11.52935514202277</v>
      </c>
      <c r="N26" s="27" t="n">
        <v>88.96426993505668</v>
      </c>
      <c r="O26" s="27" t="n">
        <v>848.6091168248624</v>
      </c>
      <c r="P26" s="27" t="n">
        <v>2.949851583894124</v>
      </c>
      <c r="Q26" s="27" t="n">
        <v>2.175747970622558</v>
      </c>
      <c r="R26" s="27" t="n">
        <v>1.763697971787998</v>
      </c>
      <c r="S26" s="27" t="n">
        <v>0.5886178374706202</v>
      </c>
      <c r="T26" s="27" t="n">
        <v>7.09444862090969</v>
      </c>
      <c r="U26" s="27" t="n">
        <v>5.970623565110701</v>
      </c>
      <c r="V26" s="27" t="n">
        <v>6.488936619601283</v>
      </c>
      <c r="W26" s="27" t="n">
        <v>1.610917139506114</v>
      </c>
      <c r="X26" s="27" t="n">
        <v>2.459250514981159</v>
      </c>
      <c r="Y26" s="27" t="n">
        <v>19.24560701061925</v>
      </c>
      <c r="Z26" s="27" t="n">
        <v>12.2731848299697</v>
      </c>
      <c r="AA26" s="27" t="n">
        <v>10.64292284141414</v>
      </c>
      <c r="AB26" s="27" t="n">
        <v>1.084925958004175</v>
      </c>
      <c r="AC26" s="27" t="n">
        <v>14.11549153413065</v>
      </c>
      <c r="AD26" s="27" t="n">
        <v>12.47377895042026</v>
      </c>
      <c r="AE26" s="27" t="n">
        <v>7.539294157533917</v>
      </c>
      <c r="AF26" s="27" t="n">
        <v>93.97972840237622</v>
      </c>
      <c r="AG26" s="27" t="n">
        <v>11.11196088182572</v>
      </c>
      <c r="AH26" s="27" t="n">
        <v>13.72823515753715</v>
      </c>
      <c r="AI26" s="27" t="n">
        <v>1.930404748343799</v>
      </c>
      <c r="AJ26" s="27" t="n">
        <v>25.95029416986475</v>
      </c>
      <c r="AK26" s="27" t="n">
        <v>13.70703143944895</v>
      </c>
      <c r="AL26" s="27" t="n">
        <v>25.00289958387445</v>
      </c>
      <c r="AM26" s="27" t="n">
        <v>2204.004023208609</v>
      </c>
      <c r="AN26" s="27" t="n">
        <v>73.10635633068044</v>
      </c>
      <c r="AO26" s="27" t="n">
        <v>2336.511632559995</v>
      </c>
      <c r="AP26" s="27" t="n">
        <v>668.3859255499008</v>
      </c>
      <c r="AQ26" s="27" t="n">
        <v>115.280661442668</v>
      </c>
      <c r="AR26" s="27" t="n">
        <v>0.7500818398447475</v>
      </c>
      <c r="AS26" s="27" t="n">
        <v>29.4833129962516</v>
      </c>
      <c r="AT26" s="27" t="n">
        <v>2166.673930759719</v>
      </c>
      <c r="AU26" s="27" t="n">
        <v>13.88760728996284</v>
      </c>
      <c r="AV26" s="27" t="n">
        <v>14.56899978459189</v>
      </c>
      <c r="AW26" s="27" t="n">
        <v>467.0315564317042</v>
      </c>
      <c r="AX26" s="27" t="n">
        <v>0</v>
      </c>
      <c r="AY26" s="27" t="n">
        <v>50.3357135650523</v>
      </c>
      <c r="AZ26" s="27" t="n">
        <v>22.10755931485498</v>
      </c>
      <c r="BA26" s="27" t="n">
        <v>386.8149725488353</v>
      </c>
      <c r="BB26" s="27">
        <f>SUM(C26:BA26)</f>
        <v/>
      </c>
      <c r="BC26" s="27" t="n">
        <v>0</v>
      </c>
      <c r="BD26" s="27" t="n">
        <v>0</v>
      </c>
      <c r="BE26" s="27" t="n">
        <v>780.1768409935599</v>
      </c>
      <c r="BF26" s="27" t="n">
        <v>0</v>
      </c>
      <c r="BG26" s="27">
        <f>SUM(BC26:BF26)</f>
        <v/>
      </c>
      <c r="BH26" s="27">
        <f>BB26+BG26</f>
        <v/>
      </c>
    </row>
    <row r="27">
      <c r="A27" s="29" t="n">
        <v>14</v>
      </c>
      <c r="B27" s="30" t="inlineStr">
        <is>
          <t>Refino de petróleo e coque</t>
        </is>
      </c>
      <c r="C27" s="29" t="n">
        <v>2264.156071491906</v>
      </c>
      <c r="D27" s="29" t="n">
        <v>1090.162910034832</v>
      </c>
      <c r="E27" s="29" t="n">
        <v>358.9525824730566</v>
      </c>
      <c r="F27" s="29" t="n">
        <v>469.9343358089596</v>
      </c>
      <c r="G27" s="29" t="n">
        <v>530.340987217128</v>
      </c>
      <c r="H27" s="29" t="n">
        <v>2012.580241623467</v>
      </c>
      <c r="I27" s="29" t="n">
        <v>8.68015260575304</v>
      </c>
      <c r="J27" s="29" t="n">
        <v>107.9664073976711</v>
      </c>
      <c r="K27" s="29" t="n">
        <v>42.61998275055985</v>
      </c>
      <c r="L27" s="29" t="n">
        <v>84.01053020052932</v>
      </c>
      <c r="M27" s="29" t="n">
        <v>63.62784187274896</v>
      </c>
      <c r="N27" s="29" t="n">
        <v>346.995300158535</v>
      </c>
      <c r="O27" s="29" t="n">
        <v>10.25518884175447</v>
      </c>
      <c r="P27" s="29" t="n">
        <v>32915.2531188387</v>
      </c>
      <c r="Q27" s="29" t="n">
        <v>135.7307405394391</v>
      </c>
      <c r="R27" s="29" t="n">
        <v>3383.274913479361</v>
      </c>
      <c r="S27" s="29" t="n">
        <v>121.2387761008686</v>
      </c>
      <c r="T27" s="29" t="n">
        <v>44.16292090227199</v>
      </c>
      <c r="U27" s="29" t="n">
        <v>61.7050170524296</v>
      </c>
      <c r="V27" s="29" t="n">
        <v>128.4001320697879</v>
      </c>
      <c r="W27" s="29" t="n">
        <v>122.0343298070688</v>
      </c>
      <c r="X27" s="29" t="n">
        <v>150.1489924250885</v>
      </c>
      <c r="Y27" s="29" t="n">
        <v>490.7061896406923</v>
      </c>
      <c r="Z27" s="29" t="n">
        <v>905.0906501929021</v>
      </c>
      <c r="AA27" s="29" t="n">
        <v>869.4246421891374</v>
      </c>
      <c r="AB27" s="29" t="n">
        <v>519.1944773298889</v>
      </c>
      <c r="AC27" s="29" t="n">
        <v>110.2331173530293</v>
      </c>
      <c r="AD27" s="29" t="n">
        <v>194.1938751273768</v>
      </c>
      <c r="AE27" s="29" t="n">
        <v>211.5163853692334</v>
      </c>
      <c r="AF27" s="29" t="n">
        <v>68.78769221499573</v>
      </c>
      <c r="AG27" s="29" t="n">
        <v>213.6628122494824</v>
      </c>
      <c r="AH27" s="29" t="n">
        <v>113.4752053506953</v>
      </c>
      <c r="AI27" s="29" t="n">
        <v>24.11426090514867</v>
      </c>
      <c r="AJ27" s="29" t="n">
        <v>72.88501251344711</v>
      </c>
      <c r="AK27" s="29" t="n">
        <v>1592.371313883698</v>
      </c>
      <c r="AL27" s="29" t="n">
        <v>2416.500322609658</v>
      </c>
      <c r="AM27" s="29" t="n">
        <v>2682.12922185679</v>
      </c>
      <c r="AN27" s="29" t="n">
        <v>21043.16162740108</v>
      </c>
      <c r="AO27" s="29" t="n">
        <v>77.60127095526749</v>
      </c>
      <c r="AP27" s="29" t="n">
        <v>112.6956292914259</v>
      </c>
      <c r="AQ27" s="29" t="n">
        <v>19.5477825658677</v>
      </c>
      <c r="AR27" s="29" t="n">
        <v>21.79526668654866</v>
      </c>
      <c r="AS27" s="29" t="n">
        <v>264.8653027358798</v>
      </c>
      <c r="AT27" s="29" t="n">
        <v>450.0462797188987</v>
      </c>
      <c r="AU27" s="29" t="n">
        <v>31.16192878414396</v>
      </c>
      <c r="AV27" s="29" t="n">
        <v>70.52725594972239</v>
      </c>
      <c r="AW27" s="29" t="n">
        <v>243.4460082967794</v>
      </c>
      <c r="AX27" s="29" t="n">
        <v>0</v>
      </c>
      <c r="AY27" s="29" t="n">
        <v>93.77981984720981</v>
      </c>
      <c r="AZ27" s="29" t="n">
        <v>29.32771731986776</v>
      </c>
      <c r="BA27" s="29" t="n">
        <v>700.5525789470339</v>
      </c>
      <c r="BB27" s="29">
        <f>SUM(C27:BA27)</f>
        <v/>
      </c>
      <c r="BC27" s="29" t="n">
        <v>0</v>
      </c>
      <c r="BD27" s="29" t="n">
        <v>0</v>
      </c>
      <c r="BE27" s="29" t="n">
        <v>24100.43712391715</v>
      </c>
      <c r="BF27" s="29" t="n">
        <v>0</v>
      </c>
      <c r="BG27" s="29">
        <f>SUM(BC27:BF27)</f>
        <v/>
      </c>
      <c r="BH27" s="29">
        <f>BB27+BG27</f>
        <v/>
      </c>
    </row>
    <row r="28">
      <c r="A28" s="27" t="n">
        <v>15</v>
      </c>
      <c r="B28" s="28" t="inlineStr">
        <is>
          <t>Álcool</t>
        </is>
      </c>
      <c r="C28" s="27" t="n">
        <v>40.75737953656867</v>
      </c>
      <c r="D28" s="27" t="n">
        <v>44.45133823103652</v>
      </c>
      <c r="E28" s="27" t="n">
        <v>126.9970654478633</v>
      </c>
      <c r="F28" s="27" t="n">
        <v>0.8366370712623292</v>
      </c>
      <c r="G28" s="27" t="n">
        <v>2.207364855846015</v>
      </c>
      <c r="H28" s="27" t="n">
        <v>590.9293590964244</v>
      </c>
      <c r="I28" s="27" t="n">
        <v>0.05732779881836654</v>
      </c>
      <c r="J28" s="27" t="n">
        <v>1.070653301992357</v>
      </c>
      <c r="K28" s="27" t="n">
        <v>0.4737661037206581</v>
      </c>
      <c r="L28" s="27" t="n">
        <v>0.2941327098131092</v>
      </c>
      <c r="M28" s="27" t="n">
        <v>0.5668350211213306</v>
      </c>
      <c r="N28" s="27" t="n">
        <v>1.727738672096197</v>
      </c>
      <c r="O28" s="27" t="n">
        <v>0.2264229526492572</v>
      </c>
      <c r="P28" s="27" t="n">
        <v>1611.629019799085</v>
      </c>
      <c r="Q28" s="27" t="n">
        <v>100.8432765876876</v>
      </c>
      <c r="R28" s="27" t="n">
        <v>120.0742087563381</v>
      </c>
      <c r="S28" s="27" t="n">
        <v>0.8865449523564296</v>
      </c>
      <c r="T28" s="27" t="n">
        <v>214.9895711685741</v>
      </c>
      <c r="U28" s="27" t="n">
        <v>46.72951938322113</v>
      </c>
      <c r="V28" s="27" t="n">
        <v>383.850173955502</v>
      </c>
      <c r="W28" s="27" t="n">
        <v>60.55922602055929</v>
      </c>
      <c r="X28" s="27" t="n">
        <v>40.77742136486747</v>
      </c>
      <c r="Y28" s="27" t="n">
        <v>1.23177809726179</v>
      </c>
      <c r="Z28" s="27" t="n">
        <v>2.10825480735081</v>
      </c>
      <c r="AA28" s="27" t="n">
        <v>4.381410930586647</v>
      </c>
      <c r="AB28" s="27" t="n">
        <v>2.134655792682684</v>
      </c>
      <c r="AC28" s="27" t="n">
        <v>12.11722910929048</v>
      </c>
      <c r="AD28" s="27" t="n">
        <v>4.280568865378001</v>
      </c>
      <c r="AE28" s="27" t="n">
        <v>1.524501909017602</v>
      </c>
      <c r="AF28" s="27" t="n">
        <v>0.2592784998515549</v>
      </c>
      <c r="AG28" s="27" t="n">
        <v>3.67989261678282</v>
      </c>
      <c r="AH28" s="27" t="n">
        <v>1.262876447948932</v>
      </c>
      <c r="AI28" s="27" t="n">
        <v>0.2006370610493116</v>
      </c>
      <c r="AJ28" s="27" t="n">
        <v>1.528326413513716</v>
      </c>
      <c r="AK28" s="27" t="n">
        <v>24.87937464885126</v>
      </c>
      <c r="AL28" s="27" t="n">
        <v>132.9999150061634</v>
      </c>
      <c r="AM28" s="27" t="n">
        <v>84.52438732475314</v>
      </c>
      <c r="AN28" s="27" t="n">
        <v>205.9727099555809</v>
      </c>
      <c r="AO28" s="27" t="n">
        <v>3.250842631235893</v>
      </c>
      <c r="AP28" s="27" t="n">
        <v>1.838360839447662</v>
      </c>
      <c r="AQ28" s="27" t="n">
        <v>0.614996681554842</v>
      </c>
      <c r="AR28" s="27" t="n">
        <v>11.67218207038222</v>
      </c>
      <c r="AS28" s="27" t="n">
        <v>37.04022938689026</v>
      </c>
      <c r="AT28" s="27" t="n">
        <v>46.45002536016683</v>
      </c>
      <c r="AU28" s="27" t="n">
        <v>1.871900849856817</v>
      </c>
      <c r="AV28" s="27" t="n">
        <v>17.94221083459074</v>
      </c>
      <c r="AW28" s="27" t="n">
        <v>27.71992605858319</v>
      </c>
      <c r="AX28" s="27" t="n">
        <v>0</v>
      </c>
      <c r="AY28" s="27" t="n">
        <v>17.0571800501506</v>
      </c>
      <c r="AZ28" s="27" t="n">
        <v>8.654545703126644</v>
      </c>
      <c r="BA28" s="27" t="n">
        <v>165.0957280805931</v>
      </c>
      <c r="BB28" s="27">
        <f>SUM(C28:BA28)</f>
        <v/>
      </c>
      <c r="BC28" s="27" t="n">
        <v>0</v>
      </c>
      <c r="BD28" s="27" t="n">
        <v>0</v>
      </c>
      <c r="BE28" s="27" t="n">
        <v>4167.319773053831</v>
      </c>
      <c r="BF28" s="27" t="n">
        <v>0</v>
      </c>
      <c r="BG28" s="27">
        <f>SUM(BC28:BF28)</f>
        <v/>
      </c>
      <c r="BH28" s="27">
        <f>BB28+BG28</f>
        <v/>
      </c>
    </row>
    <row r="29">
      <c r="A29" s="29" t="n">
        <v>16</v>
      </c>
      <c r="B29" s="30" t="inlineStr">
        <is>
          <t>Produtos  químicos</t>
        </is>
      </c>
      <c r="C29" s="29" t="n">
        <v>6397.030323825872</v>
      </c>
      <c r="D29" s="29" t="n">
        <v>979.222025232847</v>
      </c>
      <c r="E29" s="29" t="n">
        <v>762.9014587203492</v>
      </c>
      <c r="F29" s="29" t="n">
        <v>86.99242193829424</v>
      </c>
      <c r="G29" s="29" t="n">
        <v>170.983273688095</v>
      </c>
      <c r="H29" s="29" t="n">
        <v>708.6481152282529</v>
      </c>
      <c r="I29" s="29" t="n">
        <v>1.613990355748593</v>
      </c>
      <c r="J29" s="29" t="n">
        <v>854.8402754245687</v>
      </c>
      <c r="K29" s="29" t="n">
        <v>87.71219484557544</v>
      </c>
      <c r="L29" s="29" t="n">
        <v>491.4349465115379</v>
      </c>
      <c r="M29" s="29" t="n">
        <v>25.81394674141577</v>
      </c>
      <c r="N29" s="29" t="n">
        <v>1145.218213586293</v>
      </c>
      <c r="O29" s="29" t="n">
        <v>19.54880393886253</v>
      </c>
      <c r="P29" s="29" t="n">
        <v>703.7747184223932</v>
      </c>
      <c r="Q29" s="29" t="n">
        <v>155.8922116620534</v>
      </c>
      <c r="R29" s="29" t="n">
        <v>9259.397388021367</v>
      </c>
      <c r="S29" s="29" t="n">
        <v>5780.934711448179</v>
      </c>
      <c r="T29" s="29" t="n">
        <v>673.527368603285</v>
      </c>
      <c r="U29" s="29" t="n">
        <v>1733.79037459427</v>
      </c>
      <c r="V29" s="29" t="n">
        <v>1589.388095745323</v>
      </c>
      <c r="W29" s="29" t="n">
        <v>1430.810672355421</v>
      </c>
      <c r="X29" s="29" t="n">
        <v>1934.925719308592</v>
      </c>
      <c r="Y29" s="29" t="n">
        <v>1284.303854590533</v>
      </c>
      <c r="Z29" s="29" t="n">
        <v>557.4788081455879</v>
      </c>
      <c r="AA29" s="29" t="n">
        <v>624.8646441427103</v>
      </c>
      <c r="AB29" s="29" t="n">
        <v>402.8882171674243</v>
      </c>
      <c r="AC29" s="29" t="n">
        <v>291.2619368398814</v>
      </c>
      <c r="AD29" s="29" t="n">
        <v>97.2095281764322</v>
      </c>
      <c r="AE29" s="29" t="n">
        <v>150.4646388213767</v>
      </c>
      <c r="AF29" s="29" t="n">
        <v>68.77962276588012</v>
      </c>
      <c r="AG29" s="29" t="n">
        <v>19.35862785649169</v>
      </c>
      <c r="AH29" s="29" t="n">
        <v>27.2030580953781</v>
      </c>
      <c r="AI29" s="29" t="n">
        <v>40.20774613057552</v>
      </c>
      <c r="AJ29" s="29" t="n">
        <v>140.1145486199556</v>
      </c>
      <c r="AK29" s="29" t="n">
        <v>400.9822001747858</v>
      </c>
      <c r="AL29" s="29" t="n">
        <v>81.32291965706283</v>
      </c>
      <c r="AM29" s="29" t="n">
        <v>318.4511996197834</v>
      </c>
      <c r="AN29" s="29" t="n">
        <v>34.0420352337474</v>
      </c>
      <c r="AO29" s="29" t="n">
        <v>37.52693582795092</v>
      </c>
      <c r="AP29" s="29" t="n">
        <v>31.65348982489335</v>
      </c>
      <c r="AQ29" s="29" t="n">
        <v>11.46853700064014</v>
      </c>
      <c r="AR29" s="29" t="n">
        <v>1.741797601985083</v>
      </c>
      <c r="AS29" s="29" t="n">
        <v>26.02479090311534</v>
      </c>
      <c r="AT29" s="29" t="n">
        <v>101.7945111040512</v>
      </c>
      <c r="AU29" s="29" t="n">
        <v>20.54323529783791</v>
      </c>
      <c r="AV29" s="29" t="n">
        <v>345.3103761647856</v>
      </c>
      <c r="AW29" s="29" t="n">
        <v>158.450518518448</v>
      </c>
      <c r="AX29" s="29" t="n">
        <v>0</v>
      </c>
      <c r="AY29" s="29" t="n">
        <v>38.25932672229483</v>
      </c>
      <c r="AZ29" s="29" t="n">
        <v>105.5306142109463</v>
      </c>
      <c r="BA29" s="29" t="n">
        <v>30.76247469398089</v>
      </c>
      <c r="BB29" s="29">
        <f>SUM(C29:BA29)</f>
        <v/>
      </c>
      <c r="BC29" s="29" t="n">
        <v>0</v>
      </c>
      <c r="BD29" s="29" t="n">
        <v>0</v>
      </c>
      <c r="BE29" s="29" t="n">
        <v>4173.149243305754</v>
      </c>
      <c r="BF29" s="29" t="n">
        <v>0</v>
      </c>
      <c r="BG29" s="29">
        <f>SUM(BC29:BF29)</f>
        <v/>
      </c>
      <c r="BH29" s="29">
        <f>BB29+BG29</f>
        <v/>
      </c>
    </row>
    <row r="30">
      <c r="A30" s="27" t="n">
        <v>17</v>
      </c>
      <c r="B30" s="28" t="inlineStr">
        <is>
          <t>Fabricação de resina e elastômeros</t>
        </is>
      </c>
      <c r="C30" s="27" t="n">
        <v>170.9588912594056</v>
      </c>
      <c r="D30" s="27" t="n">
        <v>19.67405475479104</v>
      </c>
      <c r="E30" s="27" t="n">
        <v>292.958868325509</v>
      </c>
      <c r="F30" s="27" t="n">
        <v>2.950828097888657</v>
      </c>
      <c r="G30" s="27" t="n">
        <v>6.946742007408472</v>
      </c>
      <c r="H30" s="27" t="n">
        <v>35.56772663068044</v>
      </c>
      <c r="I30" s="27" t="n">
        <v>12.71980226771181</v>
      </c>
      <c r="J30" s="27" t="n">
        <v>2068.799432994859</v>
      </c>
      <c r="K30" s="27" t="n">
        <v>18.52184183869698</v>
      </c>
      <c r="L30" s="27" t="n">
        <v>612.1217373855495</v>
      </c>
      <c r="M30" s="27" t="n">
        <v>268.5544007626977</v>
      </c>
      <c r="N30" s="27" t="n">
        <v>524.5292557322773</v>
      </c>
      <c r="O30" s="27" t="n">
        <v>26.31220495077121</v>
      </c>
      <c r="P30" s="27" t="n">
        <v>1.76505816946588</v>
      </c>
      <c r="Q30" s="27" t="n">
        <v>2.00629168447263</v>
      </c>
      <c r="R30" s="27" t="n">
        <v>170.4807802586158</v>
      </c>
      <c r="S30" s="27" t="n">
        <v>949.5165158397473</v>
      </c>
      <c r="T30" s="27" t="n">
        <v>30.96371379476558</v>
      </c>
      <c r="U30" s="27" t="n">
        <v>59.78540263792286</v>
      </c>
      <c r="V30" s="27" t="n">
        <v>362.3098596986829</v>
      </c>
      <c r="W30" s="27" t="n">
        <v>350.3137228511168</v>
      </c>
      <c r="X30" s="27" t="n">
        <v>364.6940767946076</v>
      </c>
      <c r="Y30" s="27" t="n">
        <v>5790.216154913038</v>
      </c>
      <c r="Z30" s="27" t="n">
        <v>611.8410656100536</v>
      </c>
      <c r="AA30" s="27" t="n">
        <v>11.17466136456066</v>
      </c>
      <c r="AB30" s="27" t="n">
        <v>88.38251647727699</v>
      </c>
      <c r="AC30" s="27" t="n">
        <v>344.9707130396118</v>
      </c>
      <c r="AD30" s="27" t="n">
        <v>74.06008650849918</v>
      </c>
      <c r="AE30" s="27" t="n">
        <v>1144.117390822253</v>
      </c>
      <c r="AF30" s="27" t="n">
        <v>293.3325169582514</v>
      </c>
      <c r="AG30" s="27" t="n">
        <v>38.65729327235776</v>
      </c>
      <c r="AH30" s="27" t="n">
        <v>586.826512250564</v>
      </c>
      <c r="AI30" s="27" t="n">
        <v>82.25488121220188</v>
      </c>
      <c r="AJ30" s="27" t="n">
        <v>459.9801545103795</v>
      </c>
      <c r="AK30" s="27" t="n">
        <v>6.85811994078887</v>
      </c>
      <c r="AL30" s="27" t="n">
        <v>48.79356123936007</v>
      </c>
      <c r="AM30" s="27" t="n">
        <v>48.9114664125055</v>
      </c>
      <c r="AN30" s="27" t="n">
        <v>13.11587171174218</v>
      </c>
      <c r="AO30" s="27" t="n">
        <v>9.718370395376295</v>
      </c>
      <c r="AP30" s="27" t="n">
        <v>6.932045582718854</v>
      </c>
      <c r="AQ30" s="27" t="n">
        <v>4.689461811303556</v>
      </c>
      <c r="AR30" s="27" t="n">
        <v>0.4924643858480452</v>
      </c>
      <c r="AS30" s="27" t="n">
        <v>5.222909394174025</v>
      </c>
      <c r="AT30" s="27" t="n">
        <v>23.01230607762471</v>
      </c>
      <c r="AU30" s="27" t="n">
        <v>4.002107123347725</v>
      </c>
      <c r="AV30" s="27" t="n">
        <v>5.570335297860785</v>
      </c>
      <c r="AW30" s="27" t="n">
        <v>19.43609723147133</v>
      </c>
      <c r="AX30" s="27" t="n">
        <v>0</v>
      </c>
      <c r="AY30" s="27" t="n">
        <v>2.595105839936631</v>
      </c>
      <c r="AZ30" s="27" t="n">
        <v>3.741790519830838</v>
      </c>
      <c r="BA30" s="27" t="n">
        <v>6.462981224431112</v>
      </c>
      <c r="BB30" s="27">
        <f>SUM(C30:BA30)</f>
        <v/>
      </c>
      <c r="BC30" s="27" t="n">
        <v>0</v>
      </c>
      <c r="BD30" s="27" t="n">
        <v>0</v>
      </c>
      <c r="BE30" s="27" t="n">
        <v>1081.221519698599</v>
      </c>
      <c r="BF30" s="27" t="n">
        <v>0</v>
      </c>
      <c r="BG30" s="27">
        <f>SUM(BC30:BF30)</f>
        <v/>
      </c>
      <c r="BH30" s="27">
        <f>BB30+BG30</f>
        <v/>
      </c>
    </row>
    <row r="31">
      <c r="A31" s="29" t="n">
        <v>18</v>
      </c>
      <c r="B31" s="30" t="inlineStr">
        <is>
          <t>Produtos farmacêuticos</t>
        </is>
      </c>
      <c r="C31" s="29" t="n">
        <v>241.0296370903838</v>
      </c>
      <c r="D31" s="29" t="n">
        <v>1564.743929872018</v>
      </c>
      <c r="E31" s="29" t="n">
        <v>105.4625663205383</v>
      </c>
      <c r="F31" s="29" t="n">
        <v>2.67479732294706</v>
      </c>
      <c r="G31" s="29" t="n">
        <v>2.094540026461354</v>
      </c>
      <c r="H31" s="29" t="n">
        <v>96.58467207059576</v>
      </c>
      <c r="I31" s="29" t="n">
        <v>1.369455415167136</v>
      </c>
      <c r="J31" s="29" t="n">
        <v>23.01480276666386</v>
      </c>
      <c r="K31" s="29" t="n">
        <v>2.798179149669824</v>
      </c>
      <c r="L31" s="29" t="n">
        <v>8.25454939827635</v>
      </c>
      <c r="M31" s="29" t="n">
        <v>3.540536543053474</v>
      </c>
      <c r="N31" s="29" t="n">
        <v>8.518867853844803</v>
      </c>
      <c r="O31" s="29" t="n">
        <v>2.172724933121925</v>
      </c>
      <c r="P31" s="29" t="n">
        <v>3.498061425881759</v>
      </c>
      <c r="Q31" s="29" t="n">
        <v>0.5493683622764048</v>
      </c>
      <c r="R31" s="29" t="n">
        <v>5.99731053720882</v>
      </c>
      <c r="S31" s="29" t="n">
        <v>10.25784962961852</v>
      </c>
      <c r="T31" s="29" t="n">
        <v>1724.607692321467</v>
      </c>
      <c r="U31" s="29" t="n">
        <v>116.168340955076</v>
      </c>
      <c r="V31" s="29" t="n">
        <v>12.6407864320296</v>
      </c>
      <c r="W31" s="29" t="n">
        <v>4.973223917432937</v>
      </c>
      <c r="X31" s="29" t="n">
        <v>7.558790526898916</v>
      </c>
      <c r="Y31" s="29" t="n">
        <v>63.57043483926076</v>
      </c>
      <c r="Z31" s="29" t="n">
        <v>9.962525991041371</v>
      </c>
      <c r="AA31" s="29" t="n">
        <v>5.095239470879088</v>
      </c>
      <c r="AB31" s="29" t="n">
        <v>2.680135066527277</v>
      </c>
      <c r="AC31" s="29" t="n">
        <v>7.760426746920926</v>
      </c>
      <c r="AD31" s="29" t="n">
        <v>17.58808149287622</v>
      </c>
      <c r="AE31" s="29" t="n">
        <v>15.68184809767656</v>
      </c>
      <c r="AF31" s="29" t="n">
        <v>20.72487048920741</v>
      </c>
      <c r="AG31" s="29" t="n">
        <v>7.154368281512103</v>
      </c>
      <c r="AH31" s="29" t="n">
        <v>8.670083073565252</v>
      </c>
      <c r="AI31" s="29" t="n">
        <v>1.753173464583722</v>
      </c>
      <c r="AJ31" s="29" t="n">
        <v>7.604717907827185</v>
      </c>
      <c r="AK31" s="29" t="n">
        <v>7.870006450243918</v>
      </c>
      <c r="AL31" s="29" t="n">
        <v>17.3824214072723</v>
      </c>
      <c r="AM31" s="29" t="n">
        <v>140.588610565473</v>
      </c>
      <c r="AN31" s="29" t="n">
        <v>20.78355009666957</v>
      </c>
      <c r="AO31" s="29" t="n">
        <v>26.94737969029786</v>
      </c>
      <c r="AP31" s="29" t="n">
        <v>22.73435692801799</v>
      </c>
      <c r="AQ31" s="29" t="n">
        <v>2.53187094021571</v>
      </c>
      <c r="AR31" s="29" t="n">
        <v>0.4580574908281327</v>
      </c>
      <c r="AS31" s="29" t="n">
        <v>6.568580162295635</v>
      </c>
      <c r="AT31" s="29" t="n">
        <v>55.53631760690924</v>
      </c>
      <c r="AU31" s="29" t="n">
        <v>76.15883148418121</v>
      </c>
      <c r="AV31" s="29" t="n">
        <v>3660.154708711852</v>
      </c>
      <c r="AW31" s="29" t="n">
        <v>305.8872576767087</v>
      </c>
      <c r="AX31" s="29" t="n">
        <v>0</v>
      </c>
      <c r="AY31" s="29" t="n">
        <v>189.8477216823238</v>
      </c>
      <c r="AZ31" s="29" t="n">
        <v>877.3336131343259</v>
      </c>
      <c r="BA31" s="29" t="n">
        <v>180.1162259833722</v>
      </c>
      <c r="BB31" s="29">
        <f>SUM(C31:BA31)</f>
        <v/>
      </c>
      <c r="BC31" s="29" t="n">
        <v>0</v>
      </c>
      <c r="BD31" s="29" t="n">
        <v>0</v>
      </c>
      <c r="BE31" s="29" t="n">
        <v>11228.16101676817</v>
      </c>
      <c r="BF31" s="29" t="n">
        <v>0</v>
      </c>
      <c r="BG31" s="29">
        <f>SUM(BC31:BF31)</f>
        <v/>
      </c>
      <c r="BH31" s="29">
        <f>BB31+BG31</f>
        <v/>
      </c>
    </row>
    <row r="32">
      <c r="A32" s="27" t="n">
        <v>19</v>
      </c>
      <c r="B32" s="28" t="inlineStr">
        <is>
          <t>Defensivos agrícolas</t>
        </is>
      </c>
      <c r="C32" s="27" t="n">
        <v>4422.992342561958</v>
      </c>
      <c r="D32" s="27" t="n">
        <v>478.446281889909</v>
      </c>
      <c r="E32" s="27" t="n">
        <v>39.7759492692046</v>
      </c>
      <c r="F32" s="27" t="n">
        <v>6.130997310142548</v>
      </c>
      <c r="G32" s="27" t="n">
        <v>31.89328196612555</v>
      </c>
      <c r="H32" s="27" t="n">
        <v>76.50708238997066</v>
      </c>
      <c r="I32" s="27" t="n">
        <v>1.555454468180816</v>
      </c>
      <c r="J32" s="27" t="n">
        <v>138.9255549461753</v>
      </c>
      <c r="K32" s="27" t="n">
        <v>3.468352400206841</v>
      </c>
      <c r="L32" s="27" t="n">
        <v>48.30522396602434</v>
      </c>
      <c r="M32" s="27" t="n">
        <v>20.35198788629857</v>
      </c>
      <c r="N32" s="27" t="n">
        <v>53.51627132418566</v>
      </c>
      <c r="O32" s="27" t="n">
        <v>6.254276636899927</v>
      </c>
      <c r="P32" s="27" t="n">
        <v>5.458045502128729</v>
      </c>
      <c r="Q32" s="27" t="n">
        <v>6.246164520341913</v>
      </c>
      <c r="R32" s="27" t="n">
        <v>107.6981012697279</v>
      </c>
      <c r="S32" s="27" t="n">
        <v>233.4062323350412</v>
      </c>
      <c r="T32" s="27" t="n">
        <v>32.75382956092818</v>
      </c>
      <c r="U32" s="27" t="n">
        <v>1125.810357124923</v>
      </c>
      <c r="V32" s="27" t="n">
        <v>236.4121220418448</v>
      </c>
      <c r="W32" s="27" t="n">
        <v>81.61594579984697</v>
      </c>
      <c r="X32" s="27" t="n">
        <v>98.32896088954584</v>
      </c>
      <c r="Y32" s="27" t="n">
        <v>362.6068482784091</v>
      </c>
      <c r="Z32" s="27" t="n">
        <v>40.94941277814602</v>
      </c>
      <c r="AA32" s="27" t="n">
        <v>18.43665906704559</v>
      </c>
      <c r="AB32" s="27" t="n">
        <v>10.38524735621117</v>
      </c>
      <c r="AC32" s="27" t="n">
        <v>39.60945789168505</v>
      </c>
      <c r="AD32" s="27" t="n">
        <v>15.34068298707687</v>
      </c>
      <c r="AE32" s="27" t="n">
        <v>67.61005073390686</v>
      </c>
      <c r="AF32" s="27" t="n">
        <v>20.80646410919878</v>
      </c>
      <c r="AG32" s="27" t="n">
        <v>6.057136852701339</v>
      </c>
      <c r="AH32" s="27" t="n">
        <v>33.18197833339261</v>
      </c>
      <c r="AI32" s="27" t="n">
        <v>5.230523617177143</v>
      </c>
      <c r="AJ32" s="27" t="n">
        <v>31.27123955669943</v>
      </c>
      <c r="AK32" s="27" t="n">
        <v>9.352763575078932</v>
      </c>
      <c r="AL32" s="27" t="n">
        <v>20.49424717517101</v>
      </c>
      <c r="AM32" s="27" t="n">
        <v>38.85624499187094</v>
      </c>
      <c r="AN32" s="27" t="n">
        <v>11.23497241745061</v>
      </c>
      <c r="AO32" s="27" t="n">
        <v>14.74718605691337</v>
      </c>
      <c r="AP32" s="27" t="n">
        <v>12.49989982409398</v>
      </c>
      <c r="AQ32" s="27" t="n">
        <v>1.749064412741568</v>
      </c>
      <c r="AR32" s="27" t="n">
        <v>0.09505188035462313</v>
      </c>
      <c r="AS32" s="27" t="n">
        <v>3.179317090940208</v>
      </c>
      <c r="AT32" s="27" t="n">
        <v>47.17110296211477</v>
      </c>
      <c r="AU32" s="27" t="n">
        <v>2.872973508542531</v>
      </c>
      <c r="AV32" s="27" t="n">
        <v>2.800640790216939</v>
      </c>
      <c r="AW32" s="27" t="n">
        <v>283.5313746500343</v>
      </c>
      <c r="AX32" s="27" t="n">
        <v>0</v>
      </c>
      <c r="AY32" s="27" t="n">
        <v>6.415186308729967</v>
      </c>
      <c r="AZ32" s="27" t="n">
        <v>12.59531150809357</v>
      </c>
      <c r="BA32" s="27" t="n">
        <v>12.46868751468021</v>
      </c>
      <c r="BB32" s="27">
        <f>SUM(C32:BA32)</f>
        <v/>
      </c>
      <c r="BC32" s="27" t="n">
        <v>0</v>
      </c>
      <c r="BD32" s="27" t="n">
        <v>0</v>
      </c>
      <c r="BE32" s="27" t="n">
        <v>268.5872604459316</v>
      </c>
      <c r="BF32" s="27" t="n">
        <v>0</v>
      </c>
      <c r="BG32" s="27">
        <f>SUM(BC32:BF32)</f>
        <v/>
      </c>
      <c r="BH32" s="27">
        <f>BB32+BG32</f>
        <v/>
      </c>
    </row>
    <row r="33">
      <c r="A33" s="29" t="n">
        <v>20</v>
      </c>
      <c r="B33" s="30" t="inlineStr">
        <is>
          <t>Perfumaria higiene e limpeza</t>
        </is>
      </c>
      <c r="C33" s="29" t="n">
        <v>127.3418418861536</v>
      </c>
      <c r="D33" s="29" t="n">
        <v>41.43394399336682</v>
      </c>
      <c r="E33" s="29" t="n">
        <v>42.14401225456143</v>
      </c>
      <c r="F33" s="29" t="n">
        <v>21.63432994451239</v>
      </c>
      <c r="G33" s="29" t="n">
        <v>27.68582795249901</v>
      </c>
      <c r="H33" s="29" t="n">
        <v>150.002338780636</v>
      </c>
      <c r="I33" s="29" t="n">
        <v>1.348080917459256</v>
      </c>
      <c r="J33" s="29" t="n">
        <v>32.33779570738859</v>
      </c>
      <c r="K33" s="29" t="n">
        <v>25.9871400663108</v>
      </c>
      <c r="L33" s="29" t="n">
        <v>5.712635279453734</v>
      </c>
      <c r="M33" s="29" t="n">
        <v>14.01209162014472</v>
      </c>
      <c r="N33" s="29" t="n">
        <v>22.58938547011077</v>
      </c>
      <c r="O33" s="29" t="n">
        <v>3.474000717717562</v>
      </c>
      <c r="P33" s="29" t="n">
        <v>33.24686610671403</v>
      </c>
      <c r="Q33" s="29" t="n">
        <v>4.123782577793995</v>
      </c>
      <c r="R33" s="29" t="n">
        <v>89.089054573862</v>
      </c>
      <c r="S33" s="29" t="n">
        <v>20.68601816670176</v>
      </c>
      <c r="T33" s="29" t="n">
        <v>34.54125923302078</v>
      </c>
      <c r="U33" s="29" t="n">
        <v>62.72910980769212</v>
      </c>
      <c r="V33" s="29" t="n">
        <v>545.4140164065834</v>
      </c>
      <c r="W33" s="29" t="n">
        <v>18.91412366422348</v>
      </c>
      <c r="X33" s="29" t="n">
        <v>41.53852837405388</v>
      </c>
      <c r="Y33" s="29" t="n">
        <v>31.35707095178036</v>
      </c>
      <c r="Z33" s="29" t="n">
        <v>94.94477628941272</v>
      </c>
      <c r="AA33" s="29" t="n">
        <v>26.97722366129192</v>
      </c>
      <c r="AB33" s="29" t="n">
        <v>26.24853962640315</v>
      </c>
      <c r="AC33" s="29" t="n">
        <v>186.7766364048759</v>
      </c>
      <c r="AD33" s="29" t="n">
        <v>29.72239694179144</v>
      </c>
      <c r="AE33" s="29" t="n">
        <v>10.81445477082027</v>
      </c>
      <c r="AF33" s="29" t="n">
        <v>53.82983557770066</v>
      </c>
      <c r="AG33" s="29" t="n">
        <v>14.43868386527143</v>
      </c>
      <c r="AH33" s="29" t="n">
        <v>16.77677261073911</v>
      </c>
      <c r="AI33" s="29" t="n">
        <v>1.814287163056905</v>
      </c>
      <c r="AJ33" s="29" t="n">
        <v>10.45373593526517</v>
      </c>
      <c r="AK33" s="29" t="n">
        <v>36.0219875609333</v>
      </c>
      <c r="AL33" s="29" t="n">
        <v>151.9155560948745</v>
      </c>
      <c r="AM33" s="29" t="n">
        <v>739.990008809581</v>
      </c>
      <c r="AN33" s="29" t="n">
        <v>184.9937190256386</v>
      </c>
      <c r="AO33" s="29" t="n">
        <v>107.5635238918701</v>
      </c>
      <c r="AP33" s="29" t="n">
        <v>28.29227646536775</v>
      </c>
      <c r="AQ33" s="29" t="n">
        <v>4.504597336552806</v>
      </c>
      <c r="AR33" s="29" t="n">
        <v>0.2961332903627489</v>
      </c>
      <c r="AS33" s="29" t="n">
        <v>53.91617077948134</v>
      </c>
      <c r="AT33" s="29" t="n">
        <v>312.3407010766268</v>
      </c>
      <c r="AU33" s="29" t="n">
        <v>58.98757640309373</v>
      </c>
      <c r="AV33" s="29" t="n">
        <v>274.7088353086277</v>
      </c>
      <c r="AW33" s="29" t="n">
        <v>1125.449259536275</v>
      </c>
      <c r="AX33" s="29" t="n">
        <v>0</v>
      </c>
      <c r="AY33" s="29" t="n">
        <v>122.480669273343</v>
      </c>
      <c r="AZ33" s="29" t="n">
        <v>72.65152162121659</v>
      </c>
      <c r="BA33" s="29" t="n">
        <v>96.07715625327523</v>
      </c>
      <c r="BB33" s="29">
        <f>SUM(C33:BA33)</f>
        <v/>
      </c>
      <c r="BC33" s="29" t="n">
        <v>0</v>
      </c>
      <c r="BD33" s="29" t="n">
        <v>0</v>
      </c>
      <c r="BE33" s="29" t="n">
        <v>6613.849037560293</v>
      </c>
      <c r="BF33" s="29" t="n">
        <v>0</v>
      </c>
      <c r="BG33" s="29">
        <f>SUM(BC33:BF33)</f>
        <v/>
      </c>
      <c r="BH33" s="29">
        <f>BB33+BG33</f>
        <v/>
      </c>
    </row>
    <row r="34">
      <c r="A34" s="27" t="n">
        <v>21</v>
      </c>
      <c r="B34" s="28" t="inlineStr">
        <is>
          <t>Tintas vernizes esmaltes e lacas</t>
        </is>
      </c>
      <c r="C34" s="27" t="n">
        <v>26.14478915571711</v>
      </c>
      <c r="D34" s="27" t="n">
        <v>16.8784534174114</v>
      </c>
      <c r="E34" s="27" t="n">
        <v>8.747770488593249</v>
      </c>
      <c r="F34" s="27" t="n">
        <v>1.980248638439779</v>
      </c>
      <c r="G34" s="27" t="n">
        <v>16.63427112040771</v>
      </c>
      <c r="H34" s="27" t="n">
        <v>49.0241987125529</v>
      </c>
      <c r="I34" s="27" t="n">
        <v>0.3994671067357586</v>
      </c>
      <c r="J34" s="27" t="n">
        <v>64.33113483156798</v>
      </c>
      <c r="K34" s="27" t="n">
        <v>27.57673487192942</v>
      </c>
      <c r="L34" s="27" t="n">
        <v>66.89233210445263</v>
      </c>
      <c r="M34" s="27" t="n">
        <v>153.3562668025205</v>
      </c>
      <c r="N34" s="27" t="n">
        <v>450.19203578039</v>
      </c>
      <c r="O34" s="27" t="n">
        <v>441.9309845115538</v>
      </c>
      <c r="P34" s="27" t="n">
        <v>2.450831722397208</v>
      </c>
      <c r="Q34" s="27" t="n">
        <v>1.319891200845448</v>
      </c>
      <c r="R34" s="27" t="n">
        <v>36.93440891667976</v>
      </c>
      <c r="S34" s="27" t="n">
        <v>38.35290693268399</v>
      </c>
      <c r="T34" s="27" t="n">
        <v>9.200462120498472</v>
      </c>
      <c r="U34" s="27" t="n">
        <v>9.659064122983079</v>
      </c>
      <c r="V34" s="27" t="n">
        <v>22.78567130388099</v>
      </c>
      <c r="W34" s="27" t="n">
        <v>60.55220912456795</v>
      </c>
      <c r="X34" s="27" t="n">
        <v>33.26666953245051</v>
      </c>
      <c r="Y34" s="27" t="n">
        <v>682.4814441697899</v>
      </c>
      <c r="Z34" s="27" t="n">
        <v>341.139175642362</v>
      </c>
      <c r="AA34" s="27" t="n">
        <v>6.672646100633917</v>
      </c>
      <c r="AB34" s="27" t="n">
        <v>2.763472860929072</v>
      </c>
      <c r="AC34" s="27" t="n">
        <v>215.7245349404807</v>
      </c>
      <c r="AD34" s="27" t="n">
        <v>222.8725664248781</v>
      </c>
      <c r="AE34" s="27" t="n">
        <v>23.88162810335322</v>
      </c>
      <c r="AF34" s="27" t="n">
        <v>131.2623747228448</v>
      </c>
      <c r="AG34" s="27" t="n">
        <v>179.4547175578395</v>
      </c>
      <c r="AH34" s="27" t="n">
        <v>106.8782535204948</v>
      </c>
      <c r="AI34" s="27" t="n">
        <v>38.43121263665699</v>
      </c>
      <c r="AJ34" s="27" t="n">
        <v>106.623915366279</v>
      </c>
      <c r="AK34" s="27" t="n">
        <v>60.48688664569161</v>
      </c>
      <c r="AL34" s="27" t="n">
        <v>2406.232516792443</v>
      </c>
      <c r="AM34" s="27" t="n">
        <v>396.4519716495037</v>
      </c>
      <c r="AN34" s="27" t="n">
        <v>104.6967836203242</v>
      </c>
      <c r="AO34" s="27" t="n">
        <v>158.9423377517715</v>
      </c>
      <c r="AP34" s="27" t="n">
        <v>4.008114170219822</v>
      </c>
      <c r="AQ34" s="27" t="n">
        <v>259.6288162524099</v>
      </c>
      <c r="AR34" s="27" t="n">
        <v>0.03819281167711779</v>
      </c>
      <c r="AS34" s="27" t="n">
        <v>2.753055693073226</v>
      </c>
      <c r="AT34" s="27" t="n">
        <v>14.15276684925464</v>
      </c>
      <c r="AU34" s="27" t="n">
        <v>0.9119877273722701</v>
      </c>
      <c r="AV34" s="27" t="n">
        <v>1.746122521701958</v>
      </c>
      <c r="AW34" s="27" t="n">
        <v>145.1471590003436</v>
      </c>
      <c r="AX34" s="27" t="n">
        <v>0</v>
      </c>
      <c r="AY34" s="27" t="n">
        <v>18.60630990517163</v>
      </c>
      <c r="AZ34" s="27" t="n">
        <v>6.610834698581675</v>
      </c>
      <c r="BA34" s="27" t="n">
        <v>65.58803948646711</v>
      </c>
      <c r="BB34" s="27">
        <f>SUM(C34:BA34)</f>
        <v/>
      </c>
      <c r="BC34" s="27" t="n">
        <v>0</v>
      </c>
      <c r="BD34" s="27" t="n">
        <v>0</v>
      </c>
      <c r="BE34" s="27" t="n">
        <v>0</v>
      </c>
      <c r="BF34" s="27" t="n">
        <v>0</v>
      </c>
      <c r="BG34" s="27">
        <f>SUM(BC34:BF34)</f>
        <v/>
      </c>
      <c r="BH34" s="27">
        <f>BB34+BG34</f>
        <v/>
      </c>
    </row>
    <row r="35">
      <c r="A35" s="29" t="n">
        <v>22</v>
      </c>
      <c r="B35" s="30" t="inlineStr">
        <is>
          <t>Produtos e preparados químicos diversos</t>
        </is>
      </c>
      <c r="C35" s="29" t="n">
        <v>60.72353367797228</v>
      </c>
      <c r="D35" s="29" t="n">
        <v>18.83072115635011</v>
      </c>
      <c r="E35" s="29" t="n">
        <v>89.48916341433656</v>
      </c>
      <c r="F35" s="29" t="n">
        <v>62.66942710471206</v>
      </c>
      <c r="G35" s="29" t="n">
        <v>815.1403764109251</v>
      </c>
      <c r="H35" s="29" t="n">
        <v>1170.97481808539</v>
      </c>
      <c r="I35" s="29" t="n">
        <v>4.221327715205958</v>
      </c>
      <c r="J35" s="29" t="n">
        <v>168.9132592227049</v>
      </c>
      <c r="K35" s="29" t="n">
        <v>6.161650038077755</v>
      </c>
      <c r="L35" s="29" t="n">
        <v>87.02253456663102</v>
      </c>
      <c r="M35" s="29" t="n">
        <v>159.6699334795426</v>
      </c>
      <c r="N35" s="29" t="n">
        <v>210.5976554121211</v>
      </c>
      <c r="O35" s="29" t="n">
        <v>134.3398536186459</v>
      </c>
      <c r="P35" s="29" t="n">
        <v>96.89173806229607</v>
      </c>
      <c r="Q35" s="29" t="n">
        <v>30.68501070196957</v>
      </c>
      <c r="R35" s="29" t="n">
        <v>230.5519065682219</v>
      </c>
      <c r="S35" s="29" t="n">
        <v>294.8252816024886</v>
      </c>
      <c r="T35" s="29" t="n">
        <v>264.8395487501461</v>
      </c>
      <c r="U35" s="29" t="n">
        <v>93.61023947553778</v>
      </c>
      <c r="V35" s="29" t="n">
        <v>335.2660146884107</v>
      </c>
      <c r="W35" s="29" t="n">
        <v>243.7524678421175</v>
      </c>
      <c r="X35" s="29" t="n">
        <v>840.751688390701</v>
      </c>
      <c r="Y35" s="29" t="n">
        <v>663.6924349329172</v>
      </c>
      <c r="Z35" s="29" t="n">
        <v>170.1949720542765</v>
      </c>
      <c r="AA35" s="29" t="n">
        <v>189.8589320358127</v>
      </c>
      <c r="AB35" s="29" t="n">
        <v>23.56805929636504</v>
      </c>
      <c r="AC35" s="29" t="n">
        <v>82.21340021564937</v>
      </c>
      <c r="AD35" s="29" t="n">
        <v>133.3878557728569</v>
      </c>
      <c r="AE35" s="29" t="n">
        <v>86.76921368521408</v>
      </c>
      <c r="AF35" s="29" t="n">
        <v>24.20988190886105</v>
      </c>
      <c r="AG35" s="29" t="n">
        <v>35.0810372506499</v>
      </c>
      <c r="AH35" s="29" t="n">
        <v>34.66744207966433</v>
      </c>
      <c r="AI35" s="29" t="n">
        <v>10.62410242691993</v>
      </c>
      <c r="AJ35" s="29" t="n">
        <v>133.1432039138532</v>
      </c>
      <c r="AK35" s="29" t="n">
        <v>75.87517617612198</v>
      </c>
      <c r="AL35" s="29" t="n">
        <v>365.9771322315024</v>
      </c>
      <c r="AM35" s="29" t="n">
        <v>512.3107912782547</v>
      </c>
      <c r="AN35" s="29" t="n">
        <v>31.96138977747309</v>
      </c>
      <c r="AO35" s="29" t="n">
        <v>19.13969860105161</v>
      </c>
      <c r="AP35" s="29" t="n">
        <v>17.86087799778182</v>
      </c>
      <c r="AQ35" s="29" t="n">
        <v>24.09642617618366</v>
      </c>
      <c r="AR35" s="29" t="n">
        <v>0.5055335731444575</v>
      </c>
      <c r="AS35" s="29" t="n">
        <v>6.027952134607019</v>
      </c>
      <c r="AT35" s="29" t="n">
        <v>49.08709218379671</v>
      </c>
      <c r="AU35" s="29" t="n">
        <v>5.555944966732226</v>
      </c>
      <c r="AV35" s="29" t="n">
        <v>5.770653387568351</v>
      </c>
      <c r="AW35" s="29" t="n">
        <v>27.44337655110888</v>
      </c>
      <c r="AX35" s="29" t="n">
        <v>0</v>
      </c>
      <c r="AY35" s="29" t="n">
        <v>86.89328713844623</v>
      </c>
      <c r="AZ35" s="29" t="n">
        <v>193.3367295059056</v>
      </c>
      <c r="BA35" s="29" t="n">
        <v>30.14251284056564</v>
      </c>
      <c r="BB35" s="29">
        <f>SUM(C35:BA35)</f>
        <v/>
      </c>
      <c r="BC35" s="29" t="n">
        <v>0</v>
      </c>
      <c r="BD35" s="29" t="n">
        <v>0</v>
      </c>
      <c r="BE35" s="29" t="n">
        <v>1490.829423487986</v>
      </c>
      <c r="BF35" s="29" t="n">
        <v>0</v>
      </c>
      <c r="BG35" s="29">
        <f>SUM(BC35:BF35)</f>
        <v/>
      </c>
      <c r="BH35" s="29">
        <f>BB35+BG35</f>
        <v/>
      </c>
    </row>
    <row r="36">
      <c r="A36" s="27" t="n">
        <v>23</v>
      </c>
      <c r="B36" s="28" t="inlineStr">
        <is>
          <t>Artigos de borracha e plástico</t>
        </is>
      </c>
      <c r="C36" s="27" t="n">
        <v>156.8710172446773</v>
      </c>
      <c r="D36" s="27" t="n">
        <v>70.38843482286141</v>
      </c>
      <c r="E36" s="27" t="n">
        <v>65.93773642346085</v>
      </c>
      <c r="F36" s="27" t="n">
        <v>135.0564766797906</v>
      </c>
      <c r="G36" s="27" t="n">
        <v>96.95964233910323</v>
      </c>
      <c r="H36" s="27" t="n">
        <v>3652.571703770082</v>
      </c>
      <c r="I36" s="27" t="n">
        <v>3.027122757479006</v>
      </c>
      <c r="J36" s="27" t="n">
        <v>166.5334855675441</v>
      </c>
      <c r="K36" s="27" t="n">
        <v>178.2060612231021</v>
      </c>
      <c r="L36" s="27" t="n">
        <v>430.4100077825546</v>
      </c>
      <c r="M36" s="27" t="n">
        <v>86.71864192560986</v>
      </c>
      <c r="N36" s="27" t="n">
        <v>231.67924158901</v>
      </c>
      <c r="O36" s="27" t="n">
        <v>399.1974787318858</v>
      </c>
      <c r="P36" s="27" t="n">
        <v>31.27733161938889</v>
      </c>
      <c r="Q36" s="27" t="n">
        <v>8.503915542713472</v>
      </c>
      <c r="R36" s="27" t="n">
        <v>327.8112757909357</v>
      </c>
      <c r="S36" s="27" t="n">
        <v>122.6057708299924</v>
      </c>
      <c r="T36" s="27" t="n">
        <v>121.9179039070493</v>
      </c>
      <c r="U36" s="27" t="n">
        <v>97.25038223831108</v>
      </c>
      <c r="V36" s="27" t="n">
        <v>484.2112434620676</v>
      </c>
      <c r="W36" s="27" t="n">
        <v>52.1783855532901</v>
      </c>
      <c r="X36" s="27" t="n">
        <v>76.58893737153808</v>
      </c>
      <c r="Y36" s="27" t="n">
        <v>4834.934750296769</v>
      </c>
      <c r="Z36" s="27" t="n">
        <v>683.8686750190836</v>
      </c>
      <c r="AA36" s="27" t="n">
        <v>233.4090592097423</v>
      </c>
      <c r="AB36" s="27" t="n">
        <v>10.77181139125537</v>
      </c>
      <c r="AC36" s="27" t="n">
        <v>247.8388126271705</v>
      </c>
      <c r="AD36" s="27" t="n">
        <v>962.8225349272263</v>
      </c>
      <c r="AE36" s="27" t="n">
        <v>713.1680013334425</v>
      </c>
      <c r="AF36" s="27" t="n">
        <v>689.9098091049397</v>
      </c>
      <c r="AG36" s="27" t="n">
        <v>2196.420733738725</v>
      </c>
      <c r="AH36" s="27" t="n">
        <v>1324.95625584648</v>
      </c>
      <c r="AI36" s="27" t="n">
        <v>212.9777449738958</v>
      </c>
      <c r="AJ36" s="27" t="n">
        <v>670.8161065784973</v>
      </c>
      <c r="AK36" s="27" t="n">
        <v>150.2836172847818</v>
      </c>
      <c r="AL36" s="27" t="n">
        <v>3649.186319166661</v>
      </c>
      <c r="AM36" s="27" t="n">
        <v>1661.945483728297</v>
      </c>
      <c r="AN36" s="27" t="n">
        <v>1998.366482043239</v>
      </c>
      <c r="AO36" s="27" t="n">
        <v>36.62085382281556</v>
      </c>
      <c r="AP36" s="27" t="n">
        <v>36.81068560153035</v>
      </c>
      <c r="AQ36" s="27" t="n">
        <v>32.19207957411141</v>
      </c>
      <c r="AR36" s="27" t="n">
        <v>30.95194135777852</v>
      </c>
      <c r="AS36" s="27" t="n">
        <v>124.0432470778062</v>
      </c>
      <c r="AT36" s="27" t="n">
        <v>322.2718065123038</v>
      </c>
      <c r="AU36" s="27" t="n">
        <v>15.64579743970891</v>
      </c>
      <c r="AV36" s="27" t="n">
        <v>131.178091618563</v>
      </c>
      <c r="AW36" s="27" t="n">
        <v>124.3390469373521</v>
      </c>
      <c r="AX36" s="27" t="n">
        <v>0</v>
      </c>
      <c r="AY36" s="27" t="n">
        <v>98.27095333197227</v>
      </c>
      <c r="AZ36" s="27" t="n">
        <v>154.6444463477233</v>
      </c>
      <c r="BA36" s="27" t="n">
        <v>66.63625747024444</v>
      </c>
      <c r="BB36" s="27">
        <f>SUM(C36:BA36)</f>
        <v/>
      </c>
      <c r="BC36" s="27" t="n">
        <v>0</v>
      </c>
      <c r="BD36" s="27" t="n">
        <v>0</v>
      </c>
      <c r="BE36" s="27" t="n">
        <v>5830.545175613353</v>
      </c>
      <c r="BF36" s="27" t="n">
        <v>0</v>
      </c>
      <c r="BG36" s="27">
        <f>SUM(BC36:BF36)</f>
        <v/>
      </c>
      <c r="BH36" s="27">
        <f>BB36+BG36</f>
        <v/>
      </c>
    </row>
    <row r="37">
      <c r="A37" s="29" t="n">
        <v>24</v>
      </c>
      <c r="B37" s="30" t="inlineStr">
        <is>
          <t>Cimento e outros produtos de minerais não-metálicos</t>
        </is>
      </c>
      <c r="C37" s="29" t="n">
        <v>756.8341538229663</v>
      </c>
      <c r="D37" s="29" t="n">
        <v>655.7886424334908</v>
      </c>
      <c r="E37" s="29" t="n">
        <v>50.70019354748229</v>
      </c>
      <c r="F37" s="29" t="n">
        <v>2.580216494349203</v>
      </c>
      <c r="G37" s="29" t="n">
        <v>35.12481616507381</v>
      </c>
      <c r="H37" s="29" t="n">
        <v>968.4523508547688</v>
      </c>
      <c r="I37" s="29" t="n">
        <v>0.3871328138695355</v>
      </c>
      <c r="J37" s="29" t="n">
        <v>3.891112259926307</v>
      </c>
      <c r="K37" s="29" t="n">
        <v>3.028714437142366</v>
      </c>
      <c r="L37" s="29" t="n">
        <v>3.363416245817356</v>
      </c>
      <c r="M37" s="29" t="n">
        <v>6.344771839016889</v>
      </c>
      <c r="N37" s="29" t="n">
        <v>63.94267250823192</v>
      </c>
      <c r="O37" s="29" t="n">
        <v>13.67200589312478</v>
      </c>
      <c r="P37" s="29" t="n">
        <v>2.749052008538825</v>
      </c>
      <c r="Q37" s="29" t="n">
        <v>1.787778665017707</v>
      </c>
      <c r="R37" s="29" t="n">
        <v>164.1585589317777</v>
      </c>
      <c r="S37" s="29" t="n">
        <v>3.147587674064262</v>
      </c>
      <c r="T37" s="29" t="n">
        <v>17.43386831867533</v>
      </c>
      <c r="U37" s="29" t="n">
        <v>1.844773393823697</v>
      </c>
      <c r="V37" s="29" t="n">
        <v>95.19151800202737</v>
      </c>
      <c r="W37" s="29" t="n">
        <v>19.29146558540905</v>
      </c>
      <c r="X37" s="29" t="n">
        <v>63.76072011969981</v>
      </c>
      <c r="Y37" s="29" t="n">
        <v>177.5690782785564</v>
      </c>
      <c r="Z37" s="29" t="n">
        <v>2997.730435777249</v>
      </c>
      <c r="AA37" s="29" t="n">
        <v>146.6563313433509</v>
      </c>
      <c r="AB37" s="29" t="n">
        <v>7.814140713415735</v>
      </c>
      <c r="AC37" s="29" t="n">
        <v>55.26464405215658</v>
      </c>
      <c r="AD37" s="29" t="n">
        <v>157.2949248160643</v>
      </c>
      <c r="AE37" s="29" t="n">
        <v>105.2238944802026</v>
      </c>
      <c r="AF37" s="29" t="n">
        <v>15.62856308200782</v>
      </c>
      <c r="AG37" s="29" t="n">
        <v>501.1802093694999</v>
      </c>
      <c r="AH37" s="29" t="n">
        <v>44.04351691546289</v>
      </c>
      <c r="AI37" s="29" t="n">
        <v>32.86589981370505</v>
      </c>
      <c r="AJ37" s="29" t="n">
        <v>152.9721070020823</v>
      </c>
      <c r="AK37" s="29" t="n">
        <v>545.7181805520071</v>
      </c>
      <c r="AL37" s="29" t="n">
        <v>16426.86379290155</v>
      </c>
      <c r="AM37" s="29" t="n">
        <v>170.3969228306746</v>
      </c>
      <c r="AN37" s="29" t="n">
        <v>25.23513582324903</v>
      </c>
      <c r="AO37" s="29" t="n">
        <v>23.21816739476101</v>
      </c>
      <c r="AP37" s="29" t="n">
        <v>18.40110104670765</v>
      </c>
      <c r="AQ37" s="29" t="n">
        <v>533.1764409410479</v>
      </c>
      <c r="AR37" s="29" t="n">
        <v>1.340147493624221</v>
      </c>
      <c r="AS37" s="29" t="n">
        <v>183.3328983129158</v>
      </c>
      <c r="AT37" s="29" t="n">
        <v>32.76304999253713</v>
      </c>
      <c r="AU37" s="29" t="n">
        <v>12.928747149794</v>
      </c>
      <c r="AV37" s="29" t="n">
        <v>27.91141745175854</v>
      </c>
      <c r="AW37" s="29" t="n">
        <v>95.9516052363842</v>
      </c>
      <c r="AX37" s="29" t="n">
        <v>0</v>
      </c>
      <c r="AY37" s="29" t="n">
        <v>52.21402095481707</v>
      </c>
      <c r="AZ37" s="29" t="n">
        <v>41.00724790749448</v>
      </c>
      <c r="BA37" s="29" t="n">
        <v>131.9329674241153</v>
      </c>
      <c r="BB37" s="29">
        <f>SUM(C37:BA37)</f>
        <v/>
      </c>
      <c r="BC37" s="29" t="n">
        <v>0</v>
      </c>
      <c r="BD37" s="29" t="n">
        <v>0</v>
      </c>
      <c r="BE37" s="29" t="n">
        <v>1572.561864645569</v>
      </c>
      <c r="BF37" s="29" t="n">
        <v>0</v>
      </c>
      <c r="BG37" s="29">
        <f>SUM(BC37:BF37)</f>
        <v/>
      </c>
      <c r="BH37" s="29">
        <f>BB37+BG37</f>
        <v/>
      </c>
    </row>
    <row r="38">
      <c r="A38" s="27" t="n">
        <v>25</v>
      </c>
      <c r="B38" s="28" t="inlineStr">
        <is>
          <t>Fabricação de aço e derivados</t>
        </is>
      </c>
      <c r="C38" s="27" t="n">
        <v>44.11169862207371</v>
      </c>
      <c r="D38" s="27" t="n">
        <v>78.74715618432423</v>
      </c>
      <c r="E38" s="27" t="n">
        <v>483.5143477569761</v>
      </c>
      <c r="F38" s="27" t="n">
        <v>9.889355614950839</v>
      </c>
      <c r="G38" s="27" t="n">
        <v>66.61506353924645</v>
      </c>
      <c r="H38" s="27" t="n">
        <v>159.4905494605939</v>
      </c>
      <c r="I38" s="27" t="n">
        <v>1.507286835635833</v>
      </c>
      <c r="J38" s="27" t="n">
        <v>6.056282138801262</v>
      </c>
      <c r="K38" s="27" t="n">
        <v>4.627964971814572</v>
      </c>
      <c r="L38" s="27" t="n">
        <v>4.162120635620433</v>
      </c>
      <c r="M38" s="27" t="n">
        <v>6.987262701340454</v>
      </c>
      <c r="N38" s="27" t="n">
        <v>45.94060809476714</v>
      </c>
      <c r="O38" s="27" t="n">
        <v>4.134835901231133</v>
      </c>
      <c r="P38" s="27" t="n">
        <v>7.503702139199977</v>
      </c>
      <c r="Q38" s="27" t="n">
        <v>1.987717426717718</v>
      </c>
      <c r="R38" s="27" t="n">
        <v>21.09827862573632</v>
      </c>
      <c r="S38" s="27" t="n">
        <v>14.66867385237493</v>
      </c>
      <c r="T38" s="27" t="n">
        <v>10.50037668279033</v>
      </c>
      <c r="U38" s="27" t="n">
        <v>5.74947428356383</v>
      </c>
      <c r="V38" s="27" t="n">
        <v>15.41925273908842</v>
      </c>
      <c r="W38" s="27" t="n">
        <v>12.18375363143229</v>
      </c>
      <c r="X38" s="27" t="n">
        <v>15.56116032778171</v>
      </c>
      <c r="Y38" s="27" t="n">
        <v>255.6632721063428</v>
      </c>
      <c r="Z38" s="27" t="n">
        <v>164.3493700149311</v>
      </c>
      <c r="AA38" s="27" t="n">
        <v>3112.745248290888</v>
      </c>
      <c r="AB38" s="27" t="n">
        <v>288.1177486076843</v>
      </c>
      <c r="AC38" s="27" t="n">
        <v>5646.14844760231</v>
      </c>
      <c r="AD38" s="27" t="n">
        <v>2438.003865733285</v>
      </c>
      <c r="AE38" s="27" t="n">
        <v>999.8509352466211</v>
      </c>
      <c r="AF38" s="27" t="n">
        <v>69.50538189956038</v>
      </c>
      <c r="AG38" s="27" t="n">
        <v>1513.1209006188</v>
      </c>
      <c r="AH38" s="27" t="n">
        <v>2257.507157779984</v>
      </c>
      <c r="AI38" s="27" t="n">
        <v>199.0018680388386</v>
      </c>
      <c r="AJ38" s="27" t="n">
        <v>390.6708830559123</v>
      </c>
      <c r="AK38" s="27" t="n">
        <v>91.5583918342963</v>
      </c>
      <c r="AL38" s="27" t="n">
        <v>4696.660674986952</v>
      </c>
      <c r="AM38" s="27" t="n">
        <v>359.4471758001897</v>
      </c>
      <c r="AN38" s="27" t="n">
        <v>40.98278083704933</v>
      </c>
      <c r="AO38" s="27" t="n">
        <v>43.26660248744976</v>
      </c>
      <c r="AP38" s="27" t="n">
        <v>36.43577358443669</v>
      </c>
      <c r="AQ38" s="27" t="n">
        <v>11.48311803550123</v>
      </c>
      <c r="AR38" s="27" t="n">
        <v>1.677074512744122</v>
      </c>
      <c r="AS38" s="27" t="n">
        <v>31.39680663866942</v>
      </c>
      <c r="AT38" s="27" t="n">
        <v>107.9791167174127</v>
      </c>
      <c r="AU38" s="27" t="n">
        <v>19.07031194297513</v>
      </c>
      <c r="AV38" s="27" t="n">
        <v>9.088607254285938</v>
      </c>
      <c r="AW38" s="27" t="n">
        <v>39.65919694718843</v>
      </c>
      <c r="AX38" s="27" t="n">
        <v>0</v>
      </c>
      <c r="AY38" s="27" t="n">
        <v>15.63502582103729</v>
      </c>
      <c r="AZ38" s="27" t="n">
        <v>9.596399190418646</v>
      </c>
      <c r="BA38" s="27" t="n">
        <v>63.89354051183749</v>
      </c>
      <c r="BB38" s="27">
        <f>SUM(C38:BA38)</f>
        <v/>
      </c>
      <c r="BC38" s="27" t="n">
        <v>0</v>
      </c>
      <c r="BD38" s="27" t="n">
        <v>0</v>
      </c>
      <c r="BE38" s="27" t="n">
        <v>7663.506096326164</v>
      </c>
      <c r="BF38" s="27" t="n">
        <v>0</v>
      </c>
      <c r="BG38" s="27">
        <f>SUM(BC38:BF38)</f>
        <v/>
      </c>
      <c r="BH38" s="27">
        <f>BB38+BG38</f>
        <v/>
      </c>
    </row>
    <row r="39">
      <c r="A39" s="29" t="n">
        <v>26</v>
      </c>
      <c r="B39" s="30" t="inlineStr">
        <is>
          <t>Metalurgia de metais não-ferrosos</t>
        </is>
      </c>
      <c r="C39" s="29" t="n">
        <v>188.7463868440011</v>
      </c>
      <c r="D39" s="29" t="n">
        <v>30.3507873556791</v>
      </c>
      <c r="E39" s="29" t="n">
        <v>21.65432911451187</v>
      </c>
      <c r="F39" s="29" t="n">
        <v>5.010598706632908</v>
      </c>
      <c r="G39" s="29" t="n">
        <v>20.87273354173798</v>
      </c>
      <c r="H39" s="29" t="n">
        <v>287.2273432259309</v>
      </c>
      <c r="I39" s="29" t="n">
        <v>0.5498209171713456</v>
      </c>
      <c r="J39" s="29" t="n">
        <v>6.144115160915259</v>
      </c>
      <c r="K39" s="29" t="n">
        <v>3.260881020150392</v>
      </c>
      <c r="L39" s="29" t="n">
        <v>4.529960815662581</v>
      </c>
      <c r="M39" s="29" t="n">
        <v>2.842721029751353</v>
      </c>
      <c r="N39" s="29" t="n">
        <v>101.8635638637884</v>
      </c>
      <c r="O39" s="29" t="n">
        <v>126.7104070199393</v>
      </c>
      <c r="P39" s="29" t="n">
        <v>3.001519788947981</v>
      </c>
      <c r="Q39" s="29" t="n">
        <v>1.087210137584647</v>
      </c>
      <c r="R39" s="29" t="n">
        <v>210.9514313535112</v>
      </c>
      <c r="S39" s="29" t="n">
        <v>14.16801244114622</v>
      </c>
      <c r="T39" s="29" t="n">
        <v>7.272293754126004</v>
      </c>
      <c r="U39" s="29" t="n">
        <v>6.984396519611133</v>
      </c>
      <c r="V39" s="29" t="n">
        <v>13.62155022603925</v>
      </c>
      <c r="W39" s="29" t="n">
        <v>17.23108490607935</v>
      </c>
      <c r="X39" s="29" t="n">
        <v>98.43439630155737</v>
      </c>
      <c r="Y39" s="29" t="n">
        <v>39.91314593013725</v>
      </c>
      <c r="Z39" s="29" t="n">
        <v>53.89711345302049</v>
      </c>
      <c r="AA39" s="29" t="n">
        <v>547.047888583244</v>
      </c>
      <c r="AB39" s="29" t="n">
        <v>2610.534868643949</v>
      </c>
      <c r="AC39" s="29" t="n">
        <v>697.1801805730638</v>
      </c>
      <c r="AD39" s="29" t="n">
        <v>785.8249491066541</v>
      </c>
      <c r="AE39" s="29" t="n">
        <v>2160.037072175513</v>
      </c>
      <c r="AF39" s="29" t="n">
        <v>95.38822207766303</v>
      </c>
      <c r="AG39" s="29" t="n">
        <v>176.5988986345999</v>
      </c>
      <c r="AH39" s="29" t="n">
        <v>1465.85134185448</v>
      </c>
      <c r="AI39" s="29" t="n">
        <v>214.4078810176309</v>
      </c>
      <c r="AJ39" s="29" t="n">
        <v>761.4475320574295</v>
      </c>
      <c r="AK39" s="29" t="n">
        <v>72.44489455954502</v>
      </c>
      <c r="AL39" s="29" t="n">
        <v>1352.446339382238</v>
      </c>
      <c r="AM39" s="29" t="n">
        <v>189.305206085169</v>
      </c>
      <c r="AN39" s="29" t="n">
        <v>26.01232828893917</v>
      </c>
      <c r="AO39" s="29" t="n">
        <v>25.14697314325944</v>
      </c>
      <c r="AP39" s="29" t="n">
        <v>23.098410090437</v>
      </c>
      <c r="AQ39" s="29" t="n">
        <v>25.69019536804549</v>
      </c>
      <c r="AR39" s="29" t="n">
        <v>1.587989926454506</v>
      </c>
      <c r="AS39" s="29" t="n">
        <v>22.21501731914631</v>
      </c>
      <c r="AT39" s="29" t="n">
        <v>37.69687394575617</v>
      </c>
      <c r="AU39" s="29" t="n">
        <v>15.95764061146804</v>
      </c>
      <c r="AV39" s="29" t="n">
        <v>16.1955889090722</v>
      </c>
      <c r="AW39" s="29" t="n">
        <v>34.4825441829974</v>
      </c>
      <c r="AX39" s="29" t="n">
        <v>0</v>
      </c>
      <c r="AY39" s="29" t="n">
        <v>4.895556842841343</v>
      </c>
      <c r="AZ39" s="29" t="n">
        <v>4.872395200415148</v>
      </c>
      <c r="BA39" s="29" t="n">
        <v>21.32455231480555</v>
      </c>
      <c r="BB39" s="29">
        <f>SUM(C39:BA39)</f>
        <v/>
      </c>
      <c r="BC39" s="29" t="n">
        <v>0</v>
      </c>
      <c r="BD39" s="29" t="n">
        <v>0</v>
      </c>
      <c r="BE39" s="29" t="n">
        <v>4389.837597514651</v>
      </c>
      <c r="BF39" s="29" t="n">
        <v>0</v>
      </c>
      <c r="BG39" s="29">
        <f>SUM(BC39:BF39)</f>
        <v/>
      </c>
      <c r="BH39" s="29">
        <f>BB39+BG39</f>
        <v/>
      </c>
    </row>
    <row r="40">
      <c r="A40" s="28" t="inlineStr">
        <is>
          <t>Produtos de metal</t>
        </is>
      </c>
      <c r="B40" s="28" t="inlineStr">
        <is>
          <t>exclusive máquinas e equipamentos</t>
        </is>
      </c>
      <c r="C40" s="27" t="n">
        <v>111.2171242124455</v>
      </c>
      <c r="D40" s="27" t="n">
        <v>193.6178900935315</v>
      </c>
      <c r="E40" s="27" t="n">
        <v>420.3032205094788</v>
      </c>
      <c r="F40" s="27" t="n">
        <v>179.1277794478888</v>
      </c>
      <c r="G40" s="27" t="n">
        <v>106.594525995611</v>
      </c>
      <c r="H40" s="27" t="n">
        <v>2577.944474841812</v>
      </c>
      <c r="I40" s="27" t="n">
        <v>11.11576854694101</v>
      </c>
      <c r="J40" s="27" t="n">
        <v>48.6538649569634</v>
      </c>
      <c r="K40" s="27" t="n">
        <v>61.84632130224234</v>
      </c>
      <c r="L40" s="27" t="n">
        <v>40.39357828160066</v>
      </c>
      <c r="M40" s="27" t="n">
        <v>169.9931190975922</v>
      </c>
      <c r="N40" s="27" t="n">
        <v>50.09883210147943</v>
      </c>
      <c r="O40" s="27" t="n">
        <v>19.81450888529921</v>
      </c>
      <c r="P40" s="27" t="n">
        <v>104.3736490655477</v>
      </c>
      <c r="Q40" s="27" t="n">
        <v>14.49299421383285</v>
      </c>
      <c r="R40" s="27" t="n">
        <v>124.3322613351286</v>
      </c>
      <c r="S40" s="27" t="n">
        <v>53.7738738250457</v>
      </c>
      <c r="T40" s="27" t="n">
        <v>45.87032870143146</v>
      </c>
      <c r="U40" s="27" t="n">
        <v>16.85398410745753</v>
      </c>
      <c r="V40" s="27" t="n">
        <v>295.1622510892983</v>
      </c>
      <c r="W40" s="27" t="n">
        <v>256.616678099989</v>
      </c>
      <c r="X40" s="27" t="n">
        <v>25.86984115902058</v>
      </c>
      <c r="Y40" s="27" t="n">
        <v>97.37060858767063</v>
      </c>
      <c r="Z40" s="27" t="n">
        <v>87.58354181691605</v>
      </c>
      <c r="AA40" s="27" t="n">
        <v>885.2837852562792</v>
      </c>
      <c r="AB40" s="27" t="n">
        <v>117.5300640291222</v>
      </c>
      <c r="AC40" s="27" t="n">
        <v>2657.630358938453</v>
      </c>
      <c r="AD40" s="27" t="n">
        <v>2546.063628646437</v>
      </c>
      <c r="AE40" s="27" t="n">
        <v>901.2635410026214</v>
      </c>
      <c r="AF40" s="27" t="n">
        <v>490.6508315264498</v>
      </c>
      <c r="AG40" s="27" t="n">
        <v>1124.668328894526</v>
      </c>
      <c r="AH40" s="27" t="n">
        <v>906.0027232470634</v>
      </c>
      <c r="AI40" s="27" t="n">
        <v>516.7853273929906</v>
      </c>
      <c r="AJ40" s="27" t="n">
        <v>427.3036190955943</v>
      </c>
      <c r="AK40" s="27" t="n">
        <v>792.6805932628503</v>
      </c>
      <c r="AL40" s="27" t="n">
        <v>8008.344456739641</v>
      </c>
      <c r="AM40" s="27" t="n">
        <v>509.4176432107092</v>
      </c>
      <c r="AN40" s="27" t="n">
        <v>101.368911003601</v>
      </c>
      <c r="AO40" s="27" t="n">
        <v>44.31707039763334</v>
      </c>
      <c r="AP40" s="27" t="n">
        <v>21.74491160956909</v>
      </c>
      <c r="AQ40" s="27" t="n">
        <v>125.3660263633956</v>
      </c>
      <c r="AR40" s="27" t="n">
        <v>3.359662850990964</v>
      </c>
      <c r="AS40" s="27" t="n">
        <v>519.6431698969258</v>
      </c>
      <c r="AT40" s="27" t="n">
        <v>95.44538219442963</v>
      </c>
      <c r="AU40" s="27" t="n">
        <v>13.80188979705457</v>
      </c>
      <c r="AV40" s="27" t="n">
        <v>14.87962781180934</v>
      </c>
      <c r="AW40" s="27" t="n">
        <v>155.5800546524597</v>
      </c>
      <c r="AX40" s="27" t="n">
        <v>0</v>
      </c>
      <c r="AY40" s="27" t="n">
        <v>20.96981692998304</v>
      </c>
      <c r="AZ40" s="27" t="n">
        <v>21.86967065708942</v>
      </c>
      <c r="BA40" s="27" t="n">
        <v>338.9751908591822</v>
      </c>
      <c r="BB40" s="27">
        <f>SUM(C40:BA40)</f>
        <v/>
      </c>
      <c r="BC40" s="27" t="n">
        <v>0</v>
      </c>
      <c r="BD40" s="27" t="n">
        <v>0</v>
      </c>
      <c r="BE40" s="27" t="n">
        <v>7182.353126273671</v>
      </c>
      <c r="BF40" s="27" t="n">
        <v>0</v>
      </c>
      <c r="BG40" s="27">
        <f>SUM(BC40:BF40)</f>
        <v/>
      </c>
      <c r="BH40" s="27">
        <f>BB40+BG40</f>
        <v/>
      </c>
    </row>
    <row r="41">
      <c r="A41" s="29" t="n">
        <v>28</v>
      </c>
      <c r="B41" s="30" t="inlineStr">
        <is>
          <t>Máquinas e equipamentos inclusive manutenção e reparos</t>
        </is>
      </c>
      <c r="C41" s="29" t="n">
        <v>61.50765204541966</v>
      </c>
      <c r="D41" s="29" t="n">
        <v>34.07055102262049</v>
      </c>
      <c r="E41" s="29" t="n">
        <v>2780.930228303791</v>
      </c>
      <c r="F41" s="29" t="n">
        <v>1234.653173576895</v>
      </c>
      <c r="G41" s="29" t="n">
        <v>753.9663631027195</v>
      </c>
      <c r="H41" s="29" t="n">
        <v>830.7269988579792</v>
      </c>
      <c r="I41" s="29" t="n">
        <v>5.64766436671818</v>
      </c>
      <c r="J41" s="29" t="n">
        <v>109.9749279274252</v>
      </c>
      <c r="K41" s="29" t="n">
        <v>209.4375429680639</v>
      </c>
      <c r="L41" s="29" t="n">
        <v>73.24723000649341</v>
      </c>
      <c r="M41" s="29" t="n">
        <v>240.0131321693955</v>
      </c>
      <c r="N41" s="29" t="n">
        <v>585.9191596362745</v>
      </c>
      <c r="O41" s="29" t="n">
        <v>418.9694691492051</v>
      </c>
      <c r="P41" s="29" t="n">
        <v>187.4835110176433</v>
      </c>
      <c r="Q41" s="29" t="n">
        <v>96.59302003225679</v>
      </c>
      <c r="R41" s="29" t="n">
        <v>262.1188731235119</v>
      </c>
      <c r="S41" s="29" t="n">
        <v>112.5588763348645</v>
      </c>
      <c r="T41" s="29" t="n">
        <v>142.031484483653</v>
      </c>
      <c r="U41" s="29" t="n">
        <v>38.53204416146507</v>
      </c>
      <c r="V41" s="29" t="n">
        <v>65.46688548811017</v>
      </c>
      <c r="W41" s="29" t="n">
        <v>76.8186818196435</v>
      </c>
      <c r="X41" s="29" t="n">
        <v>105.6718590417681</v>
      </c>
      <c r="Y41" s="29" t="n">
        <v>246.8454245182501</v>
      </c>
      <c r="Z41" s="29" t="n">
        <v>703.6622325954443</v>
      </c>
      <c r="AA41" s="29" t="n">
        <v>2618.264736765519</v>
      </c>
      <c r="AB41" s="29" t="n">
        <v>576.9923364866818</v>
      </c>
      <c r="AC41" s="29" t="n">
        <v>319.9241189434975</v>
      </c>
      <c r="AD41" s="29" t="n">
        <v>10952.4449994845</v>
      </c>
      <c r="AE41" s="29" t="n">
        <v>505.7501450977485</v>
      </c>
      <c r="AF41" s="29" t="n">
        <v>317.5639926470667</v>
      </c>
      <c r="AG41" s="29" t="n">
        <v>850.4154574703161</v>
      </c>
      <c r="AH41" s="29" t="n">
        <v>371.000270081057</v>
      </c>
      <c r="AI41" s="29" t="n">
        <v>279.7083181000407</v>
      </c>
      <c r="AJ41" s="29" t="n">
        <v>186.7660291787811</v>
      </c>
      <c r="AK41" s="29" t="n">
        <v>664.2338037524413</v>
      </c>
      <c r="AL41" s="29" t="n">
        <v>2748.203661420797</v>
      </c>
      <c r="AM41" s="29" t="n">
        <v>1513.837990528539</v>
      </c>
      <c r="AN41" s="29" t="n">
        <v>1531.27409455818</v>
      </c>
      <c r="AO41" s="29" t="n">
        <v>728.3658545036279</v>
      </c>
      <c r="AP41" s="29" t="n">
        <v>104.5943593931852</v>
      </c>
      <c r="AQ41" s="29" t="n">
        <v>33.91415258584041</v>
      </c>
      <c r="AR41" s="29" t="n">
        <v>38.37262294519678</v>
      </c>
      <c r="AS41" s="29" t="n">
        <v>79.80116975334627</v>
      </c>
      <c r="AT41" s="29" t="n">
        <v>776.1713327211205</v>
      </c>
      <c r="AU41" s="29" t="n">
        <v>12.2050503036586</v>
      </c>
      <c r="AV41" s="29" t="n">
        <v>256.8910111086449</v>
      </c>
      <c r="AW41" s="29" t="n">
        <v>685.1942845069874</v>
      </c>
      <c r="AX41" s="29" t="n">
        <v>0</v>
      </c>
      <c r="AY41" s="29" t="n">
        <v>81.19167495429301</v>
      </c>
      <c r="AZ41" s="29" t="n">
        <v>253.9643357393039</v>
      </c>
      <c r="BA41" s="29" t="n">
        <v>336.3586463057733</v>
      </c>
      <c r="BB41" s="29">
        <f>SUM(C41:BA41)</f>
        <v/>
      </c>
      <c r="BC41" s="29" t="n">
        <v>0</v>
      </c>
      <c r="BD41" s="29" t="n">
        <v>0</v>
      </c>
      <c r="BE41" s="29" t="n">
        <v>20030.90632178308</v>
      </c>
      <c r="BF41" s="29" t="n">
        <v>0</v>
      </c>
      <c r="BG41" s="29">
        <f>SUM(BC41:BF41)</f>
        <v/>
      </c>
      <c r="BH41" s="29">
        <f>BB41+BG41</f>
        <v/>
      </c>
    </row>
    <row r="42">
      <c r="A42" s="27" t="n">
        <v>29</v>
      </c>
      <c r="B42" s="28" t="inlineStr">
        <is>
          <t>Eletrodomésticos e material eletronico</t>
        </is>
      </c>
      <c r="C42" s="27" t="n">
        <v>17.34125547309137</v>
      </c>
      <c r="D42" s="27" t="n">
        <v>42.80925485263402</v>
      </c>
      <c r="E42" s="27" t="n">
        <v>96.85578825574544</v>
      </c>
      <c r="F42" s="27" t="n">
        <v>20.39181789422109</v>
      </c>
      <c r="G42" s="27" t="n">
        <v>24.25725288775977</v>
      </c>
      <c r="H42" s="27" t="n">
        <v>119.0581471921224</v>
      </c>
      <c r="I42" s="27" t="n">
        <v>2.787440848148887</v>
      </c>
      <c r="J42" s="27" t="n">
        <v>30.50187861501604</v>
      </c>
      <c r="K42" s="27" t="n">
        <v>10.10736855889931</v>
      </c>
      <c r="L42" s="27" t="n">
        <v>8.786186938753202</v>
      </c>
      <c r="M42" s="27" t="n">
        <v>15.71232264066454</v>
      </c>
      <c r="N42" s="27" t="n">
        <v>30.48743906718266</v>
      </c>
      <c r="O42" s="27" t="n">
        <v>14.45769499519999</v>
      </c>
      <c r="P42" s="27" t="n">
        <v>6.607953374365323</v>
      </c>
      <c r="Q42" s="27" t="n">
        <v>3.00363603139548</v>
      </c>
      <c r="R42" s="27" t="n">
        <v>39.68942030980857</v>
      </c>
      <c r="S42" s="27" t="n">
        <v>17.63316694943737</v>
      </c>
      <c r="T42" s="27" t="n">
        <v>8.733209338966267</v>
      </c>
      <c r="U42" s="27" t="n">
        <v>2.620292521327447</v>
      </c>
      <c r="V42" s="27" t="n">
        <v>10.61700698836712</v>
      </c>
      <c r="W42" s="27" t="n">
        <v>4.715608100843986</v>
      </c>
      <c r="X42" s="27" t="n">
        <v>10.33841759412866</v>
      </c>
      <c r="Y42" s="27" t="n">
        <v>50.45591952343337</v>
      </c>
      <c r="Z42" s="27" t="n">
        <v>67.04027366755652</v>
      </c>
      <c r="AA42" s="27" t="n">
        <v>49.95284969833898</v>
      </c>
      <c r="AB42" s="27" t="n">
        <v>78.60165237885073</v>
      </c>
      <c r="AC42" s="27" t="n">
        <v>46.6337367780983</v>
      </c>
      <c r="AD42" s="27" t="n">
        <v>1758.473019152501</v>
      </c>
      <c r="AE42" s="27" t="n">
        <v>3167.045620683214</v>
      </c>
      <c r="AF42" s="27" t="n">
        <v>1217.164828442826</v>
      </c>
      <c r="AG42" s="27" t="n">
        <v>380.3338763475368</v>
      </c>
      <c r="AH42" s="27" t="n">
        <v>492.6047497547033</v>
      </c>
      <c r="AI42" s="27" t="n">
        <v>106.1978174003752</v>
      </c>
      <c r="AJ42" s="27" t="n">
        <v>121.7425835424654</v>
      </c>
      <c r="AK42" s="27" t="n">
        <v>1794.053401107612</v>
      </c>
      <c r="AL42" s="27" t="n">
        <v>4331.534214232457</v>
      </c>
      <c r="AM42" s="27" t="n">
        <v>473.674978641173</v>
      </c>
      <c r="AN42" s="27" t="n">
        <v>507.1675531042555</v>
      </c>
      <c r="AO42" s="27" t="n">
        <v>431.267142478951</v>
      </c>
      <c r="AP42" s="27" t="n">
        <v>37.02728868001857</v>
      </c>
      <c r="AQ42" s="27" t="n">
        <v>156.2770728177894</v>
      </c>
      <c r="AR42" s="27" t="n">
        <v>196.3919827017226</v>
      </c>
      <c r="AS42" s="27" t="n">
        <v>30.42551336187262</v>
      </c>
      <c r="AT42" s="27" t="n">
        <v>316.7970815985501</v>
      </c>
      <c r="AU42" s="27" t="n">
        <v>9.764975334437464</v>
      </c>
      <c r="AV42" s="27" t="n">
        <v>117.2562872010134</v>
      </c>
      <c r="AW42" s="27" t="n">
        <v>525.3964376739822</v>
      </c>
      <c r="AX42" s="27" t="n">
        <v>0</v>
      </c>
      <c r="AY42" s="27" t="n">
        <v>43.61122757458141</v>
      </c>
      <c r="AZ42" s="27" t="n">
        <v>38.70415267522379</v>
      </c>
      <c r="BA42" s="27" t="n">
        <v>64.95378020016629</v>
      </c>
      <c r="BB42" s="27">
        <f>SUM(C42:BA42)</f>
        <v/>
      </c>
      <c r="BC42" s="27" t="n">
        <v>0</v>
      </c>
      <c r="BD42" s="27" t="n">
        <v>0</v>
      </c>
      <c r="BE42" s="27" t="n">
        <v>10283.35273678896</v>
      </c>
      <c r="BF42" s="27" t="n">
        <v>0</v>
      </c>
      <c r="BG42" s="27">
        <f>SUM(BC42:BF42)</f>
        <v/>
      </c>
      <c r="BH42" s="27">
        <f>BB42+BG42</f>
        <v/>
      </c>
    </row>
    <row r="43">
      <c r="A43" s="29" t="n">
        <v>30</v>
      </c>
      <c r="B43" s="30" t="inlineStr">
        <is>
          <t>Máquinas para escritório aparelhos e e material eletronico</t>
        </is>
      </c>
      <c r="C43" s="29" t="n">
        <v>2.755789025845739</v>
      </c>
      <c r="D43" s="29" t="n">
        <v>3.077557672052514</v>
      </c>
      <c r="E43" s="29" t="n">
        <v>164.7169620066702</v>
      </c>
      <c r="F43" s="29" t="n">
        <v>14.01108966226024</v>
      </c>
      <c r="G43" s="29" t="n">
        <v>35.67544791713155</v>
      </c>
      <c r="H43" s="29" t="n">
        <v>89.76255715759794</v>
      </c>
      <c r="I43" s="29" t="n">
        <v>2.636122832246154</v>
      </c>
      <c r="J43" s="29" t="n">
        <v>7.636632538106804</v>
      </c>
      <c r="K43" s="29" t="n">
        <v>6.192729616434452</v>
      </c>
      <c r="L43" s="29" t="n">
        <v>6.271652712876593</v>
      </c>
      <c r="M43" s="29" t="n">
        <v>7.914041807151508</v>
      </c>
      <c r="N43" s="29" t="n">
        <v>16.51183745066118</v>
      </c>
      <c r="O43" s="29" t="n">
        <v>284.3953331737298</v>
      </c>
      <c r="P43" s="29" t="n">
        <v>10.36089685925421</v>
      </c>
      <c r="Q43" s="29" t="n">
        <v>2.516576150211873</v>
      </c>
      <c r="R43" s="29" t="n">
        <v>12.11417179175918</v>
      </c>
      <c r="S43" s="29" t="n">
        <v>8.462905998283709</v>
      </c>
      <c r="T43" s="29" t="n">
        <v>28.40977130920717</v>
      </c>
      <c r="U43" s="29" t="n">
        <v>5.053300338507215</v>
      </c>
      <c r="V43" s="29" t="n">
        <v>14.50681708117167</v>
      </c>
      <c r="W43" s="29" t="n">
        <v>9.510147350993371</v>
      </c>
      <c r="X43" s="29" t="n">
        <v>29.69193447726349</v>
      </c>
      <c r="Y43" s="29" t="n">
        <v>25.19256409624688</v>
      </c>
      <c r="Z43" s="29" t="n">
        <v>16.31127005268668</v>
      </c>
      <c r="AA43" s="29" t="n">
        <v>31.42811870159074</v>
      </c>
      <c r="AB43" s="29" t="n">
        <v>9.828915525766959</v>
      </c>
      <c r="AC43" s="29" t="n">
        <v>8.931549905828293</v>
      </c>
      <c r="AD43" s="29" t="n">
        <v>694.0768234955087</v>
      </c>
      <c r="AE43" s="29" t="n">
        <v>363.9934456793906</v>
      </c>
      <c r="AF43" s="29" t="n">
        <v>20661.68912955771</v>
      </c>
      <c r="AG43" s="29" t="n">
        <v>197.5630608689629</v>
      </c>
      <c r="AH43" s="29" t="n">
        <v>156.4879249833865</v>
      </c>
      <c r="AI43" s="29" t="n">
        <v>35.27884362549997</v>
      </c>
      <c r="AJ43" s="29" t="n">
        <v>49.65381598807996</v>
      </c>
      <c r="AK43" s="29" t="n">
        <v>142.4275913869513</v>
      </c>
      <c r="AL43" s="29" t="n">
        <v>369.5205192720524</v>
      </c>
      <c r="AM43" s="29" t="n">
        <v>271.0840722971212</v>
      </c>
      <c r="AN43" s="29" t="n">
        <v>206.8933802335854</v>
      </c>
      <c r="AO43" s="29" t="n">
        <v>1627.553252040604</v>
      </c>
      <c r="AP43" s="29" t="n">
        <v>344.1684276653249</v>
      </c>
      <c r="AQ43" s="29" t="n">
        <v>10.05246380901213</v>
      </c>
      <c r="AR43" s="29" t="n">
        <v>759.2009667895268</v>
      </c>
      <c r="AS43" s="29" t="n">
        <v>11.18138427589766</v>
      </c>
      <c r="AT43" s="29" t="n">
        <v>1995.290324257031</v>
      </c>
      <c r="AU43" s="29" t="n">
        <v>130.3932090476991</v>
      </c>
      <c r="AV43" s="29" t="n">
        <v>4162.52338923948</v>
      </c>
      <c r="AW43" s="29" t="n">
        <v>270.900869441344</v>
      </c>
      <c r="AX43" s="29" t="n">
        <v>0</v>
      </c>
      <c r="AY43" s="29" t="n">
        <v>1207.233136125035</v>
      </c>
      <c r="AZ43" s="29" t="n">
        <v>1229.691682734634</v>
      </c>
      <c r="BA43" s="29" t="n">
        <v>528.7183161040252</v>
      </c>
      <c r="BB43" s="29">
        <f>SUM(C43:BA43)</f>
        <v/>
      </c>
      <c r="BC43" s="29" t="n">
        <v>0</v>
      </c>
      <c r="BD43" s="29" t="n">
        <v>0</v>
      </c>
      <c r="BE43" s="29" t="n">
        <v>19589.58036153533</v>
      </c>
      <c r="BF43" s="29" t="n">
        <v>0</v>
      </c>
      <c r="BG43" s="29">
        <f>SUM(BC43:BF43)</f>
        <v/>
      </c>
      <c r="BH43" s="29">
        <f>BB43+BG43</f>
        <v/>
      </c>
    </row>
    <row r="44">
      <c r="A44" s="27" t="n">
        <v>31</v>
      </c>
      <c r="B44" s="28" t="inlineStr">
        <is>
          <t>Automóveis camionetas caminhões e ônibus</t>
        </is>
      </c>
      <c r="C44" s="27" t="n">
        <v>2.174460568523649</v>
      </c>
      <c r="D44" s="27" t="n">
        <v>1.837994576736653</v>
      </c>
      <c r="E44" s="27" t="n">
        <v>43.11373301591826</v>
      </c>
      <c r="F44" s="27" t="n">
        <v>12.80631002885944</v>
      </c>
      <c r="G44" s="27" t="n">
        <v>9.152987082696711</v>
      </c>
      <c r="H44" s="27" t="n">
        <v>75.88816332167676</v>
      </c>
      <c r="I44" s="27" t="n">
        <v>2.885722148860858</v>
      </c>
      <c r="J44" s="27" t="n">
        <v>3.456853970366698</v>
      </c>
      <c r="K44" s="27" t="n">
        <v>3.718649446076117</v>
      </c>
      <c r="L44" s="27" t="n">
        <v>4.057991323851313</v>
      </c>
      <c r="M44" s="27" t="n">
        <v>3.059148344060431</v>
      </c>
      <c r="N44" s="27" t="n">
        <v>10.14805970213561</v>
      </c>
      <c r="O44" s="27" t="n">
        <v>3.982625757264883</v>
      </c>
      <c r="P44" s="27" t="n">
        <v>8.737337697131142</v>
      </c>
      <c r="Q44" s="27" t="n">
        <v>1.737289169354635</v>
      </c>
      <c r="R44" s="27" t="n">
        <v>9.429520682593138</v>
      </c>
      <c r="S44" s="27" t="n">
        <v>2.891838371680312</v>
      </c>
      <c r="T44" s="27" t="n">
        <v>11.13272445835756</v>
      </c>
      <c r="U44" s="27" t="n">
        <v>3.571461773219122</v>
      </c>
      <c r="V44" s="27" t="n">
        <v>5.010694198469249</v>
      </c>
      <c r="W44" s="27" t="n">
        <v>3.063443773236994</v>
      </c>
      <c r="X44" s="27" t="n">
        <v>12.28095336132428</v>
      </c>
      <c r="Y44" s="27" t="n">
        <v>8.097508854352064</v>
      </c>
      <c r="Z44" s="27" t="n">
        <v>12.31205211992128</v>
      </c>
      <c r="AA44" s="27" t="n">
        <v>26.31876005816222</v>
      </c>
      <c r="AB44" s="27" t="n">
        <v>7.560103933021851</v>
      </c>
      <c r="AC44" s="27" t="n">
        <v>8.474581834480407</v>
      </c>
      <c r="AD44" s="27" t="n">
        <v>129.4542892377804</v>
      </c>
      <c r="AE44" s="27" t="n">
        <v>58.29806408135022</v>
      </c>
      <c r="AF44" s="27" t="n">
        <v>28.5273898222616</v>
      </c>
      <c r="AG44" s="27" t="n">
        <v>1860.796651115962</v>
      </c>
      <c r="AH44" s="27" t="n">
        <v>62.12302213205814</v>
      </c>
      <c r="AI44" s="27" t="n">
        <v>54.48810911347879</v>
      </c>
      <c r="AJ44" s="27" t="n">
        <v>5.191681650634497</v>
      </c>
      <c r="AK44" s="27" t="n">
        <v>51.41166785883193</v>
      </c>
      <c r="AL44" s="27" t="n">
        <v>122.9877431639688</v>
      </c>
      <c r="AM44" s="27" t="n">
        <v>249.017358109703</v>
      </c>
      <c r="AN44" s="27" t="n">
        <v>290.8842722720403</v>
      </c>
      <c r="AO44" s="27" t="n">
        <v>66.13040814145494</v>
      </c>
      <c r="AP44" s="27" t="n">
        <v>48.42699950209158</v>
      </c>
      <c r="AQ44" s="27" t="n">
        <v>6.929831297995904</v>
      </c>
      <c r="AR44" s="27" t="n">
        <v>1.13442804937381</v>
      </c>
      <c r="AS44" s="27" t="n">
        <v>6.569536148914542</v>
      </c>
      <c r="AT44" s="27" t="n">
        <v>79.66842201699343</v>
      </c>
      <c r="AU44" s="27" t="n">
        <v>11.68441930825373</v>
      </c>
      <c r="AV44" s="27" t="n">
        <v>5.727051995609983</v>
      </c>
      <c r="AW44" s="27" t="n">
        <v>34.85723183222131</v>
      </c>
      <c r="AX44" s="27" t="n">
        <v>0</v>
      </c>
      <c r="AY44" s="27" t="n">
        <v>10.76737665416607</v>
      </c>
      <c r="AZ44" s="27" t="n">
        <v>12.50129372263219</v>
      </c>
      <c r="BA44" s="27" t="n">
        <v>57.56019687203285</v>
      </c>
      <c r="BB44" s="27">
        <f>SUM(C44:BA44)</f>
        <v/>
      </c>
      <c r="BC44" s="27" t="n">
        <v>0</v>
      </c>
      <c r="BD44" s="27" t="n">
        <v>0</v>
      </c>
      <c r="BE44" s="27" t="n">
        <v>37041.97890988339</v>
      </c>
      <c r="BF44" s="27" t="n">
        <v>0</v>
      </c>
      <c r="BG44" s="27">
        <f>SUM(BC44:BF44)</f>
        <v/>
      </c>
      <c r="BH44" s="27">
        <f>BB44+BG44</f>
        <v/>
      </c>
    </row>
    <row r="45">
      <c r="A45" s="29" t="n">
        <v>32</v>
      </c>
      <c r="B45" s="30" t="inlineStr">
        <is>
          <t>Peças e acessórios para veículos automotores</t>
        </is>
      </c>
      <c r="C45" s="29" t="n">
        <v>6.338155667992629</v>
      </c>
      <c r="D45" s="29" t="n">
        <v>5.515314149553545</v>
      </c>
      <c r="E45" s="29" t="n">
        <v>63.41954129945212</v>
      </c>
      <c r="F45" s="29" t="n">
        <v>26.00934096587957</v>
      </c>
      <c r="G45" s="29" t="n">
        <v>16.1506742215612</v>
      </c>
      <c r="H45" s="29" t="n">
        <v>94.86544780271022</v>
      </c>
      <c r="I45" s="29" t="n">
        <v>1.400703290265953</v>
      </c>
      <c r="J45" s="29" t="n">
        <v>4.860712943071803</v>
      </c>
      <c r="K45" s="29" t="n">
        <v>6.501739974997076</v>
      </c>
      <c r="L45" s="29" t="n">
        <v>8.93740523613363</v>
      </c>
      <c r="M45" s="29" t="n">
        <v>6.731039680857776</v>
      </c>
      <c r="N45" s="29" t="n">
        <v>15.10362914237121</v>
      </c>
      <c r="O45" s="29" t="n">
        <v>14.49710616688265</v>
      </c>
      <c r="P45" s="29" t="n">
        <v>7.55951950278962</v>
      </c>
      <c r="Q45" s="29" t="n">
        <v>2.436701352194119</v>
      </c>
      <c r="R45" s="29" t="n">
        <v>12.18691536465277</v>
      </c>
      <c r="S45" s="29" t="n">
        <v>4.171231182661938</v>
      </c>
      <c r="T45" s="29" t="n">
        <v>8.522022872950698</v>
      </c>
      <c r="U45" s="29" t="n">
        <v>3.063147086003583</v>
      </c>
      <c r="V45" s="29" t="n">
        <v>10.4147130618108</v>
      </c>
      <c r="W45" s="29" t="n">
        <v>4.965392100006523</v>
      </c>
      <c r="X45" s="29" t="n">
        <v>4.137477570376351</v>
      </c>
      <c r="Y45" s="29" t="n">
        <v>60.33543707549625</v>
      </c>
      <c r="Z45" s="29" t="n">
        <v>25.70163832245557</v>
      </c>
      <c r="AA45" s="29" t="n">
        <v>67.82033063429454</v>
      </c>
      <c r="AB45" s="29" t="n">
        <v>22.41593558757997</v>
      </c>
      <c r="AC45" s="29" t="n">
        <v>56.08114252012405</v>
      </c>
      <c r="AD45" s="29" t="n">
        <v>251.2087343336732</v>
      </c>
      <c r="AE45" s="29" t="n">
        <v>56.09499928229859</v>
      </c>
      <c r="AF45" s="29" t="n">
        <v>50.21101053758743</v>
      </c>
      <c r="AG45" s="29" t="n">
        <v>10849.21683004808</v>
      </c>
      <c r="AH45" s="29" t="n">
        <v>3545.879133791433</v>
      </c>
      <c r="AI45" s="29" t="n">
        <v>44.3008642545639</v>
      </c>
      <c r="AJ45" s="29" t="n">
        <v>19.85575437499631</v>
      </c>
      <c r="AK45" s="29" t="n">
        <v>40.26235044340303</v>
      </c>
      <c r="AL45" s="29" t="n">
        <v>252.3597714866588</v>
      </c>
      <c r="AM45" s="29" t="n">
        <v>4281.438133570677</v>
      </c>
      <c r="AN45" s="29" t="n">
        <v>3510.180936267289</v>
      </c>
      <c r="AO45" s="29" t="n">
        <v>47.31898406158084</v>
      </c>
      <c r="AP45" s="29" t="n">
        <v>32.69999568384819</v>
      </c>
      <c r="AQ45" s="29" t="n">
        <v>9.854790436671699</v>
      </c>
      <c r="AR45" s="29" t="n">
        <v>2.926316349887929</v>
      </c>
      <c r="AS45" s="29" t="n">
        <v>20.66847108131498</v>
      </c>
      <c r="AT45" s="29" t="n">
        <v>119.7088166357421</v>
      </c>
      <c r="AU45" s="29" t="n">
        <v>14.36839917346645</v>
      </c>
      <c r="AV45" s="29" t="n">
        <v>103.1611401336542</v>
      </c>
      <c r="AW45" s="29" t="n">
        <v>42.50265623596508</v>
      </c>
      <c r="AX45" s="29" t="n">
        <v>0</v>
      </c>
      <c r="AY45" s="29" t="n">
        <v>126.8877349730562</v>
      </c>
      <c r="AZ45" s="29" t="n">
        <v>77.87061516705126</v>
      </c>
      <c r="BA45" s="29" t="n">
        <v>348.8753563700005</v>
      </c>
      <c r="BB45" s="29">
        <f>SUM(C45:BA45)</f>
        <v/>
      </c>
      <c r="BC45" s="29" t="n">
        <v>0</v>
      </c>
      <c r="BD45" s="29" t="n">
        <v>0</v>
      </c>
      <c r="BE45" s="29" t="n">
        <v>5802.581045049546</v>
      </c>
      <c r="BF45" s="29" t="n">
        <v>0</v>
      </c>
      <c r="BG45" s="29">
        <f>SUM(BC45:BF45)</f>
        <v/>
      </c>
      <c r="BH45" s="29">
        <f>BB45+BG45</f>
        <v/>
      </c>
    </row>
    <row r="46">
      <c r="A46" s="27" t="n">
        <v>33</v>
      </c>
      <c r="B46" s="28" t="inlineStr">
        <is>
          <t>Outros equipamentos de transporte</t>
        </is>
      </c>
      <c r="C46" s="27" t="n">
        <v>0.5357271627216242</v>
      </c>
      <c r="D46" s="27" t="n">
        <v>0.3066182056242527</v>
      </c>
      <c r="E46" s="27" t="n">
        <v>12.88307938745772</v>
      </c>
      <c r="F46" s="27" t="n">
        <v>4.14390392587884</v>
      </c>
      <c r="G46" s="27" t="n">
        <v>2.792861266833278</v>
      </c>
      <c r="H46" s="27" t="n">
        <v>12.41286271780444</v>
      </c>
      <c r="I46" s="27" t="n">
        <v>0.6880294697850559</v>
      </c>
      <c r="J46" s="27" t="n">
        <v>0.8715768801521706</v>
      </c>
      <c r="K46" s="27" t="n">
        <v>8.105726141617048</v>
      </c>
      <c r="L46" s="27" t="n">
        <v>2.803033761635858</v>
      </c>
      <c r="M46" s="27" t="n">
        <v>0.8871977509395184</v>
      </c>
      <c r="N46" s="27" t="n">
        <v>2.771655102911168</v>
      </c>
      <c r="O46" s="27" t="n">
        <v>1.305363834516</v>
      </c>
      <c r="P46" s="27" t="n">
        <v>2.279650966601639</v>
      </c>
      <c r="Q46" s="27" t="n">
        <v>0.4982630310429402</v>
      </c>
      <c r="R46" s="27" t="n">
        <v>2.671500289847455</v>
      </c>
      <c r="S46" s="27" t="n">
        <v>0.8092814043926955</v>
      </c>
      <c r="T46" s="27" t="n">
        <v>2.831902189342832</v>
      </c>
      <c r="U46" s="27" t="n">
        <v>1.02862646996514</v>
      </c>
      <c r="V46" s="27" t="n">
        <v>1.237502727214793</v>
      </c>
      <c r="W46" s="27" t="n">
        <v>0.7516436358935401</v>
      </c>
      <c r="X46" s="27" t="n">
        <v>0.8130425965571536</v>
      </c>
      <c r="Y46" s="27" t="n">
        <v>1.983050330183225</v>
      </c>
      <c r="Z46" s="27" t="n">
        <v>3.827678067339996</v>
      </c>
      <c r="AA46" s="27" t="n">
        <v>8.787390487486592</v>
      </c>
      <c r="AB46" s="27" t="n">
        <v>2.148748082767078</v>
      </c>
      <c r="AC46" s="27" t="n">
        <v>2.898200949848224</v>
      </c>
      <c r="AD46" s="27" t="n">
        <v>750.4970511940045</v>
      </c>
      <c r="AE46" s="27" t="n">
        <v>2.908683991173586</v>
      </c>
      <c r="AF46" s="27" t="n">
        <v>2.918390611769955</v>
      </c>
      <c r="AG46" s="27" t="n">
        <v>6.211597355885115</v>
      </c>
      <c r="AH46" s="27" t="n">
        <v>4.166915697290897</v>
      </c>
      <c r="AI46" s="27" t="n">
        <v>4909.387689867207</v>
      </c>
      <c r="AJ46" s="27" t="n">
        <v>10.34079239556953</v>
      </c>
      <c r="AK46" s="27" t="n">
        <v>5.888662818331975</v>
      </c>
      <c r="AL46" s="27" t="n">
        <v>18.17506801043499</v>
      </c>
      <c r="AM46" s="27" t="n">
        <v>104.1520039178002</v>
      </c>
      <c r="AN46" s="27" t="n">
        <v>642.8078515919791</v>
      </c>
      <c r="AO46" s="27" t="n">
        <v>16.01280983871922</v>
      </c>
      <c r="AP46" s="27" t="n">
        <v>13.4895844394709</v>
      </c>
      <c r="AQ46" s="27" t="n">
        <v>1.812770847012235</v>
      </c>
      <c r="AR46" s="27" t="n">
        <v>44.72276453751185</v>
      </c>
      <c r="AS46" s="27" t="n">
        <v>2.312811974286521</v>
      </c>
      <c r="AT46" s="27" t="n">
        <v>21.62779769519608</v>
      </c>
      <c r="AU46" s="27" t="n">
        <v>3.663412823759131</v>
      </c>
      <c r="AV46" s="27" t="n">
        <v>2.00800958704207</v>
      </c>
      <c r="AW46" s="27" t="n">
        <v>9.851927901000725</v>
      </c>
      <c r="AX46" s="27" t="n">
        <v>0</v>
      </c>
      <c r="AY46" s="27" t="n">
        <v>3.381083118532062</v>
      </c>
      <c r="AZ46" s="27" t="n">
        <v>4.04326188085729</v>
      </c>
      <c r="BA46" s="27" t="n">
        <v>137.5800088704232</v>
      </c>
      <c r="BB46" s="27">
        <f>SUM(C46:BA46)</f>
        <v/>
      </c>
      <c r="BC46" s="27" t="n">
        <v>0</v>
      </c>
      <c r="BD46" s="27" t="n">
        <v>0</v>
      </c>
      <c r="BE46" s="27" t="n">
        <v>8685.736569632578</v>
      </c>
      <c r="BF46" s="27" t="n">
        <v>0</v>
      </c>
      <c r="BG46" s="27">
        <f>SUM(BC46:BF46)</f>
        <v/>
      </c>
      <c r="BH46" s="27">
        <f>BB46+BG46</f>
        <v/>
      </c>
    </row>
    <row r="47">
      <c r="A47" s="29" t="n">
        <v>34</v>
      </c>
      <c r="B47" s="30" t="inlineStr">
        <is>
          <t>Móveis e produtos das indústrias diversas</t>
        </is>
      </c>
      <c r="C47" s="29" t="n">
        <v>9.045651990862865</v>
      </c>
      <c r="D47" s="29" t="n">
        <v>5.647310883670576</v>
      </c>
      <c r="E47" s="29" t="n">
        <v>28.62661965530378</v>
      </c>
      <c r="F47" s="29" t="n">
        <v>15.07539598849571</v>
      </c>
      <c r="G47" s="29" t="n">
        <v>5.399683727959691</v>
      </c>
      <c r="H47" s="29" t="n">
        <v>95.2204591527055</v>
      </c>
      <c r="I47" s="29" t="n">
        <v>0.4721012224601996</v>
      </c>
      <c r="J47" s="29" t="n">
        <v>25.18325159548822</v>
      </c>
      <c r="K47" s="29" t="n">
        <v>896.3074056926795</v>
      </c>
      <c r="L47" s="29" t="n">
        <v>247.1700361026341</v>
      </c>
      <c r="M47" s="29" t="n">
        <v>8.751996690097466</v>
      </c>
      <c r="N47" s="29" t="n">
        <v>6.232605558737667</v>
      </c>
      <c r="O47" s="29" t="n">
        <v>5.788857081802545</v>
      </c>
      <c r="P47" s="29" t="n">
        <v>4.153549713245654</v>
      </c>
      <c r="Q47" s="29" t="n">
        <v>1.068303627165375</v>
      </c>
      <c r="R47" s="29" t="n">
        <v>46.40066774573703</v>
      </c>
      <c r="S47" s="29" t="n">
        <v>17.23398183758726</v>
      </c>
      <c r="T47" s="29" t="n">
        <v>9.718613248248472</v>
      </c>
      <c r="U47" s="29" t="n">
        <v>19.77936630147983</v>
      </c>
      <c r="V47" s="29" t="n">
        <v>10.14743546296281</v>
      </c>
      <c r="W47" s="29" t="n">
        <v>3.80835178773988</v>
      </c>
      <c r="X47" s="29" t="n">
        <v>1.329358491764674</v>
      </c>
      <c r="Y47" s="29" t="n">
        <v>54.305632826614</v>
      </c>
      <c r="Z47" s="29" t="n">
        <v>77.13862741068945</v>
      </c>
      <c r="AA47" s="29" t="n">
        <v>19.31437356505911</v>
      </c>
      <c r="AB47" s="29" t="n">
        <v>2.164049003150884</v>
      </c>
      <c r="AC47" s="29" t="n">
        <v>29.00722365777008</v>
      </c>
      <c r="AD47" s="29" t="n">
        <v>341.6816165635831</v>
      </c>
      <c r="AE47" s="29" t="n">
        <v>17.49852336090409</v>
      </c>
      <c r="AF47" s="29" t="n">
        <v>16.07450352599155</v>
      </c>
      <c r="AG47" s="29" t="n">
        <v>157.7578709584265</v>
      </c>
      <c r="AH47" s="29" t="n">
        <v>263.8860190559627</v>
      </c>
      <c r="AI47" s="29" t="n">
        <v>36.94982100317211</v>
      </c>
      <c r="AJ47" s="29" t="n">
        <v>1169.337367240314</v>
      </c>
      <c r="AK47" s="29" t="n">
        <v>51.80555419335823</v>
      </c>
      <c r="AL47" s="29" t="n">
        <v>539.2331344803861</v>
      </c>
      <c r="AM47" s="29" t="n">
        <v>211.8416295650168</v>
      </c>
      <c r="AN47" s="29" t="n">
        <v>191.7790893540825</v>
      </c>
      <c r="AO47" s="29" t="n">
        <v>63.58380635759765</v>
      </c>
      <c r="AP47" s="29" t="n">
        <v>94.52750949952369</v>
      </c>
      <c r="AQ47" s="29" t="n">
        <v>54.20995378534873</v>
      </c>
      <c r="AR47" s="29" t="n">
        <v>3.422769162585766</v>
      </c>
      <c r="AS47" s="29" t="n">
        <v>12.56062636917466</v>
      </c>
      <c r="AT47" s="29" t="n">
        <v>666.7003097370543</v>
      </c>
      <c r="AU47" s="29" t="n">
        <v>16.23206969337661</v>
      </c>
      <c r="AV47" s="29" t="n">
        <v>31.68007021469807</v>
      </c>
      <c r="AW47" s="29" t="n">
        <v>212.0193020699969</v>
      </c>
      <c r="AX47" s="29" t="n">
        <v>0</v>
      </c>
      <c r="AY47" s="29" t="n">
        <v>48.69323217319338</v>
      </c>
      <c r="AZ47" s="29" t="n">
        <v>113.3718172919729</v>
      </c>
      <c r="BA47" s="29" t="n">
        <v>186.2309653120385</v>
      </c>
      <c r="BB47" s="29">
        <f>SUM(C47:BA47)</f>
        <v/>
      </c>
      <c r="BC47" s="29" t="n">
        <v>0</v>
      </c>
      <c r="BD47" s="29" t="n">
        <v>0</v>
      </c>
      <c r="BE47" s="29" t="n">
        <v>14647.4605760296</v>
      </c>
      <c r="BF47" s="29" t="n">
        <v>0</v>
      </c>
      <c r="BG47" s="29">
        <f>SUM(BC47:BF47)</f>
        <v/>
      </c>
      <c r="BH47" s="29">
        <f>BB47+BG47</f>
        <v/>
      </c>
    </row>
    <row r="48">
      <c r="A48" s="27" t="n">
        <v>35</v>
      </c>
      <c r="B48" s="28" t="inlineStr">
        <is>
          <t>Produção e distribuição de eletricidade gás água esgoto e limpeza urbana</t>
        </is>
      </c>
      <c r="C48" s="27" t="n">
        <v>1898.110878116107</v>
      </c>
      <c r="D48" s="27" t="n">
        <v>1477.670405206002</v>
      </c>
      <c r="E48" s="27" t="n">
        <v>81.52045314871224</v>
      </c>
      <c r="F48" s="27" t="n">
        <v>286.5888686533635</v>
      </c>
      <c r="G48" s="27" t="n">
        <v>387.5771312509796</v>
      </c>
      <c r="H48" s="27" t="n">
        <v>1815.476748154354</v>
      </c>
      <c r="I48" s="27" t="n">
        <v>27.78574608620176</v>
      </c>
      <c r="J48" s="27" t="n">
        <v>809.9628636707465</v>
      </c>
      <c r="K48" s="27" t="n">
        <v>110.1953429767165</v>
      </c>
      <c r="L48" s="27" t="n">
        <v>153.0732590614977</v>
      </c>
      <c r="M48" s="27" t="n">
        <v>404.8523724060144</v>
      </c>
      <c r="N48" s="27" t="n">
        <v>824.9312414876408</v>
      </c>
      <c r="O48" s="27" t="n">
        <v>67.50060621644414</v>
      </c>
      <c r="P48" s="27" t="n">
        <v>117.0456320370902</v>
      </c>
      <c r="Q48" s="27" t="n">
        <v>37.09782893960904</v>
      </c>
      <c r="R48" s="27" t="n">
        <v>1233.319805571878</v>
      </c>
      <c r="S48" s="27" t="n">
        <v>701.7524785703068</v>
      </c>
      <c r="T48" s="27" t="n">
        <v>96.94535038691366</v>
      </c>
      <c r="U48" s="27" t="n">
        <v>79.61088570038423</v>
      </c>
      <c r="V48" s="27" t="n">
        <v>101.0445758497199</v>
      </c>
      <c r="W48" s="27" t="n">
        <v>48.90764135263087</v>
      </c>
      <c r="X48" s="27" t="n">
        <v>191.5375703506276</v>
      </c>
      <c r="Y48" s="27" t="n">
        <v>911.4859004129862</v>
      </c>
      <c r="Z48" s="27" t="n">
        <v>1526.47380028377</v>
      </c>
      <c r="AA48" s="27" t="n">
        <v>2917.291590054869</v>
      </c>
      <c r="AB48" s="27" t="n">
        <v>1536.599567990012</v>
      </c>
      <c r="AC48" s="27" t="n">
        <v>437.3636966501546</v>
      </c>
      <c r="AD48" s="27" t="n">
        <v>269.6011518834935</v>
      </c>
      <c r="AE48" s="27" t="n">
        <v>242.5684606066159</v>
      </c>
      <c r="AF48" s="27" t="n">
        <v>100.2527921129431</v>
      </c>
      <c r="AG48" s="27" t="n">
        <v>168.0021748264678</v>
      </c>
      <c r="AH48" s="27" t="n">
        <v>550.0590895583679</v>
      </c>
      <c r="AI48" s="27" t="n">
        <v>86.4301927886725</v>
      </c>
      <c r="AJ48" s="27" t="n">
        <v>133.436927476878</v>
      </c>
      <c r="AK48" s="27" t="n">
        <v>17826.97448742757</v>
      </c>
      <c r="AL48" s="27" t="n">
        <v>291.2028226478726</v>
      </c>
      <c r="AM48" s="27" t="n">
        <v>5349.48590073256</v>
      </c>
      <c r="AN48" s="27" t="n">
        <v>1019.949889259394</v>
      </c>
      <c r="AO48" s="27" t="n">
        <v>1005.914224344506</v>
      </c>
      <c r="AP48" s="27" t="n">
        <v>611.9410727938156</v>
      </c>
      <c r="AQ48" s="27" t="n">
        <v>187.1515807078611</v>
      </c>
      <c r="AR48" s="27" t="n">
        <v>77.00366184552024</v>
      </c>
      <c r="AS48" s="27" t="n">
        <v>981.0019222173548</v>
      </c>
      <c r="AT48" s="27" t="n">
        <v>801.4682240615853</v>
      </c>
      <c r="AU48" s="27" t="n">
        <v>712.3760040915026</v>
      </c>
      <c r="AV48" s="27" t="n">
        <v>982.8602882505095</v>
      </c>
      <c r="AW48" s="27" t="n">
        <v>4572.602835684298</v>
      </c>
      <c r="AX48" s="27" t="n">
        <v>0</v>
      </c>
      <c r="AY48" s="27" t="n">
        <v>439.3220911632113</v>
      </c>
      <c r="AZ48" s="27" t="n">
        <v>538.8523533820744</v>
      </c>
      <c r="BA48" s="27" t="n">
        <v>3893.581133170082</v>
      </c>
      <c r="BB48" s="27">
        <f>SUM(C48:BA48)</f>
        <v/>
      </c>
      <c r="BC48" s="27" t="n">
        <v>0</v>
      </c>
      <c r="BD48" s="27" t="n">
        <v>0</v>
      </c>
      <c r="BE48" s="27" t="n">
        <v>24397.04733067854</v>
      </c>
      <c r="BF48" s="27" t="n">
        <v>0</v>
      </c>
      <c r="BG48" s="27">
        <f>SUM(BC48:BF48)</f>
        <v/>
      </c>
      <c r="BH48" s="27">
        <f>BB48+BG48</f>
        <v/>
      </c>
    </row>
    <row r="49">
      <c r="A49" s="29" t="n">
        <v>36</v>
      </c>
      <c r="B49" s="30" t="inlineStr">
        <is>
          <t>Construção civil</t>
        </is>
      </c>
      <c r="C49" s="29" t="n">
        <v>16.90893520086616</v>
      </c>
      <c r="D49" s="29" t="n">
        <v>46.27187799321595</v>
      </c>
      <c r="E49" s="29" t="n">
        <v>1329.646371858659</v>
      </c>
      <c r="F49" s="29" t="n">
        <v>271.6214035822875</v>
      </c>
      <c r="G49" s="29" t="n">
        <v>82.49735667759715</v>
      </c>
      <c r="H49" s="29" t="n">
        <v>18.61878391972558</v>
      </c>
      <c r="I49" s="29" t="n">
        <v>0.7638231253081721</v>
      </c>
      <c r="J49" s="29" t="n">
        <v>13.80147417739964</v>
      </c>
      <c r="K49" s="29" t="n">
        <v>3.687469723372011</v>
      </c>
      <c r="L49" s="29" t="n">
        <v>1.512646445544849</v>
      </c>
      <c r="M49" s="29" t="n">
        <v>0.4289171490069207</v>
      </c>
      <c r="N49" s="29" t="n">
        <v>7.031987625926662</v>
      </c>
      <c r="O49" s="29" t="n">
        <v>6.803612685308957</v>
      </c>
      <c r="P49" s="29" t="n">
        <v>7.096923549650513</v>
      </c>
      <c r="Q49" s="29" t="n">
        <v>6.096956153302862</v>
      </c>
      <c r="R49" s="29" t="n">
        <v>25.53556287878786</v>
      </c>
      <c r="S49" s="29" t="n">
        <v>0.5597591342685745</v>
      </c>
      <c r="T49" s="29" t="n">
        <v>3.093049056553839</v>
      </c>
      <c r="U49" s="29" t="n">
        <v>1.136949980498856</v>
      </c>
      <c r="V49" s="29" t="n">
        <v>1.734137717271973</v>
      </c>
      <c r="W49" s="29" t="n">
        <v>0.8854450525246312</v>
      </c>
      <c r="X49" s="29" t="n">
        <v>0.7027944816053697</v>
      </c>
      <c r="Y49" s="29" t="n">
        <v>3.486778736996484</v>
      </c>
      <c r="Z49" s="29" t="n">
        <v>9.700433590518529</v>
      </c>
      <c r="AA49" s="29" t="n">
        <v>53.22135509781285</v>
      </c>
      <c r="AB49" s="29" t="n">
        <v>373.4357841479488</v>
      </c>
      <c r="AC49" s="29" t="n">
        <v>16.04051083295616</v>
      </c>
      <c r="AD49" s="29" t="n">
        <v>23.40740788488644</v>
      </c>
      <c r="AE49" s="29" t="n">
        <v>5.346409505426097</v>
      </c>
      <c r="AF49" s="29" t="n">
        <v>30.02157018871647</v>
      </c>
      <c r="AG49" s="29" t="n">
        <v>61.47640121059861</v>
      </c>
      <c r="AH49" s="29" t="n">
        <v>10.69391332074557</v>
      </c>
      <c r="AI49" s="29" t="n">
        <v>53.97271734152631</v>
      </c>
      <c r="AJ49" s="29" t="n">
        <v>6.077859540563313</v>
      </c>
      <c r="AK49" s="29" t="n">
        <v>1288.92051601973</v>
      </c>
      <c r="AL49" s="29" t="n">
        <v>13681.86520267394</v>
      </c>
      <c r="AM49" s="29" t="n">
        <v>455.8217841120269</v>
      </c>
      <c r="AN49" s="29" t="n">
        <v>441.5418672047216</v>
      </c>
      <c r="AO49" s="29" t="n">
        <v>1491.589096963338</v>
      </c>
      <c r="AP49" s="29" t="n">
        <v>309.3112798514394</v>
      </c>
      <c r="AQ49" s="29" t="n">
        <v>393.2775050548374</v>
      </c>
      <c r="AR49" s="29" t="n">
        <v>2.288452135603148</v>
      </c>
      <c r="AS49" s="29" t="n">
        <v>152.7910296694683</v>
      </c>
      <c r="AT49" s="29" t="n">
        <v>325.1872835935868</v>
      </c>
      <c r="AU49" s="29" t="n">
        <v>126.5965422601126</v>
      </c>
      <c r="AV49" s="29" t="n">
        <v>10.683627312094</v>
      </c>
      <c r="AW49" s="29" t="n">
        <v>810.4179326176312</v>
      </c>
      <c r="AX49" s="29" t="n">
        <v>0</v>
      </c>
      <c r="AY49" s="29" t="n">
        <v>160.7376436723624</v>
      </c>
      <c r="AZ49" s="29" t="n">
        <v>585.0902667574693</v>
      </c>
      <c r="BA49" s="29" t="n">
        <v>2747.345760099242</v>
      </c>
      <c r="BB49" s="29">
        <f>SUM(C49:BA49)</f>
        <v/>
      </c>
      <c r="BC49" s="29" t="n">
        <v>0</v>
      </c>
      <c r="BD49" s="29" t="n">
        <v>0</v>
      </c>
      <c r="BE49" s="29" t="n">
        <v>126344.7027758561</v>
      </c>
      <c r="BF49" s="29" t="n">
        <v>0</v>
      </c>
      <c r="BG49" s="29">
        <f>SUM(BC49:BF49)</f>
        <v/>
      </c>
      <c r="BH49" s="29">
        <f>BB49+BG49</f>
        <v/>
      </c>
    </row>
    <row r="50">
      <c r="A50" s="27" t="n">
        <v>37</v>
      </c>
      <c r="B50" s="28" t="inlineStr">
        <is>
          <t>Comércio</t>
        </is>
      </c>
      <c r="C50" s="27" t="n">
        <v>125.0073497629259</v>
      </c>
      <c r="D50" s="27" t="n">
        <v>248.6427108502185</v>
      </c>
      <c r="E50" s="27" t="n">
        <v>298.2435106223496</v>
      </c>
      <c r="F50" s="27" t="n">
        <v>209.0748552574966</v>
      </c>
      <c r="G50" s="27" t="n">
        <v>95.14633259986957</v>
      </c>
      <c r="H50" s="27" t="n">
        <v>3198.441867143085</v>
      </c>
      <c r="I50" s="27" t="n">
        <v>65.68500502375429</v>
      </c>
      <c r="J50" s="27" t="n">
        <v>284.3292059380236</v>
      </c>
      <c r="K50" s="27" t="n">
        <v>274.1762760509748</v>
      </c>
      <c r="L50" s="27" t="n">
        <v>314.1414043341822</v>
      </c>
      <c r="M50" s="27" t="n">
        <v>83.20877758618383</v>
      </c>
      <c r="N50" s="27" t="n">
        <v>396.1817277133982</v>
      </c>
      <c r="O50" s="27" t="n">
        <v>40.21790221524051</v>
      </c>
      <c r="P50" s="27" t="n">
        <v>370.1960056578661</v>
      </c>
      <c r="Q50" s="27" t="n">
        <v>88.9179995359294</v>
      </c>
      <c r="R50" s="27" t="n">
        <v>1167.666583702231</v>
      </c>
      <c r="S50" s="27" t="n">
        <v>133.960447944237</v>
      </c>
      <c r="T50" s="27" t="n">
        <v>390.1429664026022</v>
      </c>
      <c r="U50" s="27" t="n">
        <v>90.7722562405998</v>
      </c>
      <c r="V50" s="27" t="n">
        <v>59.67498470830094</v>
      </c>
      <c r="W50" s="27" t="n">
        <v>87.47107499088713</v>
      </c>
      <c r="X50" s="27" t="n">
        <v>179.9898020583344</v>
      </c>
      <c r="Y50" s="27" t="n">
        <v>507.2876004718057</v>
      </c>
      <c r="Z50" s="27" t="n">
        <v>547.9308953911643</v>
      </c>
      <c r="AA50" s="27" t="n">
        <v>728.4205483327526</v>
      </c>
      <c r="AB50" s="27" t="n">
        <v>163.1496148736758</v>
      </c>
      <c r="AC50" s="27" t="n">
        <v>361.1788009046827</v>
      </c>
      <c r="AD50" s="27" t="n">
        <v>1332.917318576167</v>
      </c>
      <c r="AE50" s="27" t="n">
        <v>353.9106999576261</v>
      </c>
      <c r="AF50" s="27" t="n">
        <v>442.9100379136667</v>
      </c>
      <c r="AG50" s="27" t="n">
        <v>221.2557269847454</v>
      </c>
      <c r="AH50" s="27" t="n">
        <v>88.22598559634828</v>
      </c>
      <c r="AI50" s="27" t="n">
        <v>47.26241423317585</v>
      </c>
      <c r="AJ50" s="27" t="n">
        <v>143.2353970104174</v>
      </c>
      <c r="AK50" s="27" t="n">
        <v>310.0793677507232</v>
      </c>
      <c r="AL50" s="27" t="n">
        <v>956.9423124694051</v>
      </c>
      <c r="AM50" s="27" t="n">
        <v>2361.376881891799</v>
      </c>
      <c r="AN50" s="27" t="n">
        <v>2347.799880826752</v>
      </c>
      <c r="AO50" s="27" t="n">
        <v>1866.698406807573</v>
      </c>
      <c r="AP50" s="27" t="n">
        <v>268.3598156525495</v>
      </c>
      <c r="AQ50" s="27" t="n">
        <v>39.98372522289249</v>
      </c>
      <c r="AR50" s="27" t="n">
        <v>26.36378059505205</v>
      </c>
      <c r="AS50" s="27" t="n">
        <v>381.176898036025</v>
      </c>
      <c r="AT50" s="27" t="n">
        <v>722.4871763994931</v>
      </c>
      <c r="AU50" s="27" t="n">
        <v>101.7917965595539</v>
      </c>
      <c r="AV50" s="27" t="n">
        <v>524.9201248262061</v>
      </c>
      <c r="AW50" s="27" t="n">
        <v>269.4968125370301</v>
      </c>
      <c r="AX50" s="27" t="n">
        <v>0</v>
      </c>
      <c r="AY50" s="27" t="n">
        <v>218.0673405268561</v>
      </c>
      <c r="AZ50" s="27" t="n">
        <v>359.0794996553474</v>
      </c>
      <c r="BA50" s="27" t="n">
        <v>607.5629850935754</v>
      </c>
      <c r="BB50" s="27">
        <f>SUM(C50:BA50)</f>
        <v/>
      </c>
      <c r="BC50" s="27" t="n">
        <v>0</v>
      </c>
      <c r="BD50" s="27" t="n">
        <v>0</v>
      </c>
      <c r="BE50" s="27" t="n">
        <v>94755.69595153906</v>
      </c>
      <c r="BF50" s="27" t="n">
        <v>0</v>
      </c>
      <c r="BG50" s="27">
        <f>SUM(BC50:BF50)</f>
        <v/>
      </c>
      <c r="BH50" s="27">
        <f>BB50+BG50</f>
        <v/>
      </c>
    </row>
    <row r="51">
      <c r="A51" s="29" t="n">
        <v>38</v>
      </c>
      <c r="B51" s="30" t="inlineStr">
        <is>
          <t>Transporte armazenagem e correio</t>
        </is>
      </c>
      <c r="C51" s="29" t="n">
        <v>1075.974510742684</v>
      </c>
      <c r="D51" s="29" t="n">
        <v>229.7320079420035</v>
      </c>
      <c r="E51" s="29" t="n">
        <v>2844.160986376422</v>
      </c>
      <c r="F51" s="29" t="n">
        <v>942.1480426984862</v>
      </c>
      <c r="G51" s="29" t="n">
        <v>523.7001710177167</v>
      </c>
      <c r="H51" s="29" t="n">
        <v>8831.91474390998</v>
      </c>
      <c r="I51" s="29" t="n">
        <v>92.50155660137779</v>
      </c>
      <c r="J51" s="29" t="n">
        <v>445.3055881497219</v>
      </c>
      <c r="K51" s="29" t="n">
        <v>295.4627932992518</v>
      </c>
      <c r="L51" s="29" t="n">
        <v>400.8373664876958</v>
      </c>
      <c r="M51" s="29" t="n">
        <v>481.5991006306256</v>
      </c>
      <c r="N51" s="29" t="n">
        <v>1120.132516317875</v>
      </c>
      <c r="O51" s="29" t="n">
        <v>176.1182638049784</v>
      </c>
      <c r="P51" s="29" t="n">
        <v>770.1816082951259</v>
      </c>
      <c r="Q51" s="29" t="n">
        <v>249.5425600880321</v>
      </c>
      <c r="R51" s="29" t="n">
        <v>1445.396226081528</v>
      </c>
      <c r="S51" s="29" t="n">
        <v>410.0152130648393</v>
      </c>
      <c r="T51" s="29" t="n">
        <v>738.2286587246236</v>
      </c>
      <c r="U51" s="29" t="n">
        <v>298.2305857893655</v>
      </c>
      <c r="V51" s="29" t="n">
        <v>414.8606370351402</v>
      </c>
      <c r="W51" s="29" t="n">
        <v>227.4465094223719</v>
      </c>
      <c r="X51" s="29" t="n">
        <v>258.9485274631882</v>
      </c>
      <c r="Y51" s="29" t="n">
        <v>757.3258484391681</v>
      </c>
      <c r="Z51" s="29" t="n">
        <v>805.0217943080843</v>
      </c>
      <c r="AA51" s="29" t="n">
        <v>2141.871008287197</v>
      </c>
      <c r="AB51" s="29" t="n">
        <v>195.6842882536064</v>
      </c>
      <c r="AC51" s="29" t="n">
        <v>799.7416197460429</v>
      </c>
      <c r="AD51" s="29" t="n">
        <v>730.7535929737375</v>
      </c>
      <c r="AE51" s="29" t="n">
        <v>673.3759452802274</v>
      </c>
      <c r="AF51" s="29" t="n">
        <v>989.866987399653</v>
      </c>
      <c r="AG51" s="29" t="n">
        <v>1632.615727655027</v>
      </c>
      <c r="AH51" s="29" t="n">
        <v>683.0708753683997</v>
      </c>
      <c r="AI51" s="29" t="n">
        <v>219.0614320560807</v>
      </c>
      <c r="AJ51" s="29" t="n">
        <v>353.7224568093956</v>
      </c>
      <c r="AK51" s="29" t="n">
        <v>814.0990491789125</v>
      </c>
      <c r="AL51" s="29" t="n">
        <v>1264.828776803823</v>
      </c>
      <c r="AM51" s="29" t="n">
        <v>9603.609643173713</v>
      </c>
      <c r="AN51" s="29" t="n">
        <v>13416.35291859108</v>
      </c>
      <c r="AO51" s="29" t="n">
        <v>1171.068378884326</v>
      </c>
      <c r="AP51" s="29" t="n">
        <v>2042.174156826778</v>
      </c>
      <c r="AQ51" s="29" t="n">
        <v>118.7212810758222</v>
      </c>
      <c r="AR51" s="29" t="n">
        <v>38.10118484891083</v>
      </c>
      <c r="AS51" s="29" t="n">
        <v>295.0420661140236</v>
      </c>
      <c r="AT51" s="29" t="n">
        <v>1847.685855700931</v>
      </c>
      <c r="AU51" s="29" t="n">
        <v>960.2614795674871</v>
      </c>
      <c r="AV51" s="29" t="n">
        <v>119.845264481212</v>
      </c>
      <c r="AW51" s="29" t="n">
        <v>4782.227396254556</v>
      </c>
      <c r="AX51" s="29" t="n">
        <v>0</v>
      </c>
      <c r="AY51" s="29" t="n">
        <v>389.0790233441334</v>
      </c>
      <c r="AZ51" s="29" t="n">
        <v>270.076495638735</v>
      </c>
      <c r="BA51" s="29" t="n">
        <v>1881.054786644107</v>
      </c>
      <c r="BB51" s="29">
        <f>SUM(C51:BA51)</f>
        <v/>
      </c>
      <c r="BC51" s="29" t="n">
        <v>0</v>
      </c>
      <c r="BD51" s="29" t="n">
        <v>0</v>
      </c>
      <c r="BE51" s="29" t="n">
        <v>31041.74029255056</v>
      </c>
      <c r="BF51" s="29" t="n">
        <v>0</v>
      </c>
      <c r="BG51" s="29">
        <f>SUM(BC51:BF51)</f>
        <v/>
      </c>
      <c r="BH51" s="29">
        <f>BB51+BG51</f>
        <v/>
      </c>
    </row>
    <row r="52">
      <c r="A52" s="27" t="n">
        <v>39</v>
      </c>
      <c r="B52" s="28" t="inlineStr">
        <is>
          <t>Serviços de informação</t>
        </is>
      </c>
      <c r="C52" s="27" t="n">
        <v>11.86933947867079</v>
      </c>
      <c r="D52" s="27" t="n">
        <v>5.950704458566157</v>
      </c>
      <c r="E52" s="27" t="n">
        <v>224.5759991513781</v>
      </c>
      <c r="F52" s="27" t="n">
        <v>76.85365326882625</v>
      </c>
      <c r="G52" s="27" t="n">
        <v>39.26200829597868</v>
      </c>
      <c r="H52" s="27" t="n">
        <v>1611.503626803992</v>
      </c>
      <c r="I52" s="27" t="n">
        <v>29.21204345287297</v>
      </c>
      <c r="J52" s="27" t="n">
        <v>189.2459235883871</v>
      </c>
      <c r="K52" s="27" t="n">
        <v>330.2203035409317</v>
      </c>
      <c r="L52" s="27" t="n">
        <v>129.439077411258</v>
      </c>
      <c r="M52" s="27" t="n">
        <v>60.41539135440291</v>
      </c>
      <c r="N52" s="27" t="n">
        <v>208.6735817894887</v>
      </c>
      <c r="O52" s="27" t="n">
        <v>291.8395304708536</v>
      </c>
      <c r="P52" s="27" t="n">
        <v>117.7527782156053</v>
      </c>
      <c r="Q52" s="27" t="n">
        <v>38.38126984943625</v>
      </c>
      <c r="R52" s="27" t="n">
        <v>279.7092634003926</v>
      </c>
      <c r="S52" s="27" t="n">
        <v>73.58445990697841</v>
      </c>
      <c r="T52" s="27" t="n">
        <v>212.525394952783</v>
      </c>
      <c r="U52" s="27" t="n">
        <v>89.68460372767547</v>
      </c>
      <c r="V52" s="27" t="n">
        <v>22.66190679660954</v>
      </c>
      <c r="W52" s="27" t="n">
        <v>61.5467676665677</v>
      </c>
      <c r="X52" s="27" t="n">
        <v>55.62494022238975</v>
      </c>
      <c r="Y52" s="27" t="n">
        <v>225.7205930773567</v>
      </c>
      <c r="Z52" s="27" t="n">
        <v>238.1981606164186</v>
      </c>
      <c r="AA52" s="27" t="n">
        <v>214.5873646380594</v>
      </c>
      <c r="AB52" s="27" t="n">
        <v>44.84402414999268</v>
      </c>
      <c r="AC52" s="27" t="n">
        <v>221.4758829814938</v>
      </c>
      <c r="AD52" s="27" t="n">
        <v>330.1772990399796</v>
      </c>
      <c r="AE52" s="27" t="n">
        <v>365.0511864579343</v>
      </c>
      <c r="AF52" s="27" t="n">
        <v>512.8288294734696</v>
      </c>
      <c r="AG52" s="27" t="n">
        <v>816.6596635608057</v>
      </c>
      <c r="AH52" s="27" t="n">
        <v>688.6812377074245</v>
      </c>
      <c r="AI52" s="27" t="n">
        <v>83.44183196279653</v>
      </c>
      <c r="AJ52" s="27" t="n">
        <v>200.5031096002007</v>
      </c>
      <c r="AK52" s="27" t="n">
        <v>574.6652644839741</v>
      </c>
      <c r="AL52" s="27" t="n">
        <v>777.6702347585083</v>
      </c>
      <c r="AM52" s="27" t="n">
        <v>4880.735976221535</v>
      </c>
      <c r="AN52" s="27" t="n">
        <v>1638.404420277384</v>
      </c>
      <c r="AO52" s="27" t="n">
        <v>17683.77210638788</v>
      </c>
      <c r="AP52" s="27" t="n">
        <v>6618.109728393466</v>
      </c>
      <c r="AQ52" s="27" t="n">
        <v>337.1844432507369</v>
      </c>
      <c r="AR52" s="27" t="n">
        <v>116.3799110284762</v>
      </c>
      <c r="AS52" s="27" t="n">
        <v>365.3740840986619</v>
      </c>
      <c r="AT52" s="27" t="n">
        <v>14224.67864380435</v>
      </c>
      <c r="AU52" s="27" t="n">
        <v>1446.81747811061</v>
      </c>
      <c r="AV52" s="27" t="n">
        <v>551.5623878664479</v>
      </c>
      <c r="AW52" s="27" t="n">
        <v>1901.02799718789</v>
      </c>
      <c r="AX52" s="27" t="n">
        <v>0</v>
      </c>
      <c r="AY52" s="27" t="n">
        <v>1682.680873238991</v>
      </c>
      <c r="AZ52" s="27" t="n">
        <v>571.603382811118</v>
      </c>
      <c r="BA52" s="27" t="n">
        <v>4252.376550488182</v>
      </c>
      <c r="BB52" s="27">
        <f>SUM(C52:BA52)</f>
        <v/>
      </c>
      <c r="BC52" s="27" t="n">
        <v>0</v>
      </c>
      <c r="BD52" s="27" t="n">
        <v>0</v>
      </c>
      <c r="BE52" s="27" t="n">
        <v>48014.78958691824</v>
      </c>
      <c r="BF52" s="27" t="n">
        <v>0</v>
      </c>
      <c r="BG52" s="27">
        <f>SUM(BC52:BF52)</f>
        <v/>
      </c>
      <c r="BH52" s="27">
        <f>BB52+BG52</f>
        <v/>
      </c>
    </row>
    <row r="53">
      <c r="A53" s="29" t="n">
        <v>40</v>
      </c>
      <c r="B53" s="30" t="inlineStr">
        <is>
          <t>Intermediação financeira seguros e previdência complementar e serviços relacionados</t>
        </is>
      </c>
      <c r="C53" s="29" t="n">
        <v>1430.490516148055</v>
      </c>
      <c r="D53" s="29" t="n">
        <v>758.4792750153509</v>
      </c>
      <c r="E53" s="29" t="n">
        <v>1179.457665187636</v>
      </c>
      <c r="F53" s="29" t="n">
        <v>618.2709894696269</v>
      </c>
      <c r="G53" s="29" t="n">
        <v>397.3291812794478</v>
      </c>
      <c r="H53" s="29" t="n">
        <v>5196.397548390287</v>
      </c>
      <c r="I53" s="29" t="n">
        <v>204.2915352464904</v>
      </c>
      <c r="J53" s="29" t="n">
        <v>534.8666403649968</v>
      </c>
      <c r="K53" s="29" t="n">
        <v>551.3187652124162</v>
      </c>
      <c r="L53" s="29" t="n">
        <v>466.2995755192547</v>
      </c>
      <c r="M53" s="29" t="n">
        <v>311.4884256558585</v>
      </c>
      <c r="N53" s="29" t="n">
        <v>812.414978531755</v>
      </c>
      <c r="O53" s="29" t="n">
        <v>200.4831589694318</v>
      </c>
      <c r="P53" s="29" t="n">
        <v>1037.133636869966</v>
      </c>
      <c r="Q53" s="29" t="n">
        <v>262.0629731551286</v>
      </c>
      <c r="R53" s="29" t="n">
        <v>1050.430276375965</v>
      </c>
      <c r="S53" s="29" t="n">
        <v>456.2865692648373</v>
      </c>
      <c r="T53" s="29" t="n">
        <v>338.0261840371599</v>
      </c>
      <c r="U53" s="29" t="n">
        <v>180.5833406436647</v>
      </c>
      <c r="V53" s="29" t="n">
        <v>294.8337973029928</v>
      </c>
      <c r="W53" s="29" t="n">
        <v>133.4501360287336</v>
      </c>
      <c r="X53" s="29" t="n">
        <v>229.323532770751</v>
      </c>
      <c r="Y53" s="29" t="n">
        <v>836.3042791065116</v>
      </c>
      <c r="Z53" s="29" t="n">
        <v>820.5882212717495</v>
      </c>
      <c r="AA53" s="29" t="n">
        <v>1496.939816955411</v>
      </c>
      <c r="AB53" s="29" t="n">
        <v>512.605683794776</v>
      </c>
      <c r="AC53" s="29" t="n">
        <v>773.2230164452837</v>
      </c>
      <c r="AD53" s="29" t="n">
        <v>1061.754156853298</v>
      </c>
      <c r="AE53" s="29" t="n">
        <v>697.8585040998225</v>
      </c>
      <c r="AF53" s="29" t="n">
        <v>831.3271844263911</v>
      </c>
      <c r="AG53" s="29" t="n">
        <v>1085.438818501063</v>
      </c>
      <c r="AH53" s="29" t="n">
        <v>614.122075835594</v>
      </c>
      <c r="AI53" s="29" t="n">
        <v>252.3025682618332</v>
      </c>
      <c r="AJ53" s="29" t="n">
        <v>385.8389072768886</v>
      </c>
      <c r="AK53" s="29" t="n">
        <v>2237.256349405526</v>
      </c>
      <c r="AL53" s="29" t="n">
        <v>3632.440564530049</v>
      </c>
      <c r="AM53" s="29" t="n">
        <v>8199.179419057582</v>
      </c>
      <c r="AN53" s="29" t="n">
        <v>4536.328491539442</v>
      </c>
      <c r="AO53" s="29" t="n">
        <v>3391.656496559653</v>
      </c>
      <c r="AP53" s="29" t="n">
        <v>16869.56420088725</v>
      </c>
      <c r="AQ53" s="29" t="n">
        <v>10680.39976246849</v>
      </c>
      <c r="AR53" s="29" t="n">
        <v>163.5593939594954</v>
      </c>
      <c r="AS53" s="29" t="n">
        <v>1032.996587666095</v>
      </c>
      <c r="AT53" s="29" t="n">
        <v>3303.866928417335</v>
      </c>
      <c r="AU53" s="29" t="n">
        <v>506.5850361151197</v>
      </c>
      <c r="AV53" s="29" t="n">
        <v>1699.864059049297</v>
      </c>
      <c r="AW53" s="29" t="n">
        <v>2075.272488960592</v>
      </c>
      <c r="AX53" s="29" t="n">
        <v>0</v>
      </c>
      <c r="AY53" s="29" t="n">
        <v>89.47702794575315</v>
      </c>
      <c r="AZ53" s="29" t="n">
        <v>77.44947586960903</v>
      </c>
      <c r="BA53" s="29" t="n">
        <v>16736.19110101726</v>
      </c>
      <c r="BB53" s="29">
        <f>SUM(C53:BA53)</f>
        <v/>
      </c>
      <c r="BC53" s="29" t="n">
        <v>0</v>
      </c>
      <c r="BD53" s="29" t="n">
        <v>0</v>
      </c>
      <c r="BE53" s="29" t="n">
        <v>33875.69023900654</v>
      </c>
      <c r="BF53" s="29" t="n">
        <v>0</v>
      </c>
      <c r="BG53" s="29">
        <f>SUM(BC53:BF53)</f>
        <v/>
      </c>
      <c r="BH53" s="29">
        <f>BB53+BG53</f>
        <v/>
      </c>
    </row>
    <row r="54">
      <c r="A54" s="27" t="n">
        <v>41</v>
      </c>
      <c r="B54" s="28" t="inlineStr">
        <is>
          <t>Atividades imobiliárias e aluguéis</t>
        </is>
      </c>
      <c r="C54" s="27" t="n">
        <v>3.104641822800422</v>
      </c>
      <c r="D54" s="27" t="n">
        <v>1.009668673119702</v>
      </c>
      <c r="E54" s="27" t="n">
        <v>50.27903579785004</v>
      </c>
      <c r="F54" s="27" t="n">
        <v>5.294622024201344</v>
      </c>
      <c r="G54" s="27" t="n">
        <v>10.93115863789389</v>
      </c>
      <c r="H54" s="27" t="n">
        <v>282.4618622280486</v>
      </c>
      <c r="I54" s="27" t="n">
        <v>9.472852974619897</v>
      </c>
      <c r="J54" s="27" t="n">
        <v>105.7261376307853</v>
      </c>
      <c r="K54" s="27" t="n">
        <v>132.4269717316672</v>
      </c>
      <c r="L54" s="27" t="n">
        <v>37.17726965036371</v>
      </c>
      <c r="M54" s="27" t="n">
        <v>10.5996629495209</v>
      </c>
      <c r="N54" s="27" t="n">
        <v>33.56894945652572</v>
      </c>
      <c r="O54" s="27" t="n">
        <v>16.60575538464121</v>
      </c>
      <c r="P54" s="27" t="n">
        <v>36.20676830636131</v>
      </c>
      <c r="Q54" s="27" t="n">
        <v>25.05392275464042</v>
      </c>
      <c r="R54" s="27" t="n">
        <v>34.08323374417661</v>
      </c>
      <c r="S54" s="27" t="n">
        <v>10.20282086314389</v>
      </c>
      <c r="T54" s="27" t="n">
        <v>48.83241335191374</v>
      </c>
      <c r="U54" s="27" t="n">
        <v>8.092135740107047</v>
      </c>
      <c r="V54" s="27" t="n">
        <v>35.30386757871396</v>
      </c>
      <c r="W54" s="27" t="n">
        <v>5.395729369829069</v>
      </c>
      <c r="X54" s="27" t="n">
        <v>11.48544354585358</v>
      </c>
      <c r="Y54" s="27" t="n">
        <v>96.68227822191679</v>
      </c>
      <c r="Z54" s="27" t="n">
        <v>45.73966686698445</v>
      </c>
      <c r="AA54" s="27" t="n">
        <v>90.48084512566537</v>
      </c>
      <c r="AB54" s="27" t="n">
        <v>3.111456487654395</v>
      </c>
      <c r="AC54" s="27" t="n">
        <v>52.80885204718836</v>
      </c>
      <c r="AD54" s="27" t="n">
        <v>57.02544080659624</v>
      </c>
      <c r="AE54" s="27" t="n">
        <v>31.43028525297923</v>
      </c>
      <c r="AF54" s="27" t="n">
        <v>62.9986811667619</v>
      </c>
      <c r="AG54" s="27" t="n">
        <v>24.41205345207975</v>
      </c>
      <c r="AH54" s="27" t="n">
        <v>53.08403867189514</v>
      </c>
      <c r="AI54" s="27" t="n">
        <v>10.06079939421809</v>
      </c>
      <c r="AJ54" s="27" t="n">
        <v>51.51850762489767</v>
      </c>
      <c r="AK54" s="27" t="n">
        <v>238.8813408773545</v>
      </c>
      <c r="AL54" s="27" t="n">
        <v>348.0083089922681</v>
      </c>
      <c r="AM54" s="27" t="n">
        <v>6568.302544675412</v>
      </c>
      <c r="AN54" s="27" t="n">
        <v>787.5140864150053</v>
      </c>
      <c r="AO54" s="27" t="n">
        <v>1075.052069803164</v>
      </c>
      <c r="AP54" s="27" t="n">
        <v>1067.286673743298</v>
      </c>
      <c r="AQ54" s="27" t="n">
        <v>410.0252354565534</v>
      </c>
      <c r="AR54" s="27" t="n">
        <v>87.86834220412938</v>
      </c>
      <c r="AS54" s="27" t="n">
        <v>1022.111076444676</v>
      </c>
      <c r="AT54" s="27" t="n">
        <v>1770.362951186994</v>
      </c>
      <c r="AU54" s="27" t="n">
        <v>872.9178795194688</v>
      </c>
      <c r="AV54" s="27" t="n">
        <v>391.4884110071506</v>
      </c>
      <c r="AW54" s="27" t="n">
        <v>1627.784765299275</v>
      </c>
      <c r="AX54" s="27" t="n">
        <v>0</v>
      </c>
      <c r="AY54" s="27" t="n">
        <v>115.5552521574664</v>
      </c>
      <c r="AZ54" s="27" t="n">
        <v>67.76586491286126</v>
      </c>
      <c r="BA54" s="27" t="n">
        <v>532.7436750477589</v>
      </c>
      <c r="BB54" s="27">
        <f>SUM(C54:BA54)</f>
        <v/>
      </c>
      <c r="BC54" s="27" t="n">
        <v>0</v>
      </c>
      <c r="BD54" s="27" t="n">
        <v>0</v>
      </c>
      <c r="BE54" s="27" t="n">
        <v>125146.1291037554</v>
      </c>
      <c r="BF54" s="27" t="n">
        <v>0</v>
      </c>
      <c r="BG54" s="27">
        <f>SUM(BC54:BF54)</f>
        <v/>
      </c>
      <c r="BH54" s="27">
        <f>BB54+BG54</f>
        <v/>
      </c>
    </row>
    <row r="55">
      <c r="A55" s="29" t="n">
        <v>42</v>
      </c>
      <c r="B55" s="30" t="inlineStr">
        <is>
          <t>Serviços de manutenção e reparação</t>
        </is>
      </c>
      <c r="C55" s="29" t="n">
        <v>1.842167282016702</v>
      </c>
      <c r="D55" s="29" t="n">
        <v>0.008102385258344218</v>
      </c>
      <c r="E55" s="29" t="n">
        <v>14.48059715797844</v>
      </c>
      <c r="F55" s="29" t="n">
        <v>0.09823195246730476</v>
      </c>
      <c r="G55" s="29" t="n">
        <v>0.8899392348102884</v>
      </c>
      <c r="H55" s="29" t="n">
        <v>2.397422448042254</v>
      </c>
      <c r="I55" s="29" t="n">
        <v>0.04729632020987498</v>
      </c>
      <c r="J55" s="29" t="n">
        <v>5.689514540360036</v>
      </c>
      <c r="K55" s="29" t="n">
        <v>0.1637703904568933</v>
      </c>
      <c r="L55" s="29" t="n">
        <v>0.2193339659499594</v>
      </c>
      <c r="M55" s="29" t="n">
        <v>0.05292307951386757</v>
      </c>
      <c r="N55" s="29" t="n">
        <v>0.2577839454480051</v>
      </c>
      <c r="O55" s="29" t="n">
        <v>6.987764557857644</v>
      </c>
      <c r="P55" s="29" t="n">
        <v>0.07360379290796482</v>
      </c>
      <c r="Q55" s="29" t="n">
        <v>0.0429603868476448</v>
      </c>
      <c r="R55" s="29" t="n">
        <v>0.07515609340753127</v>
      </c>
      <c r="S55" s="29" t="n">
        <v>0.08960404849447273</v>
      </c>
      <c r="T55" s="29" t="n">
        <v>0.1801648555752439</v>
      </c>
      <c r="U55" s="29" t="n">
        <v>0.0531550908676611</v>
      </c>
      <c r="V55" s="29" t="n">
        <v>0.0158362563744695</v>
      </c>
      <c r="W55" s="29" t="n">
        <v>0.03271847601908673</v>
      </c>
      <c r="X55" s="29" t="n">
        <v>0.1118501349386275</v>
      </c>
      <c r="Y55" s="29" t="n">
        <v>0.2984150878107443</v>
      </c>
      <c r="Z55" s="29" t="n">
        <v>1.14923207808449</v>
      </c>
      <c r="AA55" s="29" t="n">
        <v>9.865395042005277</v>
      </c>
      <c r="AB55" s="29" t="n">
        <v>1.423198631664235</v>
      </c>
      <c r="AC55" s="29" t="n">
        <v>9.857405923693072</v>
      </c>
      <c r="AD55" s="29" t="n">
        <v>6.462891828542066</v>
      </c>
      <c r="AE55" s="29" t="n">
        <v>18.01310994899047</v>
      </c>
      <c r="AF55" s="29" t="n">
        <v>142.0997572768623</v>
      </c>
      <c r="AG55" s="29" t="n">
        <v>0.6131707741472671</v>
      </c>
      <c r="AH55" s="29" t="n">
        <v>0.01192795551928214</v>
      </c>
      <c r="AI55" s="29" t="n">
        <v>0.01851080950154696</v>
      </c>
      <c r="AJ55" s="29" t="n">
        <v>1.866073257610234</v>
      </c>
      <c r="AK55" s="29" t="n">
        <v>148.6348211569465</v>
      </c>
      <c r="AL55" s="29" t="n">
        <v>40.57292152986521</v>
      </c>
      <c r="AM55" s="29" t="n">
        <v>626.3247532922137</v>
      </c>
      <c r="AN55" s="29" t="n">
        <v>167.3828813663103</v>
      </c>
      <c r="AO55" s="29" t="n">
        <v>1816.132700671512</v>
      </c>
      <c r="AP55" s="29" t="n">
        <v>346.7091457344845</v>
      </c>
      <c r="AQ55" s="29" t="n">
        <v>24.88570991521981</v>
      </c>
      <c r="AR55" s="29" t="n">
        <v>43.2410801313149</v>
      </c>
      <c r="AS55" s="29" t="n">
        <v>38.08107981879373</v>
      </c>
      <c r="AT55" s="29" t="n">
        <v>460.1650694949967</v>
      </c>
      <c r="AU55" s="29" t="n">
        <v>144.7383998353775</v>
      </c>
      <c r="AV55" s="29" t="n">
        <v>204.2221940038078</v>
      </c>
      <c r="AW55" s="29" t="n">
        <v>8.37154737743643</v>
      </c>
      <c r="AX55" s="29" t="n">
        <v>0</v>
      </c>
      <c r="AY55" s="29" t="n">
        <v>12.70789249810725</v>
      </c>
      <c r="AZ55" s="29" t="n">
        <v>41.2326710241969</v>
      </c>
      <c r="BA55" s="29" t="n">
        <v>182.0479582483262</v>
      </c>
      <c r="BB55" s="29">
        <f>SUM(C55:BA55)</f>
        <v/>
      </c>
      <c r="BC55" s="29" t="n">
        <v>0</v>
      </c>
      <c r="BD55" s="29" t="n">
        <v>0</v>
      </c>
      <c r="BE55" s="29" t="n">
        <v>2699.957899556166</v>
      </c>
      <c r="BF55" s="29" t="n">
        <v>0</v>
      </c>
      <c r="BG55" s="29">
        <f>SUM(BC55:BF55)</f>
        <v/>
      </c>
      <c r="BH55" s="29">
        <f>BB55+BG55</f>
        <v/>
      </c>
    </row>
    <row r="56">
      <c r="A56" s="27" t="n">
        <v>43</v>
      </c>
      <c r="B56" s="28" t="inlineStr">
        <is>
          <t>Serviços de alojamento e alimentação</t>
        </is>
      </c>
      <c r="C56" s="27" t="n">
        <v>3.637283301367611</v>
      </c>
      <c r="D56" s="27" t="n">
        <v>0.6497984697513756</v>
      </c>
      <c r="E56" s="27" t="n">
        <v>83.7559058958287</v>
      </c>
      <c r="F56" s="27" t="n">
        <v>17.14292640999537</v>
      </c>
      <c r="G56" s="27" t="n">
        <v>10.96717430012624</v>
      </c>
      <c r="H56" s="27" t="n">
        <v>234.528225240627</v>
      </c>
      <c r="I56" s="27" t="n">
        <v>14.71446770529128</v>
      </c>
      <c r="J56" s="27" t="n">
        <v>20.40590525739693</v>
      </c>
      <c r="K56" s="27" t="n">
        <v>12.64431435518031</v>
      </c>
      <c r="L56" s="27" t="n">
        <v>16.21860637926129</v>
      </c>
      <c r="M56" s="27" t="n">
        <v>3.911339305303683</v>
      </c>
      <c r="N56" s="27" t="n">
        <v>27.57166942458745</v>
      </c>
      <c r="O56" s="27" t="n">
        <v>9.06064973983627</v>
      </c>
      <c r="P56" s="27" t="n">
        <v>11.78332416834045</v>
      </c>
      <c r="Q56" s="27" t="n">
        <v>3.690867464599263</v>
      </c>
      <c r="R56" s="27" t="n">
        <v>62.92093346939461</v>
      </c>
      <c r="S56" s="27" t="n">
        <v>7.135845155803708</v>
      </c>
      <c r="T56" s="27" t="n">
        <v>107.1141987914565</v>
      </c>
      <c r="U56" s="27" t="n">
        <v>28.25673698474123</v>
      </c>
      <c r="V56" s="27" t="n">
        <v>13.09913464932956</v>
      </c>
      <c r="W56" s="27" t="n">
        <v>11.96565192678921</v>
      </c>
      <c r="X56" s="27" t="n">
        <v>36.11971849609284</v>
      </c>
      <c r="Y56" s="27" t="n">
        <v>41.01046126621535</v>
      </c>
      <c r="Z56" s="27" t="n">
        <v>29.39238663994898</v>
      </c>
      <c r="AA56" s="27" t="n">
        <v>89.9273018737764</v>
      </c>
      <c r="AB56" s="27" t="n">
        <v>25.76261844871069</v>
      </c>
      <c r="AC56" s="27" t="n">
        <v>58.71450689621543</v>
      </c>
      <c r="AD56" s="27" t="n">
        <v>135.2021174459724</v>
      </c>
      <c r="AE56" s="27" t="n">
        <v>46.56939135391917</v>
      </c>
      <c r="AF56" s="27" t="n">
        <v>71.03573309138051</v>
      </c>
      <c r="AG56" s="27" t="n">
        <v>108.8129096775505</v>
      </c>
      <c r="AH56" s="27" t="n">
        <v>34.78484320845023</v>
      </c>
      <c r="AI56" s="27" t="n">
        <v>12.1888448466842</v>
      </c>
      <c r="AJ56" s="27" t="n">
        <v>22.68742520287867</v>
      </c>
      <c r="AK56" s="27" t="n">
        <v>95.62052096751255</v>
      </c>
      <c r="AL56" s="27" t="n">
        <v>438.5728906428574</v>
      </c>
      <c r="AM56" s="27" t="n">
        <v>859.758022270983</v>
      </c>
      <c r="AN56" s="27" t="n">
        <v>447.1394553210007</v>
      </c>
      <c r="AO56" s="27" t="n">
        <v>330.8940021864145</v>
      </c>
      <c r="AP56" s="27" t="n">
        <v>759.6087317471861</v>
      </c>
      <c r="AQ56" s="27" t="n">
        <v>29.85236962394446</v>
      </c>
      <c r="AR56" s="27" t="n">
        <v>23.90886320962662</v>
      </c>
      <c r="AS56" s="27" t="n">
        <v>56.33045034614727</v>
      </c>
      <c r="AT56" s="27" t="n">
        <v>614.3246511352788</v>
      </c>
      <c r="AU56" s="27" t="n">
        <v>152.1723554121281</v>
      </c>
      <c r="AV56" s="27" t="n">
        <v>787.3378082133811</v>
      </c>
      <c r="AW56" s="27" t="n">
        <v>6322.948462231701</v>
      </c>
      <c r="AX56" s="27" t="n">
        <v>0</v>
      </c>
      <c r="AY56" s="27" t="n">
        <v>310.7343218937989</v>
      </c>
      <c r="AZ56" s="27" t="n">
        <v>631.8333071584254</v>
      </c>
      <c r="BA56" s="27" t="n">
        <v>2778.772642829285</v>
      </c>
      <c r="BB56" s="27">
        <f>SUM(C56:BA56)</f>
        <v/>
      </c>
      <c r="BC56" s="27" t="n">
        <v>0</v>
      </c>
      <c r="BD56" s="27" t="n">
        <v>0</v>
      </c>
      <c r="BE56" s="27" t="n">
        <v>34532.28097859881</v>
      </c>
      <c r="BF56" s="27" t="n">
        <v>0</v>
      </c>
      <c r="BG56" s="27">
        <f>SUM(BC56:BF56)</f>
        <v/>
      </c>
      <c r="BH56" s="27">
        <f>BB56+BG56</f>
        <v/>
      </c>
    </row>
    <row r="57">
      <c r="A57" s="29" t="n">
        <v>44</v>
      </c>
      <c r="B57" s="30" t="inlineStr">
        <is>
          <t>Serviços prestados às empresas</t>
        </is>
      </c>
      <c r="C57" s="29" t="n">
        <v>248.1672472961529</v>
      </c>
      <c r="D57" s="29" t="n">
        <v>143.4522557371373</v>
      </c>
      <c r="E57" s="29" t="n">
        <v>3699.378452354741</v>
      </c>
      <c r="F57" s="29" t="n">
        <v>534.345508204636</v>
      </c>
      <c r="G57" s="29" t="n">
        <v>541.6504531339108</v>
      </c>
      <c r="H57" s="29" t="n">
        <v>7344.410691819963</v>
      </c>
      <c r="I57" s="29" t="n">
        <v>484.3541104738815</v>
      </c>
      <c r="J57" s="29" t="n">
        <v>316.2787703145714</v>
      </c>
      <c r="K57" s="29" t="n">
        <v>316.2180790472624</v>
      </c>
      <c r="L57" s="29" t="n">
        <v>530.5542906360686</v>
      </c>
      <c r="M57" s="29" t="n">
        <v>151.6379186116244</v>
      </c>
      <c r="N57" s="29" t="n">
        <v>853.0224416068926</v>
      </c>
      <c r="O57" s="29" t="n">
        <v>138.8748350179767</v>
      </c>
      <c r="P57" s="29" t="n">
        <v>1266.097869027004</v>
      </c>
      <c r="Q57" s="29" t="n">
        <v>155.6618991911309</v>
      </c>
      <c r="R57" s="29" t="n">
        <v>1195.99273532484</v>
      </c>
      <c r="S57" s="29" t="n">
        <v>280.3819248047764</v>
      </c>
      <c r="T57" s="29" t="n">
        <v>1718.271919332555</v>
      </c>
      <c r="U57" s="29" t="n">
        <v>564.9667107244535</v>
      </c>
      <c r="V57" s="29" t="n">
        <v>777.5840198720774</v>
      </c>
      <c r="W57" s="29" t="n">
        <v>405.7770752845653</v>
      </c>
      <c r="X57" s="29" t="n">
        <v>382.5716032621173</v>
      </c>
      <c r="Y57" s="29" t="n">
        <v>966.0170327518091</v>
      </c>
      <c r="Z57" s="29" t="n">
        <v>997.9228995650351</v>
      </c>
      <c r="AA57" s="29" t="n">
        <v>922.5280521612447</v>
      </c>
      <c r="AB57" s="29" t="n">
        <v>419.0022845967947</v>
      </c>
      <c r="AC57" s="29" t="n">
        <v>756.141857362334</v>
      </c>
      <c r="AD57" s="29" t="n">
        <v>1547.745923359168</v>
      </c>
      <c r="AE57" s="29" t="n">
        <v>1211.599071216833</v>
      </c>
      <c r="AF57" s="29" t="n">
        <v>1875.880583414118</v>
      </c>
      <c r="AG57" s="29" t="n">
        <v>2269.834642354769</v>
      </c>
      <c r="AH57" s="29" t="n">
        <v>742.1784579050034</v>
      </c>
      <c r="AI57" s="29" t="n">
        <v>241.3652361646337</v>
      </c>
      <c r="AJ57" s="29" t="n">
        <v>337.8102712666447</v>
      </c>
      <c r="AK57" s="29" t="n">
        <v>2663.712015670904</v>
      </c>
      <c r="AL57" s="29" t="n">
        <v>4586.873641671377</v>
      </c>
      <c r="AM57" s="29" t="n">
        <v>13624.77520311848</v>
      </c>
      <c r="AN57" s="29" t="n">
        <v>6269.332985886802</v>
      </c>
      <c r="AO57" s="29" t="n">
        <v>9236.060565462507</v>
      </c>
      <c r="AP57" s="29" t="n">
        <v>8399.063699137339</v>
      </c>
      <c r="AQ57" s="29" t="n">
        <v>678.2605113485902</v>
      </c>
      <c r="AR57" s="29" t="n">
        <v>62.21490786694771</v>
      </c>
      <c r="AS57" s="29" t="n">
        <v>870.7560139988939</v>
      </c>
      <c r="AT57" s="29" t="n">
        <v>9313.383907801164</v>
      </c>
      <c r="AU57" s="29" t="n">
        <v>1996.363650961863</v>
      </c>
      <c r="AV57" s="29" t="n">
        <v>727.5425870981132</v>
      </c>
      <c r="AW57" s="29" t="n">
        <v>3598.529706800162</v>
      </c>
      <c r="AX57" s="29" t="n">
        <v>0</v>
      </c>
      <c r="AY57" s="29" t="n">
        <v>1545.293327897249</v>
      </c>
      <c r="AZ57" s="29" t="n">
        <v>1785.893146109751</v>
      </c>
      <c r="BA57" s="29" t="n">
        <v>7443.647533467778</v>
      </c>
      <c r="BB57" s="29">
        <f>SUM(C57:BA57)</f>
        <v/>
      </c>
      <c r="BC57" s="29" t="n">
        <v>0</v>
      </c>
      <c r="BD57" s="29" t="n">
        <v>0</v>
      </c>
      <c r="BE57" s="29" t="n">
        <v>16144.85385491468</v>
      </c>
      <c r="BF57" s="29" t="n">
        <v>0</v>
      </c>
      <c r="BG57" s="29">
        <f>SUM(BC57:BF57)</f>
        <v/>
      </c>
      <c r="BH57" s="29">
        <f>BB57+BG57</f>
        <v/>
      </c>
    </row>
    <row r="58">
      <c r="A58" s="27" t="n">
        <v>45</v>
      </c>
      <c r="B58" s="28" t="inlineStr">
        <is>
          <t>Educação mercantil</t>
        </is>
      </c>
      <c r="C58" s="27" t="n">
        <v>1.449231456688469</v>
      </c>
      <c r="D58" s="27" t="n">
        <v>0.8514950175872883</v>
      </c>
      <c r="E58" s="27" t="n">
        <v>17.49638601530066</v>
      </c>
      <c r="F58" s="27" t="n">
        <v>24.97328355202491</v>
      </c>
      <c r="G58" s="27" t="n">
        <v>7.648748163829469</v>
      </c>
      <c r="H58" s="27" t="n">
        <v>27.18978421769692</v>
      </c>
      <c r="I58" s="27" t="n">
        <v>1.376369020035352</v>
      </c>
      <c r="J58" s="27" t="n">
        <v>1.425364591935935</v>
      </c>
      <c r="K58" s="27" t="n">
        <v>0.9095660631029157</v>
      </c>
      <c r="L58" s="27" t="n">
        <v>1.508968906637823</v>
      </c>
      <c r="M58" s="27" t="n">
        <v>0.4239374790189792</v>
      </c>
      <c r="N58" s="27" t="n">
        <v>12.08820958257139</v>
      </c>
      <c r="O58" s="27" t="n">
        <v>0.3819157173032804</v>
      </c>
      <c r="P58" s="27" t="n">
        <v>5.436419883799606</v>
      </c>
      <c r="Q58" s="27" t="n">
        <v>0.4420984415767477</v>
      </c>
      <c r="R58" s="27" t="n">
        <v>6.432292078879234</v>
      </c>
      <c r="S58" s="27" t="n">
        <v>0.7936177602054444</v>
      </c>
      <c r="T58" s="27" t="n">
        <v>4.880678298142231</v>
      </c>
      <c r="U58" s="27" t="n">
        <v>6.769142908847741</v>
      </c>
      <c r="V58" s="27" t="n">
        <v>2.211166148299237</v>
      </c>
      <c r="W58" s="27" t="n">
        <v>2.220741051670549</v>
      </c>
      <c r="X58" s="27" t="n">
        <v>1.084010564809576</v>
      </c>
      <c r="Y58" s="27" t="n">
        <v>3.666215778043176</v>
      </c>
      <c r="Z58" s="27" t="n">
        <v>2.815811755532782</v>
      </c>
      <c r="AA58" s="27" t="n">
        <v>71.71214393458395</v>
      </c>
      <c r="AB58" s="27" t="n">
        <v>19.37772048531984</v>
      </c>
      <c r="AC58" s="27" t="n">
        <v>18.53209383913567</v>
      </c>
      <c r="AD58" s="27" t="n">
        <v>12.27852478366437</v>
      </c>
      <c r="AE58" s="27" t="n">
        <v>3.43137510113022</v>
      </c>
      <c r="AF58" s="27" t="n">
        <v>5.868030124715125</v>
      </c>
      <c r="AG58" s="27" t="n">
        <v>27.23873258898576</v>
      </c>
      <c r="AH58" s="27" t="n">
        <v>3.239571917563977</v>
      </c>
      <c r="AI58" s="27" t="n">
        <v>0.6794329124330254</v>
      </c>
      <c r="AJ58" s="27" t="n">
        <v>0.9610754770808045</v>
      </c>
      <c r="AK58" s="27" t="n">
        <v>28.20510061303885</v>
      </c>
      <c r="AL58" s="27" t="n">
        <v>13.80964163371804</v>
      </c>
      <c r="AM58" s="27" t="n">
        <v>172.3415219276677</v>
      </c>
      <c r="AN58" s="27" t="n">
        <v>324.6315708698305</v>
      </c>
      <c r="AO58" s="27" t="n">
        <v>42.11560968249416</v>
      </c>
      <c r="AP58" s="27" t="n">
        <v>358.9195508587921</v>
      </c>
      <c r="AQ58" s="27" t="n">
        <v>1.983093075155788</v>
      </c>
      <c r="AR58" s="27" t="n">
        <v>105.1517798825043</v>
      </c>
      <c r="AS58" s="27" t="n">
        <v>2.994301720360252</v>
      </c>
      <c r="AT58" s="27" t="n">
        <v>1019.943960161248</v>
      </c>
      <c r="AU58" s="27" t="n">
        <v>5.791879107748839</v>
      </c>
      <c r="AV58" s="27" t="n">
        <v>2.114786068784494</v>
      </c>
      <c r="AW58" s="27" t="n">
        <v>50.68640146926799</v>
      </c>
      <c r="AX58" s="27" t="n">
        <v>0</v>
      </c>
      <c r="AY58" s="27" t="n">
        <v>240.8105576783045</v>
      </c>
      <c r="AZ58" s="27" t="n">
        <v>90.21373759119471</v>
      </c>
      <c r="BA58" s="27" t="n">
        <v>154.7133404342386</v>
      </c>
      <c r="BB58" s="27">
        <f>SUM(C58:BA58)</f>
        <v/>
      </c>
      <c r="BC58" s="27" t="n">
        <v>0</v>
      </c>
      <c r="BD58" s="27" t="n">
        <v>0</v>
      </c>
      <c r="BE58" s="27" t="n">
        <v>22425.05104033151</v>
      </c>
      <c r="BF58" s="27" t="n">
        <v>0</v>
      </c>
      <c r="BG58" s="27">
        <f>SUM(BC58:BF58)</f>
        <v/>
      </c>
      <c r="BH58" s="27">
        <f>BB58+BG58</f>
        <v/>
      </c>
    </row>
    <row r="59">
      <c r="A59" s="29" t="n">
        <v>46</v>
      </c>
      <c r="B59" s="30" t="inlineStr">
        <is>
          <t>Saúde mercantil</t>
        </is>
      </c>
      <c r="C59" s="29" t="n">
        <v>0.2121928441491094</v>
      </c>
      <c r="D59" s="29" t="n">
        <v>0.06970476086007812</v>
      </c>
      <c r="E59" s="29" t="n">
        <v>1.074155239218612</v>
      </c>
      <c r="F59" s="29" t="n">
        <v>0.6417416479116906</v>
      </c>
      <c r="G59" s="29" t="n">
        <v>0.3864844085418301</v>
      </c>
      <c r="H59" s="29" t="n">
        <v>12.31704606029896</v>
      </c>
      <c r="I59" s="29" t="n">
        <v>0.4167200877921324</v>
      </c>
      <c r="J59" s="29" t="n">
        <v>2.214690514903417</v>
      </c>
      <c r="K59" s="29" t="n">
        <v>2.533734206147823</v>
      </c>
      <c r="L59" s="29" t="n">
        <v>1.683059881645961</v>
      </c>
      <c r="M59" s="29" t="n">
        <v>0.4281285189155637</v>
      </c>
      <c r="N59" s="29" t="n">
        <v>1.875407710601792</v>
      </c>
      <c r="O59" s="29" t="n">
        <v>0.3077694336914257</v>
      </c>
      <c r="P59" s="29" t="n">
        <v>0.9615557849045182</v>
      </c>
      <c r="Q59" s="29" t="n">
        <v>0.5527594303621082</v>
      </c>
      <c r="R59" s="29" t="n">
        <v>0.9369153370739558</v>
      </c>
      <c r="S59" s="29" t="n">
        <v>0.6324402225517605</v>
      </c>
      <c r="T59" s="29" t="n">
        <v>1.731447087675992</v>
      </c>
      <c r="U59" s="29" t="n">
        <v>0.4389415804477401</v>
      </c>
      <c r="V59" s="29" t="n">
        <v>0.5936934878457185</v>
      </c>
      <c r="W59" s="29" t="n">
        <v>0.2808517836840152</v>
      </c>
      <c r="X59" s="29" t="n">
        <v>0.7773106688979134</v>
      </c>
      <c r="Y59" s="29" t="n">
        <v>2.879357708342215</v>
      </c>
      <c r="Z59" s="29" t="n">
        <v>1.908353587535017</v>
      </c>
      <c r="AA59" s="29" t="n">
        <v>2.922637355364246</v>
      </c>
      <c r="AB59" s="29" t="n">
        <v>0.5868048739984966</v>
      </c>
      <c r="AC59" s="29" t="n">
        <v>1.848922721711391</v>
      </c>
      <c r="AD59" s="29" t="n">
        <v>4.312701525943034</v>
      </c>
      <c r="AE59" s="29" t="n">
        <v>1.500671976399699</v>
      </c>
      <c r="AF59" s="29" t="n">
        <v>2.346948278487114</v>
      </c>
      <c r="AG59" s="29" t="n">
        <v>0.846828057793853</v>
      </c>
      <c r="AH59" s="29" t="n">
        <v>0.7873639278629913</v>
      </c>
      <c r="AI59" s="29" t="n">
        <v>0.2458739997596456</v>
      </c>
      <c r="AJ59" s="29" t="n">
        <v>1.059995921934037</v>
      </c>
      <c r="AK59" s="29" t="n">
        <v>4.009500164258952</v>
      </c>
      <c r="AL59" s="29" t="n">
        <v>5.405628797292156</v>
      </c>
      <c r="AM59" s="29" t="n">
        <v>91.96355217475543</v>
      </c>
      <c r="AN59" s="29" t="n">
        <v>16.04734519070009</v>
      </c>
      <c r="AO59" s="29" t="n">
        <v>19.54533207175103</v>
      </c>
      <c r="AP59" s="29" t="n">
        <v>14.63157293577155</v>
      </c>
      <c r="AQ59" s="29" t="n">
        <v>5.35008100741128</v>
      </c>
      <c r="AR59" s="29" t="n">
        <v>1.141475642397122</v>
      </c>
      <c r="AS59" s="29" t="n">
        <v>13.28808945491846</v>
      </c>
      <c r="AT59" s="29" t="n">
        <v>25.05547200961794</v>
      </c>
      <c r="AU59" s="29" t="n">
        <v>11.42673273940044</v>
      </c>
      <c r="AV59" s="29" t="n">
        <v>5163.355705382523</v>
      </c>
      <c r="AW59" s="29" t="n">
        <v>21.37577089713594</v>
      </c>
      <c r="AX59" s="29" t="n">
        <v>0</v>
      </c>
      <c r="AY59" s="29" t="n">
        <v>2.808276484869022</v>
      </c>
      <c r="AZ59" s="29" t="n">
        <v>4.238704484016322</v>
      </c>
      <c r="BA59" s="29" t="n">
        <v>23.7059452186996</v>
      </c>
      <c r="BB59" s="29">
        <f>SUM(C59:BA59)</f>
        <v/>
      </c>
      <c r="BC59" s="29" t="n">
        <v>0</v>
      </c>
      <c r="BD59" s="29" t="n">
        <v>0</v>
      </c>
      <c r="BE59" s="29" t="n">
        <v>42821.22567824454</v>
      </c>
      <c r="BF59" s="29" t="n">
        <v>0</v>
      </c>
      <c r="BG59" s="29">
        <f>SUM(BC59:BF59)</f>
        <v/>
      </c>
      <c r="BH59" s="29">
        <f>BB59+BG59</f>
        <v/>
      </c>
    </row>
    <row r="60">
      <c r="A60" s="27" t="n">
        <v>47</v>
      </c>
      <c r="B60" s="28" t="inlineStr">
        <is>
          <t>Serviços prestados às famílias e associativas</t>
        </is>
      </c>
      <c r="C60" s="27" t="n">
        <v>48.54905497406417</v>
      </c>
      <c r="D60" s="27" t="n">
        <v>20.03870407640127</v>
      </c>
      <c r="E60" s="27" t="n">
        <v>250.6930345004112</v>
      </c>
      <c r="F60" s="27" t="n">
        <v>104.5159540552191</v>
      </c>
      <c r="G60" s="27" t="n">
        <v>52.86058917507764</v>
      </c>
      <c r="H60" s="27" t="n">
        <v>736.1099431868588</v>
      </c>
      <c r="I60" s="27" t="n">
        <v>36.87541662471764</v>
      </c>
      <c r="J60" s="27" t="n">
        <v>73.69897685630937</v>
      </c>
      <c r="K60" s="27" t="n">
        <v>70.12880807294441</v>
      </c>
      <c r="L60" s="27" t="n">
        <v>67.94326252900971</v>
      </c>
      <c r="M60" s="27" t="n">
        <v>40.36440153749555</v>
      </c>
      <c r="N60" s="27" t="n">
        <v>220.5787678326255</v>
      </c>
      <c r="O60" s="27" t="n">
        <v>33.38275229204687</v>
      </c>
      <c r="P60" s="27" t="n">
        <v>117.6648591406915</v>
      </c>
      <c r="Q60" s="27" t="n">
        <v>88.35766448365135</v>
      </c>
      <c r="R60" s="27" t="n">
        <v>131.8907192745653</v>
      </c>
      <c r="S60" s="27" t="n">
        <v>20.97418958023173</v>
      </c>
      <c r="T60" s="27" t="n">
        <v>176.4425663296615</v>
      </c>
      <c r="U60" s="27" t="n">
        <v>77.17947429952635</v>
      </c>
      <c r="V60" s="27" t="n">
        <v>70.74141300124143</v>
      </c>
      <c r="W60" s="27" t="n">
        <v>28.76010483396093</v>
      </c>
      <c r="X60" s="27" t="n">
        <v>143.2331439666147</v>
      </c>
      <c r="Y60" s="27" t="n">
        <v>276.8805840776336</v>
      </c>
      <c r="Z60" s="27" t="n">
        <v>136.5774471352002</v>
      </c>
      <c r="AA60" s="27" t="n">
        <v>167.3154763137079</v>
      </c>
      <c r="AB60" s="27" t="n">
        <v>55.28504045438834</v>
      </c>
      <c r="AC60" s="27" t="n">
        <v>142.910309267083</v>
      </c>
      <c r="AD60" s="27" t="n">
        <v>230.1431169676496</v>
      </c>
      <c r="AE60" s="27" t="n">
        <v>142.4698298390545</v>
      </c>
      <c r="AF60" s="27" t="n">
        <v>187.0407329983482</v>
      </c>
      <c r="AG60" s="27" t="n">
        <v>352.0254135254403</v>
      </c>
      <c r="AH60" s="27" t="n">
        <v>133.3066452416536</v>
      </c>
      <c r="AI60" s="27" t="n">
        <v>46.05291462848962</v>
      </c>
      <c r="AJ60" s="27" t="n">
        <v>84.84658432601917</v>
      </c>
      <c r="AK60" s="27" t="n">
        <v>342.4993809880454</v>
      </c>
      <c r="AL60" s="27" t="n">
        <v>525.0885135732163</v>
      </c>
      <c r="AM60" s="27" t="n">
        <v>2223.671443971684</v>
      </c>
      <c r="AN60" s="27" t="n">
        <v>1294.372207622371</v>
      </c>
      <c r="AO60" s="27" t="n">
        <v>2155.79723612207</v>
      </c>
      <c r="AP60" s="27" t="n">
        <v>1083.164490730164</v>
      </c>
      <c r="AQ60" s="27" t="n">
        <v>242.5449515718678</v>
      </c>
      <c r="AR60" s="27" t="n">
        <v>25.36174383635825</v>
      </c>
      <c r="AS60" s="27" t="n">
        <v>374.0757424222216</v>
      </c>
      <c r="AT60" s="27" t="n">
        <v>1115.07875366602</v>
      </c>
      <c r="AU60" s="27" t="n">
        <v>495.0969860241987</v>
      </c>
      <c r="AV60" s="27" t="n">
        <v>1060.153416858202</v>
      </c>
      <c r="AW60" s="27" t="n">
        <v>2144.517228168231</v>
      </c>
      <c r="AX60" s="27" t="n">
        <v>0</v>
      </c>
      <c r="AY60" s="27" t="n">
        <v>422.2430086538282</v>
      </c>
      <c r="AZ60" s="27" t="n">
        <v>439.881832013369</v>
      </c>
      <c r="BA60" s="27" t="n">
        <v>1114.074945492281</v>
      </c>
      <c r="BB60" s="27">
        <f>SUM(C60:BA60)</f>
        <v/>
      </c>
      <c r="BC60" s="27" t="n">
        <v>0</v>
      </c>
      <c r="BD60" s="27" t="n">
        <v>0</v>
      </c>
      <c r="BE60" s="27" t="n">
        <v>51764.26018837878</v>
      </c>
      <c r="BF60" s="27" t="n">
        <v>0</v>
      </c>
      <c r="BG60" s="27">
        <f>SUM(BC60:BF60)</f>
        <v/>
      </c>
      <c r="BH60" s="27">
        <f>BB60+BG60</f>
        <v/>
      </c>
    </row>
    <row r="61">
      <c r="A61" s="29" t="n">
        <v>48</v>
      </c>
      <c r="B61" s="30" t="inlineStr">
        <is>
          <t>Serviços domésticos</t>
        </is>
      </c>
      <c r="C61" s="29" t="n">
        <v>0</v>
      </c>
      <c r="D61" s="29" t="n">
        <v>0</v>
      </c>
      <c r="E61" s="29" t="n">
        <v>0</v>
      </c>
      <c r="F61" s="29" t="n">
        <v>0</v>
      </c>
      <c r="G61" s="29" t="n">
        <v>0</v>
      </c>
      <c r="H61" s="29" t="n">
        <v>0</v>
      </c>
      <c r="I61" s="29" t="n">
        <v>0</v>
      </c>
      <c r="J61" s="29" t="n">
        <v>0</v>
      </c>
      <c r="K61" s="29" t="n">
        <v>0</v>
      </c>
      <c r="L61" s="29" t="n">
        <v>0</v>
      </c>
      <c r="M61" s="29" t="n">
        <v>0</v>
      </c>
      <c r="N61" s="29" t="n">
        <v>0</v>
      </c>
      <c r="O61" s="29" t="n">
        <v>0</v>
      </c>
      <c r="P61" s="29" t="n">
        <v>0</v>
      </c>
      <c r="Q61" s="29" t="n">
        <v>0</v>
      </c>
      <c r="R61" s="29" t="n">
        <v>0</v>
      </c>
      <c r="S61" s="29" t="n">
        <v>0</v>
      </c>
      <c r="T61" s="29" t="n">
        <v>0</v>
      </c>
      <c r="U61" s="29" t="n">
        <v>0</v>
      </c>
      <c r="V61" s="29" t="n">
        <v>0</v>
      </c>
      <c r="W61" s="29" t="n">
        <v>0</v>
      </c>
      <c r="X61" s="29" t="n">
        <v>0</v>
      </c>
      <c r="Y61" s="29" t="n">
        <v>0</v>
      </c>
      <c r="Z61" s="29" t="n">
        <v>0</v>
      </c>
      <c r="AA61" s="29" t="n">
        <v>0</v>
      </c>
      <c r="AB61" s="29" t="n">
        <v>0</v>
      </c>
      <c r="AC61" s="29" t="n">
        <v>0</v>
      </c>
      <c r="AD61" s="29" t="n">
        <v>0</v>
      </c>
      <c r="AE61" s="29" t="n">
        <v>0</v>
      </c>
      <c r="AF61" s="29" t="n">
        <v>0</v>
      </c>
      <c r="AG61" s="29" t="n">
        <v>0</v>
      </c>
      <c r="AH61" s="29" t="n">
        <v>0</v>
      </c>
      <c r="AI61" s="29" t="n">
        <v>0</v>
      </c>
      <c r="AJ61" s="29" t="n">
        <v>0</v>
      </c>
      <c r="AK61" s="29" t="n">
        <v>0</v>
      </c>
      <c r="AL61" s="29" t="n">
        <v>0</v>
      </c>
      <c r="AM61" s="29" t="n">
        <v>0</v>
      </c>
      <c r="AN61" s="29" t="n">
        <v>0</v>
      </c>
      <c r="AO61" s="29" t="n">
        <v>0</v>
      </c>
      <c r="AP61" s="29" t="n">
        <v>0</v>
      </c>
      <c r="AQ61" s="29" t="n">
        <v>0</v>
      </c>
      <c r="AR61" s="29" t="n">
        <v>0</v>
      </c>
      <c r="AS61" s="29" t="n">
        <v>0</v>
      </c>
      <c r="AT61" s="29" t="n">
        <v>0</v>
      </c>
      <c r="AU61" s="29" t="n">
        <v>0</v>
      </c>
      <c r="AV61" s="29" t="n">
        <v>0</v>
      </c>
      <c r="AW61" s="29" t="n">
        <v>0</v>
      </c>
      <c r="AX61" s="29" t="n">
        <v>0</v>
      </c>
      <c r="AY61" s="29" t="n">
        <v>0</v>
      </c>
      <c r="AZ61" s="29" t="n">
        <v>0</v>
      </c>
      <c r="BA61" s="29" t="n">
        <v>0</v>
      </c>
      <c r="BB61" s="29">
        <f>SUM(C61:BA61)</f>
        <v/>
      </c>
      <c r="BC61" s="29" t="n">
        <v>0</v>
      </c>
      <c r="BD61" s="29" t="n">
        <v>0</v>
      </c>
      <c r="BE61" s="29" t="n">
        <v>13220.6650799048</v>
      </c>
      <c r="BF61" s="29" t="n">
        <v>0</v>
      </c>
      <c r="BG61" s="29">
        <f>SUM(BC61:BF61)</f>
        <v/>
      </c>
      <c r="BH61" s="29">
        <f>BB61+BG61</f>
        <v/>
      </c>
    </row>
    <row r="62">
      <c r="A62" s="27" t="n">
        <v>49</v>
      </c>
      <c r="B62" s="28" t="inlineStr">
        <is>
          <t>Educação pública</t>
        </is>
      </c>
      <c r="C62" s="27" t="n">
        <v>12.97517565802839</v>
      </c>
      <c r="D62" s="27" t="n">
        <v>8.670133756348841</v>
      </c>
      <c r="E62" s="27" t="n">
        <v>189.9408928940497</v>
      </c>
      <c r="F62" s="27" t="n">
        <v>27.10018623891588</v>
      </c>
      <c r="G62" s="27" t="n">
        <v>27.62932959934606</v>
      </c>
      <c r="H62" s="27" t="n">
        <v>382.12895514379</v>
      </c>
      <c r="I62" s="27" t="n">
        <v>25.07443649599272</v>
      </c>
      <c r="J62" s="27" t="n">
        <v>16.25204116583345</v>
      </c>
      <c r="K62" s="27" t="n">
        <v>16.16806504850671</v>
      </c>
      <c r="L62" s="27" t="n">
        <v>27.40638083826227</v>
      </c>
      <c r="M62" s="27" t="n">
        <v>7.703253399928734</v>
      </c>
      <c r="N62" s="27" t="n">
        <v>43.92501484800882</v>
      </c>
      <c r="O62" s="27" t="n">
        <v>7.39618694168064</v>
      </c>
      <c r="P62" s="27" t="n">
        <v>65.44655517447825</v>
      </c>
      <c r="Q62" s="27" t="n">
        <v>7.993141587806937</v>
      </c>
      <c r="R62" s="27" t="n">
        <v>61.78948830807207</v>
      </c>
      <c r="S62" s="27" t="n">
        <v>14.44261746198213</v>
      </c>
      <c r="T62" s="27" t="n">
        <v>89.74847531773013</v>
      </c>
      <c r="U62" s="27" t="n">
        <v>29.33031660688249</v>
      </c>
      <c r="V62" s="27" t="n">
        <v>40.21667978218696</v>
      </c>
      <c r="W62" s="27" t="n">
        <v>20.97794555292527</v>
      </c>
      <c r="X62" s="27" t="n">
        <v>19.76132223102575</v>
      </c>
      <c r="Y62" s="27" t="n">
        <v>49.85377166558264</v>
      </c>
      <c r="Z62" s="27" t="n">
        <v>51.21666717982101</v>
      </c>
      <c r="AA62" s="27" t="n">
        <v>46.69279056938612</v>
      </c>
      <c r="AB62" s="27" t="n">
        <v>21.49448546484498</v>
      </c>
      <c r="AC62" s="27" t="n">
        <v>39.12855037411959</v>
      </c>
      <c r="AD62" s="27" t="n">
        <v>73.41747021056037</v>
      </c>
      <c r="AE62" s="27" t="n">
        <v>62.49569228368154</v>
      </c>
      <c r="AF62" s="27" t="n">
        <v>97.12216183831393</v>
      </c>
      <c r="AG62" s="27" t="n">
        <v>117.3453100163065</v>
      </c>
      <c r="AH62" s="27" t="n">
        <v>38.26611396092203</v>
      </c>
      <c r="AI62" s="27" t="n">
        <v>12.36258580364004</v>
      </c>
      <c r="AJ62" s="27" t="n">
        <v>17.37329624761448</v>
      </c>
      <c r="AK62" s="27" t="n">
        <v>137.6399549268363</v>
      </c>
      <c r="AL62" s="27" t="n">
        <v>235.9541620432283</v>
      </c>
      <c r="AM62" s="27" t="n">
        <v>703.1349907678407</v>
      </c>
      <c r="AN62" s="27" t="n">
        <v>325.961821580019</v>
      </c>
      <c r="AO62" s="27" t="n">
        <v>478.9088589247472</v>
      </c>
      <c r="AP62" s="27" t="n">
        <v>437.5957684788235</v>
      </c>
      <c r="AQ62" s="27" t="n">
        <v>34.92018341620025</v>
      </c>
      <c r="AR62" s="27" t="n">
        <v>4.060510725088405</v>
      </c>
      <c r="AS62" s="27" t="n">
        <v>44.44036397343051</v>
      </c>
      <c r="AT62" s="27" t="n">
        <v>490.5553578653027</v>
      </c>
      <c r="AU62" s="27" t="n">
        <v>102.9065946105845</v>
      </c>
      <c r="AV62" s="27" t="n">
        <v>42.9214867061405</v>
      </c>
      <c r="AW62" s="27" t="n">
        <v>186.3534255222902</v>
      </c>
      <c r="AX62" s="27" t="n">
        <v>0</v>
      </c>
      <c r="AY62" s="27" t="n">
        <v>82.10419243488396</v>
      </c>
      <c r="AZ62" s="27" t="n">
        <v>93.55237546180874</v>
      </c>
      <c r="BA62" s="27" t="n">
        <v>386.7273832565392</v>
      </c>
      <c r="BB62" s="27">
        <f>SUM(C62:BA62)</f>
        <v/>
      </c>
      <c r="BC62" s="27" t="n">
        <v>0</v>
      </c>
      <c r="BD62" s="27" t="n">
        <v>0</v>
      </c>
      <c r="BE62" s="27" t="n">
        <v>47125.18738948047</v>
      </c>
      <c r="BF62" s="27" t="n">
        <v>0</v>
      </c>
      <c r="BG62" s="27">
        <f>SUM(BC62:BF62)</f>
        <v/>
      </c>
      <c r="BH62" s="27">
        <f>BB62+BG62</f>
        <v/>
      </c>
    </row>
    <row r="63">
      <c r="A63" s="29" t="n">
        <v>50</v>
      </c>
      <c r="B63" s="30" t="inlineStr">
        <is>
          <t>Saúde pública</t>
        </is>
      </c>
      <c r="C63" s="29" t="n">
        <v>0.8940510309400738</v>
      </c>
      <c r="D63" s="29" t="n">
        <v>0.7456446326882146</v>
      </c>
      <c r="E63" s="29" t="n">
        <v>12.82727322338875</v>
      </c>
      <c r="F63" s="29" t="n">
        <v>1.817044583757252</v>
      </c>
      <c r="G63" s="29" t="n">
        <v>1.861242093425896</v>
      </c>
      <c r="H63" s="29" t="n">
        <v>25.6365203368357</v>
      </c>
      <c r="I63" s="29" t="n">
        <v>1.691945278496986</v>
      </c>
      <c r="J63" s="29" t="n">
        <v>1.095203592624587</v>
      </c>
      <c r="K63" s="29" t="n">
        <v>1.088189288489402</v>
      </c>
      <c r="L63" s="29" t="n">
        <v>1.848086610984781</v>
      </c>
      <c r="M63" s="29" t="n">
        <v>0.5204846952806205</v>
      </c>
      <c r="N63" s="29" t="n">
        <v>2.955161237622282</v>
      </c>
      <c r="O63" s="29" t="n">
        <v>0.4659146800068885</v>
      </c>
      <c r="P63" s="29" t="n">
        <v>4.416407672418725</v>
      </c>
      <c r="Q63" s="29" t="n">
        <v>0.537799209928606</v>
      </c>
      <c r="R63" s="29" t="n">
        <v>4.170104900838188</v>
      </c>
      <c r="S63" s="29" t="n">
        <v>0.974355538389553</v>
      </c>
      <c r="T63" s="29" t="n">
        <v>6.266425984102976</v>
      </c>
      <c r="U63" s="29" t="n">
        <v>1.991262166696359</v>
      </c>
      <c r="V63" s="29" t="n">
        <v>2.780146685131033</v>
      </c>
      <c r="W63" s="29" t="n">
        <v>1.416026315983156</v>
      </c>
      <c r="X63" s="29" t="n">
        <v>1.334468394555025</v>
      </c>
      <c r="Y63" s="29" t="n">
        <v>3.361241798634938</v>
      </c>
      <c r="Z63" s="29" t="n">
        <v>3.457794814153079</v>
      </c>
      <c r="AA63" s="29" t="n">
        <v>3.107196239541534</v>
      </c>
      <c r="AB63" s="29" t="n">
        <v>1.442263068963864</v>
      </c>
      <c r="AC63" s="29" t="n">
        <v>2.651543810516144</v>
      </c>
      <c r="AD63" s="29" t="n">
        <v>4.948243088209236</v>
      </c>
      <c r="AE63" s="29" t="n">
        <v>4.216709231913502</v>
      </c>
      <c r="AF63" s="29" t="n">
        <v>6.553313899089654</v>
      </c>
      <c r="AG63" s="29" t="n">
        <v>7.90653604161802</v>
      </c>
      <c r="AH63" s="29" t="n">
        <v>2.580833124002454</v>
      </c>
      <c r="AI63" s="29" t="n">
        <v>0.833933841199762</v>
      </c>
      <c r="AJ63" s="29" t="n">
        <v>1.170099815731569</v>
      </c>
      <c r="AK63" s="29" t="n">
        <v>9.268415440562878</v>
      </c>
      <c r="AL63" s="29" t="n">
        <v>15.91294447767688</v>
      </c>
      <c r="AM63" s="29" t="n">
        <v>47.10979671249984</v>
      </c>
      <c r="AN63" s="29" t="n">
        <v>21.80065269448809</v>
      </c>
      <c r="AO63" s="29" t="n">
        <v>32.16493500652185</v>
      </c>
      <c r="AP63" s="29" t="n">
        <v>29.25978229763849</v>
      </c>
      <c r="AQ63" s="29" t="n">
        <v>2.335186211607238</v>
      </c>
      <c r="AR63" s="29" t="n">
        <v>0.2080487743951768</v>
      </c>
      <c r="AS63" s="29" t="n">
        <v>2.961470308056616</v>
      </c>
      <c r="AT63" s="29" t="n">
        <v>32.3964830654841</v>
      </c>
      <c r="AU63" s="29" t="n">
        <v>6.921902907163451</v>
      </c>
      <c r="AV63" s="29" t="n">
        <v>151.5503514378506</v>
      </c>
      <c r="AW63" s="29" t="n">
        <v>12.5964189484358</v>
      </c>
      <c r="AX63" s="29" t="n">
        <v>0</v>
      </c>
      <c r="AY63" s="29" t="n">
        <v>5.450671765746261</v>
      </c>
      <c r="AZ63" s="29" t="n">
        <v>6.437778417281752</v>
      </c>
      <c r="BA63" s="29" t="n">
        <v>26.42344724268736</v>
      </c>
      <c r="BB63" s="29">
        <f>SUM(C63:BA63)</f>
        <v/>
      </c>
      <c r="BC63" s="29" t="n">
        <v>0</v>
      </c>
      <c r="BD63" s="29" t="n">
        <v>0</v>
      </c>
      <c r="BE63" s="29" t="n">
        <v>28970.72394652973</v>
      </c>
      <c r="BF63" s="29" t="n">
        <v>0</v>
      </c>
      <c r="BG63" s="29">
        <f>SUM(BC63:BF63)</f>
        <v/>
      </c>
      <c r="BH63" s="29">
        <f>BB63+BG63</f>
        <v/>
      </c>
    </row>
    <row r="64">
      <c r="A64" s="27" t="n">
        <v>51</v>
      </c>
      <c r="B64" s="28" t="inlineStr">
        <is>
          <t>Administração pública e seguridade social</t>
        </is>
      </c>
      <c r="C64" s="27" t="n">
        <v>130.1160466588249</v>
      </c>
      <c r="D64" s="27" t="n">
        <v>42.60449342044561</v>
      </c>
      <c r="E64" s="27" t="n">
        <v>171.9223961760158</v>
      </c>
      <c r="F64" s="27" t="n">
        <v>34.33748722696387</v>
      </c>
      <c r="G64" s="27" t="n">
        <v>30.24235460633382</v>
      </c>
      <c r="H64" s="27" t="n">
        <v>428.6929829184533</v>
      </c>
      <c r="I64" s="27" t="n">
        <v>18.50345358959119</v>
      </c>
      <c r="J64" s="27" t="n">
        <v>28.09256744403543</v>
      </c>
      <c r="K64" s="27" t="n">
        <v>25.23277934108926</v>
      </c>
      <c r="L64" s="27" t="n">
        <v>26.61286270132365</v>
      </c>
      <c r="M64" s="27" t="n">
        <v>20.321898940356</v>
      </c>
      <c r="N64" s="27" t="n">
        <v>66.27971940188381</v>
      </c>
      <c r="O64" s="27" t="n">
        <v>73.60071807269929</v>
      </c>
      <c r="P64" s="27" t="n">
        <v>55.03819270243757</v>
      </c>
      <c r="Q64" s="27" t="n">
        <v>10.10548568497742</v>
      </c>
      <c r="R64" s="27" t="n">
        <v>160.2432217848458</v>
      </c>
      <c r="S64" s="27" t="n">
        <v>27.11438775058699</v>
      </c>
      <c r="T64" s="27" t="n">
        <v>77.82296669362758</v>
      </c>
      <c r="U64" s="27" t="n">
        <v>25.78839104527214</v>
      </c>
      <c r="V64" s="27" t="n">
        <v>37.20662954668227</v>
      </c>
      <c r="W64" s="27" t="n">
        <v>23.28881894589929</v>
      </c>
      <c r="X64" s="27" t="n">
        <v>24.21609848887524</v>
      </c>
      <c r="Y64" s="27" t="n">
        <v>58.60705491314788</v>
      </c>
      <c r="Z64" s="27" t="n">
        <v>69.22862602053084</v>
      </c>
      <c r="AA64" s="27" t="n">
        <v>96.70139579866947</v>
      </c>
      <c r="AB64" s="27" t="n">
        <v>37.07057909950507</v>
      </c>
      <c r="AC64" s="27" t="n">
        <v>45.37824244600493</v>
      </c>
      <c r="AD64" s="27" t="n">
        <v>66.76713541169846</v>
      </c>
      <c r="AE64" s="27" t="n">
        <v>55.40936664293415</v>
      </c>
      <c r="AF64" s="27" t="n">
        <v>86.33406232462588</v>
      </c>
      <c r="AG64" s="27" t="n">
        <v>103.6335860746047</v>
      </c>
      <c r="AH64" s="27" t="n">
        <v>42.81646596332267</v>
      </c>
      <c r="AI64" s="27" t="n">
        <v>12.52165031284547</v>
      </c>
      <c r="AJ64" s="27" t="n">
        <v>19.88954787321758</v>
      </c>
      <c r="AK64" s="27" t="n">
        <v>298.108254660117</v>
      </c>
      <c r="AL64" s="27" t="n">
        <v>191.3677460515124</v>
      </c>
      <c r="AM64" s="27" t="n">
        <v>917.4915747790571</v>
      </c>
      <c r="AN64" s="27" t="n">
        <v>416.511357882945</v>
      </c>
      <c r="AO64" s="27" t="n">
        <v>582.5601660348736</v>
      </c>
      <c r="AP64" s="27" t="n">
        <v>408.5684884311088</v>
      </c>
      <c r="AQ64" s="27" t="n">
        <v>42.33064658335214</v>
      </c>
      <c r="AR64" s="27" t="n">
        <v>7.768189856019769</v>
      </c>
      <c r="AS64" s="27" t="n">
        <v>65.88920427431307</v>
      </c>
      <c r="AT64" s="27" t="n">
        <v>605.3092949931113</v>
      </c>
      <c r="AU64" s="27" t="n">
        <v>113.6202905307911</v>
      </c>
      <c r="AV64" s="27" t="n">
        <v>82.36006856299696</v>
      </c>
      <c r="AW64" s="27" t="n">
        <v>375.750897718856</v>
      </c>
      <c r="AX64" s="27" t="n">
        <v>0</v>
      </c>
      <c r="AY64" s="27" t="n">
        <v>86.46868796822889</v>
      </c>
      <c r="AZ64" s="27" t="n">
        <v>85.16785489206337</v>
      </c>
      <c r="BA64" s="27" t="n">
        <v>387.6779410582777</v>
      </c>
      <c r="BB64" s="27">
        <f>SUM(C64:BA64)</f>
        <v/>
      </c>
      <c r="BC64" s="27" t="n">
        <v>0</v>
      </c>
      <c r="BD64" s="27" t="n">
        <v>0</v>
      </c>
      <c r="BE64" s="27" t="n">
        <v>165985.2118621596</v>
      </c>
      <c r="BF64" s="27" t="n">
        <v>0</v>
      </c>
      <c r="BG64" s="27">
        <f>SUM(BC64:BF64)</f>
        <v/>
      </c>
      <c r="BH64" s="27">
        <f>BB64+BG64</f>
        <v/>
      </c>
    </row>
    <row r="65">
      <c r="B65" s="31" t="inlineStr">
        <is>
          <t>Total consumo intermedio</t>
        </is>
      </c>
      <c r="C65" s="32">
        <f>SUM(C14:C64)</f>
        <v/>
      </c>
      <c r="D65" s="32">
        <f>SUM(D14:D64)</f>
        <v/>
      </c>
      <c r="E65" s="32">
        <f>SUM(E14:E64)</f>
        <v/>
      </c>
      <c r="F65" s="32">
        <f>SUM(F14:F64)</f>
        <v/>
      </c>
      <c r="G65" s="32">
        <f>SUM(G14:G64)</f>
        <v/>
      </c>
      <c r="H65" s="32">
        <f>SUM(H14:H64)</f>
        <v/>
      </c>
      <c r="I65" s="32">
        <f>SUM(I14:I64)</f>
        <v/>
      </c>
      <c r="J65" s="32">
        <f>SUM(J14:J64)</f>
        <v/>
      </c>
      <c r="K65" s="32">
        <f>SUM(K14:K64)</f>
        <v/>
      </c>
      <c r="L65" s="32">
        <f>SUM(L14:L64)</f>
        <v/>
      </c>
      <c r="M65" s="32">
        <f>SUM(M14:M64)</f>
        <v/>
      </c>
      <c r="N65" s="32">
        <f>SUM(N14:N64)</f>
        <v/>
      </c>
      <c r="O65" s="32">
        <f>SUM(O14:O64)</f>
        <v/>
      </c>
      <c r="P65" s="32">
        <f>SUM(P14:P64)</f>
        <v/>
      </c>
      <c r="Q65" s="32">
        <f>SUM(Q14:Q64)</f>
        <v/>
      </c>
      <c r="R65" s="32">
        <f>SUM(R14:R64)</f>
        <v/>
      </c>
      <c r="S65" s="32">
        <f>SUM(S14:S64)</f>
        <v/>
      </c>
      <c r="T65" s="32">
        <f>SUM(T14:T64)</f>
        <v/>
      </c>
      <c r="U65" s="32">
        <f>SUM(U14:U64)</f>
        <v/>
      </c>
      <c r="V65" s="32">
        <f>SUM(V14:V64)</f>
        <v/>
      </c>
      <c r="W65" s="32">
        <f>SUM(W14:W64)</f>
        <v/>
      </c>
      <c r="X65" s="32">
        <f>SUM(X14:X64)</f>
        <v/>
      </c>
      <c r="Y65" s="32">
        <f>SUM(Y14:Y64)</f>
        <v/>
      </c>
      <c r="Z65" s="32">
        <f>SUM(Z14:Z64)</f>
        <v/>
      </c>
      <c r="AA65" s="32">
        <f>SUM(AA14:AA64)</f>
        <v/>
      </c>
      <c r="AB65" s="32">
        <f>SUM(AB14:AB64)</f>
        <v/>
      </c>
      <c r="AC65" s="32">
        <f>SUM(AC14:AC64)</f>
        <v/>
      </c>
      <c r="AD65" s="32">
        <f>SUM(AD14:AD64)</f>
        <v/>
      </c>
      <c r="AE65" s="32">
        <f>SUM(AE14:AE64)</f>
        <v/>
      </c>
      <c r="AF65" s="32">
        <f>SUM(AF14:AF64)</f>
        <v/>
      </c>
      <c r="AG65" s="32">
        <f>SUM(AG14:AG64)</f>
        <v/>
      </c>
      <c r="AH65" s="32">
        <f>SUM(AH14:AH64)</f>
        <v/>
      </c>
      <c r="AI65" s="32">
        <f>SUM(AI14:AI64)</f>
        <v/>
      </c>
      <c r="AJ65" s="32">
        <f>SUM(AJ14:AJ64)</f>
        <v/>
      </c>
      <c r="AK65" s="32">
        <f>SUM(AK14:AK64)</f>
        <v/>
      </c>
      <c r="AL65" s="32">
        <f>SUM(AL14:AL64)</f>
        <v/>
      </c>
      <c r="AM65" s="32">
        <f>SUM(AM14:AM64)</f>
        <v/>
      </c>
      <c r="AN65" s="32">
        <f>SUM(AN14:AN64)</f>
        <v/>
      </c>
      <c r="AO65" s="32">
        <f>SUM(AO14:AO64)</f>
        <v/>
      </c>
      <c r="AP65" s="32">
        <f>SUM(AP14:AP64)</f>
        <v/>
      </c>
      <c r="AQ65" s="32">
        <f>SUM(AQ14:AQ64)</f>
        <v/>
      </c>
      <c r="AR65" s="32">
        <f>SUM(AR14:AR64)</f>
        <v/>
      </c>
      <c r="AS65" s="32">
        <f>SUM(AS14:AS64)</f>
        <v/>
      </c>
      <c r="AT65" s="32">
        <f>SUM(AT14:AT64)</f>
        <v/>
      </c>
      <c r="AU65" s="32">
        <f>SUM(AU14:AU64)</f>
        <v/>
      </c>
      <c r="AV65" s="32">
        <f>SUM(AV14:AV64)</f>
        <v/>
      </c>
      <c r="AW65" s="32">
        <f>SUM(AW14:AW64)</f>
        <v/>
      </c>
      <c r="AX65" s="32">
        <f>SUM(AX14:AX64)</f>
        <v/>
      </c>
      <c r="AY65" s="32">
        <f>SUM(AY14:AY64)</f>
        <v/>
      </c>
      <c r="AZ65" s="32">
        <f>SUM(AZ14:AZ64)</f>
        <v/>
      </c>
      <c r="BA65" s="32">
        <f>SUM(BA14:BA64)</f>
        <v/>
      </c>
      <c r="BB65" s="32">
        <f>SUM(BB14:BB64)</f>
        <v/>
      </c>
      <c r="BC65" s="32">
        <f>SUM(BC14:BC64)</f>
        <v/>
      </c>
      <c r="BD65" s="32">
        <f>SUM(BD14:BD64)</f>
        <v/>
      </c>
      <c r="BE65" s="32">
        <f>SUM(BE14:BE64)</f>
        <v/>
      </c>
      <c r="BF65" s="32">
        <f>SUM(BF14:BF64)</f>
        <v/>
      </c>
      <c r="BG65" s="32">
        <f>SUM(BG14:BG64)</f>
        <v/>
      </c>
      <c r="BH65" s="32">
        <f>SUM(BH14:BH64)</f>
        <v/>
      </c>
    </row>
    <row r="66"/>
    <row r="67">
      <c r="B67" s="31" t="inlineStr">
        <is>
          <t>Ajuste intermedio no asignado a matriz</t>
        </is>
      </c>
      <c r="C67" s="32" t="n">
        <v>-6.366462912410498e-12</v>
      </c>
      <c r="D67" s="32" t="n">
        <v>1.364242052659392e-12</v>
      </c>
      <c r="E67" s="32" t="n">
        <v>-9.094947017729282e-13</v>
      </c>
      <c r="F67" s="32" t="n">
        <v>2.273736754432321e-13</v>
      </c>
      <c r="G67" s="32" t="n">
        <v>1.023181539494544e-12</v>
      </c>
      <c r="H67" s="32" t="n">
        <v>-7.275957614183426e-12</v>
      </c>
      <c r="I67" s="32" t="n">
        <v>5.684341886080801e-14</v>
      </c>
      <c r="J67" s="32" t="n">
        <v>-4.547473508864641e-13</v>
      </c>
      <c r="K67" s="32" t="n">
        <v>6.821210263296962e-13</v>
      </c>
      <c r="L67" s="32" t="n">
        <v>9.094947017729282e-13</v>
      </c>
      <c r="M67" s="32" t="n">
        <v>-6.821210263296962e-13</v>
      </c>
      <c r="N67" s="32" t="n">
        <v>2.273736754432321e-13</v>
      </c>
      <c r="O67" s="32" t="n">
        <v>0</v>
      </c>
      <c r="P67" s="32" t="n">
        <v>7.275957614183426e-12</v>
      </c>
      <c r="Q67" s="32" t="n">
        <v>5.684341886080801e-14</v>
      </c>
      <c r="R67" s="32" t="n">
        <v>1.818989403545856e-12</v>
      </c>
      <c r="S67" s="32" t="n">
        <v>0</v>
      </c>
      <c r="T67" s="32" t="n">
        <v>-4.547473508864641e-13</v>
      </c>
      <c r="U67" s="32" t="n">
        <v>-4.547473508864641e-13</v>
      </c>
      <c r="V67" s="32" t="n">
        <v>4.547473508864641e-13</v>
      </c>
      <c r="W67" s="32" t="n">
        <v>-1.13686837721616e-13</v>
      </c>
      <c r="X67" s="32" t="n">
        <v>3.410605131648481e-13</v>
      </c>
      <c r="Y67" s="32" t="n">
        <v>-9.094947017729282e-13</v>
      </c>
      <c r="Z67" s="32" t="n">
        <v>-4.547473508864641e-13</v>
      </c>
      <c r="AA67" s="32" t="n">
        <v>-4.547473508864641e-13</v>
      </c>
      <c r="AB67" s="32" t="n">
        <v>0</v>
      </c>
      <c r="AC67" s="32" t="n">
        <v>-6.821210263296962e-13</v>
      </c>
      <c r="AD67" s="32" t="n">
        <v>-9.094947017729282e-13</v>
      </c>
      <c r="AE67" s="32" t="n">
        <v>-4.547473508864641e-13</v>
      </c>
      <c r="AF67" s="32" t="n">
        <v>5.456968210637569e-12</v>
      </c>
      <c r="AG67" s="32" t="n">
        <v>-9.094947017729282e-13</v>
      </c>
      <c r="AH67" s="32" t="n">
        <v>9.094947017729282e-13</v>
      </c>
      <c r="AI67" s="32" t="n">
        <v>-4.547473508864641e-13</v>
      </c>
      <c r="AJ67" s="32" t="n">
        <v>0</v>
      </c>
      <c r="AK67" s="32" t="n">
        <v>0</v>
      </c>
      <c r="AL67" s="32" t="n">
        <v>1.818989403545856e-12</v>
      </c>
      <c r="AM67" s="32" t="n">
        <v>0</v>
      </c>
      <c r="AN67" s="32" t="n">
        <v>-9.094947017729282e-13</v>
      </c>
      <c r="AO67" s="32" t="n">
        <v>2.728484105318785e-12</v>
      </c>
      <c r="AP67" s="32" t="n">
        <v>-1.818989403545856e-12</v>
      </c>
      <c r="AQ67" s="32" t="n">
        <v>0</v>
      </c>
      <c r="AR67" s="32" t="n">
        <v>3.410605131648481e-13</v>
      </c>
      <c r="AS67" s="32" t="n">
        <v>9.094947017729282e-13</v>
      </c>
      <c r="AT67" s="32" t="n">
        <v>-9.094947017729282e-13</v>
      </c>
      <c r="AU67" s="32" t="n">
        <v>-2.273736754432321e-13</v>
      </c>
      <c r="AV67" s="32" t="n">
        <v>1.818989403545856e-12</v>
      </c>
      <c r="AW67" s="32" t="n">
        <v>0</v>
      </c>
      <c r="AX67" s="32" t="n">
        <v>0</v>
      </c>
      <c r="AY67" s="32" t="n">
        <v>-9.094947017729282e-13</v>
      </c>
      <c r="AZ67" s="32" t="n">
        <v>-6.821210263296962e-13</v>
      </c>
      <c r="BA67" s="32" t="n">
        <v>9.094947017729282e-13</v>
      </c>
      <c r="BH67" s="32">
        <f>SUM(C67:BA67)</f>
        <v/>
      </c>
    </row>
    <row r="68"/>
    <row r="69">
      <c r="B69" s="31" t="inlineStr">
        <is>
          <t>Valor agregado</t>
        </is>
      </c>
      <c r="C69" s="32" t="n">
        <v>43785.803373983</v>
      </c>
      <c r="D69" s="32" t="n">
        <v>19384.1826608336</v>
      </c>
      <c r="E69" s="32" t="n">
        <v>13994.7864305984</v>
      </c>
      <c r="F69" s="32" t="n">
        <v>2839.97872626353</v>
      </c>
      <c r="G69" s="32" t="n">
        <v>1341.64185004271</v>
      </c>
      <c r="H69" s="32" t="n">
        <v>19507.9594376283</v>
      </c>
      <c r="I69" s="32" t="n">
        <v>916.82169480279</v>
      </c>
      <c r="J69" s="32" t="n">
        <v>6746.61385102629</v>
      </c>
      <c r="K69" s="32" t="n">
        <v>9623.981885708539</v>
      </c>
      <c r="L69" s="32" t="n">
        <v>4590.42276075605</v>
      </c>
      <c r="M69" s="32" t="n">
        <v>3616.83850738172</v>
      </c>
      <c r="N69" s="32" t="n">
        <v>6676.15433740125</v>
      </c>
      <c r="O69" s="32" t="n">
        <v>4451.79908417284</v>
      </c>
      <c r="P69" s="32" t="n">
        <v>10112.3065302694</v>
      </c>
      <c r="Q69" s="32" t="n">
        <v>2158.44760573645</v>
      </c>
      <c r="R69" s="32" t="n">
        <v>6394.63020513376</v>
      </c>
      <c r="S69" s="32" t="n">
        <v>1375.22205294928</v>
      </c>
      <c r="T69" s="32" t="n">
        <v>8558.022982484041</v>
      </c>
      <c r="U69" s="32" t="n">
        <v>511.087891554102</v>
      </c>
      <c r="V69" s="32" t="n">
        <v>1309.93340611052</v>
      </c>
      <c r="W69" s="32" t="n">
        <v>1159.53735649832</v>
      </c>
      <c r="X69" s="32" t="n">
        <v>1333.07535516706</v>
      </c>
      <c r="Y69" s="32" t="n">
        <v>5293.68048173529</v>
      </c>
      <c r="Z69" s="32" t="n">
        <v>6580.46648297178</v>
      </c>
      <c r="AA69" s="32" t="n">
        <v>3201.38680446018</v>
      </c>
      <c r="AB69" s="32" t="n">
        <v>2364.57585547064</v>
      </c>
      <c r="AC69" s="32" t="n">
        <v>11842.9419400601</v>
      </c>
      <c r="AD69" s="32" t="n">
        <v>13646.7229304514</v>
      </c>
      <c r="AE69" s="32" t="n">
        <v>4119.60905477163</v>
      </c>
      <c r="AF69" s="32" t="n">
        <v>5962.90206165249</v>
      </c>
      <c r="AG69" s="32" t="n">
        <v>12073.7858110099</v>
      </c>
      <c r="AH69" s="32" t="n">
        <v>4405.18067379889</v>
      </c>
      <c r="AI69" s="32" t="n">
        <v>4781.86870033289</v>
      </c>
      <c r="AJ69" s="32" t="n">
        <v>8910.33535733594</v>
      </c>
      <c r="AK69" s="32" t="n">
        <v>37296.4488747698</v>
      </c>
      <c r="AL69" s="32" t="n">
        <v>70181.6594239918</v>
      </c>
      <c r="AM69" s="32" t="n">
        <v>93400.80378417439</v>
      </c>
      <c r="AN69" s="32" t="n">
        <v>40689.1471236031</v>
      </c>
      <c r="AO69" s="32" t="n">
        <v>51368.9910110437</v>
      </c>
      <c r="AP69" s="32" t="n">
        <v>79911.62411694419</v>
      </c>
      <c r="AQ69" s="32" t="n">
        <v>128132.535615956</v>
      </c>
      <c r="AR69" s="32" t="n">
        <v>5159.25569758303</v>
      </c>
      <c r="AS69" s="32" t="n">
        <v>24064.9738058539</v>
      </c>
      <c r="AT69" s="32" t="n">
        <v>61846.4412881059</v>
      </c>
      <c r="AU69" s="32" t="n">
        <v>16612.7510854294</v>
      </c>
      <c r="AV69" s="32" t="n">
        <v>25694.4499066952</v>
      </c>
      <c r="AW69" s="32" t="n">
        <v>35073.4347269914</v>
      </c>
      <c r="AX69" s="32" t="n">
        <v>13220.6650799048</v>
      </c>
      <c r="AY69" s="32" t="n">
        <v>42017.111094164</v>
      </c>
      <c r="AZ69" s="32" t="n">
        <v>19690.5338742694</v>
      </c>
      <c r="BA69" s="32" t="n">
        <v>122488.343221479</v>
      </c>
      <c r="BH69" s="32">
        <f>SUM(C69:BA69)</f>
        <v/>
      </c>
    </row>
    <row r="70"/>
    <row r="71">
      <c r="B71" s="31" t="inlineStr">
        <is>
          <t>Produccion total</t>
        </is>
      </c>
      <c r="C71" s="32">
        <f>C65+C67+C69</f>
        <v/>
      </c>
      <c r="D71" s="32">
        <f>D65+D67+D69</f>
        <v/>
      </c>
      <c r="E71" s="32">
        <f>E65+E67+E69</f>
        <v/>
      </c>
      <c r="F71" s="32">
        <f>F65+F67+F69</f>
        <v/>
      </c>
      <c r="G71" s="32">
        <f>G65+G67+G69</f>
        <v/>
      </c>
      <c r="H71" s="32">
        <f>H65+H67+H69</f>
        <v/>
      </c>
      <c r="I71" s="32">
        <f>I65+I67+I69</f>
        <v/>
      </c>
      <c r="J71" s="32">
        <f>J65+J67+J69</f>
        <v/>
      </c>
      <c r="K71" s="32">
        <f>K65+K67+K69</f>
        <v/>
      </c>
      <c r="L71" s="32">
        <f>L65+L67+L69</f>
        <v/>
      </c>
      <c r="M71" s="32">
        <f>M65+M67+M69</f>
        <v/>
      </c>
      <c r="N71" s="32">
        <f>N65+N67+N69</f>
        <v/>
      </c>
      <c r="O71" s="32">
        <f>O65+O67+O69</f>
        <v/>
      </c>
      <c r="P71" s="32">
        <f>P65+P67+P69</f>
        <v/>
      </c>
      <c r="Q71" s="32">
        <f>Q65+Q67+Q69</f>
        <v/>
      </c>
      <c r="R71" s="32">
        <f>R65+R67+R69</f>
        <v/>
      </c>
      <c r="S71" s="32">
        <f>S65+S67+S69</f>
        <v/>
      </c>
      <c r="T71" s="32">
        <f>T65+T67+T69</f>
        <v/>
      </c>
      <c r="U71" s="32">
        <f>U65+U67+U69</f>
        <v/>
      </c>
      <c r="V71" s="32">
        <f>V65+V67+V69</f>
        <v/>
      </c>
      <c r="W71" s="32">
        <f>W65+W67+W69</f>
        <v/>
      </c>
      <c r="X71" s="32">
        <f>X65+X67+X69</f>
        <v/>
      </c>
      <c r="Y71" s="32">
        <f>Y65+Y67+Y69</f>
        <v/>
      </c>
      <c r="Z71" s="32">
        <f>Z65+Z67+Z69</f>
        <v/>
      </c>
      <c r="AA71" s="32">
        <f>AA65+AA67+AA69</f>
        <v/>
      </c>
      <c r="AB71" s="32">
        <f>AB65+AB67+AB69</f>
        <v/>
      </c>
      <c r="AC71" s="32">
        <f>AC65+AC67+AC69</f>
        <v/>
      </c>
      <c r="AD71" s="32">
        <f>AD65+AD67+AD69</f>
        <v/>
      </c>
      <c r="AE71" s="32">
        <f>AE65+AE67+AE69</f>
        <v/>
      </c>
      <c r="AF71" s="32">
        <f>AF65+AF67+AF69</f>
        <v/>
      </c>
      <c r="AG71" s="32">
        <f>AG65+AG67+AG69</f>
        <v/>
      </c>
      <c r="AH71" s="32">
        <f>AH65+AH67+AH69</f>
        <v/>
      </c>
      <c r="AI71" s="32">
        <f>AI65+AI67+AI69</f>
        <v/>
      </c>
      <c r="AJ71" s="32">
        <f>AJ65+AJ67+AJ69</f>
        <v/>
      </c>
      <c r="AK71" s="32">
        <f>AK65+AK67+AK69</f>
        <v/>
      </c>
      <c r="AL71" s="32">
        <f>AL65+AL67+AL69</f>
        <v/>
      </c>
      <c r="AM71" s="32">
        <f>AM65+AM67+AM69</f>
        <v/>
      </c>
      <c r="AN71" s="32">
        <f>AN65+AN67+AN69</f>
        <v/>
      </c>
      <c r="AO71" s="32">
        <f>AO65+AO67+AO69</f>
        <v/>
      </c>
      <c r="AP71" s="32">
        <f>AP65+AP67+AP69</f>
        <v/>
      </c>
      <c r="AQ71" s="32">
        <f>AQ65+AQ67+AQ69</f>
        <v/>
      </c>
      <c r="AR71" s="32">
        <f>AR65+AR67+AR69</f>
        <v/>
      </c>
      <c r="AS71" s="32">
        <f>AS65+AS67+AS69</f>
        <v/>
      </c>
      <c r="AT71" s="32">
        <f>AT65+AT67+AT69</f>
        <v/>
      </c>
      <c r="AU71" s="32">
        <f>AU65+AU67+AU69</f>
        <v/>
      </c>
      <c r="AV71" s="32">
        <f>AV65+AV67+AV69</f>
        <v/>
      </c>
      <c r="AW71" s="32">
        <f>AW65+AW67+AW69</f>
        <v/>
      </c>
      <c r="AX71" s="32">
        <f>AX65+AX67+AX69</f>
        <v/>
      </c>
      <c r="AY71" s="32">
        <f>AY65+AY67+AY69</f>
        <v/>
      </c>
      <c r="AZ71" s="32">
        <f>AZ65+AZ67+AZ69</f>
        <v/>
      </c>
      <c r="BA71" s="32">
        <f>BA65+BA67+BA69</f>
        <v/>
      </c>
      <c r="BH71" s="32">
        <f>SUM(C71:BA71)</f>
        <v/>
      </c>
    </row>
    <row r="72">
      <c r="B72" s="31" t="inlineStr">
        <is>
          <t>Produccion fuente</t>
        </is>
      </c>
      <c r="C72" s="32" t="n">
        <v>67926.98662659568</v>
      </c>
      <c r="D72" s="32" t="n">
        <v>34514.26511352355</v>
      </c>
      <c r="E72" s="32" t="n">
        <v>32971.18826516477</v>
      </c>
      <c r="F72" s="32" t="n">
        <v>8553.531438061942</v>
      </c>
      <c r="G72" s="32" t="n">
        <v>6872.827820938395</v>
      </c>
      <c r="H72" s="32" t="n">
        <v>145347.8841165121</v>
      </c>
      <c r="I72" s="32" t="n">
        <v>4737.341976116724</v>
      </c>
      <c r="J72" s="32" t="n">
        <v>22233.16517005701</v>
      </c>
      <c r="K72" s="32" t="n">
        <v>21136.37220758929</v>
      </c>
      <c r="L72" s="32" t="n">
        <v>15597.410273542</v>
      </c>
      <c r="M72" s="32" t="n">
        <v>9331.710779311905</v>
      </c>
      <c r="N72" s="32" t="n">
        <v>21216.38797860432</v>
      </c>
      <c r="O72" s="32" t="n">
        <v>8978.951748126216</v>
      </c>
      <c r="P72" s="32" t="n">
        <v>80279.5963774073</v>
      </c>
      <c r="Q72" s="32" t="n">
        <v>7289.99587947688</v>
      </c>
      <c r="R72" s="32" t="n">
        <v>29831.86227757438</v>
      </c>
      <c r="S72" s="32" t="n">
        <v>11799.81760220709</v>
      </c>
      <c r="T72" s="32" t="n">
        <v>16592.06287204962</v>
      </c>
      <c r="U72" s="32" t="n">
        <v>5697.366154856606</v>
      </c>
      <c r="V72" s="32" t="n">
        <v>9321.294559796521</v>
      </c>
      <c r="W72" s="32" t="n">
        <v>5261.424040213389</v>
      </c>
      <c r="X72" s="32" t="n">
        <v>7446.123412822543</v>
      </c>
      <c r="Y72" s="32" t="n">
        <v>26797.05574224392</v>
      </c>
      <c r="Z72" s="32" t="n">
        <v>21729.5868594758</v>
      </c>
      <c r="AA72" s="32" t="n">
        <v>26640.63712934069</v>
      </c>
      <c r="AB72" s="32" t="n">
        <v>13183.43474614057</v>
      </c>
      <c r="AC72" s="32" t="n">
        <v>27375.62145915314</v>
      </c>
      <c r="AD72" s="32" t="n">
        <v>42447.2358201102</v>
      </c>
      <c r="AE72" s="32" t="n">
        <v>19077.99174350851</v>
      </c>
      <c r="AF72" s="32" t="n">
        <v>36634.48752330162</v>
      </c>
      <c r="AG72" s="32" t="n">
        <v>39688.52986050632</v>
      </c>
      <c r="AH72" s="32" t="n">
        <v>21012.49558896925</v>
      </c>
      <c r="AI72" s="32" t="n">
        <v>12809.83661208096</v>
      </c>
      <c r="AJ72" s="32" t="n">
        <v>18685.47865233773</v>
      </c>
      <c r="AK72" s="32" t="n">
        <v>73596.85131039364</v>
      </c>
      <c r="AL72" s="32" t="n">
        <v>150433.3767559023</v>
      </c>
      <c r="AM72" s="32" t="n">
        <v>172998.5776728991</v>
      </c>
      <c r="AN72" s="32" t="n">
        <v>105696.9088122315</v>
      </c>
      <c r="AO72" s="32" t="n">
        <v>101402.0452366215</v>
      </c>
      <c r="AP72" s="32" t="n">
        <v>122091.197288748</v>
      </c>
      <c r="AQ72" s="32" t="n">
        <v>143107.2290033654</v>
      </c>
      <c r="AR72" s="32" t="n">
        <v>7109.591757816136</v>
      </c>
      <c r="AS72" s="32" t="n">
        <v>47597.93777689679</v>
      </c>
      <c r="AT72" s="32" t="n">
        <v>108155.7192366121</v>
      </c>
      <c r="AU72" s="32" t="n">
        <v>25191.4008400982</v>
      </c>
      <c r="AV72" s="32" t="n">
        <v>48414.56330788361</v>
      </c>
      <c r="AW72" s="32" t="n">
        <v>70558.30377430162</v>
      </c>
      <c r="AX72" s="32" t="n">
        <v>13220.6650799048</v>
      </c>
      <c r="AY72" s="32" t="n">
        <v>51879.5015546968</v>
      </c>
      <c r="AZ72" s="32" t="n">
        <v>29435.18526047351</v>
      </c>
      <c r="BA72" s="32" t="n">
        <v>171989.2490372814</v>
      </c>
      <c r="BH72" s="32">
        <f>SUM(C72:BA72)</f>
        <v/>
      </c>
    </row>
    <row r="73">
      <c r="B73" s="33" t="inlineStr">
        <is>
          <t>Check produccion total - fuente</t>
        </is>
      </c>
      <c r="C73" s="34">
        <f>C71-C72</f>
        <v/>
      </c>
      <c r="D73" s="34">
        <f>D71-D72</f>
        <v/>
      </c>
      <c r="E73" s="34">
        <f>E71-E72</f>
        <v/>
      </c>
      <c r="F73" s="34">
        <f>F71-F72</f>
        <v/>
      </c>
      <c r="G73" s="34">
        <f>G71-G72</f>
        <v/>
      </c>
      <c r="H73" s="34">
        <f>H71-H72</f>
        <v/>
      </c>
      <c r="I73" s="34">
        <f>I71-I72</f>
        <v/>
      </c>
      <c r="J73" s="34">
        <f>J71-J72</f>
        <v/>
      </c>
      <c r="K73" s="34">
        <f>K71-K72</f>
        <v/>
      </c>
      <c r="L73" s="34">
        <f>L71-L72</f>
        <v/>
      </c>
      <c r="M73" s="34">
        <f>M71-M72</f>
        <v/>
      </c>
      <c r="N73" s="34">
        <f>N71-N72</f>
        <v/>
      </c>
      <c r="O73" s="34">
        <f>O71-O72</f>
        <v/>
      </c>
      <c r="P73" s="34">
        <f>P71-P72</f>
        <v/>
      </c>
      <c r="Q73" s="34">
        <f>Q71-Q72</f>
        <v/>
      </c>
      <c r="R73" s="34">
        <f>R71-R72</f>
        <v/>
      </c>
      <c r="S73" s="34">
        <f>S71-S72</f>
        <v/>
      </c>
      <c r="T73" s="34">
        <f>T71-T72</f>
        <v/>
      </c>
      <c r="U73" s="34">
        <f>U71-U72</f>
        <v/>
      </c>
      <c r="V73" s="34">
        <f>V71-V72</f>
        <v/>
      </c>
      <c r="W73" s="34">
        <f>W71-W72</f>
        <v/>
      </c>
      <c r="X73" s="34">
        <f>X71-X72</f>
        <v/>
      </c>
      <c r="Y73" s="34">
        <f>Y71-Y72</f>
        <v/>
      </c>
      <c r="Z73" s="34">
        <f>Z71-Z72</f>
        <v/>
      </c>
      <c r="AA73" s="34">
        <f>AA71-AA72</f>
        <v/>
      </c>
      <c r="AB73" s="34">
        <f>AB71-AB72</f>
        <v/>
      </c>
      <c r="AC73" s="34">
        <f>AC71-AC72</f>
        <v/>
      </c>
      <c r="AD73" s="34">
        <f>AD71-AD72</f>
        <v/>
      </c>
      <c r="AE73" s="34">
        <f>AE71-AE72</f>
        <v/>
      </c>
      <c r="AF73" s="34">
        <f>AF71-AF72</f>
        <v/>
      </c>
      <c r="AG73" s="34">
        <f>AG71-AG72</f>
        <v/>
      </c>
      <c r="AH73" s="34">
        <f>AH71-AH72</f>
        <v/>
      </c>
      <c r="AI73" s="34">
        <f>AI71-AI72</f>
        <v/>
      </c>
      <c r="AJ73" s="34">
        <f>AJ71-AJ72</f>
        <v/>
      </c>
      <c r="AK73" s="34">
        <f>AK71-AK72</f>
        <v/>
      </c>
      <c r="AL73" s="34">
        <f>AL71-AL72</f>
        <v/>
      </c>
      <c r="AM73" s="34">
        <f>AM71-AM72</f>
        <v/>
      </c>
      <c r="AN73" s="34">
        <f>AN71-AN72</f>
        <v/>
      </c>
      <c r="AO73" s="34">
        <f>AO71-AO72</f>
        <v/>
      </c>
      <c r="AP73" s="34">
        <f>AP71-AP72</f>
        <v/>
      </c>
      <c r="AQ73" s="34">
        <f>AQ71-AQ72</f>
        <v/>
      </c>
      <c r="AR73" s="34">
        <f>AR71-AR72</f>
        <v/>
      </c>
      <c r="AS73" s="34">
        <f>AS71-AS72</f>
        <v/>
      </c>
      <c r="AT73" s="34">
        <f>AT71-AT72</f>
        <v/>
      </c>
      <c r="AU73" s="34">
        <f>AU71-AU72</f>
        <v/>
      </c>
      <c r="AV73" s="34">
        <f>AV71-AV72</f>
        <v/>
      </c>
      <c r="AW73" s="34">
        <f>AW71-AW72</f>
        <v/>
      </c>
      <c r="AX73" s="34">
        <f>AX71-AX72</f>
        <v/>
      </c>
      <c r="AY73" s="34">
        <f>AY71-AY72</f>
        <v/>
      </c>
      <c r="AZ73" s="34">
        <f>AZ71-AZ72</f>
        <v/>
      </c>
      <c r="BA73" s="34">
        <f>BA71-BA72</f>
        <v/>
      </c>
      <c r="BH73" s="34">
        <f>SUM(C73:BA73)</f>
        <v/>
      </c>
    </row>
    <row r="74"/>
    <row r="75">
      <c r="B75" s="30" t="inlineStr">
        <is>
          <t>Nota</t>
        </is>
      </c>
      <c r="C75" s="30" t="inlineStr">
        <is>
          <t>Z total = Z nacional + matriz importada/ajuste asignada. El residuo de ajuste no asignado queda como fila firmada.</t>
        </is>
      </c>
    </row>
  </sheetData>
  <mergeCells count="9">
    <mergeCell ref="BG10:BG12"/>
    <mergeCell ref="C10:BA10"/>
    <mergeCell ref="BH10:BH12"/>
    <mergeCell ref="A3:H4"/>
    <mergeCell ref="B10:B12"/>
    <mergeCell ref="A10:A12"/>
    <mergeCell ref="A1:H1"/>
    <mergeCell ref="BB10:BB12"/>
    <mergeCell ref="BC10:BF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5" t="inlineStr">
        <is>
          <t>Codigo</t>
        </is>
      </c>
      <c r="B3" s="35" t="inlineStr">
        <is>
          <t>Actividad economica</t>
        </is>
      </c>
      <c r="C3" s="35" t="inlineStr">
        <is>
          <t>Produccion</t>
        </is>
      </c>
      <c r="D3" s="35" t="inlineStr">
        <is>
          <t>Valor agregado</t>
        </is>
      </c>
      <c r="E3" s="35" t="inlineStr">
        <is>
          <t>Multiplicador Leontief</t>
        </is>
      </c>
      <c r="F3" s="35" t="inlineStr">
        <is>
          <t>Indice atras Leontief</t>
        </is>
      </c>
      <c r="G3" s="35" t="inlineStr">
        <is>
          <t>Encadenamiento adelante Ghosh</t>
        </is>
      </c>
      <c r="H3" s="35" t="inlineStr">
        <is>
          <t>Indice adelante Ghosh</t>
        </is>
      </c>
    </row>
    <row r="4">
      <c r="A4" s="10" t="inlineStr"/>
      <c r="B4" s="10" t="inlineStr">
        <is>
          <t>Agricultura silvicultura exploração florestal</t>
        </is>
      </c>
      <c r="C4" s="11" t="n">
        <v>67926.98662659568</v>
      </c>
      <c r="D4" s="11" t="n">
        <v>43785.803373983</v>
      </c>
      <c r="E4" s="11" t="n">
        <v>1.53425076429009</v>
      </c>
      <c r="F4" s="11" t="n">
        <v>0.7830958918061554</v>
      </c>
      <c r="G4" s="11" t="n">
        <v>1.971844860859679</v>
      </c>
      <c r="H4" s="11" t="n">
        <v>1.006288496236914</v>
      </c>
    </row>
    <row r="5">
      <c r="A5" s="10" t="inlineStr"/>
      <c r="B5" s="10" t="inlineStr">
        <is>
          <t>Pecuária e pesca</t>
        </is>
      </c>
      <c r="C5" s="11" t="n">
        <v>34514.26511352355</v>
      </c>
      <c r="D5" s="11" t="n">
        <v>19384.1826608336</v>
      </c>
      <c r="E5" s="11" t="n">
        <v>1.657756406340642</v>
      </c>
      <c r="F5" s="11" t="n">
        <v>0.8461343227822158</v>
      </c>
      <c r="G5" s="11" t="n">
        <v>1.963883628528305</v>
      </c>
      <c r="H5" s="11" t="n">
        <v>1.002225653023458</v>
      </c>
    </row>
    <row r="6">
      <c r="A6" s="10" t="inlineStr"/>
      <c r="B6" s="10" t="inlineStr">
        <is>
          <t>Petróleo e gás natural</t>
        </is>
      </c>
      <c r="C6" s="11" t="n">
        <v>32971.18826516477</v>
      </c>
      <c r="D6" s="11" t="n">
        <v>13994.7864305984</v>
      </c>
      <c r="E6" s="11" t="n">
        <v>1.899409170616143</v>
      </c>
      <c r="F6" s="11" t="n">
        <v>0.9694761462652286</v>
      </c>
      <c r="G6" s="11" t="n">
        <v>2.94347422699121</v>
      </c>
      <c r="H6" s="11" t="n">
        <v>1.502138587261748</v>
      </c>
    </row>
    <row r="7">
      <c r="A7" s="10" t="inlineStr"/>
      <c r="B7" s="10" t="inlineStr">
        <is>
          <t>Minério de ferro</t>
        </is>
      </c>
      <c r="C7" s="11" t="n">
        <v>8553.531438061942</v>
      </c>
      <c r="D7" s="11" t="n">
        <v>2839.97872626353</v>
      </c>
      <c r="E7" s="11" t="n">
        <v>2.198193716434286</v>
      </c>
      <c r="F7" s="11" t="n">
        <v>1.121978563608731</v>
      </c>
      <c r="G7" s="11" t="n">
        <v>1.637028641564381</v>
      </c>
      <c r="H7" s="11" t="n">
        <v>0.8354222599938128</v>
      </c>
    </row>
    <row r="8">
      <c r="A8" s="10" t="inlineStr"/>
      <c r="B8" s="10" t="inlineStr">
        <is>
          <t>Outros da indústria extrativa</t>
        </is>
      </c>
      <c r="C8" s="11" t="n">
        <v>6872.827820938395</v>
      </c>
      <c r="D8" s="11" t="n">
        <v>1341.64185004271</v>
      </c>
      <c r="E8" s="11" t="n">
        <v>2.341381049746121</v>
      </c>
      <c r="F8" s="11" t="n">
        <v>1.195062713269925</v>
      </c>
      <c r="G8" s="11" t="n">
        <v>2.921729270501982</v>
      </c>
      <c r="H8" s="11" t="n">
        <v>1.491041517709967</v>
      </c>
    </row>
    <row r="9">
      <c r="A9" s="10" t="inlineStr"/>
      <c r="B9" s="10" t="inlineStr">
        <is>
          <t>Alimentos e Bebidas</t>
        </is>
      </c>
      <c r="C9" s="11" t="n">
        <v>145347.8841165121</v>
      </c>
      <c r="D9" s="11" t="n">
        <v>19507.9594376283</v>
      </c>
      <c r="E9" s="11" t="n">
        <v>2.475708857057494</v>
      </c>
      <c r="F9" s="11" t="n">
        <v>1.26362487827529</v>
      </c>
      <c r="G9" s="11" t="n">
        <v>1.418903583036248</v>
      </c>
      <c r="H9" s="11" t="n">
        <v>0.7241068408679044</v>
      </c>
    </row>
    <row r="10">
      <c r="A10" s="10" t="inlineStr"/>
      <c r="B10" s="10" t="inlineStr">
        <is>
          <t>Produtos do fumo</t>
        </is>
      </c>
      <c r="C10" s="11" t="n">
        <v>4737.341976116724</v>
      </c>
      <c r="D10" s="11" t="n">
        <v>916.82169480279</v>
      </c>
      <c r="E10" s="11" t="n">
        <v>2.224316385842266</v>
      </c>
      <c r="F10" s="11" t="n">
        <v>1.135311817580331</v>
      </c>
      <c r="G10" s="11" t="n">
        <v>1.087675041587991</v>
      </c>
      <c r="H10" s="11" t="n">
        <v>0.555071498635455</v>
      </c>
    </row>
    <row r="11">
      <c r="A11" s="10" t="inlineStr"/>
      <c r="B11" s="10" t="inlineStr">
        <is>
          <t>Têxteis</t>
        </is>
      </c>
      <c r="C11" s="11" t="n">
        <v>22233.16517005701</v>
      </c>
      <c r="D11" s="11" t="n">
        <v>6746.61385102629</v>
      </c>
      <c r="E11" s="11" t="n">
        <v>2.187842030302826</v>
      </c>
      <c r="F11" s="11" t="n">
        <v>1.116694966512683</v>
      </c>
      <c r="G11" s="11" t="n">
        <v>1.949165227158995</v>
      </c>
      <c r="H11" s="11" t="n">
        <v>0.994714434329267</v>
      </c>
    </row>
    <row r="12">
      <c r="A12" s="10" t="inlineStr"/>
      <c r="B12" s="10" t="inlineStr">
        <is>
          <t>Artigos do vestuário e acessórios</t>
        </is>
      </c>
      <c r="C12" s="11" t="n">
        <v>21136.37220758929</v>
      </c>
      <c r="D12" s="11" t="n">
        <v>9623.981885708539</v>
      </c>
      <c r="E12" s="11" t="n">
        <v>1.930261136595226</v>
      </c>
      <c r="F12" s="11" t="n">
        <v>0.9852232772914545</v>
      </c>
      <c r="G12" s="11" t="n">
        <v>1.142197407742917</v>
      </c>
      <c r="H12" s="11" t="n">
        <v>0.5828958122710616</v>
      </c>
    </row>
    <row r="13">
      <c r="A13" s="10" t="inlineStr"/>
      <c r="B13" s="10" t="inlineStr">
        <is>
          <t>Artefatos de couro e calçados</t>
        </is>
      </c>
      <c r="C13" s="11" t="n">
        <v>15597.410273542</v>
      </c>
      <c r="D13" s="11" t="n">
        <v>4590.42276075605</v>
      </c>
      <c r="E13" s="11" t="n">
        <v>2.312909178316771</v>
      </c>
      <c r="F13" s="11" t="n">
        <v>1.180530404688235</v>
      </c>
      <c r="G13" s="11" t="n">
        <v>1.223358262470956</v>
      </c>
      <c r="H13" s="11" t="n">
        <v>0.6243145040143735</v>
      </c>
    </row>
    <row r="14">
      <c r="A14" s="10" t="inlineStr">
        <is>
          <t>Produtos de madeira</t>
        </is>
      </c>
      <c r="B14" s="10" t="inlineStr">
        <is>
          <t>exclusive móveis</t>
        </is>
      </c>
      <c r="C14" s="11" t="n">
        <v>9331.710779311905</v>
      </c>
      <c r="D14" s="11" t="n">
        <v>3616.83850738172</v>
      </c>
      <c r="E14" s="11" t="n">
        <v>2.00160779745898</v>
      </c>
      <c r="F14" s="11" t="n">
        <v>1.021639278063235</v>
      </c>
      <c r="G14" s="11" t="n">
        <v>2.044092824056978</v>
      </c>
      <c r="H14" s="11" t="n">
        <v>1.04315868601964</v>
      </c>
    </row>
    <row r="15">
      <c r="A15" s="10" t="inlineStr"/>
      <c r="B15" s="10" t="inlineStr">
        <is>
          <t>Celulose e produtos de papel</t>
        </is>
      </c>
      <c r="C15" s="11" t="n">
        <v>21216.38797860432</v>
      </c>
      <c r="D15" s="11" t="n">
        <v>6676.15433740125</v>
      </c>
      <c r="E15" s="11" t="n">
        <v>2.222845313810688</v>
      </c>
      <c r="F15" s="11" t="n">
        <v>1.134560968702629</v>
      </c>
      <c r="G15" s="11" t="n">
        <v>2.416822732488169</v>
      </c>
      <c r="H15" s="11" t="n">
        <v>1.233373355795548</v>
      </c>
    </row>
    <row r="16">
      <c r="A16" s="10" t="inlineStr"/>
      <c r="B16" s="10" t="inlineStr">
        <is>
          <t>Jornais revistas discos</t>
        </is>
      </c>
      <c r="C16" s="11" t="n">
        <v>8978.951748126216</v>
      </c>
      <c r="D16" s="11" t="n">
        <v>4451.79908417284</v>
      </c>
      <c r="E16" s="11" t="n">
        <v>1.781264435853964</v>
      </c>
      <c r="F16" s="11" t="n">
        <v>0.9091739723415287</v>
      </c>
      <c r="G16" s="11" t="n">
        <v>2.955966358374333</v>
      </c>
      <c r="H16" s="11" t="n">
        <v>1.508513677084401</v>
      </c>
    </row>
    <row r="17">
      <c r="A17" s="10" t="inlineStr"/>
      <c r="B17" s="10" t="inlineStr">
        <is>
          <t>Refino de petróleo e coque</t>
        </is>
      </c>
      <c r="C17" s="11" t="n">
        <v>80279.5963774073</v>
      </c>
      <c r="D17" s="11" t="n">
        <v>10112.3065302694</v>
      </c>
      <c r="E17" s="11" t="n">
        <v>2.290595085713602</v>
      </c>
      <c r="F17" s="11" t="n">
        <v>1.169141083819942</v>
      </c>
      <c r="G17" s="11" t="n">
        <v>2.703220828099503</v>
      </c>
      <c r="H17" s="11" t="n">
        <v>1.379530446892562</v>
      </c>
    </row>
    <row r="18">
      <c r="A18" s="10" t="inlineStr"/>
      <c r="B18" s="10" t="inlineStr">
        <is>
          <t>Álcool</t>
        </is>
      </c>
      <c r="C18" s="11" t="n">
        <v>7289.99587947688</v>
      </c>
      <c r="D18" s="11" t="n">
        <v>2158.44760573645</v>
      </c>
      <c r="E18" s="11" t="n">
        <v>2.159116089167096</v>
      </c>
      <c r="F18" s="11" t="n">
        <v>1.102032978384514</v>
      </c>
      <c r="G18" s="11" t="n">
        <v>1.914777467974312</v>
      </c>
      <c r="H18" s="11" t="n">
        <v>0.977165383100244</v>
      </c>
    </row>
    <row r="19">
      <c r="A19" s="10" t="inlineStr"/>
      <c r="B19" s="10" t="inlineStr">
        <is>
          <t>Produtos  químicos</t>
        </is>
      </c>
      <c r="C19" s="11" t="n">
        <v>29831.86227757438</v>
      </c>
      <c r="D19" s="11" t="n">
        <v>6394.63020513376</v>
      </c>
      <c r="E19" s="11" t="n">
        <v>2.198888917375552</v>
      </c>
      <c r="F19" s="11" t="n">
        <v>1.122333400649557</v>
      </c>
      <c r="G19" s="11" t="n">
        <v>3.176786225812152</v>
      </c>
      <c r="H19" s="11" t="n">
        <v>1.621204333816067</v>
      </c>
    </row>
    <row r="20">
      <c r="A20" s="10" t="inlineStr"/>
      <c r="B20" s="10" t="inlineStr">
        <is>
          <t>Fabricação de resina e elastômeros</t>
        </is>
      </c>
      <c r="C20" s="11" t="n">
        <v>11799.81760220709</v>
      </c>
      <c r="D20" s="11" t="n">
        <v>1375.22205294928</v>
      </c>
      <c r="E20" s="11" t="n">
        <v>2.380238368457535</v>
      </c>
      <c r="F20" s="11" t="n">
        <v>1.21489585095364</v>
      </c>
      <c r="G20" s="11" t="n">
        <v>3.04288128822608</v>
      </c>
      <c r="H20" s="11" t="n">
        <v>1.552868836963926</v>
      </c>
    </row>
    <row r="21">
      <c r="A21" s="10" t="inlineStr"/>
      <c r="B21" s="10" t="inlineStr">
        <is>
          <t>Produtos farmacêuticos</t>
        </is>
      </c>
      <c r="C21" s="11" t="n">
        <v>16592.06287204962</v>
      </c>
      <c r="D21" s="11" t="n">
        <v>8558.022982484041</v>
      </c>
      <c r="E21" s="11" t="n">
        <v>1.808282783015112</v>
      </c>
      <c r="F21" s="11" t="n">
        <v>0.9229643885875185</v>
      </c>
      <c r="G21" s="11" t="n">
        <v>1.476372521561671</v>
      </c>
      <c r="H21" s="11" t="n">
        <v>0.7534348741614908</v>
      </c>
    </row>
    <row r="22">
      <c r="A22" s="10" t="inlineStr"/>
      <c r="B22" s="10" t="inlineStr">
        <is>
          <t>Defensivos agrícolas</t>
        </is>
      </c>
      <c r="C22" s="11" t="n">
        <v>5697.366154856606</v>
      </c>
      <c r="D22" s="11" t="n">
        <v>511.087891554102</v>
      </c>
      <c r="E22" s="11" t="n">
        <v>2.459995912615075</v>
      </c>
      <c r="F22" s="11" t="n">
        <v>1.255604844961681</v>
      </c>
      <c r="G22" s="11" t="n">
        <v>3.068778202782047</v>
      </c>
      <c r="H22" s="11" t="n">
        <v>1.566084768766157</v>
      </c>
    </row>
    <row r="23">
      <c r="A23" s="10" t="inlineStr"/>
      <c r="B23" s="10" t="inlineStr">
        <is>
          <t>Perfumaria higiene e limpeza</t>
        </is>
      </c>
      <c r="C23" s="11" t="n">
        <v>9321.294559796521</v>
      </c>
      <c r="D23" s="11" t="n">
        <v>1309.93340611052</v>
      </c>
      <c r="E23" s="11" t="n">
        <v>2.345604415075541</v>
      </c>
      <c r="F23" s="11" t="n">
        <v>1.197218358302695</v>
      </c>
      <c r="G23" s="11" t="n">
        <v>1.534845823633328</v>
      </c>
      <c r="H23" s="11" t="n">
        <v>0.7832754627289106</v>
      </c>
    </row>
    <row r="24">
      <c r="A24" s="10" t="inlineStr"/>
      <c r="B24" s="10" t="inlineStr">
        <is>
          <t>Tintas vernizes esmaltes e lacas</t>
        </is>
      </c>
      <c r="C24" s="11" t="n">
        <v>5261.424040213389</v>
      </c>
      <c r="D24" s="11" t="n">
        <v>1159.53735649832</v>
      </c>
      <c r="E24" s="11" t="n">
        <v>2.251710909205109</v>
      </c>
      <c r="F24" s="11" t="n">
        <v>1.149294237666239</v>
      </c>
      <c r="G24" s="11" t="n">
        <v>2.835843102216474</v>
      </c>
      <c r="H24" s="11" t="n">
        <v>1.447211364107571</v>
      </c>
    </row>
    <row r="25">
      <c r="A25" s="10" t="inlineStr"/>
      <c r="B25" s="10" t="inlineStr">
        <is>
          <t>Produtos e preparados químicos diversos</t>
        </is>
      </c>
      <c r="C25" s="11" t="n">
        <v>7446.123412822543</v>
      </c>
      <c r="D25" s="11" t="n">
        <v>1333.07535516706</v>
      </c>
      <c r="E25" s="11" t="n">
        <v>2.45860058131293</v>
      </c>
      <c r="F25" s="11" t="n">
        <v>1.254892654858309</v>
      </c>
      <c r="G25" s="11" t="n">
        <v>2.717614155433853</v>
      </c>
      <c r="H25" s="11" t="n">
        <v>1.386875771064167</v>
      </c>
    </row>
    <row r="26">
      <c r="A26" s="10" t="inlineStr"/>
      <c r="B26" s="10" t="inlineStr">
        <is>
          <t>Artigos de borracha e plástico</t>
        </is>
      </c>
      <c r="C26" s="11" t="n">
        <v>26797.05574224392</v>
      </c>
      <c r="D26" s="11" t="n">
        <v>5293.68048173529</v>
      </c>
      <c r="E26" s="11" t="n">
        <v>2.417674068173944</v>
      </c>
      <c r="F26" s="11" t="n">
        <v>1.234003381050504</v>
      </c>
      <c r="G26" s="11" t="n">
        <v>2.461107761169479</v>
      </c>
      <c r="H26" s="11" t="n">
        <v>1.255973265049106</v>
      </c>
    </row>
    <row r="27">
      <c r="A27" s="10" t="inlineStr"/>
      <c r="B27" s="10" t="inlineStr">
        <is>
          <t>Cimento e outros produtos de minerais não-metálicos</t>
        </is>
      </c>
      <c r="C27" s="11" t="n">
        <v>21729.5868594758</v>
      </c>
      <c r="D27" s="11" t="n">
        <v>6580.46648297178</v>
      </c>
      <c r="E27" s="11" t="n">
        <v>2.234309357714944</v>
      </c>
      <c r="F27" s="11" t="n">
        <v>1.140412323574897</v>
      </c>
      <c r="G27" s="11" t="n">
        <v>2.406391640409232</v>
      </c>
      <c r="H27" s="11" t="n">
        <v>1.22805007292955</v>
      </c>
    </row>
    <row r="28">
      <c r="A28" s="10" t="inlineStr"/>
      <c r="B28" s="10" t="inlineStr">
        <is>
          <t>Fabricação de aço e derivados</t>
        </is>
      </c>
      <c r="C28" s="11" t="n">
        <v>26640.63712934069</v>
      </c>
      <c r="D28" s="11" t="n">
        <v>3201.38680446018</v>
      </c>
      <c r="E28" s="11" t="n">
        <v>2.526487675116702</v>
      </c>
      <c r="F28" s="11" t="n">
        <v>1.289542860353883</v>
      </c>
      <c r="G28" s="11" t="n">
        <v>2.386217761788347</v>
      </c>
      <c r="H28" s="11" t="n">
        <v>1.217754769083067</v>
      </c>
    </row>
    <row r="29">
      <c r="A29" s="10" t="inlineStr"/>
      <c r="B29" s="10" t="inlineStr">
        <is>
          <t>Metalurgia de metais não-ferrosos</t>
        </is>
      </c>
      <c r="C29" s="11" t="n">
        <v>13183.43474614057</v>
      </c>
      <c r="D29" s="11" t="n">
        <v>2364.57585547064</v>
      </c>
      <c r="E29" s="11" t="n">
        <v>2.312582585785948</v>
      </c>
      <c r="F29" s="11" t="n">
        <v>1.180363708816129</v>
      </c>
      <c r="G29" s="11" t="n">
        <v>2.320564759258381</v>
      </c>
      <c r="H29" s="11" t="n">
        <v>1.184250175237628</v>
      </c>
    </row>
    <row r="30">
      <c r="A30" s="10" t="inlineStr">
        <is>
          <t>Produtos de metal</t>
        </is>
      </c>
      <c r="B30" s="10" t="inlineStr">
        <is>
          <t>exclusive máquinas e equipamentos</t>
        </is>
      </c>
      <c r="C30" s="11" t="n">
        <v>27375.62145915314</v>
      </c>
      <c r="D30" s="11" t="n">
        <v>11842.9419400601</v>
      </c>
      <c r="E30" s="11" t="n">
        <v>2.060803994729254</v>
      </c>
      <c r="F30" s="11" t="n">
        <v>1.051853568954821</v>
      </c>
      <c r="G30" s="11" t="n">
        <v>2.266960877200949</v>
      </c>
      <c r="H30" s="11" t="n">
        <v>1.156894590151428</v>
      </c>
    </row>
    <row r="31">
      <c r="A31" s="10" t="inlineStr"/>
      <c r="B31" s="10" t="inlineStr">
        <is>
          <t>Máquinas e equipamentos inclusive manutenção e reparos</t>
        </is>
      </c>
      <c r="C31" s="11" t="n">
        <v>42447.2358201102</v>
      </c>
      <c r="D31" s="11" t="n">
        <v>13646.7229304514</v>
      </c>
      <c r="E31" s="11" t="n">
        <v>2.141768062218973</v>
      </c>
      <c r="F31" s="11" t="n">
        <v>1.093178383718366</v>
      </c>
      <c r="G31" s="11" t="n">
        <v>2.100207176514576</v>
      </c>
      <c r="H31" s="11" t="n">
        <v>1.071795435529054</v>
      </c>
    </row>
    <row r="32">
      <c r="A32" s="10" t="inlineStr"/>
      <c r="B32" s="10" t="inlineStr">
        <is>
          <t>Eletrodomésticos e material eletronico</t>
        </is>
      </c>
      <c r="C32" s="11" t="n">
        <v>19077.99174350851</v>
      </c>
      <c r="D32" s="11" t="n">
        <v>4119.60905477163</v>
      </c>
      <c r="E32" s="11" t="n">
        <v>2.281246030137769</v>
      </c>
      <c r="F32" s="11" t="n">
        <v>1.164369238705633</v>
      </c>
      <c r="G32" s="11" t="n">
        <v>1.829574085564287</v>
      </c>
      <c r="H32" s="11" t="n">
        <v>0.9336836745431609</v>
      </c>
    </row>
    <row r="33">
      <c r="A33" s="10" t="inlineStr"/>
      <c r="B33" s="10" t="inlineStr">
        <is>
          <t>Máquinas para escritório aparelhos e e material eletronico</t>
        </is>
      </c>
      <c r="C33" s="11" t="n">
        <v>36634.48752330162</v>
      </c>
      <c r="D33" s="11" t="n">
        <v>5962.90206165249</v>
      </c>
      <c r="E33" s="11" t="n">
        <v>2.06112833437943</v>
      </c>
      <c r="F33" s="11" t="n">
        <v>1.052019114935643</v>
      </c>
      <c r="G33" s="11" t="n">
        <v>1.84550966939256</v>
      </c>
      <c r="H33" s="11" t="n">
        <v>0.941816056053245</v>
      </c>
    </row>
    <row r="34">
      <c r="A34" s="10" t="inlineStr"/>
      <c r="B34" s="10" t="inlineStr">
        <is>
          <t>Automóveis camionetas caminhões e ônibus</t>
        </is>
      </c>
      <c r="C34" s="11" t="n">
        <v>39688.52986050632</v>
      </c>
      <c r="D34" s="11" t="n">
        <v>12073.7858110099</v>
      </c>
      <c r="E34" s="11" t="n">
        <v>2.074091479961049</v>
      </c>
      <c r="F34" s="11" t="n">
        <v>1.058635625278102</v>
      </c>
      <c r="G34" s="11" t="n">
        <v>1.10343169282731</v>
      </c>
      <c r="H34" s="11" t="n">
        <v>0.563112565757962</v>
      </c>
    </row>
    <row r="35">
      <c r="A35" s="10" t="inlineStr"/>
      <c r="B35" s="10" t="inlineStr">
        <is>
          <t>Peças e acessórios para veículos automotores</t>
        </is>
      </c>
      <c r="C35" s="11" t="n">
        <v>21012.49558896925</v>
      </c>
      <c r="D35" s="11" t="n">
        <v>4405.18067379889</v>
      </c>
      <c r="E35" s="11" t="n">
        <v>2.24778325687353</v>
      </c>
      <c r="F35" s="11" t="n">
        <v>1.147289527304093</v>
      </c>
      <c r="G35" s="11" t="n">
        <v>2.192684242383248</v>
      </c>
      <c r="H35" s="11" t="n">
        <v>1.118989111561364</v>
      </c>
    </row>
    <row r="36">
      <c r="A36" s="10" t="inlineStr"/>
      <c r="B36" s="10" t="inlineStr">
        <is>
          <t>Outros equipamentos de transporte</t>
        </is>
      </c>
      <c r="C36" s="11" t="n">
        <v>12809.83661208096</v>
      </c>
      <c r="D36" s="11" t="n">
        <v>4781.86870033289</v>
      </c>
      <c r="E36" s="11" t="n">
        <v>1.809105223263351</v>
      </c>
      <c r="F36" s="11" t="n">
        <v>0.9233841697567003</v>
      </c>
      <c r="G36" s="11" t="n">
        <v>1.549726341206245</v>
      </c>
      <c r="H36" s="11" t="n">
        <v>0.7908694139311107</v>
      </c>
    </row>
    <row r="37">
      <c r="A37" s="10" t="inlineStr"/>
      <c r="B37" s="10" t="inlineStr">
        <is>
          <t>Móveis e produtos das indústrias diversas</t>
        </is>
      </c>
      <c r="C37" s="11" t="n">
        <v>18685.47865233773</v>
      </c>
      <c r="D37" s="11" t="n">
        <v>8910.33535733594</v>
      </c>
      <c r="E37" s="11" t="n">
        <v>1.860188270253434</v>
      </c>
      <c r="F37" s="11" t="n">
        <v>0.9494574331175201</v>
      </c>
      <c r="G37" s="11" t="n">
        <v>1.360915718245386</v>
      </c>
      <c r="H37" s="11" t="n">
        <v>0.694513984746888</v>
      </c>
    </row>
    <row r="38">
      <c r="A38" s="10" t="inlineStr"/>
      <c r="B38" s="10" t="inlineStr">
        <is>
          <t>Produção e distribuição de eletricidade gás água esgoto e limpeza urbana</t>
        </is>
      </c>
      <c r="C38" s="11" t="n">
        <v>73596.85131039364</v>
      </c>
      <c r="D38" s="11" t="n">
        <v>37296.4488747698</v>
      </c>
      <c r="E38" s="11" t="n">
        <v>1.734626068536665</v>
      </c>
      <c r="F38" s="11" t="n">
        <v>0.8853693149173415</v>
      </c>
      <c r="G38" s="11" t="n">
        <v>2.361929991760095</v>
      </c>
      <c r="H38" s="11" t="n">
        <v>1.205360029484728</v>
      </c>
    </row>
    <row r="39">
      <c r="A39" s="10" t="inlineStr"/>
      <c r="B39" s="10" t="inlineStr">
        <is>
          <t>Construção civil</t>
        </is>
      </c>
      <c r="C39" s="11" t="n">
        <v>150433.3767559023</v>
      </c>
      <c r="D39" s="11" t="n">
        <v>70181.6594239918</v>
      </c>
      <c r="E39" s="11" t="n">
        <v>1.875858229883787</v>
      </c>
      <c r="F39" s="11" t="n">
        <v>0.9574555265823624</v>
      </c>
      <c r="G39" s="11" t="n">
        <v>1.24367498032338</v>
      </c>
      <c r="H39" s="11" t="n">
        <v>0.6346827027819336</v>
      </c>
    </row>
    <row r="40">
      <c r="A40" s="10" t="inlineStr"/>
      <c r="B40" s="10" t="inlineStr">
        <is>
          <t>Comércio</t>
        </is>
      </c>
      <c r="C40" s="11" t="n">
        <v>172998.5776728991</v>
      </c>
      <c r="D40" s="11" t="n">
        <v>93400.80378417439</v>
      </c>
      <c r="E40" s="11" t="n">
        <v>1.776489710473012</v>
      </c>
      <c r="F40" s="11" t="n">
        <v>0.9067369079988847</v>
      </c>
      <c r="G40" s="11" t="n">
        <v>1.884371229456551</v>
      </c>
      <c r="H40" s="11" t="n">
        <v>0.9616482150706461</v>
      </c>
    </row>
    <row r="41">
      <c r="A41" s="10" t="inlineStr"/>
      <c r="B41" s="10" t="inlineStr">
        <is>
          <t>Transporte armazenagem e correio</t>
        </is>
      </c>
      <c r="C41" s="11" t="n">
        <v>105696.9088122315</v>
      </c>
      <c r="D41" s="11" t="n">
        <v>40689.1471236031</v>
      </c>
      <c r="E41" s="11" t="n">
        <v>2.151612099446464</v>
      </c>
      <c r="F41" s="11" t="n">
        <v>1.098202872081715</v>
      </c>
      <c r="G41" s="11" t="n">
        <v>2.421656956586471</v>
      </c>
      <c r="H41" s="11" t="n">
        <v>1.235840397800177</v>
      </c>
    </row>
    <row r="42">
      <c r="A42" s="10" t="inlineStr"/>
      <c r="B42" s="10" t="inlineStr">
        <is>
          <t>Serviços de informação</t>
        </is>
      </c>
      <c r="C42" s="11" t="n">
        <v>101402.0452366215</v>
      </c>
      <c r="D42" s="11" t="n">
        <v>51368.9910110437</v>
      </c>
      <c r="E42" s="11" t="n">
        <v>1.802686499697246</v>
      </c>
      <c r="F42" s="11" t="n">
        <v>0.9201079934156171</v>
      </c>
      <c r="G42" s="11" t="n">
        <v>2.072780456083549</v>
      </c>
      <c r="H42" s="11" t="n">
        <v>1.057798800293149</v>
      </c>
    </row>
    <row r="43">
      <c r="A43" s="10" t="inlineStr"/>
      <c r="B43" s="10" t="inlineStr">
        <is>
          <t>Intermediação financeira seguros e previdência complementar e serviços relacionados</t>
        </is>
      </c>
      <c r="C43" s="11" t="n">
        <v>122091.197288748</v>
      </c>
      <c r="D43" s="11" t="n">
        <v>79911.62411694419</v>
      </c>
      <c r="E43" s="11" t="n">
        <v>1.485243644204897</v>
      </c>
      <c r="F43" s="11" t="n">
        <v>0.7580822008886063</v>
      </c>
      <c r="G43" s="11" t="n">
        <v>2.299661878148896</v>
      </c>
      <c r="H43" s="11" t="n">
        <v>1.173582840694123</v>
      </c>
    </row>
    <row r="44">
      <c r="A44" s="10" t="inlineStr"/>
      <c r="B44" s="10" t="inlineStr">
        <is>
          <t>Atividades imobiliárias e aluguéis</t>
        </is>
      </c>
      <c r="C44" s="11" t="n">
        <v>143107.2290033654</v>
      </c>
      <c r="D44" s="11" t="n">
        <v>128132.535615956</v>
      </c>
      <c r="E44" s="11" t="n">
        <v>1.142536088953763</v>
      </c>
      <c r="F44" s="11" t="n">
        <v>0.5831610700966187</v>
      </c>
      <c r="G44" s="11" t="n">
        <v>1.233547284771295</v>
      </c>
      <c r="H44" s="11" t="n">
        <v>0.6295142517897958</v>
      </c>
    </row>
    <row r="45">
      <c r="A45" s="10" t="inlineStr"/>
      <c r="B45" s="10" t="inlineStr">
        <is>
          <t>Serviços de manutenção e reparação</t>
        </is>
      </c>
      <c r="C45" s="11" t="n">
        <v>7109.591757816136</v>
      </c>
      <c r="D45" s="11" t="n">
        <v>5159.25569758303</v>
      </c>
      <c r="E45" s="11" t="n">
        <v>1.340500215636174</v>
      </c>
      <c r="F45" s="11" t="n">
        <v>0.6842038057029588</v>
      </c>
      <c r="G45" s="11" t="n">
        <v>2.241692558145726</v>
      </c>
      <c r="H45" s="11" t="n">
        <v>1.143999448505533</v>
      </c>
    </row>
    <row r="46">
      <c r="A46" s="10" t="inlineStr"/>
      <c r="B46" s="10" t="inlineStr">
        <is>
          <t>Serviços de alojamento e alimentação</t>
        </is>
      </c>
      <c r="C46" s="11" t="n">
        <v>47597.93777689679</v>
      </c>
      <c r="D46" s="11" t="n">
        <v>24064.9738058539</v>
      </c>
      <c r="E46" s="11" t="n">
        <v>1.760270494635926</v>
      </c>
      <c r="F46" s="11" t="n">
        <v>0.898458469046165</v>
      </c>
      <c r="G46" s="11" t="n">
        <v>1.428618921700012</v>
      </c>
      <c r="H46" s="11" t="n">
        <v>0.7290648544157499</v>
      </c>
    </row>
    <row r="47">
      <c r="A47" s="10" t="inlineStr"/>
      <c r="B47" s="10" t="inlineStr">
        <is>
          <t>Serviços prestados às empresas</t>
        </is>
      </c>
      <c r="C47" s="11" t="n">
        <v>108155.7192366121</v>
      </c>
      <c r="D47" s="11" t="n">
        <v>61846.4412881059</v>
      </c>
      <c r="E47" s="11" t="n">
        <v>1.636291411605118</v>
      </c>
      <c r="F47" s="11" t="n">
        <v>0.8351783893805416</v>
      </c>
      <c r="G47" s="11" t="n">
        <v>2.638512887779289</v>
      </c>
      <c r="H47" s="11" t="n">
        <v>1.346508145162887</v>
      </c>
    </row>
    <row r="48">
      <c r="A48" s="10" t="inlineStr"/>
      <c r="B48" s="10" t="inlineStr">
        <is>
          <t>Educação mercantil</t>
        </is>
      </c>
      <c r="C48" s="11" t="n">
        <v>25191.4008400982</v>
      </c>
      <c r="D48" s="11" t="n">
        <v>16612.7510854294</v>
      </c>
      <c r="E48" s="11" t="n">
        <v>1.501246160615022</v>
      </c>
      <c r="F48" s="11" t="n">
        <v>0.7662500344338141</v>
      </c>
      <c r="G48" s="11" t="n">
        <v>1.2378090524523</v>
      </c>
      <c r="H48" s="11" t="n">
        <v>0.6316891530085252</v>
      </c>
    </row>
    <row r="49">
      <c r="A49" s="10" t="inlineStr"/>
      <c r="B49" s="10" t="inlineStr">
        <is>
          <t>Saúde mercantil</t>
        </is>
      </c>
      <c r="C49" s="11" t="n">
        <v>48414.56330788361</v>
      </c>
      <c r="D49" s="11" t="n">
        <v>25694.4499066952</v>
      </c>
      <c r="E49" s="11" t="n">
        <v>1.605244374980165</v>
      </c>
      <c r="F49" s="11" t="n">
        <v>0.819331692478288</v>
      </c>
      <c r="G49" s="11" t="n">
        <v>1.140205211434695</v>
      </c>
      <c r="H49" s="11" t="n">
        <v>0.5818791378526009</v>
      </c>
    </row>
    <row r="50">
      <c r="A50" s="10" t="inlineStr"/>
      <c r="B50" s="10" t="inlineStr">
        <is>
          <t>Serviços prestados às famílias e associativas</t>
        </is>
      </c>
      <c r="C50" s="11" t="n">
        <v>70558.30377430162</v>
      </c>
      <c r="D50" s="11" t="n">
        <v>35073.4347269914</v>
      </c>
      <c r="E50" s="11" t="n">
        <v>1.747907636442055</v>
      </c>
      <c r="F50" s="11" t="n">
        <v>0.8921483509820675</v>
      </c>
      <c r="G50" s="11" t="n">
        <v>1.487589150298512</v>
      </c>
      <c r="H50" s="11" t="n">
        <v>0.7591590387184947</v>
      </c>
    </row>
    <row r="51">
      <c r="A51" s="10" t="inlineStr"/>
      <c r="B51" s="10" t="inlineStr">
        <is>
          <t>Serviços domésticos</t>
        </is>
      </c>
      <c r="C51" s="11" t="n">
        <v>13220.6650799048</v>
      </c>
      <c r="D51" s="11" t="n">
        <v>13220.6650799048</v>
      </c>
      <c r="E51" s="11" t="n">
        <v>1</v>
      </c>
      <c r="F51" s="11" t="n">
        <v>0.5104093216264421</v>
      </c>
      <c r="G51" s="11" t="n">
        <v>1</v>
      </c>
      <c r="H51" s="11" t="n">
        <v>0.5103284321253322</v>
      </c>
    </row>
    <row r="52">
      <c r="A52" s="10" t="inlineStr"/>
      <c r="B52" s="10" t="inlineStr">
        <is>
          <t>Educação pública</t>
        </is>
      </c>
      <c r="C52" s="11" t="n">
        <v>51879.5015546968</v>
      </c>
      <c r="D52" s="11" t="n">
        <v>42017.111094164</v>
      </c>
      <c r="E52" s="11" t="n">
        <v>1.284818732748756</v>
      </c>
      <c r="F52" s="11" t="n">
        <v>0.6557834577952375</v>
      </c>
      <c r="G52" s="11" t="n">
        <v>1.177394015509292</v>
      </c>
      <c r="H52" s="11" t="n">
        <v>0.6008576419286059</v>
      </c>
    </row>
    <row r="53">
      <c r="A53" s="10" t="inlineStr"/>
      <c r="B53" s="10" t="inlineStr">
        <is>
          <t>Saúde pública</t>
        </is>
      </c>
      <c r="C53" s="11" t="n">
        <v>29435.18526047351</v>
      </c>
      <c r="D53" s="11" t="n">
        <v>19690.5338742694</v>
      </c>
      <c r="E53" s="11" t="n">
        <v>1.502200724621176</v>
      </c>
      <c r="F53" s="11" t="n">
        <v>0.7667372528006444</v>
      </c>
      <c r="G53" s="11" t="n">
        <v>1.026591884456345</v>
      </c>
      <c r="H53" s="11" t="n">
        <v>0.5238990268271966</v>
      </c>
    </row>
    <row r="54">
      <c r="A54" s="10" t="inlineStr"/>
      <c r="B54" s="10" t="inlineStr">
        <is>
          <t>Administração pública e seguridade social</t>
        </is>
      </c>
      <c r="C54" s="11" t="n">
        <v>171989.2490372814</v>
      </c>
      <c r="D54" s="11" t="n">
        <v>122488.343221479</v>
      </c>
      <c r="E54" s="11" t="n">
        <v>1.424325485510472</v>
      </c>
      <c r="F54" s="11" t="n">
        <v>0.7269890048346531</v>
      </c>
      <c r="G54" s="11" t="n">
        <v>1.069053123005932</v>
      </c>
      <c r="H54" s="11" t="n">
        <v>0.5455682041223071</v>
      </c>
    </row>
    <row r="55"/>
    <row r="56"/>
    <row r="57">
      <c r="A57" s="10" t="inlineStr">
        <is>
          <t>Validacion contable y matematica</t>
        </is>
      </c>
    </row>
    <row r="58">
      <c r="A58" s="10" t="inlineStr">
        <is>
          <t>prueba</t>
        </is>
      </c>
      <c r="B58" s="10" t="inlineStr">
        <is>
          <t>resultado</t>
        </is>
      </c>
      <c r="C58" s="10" t="inlineStr">
        <is>
          <t>lectura</t>
        </is>
      </c>
    </row>
    <row r="59">
      <c r="A59" s="10" t="inlineStr">
        <is>
          <t>sectores</t>
        </is>
      </c>
      <c r="B59" s="11" t="n">
        <v>51</v>
      </c>
      <c r="C59" s="10" t="inlineStr">
        <is>
          <t>Cantidad de sectores de la MIP.</t>
        </is>
      </c>
    </row>
    <row r="60">
      <c r="A60" s="10" t="inlineStr">
        <is>
          <t>cuadrada_Z_A_L</t>
        </is>
      </c>
      <c r="B60" s="36" t="b">
        <v>1</v>
      </c>
      <c r="C60" s="10" t="inlineStr">
        <is>
          <t>Z, A y L son matrices cuadradas.</t>
        </is>
      </c>
    </row>
    <row r="61">
      <c r="A61" s="10" t="inlineStr">
        <is>
          <t>max_abs_A_menos_Z_sobre_x</t>
        </is>
      </c>
      <c r="B61" s="11" t="n">
        <v>1.110223024625157e-16</v>
      </c>
      <c r="C61" s="10" t="inlineStr">
        <is>
          <t>Consistencia de coeficientes tecnicos.</t>
        </is>
      </c>
    </row>
    <row r="62">
      <c r="A62" s="10" t="inlineStr">
        <is>
          <t>max_abs_Leontief</t>
        </is>
      </c>
      <c r="B62" s="11" t="n">
        <v>1.554312234475219e-15</v>
      </c>
      <c r="C62" s="10" t="inlineStr">
        <is>
          <t>Residual (I-A)L - I.</t>
        </is>
      </c>
    </row>
    <row r="63">
      <c r="A63" s="10" t="inlineStr">
        <is>
          <t>max_abs_fila_x_menos_Z_menos_y</t>
        </is>
      </c>
      <c r="B63" s="11" t="n">
        <v>468.8965698834181</v>
      </c>
      <c r="C63" s="10" t="inlineStr">
        <is>
          <t>Cierre por filas: x = ventas intermedias + demanda final.</t>
        </is>
      </c>
    </row>
    <row r="64">
      <c r="A64" s="10" t="inlineStr">
        <is>
          <t>max_abs_columna_x_menos_Z_menos_ajuste_menos_v</t>
        </is>
      </c>
      <c r="B64" s="11" t="n">
        <v>468.8965698956163</v>
      </c>
      <c r="C64" s="10" t="inlineStr">
        <is>
          <t>Cierre por columnas con ajuste procesado.</t>
        </is>
      </c>
    </row>
    <row r="65">
      <c r="A65" s="10" t="inlineStr">
        <is>
          <t>max_abs_total_x_menos_Ztotal_menos_ajuste_no_asignado_menos_v</t>
        </is>
      </c>
      <c r="B65" s="11" t="n">
        <v>468.8965698956235</v>
      </c>
      <c r="C65" s="10" t="inlineStr">
        <is>
          <t>Cierre Cuadro 3.</t>
        </is>
      </c>
    </row>
    <row r="66">
      <c r="A66" s="10" t="inlineStr">
        <is>
          <t>sectores_y_negativa</t>
        </is>
      </c>
      <c r="B66" s="11" t="n">
        <v>0</v>
      </c>
      <c r="C66" s="10" t="inlineStr">
        <is>
          <t>Demanda final total negativa.</t>
        </is>
      </c>
    </row>
    <row r="67">
      <c r="A67" s="10" t="inlineStr">
        <is>
          <t>min_y</t>
        </is>
      </c>
      <c r="B67" s="11" t="n">
        <v>0</v>
      </c>
      <c r="C67" s="10" t="inlineStr">
        <is>
          <t>Minimo de demanda final total.</t>
        </is>
      </c>
    </row>
    <row r="68">
      <c r="A68" s="10" t="inlineStr">
        <is>
          <t>sectores_va_negativo</t>
        </is>
      </c>
      <c r="B68" s="11" t="n">
        <v>0</v>
      </c>
      <c r="C68" s="10" t="inlineStr">
        <is>
          <t>Valor agregado negativo.</t>
        </is>
      </c>
    </row>
    <row r="69">
      <c r="A69" s="10" t="inlineStr">
        <is>
          <t>min_va</t>
        </is>
      </c>
      <c r="B69" s="11" t="n">
        <v>511.087891554102</v>
      </c>
      <c r="C69" s="10" t="inlineStr">
        <is>
          <t>Minimo de valor agregado.</t>
        </is>
      </c>
    </row>
    <row r="70">
      <c r="A70" s="10" t="inlineStr">
        <is>
          <t>sectores_ajuste_negativo</t>
        </is>
      </c>
      <c r="B70" s="11" t="n">
        <v>0</v>
      </c>
      <c r="C70" s="10" t="inlineStr">
        <is>
          <t>Ajuste intermedio/importado con signo negativo.</t>
        </is>
      </c>
    </row>
    <row r="71">
      <c r="A71" s="10" t="inlineStr">
        <is>
          <t>min_ajuste</t>
        </is>
      </c>
      <c r="B71" s="11" t="n">
        <v>0</v>
      </c>
      <c r="C71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5" t="inlineStr">
        <is>
          <t>Colores</t>
        </is>
      </c>
      <c r="B3" s="35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COU CEPAL Brasil base 2000</t>
        </is>
      </c>
    </row>
    <row r="5">
      <c r="A5" s="10" t="inlineStr">
        <is>
          <t>Ano</t>
        </is>
      </c>
      <c r="B5" s="10" t="inlineStr">
        <is>
          <t>2001</t>
        </is>
      </c>
    </row>
    <row r="6">
      <c r="A6" s="10" t="inlineStr">
        <is>
          <t>Archivo fuente COU/referencia</t>
        </is>
      </c>
      <c r="B6" s="10" t="inlineStr">
        <is>
          <t>data\processed\brasil_early\cou_brasil_early_2001.xlsx</t>
        </is>
      </c>
    </row>
    <row r="7">
      <c r="A7" s="10" t="inlineStr">
        <is>
          <t>Ajuste intermedio</t>
        </is>
      </c>
      <c r="B7" s="10" t="inlineStr">
        <is>
          <t>U_importada/ajuste transformado a industrias con D = V * diag(q)^-1.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2026-07-07T00:55:15Z</dcterms:created>
  <dcterms:modified xmlns:dcterms="http://purl.org/dc/terms/" xmlns:xsi="http://www.w3.org/2001/XMLSchema-instance" xsi:type="dcterms:W3CDTF">2026-07-07T00:55:16Z</dcterms:modified>
</cp:coreProperties>
</file>