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Brasil 2000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Brasil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2000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COU CEPAL Brasil base 2000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Reconstruida desde COU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U_importada/ajuste transformado a industrias con D = V * diag(q)^-1.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51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1.110223024625157e-16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8.881784197001252e-16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423.5260419981205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439.7212348571265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439.7212348571265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452.6602163484574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463.714128762466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2000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2004.330098047775</v>
      </c>
      <c r="D14" s="27" t="n">
        <v>1680.133580504286</v>
      </c>
      <c r="E14" s="27" t="n">
        <v>8.032538838196954</v>
      </c>
      <c r="F14" s="27" t="n">
        <v>1.767684773219304</v>
      </c>
      <c r="G14" s="27" t="n">
        <v>1.601632570778885</v>
      </c>
      <c r="H14" s="27" t="n">
        <v>23862.28813137388</v>
      </c>
      <c r="I14" s="27" t="n">
        <v>1229.433214892449</v>
      </c>
      <c r="J14" s="27" t="n">
        <v>1976.465539015218</v>
      </c>
      <c r="K14" s="27" t="n">
        <v>91.51793477102387</v>
      </c>
      <c r="L14" s="27" t="n">
        <v>11.05978925316031</v>
      </c>
      <c r="M14" s="27" t="n">
        <v>560.0887915003431</v>
      </c>
      <c r="N14" s="27" t="n">
        <v>328.0081196712111</v>
      </c>
      <c r="O14" s="27" t="n">
        <v>0.4678909844639144</v>
      </c>
      <c r="P14" s="27" t="n">
        <v>0.9979444646548505</v>
      </c>
      <c r="Q14" s="27" t="n">
        <v>2393.194951349676</v>
      </c>
      <c r="R14" s="27" t="n">
        <v>66.80421086043222</v>
      </c>
      <c r="S14" s="27" t="n">
        <v>73.40281986177604</v>
      </c>
      <c r="T14" s="27" t="n">
        <v>10.2204651759033</v>
      </c>
      <c r="U14" s="27" t="n">
        <v>24.93281237354965</v>
      </c>
      <c r="V14" s="27" t="n">
        <v>18.93195734972701</v>
      </c>
      <c r="W14" s="27" t="n">
        <v>15.6820681693538</v>
      </c>
      <c r="X14" s="27" t="n">
        <v>23.58153288598227</v>
      </c>
      <c r="Y14" s="27" t="n">
        <v>189.2794945606878</v>
      </c>
      <c r="Z14" s="27" t="n">
        <v>15.65339839349898</v>
      </c>
      <c r="AA14" s="27" t="n">
        <v>89.41966044982217</v>
      </c>
      <c r="AB14" s="27" t="n">
        <v>2.947117226891009</v>
      </c>
      <c r="AC14" s="27" t="n">
        <v>3.300354835048959</v>
      </c>
      <c r="AD14" s="27" t="n">
        <v>0.1478770990222127</v>
      </c>
      <c r="AE14" s="27" t="n">
        <v>0.5719809146675618</v>
      </c>
      <c r="AF14" s="27" t="n">
        <v>0.8374214228960924</v>
      </c>
      <c r="AG14" s="27" t="n">
        <v>0.279122759957776</v>
      </c>
      <c r="AH14" s="27" t="n">
        <v>0.09127979138452318</v>
      </c>
      <c r="AI14" s="27" t="n">
        <v>0.138530891824655</v>
      </c>
      <c r="AJ14" s="27" t="n">
        <v>3.344524025109629</v>
      </c>
      <c r="AK14" s="27" t="n">
        <v>8.822767890431539</v>
      </c>
      <c r="AL14" s="27" t="n">
        <v>96.21364247724885</v>
      </c>
      <c r="AM14" s="27" t="n">
        <v>1438.318304732214</v>
      </c>
      <c r="AN14" s="27" t="n">
        <v>1.259591838565045</v>
      </c>
      <c r="AO14" s="27" t="n">
        <v>4.388575378789312</v>
      </c>
      <c r="AP14" s="27" t="n">
        <v>1.441578363972005</v>
      </c>
      <c r="AQ14" s="27" t="n">
        <v>1.298105723775747</v>
      </c>
      <c r="AR14" s="27" t="n">
        <v>0.01171830720000217</v>
      </c>
      <c r="AS14" s="27" t="n">
        <v>697.4124791524714</v>
      </c>
      <c r="AT14" s="27" t="n">
        <v>8.882201612198962</v>
      </c>
      <c r="AU14" s="27" t="n">
        <v>9.523252180525544</v>
      </c>
      <c r="AV14" s="27" t="n">
        <v>39.2123047487703</v>
      </c>
      <c r="AW14" s="27" t="n">
        <v>53.20719707458507</v>
      </c>
      <c r="AX14" s="27" t="n">
        <v>0</v>
      </c>
      <c r="AY14" s="27" t="n">
        <v>101.6965976559453</v>
      </c>
      <c r="AZ14" s="27" t="n">
        <v>39.99664647551256</v>
      </c>
      <c r="BA14" s="27" t="n">
        <v>306.3177970877902</v>
      </c>
      <c r="BB14" s="27">
        <f>SUM(C14:BA14)</f>
        <v/>
      </c>
      <c r="BC14" s="27" t="n">
        <v>0</v>
      </c>
      <c r="BD14" s="27" t="n">
        <v>0</v>
      </c>
      <c r="BE14" s="27" t="n">
        <v>21444.33734735358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195.2942678297994</v>
      </c>
      <c r="D15" s="29" t="n">
        <v>1161.216242181395</v>
      </c>
      <c r="E15" s="29" t="n">
        <v>2.767503352545702</v>
      </c>
      <c r="F15" s="29" t="n">
        <v>1.25511275866359</v>
      </c>
      <c r="G15" s="29" t="n">
        <v>0.3977158377891538</v>
      </c>
      <c r="H15" s="29" t="n">
        <v>18354.53758056773</v>
      </c>
      <c r="I15" s="29" t="n">
        <v>50.15799761468153</v>
      </c>
      <c r="J15" s="29" t="n">
        <v>2.764185506945302</v>
      </c>
      <c r="K15" s="29" t="n">
        <v>0.2144387946881806</v>
      </c>
      <c r="L15" s="29" t="n">
        <v>4.424786600778151</v>
      </c>
      <c r="M15" s="29" t="n">
        <v>35.88355181036972</v>
      </c>
      <c r="N15" s="29" t="n">
        <v>20.78339154455029</v>
      </c>
      <c r="O15" s="29" t="n">
        <v>0.02760179995212999</v>
      </c>
      <c r="P15" s="29" t="n">
        <v>0.02111424597905414</v>
      </c>
      <c r="Q15" s="29" t="n">
        <v>15.44319391268843</v>
      </c>
      <c r="R15" s="29" t="n">
        <v>2.537044894224263</v>
      </c>
      <c r="S15" s="29" t="n">
        <v>1.955027661395167</v>
      </c>
      <c r="T15" s="29" t="n">
        <v>0.2412656870316177</v>
      </c>
      <c r="U15" s="29" t="n">
        <v>0.720232078935465</v>
      </c>
      <c r="V15" s="29" t="n">
        <v>1.520857554251799</v>
      </c>
      <c r="W15" s="29" t="n">
        <v>0.4135380723256514</v>
      </c>
      <c r="X15" s="29" t="n">
        <v>0.6060920889746445</v>
      </c>
      <c r="Y15" s="29" t="n">
        <v>11.59965951765692</v>
      </c>
      <c r="Z15" s="29" t="n">
        <v>0.4908930621884487</v>
      </c>
      <c r="AA15" s="29" t="n">
        <v>5.752601846012992</v>
      </c>
      <c r="AB15" s="29" t="n">
        <v>1.670037880064191</v>
      </c>
      <c r="AC15" s="29" t="n">
        <v>0.2079810182517198</v>
      </c>
      <c r="AD15" s="29" t="n">
        <v>0.08713356972089276</v>
      </c>
      <c r="AE15" s="29" t="n">
        <v>0.02881115684319419</v>
      </c>
      <c r="AF15" s="29" t="n">
        <v>0.1426595135589871</v>
      </c>
      <c r="AG15" s="29" t="n">
        <v>0.2537070085521457</v>
      </c>
      <c r="AH15" s="29" t="n">
        <v>0.04085113211879891</v>
      </c>
      <c r="AI15" s="29" t="n">
        <v>0.2010283295845021</v>
      </c>
      <c r="AJ15" s="29" t="n">
        <v>0.06364582049556254</v>
      </c>
      <c r="AK15" s="29" t="n">
        <v>6.163693335658829</v>
      </c>
      <c r="AL15" s="29" t="n">
        <v>64.43890754273998</v>
      </c>
      <c r="AM15" s="29" t="n">
        <v>49.50239227058439</v>
      </c>
      <c r="AN15" s="29" t="n">
        <v>1.790085948462302</v>
      </c>
      <c r="AO15" s="29" t="n">
        <v>6.003276974121299</v>
      </c>
      <c r="AP15" s="29" t="n">
        <v>1.221104278288967</v>
      </c>
      <c r="AQ15" s="29" t="n">
        <v>1.618474894804085</v>
      </c>
      <c r="AR15" s="29" t="n">
        <v>0.002246623523076941</v>
      </c>
      <c r="AS15" s="29" t="n">
        <v>294.1636440652667</v>
      </c>
      <c r="AT15" s="29" t="n">
        <v>2.98830008999224</v>
      </c>
      <c r="AU15" s="29" t="n">
        <v>4.449756944473735</v>
      </c>
      <c r="AV15" s="29" t="n">
        <v>30.84486418406909</v>
      </c>
      <c r="AW15" s="29" t="n">
        <v>8.829733567408963</v>
      </c>
      <c r="AX15" s="29" t="n">
        <v>0</v>
      </c>
      <c r="AY15" s="29" t="n">
        <v>51.94084550535197</v>
      </c>
      <c r="AZ15" s="29" t="n">
        <v>16.63711224246797</v>
      </c>
      <c r="BA15" s="29" t="n">
        <v>74.95518961913194</v>
      </c>
      <c r="BB15" s="29">
        <f>SUM(C15:BA15)</f>
        <v/>
      </c>
      <c r="BC15" s="29" t="n">
        <v>0</v>
      </c>
      <c r="BD15" s="29" t="n">
        <v>0</v>
      </c>
      <c r="BE15" s="29" t="n">
        <v>10742.43683886129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3.311314940684192</v>
      </c>
      <c r="D16" s="27" t="n">
        <v>5.065825535192346</v>
      </c>
      <c r="E16" s="27" t="n">
        <v>925.3924032627945</v>
      </c>
      <c r="F16" s="27" t="n">
        <v>25.48506146729271</v>
      </c>
      <c r="G16" s="27" t="n">
        <v>3.310668661724751</v>
      </c>
      <c r="H16" s="27" t="n">
        <v>100.3912482111182</v>
      </c>
      <c r="I16" s="27" t="n">
        <v>0.09511172747071804</v>
      </c>
      <c r="J16" s="27" t="n">
        <v>33.57286740885499</v>
      </c>
      <c r="K16" s="27" t="n">
        <v>0.662855390327438</v>
      </c>
      <c r="L16" s="27" t="n">
        <v>0.1732613104689497</v>
      </c>
      <c r="M16" s="27" t="n">
        <v>7.283235449717333</v>
      </c>
      <c r="N16" s="27" t="n">
        <v>72.93254446889544</v>
      </c>
      <c r="O16" s="27" t="n">
        <v>0.3065798045951378</v>
      </c>
      <c r="P16" s="27" t="n">
        <v>16674.50447870591</v>
      </c>
      <c r="Q16" s="27" t="n">
        <v>0.1975651478719961</v>
      </c>
      <c r="R16" s="27" t="n">
        <v>148.6742212071582</v>
      </c>
      <c r="S16" s="27" t="n">
        <v>76.85044416326978</v>
      </c>
      <c r="T16" s="27" t="n">
        <v>4.615819192470156</v>
      </c>
      <c r="U16" s="27" t="n">
        <v>4.730154264904359</v>
      </c>
      <c r="V16" s="27" t="n">
        <v>3.500304971984645</v>
      </c>
      <c r="W16" s="27" t="n">
        <v>3.673656775078571</v>
      </c>
      <c r="X16" s="27" t="n">
        <v>7.322547826986003</v>
      </c>
      <c r="Y16" s="27" t="n">
        <v>14.48525879566208</v>
      </c>
      <c r="Z16" s="27" t="n">
        <v>50.2001773460551</v>
      </c>
      <c r="AA16" s="27" t="n">
        <v>69.13996351529144</v>
      </c>
      <c r="AB16" s="27" t="n">
        <v>45.71664541369226</v>
      </c>
      <c r="AC16" s="27" t="n">
        <v>37.74158456879173</v>
      </c>
      <c r="AD16" s="27" t="n">
        <v>6.739732369433174</v>
      </c>
      <c r="AE16" s="27" t="n">
        <v>3.283920972179534</v>
      </c>
      <c r="AF16" s="27" t="n">
        <v>1.118875304123041</v>
      </c>
      <c r="AG16" s="27" t="n">
        <v>10.07871815352332</v>
      </c>
      <c r="AH16" s="27" t="n">
        <v>26.61459786216435</v>
      </c>
      <c r="AI16" s="27" t="n">
        <v>0.6241654338550652</v>
      </c>
      <c r="AJ16" s="27" t="n">
        <v>0.3668476226628643</v>
      </c>
      <c r="AK16" s="27" t="n">
        <v>723.4679346945879</v>
      </c>
      <c r="AL16" s="27" t="n">
        <v>142.2239342601926</v>
      </c>
      <c r="AM16" s="27" t="n">
        <v>31.49019261526041</v>
      </c>
      <c r="AN16" s="27" t="n">
        <v>7.649902363655531</v>
      </c>
      <c r="AO16" s="27" t="n">
        <v>18.3184115947595</v>
      </c>
      <c r="AP16" s="27" t="n">
        <v>6.88952706918727</v>
      </c>
      <c r="AQ16" s="27" t="n">
        <v>5.21118160049959</v>
      </c>
      <c r="AR16" s="27" t="n">
        <v>0.4618543257613734</v>
      </c>
      <c r="AS16" s="27" t="n">
        <v>14.36967540791766</v>
      </c>
      <c r="AT16" s="27" t="n">
        <v>25.90193510369989</v>
      </c>
      <c r="AU16" s="27" t="n">
        <v>4.539746300031552</v>
      </c>
      <c r="AV16" s="27" t="n">
        <v>1.79925139954112</v>
      </c>
      <c r="AW16" s="27" t="n">
        <v>15.34765048047165</v>
      </c>
      <c r="AX16" s="27" t="n">
        <v>0</v>
      </c>
      <c r="AY16" s="27" t="n">
        <v>2.958855845857543</v>
      </c>
      <c r="AZ16" s="27" t="n">
        <v>6.685084366573886</v>
      </c>
      <c r="BA16" s="27" t="n">
        <v>34.68790191545141</v>
      </c>
      <c r="BB16" s="27">
        <f>SUM(C16:BA16)</f>
        <v/>
      </c>
      <c r="BC16" s="27" t="n">
        <v>0</v>
      </c>
      <c r="BD16" s="27" t="n">
        <v>0</v>
      </c>
      <c r="BE16" s="27" t="n">
        <v>5077.166751112603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0.1504614793361713</v>
      </c>
      <c r="D17" s="29" t="n">
        <v>0.09140137079429424</v>
      </c>
      <c r="E17" s="29" t="n">
        <v>2.248662038104546</v>
      </c>
      <c r="F17" s="29" t="n">
        <v>101.922327158199</v>
      </c>
      <c r="G17" s="29" t="n">
        <v>3.694949894455899</v>
      </c>
      <c r="H17" s="29" t="n">
        <v>4.480315049761143</v>
      </c>
      <c r="I17" s="29" t="n">
        <v>0.3299176491006846</v>
      </c>
      <c r="J17" s="29" t="n">
        <v>0.2064282772143013</v>
      </c>
      <c r="K17" s="29" t="n">
        <v>0.2237293094892593</v>
      </c>
      <c r="L17" s="29" t="n">
        <v>0.3360856711706645</v>
      </c>
      <c r="M17" s="29" t="n">
        <v>0.09905113169581692</v>
      </c>
      <c r="N17" s="29" t="n">
        <v>0.5430306815384631</v>
      </c>
      <c r="O17" s="29" t="n">
        <v>0.08481508427007198</v>
      </c>
      <c r="P17" s="29" t="n">
        <v>0.7726324069244501</v>
      </c>
      <c r="Q17" s="29" t="n">
        <v>0.09670093951612958</v>
      </c>
      <c r="R17" s="29" t="n">
        <v>0.8108073910497453</v>
      </c>
      <c r="S17" s="29" t="n">
        <v>0.1699031453104511</v>
      </c>
      <c r="T17" s="29" t="n">
        <v>1.109725308377381</v>
      </c>
      <c r="U17" s="29" t="n">
        <v>0.4072165647683069</v>
      </c>
      <c r="V17" s="29" t="n">
        <v>0.5103225481338268</v>
      </c>
      <c r="W17" s="29" t="n">
        <v>0.2966289507310408</v>
      </c>
      <c r="X17" s="29" t="n">
        <v>0.2884457775922715</v>
      </c>
      <c r="Y17" s="29" t="n">
        <v>0.623160099337253</v>
      </c>
      <c r="Z17" s="29" t="n">
        <v>18.77901692599718</v>
      </c>
      <c r="AA17" s="29" t="n">
        <v>1593.924198520745</v>
      </c>
      <c r="AB17" s="29" t="n">
        <v>0.2794269932688977</v>
      </c>
      <c r="AC17" s="29" t="n">
        <v>0.4388117354089543</v>
      </c>
      <c r="AD17" s="29" t="n">
        <v>0.8689536697984638</v>
      </c>
      <c r="AE17" s="29" t="n">
        <v>0.6747105558642261</v>
      </c>
      <c r="AF17" s="29" t="n">
        <v>1.284733714014139</v>
      </c>
      <c r="AG17" s="29" t="n">
        <v>1.419824123805694</v>
      </c>
      <c r="AH17" s="29" t="n">
        <v>0.4966616900537831</v>
      </c>
      <c r="AI17" s="29" t="n">
        <v>0.1325574506329621</v>
      </c>
      <c r="AJ17" s="29" t="n">
        <v>0.2124131538319008</v>
      </c>
      <c r="AK17" s="29" t="n">
        <v>1.856693053662853</v>
      </c>
      <c r="AL17" s="29" t="n">
        <v>3.640231134552971</v>
      </c>
      <c r="AM17" s="29" t="n">
        <v>8.665840576279045</v>
      </c>
      <c r="AN17" s="29" t="n">
        <v>3.889496630101474</v>
      </c>
      <c r="AO17" s="29" t="n">
        <v>5.614226997471004</v>
      </c>
      <c r="AP17" s="29" t="n">
        <v>5.336783591128993</v>
      </c>
      <c r="AQ17" s="29" t="n">
        <v>0.4266329570528037</v>
      </c>
      <c r="AR17" s="29" t="n">
        <v>0.03771145179318808</v>
      </c>
      <c r="AS17" s="29" t="n">
        <v>0.54444842675909</v>
      </c>
      <c r="AT17" s="29" t="n">
        <v>7.66438838861592</v>
      </c>
      <c r="AU17" s="29" t="n">
        <v>1.220552087000099</v>
      </c>
      <c r="AV17" s="29" t="n">
        <v>0.4556309494052906</v>
      </c>
      <c r="AW17" s="29" t="n">
        <v>2.326172013473554</v>
      </c>
      <c r="AX17" s="29" t="n">
        <v>0</v>
      </c>
      <c r="AY17" s="29" t="n">
        <v>1.069582793516013</v>
      </c>
      <c r="AZ17" s="29" t="n">
        <v>1.191897245153788</v>
      </c>
      <c r="BA17" s="29" t="n">
        <v>4.758710245258805</v>
      </c>
      <c r="BB17" s="29">
        <f>SUM(C17:BA17)</f>
        <v/>
      </c>
      <c r="BC17" s="29" t="n">
        <v>0</v>
      </c>
      <c r="BD17" s="29" t="n">
        <v>0</v>
      </c>
      <c r="BE17" s="29" t="n">
        <v>5407.163581167187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116.3088207139429</v>
      </c>
      <c r="D18" s="27" t="n">
        <v>74.91018128916782</v>
      </c>
      <c r="E18" s="27" t="n">
        <v>66.88994073664335</v>
      </c>
      <c r="F18" s="27" t="n">
        <v>1.188178811439208</v>
      </c>
      <c r="G18" s="27" t="n">
        <v>200.512981518344</v>
      </c>
      <c r="H18" s="27" t="n">
        <v>79.16811497400877</v>
      </c>
      <c r="I18" s="27" t="n">
        <v>0.05414407444897582</v>
      </c>
      <c r="J18" s="27" t="n">
        <v>1.61395002120993</v>
      </c>
      <c r="K18" s="27" t="n">
        <v>0.2750187962603274</v>
      </c>
      <c r="L18" s="27" t="n">
        <v>1.608601499834509</v>
      </c>
      <c r="M18" s="27" t="n">
        <v>0.1043534378114895</v>
      </c>
      <c r="N18" s="27" t="n">
        <v>11.76608405282313</v>
      </c>
      <c r="O18" s="27" t="n">
        <v>0.8790513880243918</v>
      </c>
      <c r="P18" s="27" t="n">
        <v>3.609135340442803</v>
      </c>
      <c r="Q18" s="27" t="n">
        <v>23.27795142042584</v>
      </c>
      <c r="R18" s="27" t="n">
        <v>815.7752325671428</v>
      </c>
      <c r="S18" s="27" t="n">
        <v>5.509016717569811</v>
      </c>
      <c r="T18" s="27" t="n">
        <v>1.159320456472621</v>
      </c>
      <c r="U18" s="27" t="n">
        <v>0.878602670908067</v>
      </c>
      <c r="V18" s="27" t="n">
        <v>5.984411316984792</v>
      </c>
      <c r="W18" s="27" t="n">
        <v>27.44299506417995</v>
      </c>
      <c r="X18" s="27" t="n">
        <v>8.487106246262215</v>
      </c>
      <c r="Y18" s="27" t="n">
        <v>5.03782987052781</v>
      </c>
      <c r="Z18" s="27" t="n">
        <v>943.0844088366382</v>
      </c>
      <c r="AA18" s="27" t="n">
        <v>642.3025930282313</v>
      </c>
      <c r="AB18" s="27" t="n">
        <v>1229.610898389877</v>
      </c>
      <c r="AC18" s="27" t="n">
        <v>5.771675440952186</v>
      </c>
      <c r="AD18" s="27" t="n">
        <v>7.925919195113325</v>
      </c>
      <c r="AE18" s="27" t="n">
        <v>18.14890949741956</v>
      </c>
      <c r="AF18" s="27" t="n">
        <v>0.9681173629875069</v>
      </c>
      <c r="AG18" s="27" t="n">
        <v>7.268747057600705</v>
      </c>
      <c r="AH18" s="27" t="n">
        <v>16.08839821784771</v>
      </c>
      <c r="AI18" s="27" t="n">
        <v>1.790921174743874</v>
      </c>
      <c r="AJ18" s="27" t="n">
        <v>12.26351043485049</v>
      </c>
      <c r="AK18" s="27" t="n">
        <v>101.3756025544848</v>
      </c>
      <c r="AL18" s="27" t="n">
        <v>1344.562282011112</v>
      </c>
      <c r="AM18" s="27" t="n">
        <v>19.02069270169531</v>
      </c>
      <c r="AN18" s="27" t="n">
        <v>2.580881694796867</v>
      </c>
      <c r="AO18" s="27" t="n">
        <v>2.027915020777692</v>
      </c>
      <c r="AP18" s="27" t="n">
        <v>1.699167186534283</v>
      </c>
      <c r="AQ18" s="27" t="n">
        <v>38.44288084953516</v>
      </c>
      <c r="AR18" s="27" t="n">
        <v>0.1021644229453289</v>
      </c>
      <c r="AS18" s="27" t="n">
        <v>8.117157015478355</v>
      </c>
      <c r="AT18" s="27" t="n">
        <v>4.861701618841412</v>
      </c>
      <c r="AU18" s="27" t="n">
        <v>1.187062824753467</v>
      </c>
      <c r="AV18" s="27" t="n">
        <v>6.40899945837679</v>
      </c>
      <c r="AW18" s="27" t="n">
        <v>4.494421938150584</v>
      </c>
      <c r="AX18" s="27" t="n">
        <v>0</v>
      </c>
      <c r="AY18" s="27" t="n">
        <v>11.36236928579241</v>
      </c>
      <c r="AZ18" s="27" t="n">
        <v>3.777126620265666</v>
      </c>
      <c r="BA18" s="27" t="n">
        <v>10.77815272238144</v>
      </c>
      <c r="BB18" s="27">
        <f>SUM(C18:BA18)</f>
        <v/>
      </c>
      <c r="BC18" s="27" t="n">
        <v>0</v>
      </c>
      <c r="BD18" s="27" t="n">
        <v>0</v>
      </c>
      <c r="BE18" s="27" t="n">
        <v>783.160333284202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266.692388983918</v>
      </c>
      <c r="D19" s="29" t="n">
        <v>2196.382380767152</v>
      </c>
      <c r="E19" s="29" t="n">
        <v>86.30749229742547</v>
      </c>
      <c r="F19" s="29" t="n">
        <v>16.50791251132133</v>
      </c>
      <c r="G19" s="29" t="n">
        <v>45.82469533441506</v>
      </c>
      <c r="H19" s="29" t="n">
        <v>15711.35749291874</v>
      </c>
      <c r="I19" s="29" t="n">
        <v>4.618846096732722</v>
      </c>
      <c r="J19" s="29" t="n">
        <v>27.62365930594726</v>
      </c>
      <c r="K19" s="29" t="n">
        <v>17.77430598516355</v>
      </c>
      <c r="L19" s="29" t="n">
        <v>819.5530232184534</v>
      </c>
      <c r="M19" s="29" t="n">
        <v>13.04584587001811</v>
      </c>
      <c r="N19" s="29" t="n">
        <v>147.0342878694451</v>
      </c>
      <c r="O19" s="29" t="n">
        <v>7.416810896955439</v>
      </c>
      <c r="P19" s="29" t="n">
        <v>964.0329533324176</v>
      </c>
      <c r="Q19" s="29" t="n">
        <v>460.1144592495506</v>
      </c>
      <c r="R19" s="29" t="n">
        <v>185.0767077921266</v>
      </c>
      <c r="S19" s="29" t="n">
        <v>69.5637260773445</v>
      </c>
      <c r="T19" s="29" t="n">
        <v>149.5983092049194</v>
      </c>
      <c r="U19" s="29" t="n">
        <v>58.38349136328123</v>
      </c>
      <c r="V19" s="29" t="n">
        <v>598.6329621833534</v>
      </c>
      <c r="W19" s="29" t="n">
        <v>91.11530732751595</v>
      </c>
      <c r="X19" s="29" t="n">
        <v>368.5503454222615</v>
      </c>
      <c r="Y19" s="29" t="n">
        <v>56.79571021883157</v>
      </c>
      <c r="Z19" s="29" t="n">
        <v>36.81270402801879</v>
      </c>
      <c r="AA19" s="29" t="n">
        <v>60.27052135732418</v>
      </c>
      <c r="AB19" s="29" t="n">
        <v>17.6648290049277</v>
      </c>
      <c r="AC19" s="29" t="n">
        <v>51.15241472573517</v>
      </c>
      <c r="AD19" s="29" t="n">
        <v>92.61192671694528</v>
      </c>
      <c r="AE19" s="29" t="n">
        <v>22.51906850009264</v>
      </c>
      <c r="AF19" s="29" t="n">
        <v>28.05145152082416</v>
      </c>
      <c r="AG19" s="29" t="n">
        <v>20.33900156038901</v>
      </c>
      <c r="AH19" s="29" t="n">
        <v>13.0431771069393</v>
      </c>
      <c r="AI19" s="29" t="n">
        <v>6.502252779191058</v>
      </c>
      <c r="AJ19" s="29" t="n">
        <v>18.36289920801041</v>
      </c>
      <c r="AK19" s="29" t="n">
        <v>84.43634736360005</v>
      </c>
      <c r="AL19" s="29" t="n">
        <v>176.4679474951412</v>
      </c>
      <c r="AM19" s="29" t="n">
        <v>782.2190837702125</v>
      </c>
      <c r="AN19" s="29" t="n">
        <v>220.5377463552269</v>
      </c>
      <c r="AO19" s="29" t="n">
        <v>93.19911382902922</v>
      </c>
      <c r="AP19" s="29" t="n">
        <v>95.80964033322411</v>
      </c>
      <c r="AQ19" s="29" t="n">
        <v>12.33361495646817</v>
      </c>
      <c r="AR19" s="29" t="n">
        <v>7.843851644977288</v>
      </c>
      <c r="AS19" s="29" t="n">
        <v>8566.630007889758</v>
      </c>
      <c r="AT19" s="29" t="n">
        <v>104.9389650640605</v>
      </c>
      <c r="AU19" s="29" t="n">
        <v>87.49903249168823</v>
      </c>
      <c r="AV19" s="29" t="n">
        <v>326.3683351110914</v>
      </c>
      <c r="AW19" s="29" t="n">
        <v>271.3824636355064</v>
      </c>
      <c r="AX19" s="29" t="n">
        <v>0</v>
      </c>
      <c r="AY19" s="29" t="n">
        <v>697.9710622916522</v>
      </c>
      <c r="AZ19" s="29" t="n">
        <v>442.1433621213608</v>
      </c>
      <c r="BA19" s="29" t="n">
        <v>823.4502033741732</v>
      </c>
      <c r="BB19" s="29">
        <f>SUM(C19:BA19)</f>
        <v/>
      </c>
      <c r="BC19" s="29" t="n">
        <v>0</v>
      </c>
      <c r="BD19" s="29" t="n">
        <v>0</v>
      </c>
      <c r="BE19" s="29" t="n">
        <v>91461.17647314623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0.4698778450215535</v>
      </c>
      <c r="D20" s="27" t="n">
        <v>0.02606677992226713</v>
      </c>
      <c r="E20" s="27" t="n">
        <v>0.539545452308702</v>
      </c>
      <c r="F20" s="27" t="n">
        <v>0.07311594630186316</v>
      </c>
      <c r="G20" s="27" t="n">
        <v>0.2855738730212367</v>
      </c>
      <c r="H20" s="27" t="n">
        <v>1.232791620670186</v>
      </c>
      <c r="I20" s="27" t="n">
        <v>319.3907411882305</v>
      </c>
      <c r="J20" s="27" t="n">
        <v>7.102422848989336</v>
      </c>
      <c r="K20" s="27" t="n">
        <v>12.61022999509333</v>
      </c>
      <c r="L20" s="27" t="n">
        <v>3.951395276851447</v>
      </c>
      <c r="M20" s="27" t="n">
        <v>0.02118029806479791</v>
      </c>
      <c r="N20" s="27" t="n">
        <v>0.2147397607761147</v>
      </c>
      <c r="O20" s="27" t="n">
        <v>0.0180734853922309</v>
      </c>
      <c r="P20" s="27" t="n">
        <v>0.1651668604840523</v>
      </c>
      <c r="Q20" s="27" t="n">
        <v>0.02062512844464492</v>
      </c>
      <c r="R20" s="27" t="n">
        <v>0.1731249434009321</v>
      </c>
      <c r="S20" s="27" t="n">
        <v>0.03633072331645049</v>
      </c>
      <c r="T20" s="27" t="n">
        <v>0.2505918225456103</v>
      </c>
      <c r="U20" s="27" t="n">
        <v>0.08993591170884006</v>
      </c>
      <c r="V20" s="27" t="n">
        <v>0.1091232729359931</v>
      </c>
      <c r="W20" s="27" t="n">
        <v>0.06342514546667878</v>
      </c>
      <c r="X20" s="27" t="n">
        <v>0.09866102790838006</v>
      </c>
      <c r="Y20" s="27" t="n">
        <v>0.610150591422384</v>
      </c>
      <c r="Z20" s="27" t="n">
        <v>0.1549343869141017</v>
      </c>
      <c r="AA20" s="27" t="n">
        <v>0.1249103508917174</v>
      </c>
      <c r="AB20" s="27" t="n">
        <v>0.05599776576361814</v>
      </c>
      <c r="AC20" s="27" t="n">
        <v>0.1189731956800543</v>
      </c>
      <c r="AD20" s="27" t="n">
        <v>0.1910667097763287</v>
      </c>
      <c r="AE20" s="27" t="n">
        <v>0.1495655785488374</v>
      </c>
      <c r="AF20" s="27" t="n">
        <v>0.2882623992950646</v>
      </c>
      <c r="AG20" s="27" t="n">
        <v>0.3073511424597759</v>
      </c>
      <c r="AH20" s="27" t="n">
        <v>1.189765970958284</v>
      </c>
      <c r="AI20" s="27" t="n">
        <v>0.07639801524899661</v>
      </c>
      <c r="AJ20" s="27" t="n">
        <v>1.382045287837986</v>
      </c>
      <c r="AK20" s="27" t="n">
        <v>0.4060798066520011</v>
      </c>
      <c r="AL20" s="27" t="n">
        <v>1.235254952917406</v>
      </c>
      <c r="AM20" s="27" t="n">
        <v>1.924416954131394</v>
      </c>
      <c r="AN20" s="27" t="n">
        <v>0.8705136615327128</v>
      </c>
      <c r="AO20" s="27" t="n">
        <v>1.19018264378612</v>
      </c>
      <c r="AP20" s="27" t="n">
        <v>1.138421309439588</v>
      </c>
      <c r="AQ20" s="27" t="n">
        <v>0.0875177163414384</v>
      </c>
      <c r="AR20" s="27" t="n">
        <v>0.03496751562581583</v>
      </c>
      <c r="AS20" s="27" t="n">
        <v>0.47840008366328</v>
      </c>
      <c r="AT20" s="27" t="n">
        <v>1.312863291374742</v>
      </c>
      <c r="AU20" s="27" t="n">
        <v>0.2599956607285457</v>
      </c>
      <c r="AV20" s="27" t="n">
        <v>0.1119034244586049</v>
      </c>
      <c r="AW20" s="27" t="n">
        <v>1.0614376285945</v>
      </c>
      <c r="AX20" s="27" t="n">
        <v>0</v>
      </c>
      <c r="AY20" s="27" t="n">
        <v>0.2760083110422157</v>
      </c>
      <c r="AZ20" s="27" t="n">
        <v>0.2734714677030147</v>
      </c>
      <c r="BA20" s="27" t="n">
        <v>1.025599608938016</v>
      </c>
      <c r="BB20" s="27">
        <f>SUM(C20:BA20)</f>
        <v/>
      </c>
      <c r="BC20" s="27" t="n">
        <v>0</v>
      </c>
      <c r="BD20" s="27" t="n">
        <v>0</v>
      </c>
      <c r="BE20" s="27" t="n">
        <v>3954.098108298652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137.3928354898093</v>
      </c>
      <c r="D21" s="29" t="n">
        <v>3.43146292426019</v>
      </c>
      <c r="E21" s="29" t="n">
        <v>22.95386082584351</v>
      </c>
      <c r="F21" s="29" t="n">
        <v>1.036365850968213</v>
      </c>
      <c r="G21" s="29" t="n">
        <v>60.32189519169818</v>
      </c>
      <c r="H21" s="29" t="n">
        <v>97.99767150231703</v>
      </c>
      <c r="I21" s="29" t="n">
        <v>0.5811308341521217</v>
      </c>
      <c r="J21" s="29" t="n">
        <v>4193.125199975484</v>
      </c>
      <c r="K21" s="29" t="n">
        <v>4934.373532285954</v>
      </c>
      <c r="L21" s="29" t="n">
        <v>1123.303733931802</v>
      </c>
      <c r="M21" s="29" t="n">
        <v>3.445266779200881</v>
      </c>
      <c r="N21" s="29" t="n">
        <v>35.35694583897443</v>
      </c>
      <c r="O21" s="29" t="n">
        <v>1.459469273051712</v>
      </c>
      <c r="P21" s="29" t="n">
        <v>0.9449206800410054</v>
      </c>
      <c r="Q21" s="29" t="n">
        <v>0.4164795094646435</v>
      </c>
      <c r="R21" s="29" t="n">
        <v>3.034985158730289</v>
      </c>
      <c r="S21" s="29" t="n">
        <v>9.474738676747984</v>
      </c>
      <c r="T21" s="29" t="n">
        <v>28.83025586752174</v>
      </c>
      <c r="U21" s="29" t="n">
        <v>1.825761560106163</v>
      </c>
      <c r="V21" s="29" t="n">
        <v>5.758874730784135</v>
      </c>
      <c r="W21" s="29" t="n">
        <v>4.46445724977804</v>
      </c>
      <c r="X21" s="29" t="n">
        <v>15.12568056579029</v>
      </c>
      <c r="Y21" s="29" t="n">
        <v>224.48988704665</v>
      </c>
      <c r="Z21" s="29" t="n">
        <v>14.33849383992325</v>
      </c>
      <c r="AA21" s="29" t="n">
        <v>2.887214544340533</v>
      </c>
      <c r="AB21" s="29" t="n">
        <v>1.381664504663207</v>
      </c>
      <c r="AC21" s="29" t="n">
        <v>15.73356361346442</v>
      </c>
      <c r="AD21" s="29" t="n">
        <v>8.912319210371772</v>
      </c>
      <c r="AE21" s="29" t="n">
        <v>14.73840501603715</v>
      </c>
      <c r="AF21" s="29" t="n">
        <v>10.64575901693126</v>
      </c>
      <c r="AG21" s="29" t="n">
        <v>31.11405298603238</v>
      </c>
      <c r="AH21" s="29" t="n">
        <v>325.1258929850519</v>
      </c>
      <c r="AI21" s="29" t="n">
        <v>15.36747890519428</v>
      </c>
      <c r="AJ21" s="29" t="n">
        <v>406.5866096024345</v>
      </c>
      <c r="AK21" s="29" t="n">
        <v>10.41585603687649</v>
      </c>
      <c r="AL21" s="29" t="n">
        <v>190.7663611187611</v>
      </c>
      <c r="AM21" s="29" t="n">
        <v>83.22465930514886</v>
      </c>
      <c r="AN21" s="29" t="n">
        <v>35.15847043430047</v>
      </c>
      <c r="AO21" s="29" t="n">
        <v>13.33177338167015</v>
      </c>
      <c r="AP21" s="29" t="n">
        <v>10.20356004759724</v>
      </c>
      <c r="AQ21" s="29" t="n">
        <v>3.002363536482206</v>
      </c>
      <c r="AR21" s="29" t="n">
        <v>8.241086253736968</v>
      </c>
      <c r="AS21" s="29" t="n">
        <v>110.4524648265921</v>
      </c>
      <c r="AT21" s="29" t="n">
        <v>21.95089494396558</v>
      </c>
      <c r="AU21" s="29" t="n">
        <v>5.835429194666826</v>
      </c>
      <c r="AV21" s="29" t="n">
        <v>7.515852481910095</v>
      </c>
      <c r="AW21" s="29" t="n">
        <v>175.198499985568</v>
      </c>
      <c r="AX21" s="29" t="n">
        <v>0</v>
      </c>
      <c r="AY21" s="29" t="n">
        <v>16.97311879969632</v>
      </c>
      <c r="AZ21" s="29" t="n">
        <v>9.394495604159246</v>
      </c>
      <c r="BA21" s="29" t="n">
        <v>19.0863515619642</v>
      </c>
      <c r="BB21" s="29">
        <f>SUM(C21:BA21)</f>
        <v/>
      </c>
      <c r="BC21" s="29" t="n">
        <v>0</v>
      </c>
      <c r="BD21" s="29" t="n">
        <v>0</v>
      </c>
      <c r="BE21" s="29" t="n">
        <v>7797.242604637752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5.004300928115704</v>
      </c>
      <c r="D22" s="27" t="n">
        <v>0.364299874418187</v>
      </c>
      <c r="E22" s="27" t="n">
        <v>15.33553682121063</v>
      </c>
      <c r="F22" s="27" t="n">
        <v>1.11031481598003</v>
      </c>
      <c r="G22" s="27" t="n">
        <v>2.690997950652085</v>
      </c>
      <c r="H22" s="27" t="n">
        <v>13.30097314411722</v>
      </c>
      <c r="I22" s="27" t="n">
        <v>0.467861696920939</v>
      </c>
      <c r="J22" s="27" t="n">
        <v>57.59986400862295</v>
      </c>
      <c r="K22" s="27" t="n">
        <v>572.7345203706986</v>
      </c>
      <c r="L22" s="27" t="n">
        <v>40.53075126656316</v>
      </c>
      <c r="M22" s="27" t="n">
        <v>0.3912777923451257</v>
      </c>
      <c r="N22" s="27" t="n">
        <v>2.38552726896088</v>
      </c>
      <c r="O22" s="27" t="n">
        <v>0.3097901858823198</v>
      </c>
      <c r="P22" s="27" t="n">
        <v>1.020113889573927</v>
      </c>
      <c r="Q22" s="27" t="n">
        <v>0.2806521474655164</v>
      </c>
      <c r="R22" s="27" t="n">
        <v>1.133479594483578</v>
      </c>
      <c r="S22" s="27" t="n">
        <v>0.5066546806360813</v>
      </c>
      <c r="T22" s="27" t="n">
        <v>1.892882021457617</v>
      </c>
      <c r="U22" s="27" t="n">
        <v>1.46134764269426</v>
      </c>
      <c r="V22" s="27" t="n">
        <v>0.6073613781514577</v>
      </c>
      <c r="W22" s="27" t="n">
        <v>0.636267187439702</v>
      </c>
      <c r="X22" s="27" t="n">
        <v>0.963705477342912</v>
      </c>
      <c r="Y22" s="27" t="n">
        <v>4.733345552845536</v>
      </c>
      <c r="Z22" s="27" t="n">
        <v>5.06721230282947</v>
      </c>
      <c r="AA22" s="27" t="n">
        <v>4.122090124080446</v>
      </c>
      <c r="AB22" s="27" t="n">
        <v>0.844042322250566</v>
      </c>
      <c r="AC22" s="27" t="n">
        <v>11.64129783243477</v>
      </c>
      <c r="AD22" s="27" t="n">
        <v>7.436552515043655</v>
      </c>
      <c r="AE22" s="27" t="n">
        <v>1.836499568832372</v>
      </c>
      <c r="AF22" s="27" t="n">
        <v>2.364867064068653</v>
      </c>
      <c r="AG22" s="27" t="n">
        <v>1.852807050792195</v>
      </c>
      <c r="AH22" s="27" t="n">
        <v>7.258589365535668</v>
      </c>
      <c r="AI22" s="27" t="n">
        <v>0.6905964091540157</v>
      </c>
      <c r="AJ22" s="27" t="n">
        <v>8.270770359884708</v>
      </c>
      <c r="AK22" s="27" t="n">
        <v>41.38428255149886</v>
      </c>
      <c r="AL22" s="27" t="n">
        <v>17.90390161492692</v>
      </c>
      <c r="AM22" s="27" t="n">
        <v>68.78069730746213</v>
      </c>
      <c r="AN22" s="27" t="n">
        <v>102.0663405058244</v>
      </c>
      <c r="AO22" s="27" t="n">
        <v>39.35587390999466</v>
      </c>
      <c r="AP22" s="27" t="n">
        <v>112.4442869826608</v>
      </c>
      <c r="AQ22" s="27" t="n">
        <v>6.526377355300251</v>
      </c>
      <c r="AR22" s="27" t="n">
        <v>0.2732966810343246</v>
      </c>
      <c r="AS22" s="27" t="n">
        <v>45.948490019856</v>
      </c>
      <c r="AT22" s="27" t="n">
        <v>80.6219660296797</v>
      </c>
      <c r="AU22" s="27" t="n">
        <v>1.839453550417171</v>
      </c>
      <c r="AV22" s="27" t="n">
        <v>7.528712358412827</v>
      </c>
      <c r="AW22" s="27" t="n">
        <v>269.2851382398985</v>
      </c>
      <c r="AX22" s="27" t="n">
        <v>0</v>
      </c>
      <c r="AY22" s="27" t="n">
        <v>157.0551654914271</v>
      </c>
      <c r="AZ22" s="27" t="n">
        <v>15.67216104278146</v>
      </c>
      <c r="BA22" s="27" t="n">
        <v>117.4427792109551</v>
      </c>
      <c r="BB22" s="27">
        <f>SUM(C22:BA22)</f>
        <v/>
      </c>
      <c r="BC22" s="27" t="n">
        <v>0</v>
      </c>
      <c r="BD22" s="27" t="n">
        <v>0</v>
      </c>
      <c r="BE22" s="27" t="n">
        <v>19225.67857594677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0.5847222344327067</v>
      </c>
      <c r="D23" s="29" t="n">
        <v>0.8650157112168758</v>
      </c>
      <c r="E23" s="29" t="n">
        <v>2.633297768869497</v>
      </c>
      <c r="F23" s="29" t="n">
        <v>0.9148419999334916</v>
      </c>
      <c r="G23" s="29" t="n">
        <v>3.293354538442422</v>
      </c>
      <c r="H23" s="29" t="n">
        <v>14.80680143091946</v>
      </c>
      <c r="I23" s="29" t="n">
        <v>0.4241285258963374</v>
      </c>
      <c r="J23" s="29" t="n">
        <v>2.042583155291022</v>
      </c>
      <c r="K23" s="29" t="n">
        <v>7.029594184023584</v>
      </c>
      <c r="L23" s="29" t="n">
        <v>1955.894620353503</v>
      </c>
      <c r="M23" s="29" t="n">
        <v>0.7765091840183959</v>
      </c>
      <c r="N23" s="29" t="n">
        <v>26.15446191501847</v>
      </c>
      <c r="O23" s="29" t="n">
        <v>0.5205251560758818</v>
      </c>
      <c r="P23" s="29" t="n">
        <v>1.137682364524937</v>
      </c>
      <c r="Q23" s="29" t="n">
        <v>0.4383066170102938</v>
      </c>
      <c r="R23" s="29" t="n">
        <v>1.385295325911334</v>
      </c>
      <c r="S23" s="29" t="n">
        <v>0.9447278558365829</v>
      </c>
      <c r="T23" s="29" t="n">
        <v>2.298701197129633</v>
      </c>
      <c r="U23" s="29" t="n">
        <v>1.12411520901608</v>
      </c>
      <c r="V23" s="29" t="n">
        <v>1.858964689980268</v>
      </c>
      <c r="W23" s="29" t="n">
        <v>1.320434599800721</v>
      </c>
      <c r="X23" s="29" t="n">
        <v>3.816807030489034</v>
      </c>
      <c r="Y23" s="29" t="n">
        <v>2.856734841124131</v>
      </c>
      <c r="Z23" s="29" t="n">
        <v>1.907907148367391</v>
      </c>
      <c r="AA23" s="29" t="n">
        <v>2.381041179253123</v>
      </c>
      <c r="AB23" s="29" t="n">
        <v>0.6016027669873436</v>
      </c>
      <c r="AC23" s="29" t="n">
        <v>6.433953136588269</v>
      </c>
      <c r="AD23" s="29" t="n">
        <v>4.329603418929715</v>
      </c>
      <c r="AE23" s="29" t="n">
        <v>1.156549339640591</v>
      </c>
      <c r="AF23" s="29" t="n">
        <v>12.69026228340683</v>
      </c>
      <c r="AG23" s="29" t="n">
        <v>2.026927827880464</v>
      </c>
      <c r="AH23" s="29" t="n">
        <v>2.51876074339966</v>
      </c>
      <c r="AI23" s="29" t="n">
        <v>0.1879527529232806</v>
      </c>
      <c r="AJ23" s="29" t="n">
        <v>3.313288768873029</v>
      </c>
      <c r="AK23" s="29" t="n">
        <v>19.46601780378554</v>
      </c>
      <c r="AL23" s="29" t="n">
        <v>10.49453902014437</v>
      </c>
      <c r="AM23" s="29" t="n">
        <v>14.07929526601068</v>
      </c>
      <c r="AN23" s="29" t="n">
        <v>7.181491270339397</v>
      </c>
      <c r="AO23" s="29" t="n">
        <v>13.03859506317184</v>
      </c>
      <c r="AP23" s="29" t="n">
        <v>5.159869567014471</v>
      </c>
      <c r="AQ23" s="29" t="n">
        <v>0.5605203178803192</v>
      </c>
      <c r="AR23" s="29" t="n">
        <v>0.06281542838896126</v>
      </c>
      <c r="AS23" s="29" t="n">
        <v>3.452977933751044</v>
      </c>
      <c r="AT23" s="29" t="n">
        <v>16.31009259156462</v>
      </c>
      <c r="AU23" s="29" t="n">
        <v>1.196774086956592</v>
      </c>
      <c r="AV23" s="29" t="n">
        <v>0.9602781115795136</v>
      </c>
      <c r="AW23" s="29" t="n">
        <v>4.946164336853406</v>
      </c>
      <c r="AX23" s="29" t="n">
        <v>0</v>
      </c>
      <c r="AY23" s="29" t="n">
        <v>3.108937884380256</v>
      </c>
      <c r="AZ23" s="29" t="n">
        <v>2.447483440487084</v>
      </c>
      <c r="BA23" s="29" t="n">
        <v>10.97069528952664</v>
      </c>
      <c r="BB23" s="29">
        <f>SUM(C23:BA23)</f>
        <v/>
      </c>
      <c r="BC23" s="29" t="n">
        <v>0</v>
      </c>
      <c r="BD23" s="29" t="n">
        <v>0</v>
      </c>
      <c r="BE23" s="29" t="n">
        <v>10849.76309240083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75.15088138397881</v>
      </c>
      <c r="D24" s="27" t="n">
        <v>57.82282538252941</v>
      </c>
      <c r="E24" s="27" t="n">
        <v>1.458974833916198</v>
      </c>
      <c r="F24" s="27" t="n">
        <v>0.5148856246131283</v>
      </c>
      <c r="G24" s="27" t="n">
        <v>1.809097994309829</v>
      </c>
      <c r="H24" s="27" t="n">
        <v>98.45234844160579</v>
      </c>
      <c r="I24" s="27" t="n">
        <v>0.278420655532953</v>
      </c>
      <c r="J24" s="27" t="n">
        <v>9.68405057530642</v>
      </c>
      <c r="K24" s="27" t="n">
        <v>2.482742614918996</v>
      </c>
      <c r="L24" s="27" t="n">
        <v>1.023368730768118</v>
      </c>
      <c r="M24" s="27" t="n">
        <v>1161.058034763409</v>
      </c>
      <c r="N24" s="27" t="n">
        <v>99.50836393354491</v>
      </c>
      <c r="O24" s="27" t="n">
        <v>0.9091199356987846</v>
      </c>
      <c r="P24" s="27" t="n">
        <v>0.5856999376985981</v>
      </c>
      <c r="Q24" s="27" t="n">
        <v>0.2580815648310513</v>
      </c>
      <c r="R24" s="27" t="n">
        <v>5.786587620893258</v>
      </c>
      <c r="S24" s="27" t="n">
        <v>0.4897465958741138</v>
      </c>
      <c r="T24" s="27" t="n">
        <v>0.9842495063212818</v>
      </c>
      <c r="U24" s="27" t="n">
        <v>2.733422381250344</v>
      </c>
      <c r="V24" s="27" t="n">
        <v>1.350053191404778</v>
      </c>
      <c r="W24" s="27" t="n">
        <v>0.9955472681108563</v>
      </c>
      <c r="X24" s="27" t="n">
        <v>9.215227398390162</v>
      </c>
      <c r="Y24" s="27" t="n">
        <v>6.536674175244359</v>
      </c>
      <c r="Z24" s="27" t="n">
        <v>10.08591641473737</v>
      </c>
      <c r="AA24" s="27" t="n">
        <v>7.54560222955532</v>
      </c>
      <c r="AB24" s="27" t="n">
        <v>1.841005827395901</v>
      </c>
      <c r="AC24" s="27" t="n">
        <v>49.15717964925167</v>
      </c>
      <c r="AD24" s="27" t="n">
        <v>69.91118820109152</v>
      </c>
      <c r="AE24" s="27" t="n">
        <v>3.153423467997151</v>
      </c>
      <c r="AF24" s="27" t="n">
        <v>2.172312790014526</v>
      </c>
      <c r="AG24" s="27" t="n">
        <v>40.44220747739783</v>
      </c>
      <c r="AH24" s="27" t="n">
        <v>20.32431123649549</v>
      </c>
      <c r="AI24" s="27" t="n">
        <v>23.91088833074699</v>
      </c>
      <c r="AJ24" s="27" t="n">
        <v>1457.910075993329</v>
      </c>
      <c r="AK24" s="27" t="n">
        <v>80.06268288185166</v>
      </c>
      <c r="AL24" s="27" t="n">
        <v>1275.521519821948</v>
      </c>
      <c r="AM24" s="27" t="n">
        <v>376.5513970910176</v>
      </c>
      <c r="AN24" s="27" t="n">
        <v>20.9744083143239</v>
      </c>
      <c r="AO24" s="27" t="n">
        <v>46.49346348524942</v>
      </c>
      <c r="AP24" s="27" t="n">
        <v>8.711898742087124</v>
      </c>
      <c r="AQ24" s="27" t="n">
        <v>73.46594982618259</v>
      </c>
      <c r="AR24" s="27" t="n">
        <v>0.8723439720270705</v>
      </c>
      <c r="AS24" s="27" t="n">
        <v>7.609687985964952</v>
      </c>
      <c r="AT24" s="27" t="n">
        <v>15.55725722940047</v>
      </c>
      <c r="AU24" s="27" t="n">
        <v>6.04846797955653</v>
      </c>
      <c r="AV24" s="27" t="n">
        <v>3.151495886471931</v>
      </c>
      <c r="AW24" s="27" t="n">
        <v>79.33291571494966</v>
      </c>
      <c r="AX24" s="27" t="n">
        <v>0</v>
      </c>
      <c r="AY24" s="27" t="n">
        <v>14.20396337247307</v>
      </c>
      <c r="AZ24" s="27" t="n">
        <v>1.942759152400327</v>
      </c>
      <c r="BA24" s="27" t="n">
        <v>18.40529644817903</v>
      </c>
      <c r="BB24" s="27">
        <f>SUM(C24:BA24)</f>
        <v/>
      </c>
      <c r="BC24" s="27" t="n">
        <v>0</v>
      </c>
      <c r="BD24" s="27" t="n">
        <v>0</v>
      </c>
      <c r="BE24" s="27" t="n">
        <v>3235.569697873482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80.49487337197559</v>
      </c>
      <c r="D25" s="29" t="n">
        <v>34.26275845058601</v>
      </c>
      <c r="E25" s="29" t="n">
        <v>12.54328206054948</v>
      </c>
      <c r="F25" s="29" t="n">
        <v>17.33200056250528</v>
      </c>
      <c r="G25" s="29" t="n">
        <v>8.103138102748959</v>
      </c>
      <c r="H25" s="29" t="n">
        <v>1314.102863651483</v>
      </c>
      <c r="I25" s="29" t="n">
        <v>274.9730862672652</v>
      </c>
      <c r="J25" s="29" t="n">
        <v>234.9581836890428</v>
      </c>
      <c r="K25" s="29" t="n">
        <v>212.2253002386987</v>
      </c>
      <c r="L25" s="29" t="n">
        <v>221.7879403220328</v>
      </c>
      <c r="M25" s="29" t="n">
        <v>210.3531296638814</v>
      </c>
      <c r="N25" s="29" t="n">
        <v>4340.552507834832</v>
      </c>
      <c r="O25" s="29" t="n">
        <v>417.6720818835988</v>
      </c>
      <c r="P25" s="29" t="n">
        <v>31.34725845593331</v>
      </c>
      <c r="Q25" s="29" t="n">
        <v>7.317780180257933</v>
      </c>
      <c r="R25" s="29" t="n">
        <v>30.93347381620135</v>
      </c>
      <c r="S25" s="29" t="n">
        <v>9.89957807363986</v>
      </c>
      <c r="T25" s="29" t="n">
        <v>176.5569970295208</v>
      </c>
      <c r="U25" s="29" t="n">
        <v>28.46897440931056</v>
      </c>
      <c r="V25" s="29" t="n">
        <v>345.4853345767526</v>
      </c>
      <c r="W25" s="29" t="n">
        <v>4.521914511382032</v>
      </c>
      <c r="X25" s="29" t="n">
        <v>19.71247320756801</v>
      </c>
      <c r="Y25" s="29" t="n">
        <v>494.3661537763149</v>
      </c>
      <c r="Z25" s="29" t="n">
        <v>409.9054314474585</v>
      </c>
      <c r="AA25" s="29" t="n">
        <v>20.13696375081057</v>
      </c>
      <c r="AB25" s="29" t="n">
        <v>5.063085495048228</v>
      </c>
      <c r="AC25" s="29" t="n">
        <v>244.0419295319912</v>
      </c>
      <c r="AD25" s="29" t="n">
        <v>57.82832277384585</v>
      </c>
      <c r="AE25" s="29" t="n">
        <v>98.41252914343775</v>
      </c>
      <c r="AF25" s="29" t="n">
        <v>505.8917650699751</v>
      </c>
      <c r="AG25" s="29" t="n">
        <v>66.59678272049366</v>
      </c>
      <c r="AH25" s="29" t="n">
        <v>192.1524247398232</v>
      </c>
      <c r="AI25" s="29" t="n">
        <v>9.939775963520287</v>
      </c>
      <c r="AJ25" s="29" t="n">
        <v>169.6795617467774</v>
      </c>
      <c r="AK25" s="29" t="n">
        <v>39.44305795930079</v>
      </c>
      <c r="AL25" s="29" t="n">
        <v>153.7837632801533</v>
      </c>
      <c r="AM25" s="29" t="n">
        <v>1152.391942804482</v>
      </c>
      <c r="AN25" s="29" t="n">
        <v>130.0699221786871</v>
      </c>
      <c r="AO25" s="29" t="n">
        <v>640.6395034965493</v>
      </c>
      <c r="AP25" s="29" t="n">
        <v>307.4776442247671</v>
      </c>
      <c r="AQ25" s="29" t="n">
        <v>56.17455517487983</v>
      </c>
      <c r="AR25" s="29" t="n">
        <v>10.73344377378224</v>
      </c>
      <c r="AS25" s="29" t="n">
        <v>245.345993357546</v>
      </c>
      <c r="AT25" s="29" t="n">
        <v>953.9353769665803</v>
      </c>
      <c r="AU25" s="29" t="n">
        <v>99.4062733532428</v>
      </c>
      <c r="AV25" s="29" t="n">
        <v>195.2876643793117</v>
      </c>
      <c r="AW25" s="29" t="n">
        <v>211.9279147794053</v>
      </c>
      <c r="AX25" s="29" t="n">
        <v>0</v>
      </c>
      <c r="AY25" s="29" t="n">
        <v>152.5869603373712</v>
      </c>
      <c r="AZ25" s="29" t="n">
        <v>28.33942890366257</v>
      </c>
      <c r="BA25" s="29" t="n">
        <v>210.5992315427075</v>
      </c>
      <c r="BB25" s="29">
        <f>SUM(C25:BA25)</f>
        <v/>
      </c>
      <c r="BC25" s="29" t="n">
        <v>0</v>
      </c>
      <c r="BD25" s="29" t="n">
        <v>0</v>
      </c>
      <c r="BE25" s="29" t="n">
        <v>6501.395508765733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2.526768968352289</v>
      </c>
      <c r="D26" s="27" t="n">
        <v>0.8414937830403391</v>
      </c>
      <c r="E26" s="27" t="n">
        <v>2.554525219540541</v>
      </c>
      <c r="F26" s="27" t="n">
        <v>3.668745209711237</v>
      </c>
      <c r="G26" s="27" t="n">
        <v>2.652372523688517</v>
      </c>
      <c r="H26" s="27" t="n">
        <v>149.9812318787897</v>
      </c>
      <c r="I26" s="27" t="n">
        <v>3.955991359810304</v>
      </c>
      <c r="J26" s="27" t="n">
        <v>10.32458026158599</v>
      </c>
      <c r="K26" s="27" t="n">
        <v>15.43623216887683</v>
      </c>
      <c r="L26" s="27" t="n">
        <v>7.987211912770358</v>
      </c>
      <c r="M26" s="27" t="n">
        <v>9.416771986228902</v>
      </c>
      <c r="N26" s="27" t="n">
        <v>74.60011027251065</v>
      </c>
      <c r="O26" s="27" t="n">
        <v>653.1344155810094</v>
      </c>
      <c r="P26" s="27" t="n">
        <v>2.376092045484299</v>
      </c>
      <c r="Q26" s="27" t="n">
        <v>1.719595005715421</v>
      </c>
      <c r="R26" s="27" t="n">
        <v>1.60017230794265</v>
      </c>
      <c r="S26" s="27" t="n">
        <v>0.4938144020980756</v>
      </c>
      <c r="T26" s="27" t="n">
        <v>5.907739266751849</v>
      </c>
      <c r="U26" s="27" t="n">
        <v>5.306518468007453</v>
      </c>
      <c r="V26" s="27" t="n">
        <v>5.279943117886407</v>
      </c>
      <c r="W26" s="27" t="n">
        <v>1.429920315698858</v>
      </c>
      <c r="X26" s="27" t="n">
        <v>2.091213912506231</v>
      </c>
      <c r="Y26" s="27" t="n">
        <v>15.60344523875075</v>
      </c>
      <c r="Z26" s="27" t="n">
        <v>10.30588126786045</v>
      </c>
      <c r="AA26" s="27" t="n">
        <v>8.94012334286627</v>
      </c>
      <c r="AB26" s="27" t="n">
        <v>0.9931947691059019</v>
      </c>
      <c r="AC26" s="27" t="n">
        <v>10.3449657448049</v>
      </c>
      <c r="AD26" s="27" t="n">
        <v>9.729723765781049</v>
      </c>
      <c r="AE26" s="27" t="n">
        <v>5.673492525381006</v>
      </c>
      <c r="AF26" s="27" t="n">
        <v>78.32088776247906</v>
      </c>
      <c r="AG26" s="27" t="n">
        <v>8.655837631968637</v>
      </c>
      <c r="AH26" s="27" t="n">
        <v>11.01764330437075</v>
      </c>
      <c r="AI26" s="27" t="n">
        <v>1.322818752000988</v>
      </c>
      <c r="AJ26" s="27" t="n">
        <v>18.58151016762221</v>
      </c>
      <c r="AK26" s="27" t="n">
        <v>11.76838503936846</v>
      </c>
      <c r="AL26" s="27" t="n">
        <v>20.33506096986734</v>
      </c>
      <c r="AM26" s="27" t="n">
        <v>1726.417866436576</v>
      </c>
      <c r="AN26" s="27" t="n">
        <v>56.98984305491934</v>
      </c>
      <c r="AO26" s="27" t="n">
        <v>1747.863921286768</v>
      </c>
      <c r="AP26" s="27" t="n">
        <v>517.1815645671903</v>
      </c>
      <c r="AQ26" s="27" t="n">
        <v>85.91439762955218</v>
      </c>
      <c r="AR26" s="27" t="n">
        <v>0.628418566877076</v>
      </c>
      <c r="AS26" s="27" t="n">
        <v>23.48581721405974</v>
      </c>
      <c r="AT26" s="27" t="n">
        <v>1739.358799065918</v>
      </c>
      <c r="AU26" s="27" t="n">
        <v>10.99994454797742</v>
      </c>
      <c r="AV26" s="27" t="n">
        <v>11.66098851420732</v>
      </c>
      <c r="AW26" s="27" t="n">
        <v>366.4148167358922</v>
      </c>
      <c r="AX26" s="27" t="n">
        <v>0</v>
      </c>
      <c r="AY26" s="27" t="n">
        <v>36.37080039718704</v>
      </c>
      <c r="AZ26" s="27" t="n">
        <v>16.03099760206269</v>
      </c>
      <c r="BA26" s="27" t="n">
        <v>302.3838505591687</v>
      </c>
      <c r="BB26" s="27">
        <f>SUM(C26:BA26)</f>
        <v/>
      </c>
      <c r="BC26" s="27" t="n">
        <v>0</v>
      </c>
      <c r="BD26" s="27" t="n">
        <v>0</v>
      </c>
      <c r="BE26" s="27" t="n">
        <v>752.7021115913127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1304.971440539144</v>
      </c>
      <c r="D27" s="29" t="n">
        <v>618.7361032184007</v>
      </c>
      <c r="E27" s="29" t="n">
        <v>217.2018776902503</v>
      </c>
      <c r="F27" s="29" t="n">
        <v>301.7034146716665</v>
      </c>
      <c r="G27" s="29" t="n">
        <v>413.2093974353268</v>
      </c>
      <c r="H27" s="29" t="n">
        <v>1205.0146542771</v>
      </c>
      <c r="I27" s="29" t="n">
        <v>5.275808382712262</v>
      </c>
      <c r="J27" s="29" t="n">
        <v>64.33135172585733</v>
      </c>
      <c r="K27" s="29" t="n">
        <v>29.90261573298749</v>
      </c>
      <c r="L27" s="29" t="n">
        <v>52.49529647201815</v>
      </c>
      <c r="M27" s="29" t="n">
        <v>43.48692945552359</v>
      </c>
      <c r="N27" s="29" t="n">
        <v>245.4437426894152</v>
      </c>
      <c r="O27" s="29" t="n">
        <v>6.290841265324484</v>
      </c>
      <c r="P27" s="29" t="n">
        <v>20548.52540042736</v>
      </c>
      <c r="Q27" s="29" t="n">
        <v>82.49758986496391</v>
      </c>
      <c r="R27" s="29" t="n">
        <v>2336.288803169438</v>
      </c>
      <c r="S27" s="29" t="n">
        <v>69.32038005850542</v>
      </c>
      <c r="T27" s="29" t="n">
        <v>27.43224844380453</v>
      </c>
      <c r="U27" s="29" t="n">
        <v>37.91606183465491</v>
      </c>
      <c r="V27" s="29" t="n">
        <v>82.60863533437836</v>
      </c>
      <c r="W27" s="29" t="n">
        <v>88.25885440810259</v>
      </c>
      <c r="X27" s="29" t="n">
        <v>116.2683621865351</v>
      </c>
      <c r="Y27" s="29" t="n">
        <v>316.9447876143336</v>
      </c>
      <c r="Z27" s="29" t="n">
        <v>623.5116540533166</v>
      </c>
      <c r="AA27" s="29" t="n">
        <v>594.4539054133033</v>
      </c>
      <c r="AB27" s="29" t="n">
        <v>384.7298809081868</v>
      </c>
      <c r="AC27" s="29" t="n">
        <v>62.61636539609069</v>
      </c>
      <c r="AD27" s="29" t="n">
        <v>119.845745042141</v>
      </c>
      <c r="AE27" s="29" t="n">
        <v>112.0370471310867</v>
      </c>
      <c r="AF27" s="29" t="n">
        <v>45.11708104425543</v>
      </c>
      <c r="AG27" s="29" t="n">
        <v>129.5343303555421</v>
      </c>
      <c r="AH27" s="29" t="n">
        <v>72.47516081440888</v>
      </c>
      <c r="AI27" s="29" t="n">
        <v>12.42525955228114</v>
      </c>
      <c r="AJ27" s="29" t="n">
        <v>44.70342095893453</v>
      </c>
      <c r="AK27" s="29" t="n">
        <v>903.5297691725111</v>
      </c>
      <c r="AL27" s="29" t="n">
        <v>1583.977803210446</v>
      </c>
      <c r="AM27" s="29" t="n">
        <v>1700.492827754638</v>
      </c>
      <c r="AN27" s="29" t="n">
        <v>11881.4180711893</v>
      </c>
      <c r="AO27" s="29" t="n">
        <v>48.47274089716203</v>
      </c>
      <c r="AP27" s="29" t="n">
        <v>73.70526132747969</v>
      </c>
      <c r="AQ27" s="29" t="n">
        <v>12.30138198889982</v>
      </c>
      <c r="AR27" s="29" t="n">
        <v>12.67030274560133</v>
      </c>
      <c r="AS27" s="29" t="n">
        <v>73.42742029289727</v>
      </c>
      <c r="AT27" s="29" t="n">
        <v>287.5060245025655</v>
      </c>
      <c r="AU27" s="29" t="n">
        <v>20.34989649267525</v>
      </c>
      <c r="AV27" s="29" t="n">
        <v>42.75283056554188</v>
      </c>
      <c r="AW27" s="29" t="n">
        <v>147.0051811972357</v>
      </c>
      <c r="AX27" s="29" t="n">
        <v>0</v>
      </c>
      <c r="AY27" s="29" t="n">
        <v>49.96555660459684</v>
      </c>
      <c r="AZ27" s="29" t="n">
        <v>14.77755616022707</v>
      </c>
      <c r="BA27" s="29" t="n">
        <v>417.0989569439841</v>
      </c>
      <c r="BB27" s="29">
        <f>SUM(C27:BA27)</f>
        <v/>
      </c>
      <c r="BC27" s="29" t="n">
        <v>0</v>
      </c>
      <c r="BD27" s="29" t="n">
        <v>0</v>
      </c>
      <c r="BE27" s="29" t="n">
        <v>21649.6037757066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26.18008298602818</v>
      </c>
      <c r="D28" s="27" t="n">
        <v>30.62993904520915</v>
      </c>
      <c r="E28" s="27" t="n">
        <v>80.87401272592093</v>
      </c>
      <c r="F28" s="27" t="n">
        <v>0.5231607637322224</v>
      </c>
      <c r="G28" s="27" t="n">
        <v>1.473743896315482</v>
      </c>
      <c r="H28" s="27" t="n">
        <v>435.1059906694306</v>
      </c>
      <c r="I28" s="27" t="n">
        <v>0.03936733318097778</v>
      </c>
      <c r="J28" s="27" t="n">
        <v>0.6717527458562007</v>
      </c>
      <c r="K28" s="27" t="n">
        <v>0.3308245401770263</v>
      </c>
      <c r="L28" s="27" t="n">
        <v>0.17674523682926</v>
      </c>
      <c r="M28" s="27" t="n">
        <v>0.351293203111011</v>
      </c>
      <c r="N28" s="27" t="n">
        <v>1.034549285577789</v>
      </c>
      <c r="O28" s="27" t="n">
        <v>0.1455517989660052</v>
      </c>
      <c r="P28" s="27" t="n">
        <v>1202.429712508235</v>
      </c>
      <c r="Q28" s="27" t="n">
        <v>70.4416730688005</v>
      </c>
      <c r="R28" s="27" t="n">
        <v>85.91578177186085</v>
      </c>
      <c r="S28" s="27" t="n">
        <v>0.4982603728696989</v>
      </c>
      <c r="T28" s="27" t="n">
        <v>146.4986029779129</v>
      </c>
      <c r="U28" s="27" t="n">
        <v>35.54579529240785</v>
      </c>
      <c r="V28" s="27" t="n">
        <v>265.8533404003655</v>
      </c>
      <c r="W28" s="27" t="n">
        <v>47.49365974044207</v>
      </c>
      <c r="X28" s="27" t="n">
        <v>28.79234123236491</v>
      </c>
      <c r="Y28" s="27" t="n">
        <v>0.756660882667278</v>
      </c>
      <c r="Z28" s="27" t="n">
        <v>1.31459657536693</v>
      </c>
      <c r="AA28" s="27" t="n">
        <v>2.801047992414845</v>
      </c>
      <c r="AB28" s="27" t="n">
        <v>1.268062278040441</v>
      </c>
      <c r="AC28" s="27" t="n">
        <v>7.413362486951335</v>
      </c>
      <c r="AD28" s="27" t="n">
        <v>2.475264252844856</v>
      </c>
      <c r="AE28" s="27" t="n">
        <v>0.8328220977680429</v>
      </c>
      <c r="AF28" s="27" t="n">
        <v>0.1836701795845637</v>
      </c>
      <c r="AG28" s="27" t="n">
        <v>2.384307962452709</v>
      </c>
      <c r="AH28" s="27" t="n">
        <v>0.8283765013455844</v>
      </c>
      <c r="AI28" s="27" t="n">
        <v>0.1057647526195165</v>
      </c>
      <c r="AJ28" s="27" t="n">
        <v>0.9695792121649485</v>
      </c>
      <c r="AK28" s="27" t="n">
        <v>15.98741544383694</v>
      </c>
      <c r="AL28" s="27" t="n">
        <v>92.2673552131929</v>
      </c>
      <c r="AM28" s="27" t="n">
        <v>58.20429328824486</v>
      </c>
      <c r="AN28" s="27" t="n">
        <v>135.0503956970663</v>
      </c>
      <c r="AO28" s="27" t="n">
        <v>2.157023782260071</v>
      </c>
      <c r="AP28" s="27" t="n">
        <v>1.358976797410328</v>
      </c>
      <c r="AQ28" s="27" t="n">
        <v>0.4546756951021407</v>
      </c>
      <c r="AR28" s="27" t="n">
        <v>7.813368371658035</v>
      </c>
      <c r="AS28" s="27" t="n">
        <v>33.81844091761401</v>
      </c>
      <c r="AT28" s="27" t="n">
        <v>32.51396969355031</v>
      </c>
      <c r="AU28" s="27" t="n">
        <v>1.37650004915781</v>
      </c>
      <c r="AV28" s="27" t="n">
        <v>12.31567196106706</v>
      </c>
      <c r="AW28" s="27" t="n">
        <v>18.79263222044881</v>
      </c>
      <c r="AX28" s="27" t="n">
        <v>0</v>
      </c>
      <c r="AY28" s="27" t="n">
        <v>13.89989250512928</v>
      </c>
      <c r="AZ28" s="27" t="n">
        <v>6.32798104170107</v>
      </c>
      <c r="BA28" s="27" t="n">
        <v>117.644394680033</v>
      </c>
      <c r="BB28" s="27">
        <f>SUM(C28:BA28)</f>
        <v/>
      </c>
      <c r="BC28" s="27" t="n">
        <v>0</v>
      </c>
      <c r="BD28" s="27" t="n">
        <v>0</v>
      </c>
      <c r="BE28" s="27" t="n">
        <v>3626.127160539213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3534.502480301922</v>
      </c>
      <c r="D29" s="29" t="n">
        <v>531.5127722567306</v>
      </c>
      <c r="E29" s="29" t="n">
        <v>397.0454286040842</v>
      </c>
      <c r="F29" s="29" t="n">
        <v>50.25798202840001</v>
      </c>
      <c r="G29" s="29" t="n">
        <v>100.4233287075192</v>
      </c>
      <c r="H29" s="29" t="n">
        <v>402.2286943934774</v>
      </c>
      <c r="I29" s="29" t="n">
        <v>1.673950450677037</v>
      </c>
      <c r="J29" s="29" t="n">
        <v>495.1588910948958</v>
      </c>
      <c r="K29" s="29" t="n">
        <v>56.84299331992216</v>
      </c>
      <c r="L29" s="29" t="n">
        <v>273.5411028463741</v>
      </c>
      <c r="M29" s="29" t="n">
        <v>17.1268100420477</v>
      </c>
      <c r="N29" s="29" t="n">
        <v>637.8304281527243</v>
      </c>
      <c r="O29" s="29" t="n">
        <v>11.64301955001884</v>
      </c>
      <c r="P29" s="29" t="n">
        <v>287.3634235034198</v>
      </c>
      <c r="Q29" s="29" t="n">
        <v>84.88195230217842</v>
      </c>
      <c r="R29" s="29" t="n">
        <v>5419.829999475607</v>
      </c>
      <c r="S29" s="29" t="n">
        <v>3024.112293950543</v>
      </c>
      <c r="T29" s="29" t="n">
        <v>379.2881320126043</v>
      </c>
      <c r="U29" s="29" t="n">
        <v>988.1617861713402</v>
      </c>
      <c r="V29" s="29" t="n">
        <v>900.0190139402504</v>
      </c>
      <c r="W29" s="29" t="n">
        <v>904.1559361366241</v>
      </c>
      <c r="X29" s="29" t="n">
        <v>1175.210837077338</v>
      </c>
      <c r="Y29" s="29" t="n">
        <v>745.1519467002873</v>
      </c>
      <c r="Z29" s="29" t="n">
        <v>332.421817875116</v>
      </c>
      <c r="AA29" s="29" t="n">
        <v>357.236446537109</v>
      </c>
      <c r="AB29" s="29" t="n">
        <v>220.8493646346612</v>
      </c>
      <c r="AC29" s="29" t="n">
        <v>149.1041342956982</v>
      </c>
      <c r="AD29" s="29" t="n">
        <v>59.54821814158465</v>
      </c>
      <c r="AE29" s="29" t="n">
        <v>74.82937250165728</v>
      </c>
      <c r="AF29" s="29" t="n">
        <v>43.25516020761489</v>
      </c>
      <c r="AG29" s="29" t="n">
        <v>12.25609268748911</v>
      </c>
      <c r="AH29" s="29" t="n">
        <v>19.10767503354306</v>
      </c>
      <c r="AI29" s="29" t="n">
        <v>19.49721757495812</v>
      </c>
      <c r="AJ29" s="29" t="n">
        <v>79.72727506516894</v>
      </c>
      <c r="AK29" s="29" t="n">
        <v>234.7529161859217</v>
      </c>
      <c r="AL29" s="29" t="n">
        <v>59.86880710695138</v>
      </c>
      <c r="AM29" s="29" t="n">
        <v>259.6485201562</v>
      </c>
      <c r="AN29" s="29" t="n">
        <v>38.26417025325383</v>
      </c>
      <c r="AO29" s="29" t="n">
        <v>39.11217204482352</v>
      </c>
      <c r="AP29" s="29" t="n">
        <v>32.01106923180468</v>
      </c>
      <c r="AQ29" s="29" t="n">
        <v>10.63233819315977</v>
      </c>
      <c r="AR29" s="29" t="n">
        <v>1.879092871457574</v>
      </c>
      <c r="AS29" s="29" t="n">
        <v>27.52363529943857</v>
      </c>
      <c r="AT29" s="29" t="n">
        <v>82.53071786838547</v>
      </c>
      <c r="AU29" s="29" t="n">
        <v>20.33907260303162</v>
      </c>
      <c r="AV29" s="29" t="n">
        <v>199.3428886378117</v>
      </c>
      <c r="AW29" s="29" t="n">
        <v>105.9512654228586</v>
      </c>
      <c r="AX29" s="29" t="n">
        <v>0</v>
      </c>
      <c r="AY29" s="29" t="n">
        <v>24.95465186568843</v>
      </c>
      <c r="AZ29" s="29" t="n">
        <v>64.00747317601385</v>
      </c>
      <c r="BA29" s="29" t="n">
        <v>27.8997357985751</v>
      </c>
      <c r="BB29" s="29">
        <f>SUM(C29:BA29)</f>
        <v/>
      </c>
      <c r="BC29" s="29" t="n">
        <v>0</v>
      </c>
      <c r="BD29" s="29" t="n">
        <v>0</v>
      </c>
      <c r="BE29" s="29" t="n">
        <v>4287.531251027581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59.73219679450927</v>
      </c>
      <c r="D30" s="27" t="n">
        <v>10.12902637330554</v>
      </c>
      <c r="E30" s="27" t="n">
        <v>157.4590224106567</v>
      </c>
      <c r="F30" s="27" t="n">
        <v>1.79904195970905</v>
      </c>
      <c r="G30" s="27" t="n">
        <v>3.620617122770733</v>
      </c>
      <c r="H30" s="27" t="n">
        <v>12.50040574107736</v>
      </c>
      <c r="I30" s="27" t="n">
        <v>7.7700313460871</v>
      </c>
      <c r="J30" s="27" t="n">
        <v>1208.397275473132</v>
      </c>
      <c r="K30" s="27" t="n">
        <v>5.389359602702398</v>
      </c>
      <c r="L30" s="27" t="n">
        <v>368.8287719376466</v>
      </c>
      <c r="M30" s="27" t="n">
        <v>158.7835702995013</v>
      </c>
      <c r="N30" s="27" t="n">
        <v>299.5570403825762</v>
      </c>
      <c r="O30" s="27" t="n">
        <v>14.31129100247127</v>
      </c>
      <c r="P30" s="27" t="n">
        <v>1.130044517494045</v>
      </c>
      <c r="Q30" s="27" t="n">
        <v>1.146185959295501</v>
      </c>
      <c r="R30" s="27" t="n">
        <v>105.4762744272094</v>
      </c>
      <c r="S30" s="27" t="n">
        <v>511.2336938977327</v>
      </c>
      <c r="T30" s="27" t="n">
        <v>21.11486468057932</v>
      </c>
      <c r="U30" s="27" t="n">
        <v>24.41668709841196</v>
      </c>
      <c r="V30" s="27" t="n">
        <v>207.6728798217162</v>
      </c>
      <c r="W30" s="27" t="n">
        <v>227.3785486119458</v>
      </c>
      <c r="X30" s="27" t="n">
        <v>221.4799734068361</v>
      </c>
      <c r="Y30" s="27" t="n">
        <v>3317.054323916542</v>
      </c>
      <c r="Z30" s="27" t="n">
        <v>363.0723528528745</v>
      </c>
      <c r="AA30" s="27" t="n">
        <v>6.991787711545573</v>
      </c>
      <c r="AB30" s="27" t="n">
        <v>49.42347118713861</v>
      </c>
      <c r="AC30" s="27" t="n">
        <v>177.869602919195</v>
      </c>
      <c r="AD30" s="27" t="n">
        <v>39.91065301308638</v>
      </c>
      <c r="AE30" s="27" t="n">
        <v>573.4391061443023</v>
      </c>
      <c r="AF30" s="27" t="n">
        <v>169.484558059583</v>
      </c>
      <c r="AG30" s="27" t="n">
        <v>20.39755569732968</v>
      </c>
      <c r="AH30" s="27" t="n">
        <v>346.4358397396365</v>
      </c>
      <c r="AI30" s="27" t="n">
        <v>39.80831289946834</v>
      </c>
      <c r="AJ30" s="27" t="n">
        <v>256.8299994318881</v>
      </c>
      <c r="AK30" s="27" t="n">
        <v>4.821011000494118</v>
      </c>
      <c r="AL30" s="27" t="n">
        <v>22.65449286326593</v>
      </c>
      <c r="AM30" s="27" t="n">
        <v>38.02775108603495</v>
      </c>
      <c r="AN30" s="27" t="n">
        <v>9.28581108358534</v>
      </c>
      <c r="AO30" s="27" t="n">
        <v>8.233178972412656</v>
      </c>
      <c r="AP30" s="27" t="n">
        <v>6.840635798533146</v>
      </c>
      <c r="AQ30" s="27" t="n">
        <v>3.461927639393679</v>
      </c>
      <c r="AR30" s="27" t="n">
        <v>0.3690699547278239</v>
      </c>
      <c r="AS30" s="27" t="n">
        <v>4.26791140644102</v>
      </c>
      <c r="AT30" s="27" t="n">
        <v>17.20119665197078</v>
      </c>
      <c r="AU30" s="27" t="n">
        <v>3.984235170430652</v>
      </c>
      <c r="AV30" s="27" t="n">
        <v>10.71913038800124</v>
      </c>
      <c r="AW30" s="27" t="n">
        <v>10.96559082653088</v>
      </c>
      <c r="AX30" s="27" t="n">
        <v>0</v>
      </c>
      <c r="AY30" s="27" t="n">
        <v>2.057540422873052</v>
      </c>
      <c r="AZ30" s="27" t="n">
        <v>3.74530935303765</v>
      </c>
      <c r="BA30" s="27" t="n">
        <v>5.92129729514828</v>
      </c>
      <c r="BB30" s="27">
        <f>SUM(C30:BA30)</f>
        <v/>
      </c>
      <c r="BC30" s="27" t="n">
        <v>0</v>
      </c>
      <c r="BD30" s="27" t="n">
        <v>0</v>
      </c>
      <c r="BE30" s="27" t="n">
        <v>795.6010863647836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85.68893269593109</v>
      </c>
      <c r="D31" s="29" t="n">
        <v>690.4502281795708</v>
      </c>
      <c r="E31" s="29" t="n">
        <v>48.56012977463217</v>
      </c>
      <c r="F31" s="29" t="n">
        <v>2.585683777579674</v>
      </c>
      <c r="G31" s="29" t="n">
        <v>3.078603194256585</v>
      </c>
      <c r="H31" s="29" t="n">
        <v>59.14948284148121</v>
      </c>
      <c r="I31" s="29" t="n">
        <v>1.390647904015729</v>
      </c>
      <c r="J31" s="29" t="n">
        <v>7.466295549558581</v>
      </c>
      <c r="K31" s="29" t="n">
        <v>10.0082940042557</v>
      </c>
      <c r="L31" s="29" t="n">
        <v>5.527786777806543</v>
      </c>
      <c r="M31" s="29" t="n">
        <v>1.011444517395193</v>
      </c>
      <c r="N31" s="29" t="n">
        <v>5.761595211645487</v>
      </c>
      <c r="O31" s="29" t="n">
        <v>1.100733279977672</v>
      </c>
      <c r="P31" s="29" t="n">
        <v>3.13987927788729</v>
      </c>
      <c r="Q31" s="29" t="n">
        <v>0.9939902513128833</v>
      </c>
      <c r="R31" s="29" t="n">
        <v>16.35023150763028</v>
      </c>
      <c r="S31" s="29" t="n">
        <v>13.75035893471515</v>
      </c>
      <c r="T31" s="29" t="n">
        <v>795.1009620090044</v>
      </c>
      <c r="U31" s="29" t="n">
        <v>57.80639871481991</v>
      </c>
      <c r="V31" s="29" t="n">
        <v>8.943500542330597</v>
      </c>
      <c r="W31" s="29" t="n">
        <v>4.56134844971098</v>
      </c>
      <c r="X31" s="29" t="n">
        <v>8.525165360240823</v>
      </c>
      <c r="Y31" s="29" t="n">
        <v>6.780712869666303</v>
      </c>
      <c r="Z31" s="29" t="n">
        <v>4.566390417079476</v>
      </c>
      <c r="AA31" s="29" t="n">
        <v>6.113298415460597</v>
      </c>
      <c r="AB31" s="29" t="n">
        <v>2.233716314774814</v>
      </c>
      <c r="AC31" s="29" t="n">
        <v>3.94544574449963</v>
      </c>
      <c r="AD31" s="29" t="n">
        <v>11.61015629651927</v>
      </c>
      <c r="AE31" s="29" t="n">
        <v>3.359392795245225</v>
      </c>
      <c r="AF31" s="29" t="n">
        <v>9.105754774428201</v>
      </c>
      <c r="AG31" s="29" t="n">
        <v>5.523599438484641</v>
      </c>
      <c r="AH31" s="29" t="n">
        <v>2.724521555030621</v>
      </c>
      <c r="AI31" s="29" t="n">
        <v>0.6668001513166679</v>
      </c>
      <c r="AJ31" s="29" t="n">
        <v>3.074290159549594</v>
      </c>
      <c r="AK31" s="29" t="n">
        <v>7.619530210373676</v>
      </c>
      <c r="AL31" s="29" t="n">
        <v>13.79842540450863</v>
      </c>
      <c r="AM31" s="29" t="n">
        <v>78.94441746000882</v>
      </c>
      <c r="AN31" s="29" t="n">
        <v>19.09784657428208</v>
      </c>
      <c r="AO31" s="29" t="n">
        <v>23.24936297134187</v>
      </c>
      <c r="AP31" s="29" t="n">
        <v>17.87304777549067</v>
      </c>
      <c r="AQ31" s="29" t="n">
        <v>1.444526340113635</v>
      </c>
      <c r="AR31" s="29" t="n">
        <v>0.1841820248726561</v>
      </c>
      <c r="AS31" s="29" t="n">
        <v>3.988264003998529</v>
      </c>
      <c r="AT31" s="29" t="n">
        <v>34.72333135061719</v>
      </c>
      <c r="AU31" s="29" t="n">
        <v>34.55676294877927</v>
      </c>
      <c r="AV31" s="29" t="n">
        <v>1647.048360754019</v>
      </c>
      <c r="AW31" s="29" t="n">
        <v>143.1020306299402</v>
      </c>
      <c r="AX31" s="29" t="n">
        <v>0</v>
      </c>
      <c r="AY31" s="29" t="n">
        <v>97.69658441680852</v>
      </c>
      <c r="AZ31" s="29" t="n">
        <v>380.9860259286152</v>
      </c>
      <c r="BA31" s="29" t="n">
        <v>91.6143382848925</v>
      </c>
      <c r="BB31" s="29">
        <f>SUM(C31:BA31)</f>
        <v/>
      </c>
      <c r="BC31" s="29" t="n">
        <v>0</v>
      </c>
      <c r="BD31" s="29" t="n">
        <v>0</v>
      </c>
      <c r="BE31" s="29" t="n">
        <v>10171.08983131064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2153.794861628752</v>
      </c>
      <c r="D32" s="27" t="n">
        <v>227.9371616886689</v>
      </c>
      <c r="E32" s="27" t="n">
        <v>24.99842008523848</v>
      </c>
      <c r="F32" s="27" t="n">
        <v>3.502823146539274</v>
      </c>
      <c r="G32" s="27" t="n">
        <v>16.84632336830986</v>
      </c>
      <c r="H32" s="27" t="n">
        <v>41.50060857090207</v>
      </c>
      <c r="I32" s="27" t="n">
        <v>1.27314818877942</v>
      </c>
      <c r="J32" s="27" t="n">
        <v>95.82908529403014</v>
      </c>
      <c r="K32" s="27" t="n">
        <v>2.448667665961822</v>
      </c>
      <c r="L32" s="27" t="n">
        <v>31.77645820452349</v>
      </c>
      <c r="M32" s="27" t="n">
        <v>13.42743455271191</v>
      </c>
      <c r="N32" s="27" t="n">
        <v>34.5738182819685</v>
      </c>
      <c r="O32" s="27" t="n">
        <v>3.289056872330343</v>
      </c>
      <c r="P32" s="27" t="n">
        <v>3.335788947118442</v>
      </c>
      <c r="Q32" s="27" t="n">
        <v>3.739562910403391</v>
      </c>
      <c r="R32" s="27" t="n">
        <v>72.25800275443521</v>
      </c>
      <c r="S32" s="27" t="n">
        <v>141.1844030515723</v>
      </c>
      <c r="T32" s="27" t="n">
        <v>20.34136679110657</v>
      </c>
      <c r="U32" s="27" t="n">
        <v>374.7099420632025</v>
      </c>
      <c r="V32" s="27" t="n">
        <v>128.6442814887878</v>
      </c>
      <c r="W32" s="27" t="n">
        <v>55.24775275240685</v>
      </c>
      <c r="X32" s="27" t="n">
        <v>65.26954107147039</v>
      </c>
      <c r="Y32" s="27" t="n">
        <v>246.2926236314658</v>
      </c>
      <c r="Z32" s="27" t="n">
        <v>28.32382726693923</v>
      </c>
      <c r="AA32" s="27" t="n">
        <v>10.54349624454147</v>
      </c>
      <c r="AB32" s="27" t="n">
        <v>6.633109161084484</v>
      </c>
      <c r="AC32" s="27" t="n">
        <v>21.90908046066546</v>
      </c>
      <c r="AD32" s="27" t="n">
        <v>6.149321611637245</v>
      </c>
      <c r="AE32" s="27" t="n">
        <v>40.59782912824751</v>
      </c>
      <c r="AF32" s="27" t="n">
        <v>15.02839388705556</v>
      </c>
      <c r="AG32" s="27" t="n">
        <v>4.468547235755748</v>
      </c>
      <c r="AH32" s="27" t="n">
        <v>23.89428250345668</v>
      </c>
      <c r="AI32" s="27" t="n">
        <v>3.020084414598244</v>
      </c>
      <c r="AJ32" s="27" t="n">
        <v>20.37745004170008</v>
      </c>
      <c r="AK32" s="27" t="n">
        <v>6.925311092641946</v>
      </c>
      <c r="AL32" s="27" t="n">
        <v>12.88225703586039</v>
      </c>
      <c r="AM32" s="27" t="n">
        <v>27.62488964427967</v>
      </c>
      <c r="AN32" s="27" t="n">
        <v>8.62346636226645</v>
      </c>
      <c r="AO32" s="27" t="n">
        <v>12.04357483683019</v>
      </c>
      <c r="AP32" s="27" t="n">
        <v>11.55418705548498</v>
      </c>
      <c r="AQ32" s="27" t="n">
        <v>1.24179585439002</v>
      </c>
      <c r="AR32" s="27" t="n">
        <v>0.08082725216674244</v>
      </c>
      <c r="AS32" s="27" t="n">
        <v>2.083226952122283</v>
      </c>
      <c r="AT32" s="27" t="n">
        <v>29.69912681943846</v>
      </c>
      <c r="AU32" s="27" t="n">
        <v>2.606021754423276</v>
      </c>
      <c r="AV32" s="27" t="n">
        <v>1.991319875303079</v>
      </c>
      <c r="AW32" s="27" t="n">
        <v>141.664551365509</v>
      </c>
      <c r="AX32" s="27" t="n">
        <v>0</v>
      </c>
      <c r="AY32" s="27" t="n">
        <v>4.564136125074958</v>
      </c>
      <c r="AZ32" s="27" t="n">
        <v>7.811660984980699</v>
      </c>
      <c r="BA32" s="27" t="n">
        <v>10.56849105133502</v>
      </c>
      <c r="BB32" s="27">
        <f>SUM(C32:BA32)</f>
        <v/>
      </c>
      <c r="BC32" s="27" t="n">
        <v>0</v>
      </c>
      <c r="BD32" s="27" t="n">
        <v>0</v>
      </c>
      <c r="BE32" s="27" t="n">
        <v>586.2652795664874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72.76159073563083</v>
      </c>
      <c r="D33" s="29" t="n">
        <v>22.30812529040179</v>
      </c>
      <c r="E33" s="29" t="n">
        <v>23.38248289657277</v>
      </c>
      <c r="F33" s="29" t="n">
        <v>13.34250900543354</v>
      </c>
      <c r="G33" s="29" t="n">
        <v>17.45727239635441</v>
      </c>
      <c r="H33" s="29" t="n">
        <v>119.6410425177868</v>
      </c>
      <c r="I33" s="29" t="n">
        <v>2.602869830182237</v>
      </c>
      <c r="J33" s="29" t="n">
        <v>20.51767173740743</v>
      </c>
      <c r="K33" s="29" t="n">
        <v>18.55376986781662</v>
      </c>
      <c r="L33" s="29" t="n">
        <v>7.886979876612384</v>
      </c>
      <c r="M33" s="29" t="n">
        <v>8.985282618140797</v>
      </c>
      <c r="N33" s="29" t="n">
        <v>21.64773733841568</v>
      </c>
      <c r="O33" s="29" t="n">
        <v>3.234354306737913</v>
      </c>
      <c r="P33" s="29" t="n">
        <v>11.71110332974057</v>
      </c>
      <c r="Q33" s="29" t="n">
        <v>3.190207086049927</v>
      </c>
      <c r="R33" s="29" t="n">
        <v>68.0832676841579</v>
      </c>
      <c r="S33" s="29" t="n">
        <v>13.82974924716517</v>
      </c>
      <c r="T33" s="29" t="n">
        <v>22.08364502168663</v>
      </c>
      <c r="U33" s="29" t="n">
        <v>29.78235637981581</v>
      </c>
      <c r="V33" s="29" t="n">
        <v>279.2633485138412</v>
      </c>
      <c r="W33" s="29" t="n">
        <v>13.19211675249664</v>
      </c>
      <c r="X33" s="29" t="n">
        <v>29.48307934521723</v>
      </c>
      <c r="Y33" s="29" t="n">
        <v>24.69333237563379</v>
      </c>
      <c r="Z33" s="29" t="n">
        <v>65.84527377380101</v>
      </c>
      <c r="AA33" s="29" t="n">
        <v>22.29688922039146</v>
      </c>
      <c r="AB33" s="29" t="n">
        <v>15.86783564670928</v>
      </c>
      <c r="AC33" s="29" t="n">
        <v>88.53816285346682</v>
      </c>
      <c r="AD33" s="29" t="n">
        <v>26.14626964597436</v>
      </c>
      <c r="AE33" s="29" t="n">
        <v>9.028376429804581</v>
      </c>
      <c r="AF33" s="29" t="n">
        <v>35.39509304124491</v>
      </c>
      <c r="AG33" s="29" t="n">
        <v>10.16272181433358</v>
      </c>
      <c r="AH33" s="29" t="n">
        <v>10.2361805769821</v>
      </c>
      <c r="AI33" s="29" t="n">
        <v>1.274163269567888</v>
      </c>
      <c r="AJ33" s="29" t="n">
        <v>7.883016081041593</v>
      </c>
      <c r="AK33" s="29" t="n">
        <v>24.82673344038586</v>
      </c>
      <c r="AL33" s="29" t="n">
        <v>95.88323797209713</v>
      </c>
      <c r="AM33" s="29" t="n">
        <v>402.8958877124205</v>
      </c>
      <c r="AN33" s="29" t="n">
        <v>110.2391641043804</v>
      </c>
      <c r="AO33" s="29" t="n">
        <v>73.24023364384932</v>
      </c>
      <c r="AP33" s="29" t="n">
        <v>22.08785844680218</v>
      </c>
      <c r="AQ33" s="29" t="n">
        <v>3.254002745012817</v>
      </c>
      <c r="AR33" s="29" t="n">
        <v>0.198759660945395</v>
      </c>
      <c r="AS33" s="29" t="n">
        <v>30.0854603688582</v>
      </c>
      <c r="AT33" s="29" t="n">
        <v>174.4464286062178</v>
      </c>
      <c r="AU33" s="29" t="n">
        <v>29.97008161324711</v>
      </c>
      <c r="AV33" s="29" t="n">
        <v>138.4880912177283</v>
      </c>
      <c r="AW33" s="29" t="n">
        <v>564.2651485653893</v>
      </c>
      <c r="AX33" s="29" t="n">
        <v>0</v>
      </c>
      <c r="AY33" s="29" t="n">
        <v>51.06735502468825</v>
      </c>
      <c r="AZ33" s="29" t="n">
        <v>40.90838808802221</v>
      </c>
      <c r="BA33" s="29" t="n">
        <v>57.46592042783058</v>
      </c>
      <c r="BB33" s="29">
        <f>SUM(C33:BA33)</f>
        <v/>
      </c>
      <c r="BC33" s="29" t="n">
        <v>0</v>
      </c>
      <c r="BD33" s="29" t="n">
        <v>0</v>
      </c>
      <c r="BE33" s="29" t="n">
        <v>7392.43695741312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15.30505599861679</v>
      </c>
      <c r="D34" s="27" t="n">
        <v>10.11285302714625</v>
      </c>
      <c r="E34" s="27" t="n">
        <v>5.917390296568033</v>
      </c>
      <c r="F34" s="27" t="n">
        <v>1.585402935612316</v>
      </c>
      <c r="G34" s="27" t="n">
        <v>10.3471829984237</v>
      </c>
      <c r="H34" s="27" t="n">
        <v>46.68879367502769</v>
      </c>
      <c r="I34" s="27" t="n">
        <v>0.4375087527184895</v>
      </c>
      <c r="J34" s="27" t="n">
        <v>40.69860143674018</v>
      </c>
      <c r="K34" s="27" t="n">
        <v>19.13232160166554</v>
      </c>
      <c r="L34" s="27" t="n">
        <v>40.76723789556372</v>
      </c>
      <c r="M34" s="27" t="n">
        <v>96.70951298986351</v>
      </c>
      <c r="N34" s="27" t="n">
        <v>273.7263450236938</v>
      </c>
      <c r="O34" s="27" t="n">
        <v>264.6835901570691</v>
      </c>
      <c r="P34" s="27" t="n">
        <v>2.506800836163332</v>
      </c>
      <c r="Q34" s="27" t="n">
        <v>1.270159849923797</v>
      </c>
      <c r="R34" s="27" t="n">
        <v>26.96961836962209</v>
      </c>
      <c r="S34" s="27" t="n">
        <v>22.34414745706265</v>
      </c>
      <c r="T34" s="27" t="n">
        <v>6.183585183230031</v>
      </c>
      <c r="U34" s="27" t="n">
        <v>6.337402738145083</v>
      </c>
      <c r="V34" s="27" t="n">
        <v>16.26812881191176</v>
      </c>
      <c r="W34" s="27" t="n">
        <v>42.12668663284497</v>
      </c>
      <c r="X34" s="27" t="n">
        <v>23.33946542443653</v>
      </c>
      <c r="Y34" s="27" t="n">
        <v>419.3034576922819</v>
      </c>
      <c r="Z34" s="27" t="n">
        <v>218.8197832460377</v>
      </c>
      <c r="AA34" s="27" t="n">
        <v>5.517892491196395</v>
      </c>
      <c r="AB34" s="27" t="n">
        <v>1.935807580298943</v>
      </c>
      <c r="AC34" s="27" t="n">
        <v>119.242593377908</v>
      </c>
      <c r="AD34" s="27" t="n">
        <v>139.9632201792353</v>
      </c>
      <c r="AE34" s="27" t="n">
        <v>14.00882842037208</v>
      </c>
      <c r="AF34" s="27" t="n">
        <v>93.3182844657893</v>
      </c>
      <c r="AG34" s="27" t="n">
        <v>107.4186037559712</v>
      </c>
      <c r="AH34" s="27" t="n">
        <v>68.11902219425667</v>
      </c>
      <c r="AI34" s="27" t="n">
        <v>19.87121462384741</v>
      </c>
      <c r="AJ34" s="27" t="n">
        <v>64.13253991467957</v>
      </c>
      <c r="AK34" s="27" t="n">
        <v>39.69983450861581</v>
      </c>
      <c r="AL34" s="27" t="n">
        <v>1493.939987264628</v>
      </c>
      <c r="AM34" s="27" t="n">
        <v>246.1096842729027</v>
      </c>
      <c r="AN34" s="27" t="n">
        <v>66.77536132436852</v>
      </c>
      <c r="AO34" s="27" t="n">
        <v>97.94978576442303</v>
      </c>
      <c r="AP34" s="27" t="n">
        <v>3.77222882139281</v>
      </c>
      <c r="AQ34" s="27" t="n">
        <v>150.3835689673261</v>
      </c>
      <c r="AR34" s="27" t="n">
        <v>0.05219720333426802</v>
      </c>
      <c r="AS34" s="27" t="n">
        <v>3.781023907384523</v>
      </c>
      <c r="AT34" s="27" t="n">
        <v>10.91036787183857</v>
      </c>
      <c r="AU34" s="27" t="n">
        <v>0.8371669413027306</v>
      </c>
      <c r="AV34" s="27" t="n">
        <v>1.302237840500641</v>
      </c>
      <c r="AW34" s="27" t="n">
        <v>88.84263831210835</v>
      </c>
      <c r="AX34" s="27" t="n">
        <v>0</v>
      </c>
      <c r="AY34" s="27" t="n">
        <v>13.67909430261998</v>
      </c>
      <c r="AZ34" s="27" t="n">
        <v>4.817916156749839</v>
      </c>
      <c r="BA34" s="27" t="n">
        <v>41.14493191355947</v>
      </c>
      <c r="BB34" s="27">
        <f>SUM(C34:BA34)</f>
        <v/>
      </c>
      <c r="BC34" s="27" t="n">
        <v>0</v>
      </c>
      <c r="BD34" s="27" t="n">
        <v>0</v>
      </c>
      <c r="BE34" s="27" t="n">
        <v>452.6602163484574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34.10642764884363</v>
      </c>
      <c r="D35" s="29" t="n">
        <v>11.76307636986296</v>
      </c>
      <c r="E35" s="29" t="n">
        <v>51.88124551843342</v>
      </c>
      <c r="F35" s="29" t="n">
        <v>38.66498160159696</v>
      </c>
      <c r="G35" s="29" t="n">
        <v>493.2426495952832</v>
      </c>
      <c r="H35" s="29" t="n">
        <v>674.2888179715428</v>
      </c>
      <c r="I35" s="29" t="n">
        <v>3.052548515704899</v>
      </c>
      <c r="J35" s="29" t="n">
        <v>102.2730847968974</v>
      </c>
      <c r="K35" s="29" t="n">
        <v>5.400619204019256</v>
      </c>
      <c r="L35" s="29" t="n">
        <v>52.15843255491053</v>
      </c>
      <c r="M35" s="29" t="n">
        <v>99.45784473211324</v>
      </c>
      <c r="N35" s="29" t="n">
        <v>129.8895395862255</v>
      </c>
      <c r="O35" s="29" t="n">
        <v>82.65825367538935</v>
      </c>
      <c r="P35" s="29" t="n">
        <v>63.17594376064663</v>
      </c>
      <c r="Q35" s="29" t="n">
        <v>18.177524980228</v>
      </c>
      <c r="R35" s="29" t="n">
        <v>151.8379053594423</v>
      </c>
      <c r="S35" s="29" t="n">
        <v>167.0180560349109</v>
      </c>
      <c r="T35" s="29" t="n">
        <v>160.4707651454089</v>
      </c>
      <c r="U35" s="29" t="n">
        <v>61.9653153030708</v>
      </c>
      <c r="V35" s="29" t="n">
        <v>208.0288263968179</v>
      </c>
      <c r="W35" s="29" t="n">
        <v>165.6336413101749</v>
      </c>
      <c r="X35" s="29" t="n">
        <v>584.2588889335892</v>
      </c>
      <c r="Y35" s="29" t="n">
        <v>405.1049003998752</v>
      </c>
      <c r="Z35" s="29" t="n">
        <v>109.1060878429885</v>
      </c>
      <c r="AA35" s="29" t="n">
        <v>117.5155015030265</v>
      </c>
      <c r="AB35" s="29" t="n">
        <v>14.12665185708275</v>
      </c>
      <c r="AC35" s="29" t="n">
        <v>47.26086202173034</v>
      </c>
      <c r="AD35" s="29" t="n">
        <v>81.48834188918832</v>
      </c>
      <c r="AE35" s="29" t="n">
        <v>44.62633292865996</v>
      </c>
      <c r="AF35" s="29" t="n">
        <v>18.92560323443466</v>
      </c>
      <c r="AG35" s="29" t="n">
        <v>23.48335272602531</v>
      </c>
      <c r="AH35" s="29" t="n">
        <v>23.57104629319022</v>
      </c>
      <c r="AI35" s="29" t="n">
        <v>5.694598541732692</v>
      </c>
      <c r="AJ35" s="29" t="n">
        <v>79.62990016214347</v>
      </c>
      <c r="AK35" s="29" t="n">
        <v>49.47865665823336</v>
      </c>
      <c r="AL35" s="29" t="n">
        <v>248.5583286443454</v>
      </c>
      <c r="AM35" s="29" t="n">
        <v>330.8566498384637</v>
      </c>
      <c r="AN35" s="29" t="n">
        <v>31.37201369765256</v>
      </c>
      <c r="AO35" s="29" t="n">
        <v>18.36302554351903</v>
      </c>
      <c r="AP35" s="29" t="n">
        <v>14.44182824632362</v>
      </c>
      <c r="AQ35" s="29" t="n">
        <v>16.28327985663062</v>
      </c>
      <c r="AR35" s="29" t="n">
        <v>0.533662137880536</v>
      </c>
      <c r="AS35" s="29" t="n">
        <v>7.015908025195698</v>
      </c>
      <c r="AT35" s="29" t="n">
        <v>38.10618249887205</v>
      </c>
      <c r="AU35" s="29" t="n">
        <v>5.322140232016683</v>
      </c>
      <c r="AV35" s="29" t="n">
        <v>8.193616447128408</v>
      </c>
      <c r="AW35" s="29" t="n">
        <v>26.50785028613446</v>
      </c>
      <c r="AX35" s="29" t="n">
        <v>0</v>
      </c>
      <c r="AY35" s="29" t="n">
        <v>58.00495090616746</v>
      </c>
      <c r="AZ35" s="29" t="n">
        <v>122.4153108047373</v>
      </c>
      <c r="BA35" s="29" t="n">
        <v>22.55626036569283</v>
      </c>
      <c r="BB35" s="29">
        <f>SUM(C35:BA35)</f>
        <v/>
      </c>
      <c r="BC35" s="29" t="n">
        <v>0</v>
      </c>
      <c r="BD35" s="29" t="n">
        <v>0</v>
      </c>
      <c r="BE35" s="29" t="n">
        <v>1687.144374647573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105.9879926589734</v>
      </c>
      <c r="D36" s="27" t="n">
        <v>48.79905754946511</v>
      </c>
      <c r="E36" s="27" t="n">
        <v>40.79421390281127</v>
      </c>
      <c r="F36" s="27" t="n">
        <v>84.31194874924623</v>
      </c>
      <c r="G36" s="27" t="n">
        <v>66.28914992959047</v>
      </c>
      <c r="H36" s="27" t="n">
        <v>2483.616776816945</v>
      </c>
      <c r="I36" s="27" t="n">
        <v>2.576520403631899</v>
      </c>
      <c r="J36" s="27" t="n">
        <v>128.7051416343004</v>
      </c>
      <c r="K36" s="27" t="n">
        <v>160.1996107150969</v>
      </c>
      <c r="L36" s="27" t="n">
        <v>295.4661976514497</v>
      </c>
      <c r="M36" s="27" t="n">
        <v>64.95109121652894</v>
      </c>
      <c r="N36" s="27" t="n">
        <v>166.0534471409479</v>
      </c>
      <c r="O36" s="27" t="n">
        <v>280.2649568466993</v>
      </c>
      <c r="P36" s="27" t="n">
        <v>21.83921517974673</v>
      </c>
      <c r="Q36" s="27" t="n">
        <v>6.442808750381118</v>
      </c>
      <c r="R36" s="27" t="n">
        <v>250.7344608962043</v>
      </c>
      <c r="S36" s="27" t="n">
        <v>88.7320778885903</v>
      </c>
      <c r="T36" s="27" t="n">
        <v>88.9858176165807</v>
      </c>
      <c r="U36" s="27" t="n">
        <v>80.2687537306842</v>
      </c>
      <c r="V36" s="27" t="n">
        <v>353.2438980798955</v>
      </c>
      <c r="W36" s="27" t="n">
        <v>43.35906738089302</v>
      </c>
      <c r="X36" s="27" t="n">
        <v>64.60809541585007</v>
      </c>
      <c r="Y36" s="27" t="n">
        <v>3404.024687422967</v>
      </c>
      <c r="Z36" s="27" t="n">
        <v>506.5557384667086</v>
      </c>
      <c r="AA36" s="27" t="n">
        <v>160.469792843794</v>
      </c>
      <c r="AB36" s="27" t="n">
        <v>12.52063557544157</v>
      </c>
      <c r="AC36" s="27" t="n">
        <v>159.9272196928251</v>
      </c>
      <c r="AD36" s="27" t="n">
        <v>615.1212008424758</v>
      </c>
      <c r="AE36" s="27" t="n">
        <v>453.4847702529427</v>
      </c>
      <c r="AF36" s="27" t="n">
        <v>488.6161431607576</v>
      </c>
      <c r="AG36" s="27" t="n">
        <v>1359.913366064858</v>
      </c>
      <c r="AH36" s="27" t="n">
        <v>918.6902079754292</v>
      </c>
      <c r="AI36" s="27" t="n">
        <v>112.9364553034743</v>
      </c>
      <c r="AJ36" s="27" t="n">
        <v>474.591586030526</v>
      </c>
      <c r="AK36" s="27" t="n">
        <v>115.1163849574895</v>
      </c>
      <c r="AL36" s="27" t="n">
        <v>2656.386348318585</v>
      </c>
      <c r="AM36" s="27" t="n">
        <v>1198.978961819985</v>
      </c>
      <c r="AN36" s="27" t="n">
        <v>1179.887123501327</v>
      </c>
      <c r="AO36" s="27" t="n">
        <v>34.66781461430356</v>
      </c>
      <c r="AP36" s="27" t="n">
        <v>33.1523786891466</v>
      </c>
      <c r="AQ36" s="27" t="n">
        <v>24.15434970207198</v>
      </c>
      <c r="AR36" s="27" t="n">
        <v>20.67578337537012</v>
      </c>
      <c r="AS36" s="27" t="n">
        <v>93.57268565936469</v>
      </c>
      <c r="AT36" s="27" t="n">
        <v>237.5619935109783</v>
      </c>
      <c r="AU36" s="27" t="n">
        <v>15.35337961843396</v>
      </c>
      <c r="AV36" s="27" t="n">
        <v>94.78541576088512</v>
      </c>
      <c r="AW36" s="27" t="n">
        <v>98.20745931983255</v>
      </c>
      <c r="AX36" s="27" t="n">
        <v>0</v>
      </c>
      <c r="AY36" s="27" t="n">
        <v>74.26748420902723</v>
      </c>
      <c r="AZ36" s="27" t="n">
        <v>115.2160488448244</v>
      </c>
      <c r="BA36" s="27" t="n">
        <v>52.63457229103552</v>
      </c>
      <c r="BB36" s="27">
        <f>SUM(C36:BA36)</f>
        <v/>
      </c>
      <c r="BC36" s="27" t="n">
        <v>0</v>
      </c>
      <c r="BD36" s="27" t="n">
        <v>0</v>
      </c>
      <c r="BE36" s="27" t="n">
        <v>5538.405014468505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489.941956110698</v>
      </c>
      <c r="D37" s="29" t="n">
        <v>430.6617539112256</v>
      </c>
      <c r="E37" s="29" t="n">
        <v>34.77192162910092</v>
      </c>
      <c r="F37" s="29" t="n">
        <v>2.109640834675557</v>
      </c>
      <c r="G37" s="29" t="n">
        <v>21.85823610002143</v>
      </c>
      <c r="H37" s="29" t="n">
        <v>621.9925459209126</v>
      </c>
      <c r="I37" s="29" t="n">
        <v>0.4679690993796924</v>
      </c>
      <c r="J37" s="29" t="n">
        <v>4.517368162828514</v>
      </c>
      <c r="K37" s="29" t="n">
        <v>3.375977474810746</v>
      </c>
      <c r="L37" s="29" t="n">
        <v>3.585498001113658</v>
      </c>
      <c r="M37" s="29" t="n">
        <v>5.651620812827446</v>
      </c>
      <c r="N37" s="29" t="n">
        <v>46.2481145114288</v>
      </c>
      <c r="O37" s="29" t="n">
        <v>10.27939863582807</v>
      </c>
      <c r="P37" s="29" t="n">
        <v>4.609159636763951</v>
      </c>
      <c r="Q37" s="29" t="n">
        <v>1.342321441228575</v>
      </c>
      <c r="R37" s="29" t="n">
        <v>142.7474155682825</v>
      </c>
      <c r="S37" s="29" t="n">
        <v>2.888169280929703</v>
      </c>
      <c r="T37" s="29" t="n">
        <v>11.7821356697964</v>
      </c>
      <c r="U37" s="29" t="n">
        <v>1.598932464209899</v>
      </c>
      <c r="V37" s="29" t="n">
        <v>65.72364741233316</v>
      </c>
      <c r="W37" s="29" t="n">
        <v>15.95319381698212</v>
      </c>
      <c r="X37" s="29" t="n">
        <v>48.9117160803614</v>
      </c>
      <c r="Y37" s="29" t="n">
        <v>127.0491248947553</v>
      </c>
      <c r="Z37" s="29" t="n">
        <v>2181.39169575538</v>
      </c>
      <c r="AA37" s="29" t="n">
        <v>137.9459831335241</v>
      </c>
      <c r="AB37" s="29" t="n">
        <v>9.01221403104778</v>
      </c>
      <c r="AC37" s="29" t="n">
        <v>36.45008318539937</v>
      </c>
      <c r="AD37" s="29" t="n">
        <v>105.040628425446</v>
      </c>
      <c r="AE37" s="29" t="n">
        <v>63.40194781415023</v>
      </c>
      <c r="AF37" s="29" t="n">
        <v>12.8665303309976</v>
      </c>
      <c r="AG37" s="29" t="n">
        <v>326.6472321717947</v>
      </c>
      <c r="AH37" s="29" t="n">
        <v>31.53605157645003</v>
      </c>
      <c r="AI37" s="29" t="n">
        <v>18.84102946917025</v>
      </c>
      <c r="AJ37" s="29" t="n">
        <v>103.2715479365313</v>
      </c>
      <c r="AK37" s="29" t="n">
        <v>400.3846618212434</v>
      </c>
      <c r="AL37" s="29" t="n">
        <v>11423.73517870997</v>
      </c>
      <c r="AM37" s="29" t="n">
        <v>140.9386812887037</v>
      </c>
      <c r="AN37" s="29" t="n">
        <v>28.89316760024274</v>
      </c>
      <c r="AO37" s="29" t="n">
        <v>21.067552942208</v>
      </c>
      <c r="AP37" s="29" t="n">
        <v>16.02453332294713</v>
      </c>
      <c r="AQ37" s="29" t="n">
        <v>351.8517889738517</v>
      </c>
      <c r="AR37" s="29" t="n">
        <v>1.165612260114631</v>
      </c>
      <c r="AS37" s="29" t="n">
        <v>125.3311080853204</v>
      </c>
      <c r="AT37" s="29" t="n">
        <v>29.80778345594826</v>
      </c>
      <c r="AU37" s="29" t="n">
        <v>11.06754697308796</v>
      </c>
      <c r="AV37" s="29" t="n">
        <v>20.70254021934122</v>
      </c>
      <c r="AW37" s="29" t="n">
        <v>70.90680922258562</v>
      </c>
      <c r="AX37" s="29" t="n">
        <v>0</v>
      </c>
      <c r="AY37" s="29" t="n">
        <v>34.26718428956266</v>
      </c>
      <c r="AZ37" s="29" t="n">
        <v>25.74254214530744</v>
      </c>
      <c r="BA37" s="29" t="n">
        <v>93.34983726442324</v>
      </c>
      <c r="BB37" s="29">
        <f>SUM(C37:BA37)</f>
        <v/>
      </c>
      <c r="BC37" s="29" t="n">
        <v>0</v>
      </c>
      <c r="BD37" s="29" t="n">
        <v>0</v>
      </c>
      <c r="BE37" s="29" t="n">
        <v>1882.820238231627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28.21056624093669</v>
      </c>
      <c r="D38" s="27" t="n">
        <v>52.90811628460154</v>
      </c>
      <c r="E38" s="27" t="n">
        <v>313.0199444776164</v>
      </c>
      <c r="F38" s="27" t="n">
        <v>8.080879457825112</v>
      </c>
      <c r="G38" s="27" t="n">
        <v>38.60537181014836</v>
      </c>
      <c r="H38" s="27" t="n">
        <v>102.4591162955236</v>
      </c>
      <c r="I38" s="27" t="n">
        <v>1.348952419243909</v>
      </c>
      <c r="J38" s="27" t="n">
        <v>3.563025371307465</v>
      </c>
      <c r="K38" s="27" t="n">
        <v>4.577560184977899</v>
      </c>
      <c r="L38" s="27" t="n">
        <v>2.382507937833184</v>
      </c>
      <c r="M38" s="27" t="n">
        <v>3.988029855655604</v>
      </c>
      <c r="N38" s="27" t="n">
        <v>29.9467872366226</v>
      </c>
      <c r="O38" s="27" t="n">
        <v>1.822039046170141</v>
      </c>
      <c r="P38" s="27" t="n">
        <v>4.883720103835207</v>
      </c>
      <c r="Q38" s="27" t="n">
        <v>1.169542839236563</v>
      </c>
      <c r="R38" s="27" t="n">
        <v>10.94209345068978</v>
      </c>
      <c r="S38" s="27" t="n">
        <v>1.947752680472115</v>
      </c>
      <c r="T38" s="27" t="n">
        <v>5.293909667377143</v>
      </c>
      <c r="U38" s="27" t="n">
        <v>1.756439941330648</v>
      </c>
      <c r="V38" s="27" t="n">
        <v>7.514397534290065</v>
      </c>
      <c r="W38" s="27" t="n">
        <v>6.672528362363724</v>
      </c>
      <c r="X38" s="27" t="n">
        <v>2.260366614223862</v>
      </c>
      <c r="Y38" s="27" t="n">
        <v>174.6234630305129</v>
      </c>
      <c r="Z38" s="27" t="n">
        <v>117.6520531510166</v>
      </c>
      <c r="AA38" s="27" t="n">
        <v>2421.320802820957</v>
      </c>
      <c r="AB38" s="27" t="n">
        <v>207.2039898170751</v>
      </c>
      <c r="AC38" s="27" t="n">
        <v>3537.500966315462</v>
      </c>
      <c r="AD38" s="27" t="n">
        <v>1591.314116193039</v>
      </c>
      <c r="AE38" s="27" t="n">
        <v>599.0101856716205</v>
      </c>
      <c r="AF38" s="27" t="n">
        <v>50.93814838304769</v>
      </c>
      <c r="AG38" s="27" t="n">
        <v>1020.204449738386</v>
      </c>
      <c r="AH38" s="27" t="n">
        <v>1575.380531920829</v>
      </c>
      <c r="AI38" s="27" t="n">
        <v>116.8017910988979</v>
      </c>
      <c r="AJ38" s="27" t="n">
        <v>265.5718947008318</v>
      </c>
      <c r="AK38" s="27" t="n">
        <v>69.48877171784061</v>
      </c>
      <c r="AL38" s="27" t="n">
        <v>3319.910714628165</v>
      </c>
      <c r="AM38" s="27" t="n">
        <v>293.9994339490864</v>
      </c>
      <c r="AN38" s="27" t="n">
        <v>34.06582216415465</v>
      </c>
      <c r="AO38" s="27" t="n">
        <v>37.85952992505985</v>
      </c>
      <c r="AP38" s="27" t="n">
        <v>35.09630767350148</v>
      </c>
      <c r="AQ38" s="27" t="n">
        <v>10.54813882675392</v>
      </c>
      <c r="AR38" s="27" t="n">
        <v>1.7392968768946</v>
      </c>
      <c r="AS38" s="27" t="n">
        <v>29.35801549883729</v>
      </c>
      <c r="AT38" s="27" t="n">
        <v>91.49946917405859</v>
      </c>
      <c r="AU38" s="27" t="n">
        <v>18.96469996514453</v>
      </c>
      <c r="AV38" s="27" t="n">
        <v>8.964315608333717</v>
      </c>
      <c r="AW38" s="27" t="n">
        <v>39.60440015768241</v>
      </c>
      <c r="AX38" s="27" t="n">
        <v>0</v>
      </c>
      <c r="AY38" s="27" t="n">
        <v>11.95339145754479</v>
      </c>
      <c r="AZ38" s="27" t="n">
        <v>6.03854093686502</v>
      </c>
      <c r="BA38" s="27" t="n">
        <v>50.23302723016301</v>
      </c>
      <c r="BB38" s="27">
        <f>SUM(C38:BA38)</f>
        <v/>
      </c>
      <c r="BC38" s="27" t="n">
        <v>0</v>
      </c>
      <c r="BD38" s="27" t="n">
        <v>0</v>
      </c>
      <c r="BE38" s="27" t="n">
        <v>7371.263080938386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110.8099879410183</v>
      </c>
      <c r="D39" s="29" t="n">
        <v>17.70847453460665</v>
      </c>
      <c r="E39" s="29" t="n">
        <v>12.19425992582049</v>
      </c>
      <c r="F39" s="29" t="n">
        <v>3.477038553663707</v>
      </c>
      <c r="G39" s="29" t="n">
        <v>15.05637645892662</v>
      </c>
      <c r="H39" s="29" t="n">
        <v>181.3165565247047</v>
      </c>
      <c r="I39" s="29" t="n">
        <v>0.5027319661355631</v>
      </c>
      <c r="J39" s="29" t="n">
        <v>4.258990486253384</v>
      </c>
      <c r="K39" s="29" t="n">
        <v>3.153733143493612</v>
      </c>
      <c r="L39" s="29" t="n">
        <v>2.984799300001497</v>
      </c>
      <c r="M39" s="29" t="n">
        <v>2.120122796130125</v>
      </c>
      <c r="N39" s="29" t="n">
        <v>65.0254346382107</v>
      </c>
      <c r="O39" s="29" t="n">
        <v>80.94378260713069</v>
      </c>
      <c r="P39" s="29" t="n">
        <v>2.245813648919252</v>
      </c>
      <c r="Q39" s="29" t="n">
        <v>0.8516646977464452</v>
      </c>
      <c r="R39" s="29" t="n">
        <v>132.5478160504805</v>
      </c>
      <c r="S39" s="29" t="n">
        <v>7.891083839840777</v>
      </c>
      <c r="T39" s="29" t="n">
        <v>5.094936114885172</v>
      </c>
      <c r="U39" s="29" t="n">
        <v>5.007352665632906</v>
      </c>
      <c r="V39" s="29" t="n">
        <v>9.007387093947756</v>
      </c>
      <c r="W39" s="29" t="n">
        <v>12.07080483712486</v>
      </c>
      <c r="X39" s="29" t="n">
        <v>73.89103692320633</v>
      </c>
      <c r="Y39" s="29" t="n">
        <v>26.83220466922306</v>
      </c>
      <c r="Z39" s="29" t="n">
        <v>35.93533395361779</v>
      </c>
      <c r="AA39" s="29" t="n">
        <v>368.8522874555868</v>
      </c>
      <c r="AB39" s="29" t="n">
        <v>1757.217191854142</v>
      </c>
      <c r="AC39" s="29" t="n">
        <v>410.6636648849008</v>
      </c>
      <c r="AD39" s="29" t="n">
        <v>513.9142761235238</v>
      </c>
      <c r="AE39" s="29" t="n">
        <v>1173.055547699161</v>
      </c>
      <c r="AF39" s="29" t="n">
        <v>67.69727837368139</v>
      </c>
      <c r="AG39" s="29" t="n">
        <v>115.6790590532941</v>
      </c>
      <c r="AH39" s="29" t="n">
        <v>996.8104036728824</v>
      </c>
      <c r="AI39" s="29" t="n">
        <v>117.9354872752986</v>
      </c>
      <c r="AJ39" s="29" t="n">
        <v>485.5327619252593</v>
      </c>
      <c r="AK39" s="29" t="n">
        <v>51.90821606880635</v>
      </c>
      <c r="AL39" s="29" t="n">
        <v>909.8843871415526</v>
      </c>
      <c r="AM39" s="29" t="n">
        <v>161.444313701287</v>
      </c>
      <c r="AN39" s="29" t="n">
        <v>21.31813130660965</v>
      </c>
      <c r="AO39" s="29" t="n">
        <v>21.09284237808357</v>
      </c>
      <c r="AP39" s="29" t="n">
        <v>20.47767045256861</v>
      </c>
      <c r="AQ39" s="29" t="n">
        <v>17.79869595040261</v>
      </c>
      <c r="AR39" s="29" t="n">
        <v>1.410940095810222</v>
      </c>
      <c r="AS39" s="29" t="n">
        <v>19.35688759400377</v>
      </c>
      <c r="AT39" s="29" t="n">
        <v>34.54148669397569</v>
      </c>
      <c r="AU39" s="29" t="n">
        <v>13.80100608388494</v>
      </c>
      <c r="AV39" s="29" t="n">
        <v>11.74274841322686</v>
      </c>
      <c r="AW39" s="29" t="n">
        <v>30.22384054706727</v>
      </c>
      <c r="AX39" s="29" t="n">
        <v>0</v>
      </c>
      <c r="AY39" s="29" t="n">
        <v>4.156254339131814</v>
      </c>
      <c r="AZ39" s="29" t="n">
        <v>3.662068916657773</v>
      </c>
      <c r="BA39" s="29" t="n">
        <v>17.53663397361462</v>
      </c>
      <c r="BB39" s="29">
        <f>SUM(C39:BA39)</f>
        <v/>
      </c>
      <c r="BC39" s="29" t="n">
        <v>0</v>
      </c>
      <c r="BD39" s="29" t="n">
        <v>0</v>
      </c>
      <c r="BE39" s="29" t="n">
        <v>4109.695788085484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67.28409249566261</v>
      </c>
      <c r="D40" s="27" t="n">
        <v>119.8657320991164</v>
      </c>
      <c r="E40" s="27" t="n">
        <v>245.5377582121181</v>
      </c>
      <c r="F40" s="27" t="n">
        <v>116.6740050029623</v>
      </c>
      <c r="G40" s="27" t="n">
        <v>69.57369172346353</v>
      </c>
      <c r="H40" s="27" t="n">
        <v>1572.697875679675</v>
      </c>
      <c r="I40" s="27" t="n">
        <v>7.895106036273652</v>
      </c>
      <c r="J40" s="27" t="n">
        <v>33.82888652436298</v>
      </c>
      <c r="K40" s="27" t="n">
        <v>47.77445555208113</v>
      </c>
      <c r="L40" s="27" t="n">
        <v>27.57562247238986</v>
      </c>
      <c r="M40" s="27" t="n">
        <v>116.4608867073284</v>
      </c>
      <c r="N40" s="27" t="n">
        <v>34.04225336080588</v>
      </c>
      <c r="O40" s="27" t="n">
        <v>12.96202087467263</v>
      </c>
      <c r="P40" s="27" t="n">
        <v>63.81359593792036</v>
      </c>
      <c r="Q40" s="27" t="n">
        <v>9.530266637603914</v>
      </c>
      <c r="R40" s="27" t="n">
        <v>84.41101411771518</v>
      </c>
      <c r="S40" s="27" t="n">
        <v>33.15425178394869</v>
      </c>
      <c r="T40" s="27" t="n">
        <v>30.89634316484613</v>
      </c>
      <c r="U40" s="27" t="n">
        <v>12.47399252713867</v>
      </c>
      <c r="V40" s="27" t="n">
        <v>190.1974808967282</v>
      </c>
      <c r="W40" s="27" t="n">
        <v>186.4296922612195</v>
      </c>
      <c r="X40" s="27" t="n">
        <v>20.41609218594518</v>
      </c>
      <c r="Y40" s="27" t="n">
        <v>67.27165931872554</v>
      </c>
      <c r="Z40" s="27" t="n">
        <v>60.34452006146486</v>
      </c>
      <c r="AA40" s="27" t="n">
        <v>585.6055982913467</v>
      </c>
      <c r="AB40" s="27" t="n">
        <v>74.42865602784524</v>
      </c>
      <c r="AC40" s="27" t="n">
        <v>1534.796474649787</v>
      </c>
      <c r="AD40" s="27" t="n">
        <v>1562.132135052281</v>
      </c>
      <c r="AE40" s="27" t="n">
        <v>473.580504566214</v>
      </c>
      <c r="AF40" s="27" t="n">
        <v>330.0565912907747</v>
      </c>
      <c r="AG40" s="27" t="n">
        <v>700.9553922949393</v>
      </c>
      <c r="AH40" s="27" t="n">
        <v>599.4750180468278</v>
      </c>
      <c r="AI40" s="27" t="n">
        <v>277.7157030077807</v>
      </c>
      <c r="AJ40" s="27" t="n">
        <v>274.719130840146</v>
      </c>
      <c r="AK40" s="27" t="n">
        <v>531.1522064606399</v>
      </c>
      <c r="AL40" s="27" t="n">
        <v>5200.977133567117</v>
      </c>
      <c r="AM40" s="27" t="n">
        <v>355.7861496362784</v>
      </c>
      <c r="AN40" s="27" t="n">
        <v>70.1318988498314</v>
      </c>
      <c r="AO40" s="27" t="n">
        <v>35.96093877129033</v>
      </c>
      <c r="AP40" s="27" t="n">
        <v>18.44558363984524</v>
      </c>
      <c r="AQ40" s="27" t="n">
        <v>77.79026469816981</v>
      </c>
      <c r="AR40" s="27" t="n">
        <v>2.263517914189489</v>
      </c>
      <c r="AS40" s="27" t="n">
        <v>331.5518367786113</v>
      </c>
      <c r="AT40" s="27" t="n">
        <v>71.06897424401446</v>
      </c>
      <c r="AU40" s="27" t="n">
        <v>11.55590457504245</v>
      </c>
      <c r="AV40" s="27" t="n">
        <v>15.23337054308434</v>
      </c>
      <c r="AW40" s="27" t="n">
        <v>101.3693949524269</v>
      </c>
      <c r="AX40" s="27" t="n">
        <v>0</v>
      </c>
      <c r="AY40" s="27" t="n">
        <v>14.79300453518727</v>
      </c>
      <c r="AZ40" s="27" t="n">
        <v>16.62954209271162</v>
      </c>
      <c r="BA40" s="27" t="n">
        <v>219.2328371810901</v>
      </c>
      <c r="BB40" s="27">
        <f>SUM(C40:BA40)</f>
        <v/>
      </c>
      <c r="BC40" s="27" t="n">
        <v>0</v>
      </c>
      <c r="BD40" s="27" t="n">
        <v>0</v>
      </c>
      <c r="BE40" s="27" t="n">
        <v>4998.834968383503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35.1406851149105</v>
      </c>
      <c r="D41" s="29" t="n">
        <v>19.8585464425577</v>
      </c>
      <c r="E41" s="29" t="n">
        <v>938.6502587966969</v>
      </c>
      <c r="F41" s="29" t="n">
        <v>685.9088027707884</v>
      </c>
      <c r="G41" s="29" t="n">
        <v>433.960796778629</v>
      </c>
      <c r="H41" s="29" t="n">
        <v>498.1933648467657</v>
      </c>
      <c r="I41" s="29" t="n">
        <v>4.365145387536587</v>
      </c>
      <c r="J41" s="29" t="n">
        <v>68.14932455142117</v>
      </c>
      <c r="K41" s="29" t="n">
        <v>139.9721204664078</v>
      </c>
      <c r="L41" s="29" t="n">
        <v>55.38032729357813</v>
      </c>
      <c r="M41" s="29" t="n">
        <v>144.5395772944372</v>
      </c>
      <c r="N41" s="29" t="n">
        <v>344.078050135295</v>
      </c>
      <c r="O41" s="29" t="n">
        <v>249.475510754213</v>
      </c>
      <c r="P41" s="29" t="n">
        <v>107.5429180034241</v>
      </c>
      <c r="Q41" s="29" t="n">
        <v>69.40283860345747</v>
      </c>
      <c r="R41" s="29" t="n">
        <v>163.5587317076349</v>
      </c>
      <c r="S41" s="29" t="n">
        <v>68.57450555939363</v>
      </c>
      <c r="T41" s="29" t="n">
        <v>89.42789935244774</v>
      </c>
      <c r="U41" s="29" t="n">
        <v>27.35002341060452</v>
      </c>
      <c r="V41" s="29" t="n">
        <v>43.43260442727977</v>
      </c>
      <c r="W41" s="29" t="n">
        <v>53.17906037794526</v>
      </c>
      <c r="X41" s="29" t="n">
        <v>79.88410250011434</v>
      </c>
      <c r="Y41" s="29" t="n">
        <v>163.1752786304864</v>
      </c>
      <c r="Z41" s="29" t="n">
        <v>426.7061277185876</v>
      </c>
      <c r="AA41" s="29" t="n">
        <v>1731.551935237724</v>
      </c>
      <c r="AB41" s="29" t="n">
        <v>334.5202577100027</v>
      </c>
      <c r="AC41" s="29" t="n">
        <v>183.7974390570652</v>
      </c>
      <c r="AD41" s="29" t="n">
        <v>5681.478721603807</v>
      </c>
      <c r="AE41" s="29" t="n">
        <v>260.9699557583386</v>
      </c>
      <c r="AF41" s="29" t="n">
        <v>158.3881605428798</v>
      </c>
      <c r="AG41" s="29" t="n">
        <v>446.4393359911981</v>
      </c>
      <c r="AH41" s="29" t="n">
        <v>225.0017665874498</v>
      </c>
      <c r="AI41" s="29" t="n">
        <v>130.4810342520646</v>
      </c>
      <c r="AJ41" s="29" t="n">
        <v>112.5290133416378</v>
      </c>
      <c r="AK41" s="29" t="n">
        <v>400.4909210359245</v>
      </c>
      <c r="AL41" s="29" t="n">
        <v>1575.811094398435</v>
      </c>
      <c r="AM41" s="29" t="n">
        <v>889.6846705781974</v>
      </c>
      <c r="AN41" s="29" t="n">
        <v>856.1538166584489</v>
      </c>
      <c r="AO41" s="29" t="n">
        <v>403.08385633791</v>
      </c>
      <c r="AP41" s="29" t="n">
        <v>64.29550979783862</v>
      </c>
      <c r="AQ41" s="29" t="n">
        <v>19.55385022553856</v>
      </c>
      <c r="AR41" s="29" t="n">
        <v>18.30935261407076</v>
      </c>
      <c r="AS41" s="29" t="n">
        <v>50.7064878614968</v>
      </c>
      <c r="AT41" s="29" t="n">
        <v>460.583873863018</v>
      </c>
      <c r="AU41" s="29" t="n">
        <v>8.098518150380142</v>
      </c>
      <c r="AV41" s="29" t="n">
        <v>118.3348058555919</v>
      </c>
      <c r="AW41" s="29" t="n">
        <v>377.8804865865349</v>
      </c>
      <c r="AX41" s="29" t="n">
        <v>0</v>
      </c>
      <c r="AY41" s="29" t="n">
        <v>44.4174268239756</v>
      </c>
      <c r="AZ41" s="29" t="n">
        <v>137.6006890494843</v>
      </c>
      <c r="BA41" s="29" t="n">
        <v>194.3926553643442</v>
      </c>
      <c r="BB41" s="29">
        <f>SUM(C41:BA41)</f>
        <v/>
      </c>
      <c r="BC41" s="29" t="n">
        <v>0</v>
      </c>
      <c r="BD41" s="29" t="n">
        <v>0</v>
      </c>
      <c r="BE41" s="29" t="n">
        <v>15718.60096307391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7.93507276171026</v>
      </c>
      <c r="D42" s="27" t="n">
        <v>18.13253313772186</v>
      </c>
      <c r="E42" s="27" t="n">
        <v>39.7036612647389</v>
      </c>
      <c r="F42" s="27" t="n">
        <v>11.48047403853814</v>
      </c>
      <c r="G42" s="27" t="n">
        <v>12.23966084292253</v>
      </c>
      <c r="H42" s="27" t="n">
        <v>67.79417766930096</v>
      </c>
      <c r="I42" s="27" t="n">
        <v>1.630440909960098</v>
      </c>
      <c r="J42" s="27" t="n">
        <v>16.54523482897269</v>
      </c>
      <c r="K42" s="27" t="n">
        <v>8.921750226653758</v>
      </c>
      <c r="L42" s="27" t="n">
        <v>5.016543470605696</v>
      </c>
      <c r="M42" s="27" t="n">
        <v>7.875889553601331</v>
      </c>
      <c r="N42" s="27" t="n">
        <v>15.57609684334921</v>
      </c>
      <c r="O42" s="27" t="n">
        <v>8.005781967218656</v>
      </c>
      <c r="P42" s="27" t="n">
        <v>4.008741640655936</v>
      </c>
      <c r="Q42" s="27" t="n">
        <v>1.807117174186757</v>
      </c>
      <c r="R42" s="27" t="n">
        <v>19.47541685627985</v>
      </c>
      <c r="S42" s="27" t="n">
        <v>7.610803155675808</v>
      </c>
      <c r="T42" s="27" t="n">
        <v>5.550143886847787</v>
      </c>
      <c r="U42" s="27" t="n">
        <v>1.977811863943575</v>
      </c>
      <c r="V42" s="27" t="n">
        <v>6.761556568762223</v>
      </c>
      <c r="W42" s="27" t="n">
        <v>3.41764763096307</v>
      </c>
      <c r="X42" s="27" t="n">
        <v>6.545502314022622</v>
      </c>
      <c r="Y42" s="27" t="n">
        <v>28.46030694214749</v>
      </c>
      <c r="Z42" s="27" t="n">
        <v>33.41214250975332</v>
      </c>
      <c r="AA42" s="27" t="n">
        <v>36.58700154217385</v>
      </c>
      <c r="AB42" s="27" t="n">
        <v>49.29262585938935</v>
      </c>
      <c r="AC42" s="27" t="n">
        <v>32.80233315062947</v>
      </c>
      <c r="AD42" s="27" t="n">
        <v>742.5987086830623</v>
      </c>
      <c r="AE42" s="27" t="n">
        <v>1216.03076518662</v>
      </c>
      <c r="AF42" s="27" t="n">
        <v>545.2437149628108</v>
      </c>
      <c r="AG42" s="27" t="n">
        <v>161.1982663545289</v>
      </c>
      <c r="AH42" s="27" t="n">
        <v>223.1313427470275</v>
      </c>
      <c r="AI42" s="27" t="n">
        <v>40.54430239724488</v>
      </c>
      <c r="AJ42" s="27" t="n">
        <v>57.37262168607958</v>
      </c>
      <c r="AK42" s="27" t="n">
        <v>777.5850888449</v>
      </c>
      <c r="AL42" s="27" t="n">
        <v>1856.679635562365</v>
      </c>
      <c r="AM42" s="27" t="n">
        <v>231.3838154610883</v>
      </c>
      <c r="AN42" s="27" t="n">
        <v>211.7282216020014</v>
      </c>
      <c r="AO42" s="27" t="n">
        <v>175.3087067301802</v>
      </c>
      <c r="AP42" s="27" t="n">
        <v>22.67377676435366</v>
      </c>
      <c r="AQ42" s="27" t="n">
        <v>63.20941366422125</v>
      </c>
      <c r="AR42" s="27" t="n">
        <v>102.3887748083117</v>
      </c>
      <c r="AS42" s="27" t="n">
        <v>17.93369824475102</v>
      </c>
      <c r="AT42" s="27" t="n">
        <v>146.8349766696921</v>
      </c>
      <c r="AU42" s="27" t="n">
        <v>7.560112009337934</v>
      </c>
      <c r="AV42" s="27" t="n">
        <v>38.04227981282598</v>
      </c>
      <c r="AW42" s="27" t="n">
        <v>224.3786405243564</v>
      </c>
      <c r="AX42" s="27" t="n">
        <v>0</v>
      </c>
      <c r="AY42" s="27" t="n">
        <v>24.51114795185592</v>
      </c>
      <c r="AZ42" s="27" t="n">
        <v>19.26850586708767</v>
      </c>
      <c r="BA42" s="27" t="n">
        <v>35.8533566916514</v>
      </c>
      <c r="BB42" s="27">
        <f>SUM(C42:BA42)</f>
        <v/>
      </c>
      <c r="BC42" s="27" t="n">
        <v>0</v>
      </c>
      <c r="BD42" s="27" t="n">
        <v>0</v>
      </c>
      <c r="BE42" s="27" t="n">
        <v>8215.161549793567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1.966533495375463</v>
      </c>
      <c r="D43" s="29" t="n">
        <v>2.033462844532457</v>
      </c>
      <c r="E43" s="29" t="n">
        <v>57.87627543179813</v>
      </c>
      <c r="F43" s="29" t="n">
        <v>10.03673658577483</v>
      </c>
      <c r="G43" s="29" t="n">
        <v>22.80613209584856</v>
      </c>
      <c r="H43" s="29" t="n">
        <v>67.13047148096145</v>
      </c>
      <c r="I43" s="29" t="n">
        <v>2.570577885204309</v>
      </c>
      <c r="J43" s="29" t="n">
        <v>5.517651111790586</v>
      </c>
      <c r="K43" s="29" t="n">
        <v>4.165828561475604</v>
      </c>
      <c r="L43" s="29" t="n">
        <v>4.96089454382119</v>
      </c>
      <c r="M43" s="29" t="n">
        <v>5.504095862831562</v>
      </c>
      <c r="N43" s="29" t="n">
        <v>12.38353354688265</v>
      </c>
      <c r="O43" s="29" t="n">
        <v>104.2540890073431</v>
      </c>
      <c r="P43" s="29" t="n">
        <v>7.925957739716258</v>
      </c>
      <c r="Q43" s="29" t="n">
        <v>2.051104455943093</v>
      </c>
      <c r="R43" s="29" t="n">
        <v>9.783725379448486</v>
      </c>
      <c r="S43" s="29" t="n">
        <v>5.38169260820289</v>
      </c>
      <c r="T43" s="29" t="n">
        <v>16.78985588318002</v>
      </c>
      <c r="U43" s="29" t="n">
        <v>4.487279570616411</v>
      </c>
      <c r="V43" s="29" t="n">
        <v>10.22287601381688</v>
      </c>
      <c r="W43" s="29" t="n">
        <v>7.36646738261141</v>
      </c>
      <c r="X43" s="29" t="n">
        <v>21.87693423794543</v>
      </c>
      <c r="Y43" s="29" t="n">
        <v>17.69516484592877</v>
      </c>
      <c r="Z43" s="29" t="n">
        <v>12.78650007516086</v>
      </c>
      <c r="AA43" s="29" t="n">
        <v>25.5796803640003</v>
      </c>
      <c r="AB43" s="29" t="n">
        <v>7.115161899279119</v>
      </c>
      <c r="AC43" s="29" t="n">
        <v>8.592427933371649</v>
      </c>
      <c r="AD43" s="29" t="n">
        <v>277.9708344837215</v>
      </c>
      <c r="AE43" s="29" t="n">
        <v>154.8707443537787</v>
      </c>
      <c r="AF43" s="29" t="n">
        <v>9374.393553199157</v>
      </c>
      <c r="AG43" s="29" t="n">
        <v>81.02892879530276</v>
      </c>
      <c r="AH43" s="29" t="n">
        <v>74.82737649601626</v>
      </c>
      <c r="AI43" s="29" t="n">
        <v>12.52392617274626</v>
      </c>
      <c r="AJ43" s="29" t="n">
        <v>22.38144603866647</v>
      </c>
      <c r="AK43" s="29" t="n">
        <v>76.47979283861496</v>
      </c>
      <c r="AL43" s="29" t="n">
        <v>147.5733564737663</v>
      </c>
      <c r="AM43" s="29" t="n">
        <v>172.1283103061375</v>
      </c>
      <c r="AN43" s="29" t="n">
        <v>107.4085109269912</v>
      </c>
      <c r="AO43" s="29" t="n">
        <v>653.8992018412099</v>
      </c>
      <c r="AP43" s="29" t="n">
        <v>160.3298330152749</v>
      </c>
      <c r="AQ43" s="29" t="n">
        <v>7.024460323031525</v>
      </c>
      <c r="AR43" s="29" t="n">
        <v>304.2271526801317</v>
      </c>
      <c r="AS43" s="29" t="n">
        <v>10.06844609415218</v>
      </c>
      <c r="AT43" s="29" t="n">
        <v>807.5545330575733</v>
      </c>
      <c r="AU43" s="29" t="n">
        <v>55.61352780495064</v>
      </c>
      <c r="AV43" s="29" t="n">
        <v>1045.392462149182</v>
      </c>
      <c r="AW43" s="29" t="n">
        <v>121.3028663861508</v>
      </c>
      <c r="AX43" s="29" t="n">
        <v>0</v>
      </c>
      <c r="AY43" s="29" t="n">
        <v>565.925328554461</v>
      </c>
      <c r="AZ43" s="29" t="n">
        <v>476.0034605019266</v>
      </c>
      <c r="BA43" s="29" t="n">
        <v>222.3611661181628</v>
      </c>
      <c r="BB43" s="29">
        <f>SUM(C43:BA43)</f>
        <v/>
      </c>
      <c r="BC43" s="29" t="n">
        <v>0</v>
      </c>
      <c r="BD43" s="29" t="n">
        <v>0</v>
      </c>
      <c r="BE43" s="29" t="n">
        <v>18442.71956488972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3.817884967444608</v>
      </c>
      <c r="D44" s="27" t="n">
        <v>4.774004332537266</v>
      </c>
      <c r="E44" s="27" t="n">
        <v>31.54791440523452</v>
      </c>
      <c r="F44" s="27" t="n">
        <v>13.35119108263138</v>
      </c>
      <c r="G44" s="27" t="n">
        <v>8.817031321535238</v>
      </c>
      <c r="H44" s="27" t="n">
        <v>116.6842480651001</v>
      </c>
      <c r="I44" s="27" t="n">
        <v>3.261428451540775</v>
      </c>
      <c r="J44" s="27" t="n">
        <v>5.315090054515167</v>
      </c>
      <c r="K44" s="27" t="n">
        <v>6.070031256073313</v>
      </c>
      <c r="L44" s="27" t="n">
        <v>6.50200846780204</v>
      </c>
      <c r="M44" s="27" t="n">
        <v>6.137074224755843</v>
      </c>
      <c r="N44" s="27" t="n">
        <v>11.43257424132125</v>
      </c>
      <c r="O44" s="27" t="n">
        <v>3.203961807330341</v>
      </c>
      <c r="P44" s="27" t="n">
        <v>9.772211813544857</v>
      </c>
      <c r="Q44" s="27" t="n">
        <v>2.114226033864381</v>
      </c>
      <c r="R44" s="27" t="n">
        <v>13.79151276361378</v>
      </c>
      <c r="S44" s="27" t="n">
        <v>4.023625713034087</v>
      </c>
      <c r="T44" s="27" t="n">
        <v>11.81758246588475</v>
      </c>
      <c r="U44" s="27" t="n">
        <v>4.22701452560444</v>
      </c>
      <c r="V44" s="27" t="n">
        <v>9.527705370082369</v>
      </c>
      <c r="W44" s="27" t="n">
        <v>8.722136019917574</v>
      </c>
      <c r="X44" s="27" t="n">
        <v>12.01066317976415</v>
      </c>
      <c r="Y44" s="27" t="n">
        <v>11.34925622989562</v>
      </c>
      <c r="Z44" s="27" t="n">
        <v>14.06740395625583</v>
      </c>
      <c r="AA44" s="27" t="n">
        <v>40.79321985204776</v>
      </c>
      <c r="AB44" s="27" t="n">
        <v>7.721075084422893</v>
      </c>
      <c r="AC44" s="27" t="n">
        <v>51.80732494739254</v>
      </c>
      <c r="AD44" s="27" t="n">
        <v>124.5449642838856</v>
      </c>
      <c r="AE44" s="27" t="n">
        <v>40.21688331591557</v>
      </c>
      <c r="AF44" s="27" t="n">
        <v>30.41529462592242</v>
      </c>
      <c r="AG44" s="27" t="n">
        <v>1480.32118482308</v>
      </c>
      <c r="AH44" s="27" t="n">
        <v>51.15052122863766</v>
      </c>
      <c r="AI44" s="27" t="n">
        <v>25.51869383803075</v>
      </c>
      <c r="AJ44" s="27" t="n">
        <v>11.38771093677291</v>
      </c>
      <c r="AK44" s="27" t="n">
        <v>47.83604749650403</v>
      </c>
      <c r="AL44" s="27" t="n">
        <v>221.9729777880901</v>
      </c>
      <c r="AM44" s="27" t="n">
        <v>213.2767846549369</v>
      </c>
      <c r="AN44" s="27" t="n">
        <v>195.3839868260787</v>
      </c>
      <c r="AO44" s="27" t="n">
        <v>57.39701105175762</v>
      </c>
      <c r="AP44" s="27" t="n">
        <v>38.11249639131457</v>
      </c>
      <c r="AQ44" s="27" t="n">
        <v>6.397575183661683</v>
      </c>
      <c r="AR44" s="27" t="n">
        <v>0.6199465773048114</v>
      </c>
      <c r="AS44" s="27" t="n">
        <v>14.35815628859913</v>
      </c>
      <c r="AT44" s="27" t="n">
        <v>72.62059311083634</v>
      </c>
      <c r="AU44" s="27" t="n">
        <v>8.767153973603625</v>
      </c>
      <c r="AV44" s="27" t="n">
        <v>5.542543138869116</v>
      </c>
      <c r="AW44" s="27" t="n">
        <v>25.55106673203183</v>
      </c>
      <c r="AX44" s="27" t="n">
        <v>0</v>
      </c>
      <c r="AY44" s="27" t="n">
        <v>10.1682423991391</v>
      </c>
      <c r="AZ44" s="27" t="n">
        <v>11.85683530333804</v>
      </c>
      <c r="BA44" s="27" t="n">
        <v>49.37825161073164</v>
      </c>
      <c r="BB44" s="27">
        <f>SUM(C44:BA44)</f>
        <v/>
      </c>
      <c r="BC44" s="27" t="n">
        <v>0</v>
      </c>
      <c r="BD44" s="27" t="n">
        <v>0</v>
      </c>
      <c r="BE44" s="27" t="n">
        <v>30841.7693087857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4.739818131233174</v>
      </c>
      <c r="D45" s="29" t="n">
        <v>3.932887794845911</v>
      </c>
      <c r="E45" s="29" t="n">
        <v>28.4632099669781</v>
      </c>
      <c r="F45" s="29" t="n">
        <v>16.31142480829994</v>
      </c>
      <c r="G45" s="29" t="n">
        <v>11.87310783411491</v>
      </c>
      <c r="H45" s="29" t="n">
        <v>73.05313272526359</v>
      </c>
      <c r="I45" s="29" t="n">
        <v>1.31445331271</v>
      </c>
      <c r="J45" s="29" t="n">
        <v>7.099944437839215</v>
      </c>
      <c r="K45" s="29" t="n">
        <v>11.13963058826456</v>
      </c>
      <c r="L45" s="29" t="n">
        <v>8.44814088613272</v>
      </c>
      <c r="M45" s="29" t="n">
        <v>4.856971605530873</v>
      </c>
      <c r="N45" s="29" t="n">
        <v>10.53352564401413</v>
      </c>
      <c r="O45" s="29" t="n">
        <v>9.100460256587532</v>
      </c>
      <c r="P45" s="29" t="n">
        <v>5.520758849076619</v>
      </c>
      <c r="Q45" s="29" t="n">
        <v>1.953847706979498</v>
      </c>
      <c r="R45" s="29" t="n">
        <v>9.857157715587636</v>
      </c>
      <c r="S45" s="29" t="n">
        <v>3.089659341172009</v>
      </c>
      <c r="T45" s="29" t="n">
        <v>6.948463499423327</v>
      </c>
      <c r="U45" s="29" t="n">
        <v>2.867293705706259</v>
      </c>
      <c r="V45" s="29" t="n">
        <v>8.728917990780493</v>
      </c>
      <c r="W45" s="29" t="n">
        <v>4.296804109926129</v>
      </c>
      <c r="X45" s="29" t="n">
        <v>3.518495384310049</v>
      </c>
      <c r="Y45" s="29" t="n">
        <v>49.90015637763494</v>
      </c>
      <c r="Z45" s="29" t="n">
        <v>19.41095025057862</v>
      </c>
      <c r="AA45" s="29" t="n">
        <v>50.62878650154726</v>
      </c>
      <c r="AB45" s="29" t="n">
        <v>14.85456653346283</v>
      </c>
      <c r="AC45" s="29" t="n">
        <v>33.05069769830244</v>
      </c>
      <c r="AD45" s="29" t="n">
        <v>167.9178579114849</v>
      </c>
      <c r="AE45" s="29" t="n">
        <v>43.46304173990895</v>
      </c>
      <c r="AF45" s="29" t="n">
        <v>61.28943495749183</v>
      </c>
      <c r="AG45" s="29" t="n">
        <v>5625.786804516164</v>
      </c>
      <c r="AH45" s="29" t="n">
        <v>1908.616488830573</v>
      </c>
      <c r="AI45" s="29" t="n">
        <v>21.03726401341095</v>
      </c>
      <c r="AJ45" s="29" t="n">
        <v>13.10374617528226</v>
      </c>
      <c r="AK45" s="29" t="n">
        <v>28.60505757898924</v>
      </c>
      <c r="AL45" s="29" t="n">
        <v>181.6257768190424</v>
      </c>
      <c r="AM45" s="29" t="n">
        <v>2300.338713938935</v>
      </c>
      <c r="AN45" s="29" t="n">
        <v>1794.713074612293</v>
      </c>
      <c r="AO45" s="29" t="n">
        <v>36.83906542238537</v>
      </c>
      <c r="AP45" s="29" t="n">
        <v>28.53323687799451</v>
      </c>
      <c r="AQ45" s="29" t="n">
        <v>7.598339194227935</v>
      </c>
      <c r="AR45" s="29" t="n">
        <v>2.361334898218753</v>
      </c>
      <c r="AS45" s="29" t="n">
        <v>17.50470018318168</v>
      </c>
      <c r="AT45" s="29" t="n">
        <v>81.29158020961327</v>
      </c>
      <c r="AU45" s="29" t="n">
        <v>12.34428641886725</v>
      </c>
      <c r="AV45" s="29" t="n">
        <v>31.29019461274715</v>
      </c>
      <c r="AW45" s="29" t="n">
        <v>33.72810118335784</v>
      </c>
      <c r="AX45" s="29" t="n">
        <v>0</v>
      </c>
      <c r="AY45" s="29" t="n">
        <v>82.92382691611351</v>
      </c>
      <c r="AZ45" s="29" t="n">
        <v>45.40676610145477</v>
      </c>
      <c r="BA45" s="29" t="n">
        <v>190.4214683769654</v>
      </c>
      <c r="BB45" s="29">
        <f>SUM(C45:BA45)</f>
        <v/>
      </c>
      <c r="BC45" s="29" t="n">
        <v>0</v>
      </c>
      <c r="BD45" s="29" t="n">
        <v>0</v>
      </c>
      <c r="BE45" s="29" t="n">
        <v>5504.872598977502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0.3740326111270927</v>
      </c>
      <c r="D46" s="27" t="n">
        <v>0.3185293170713178</v>
      </c>
      <c r="E46" s="27" t="n">
        <v>4.311266947600634</v>
      </c>
      <c r="F46" s="27" t="n">
        <v>1.161458911761666</v>
      </c>
      <c r="G46" s="27" t="n">
        <v>0.8906190240735236</v>
      </c>
      <c r="H46" s="27" t="n">
        <v>10.6497306045873</v>
      </c>
      <c r="I46" s="27" t="n">
        <v>0.5675911275643238</v>
      </c>
      <c r="J46" s="27" t="n">
        <v>0.662667519494222</v>
      </c>
      <c r="K46" s="27" t="n">
        <v>4.664657421429331</v>
      </c>
      <c r="L46" s="27" t="n">
        <v>1.724152093801804</v>
      </c>
      <c r="M46" s="27" t="n">
        <v>0.4470392306161046</v>
      </c>
      <c r="N46" s="27" t="n">
        <v>1.327301501632214</v>
      </c>
      <c r="O46" s="27" t="n">
        <v>0.2924898585654599</v>
      </c>
      <c r="P46" s="27" t="n">
        <v>1.397958056044335</v>
      </c>
      <c r="Q46" s="27" t="n">
        <v>0.2549506024985075</v>
      </c>
      <c r="R46" s="27" t="n">
        <v>1.674681942778241</v>
      </c>
      <c r="S46" s="27" t="n">
        <v>0.4812640870984762</v>
      </c>
      <c r="T46" s="27" t="n">
        <v>2.001378301143716</v>
      </c>
      <c r="U46" s="27" t="n">
        <v>0.7900393031914192</v>
      </c>
      <c r="V46" s="27" t="n">
        <v>1.049915195697625</v>
      </c>
      <c r="W46" s="27" t="n">
        <v>0.7458394342624601</v>
      </c>
      <c r="X46" s="27" t="n">
        <v>0.6395187454848222</v>
      </c>
      <c r="Y46" s="27" t="n">
        <v>1.469429038706333</v>
      </c>
      <c r="Z46" s="27" t="n">
        <v>1.859988073010807</v>
      </c>
      <c r="AA46" s="27" t="n">
        <v>3.23393883420485</v>
      </c>
      <c r="AB46" s="27" t="n">
        <v>0.7277480868830052</v>
      </c>
      <c r="AC46" s="27" t="n">
        <v>3.588279896711211</v>
      </c>
      <c r="AD46" s="27" t="n">
        <v>373.6525278010179</v>
      </c>
      <c r="AE46" s="27" t="n">
        <v>1.976303932885895</v>
      </c>
      <c r="AF46" s="27" t="n">
        <v>3.117757245639265</v>
      </c>
      <c r="AG46" s="27" t="n">
        <v>3.92408307692982</v>
      </c>
      <c r="AH46" s="27" t="n">
        <v>2.923604642946176</v>
      </c>
      <c r="AI46" s="27" t="n">
        <v>1953.360592951547</v>
      </c>
      <c r="AJ46" s="27" t="n">
        <v>5.430575502997605</v>
      </c>
      <c r="AK46" s="27" t="n">
        <v>4.060522595060625</v>
      </c>
      <c r="AL46" s="27" t="n">
        <v>14.27672935131357</v>
      </c>
      <c r="AM46" s="27" t="n">
        <v>55.99676911946815</v>
      </c>
      <c r="AN46" s="27" t="n">
        <v>292.7735458520677</v>
      </c>
      <c r="AO46" s="27" t="n">
        <v>10.65975619545364</v>
      </c>
      <c r="AP46" s="27" t="n">
        <v>9.337455939963919</v>
      </c>
      <c r="AQ46" s="27" t="n">
        <v>1.239302375147683</v>
      </c>
      <c r="AR46" s="27" t="n">
        <v>20.73051022961722</v>
      </c>
      <c r="AS46" s="27" t="n">
        <v>2.093847673812097</v>
      </c>
      <c r="AT46" s="27" t="n">
        <v>14.09860608793129</v>
      </c>
      <c r="AU46" s="27" t="n">
        <v>2.601020434831963</v>
      </c>
      <c r="AV46" s="27" t="n">
        <v>1.285382501551261</v>
      </c>
      <c r="AW46" s="27" t="n">
        <v>5.929157131312914</v>
      </c>
      <c r="AX46" s="27" t="n">
        <v>0</v>
      </c>
      <c r="AY46" s="27" t="n">
        <v>2.508878202138213</v>
      </c>
      <c r="AZ46" s="27" t="n">
        <v>2.391603584228547</v>
      </c>
      <c r="BA46" s="27" t="n">
        <v>66.91084385475833</v>
      </c>
      <c r="BB46" s="27">
        <f>SUM(C46:BA46)</f>
        <v/>
      </c>
      <c r="BC46" s="27" t="n">
        <v>0</v>
      </c>
      <c r="BD46" s="27" t="n">
        <v>0</v>
      </c>
      <c r="BE46" s="27" t="n">
        <v>6501.055409525673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7.301419640730082</v>
      </c>
      <c r="D47" s="29" t="n">
        <v>4.790079758575076</v>
      </c>
      <c r="E47" s="29" t="n">
        <v>16.94402201119579</v>
      </c>
      <c r="F47" s="29" t="n">
        <v>10.09481893008426</v>
      </c>
      <c r="G47" s="29" t="n">
        <v>4.583016440175154</v>
      </c>
      <c r="H47" s="29" t="n">
        <v>76.22886508785048</v>
      </c>
      <c r="I47" s="29" t="n">
        <v>0.5696237412854963</v>
      </c>
      <c r="J47" s="29" t="n">
        <v>25.08971435233909</v>
      </c>
      <c r="K47" s="29" t="n">
        <v>608.6863631998626</v>
      </c>
      <c r="L47" s="29" t="n">
        <v>151.5423082323225</v>
      </c>
      <c r="M47" s="29" t="n">
        <v>16.41932447357749</v>
      </c>
      <c r="N47" s="29" t="n">
        <v>8.531429764613227</v>
      </c>
      <c r="O47" s="29" t="n">
        <v>6.059018659340285</v>
      </c>
      <c r="P47" s="29" t="n">
        <v>2.975110126540566</v>
      </c>
      <c r="Q47" s="29" t="n">
        <v>0.8467833872702382</v>
      </c>
      <c r="R47" s="29" t="n">
        <v>31.43043239103845</v>
      </c>
      <c r="S47" s="29" t="n">
        <v>12.55931097364447</v>
      </c>
      <c r="T47" s="29" t="n">
        <v>7.287153295378096</v>
      </c>
      <c r="U47" s="29" t="n">
        <v>13.98725047724293</v>
      </c>
      <c r="V47" s="29" t="n">
        <v>9.097125291352043</v>
      </c>
      <c r="W47" s="29" t="n">
        <v>4.522431746478699</v>
      </c>
      <c r="X47" s="29" t="n">
        <v>3.374467968609037</v>
      </c>
      <c r="Y47" s="29" t="n">
        <v>63.85272932591705</v>
      </c>
      <c r="Z47" s="29" t="n">
        <v>54.39548950781764</v>
      </c>
      <c r="AA47" s="29" t="n">
        <v>15.69835138201442</v>
      </c>
      <c r="AB47" s="29" t="n">
        <v>2.016165639612478</v>
      </c>
      <c r="AC47" s="29" t="n">
        <v>22.24797776780462</v>
      </c>
      <c r="AD47" s="29" t="n">
        <v>203.9443036842006</v>
      </c>
      <c r="AE47" s="29" t="n">
        <v>15.42972324904845</v>
      </c>
      <c r="AF47" s="29" t="n">
        <v>17.34848196580428</v>
      </c>
      <c r="AG47" s="29" t="n">
        <v>98.39067935323098</v>
      </c>
      <c r="AH47" s="29" t="n">
        <v>170.9637016831476</v>
      </c>
      <c r="AI47" s="29" t="n">
        <v>18.041129059066</v>
      </c>
      <c r="AJ47" s="29" t="n">
        <v>705.8125759720825</v>
      </c>
      <c r="AK47" s="29" t="n">
        <v>36.35384183513943</v>
      </c>
      <c r="AL47" s="29" t="n">
        <v>379.673692812508</v>
      </c>
      <c r="AM47" s="29" t="n">
        <v>142.4590788000529</v>
      </c>
      <c r="AN47" s="29" t="n">
        <v>117.3931572919671</v>
      </c>
      <c r="AO47" s="29" t="n">
        <v>41.5772784817551</v>
      </c>
      <c r="AP47" s="29" t="n">
        <v>57.16137813150183</v>
      </c>
      <c r="AQ47" s="29" t="n">
        <v>32.59267790125935</v>
      </c>
      <c r="AR47" s="29" t="n">
        <v>2.288361904518216</v>
      </c>
      <c r="AS47" s="29" t="n">
        <v>9.091414529052715</v>
      </c>
      <c r="AT47" s="29" t="n">
        <v>413.7804183321076</v>
      </c>
      <c r="AU47" s="29" t="n">
        <v>9.585535947156476</v>
      </c>
      <c r="AV47" s="29" t="n">
        <v>19.63638280016723</v>
      </c>
      <c r="AW47" s="29" t="n">
        <v>129.7502194909723</v>
      </c>
      <c r="AX47" s="29" t="n">
        <v>0</v>
      </c>
      <c r="AY47" s="29" t="n">
        <v>35.29217974108781</v>
      </c>
      <c r="AZ47" s="29" t="n">
        <v>52.81431671350823</v>
      </c>
      <c r="BA47" s="29" t="n">
        <v>113.7803133613019</v>
      </c>
      <c r="BB47" s="29">
        <f>SUM(C47:BA47)</f>
        <v/>
      </c>
      <c r="BC47" s="29" t="n">
        <v>0</v>
      </c>
      <c r="BD47" s="29" t="n">
        <v>0</v>
      </c>
      <c r="BE47" s="29" t="n">
        <v>13223.60555470221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1196.761914045671</v>
      </c>
      <c r="D48" s="27" t="n">
        <v>960.3075453466913</v>
      </c>
      <c r="E48" s="27" t="n">
        <v>52.07475821589138</v>
      </c>
      <c r="F48" s="27" t="n">
        <v>196.5838072733066</v>
      </c>
      <c r="G48" s="27" t="n">
        <v>265.22879141584</v>
      </c>
      <c r="H48" s="27" t="n">
        <v>1158.00988175812</v>
      </c>
      <c r="I48" s="27" t="n">
        <v>19.83670406551792</v>
      </c>
      <c r="J48" s="27" t="n">
        <v>556.2117037267657</v>
      </c>
      <c r="K48" s="27" t="n">
        <v>82.855518758447</v>
      </c>
      <c r="L48" s="27" t="n">
        <v>101.5246552190291</v>
      </c>
      <c r="M48" s="27" t="n">
        <v>281.3541169573707</v>
      </c>
      <c r="N48" s="27" t="n">
        <v>552.2936833156002</v>
      </c>
      <c r="O48" s="27" t="n">
        <v>44.6309527870205</v>
      </c>
      <c r="P48" s="27" t="n">
        <v>74.82677565457868</v>
      </c>
      <c r="Q48" s="27" t="n">
        <v>24.27750720735386</v>
      </c>
      <c r="R48" s="27" t="n">
        <v>872.7690997700714</v>
      </c>
      <c r="S48" s="27" t="n">
        <v>444.980632350942</v>
      </c>
      <c r="T48" s="27" t="n">
        <v>65.57649522901271</v>
      </c>
      <c r="U48" s="27" t="n">
        <v>59.86893591200551</v>
      </c>
      <c r="V48" s="27" t="n">
        <v>69.24530845996486</v>
      </c>
      <c r="W48" s="27" t="n">
        <v>37.42583808255434</v>
      </c>
      <c r="X48" s="27" t="n">
        <v>151.077220609344</v>
      </c>
      <c r="Y48" s="27" t="n">
        <v>615.4722832448691</v>
      </c>
      <c r="Z48" s="27" t="n">
        <v>1068.853764746076</v>
      </c>
      <c r="AA48" s="27" t="n">
        <v>2040.31130599833</v>
      </c>
      <c r="AB48" s="27" t="n">
        <v>1016.721113293707</v>
      </c>
      <c r="AC48" s="27" t="n">
        <v>265.6589807596137</v>
      </c>
      <c r="AD48" s="27" t="n">
        <v>173.1583629373663</v>
      </c>
      <c r="AE48" s="27" t="n">
        <v>139.0253160562743</v>
      </c>
      <c r="AF48" s="27" t="n">
        <v>70.70575722343379</v>
      </c>
      <c r="AG48" s="27" t="n">
        <v>110.091737442669</v>
      </c>
      <c r="AH48" s="27" t="n">
        <v>384.705607787705</v>
      </c>
      <c r="AI48" s="27" t="n">
        <v>49.23043618097823</v>
      </c>
      <c r="AJ48" s="27" t="n">
        <v>88.24485098746601</v>
      </c>
      <c r="AK48" s="27" t="n">
        <v>12766.98673259418</v>
      </c>
      <c r="AL48" s="27" t="n">
        <v>200.4558082416217</v>
      </c>
      <c r="AM48" s="27" t="n">
        <v>3591.872147836611</v>
      </c>
      <c r="AN48" s="27" t="n">
        <v>661.7088962872052</v>
      </c>
      <c r="AO48" s="27" t="n">
        <v>632.9657532708853</v>
      </c>
      <c r="AP48" s="27" t="n">
        <v>407.5687384810893</v>
      </c>
      <c r="AQ48" s="27" t="n">
        <v>119.7906691318752</v>
      </c>
      <c r="AR48" s="27" t="n">
        <v>50.88765709213445</v>
      </c>
      <c r="AS48" s="27" t="n">
        <v>651.694143520712</v>
      </c>
      <c r="AT48" s="27" t="n">
        <v>553.6175388663788</v>
      </c>
      <c r="AU48" s="27" t="n">
        <v>457.1943280948917</v>
      </c>
      <c r="AV48" s="27" t="n">
        <v>652.0946815737356</v>
      </c>
      <c r="AW48" s="27" t="n">
        <v>3073.587320699532</v>
      </c>
      <c r="AX48" s="27" t="n">
        <v>0</v>
      </c>
      <c r="AY48" s="27" t="n">
        <v>338.4395736791055</v>
      </c>
      <c r="AZ48" s="27" t="n">
        <v>409.1622186271125</v>
      </c>
      <c r="BA48" s="27" t="n">
        <v>2647.695530036557</v>
      </c>
      <c r="BB48" s="27">
        <f>SUM(C48:BA48)</f>
        <v/>
      </c>
      <c r="BC48" s="27" t="n">
        <v>0</v>
      </c>
      <c r="BD48" s="27" t="n">
        <v>0</v>
      </c>
      <c r="BE48" s="27" t="n">
        <v>23350.45886098496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13.33086722866412</v>
      </c>
      <c r="D49" s="29" t="n">
        <v>38.03086907757691</v>
      </c>
      <c r="E49" s="29" t="n">
        <v>502.3038941713684</v>
      </c>
      <c r="F49" s="29" t="n">
        <v>235.806498740169</v>
      </c>
      <c r="G49" s="29" t="n">
        <v>71.13632950719621</v>
      </c>
      <c r="H49" s="29" t="n">
        <v>9.223616957530814</v>
      </c>
      <c r="I49" s="29" t="n">
        <v>0.2629183026655071</v>
      </c>
      <c r="J49" s="29" t="n">
        <v>11.71862236342674</v>
      </c>
      <c r="K49" s="29" t="n">
        <v>3.171276100976321</v>
      </c>
      <c r="L49" s="29" t="n">
        <v>0.8282777046485776</v>
      </c>
      <c r="M49" s="29" t="n">
        <v>0.2475421270060852</v>
      </c>
      <c r="N49" s="29" t="n">
        <v>5.264497191694063</v>
      </c>
      <c r="O49" s="29" t="n">
        <v>5.587894699711175</v>
      </c>
      <c r="P49" s="29" t="n">
        <v>4.737251660883934</v>
      </c>
      <c r="Q49" s="29" t="n">
        <v>4.920359611551216</v>
      </c>
      <c r="R49" s="29" t="n">
        <v>21.86934424115503</v>
      </c>
      <c r="S49" s="29" t="n">
        <v>0.2300388882542672</v>
      </c>
      <c r="T49" s="29" t="n">
        <v>1.206945778159978</v>
      </c>
      <c r="U49" s="29" t="n">
        <v>0.5598681231024859</v>
      </c>
      <c r="V49" s="29" t="n">
        <v>0.840291954208933</v>
      </c>
      <c r="W49" s="29" t="n">
        <v>0.4762438355286809</v>
      </c>
      <c r="X49" s="29" t="n">
        <v>0.3296858118641461</v>
      </c>
      <c r="Y49" s="29" t="n">
        <v>2.154731497033795</v>
      </c>
      <c r="Z49" s="29" t="n">
        <v>7.746343627087641</v>
      </c>
      <c r="AA49" s="29" t="n">
        <v>45.40897826133433</v>
      </c>
      <c r="AB49" s="29" t="n">
        <v>313.0909932296469</v>
      </c>
      <c r="AC49" s="29" t="n">
        <v>11.77448481649099</v>
      </c>
      <c r="AD49" s="29" t="n">
        <v>17.60648622571624</v>
      </c>
      <c r="AE49" s="29" t="n">
        <v>3.57828196989557</v>
      </c>
      <c r="AF49" s="29" t="n">
        <v>25.06283629007088</v>
      </c>
      <c r="AG49" s="29" t="n">
        <v>48.82963639062092</v>
      </c>
      <c r="AH49" s="29" t="n">
        <v>8.830680759175117</v>
      </c>
      <c r="AI49" s="29" t="n">
        <v>38.79514488126021</v>
      </c>
      <c r="AJ49" s="29" t="n">
        <v>4.803450412244304</v>
      </c>
      <c r="AK49" s="29" t="n">
        <v>1149.386435034991</v>
      </c>
      <c r="AL49" s="29" t="n">
        <v>11753.51865705028</v>
      </c>
      <c r="AM49" s="29" t="n">
        <v>374.1658444308069</v>
      </c>
      <c r="AN49" s="29" t="n">
        <v>357.2833389246674</v>
      </c>
      <c r="AO49" s="29" t="n">
        <v>1172.061130638731</v>
      </c>
      <c r="AP49" s="29" t="n">
        <v>252.8044640190548</v>
      </c>
      <c r="AQ49" s="29" t="n">
        <v>317.7564784874413</v>
      </c>
      <c r="AR49" s="29" t="n">
        <v>1.83689669778631</v>
      </c>
      <c r="AS49" s="29" t="n">
        <v>127.5758425025046</v>
      </c>
      <c r="AT49" s="29" t="n">
        <v>275.4697195407088</v>
      </c>
      <c r="AU49" s="29" t="n">
        <v>101.0259199913029</v>
      </c>
      <c r="AV49" s="29" t="n">
        <v>8.265667935894824</v>
      </c>
      <c r="AW49" s="29" t="n">
        <v>687.1303055056126</v>
      </c>
      <c r="AX49" s="29" t="n">
        <v>0</v>
      </c>
      <c r="AY49" s="29" t="n">
        <v>143.2269257561415</v>
      </c>
      <c r="AZ49" s="29" t="n">
        <v>518.3454405548706</v>
      </c>
      <c r="BA49" s="29" t="n">
        <v>2459.944349415076</v>
      </c>
      <c r="BB49" s="29">
        <f>SUM(C49:BA49)</f>
        <v/>
      </c>
      <c r="BC49" s="29" t="n">
        <v>0</v>
      </c>
      <c r="BD49" s="29" t="n">
        <v>0</v>
      </c>
      <c r="BE49" s="29" t="n">
        <v>122476.6121878825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211.3823236640493</v>
      </c>
      <c r="D50" s="27" t="n">
        <v>161.9167300486203</v>
      </c>
      <c r="E50" s="27" t="n">
        <v>226.8585954844434</v>
      </c>
      <c r="F50" s="27" t="n">
        <v>660.3921573319136</v>
      </c>
      <c r="G50" s="27" t="n">
        <v>256.374724982014</v>
      </c>
      <c r="H50" s="27" t="n">
        <v>9511.286097205262</v>
      </c>
      <c r="I50" s="27" t="n">
        <v>302.1551556936827</v>
      </c>
      <c r="J50" s="27" t="n">
        <v>1019.290139515966</v>
      </c>
      <c r="K50" s="27" t="n">
        <v>1078.620572728199</v>
      </c>
      <c r="L50" s="27" t="n">
        <v>1320.139278281252</v>
      </c>
      <c r="M50" s="27" t="n">
        <v>336.7711070586199</v>
      </c>
      <c r="N50" s="27" t="n">
        <v>1582.687233994267</v>
      </c>
      <c r="O50" s="27" t="n">
        <v>104.262314873866</v>
      </c>
      <c r="P50" s="27" t="n">
        <v>561.071334264606</v>
      </c>
      <c r="Q50" s="27" t="n">
        <v>273.3368021594863</v>
      </c>
      <c r="R50" s="27" t="n">
        <v>1124.39831821045</v>
      </c>
      <c r="S50" s="27" t="n">
        <v>521.0517897236705</v>
      </c>
      <c r="T50" s="27" t="n">
        <v>1148.812351544429</v>
      </c>
      <c r="U50" s="27" t="n">
        <v>370.5765489217071</v>
      </c>
      <c r="V50" s="27" t="n">
        <v>104.2064583891244</v>
      </c>
      <c r="W50" s="27" t="n">
        <v>253.7493298115145</v>
      </c>
      <c r="X50" s="27" t="n">
        <v>817.4205199459597</v>
      </c>
      <c r="Y50" s="27" t="n">
        <v>1840.933022891872</v>
      </c>
      <c r="Z50" s="27" t="n">
        <v>1607.446386280846</v>
      </c>
      <c r="AA50" s="27" t="n">
        <v>2152.884282166362</v>
      </c>
      <c r="AB50" s="27" t="n">
        <v>592.3233499723868</v>
      </c>
      <c r="AC50" s="27" t="n">
        <v>1182.564403555707</v>
      </c>
      <c r="AD50" s="27" t="n">
        <v>3966.933304602292</v>
      </c>
      <c r="AE50" s="27" t="n">
        <v>993.1062780128825</v>
      </c>
      <c r="AF50" s="27" t="n">
        <v>1678.313777704742</v>
      </c>
      <c r="AG50" s="27" t="n">
        <v>437.4626099489234</v>
      </c>
      <c r="AH50" s="27" t="n">
        <v>92.29885117573858</v>
      </c>
      <c r="AI50" s="27" t="n">
        <v>103.4577824681731</v>
      </c>
      <c r="AJ50" s="27" t="n">
        <v>443.0501191104603</v>
      </c>
      <c r="AK50" s="27" t="n">
        <v>918.7790315618826</v>
      </c>
      <c r="AL50" s="27" t="n">
        <v>1110.575015949781</v>
      </c>
      <c r="AM50" s="27" t="n">
        <v>7639.571436256211</v>
      </c>
      <c r="AN50" s="27" t="n">
        <v>6482.785259059966</v>
      </c>
      <c r="AO50" s="27" t="n">
        <v>5646.965896119633</v>
      </c>
      <c r="AP50" s="27" t="n">
        <v>297.0303334031823</v>
      </c>
      <c r="AQ50" s="27" t="n">
        <v>40.1360879272091</v>
      </c>
      <c r="AR50" s="27" t="n">
        <v>23.20692749731422</v>
      </c>
      <c r="AS50" s="27" t="n">
        <v>306.1057886119959</v>
      </c>
      <c r="AT50" s="27" t="n">
        <v>1912.589036950101</v>
      </c>
      <c r="AU50" s="27" t="n">
        <v>84.70783949638087</v>
      </c>
      <c r="AV50" s="27" t="n">
        <v>812.0016956938798</v>
      </c>
      <c r="AW50" s="27" t="n">
        <v>284.8572707537218</v>
      </c>
      <c r="AX50" s="27" t="n">
        <v>0</v>
      </c>
      <c r="AY50" s="27" t="n">
        <v>632.9367614961791</v>
      </c>
      <c r="AZ50" s="27" t="n">
        <v>1000.381954462493</v>
      </c>
      <c r="BA50" s="27" t="n">
        <v>1535.536616294082</v>
      </c>
      <c r="BB50" s="27">
        <f>SUM(C50:BA50)</f>
        <v/>
      </c>
      <c r="BC50" s="27" t="n">
        <v>0</v>
      </c>
      <c r="BD50" s="27" t="n">
        <v>0</v>
      </c>
      <c r="BE50" s="27" t="n">
        <v>89452.65290831005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962.9889319931318</v>
      </c>
      <c r="D51" s="29" t="n">
        <v>211.2992177091023</v>
      </c>
      <c r="E51" s="29" t="n">
        <v>2445.491736308439</v>
      </c>
      <c r="F51" s="29" t="n">
        <v>901.9926777330843</v>
      </c>
      <c r="G51" s="29" t="n">
        <v>496.8659059251791</v>
      </c>
      <c r="H51" s="29" t="n">
        <v>7888.260060784908</v>
      </c>
      <c r="I51" s="29" t="n">
        <v>85.48203101961658</v>
      </c>
      <c r="J51" s="29" t="n">
        <v>421.3941869007498</v>
      </c>
      <c r="K51" s="29" t="n">
        <v>287.9561823758177</v>
      </c>
      <c r="L51" s="29" t="n">
        <v>360.632110518</v>
      </c>
      <c r="M51" s="29" t="n">
        <v>427.9001916581173</v>
      </c>
      <c r="N51" s="29" t="n">
        <v>1045.702980943836</v>
      </c>
      <c r="O51" s="29" t="n">
        <v>159.0223251203989</v>
      </c>
      <c r="P51" s="29" t="n">
        <v>682.6028363626946</v>
      </c>
      <c r="Q51" s="29" t="n">
        <v>227.9564844512424</v>
      </c>
      <c r="R51" s="29" t="n">
        <v>1420.419131510078</v>
      </c>
      <c r="S51" s="29" t="n">
        <v>360.9219047883172</v>
      </c>
      <c r="T51" s="29" t="n">
        <v>673.1112569440397</v>
      </c>
      <c r="U51" s="29" t="n">
        <v>285.1730424541595</v>
      </c>
      <c r="V51" s="29" t="n">
        <v>393.9341537293138</v>
      </c>
      <c r="W51" s="29" t="n">
        <v>223.9629805184495</v>
      </c>
      <c r="X51" s="29" t="n">
        <v>281.0482646591814</v>
      </c>
      <c r="Y51" s="29" t="n">
        <v>700.2652266341317</v>
      </c>
      <c r="Z51" s="29" t="n">
        <v>755.495825399972</v>
      </c>
      <c r="AA51" s="29" t="n">
        <v>2066.812412441462</v>
      </c>
      <c r="AB51" s="29" t="n">
        <v>177.6378048079947</v>
      </c>
      <c r="AC51" s="29" t="n">
        <v>660.5982802314149</v>
      </c>
      <c r="AD51" s="29" t="n">
        <v>604.8784187803896</v>
      </c>
      <c r="AE51" s="29" t="n">
        <v>534.4100734511588</v>
      </c>
      <c r="AF51" s="29" t="n">
        <v>947.5875006385323</v>
      </c>
      <c r="AG51" s="29" t="n">
        <v>1476.28198467512</v>
      </c>
      <c r="AH51" s="29" t="n">
        <v>644.6675404148407</v>
      </c>
      <c r="AI51" s="29" t="n">
        <v>167.3542001012408</v>
      </c>
      <c r="AJ51" s="29" t="n">
        <v>318.6866336908774</v>
      </c>
      <c r="AK51" s="29" t="n">
        <v>739.0271564197965</v>
      </c>
      <c r="AL51" s="29" t="n">
        <v>1066.357523349597</v>
      </c>
      <c r="AM51" s="29" t="n">
        <v>8727.775989070653</v>
      </c>
      <c r="AN51" s="29" t="n">
        <v>12190.93270876816</v>
      </c>
      <c r="AO51" s="29" t="n">
        <v>869.2722786031462</v>
      </c>
      <c r="AP51" s="29" t="n">
        <v>1526.024740141358</v>
      </c>
      <c r="AQ51" s="29" t="n">
        <v>86.24943666622397</v>
      </c>
      <c r="AR51" s="29" t="n">
        <v>31.53942479171904</v>
      </c>
      <c r="AS51" s="29" t="n">
        <v>251.4083647959833</v>
      </c>
      <c r="AT51" s="29" t="n">
        <v>1486.917261771331</v>
      </c>
      <c r="AU51" s="29" t="n">
        <v>685.0151352406526</v>
      </c>
      <c r="AV51" s="29" t="n">
        <v>89.76650359273164</v>
      </c>
      <c r="AW51" s="29" t="n">
        <v>3674.111533488641</v>
      </c>
      <c r="AX51" s="29" t="n">
        <v>0</v>
      </c>
      <c r="AY51" s="29" t="n">
        <v>314.3995436091363</v>
      </c>
      <c r="AZ51" s="29" t="n">
        <v>208.3684600906979</v>
      </c>
      <c r="BA51" s="29" t="n">
        <v>1566.264779043815</v>
      </c>
      <c r="BB51" s="29">
        <f>SUM(C51:BA51)</f>
        <v/>
      </c>
      <c r="BC51" s="29" t="n">
        <v>0</v>
      </c>
      <c r="BD51" s="29" t="n">
        <v>0</v>
      </c>
      <c r="BE51" s="29" t="n">
        <v>27805.16526498353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8.545494535194818</v>
      </c>
      <c r="D52" s="27" t="n">
        <v>4.336470484570056</v>
      </c>
      <c r="E52" s="27" t="n">
        <v>163.2001369999911</v>
      </c>
      <c r="F52" s="27" t="n">
        <v>59.33946612445719</v>
      </c>
      <c r="G52" s="27" t="n">
        <v>30.91077701954538</v>
      </c>
      <c r="H52" s="27" t="n">
        <v>1168.378256367005</v>
      </c>
      <c r="I52" s="27" t="n">
        <v>23.49026805601498</v>
      </c>
      <c r="J52" s="27" t="n">
        <v>149.0267939443528</v>
      </c>
      <c r="K52" s="27" t="n">
        <v>284.6408345683816</v>
      </c>
      <c r="L52" s="27" t="n">
        <v>98.47644580217089</v>
      </c>
      <c r="M52" s="27" t="n">
        <v>48.21584974738868</v>
      </c>
      <c r="N52" s="27" t="n">
        <v>159.7211830301386</v>
      </c>
      <c r="O52" s="27" t="n">
        <v>225.1624352093005</v>
      </c>
      <c r="P52" s="27" t="n">
        <v>86.15268453872064</v>
      </c>
      <c r="Q52" s="27" t="n">
        <v>28.98673383342343</v>
      </c>
      <c r="R52" s="27" t="n">
        <v>226.7620624234308</v>
      </c>
      <c r="S52" s="27" t="n">
        <v>57.81599645411661</v>
      </c>
      <c r="T52" s="27" t="n">
        <v>164.6901415586125</v>
      </c>
      <c r="U52" s="27" t="n">
        <v>77.42740437324635</v>
      </c>
      <c r="V52" s="27" t="n">
        <v>17.91911692673863</v>
      </c>
      <c r="W52" s="27" t="n">
        <v>53.28571052630416</v>
      </c>
      <c r="X52" s="27" t="n">
        <v>50.98094341941478</v>
      </c>
      <c r="Y52" s="27" t="n">
        <v>175.296947459926</v>
      </c>
      <c r="Z52" s="27" t="n">
        <v>189.2684641199532</v>
      </c>
      <c r="AA52" s="27" t="n">
        <v>166.5554252977963</v>
      </c>
      <c r="AB52" s="27" t="n">
        <v>33.98497885028443</v>
      </c>
      <c r="AC52" s="27" t="n">
        <v>153.8386862151783</v>
      </c>
      <c r="AD52" s="27" t="n">
        <v>240.4839738080492</v>
      </c>
      <c r="AE52" s="27" t="n">
        <v>245.5373762315336</v>
      </c>
      <c r="AF52" s="27" t="n">
        <v>421.0538645256939</v>
      </c>
      <c r="AG52" s="27" t="n">
        <v>607.2783360731385</v>
      </c>
      <c r="AH52" s="27" t="n">
        <v>553.5789251344473</v>
      </c>
      <c r="AI52" s="27" t="n">
        <v>54.30118359765933</v>
      </c>
      <c r="AJ52" s="27" t="n">
        <v>152.1937459777647</v>
      </c>
      <c r="AK52" s="27" t="n">
        <v>463.9072731346689</v>
      </c>
      <c r="AL52" s="27" t="n">
        <v>607.0440169965849</v>
      </c>
      <c r="AM52" s="27" t="n">
        <v>3737.154347168947</v>
      </c>
      <c r="AN52" s="27" t="n">
        <v>1202.464054763444</v>
      </c>
      <c r="AO52" s="27" t="n">
        <v>12650.20675085067</v>
      </c>
      <c r="AP52" s="27" t="n">
        <v>5054.410458424012</v>
      </c>
      <c r="AQ52" s="27" t="n">
        <v>246.6197577874787</v>
      </c>
      <c r="AR52" s="27" t="n">
        <v>88.00979499720691</v>
      </c>
      <c r="AS52" s="27" t="n">
        <v>279.9211236849368</v>
      </c>
      <c r="AT52" s="27" t="n">
        <v>11315.76575799481</v>
      </c>
      <c r="AU52" s="27" t="n">
        <v>1095.478937740567</v>
      </c>
      <c r="AV52" s="27" t="n">
        <v>423.65722417797</v>
      </c>
      <c r="AW52" s="27" t="n">
        <v>1475.441122222522</v>
      </c>
      <c r="AX52" s="27" t="n">
        <v>0</v>
      </c>
      <c r="AY52" s="27" t="n">
        <v>1338.801166399471</v>
      </c>
      <c r="AZ52" s="27" t="n">
        <v>432.9141180491532</v>
      </c>
      <c r="BA52" s="27" t="n">
        <v>3205.051861429415</v>
      </c>
      <c r="BB52" s="27">
        <f>SUM(C52:BA52)</f>
        <v/>
      </c>
      <c r="BC52" s="27" t="n">
        <v>0</v>
      </c>
      <c r="BD52" s="27" t="n">
        <v>0</v>
      </c>
      <c r="BE52" s="27" t="n">
        <v>37569.4589325319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1085.087872081674</v>
      </c>
      <c r="D53" s="29" t="n">
        <v>593.0210021859307</v>
      </c>
      <c r="E53" s="29" t="n">
        <v>896.7069246039388</v>
      </c>
      <c r="F53" s="29" t="n">
        <v>510.1487734892282</v>
      </c>
      <c r="G53" s="29" t="n">
        <v>347.7712179446796</v>
      </c>
      <c r="H53" s="29" t="n">
        <v>3986.861613163252</v>
      </c>
      <c r="I53" s="29" t="n">
        <v>174.7211634216999</v>
      </c>
      <c r="J53" s="29" t="n">
        <v>443.5366106101704</v>
      </c>
      <c r="K53" s="29" t="n">
        <v>500.0826478936148</v>
      </c>
      <c r="L53" s="29" t="n">
        <v>372.1655954522004</v>
      </c>
      <c r="M53" s="29" t="n">
        <v>260.5894848587425</v>
      </c>
      <c r="N53" s="29" t="n">
        <v>654.9183855401141</v>
      </c>
      <c r="O53" s="29" t="n">
        <v>159.6447731701911</v>
      </c>
      <c r="P53" s="29" t="n">
        <v>795.7170881665177</v>
      </c>
      <c r="Q53" s="29" t="n">
        <v>206.4450541022052</v>
      </c>
      <c r="R53" s="29" t="n">
        <v>894.7553203648681</v>
      </c>
      <c r="S53" s="29" t="n">
        <v>348.2007582091559</v>
      </c>
      <c r="T53" s="29" t="n">
        <v>274.5081927778317</v>
      </c>
      <c r="U53" s="29" t="n">
        <v>163.2885801882403</v>
      </c>
      <c r="V53" s="29" t="n">
        <v>243.1213250283273</v>
      </c>
      <c r="W53" s="29" t="n">
        <v>122.686460642933</v>
      </c>
      <c r="X53" s="29" t="n">
        <v>217.8929701191694</v>
      </c>
      <c r="Y53" s="29" t="n">
        <v>680.9084432181543</v>
      </c>
      <c r="Z53" s="29" t="n">
        <v>687.8095292064443</v>
      </c>
      <c r="AA53" s="29" t="n">
        <v>1233.62616803832</v>
      </c>
      <c r="AB53" s="29" t="n">
        <v>408.1264659243408</v>
      </c>
      <c r="AC53" s="29" t="n">
        <v>565.5064197183142</v>
      </c>
      <c r="AD53" s="29" t="n">
        <v>817.9765873307991</v>
      </c>
      <c r="AE53" s="29" t="n">
        <v>481.3466368190043</v>
      </c>
      <c r="AF53" s="29" t="n">
        <v>709.7139782592078</v>
      </c>
      <c r="AG53" s="29" t="n">
        <v>851.5413964526595</v>
      </c>
      <c r="AH53" s="29" t="n">
        <v>517.4823513135617</v>
      </c>
      <c r="AI53" s="29" t="n">
        <v>172.9235887609561</v>
      </c>
      <c r="AJ53" s="29" t="n">
        <v>307.4913378990171</v>
      </c>
      <c r="AK53" s="29" t="n">
        <v>1900.500991902462</v>
      </c>
      <c r="AL53" s="29" t="n">
        <v>2989.488189487533</v>
      </c>
      <c r="AM53" s="29" t="n">
        <v>6717.029355674795</v>
      </c>
      <c r="AN53" s="29" t="n">
        <v>3545.253344188259</v>
      </c>
      <c r="AO53" s="29" t="n">
        <v>2576.081790342922</v>
      </c>
      <c r="AP53" s="29" t="n">
        <v>13467.0729921819</v>
      </c>
      <c r="AQ53" s="29" t="n">
        <v>6810.512763932149</v>
      </c>
      <c r="AR53" s="29" t="n">
        <v>131.2711212520554</v>
      </c>
      <c r="AS53" s="29" t="n">
        <v>840.9321787082322</v>
      </c>
      <c r="AT53" s="29" t="n">
        <v>2764.056390722085</v>
      </c>
      <c r="AU53" s="29" t="n">
        <v>404.0589245736382</v>
      </c>
      <c r="AV53" s="29" t="n">
        <v>1363.744984986969</v>
      </c>
      <c r="AW53" s="29" t="n">
        <v>1705.817737383223</v>
      </c>
      <c r="AX53" s="29" t="n">
        <v>0</v>
      </c>
      <c r="AY53" s="29" t="n">
        <v>72.35590249756035</v>
      </c>
      <c r="AZ53" s="29" t="n">
        <v>56.19158919615529</v>
      </c>
      <c r="BA53" s="29" t="n">
        <v>13474.06323844756</v>
      </c>
      <c r="BB53" s="29">
        <f>SUM(C53:BA53)</f>
        <v/>
      </c>
      <c r="BC53" s="29" t="n">
        <v>0</v>
      </c>
      <c r="BD53" s="29" t="n">
        <v>0</v>
      </c>
      <c r="BE53" s="29" t="n">
        <v>29477.94918105789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2.791656317174652</v>
      </c>
      <c r="D54" s="27" t="n">
        <v>0.9349693410497192</v>
      </c>
      <c r="E54" s="27" t="n">
        <v>44.90487663803593</v>
      </c>
      <c r="F54" s="27" t="n">
        <v>5.222994605620469</v>
      </c>
      <c r="G54" s="27" t="n">
        <v>10.60969672885173</v>
      </c>
      <c r="H54" s="27" t="n">
        <v>255.7559928782364</v>
      </c>
      <c r="I54" s="27" t="n">
        <v>9.558276790387406</v>
      </c>
      <c r="J54" s="27" t="n">
        <v>102.8246213614342</v>
      </c>
      <c r="K54" s="27" t="n">
        <v>140.7365744173335</v>
      </c>
      <c r="L54" s="27" t="n">
        <v>35.02128135455051</v>
      </c>
      <c r="M54" s="27" t="n">
        <v>10.4654550931257</v>
      </c>
      <c r="N54" s="27" t="n">
        <v>32.00261035408095</v>
      </c>
      <c r="O54" s="27" t="n">
        <v>15.53066684568912</v>
      </c>
      <c r="P54" s="27" t="n">
        <v>32.69358277508488</v>
      </c>
      <c r="Q54" s="27" t="n">
        <v>23.18636779756267</v>
      </c>
      <c r="R54" s="27" t="n">
        <v>34.17463127143774</v>
      </c>
      <c r="S54" s="27" t="n">
        <v>9.224275404567372</v>
      </c>
      <c r="T54" s="27" t="n">
        <v>46.61632412368419</v>
      </c>
      <c r="U54" s="27" t="n">
        <v>8.640818074563132</v>
      </c>
      <c r="V54" s="27" t="n">
        <v>34.14808862688955</v>
      </c>
      <c r="W54" s="27" t="n">
        <v>5.858028748499337</v>
      </c>
      <c r="X54" s="27" t="n">
        <v>12.92090681389926</v>
      </c>
      <c r="Y54" s="27" t="n">
        <v>92.55954775222766</v>
      </c>
      <c r="Z54" s="27" t="n">
        <v>45.22386161137454</v>
      </c>
      <c r="AA54" s="27" t="n">
        <v>87.84327716339799</v>
      </c>
      <c r="AB54" s="27" t="n">
        <v>2.994092464185515</v>
      </c>
      <c r="AC54" s="27" t="n">
        <v>45.50727400888569</v>
      </c>
      <c r="AD54" s="27" t="n">
        <v>51.94576888834126</v>
      </c>
      <c r="AE54" s="27" t="n">
        <v>24.60923953784023</v>
      </c>
      <c r="AF54" s="27" t="n">
        <v>63.44850601956142</v>
      </c>
      <c r="AG54" s="27" t="n">
        <v>22.62526453023728</v>
      </c>
      <c r="AH54" s="27" t="n">
        <v>52.49692942292903</v>
      </c>
      <c r="AI54" s="27" t="n">
        <v>8.112230418289412</v>
      </c>
      <c r="AJ54" s="27" t="n">
        <v>48.19743352932558</v>
      </c>
      <c r="AK54" s="27" t="n">
        <v>238.1476558968328</v>
      </c>
      <c r="AL54" s="27" t="n">
        <v>336.0959153668345</v>
      </c>
      <c r="AM54" s="27" t="n">
        <v>6229.033826390063</v>
      </c>
      <c r="AN54" s="27" t="n">
        <v>721.8128151873697</v>
      </c>
      <c r="AO54" s="27" t="n">
        <v>952.408343348662</v>
      </c>
      <c r="AP54" s="27" t="n">
        <v>1000.338865652601</v>
      </c>
      <c r="AQ54" s="27" t="n">
        <v>370.1875184649931</v>
      </c>
      <c r="AR54" s="27" t="n">
        <v>82.05164903529032</v>
      </c>
      <c r="AS54" s="27" t="n">
        <v>959.5433686850746</v>
      </c>
      <c r="AT54" s="27" t="n">
        <v>1723.808214298808</v>
      </c>
      <c r="AU54" s="27" t="n">
        <v>791.0126715609396</v>
      </c>
      <c r="AV54" s="27" t="n">
        <v>367.3427187086825</v>
      </c>
      <c r="AW54" s="27" t="n">
        <v>1546.880740280367</v>
      </c>
      <c r="AX54" s="27" t="n">
        <v>0</v>
      </c>
      <c r="AY54" s="27" t="n">
        <v>116.760908400846</v>
      </c>
      <c r="AZ54" s="27" t="n">
        <v>64.69327725678386</v>
      </c>
      <c r="BA54" s="27" t="n">
        <v>517.0978155308868</v>
      </c>
      <c r="BB54" s="27">
        <f>SUM(C54:BA54)</f>
        <v/>
      </c>
      <c r="BC54" s="27" t="n">
        <v>0</v>
      </c>
      <c r="BD54" s="27" t="n">
        <v>0</v>
      </c>
      <c r="BE54" s="27" t="n">
        <v>120194.2293204609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1.798175362339661</v>
      </c>
      <c r="D55" s="29" t="n">
        <v>0.04484244018429483</v>
      </c>
      <c r="E55" s="29" t="n">
        <v>13.22874627719801</v>
      </c>
      <c r="F55" s="29" t="n">
        <v>0.5774760984495668</v>
      </c>
      <c r="G55" s="29" t="n">
        <v>1.054429928555415</v>
      </c>
      <c r="H55" s="29" t="n">
        <v>9.012376399093259</v>
      </c>
      <c r="I55" s="29" t="n">
        <v>0.2840370789936799</v>
      </c>
      <c r="J55" s="29" t="n">
        <v>6.388222289495658</v>
      </c>
      <c r="K55" s="29" t="n">
        <v>0.9851578073896567</v>
      </c>
      <c r="L55" s="29" t="n">
        <v>1.23711521061223</v>
      </c>
      <c r="M55" s="29" t="n">
        <v>0.3104467611508796</v>
      </c>
      <c r="N55" s="29" t="n">
        <v>1.467165966760042</v>
      </c>
      <c r="O55" s="29" t="n">
        <v>6.721554042942031</v>
      </c>
      <c r="P55" s="29" t="n">
        <v>0.3856849708227233</v>
      </c>
      <c r="Q55" s="29" t="n">
        <v>0.2294934554053088</v>
      </c>
      <c r="R55" s="29" t="n">
        <v>0.4391298580184572</v>
      </c>
      <c r="S55" s="29" t="n">
        <v>0.4844402290697338</v>
      </c>
      <c r="T55" s="29" t="n">
        <v>1.017429724771652</v>
      </c>
      <c r="U55" s="29" t="n">
        <v>0.3383465161436021</v>
      </c>
      <c r="V55" s="29" t="n">
        <v>0.07451644818199066</v>
      </c>
      <c r="W55" s="29" t="n">
        <v>0.2113501744092487</v>
      </c>
      <c r="X55" s="29" t="n">
        <v>0.7535034674627116</v>
      </c>
      <c r="Y55" s="29" t="n">
        <v>1.682156657269326</v>
      </c>
      <c r="Z55" s="29" t="n">
        <v>2.309897044138227</v>
      </c>
      <c r="AA55" s="29" t="n">
        <v>11.25803467940123</v>
      </c>
      <c r="AB55" s="29" t="n">
        <v>1.805196385824906</v>
      </c>
      <c r="AC55" s="29" t="n">
        <v>9.510922950115528</v>
      </c>
      <c r="AD55" s="29" t="n">
        <v>8.80425893106977</v>
      </c>
      <c r="AE55" s="29" t="n">
        <v>19.15704355782755</v>
      </c>
      <c r="AF55" s="29" t="n">
        <v>150.4926888546248</v>
      </c>
      <c r="AG55" s="29" t="n">
        <v>0.8478968579790447</v>
      </c>
      <c r="AH55" s="29" t="n">
        <v>0.04328326241118379</v>
      </c>
      <c r="AI55" s="29" t="n">
        <v>0.08619490352824319</v>
      </c>
      <c r="AJ55" s="29" t="n">
        <v>2.098342536151204</v>
      </c>
      <c r="AK55" s="29" t="n">
        <v>151.4778029939166</v>
      </c>
      <c r="AL55" s="29" t="n">
        <v>40.34331144093537</v>
      </c>
      <c r="AM55" s="29" t="n">
        <v>610.4180369783693</v>
      </c>
      <c r="AN55" s="29" t="n">
        <v>160.6739914739753</v>
      </c>
      <c r="AO55" s="29" t="n">
        <v>1631.29826300181</v>
      </c>
      <c r="AP55" s="29" t="n">
        <v>331.0422292315108</v>
      </c>
      <c r="AQ55" s="29" t="n">
        <v>22.89577728157176</v>
      </c>
      <c r="AR55" s="29" t="n">
        <v>41.12844194062777</v>
      </c>
      <c r="AS55" s="29" t="n">
        <v>36.47171247683496</v>
      </c>
      <c r="AT55" s="29" t="n">
        <v>457.6477596415451</v>
      </c>
      <c r="AU55" s="29" t="n">
        <v>133.5918569395216</v>
      </c>
      <c r="AV55" s="29" t="n">
        <v>195.5881222034801</v>
      </c>
      <c r="AW55" s="29" t="n">
        <v>8.202894333936042</v>
      </c>
      <c r="AX55" s="29" t="n">
        <v>0</v>
      </c>
      <c r="AY55" s="29" t="n">
        <v>11.58788149233559</v>
      </c>
      <c r="AZ55" s="29" t="n">
        <v>34.48143157073287</v>
      </c>
      <c r="BA55" s="29" t="n">
        <v>177.9783709617635</v>
      </c>
      <c r="BB55" s="29">
        <f>SUM(C55:BA55)</f>
        <v/>
      </c>
      <c r="BC55" s="29" t="n">
        <v>0</v>
      </c>
      <c r="BD55" s="29" t="n">
        <v>0</v>
      </c>
      <c r="BE55" s="29" t="n">
        <v>2735.834892697528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2.873246861032399</v>
      </c>
      <c r="D56" s="27" t="n">
        <v>0.5739952810411971</v>
      </c>
      <c r="E56" s="27" t="n">
        <v>58.8723777274084</v>
      </c>
      <c r="F56" s="27" t="n">
        <v>14.23585398227578</v>
      </c>
      <c r="G56" s="27" t="n">
        <v>8.792546240889299</v>
      </c>
      <c r="H56" s="27" t="n">
        <v>182.8634349873312</v>
      </c>
      <c r="I56" s="27" t="n">
        <v>12.18160654237012</v>
      </c>
      <c r="J56" s="27" t="n">
        <v>17.54740196903998</v>
      </c>
      <c r="K56" s="27" t="n">
        <v>12.74314673620165</v>
      </c>
      <c r="L56" s="27" t="n">
        <v>14.54716602429298</v>
      </c>
      <c r="M56" s="27" t="n">
        <v>3.679285324159046</v>
      </c>
      <c r="N56" s="27" t="n">
        <v>23.56066135731915</v>
      </c>
      <c r="O56" s="27" t="n">
        <v>6.815355235729961</v>
      </c>
      <c r="P56" s="27" t="n">
        <v>9.26008256061308</v>
      </c>
      <c r="Q56" s="27" t="n">
        <v>3.185500922134996</v>
      </c>
      <c r="R56" s="27" t="n">
        <v>50.1612406573012</v>
      </c>
      <c r="S56" s="27" t="n">
        <v>6.048141593670278</v>
      </c>
      <c r="T56" s="27" t="n">
        <v>81.79330134718212</v>
      </c>
      <c r="U56" s="27" t="n">
        <v>24.16186432814285</v>
      </c>
      <c r="V56" s="27" t="n">
        <v>10.15621001159926</v>
      </c>
      <c r="W56" s="27" t="n">
        <v>10.56948401716363</v>
      </c>
      <c r="X56" s="27" t="n">
        <v>33.0273007563321</v>
      </c>
      <c r="Y56" s="27" t="n">
        <v>34.26962526274953</v>
      </c>
      <c r="Z56" s="27" t="n">
        <v>25.75552529043552</v>
      </c>
      <c r="AA56" s="27" t="n">
        <v>71.90750354375716</v>
      </c>
      <c r="AB56" s="27" t="n">
        <v>19.96990093925548</v>
      </c>
      <c r="AC56" s="27" t="n">
        <v>41.67261075435586</v>
      </c>
      <c r="AD56" s="27" t="n">
        <v>102.9414374334642</v>
      </c>
      <c r="AE56" s="27" t="n">
        <v>31.0075327286935</v>
      </c>
      <c r="AF56" s="27" t="n">
        <v>58.39502658572933</v>
      </c>
      <c r="AG56" s="27" t="n">
        <v>79.2591094750216</v>
      </c>
      <c r="AH56" s="27" t="n">
        <v>27.04045301911536</v>
      </c>
      <c r="AI56" s="27" t="n">
        <v>7.858648201862745</v>
      </c>
      <c r="AJ56" s="27" t="n">
        <v>17.43795059438206</v>
      </c>
      <c r="AK56" s="27" t="n">
        <v>76.5076774689507</v>
      </c>
      <c r="AL56" s="27" t="n">
        <v>332.0774803339425</v>
      </c>
      <c r="AM56" s="27" t="n">
        <v>659.7099434224876</v>
      </c>
      <c r="AN56" s="27" t="n">
        <v>332.2760089779933</v>
      </c>
      <c r="AO56" s="27" t="n">
        <v>243.2267932918483</v>
      </c>
      <c r="AP56" s="27" t="n">
        <v>557.350378283835</v>
      </c>
      <c r="AQ56" s="27" t="n">
        <v>21.6358841899695</v>
      </c>
      <c r="AR56" s="27" t="n">
        <v>17.53245186502687</v>
      </c>
      <c r="AS56" s="27" t="n">
        <v>42.76541783542958</v>
      </c>
      <c r="AT56" s="27" t="n">
        <v>473.003127076926</v>
      </c>
      <c r="AU56" s="27" t="n">
        <v>108.8305776020889</v>
      </c>
      <c r="AV56" s="27" t="n">
        <v>577.1584805099103</v>
      </c>
      <c r="AW56" s="27" t="n">
        <v>4684.464475840405</v>
      </c>
      <c r="AX56" s="27" t="n">
        <v>0</v>
      </c>
      <c r="AY56" s="27" t="n">
        <v>195.3281098403244</v>
      </c>
      <c r="AZ56" s="27" t="n">
        <v>489.3400851477477</v>
      </c>
      <c r="BA56" s="27" t="n">
        <v>2051.707158283199</v>
      </c>
      <c r="BB56" s="27">
        <f>SUM(C56:BA56)</f>
        <v/>
      </c>
      <c r="BC56" s="27" t="n">
        <v>0</v>
      </c>
      <c r="BD56" s="27" t="n">
        <v>0</v>
      </c>
      <c r="BE56" s="27" t="n">
        <v>31971.86824234471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193.6449691262819</v>
      </c>
      <c r="D57" s="29" t="n">
        <v>115.3539313071161</v>
      </c>
      <c r="E57" s="29" t="n">
        <v>2877.211893234499</v>
      </c>
      <c r="F57" s="29" t="n">
        <v>450.7446554656185</v>
      </c>
      <c r="G57" s="29" t="n">
        <v>456.9100570569152</v>
      </c>
      <c r="H57" s="29" t="n">
        <v>5794.597278729959</v>
      </c>
      <c r="I57" s="29" t="n">
        <v>425.9194973232601</v>
      </c>
      <c r="J57" s="29" t="n">
        <v>269.3264506928772</v>
      </c>
      <c r="K57" s="29" t="n">
        <v>294.0862200315684</v>
      </c>
      <c r="L57" s="29" t="n">
        <v>435.6122770766301</v>
      </c>
      <c r="M57" s="29" t="n">
        <v>130.0846183667468</v>
      </c>
      <c r="N57" s="29" t="n">
        <v>706.3714188631061</v>
      </c>
      <c r="O57" s="29" t="n">
        <v>112.8990520863148</v>
      </c>
      <c r="P57" s="29" t="n">
        <v>998.4877595258216</v>
      </c>
      <c r="Q57" s="29" t="n">
        <v>126.0061707768937</v>
      </c>
      <c r="R57" s="29" t="n">
        <v>1047.286239040473</v>
      </c>
      <c r="S57" s="29" t="n">
        <v>220.553572753732</v>
      </c>
      <c r="T57" s="29" t="n">
        <v>1434.015513647114</v>
      </c>
      <c r="U57" s="29" t="n">
        <v>525.9083282476495</v>
      </c>
      <c r="V57" s="29" t="n">
        <v>659.3294743148579</v>
      </c>
      <c r="W57" s="29" t="n">
        <v>383.4108435702851</v>
      </c>
      <c r="X57" s="29" t="n">
        <v>373.8773995718133</v>
      </c>
      <c r="Y57" s="29" t="n">
        <v>808.467069690819</v>
      </c>
      <c r="Z57" s="29" t="n">
        <v>859.4197771813925</v>
      </c>
      <c r="AA57" s="29" t="n">
        <v>779.7597628776865</v>
      </c>
      <c r="AB57" s="29" t="n">
        <v>342.6641009568485</v>
      </c>
      <c r="AC57" s="29" t="n">
        <v>568.5188668636334</v>
      </c>
      <c r="AD57" s="29" t="n">
        <v>1198.990622257851</v>
      </c>
      <c r="AE57" s="29" t="n">
        <v>873.8442947403877</v>
      </c>
      <c r="AF57" s="29" t="n">
        <v>1658.397048656796</v>
      </c>
      <c r="AG57" s="29" t="n">
        <v>1832.663273197115</v>
      </c>
      <c r="AH57" s="29" t="n">
        <v>643.226360078166</v>
      </c>
      <c r="AI57" s="29" t="n">
        <v>169.7353642747756</v>
      </c>
      <c r="AJ57" s="29" t="n">
        <v>276.219850473188</v>
      </c>
      <c r="AK57" s="29" t="n">
        <v>2322.36780001699</v>
      </c>
      <c r="AL57" s="29" t="n">
        <v>3870.202996187584</v>
      </c>
      <c r="AM57" s="29" t="n">
        <v>11311.83669626177</v>
      </c>
      <c r="AN57" s="29" t="n">
        <v>5022.304881811227</v>
      </c>
      <c r="AO57" s="29" t="n">
        <v>7188.370310470153</v>
      </c>
      <c r="AP57" s="29" t="n">
        <v>6889.193471092862</v>
      </c>
      <c r="AQ57" s="29" t="n">
        <v>536.1892465717037</v>
      </c>
      <c r="AR57" s="29" t="n">
        <v>50.60921383086387</v>
      </c>
      <c r="AS57" s="29" t="n">
        <v>716.1013083116371</v>
      </c>
      <c r="AT57" s="29" t="n">
        <v>7922.913670139174</v>
      </c>
      <c r="AU57" s="29" t="n">
        <v>1585.573723828857</v>
      </c>
      <c r="AV57" s="29" t="n">
        <v>597.4996724128546</v>
      </c>
      <c r="AW57" s="29" t="n">
        <v>2992.084335406151</v>
      </c>
      <c r="AX57" s="29" t="n">
        <v>0</v>
      </c>
      <c r="AY57" s="29" t="n">
        <v>1372.673484538049</v>
      </c>
      <c r="AZ57" s="29" t="n">
        <v>1503.495685266705</v>
      </c>
      <c r="BA57" s="29" t="n">
        <v>5974.843285565823</v>
      </c>
      <c r="BB57" s="29">
        <f>SUM(C57:BA57)</f>
        <v/>
      </c>
      <c r="BC57" s="29" t="n">
        <v>0</v>
      </c>
      <c r="BD57" s="29" t="n">
        <v>0</v>
      </c>
      <c r="BE57" s="29" t="n">
        <v>14088.97209348855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1.182968419269961</v>
      </c>
      <c r="D58" s="27" t="n">
        <v>0.7172605476075691</v>
      </c>
      <c r="E58" s="27" t="n">
        <v>14.05235086991774</v>
      </c>
      <c r="F58" s="27" t="n">
        <v>23.65716474068264</v>
      </c>
      <c r="G58" s="27" t="n">
        <v>7.080783030106181</v>
      </c>
      <c r="H58" s="27" t="n">
        <v>21.4374444822948</v>
      </c>
      <c r="I58" s="27" t="n">
        <v>1.163134791730803</v>
      </c>
      <c r="J58" s="27" t="n">
        <v>1.242278273839383</v>
      </c>
      <c r="K58" s="27" t="n">
        <v>0.8197490124610676</v>
      </c>
      <c r="L58" s="27" t="n">
        <v>1.190682269351156</v>
      </c>
      <c r="M58" s="27" t="n">
        <v>0.3509532778032031</v>
      </c>
      <c r="N58" s="27" t="n">
        <v>10.9477185046841</v>
      </c>
      <c r="O58" s="27" t="n">
        <v>0.3010063567348114</v>
      </c>
      <c r="P58" s="27" t="n">
        <v>4.361945441312328</v>
      </c>
      <c r="Q58" s="27" t="n">
        <v>0.3447596350527187</v>
      </c>
      <c r="R58" s="27" t="n">
        <v>5.854489615507013</v>
      </c>
      <c r="S58" s="27" t="n">
        <v>0.5999784940700252</v>
      </c>
      <c r="T58" s="27" t="n">
        <v>3.915710108136506</v>
      </c>
      <c r="U58" s="27" t="n">
        <v>6.83641723902533</v>
      </c>
      <c r="V58" s="27" t="n">
        <v>1.803646640917841</v>
      </c>
      <c r="W58" s="27" t="n">
        <v>2.183551036415036</v>
      </c>
      <c r="X58" s="27" t="n">
        <v>1.017957782972934</v>
      </c>
      <c r="Y58" s="27" t="n">
        <v>3.076596200042886</v>
      </c>
      <c r="Z58" s="27" t="n">
        <v>2.334678473766257</v>
      </c>
      <c r="AA58" s="27" t="n">
        <v>68.02357746888248</v>
      </c>
      <c r="AB58" s="27" t="n">
        <v>17.71065597650321</v>
      </c>
      <c r="AC58" s="27" t="n">
        <v>15.41403533467648</v>
      </c>
      <c r="AD58" s="27" t="n">
        <v>10.3995564789537</v>
      </c>
      <c r="AE58" s="27" t="n">
        <v>2.379291563775811</v>
      </c>
      <c r="AF58" s="27" t="n">
        <v>5.038836012894867</v>
      </c>
      <c r="AG58" s="27" t="n">
        <v>24.19547276364852</v>
      </c>
      <c r="AH58" s="27" t="n">
        <v>2.862401614588821</v>
      </c>
      <c r="AI58" s="27" t="n">
        <v>0.4607084823011372</v>
      </c>
      <c r="AJ58" s="27" t="n">
        <v>0.7578444461830791</v>
      </c>
      <c r="AK58" s="27" t="n">
        <v>26.6135751808987</v>
      </c>
      <c r="AL58" s="27" t="n">
        <v>11.3451842073684</v>
      </c>
      <c r="AM58" s="27" t="n">
        <v>155.9196897721783</v>
      </c>
      <c r="AN58" s="27" t="n">
        <v>290.4789461192266</v>
      </c>
      <c r="AO58" s="27" t="n">
        <v>33.42145925018167</v>
      </c>
      <c r="AP58" s="27" t="n">
        <v>328.2356800938713</v>
      </c>
      <c r="AQ58" s="27" t="n">
        <v>1.525737914354991</v>
      </c>
      <c r="AR58" s="27" t="n">
        <v>96.71532705317553</v>
      </c>
      <c r="AS58" s="27" t="n">
        <v>2.467011605795055</v>
      </c>
      <c r="AT58" s="27" t="n">
        <v>975.3274448688936</v>
      </c>
      <c r="AU58" s="27" t="n">
        <v>4.461302447795807</v>
      </c>
      <c r="AV58" s="27" t="n">
        <v>1.688151221247312</v>
      </c>
      <c r="AW58" s="27" t="n">
        <v>46.10870765656085</v>
      </c>
      <c r="AX58" s="27" t="n">
        <v>0</v>
      </c>
      <c r="AY58" s="27" t="n">
        <v>229.4526994466677</v>
      </c>
      <c r="AZ58" s="27" t="n">
        <v>79.77152708997968</v>
      </c>
      <c r="BA58" s="27" t="n">
        <v>140.7885526363527</v>
      </c>
      <c r="BB58" s="27">
        <f>SUM(C58:BA58)</f>
        <v/>
      </c>
      <c r="BC58" s="27" t="n">
        <v>0</v>
      </c>
      <c r="BD58" s="27" t="n">
        <v>0</v>
      </c>
      <c r="BE58" s="27" t="n">
        <v>20664.51802447876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0.7492111548762792</v>
      </c>
      <c r="D59" s="29" t="n">
        <v>0.2303163711013647</v>
      </c>
      <c r="E59" s="29" t="n">
        <v>1.260682321279714</v>
      </c>
      <c r="F59" s="29" t="n">
        <v>2.770512072269849</v>
      </c>
      <c r="G59" s="29" t="n">
        <v>1.177066707516824</v>
      </c>
      <c r="H59" s="29" t="n">
        <v>41.86104377344402</v>
      </c>
      <c r="I59" s="29" t="n">
        <v>1.480495092963911</v>
      </c>
      <c r="J59" s="29" t="n">
        <v>5.712028043660165</v>
      </c>
      <c r="K59" s="29" t="n">
        <v>6.525319187392515</v>
      </c>
      <c r="L59" s="29" t="n">
        <v>6.219334844831082</v>
      </c>
      <c r="M59" s="29" t="n">
        <v>1.585982025300269</v>
      </c>
      <c r="N59" s="29" t="n">
        <v>7.260458837326973</v>
      </c>
      <c r="O59" s="29" t="n">
        <v>0.6290817748239091</v>
      </c>
      <c r="P59" s="29" t="n">
        <v>2.326236456250572</v>
      </c>
      <c r="Q59" s="29" t="n">
        <v>1.391350910197961</v>
      </c>
      <c r="R59" s="29" t="n">
        <v>2.597287122699173</v>
      </c>
      <c r="S59" s="29" t="n">
        <v>2.377384368587092</v>
      </c>
      <c r="T59" s="29" t="n">
        <v>5.467347401830835</v>
      </c>
      <c r="U59" s="29" t="n">
        <v>1.726946917410978</v>
      </c>
      <c r="V59" s="29" t="n">
        <v>0.8834129317577911</v>
      </c>
      <c r="W59" s="29" t="n">
        <v>1.090425962853945</v>
      </c>
      <c r="X59" s="29" t="n">
        <v>3.680856066608628</v>
      </c>
      <c r="Y59" s="29" t="n">
        <v>9.105735451353487</v>
      </c>
      <c r="Z59" s="29" t="n">
        <v>7.069792315892611</v>
      </c>
      <c r="AA59" s="29" t="n">
        <v>9.816711111738686</v>
      </c>
      <c r="AB59" s="29" t="n">
        <v>2.553077437091694</v>
      </c>
      <c r="AC59" s="29" t="n">
        <v>5.632366406937866</v>
      </c>
      <c r="AD59" s="29" t="n">
        <v>16.94536221734905</v>
      </c>
      <c r="AE59" s="29" t="n">
        <v>4.499041592282566</v>
      </c>
      <c r="AF59" s="29" t="n">
        <v>8.055541808552309</v>
      </c>
      <c r="AG59" s="29" t="n">
        <v>2.01920183861984</v>
      </c>
      <c r="AH59" s="29" t="n">
        <v>0.9946591043434456</v>
      </c>
      <c r="AI59" s="29" t="n">
        <v>0.5259107625544344</v>
      </c>
      <c r="AJ59" s="29" t="n">
        <v>2.505781445850908</v>
      </c>
      <c r="AK59" s="29" t="n">
        <v>7.212789271920705</v>
      </c>
      <c r="AL59" s="29" t="n">
        <v>7.70326007183625</v>
      </c>
      <c r="AM59" s="29" t="n">
        <v>122.1729818983216</v>
      </c>
      <c r="AN59" s="29" t="n">
        <v>36.38551581258729</v>
      </c>
      <c r="AO59" s="29" t="n">
        <v>36.90445805026089</v>
      </c>
      <c r="AP59" s="29" t="n">
        <v>15.65194670789728</v>
      </c>
      <c r="AQ59" s="29" t="n">
        <v>5.487859533471883</v>
      </c>
      <c r="AR59" s="29" t="n">
        <v>1.224812115373456</v>
      </c>
      <c r="AS59" s="29" t="n">
        <v>14.31278707723193</v>
      </c>
      <c r="AT59" s="29" t="n">
        <v>32.83918644200494</v>
      </c>
      <c r="AU59" s="29" t="n">
        <v>11.68892335736815</v>
      </c>
      <c r="AV59" s="29" t="n">
        <v>4718.572680678684</v>
      </c>
      <c r="AW59" s="29" t="n">
        <v>23.24564841505921</v>
      </c>
      <c r="AX59" s="29" t="n">
        <v>0</v>
      </c>
      <c r="AY59" s="29" t="n">
        <v>4.927996810604225</v>
      </c>
      <c r="AZ59" s="29" t="n">
        <v>7.219584181889944</v>
      </c>
      <c r="BA59" s="29" t="n">
        <v>26.85824904558906</v>
      </c>
      <c r="BB59" s="29">
        <f>SUM(C59:BA59)</f>
        <v/>
      </c>
      <c r="BC59" s="29" t="n">
        <v>0</v>
      </c>
      <c r="BD59" s="29" t="n">
        <v>0</v>
      </c>
      <c r="BE59" s="29" t="n">
        <v>37856.48852796648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42.04163883029626</v>
      </c>
      <c r="D60" s="27" t="n">
        <v>17.92844054554529</v>
      </c>
      <c r="E60" s="27" t="n">
        <v>221.0094242251323</v>
      </c>
      <c r="F60" s="27" t="n">
        <v>100.5180525249743</v>
      </c>
      <c r="G60" s="27" t="n">
        <v>50.07228638923057</v>
      </c>
      <c r="H60" s="27" t="n">
        <v>669.6666303274395</v>
      </c>
      <c r="I60" s="27" t="n">
        <v>37.34977364527032</v>
      </c>
      <c r="J60" s="27" t="n">
        <v>71.88783232350092</v>
      </c>
      <c r="K60" s="27" t="n">
        <v>72.87701312235757</v>
      </c>
      <c r="L60" s="27" t="n">
        <v>63.63627384807228</v>
      </c>
      <c r="M60" s="27" t="n">
        <v>39.06006116692009</v>
      </c>
      <c r="N60" s="27" t="n">
        <v>213.0004754024544</v>
      </c>
      <c r="O60" s="27" t="n">
        <v>30.8440614984908</v>
      </c>
      <c r="P60" s="27" t="n">
        <v>105.7199748471653</v>
      </c>
      <c r="Q60" s="27" t="n">
        <v>83.75465696108553</v>
      </c>
      <c r="R60" s="27" t="n">
        <v>133.2327727561792</v>
      </c>
      <c r="S60" s="27" t="n">
        <v>18.42798174551644</v>
      </c>
      <c r="T60" s="27" t="n">
        <v>170.5516877255275</v>
      </c>
      <c r="U60" s="27" t="n">
        <v>84.16879361521431</v>
      </c>
      <c r="V60" s="27" t="n">
        <v>69.02459071672388</v>
      </c>
      <c r="W60" s="27" t="n">
        <v>31.38510095164922</v>
      </c>
      <c r="X60" s="27" t="n">
        <v>163.8941927018591</v>
      </c>
      <c r="Y60" s="27" t="n">
        <v>268.7210829863211</v>
      </c>
      <c r="Z60" s="27" t="n">
        <v>135.0217231021371</v>
      </c>
      <c r="AA60" s="27" t="n">
        <v>163.4659794418832</v>
      </c>
      <c r="AB60" s="27" t="n">
        <v>51.95797210504662</v>
      </c>
      <c r="AC60" s="27" t="n">
        <v>122.1018762545808</v>
      </c>
      <c r="AD60" s="27" t="n">
        <v>209.5017805741542</v>
      </c>
      <c r="AE60" s="27" t="n">
        <v>115.7695006019892</v>
      </c>
      <c r="AF60" s="27" t="n">
        <v>187.9327549444953</v>
      </c>
      <c r="AG60" s="27" t="n">
        <v>330.009368480795</v>
      </c>
      <c r="AH60" s="27" t="n">
        <v>131.3797676714791</v>
      </c>
      <c r="AI60" s="27" t="n">
        <v>37.44310714962265</v>
      </c>
      <c r="AJ60" s="27" t="n">
        <v>79.4844787358808</v>
      </c>
      <c r="AK60" s="27" t="n">
        <v>351.2083525750509</v>
      </c>
      <c r="AL60" s="27" t="n">
        <v>521.0461963967466</v>
      </c>
      <c r="AM60" s="27" t="n">
        <v>2167.714280083717</v>
      </c>
      <c r="AN60" s="27" t="n">
        <v>1201.563956844004</v>
      </c>
      <c r="AO60" s="27" t="n">
        <v>1965.080316504092</v>
      </c>
      <c r="AP60" s="27" t="n">
        <v>1042.534088058064</v>
      </c>
      <c r="AQ60" s="27" t="n">
        <v>225.6012265997988</v>
      </c>
      <c r="AR60" s="27" t="n">
        <v>24.24271496653943</v>
      </c>
      <c r="AS60" s="27" t="n">
        <v>360.8171034414103</v>
      </c>
      <c r="AT60" s="27" t="n">
        <v>1110.823654993852</v>
      </c>
      <c r="AU60" s="27" t="n">
        <v>462.3915716897143</v>
      </c>
      <c r="AV60" s="27" t="n">
        <v>1029.151351428075</v>
      </c>
      <c r="AW60" s="27" t="n">
        <v>2105.339403894594</v>
      </c>
      <c r="AX60" s="27" t="n">
        <v>0</v>
      </c>
      <c r="AY60" s="27" t="n">
        <v>404.0927709874582</v>
      </c>
      <c r="AZ60" s="27" t="n">
        <v>411.7676168997722</v>
      </c>
      <c r="BA60" s="27" t="n">
        <v>1014.599337943964</v>
      </c>
      <c r="BB60" s="27">
        <f>SUM(C60:BA60)</f>
        <v/>
      </c>
      <c r="BC60" s="27" t="n">
        <v>0</v>
      </c>
      <c r="BD60" s="27" t="n">
        <v>0</v>
      </c>
      <c r="BE60" s="27" t="n">
        <v>50281.93416156895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12116.6572594356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9.49648084028402</v>
      </c>
      <c r="D62" s="27" t="n">
        <v>5.985432509466972</v>
      </c>
      <c r="E62" s="27" t="n">
        <v>140.1655618557542</v>
      </c>
      <c r="F62" s="27" t="n">
        <v>21.78534960317816</v>
      </c>
      <c r="G62" s="27" t="n">
        <v>22.10327609202067</v>
      </c>
      <c r="H62" s="27" t="n">
        <v>284.2090971057416</v>
      </c>
      <c r="I62" s="27" t="n">
        <v>20.81412434066083</v>
      </c>
      <c r="J62" s="27" t="n">
        <v>13.00028846838978</v>
      </c>
      <c r="K62" s="27" t="n">
        <v>14.11950315688585</v>
      </c>
      <c r="L62" s="27" t="n">
        <v>21.20536372341591</v>
      </c>
      <c r="M62" s="27" t="n">
        <v>6.252818051615995</v>
      </c>
      <c r="N62" s="27" t="n">
        <v>34.35633230762311</v>
      </c>
      <c r="O62" s="27" t="n">
        <v>5.684558333407479</v>
      </c>
      <c r="P62" s="27" t="n">
        <v>48.74488743273305</v>
      </c>
      <c r="Q62" s="27" t="n">
        <v>6.087628492020957</v>
      </c>
      <c r="R62" s="27" t="n">
        <v>51.11140824762123</v>
      </c>
      <c r="S62" s="27" t="n">
        <v>10.71890230396787</v>
      </c>
      <c r="T62" s="27" t="n">
        <v>70.35908989941669</v>
      </c>
      <c r="U62" s="27" t="n">
        <v>25.76760243424321</v>
      </c>
      <c r="V62" s="27" t="n">
        <v>32.19491194764151</v>
      </c>
      <c r="W62" s="27" t="n">
        <v>18.72425076038946</v>
      </c>
      <c r="X62" s="27" t="n">
        <v>18.20409337423047</v>
      </c>
      <c r="Y62" s="27" t="n">
        <v>39.33229249325012</v>
      </c>
      <c r="Z62" s="27" t="n">
        <v>41.67462329398992</v>
      </c>
      <c r="AA62" s="27" t="n">
        <v>37.48410309343136</v>
      </c>
      <c r="AB62" s="27" t="n">
        <v>16.6809803895513</v>
      </c>
      <c r="AC62" s="27" t="n">
        <v>27.78389518638692</v>
      </c>
      <c r="AD62" s="27" t="n">
        <v>54.84566097339562</v>
      </c>
      <c r="AE62" s="27" t="n">
        <v>42.56073896104319</v>
      </c>
      <c r="AF62" s="27" t="n">
        <v>81.01582309426202</v>
      </c>
      <c r="AG62" s="27" t="n">
        <v>89.59822633649704</v>
      </c>
      <c r="AH62" s="27" t="n">
        <v>31.32561776656534</v>
      </c>
      <c r="AI62" s="27" t="n">
        <v>8.227955334569266</v>
      </c>
      <c r="AJ62" s="27" t="n">
        <v>13.39514128446623</v>
      </c>
      <c r="AK62" s="27" t="n">
        <v>113.2931226715922</v>
      </c>
      <c r="AL62" s="27" t="n">
        <v>188.1563145933779</v>
      </c>
      <c r="AM62" s="27" t="n">
        <v>548.0601442025819</v>
      </c>
      <c r="AN62" s="27" t="n">
        <v>246.8426933660307</v>
      </c>
      <c r="AO62" s="27" t="n">
        <v>351.2977429356375</v>
      </c>
      <c r="AP62" s="27" t="n">
        <v>339.1365355121736</v>
      </c>
      <c r="AQ62" s="27" t="n">
        <v>25.87214215938134</v>
      </c>
      <c r="AR62" s="27" t="n">
        <v>3.288422489166297</v>
      </c>
      <c r="AS62" s="27" t="n">
        <v>34.06849799812786</v>
      </c>
      <c r="AT62" s="27" t="n">
        <v>395.2986572891937</v>
      </c>
      <c r="AU62" s="27" t="n">
        <v>76.74747348516294</v>
      </c>
      <c r="AV62" s="27" t="n">
        <v>33.0022566593724</v>
      </c>
      <c r="AW62" s="27" t="n">
        <v>145.6252272739134</v>
      </c>
      <c r="AX62" s="27" t="n">
        <v>0</v>
      </c>
      <c r="AY62" s="27" t="n">
        <v>69.20343439337253</v>
      </c>
      <c r="AZ62" s="27" t="n">
        <v>74.3110608460949</v>
      </c>
      <c r="BA62" s="27" t="n">
        <v>293.1917340804345</v>
      </c>
      <c r="BB62" s="27">
        <f>SUM(C62:BA62)</f>
        <v/>
      </c>
      <c r="BC62" s="27" t="n">
        <v>0</v>
      </c>
      <c r="BD62" s="27" t="n">
        <v>0</v>
      </c>
      <c r="BE62" s="27" t="n">
        <v>44818.92280801047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0.633475335936829</v>
      </c>
      <c r="D63" s="29" t="n">
        <v>0.4967412420983016</v>
      </c>
      <c r="E63" s="29" t="n">
        <v>9.186282125702293</v>
      </c>
      <c r="F63" s="29" t="n">
        <v>1.415095664357716</v>
      </c>
      <c r="G63" s="29" t="n">
        <v>1.444843560717562</v>
      </c>
      <c r="H63" s="29" t="n">
        <v>18.52991593893071</v>
      </c>
      <c r="I63" s="29" t="n">
        <v>1.363430194724276</v>
      </c>
      <c r="J63" s="29" t="n">
        <v>0.8540044787267475</v>
      </c>
      <c r="K63" s="29" t="n">
        <v>0.9272664463842331</v>
      </c>
      <c r="L63" s="29" t="n">
        <v>1.388977965583057</v>
      </c>
      <c r="M63" s="29" t="n">
        <v>0.4105531841478415</v>
      </c>
      <c r="N63" s="29" t="n">
        <v>2.244729946386667</v>
      </c>
      <c r="O63" s="29" t="n">
        <v>0.3493414053705057</v>
      </c>
      <c r="P63" s="29" t="n">
        <v>3.193547101956733</v>
      </c>
      <c r="Q63" s="29" t="n">
        <v>0.3986399914141506</v>
      </c>
      <c r="R63" s="29" t="n">
        <v>3.348918554176859</v>
      </c>
      <c r="S63" s="29" t="n">
        <v>0.7021481849375079</v>
      </c>
      <c r="T63" s="29" t="n">
        <v>4.731844487694845</v>
      </c>
      <c r="U63" s="29" t="n">
        <v>1.695297582474403</v>
      </c>
      <c r="V63" s="29" t="n">
        <v>2.169054626889458</v>
      </c>
      <c r="W63" s="29" t="n">
        <v>1.226865363285988</v>
      </c>
      <c r="X63" s="29" t="n">
        <v>1.194927514412138</v>
      </c>
      <c r="Y63" s="29" t="n">
        <v>2.576811495481673</v>
      </c>
      <c r="Z63" s="29" t="n">
        <v>2.732604286883519</v>
      </c>
      <c r="AA63" s="29" t="n">
        <v>2.415184838800904</v>
      </c>
      <c r="AB63" s="29" t="n">
        <v>1.084458492231315</v>
      </c>
      <c r="AC63" s="29" t="n">
        <v>1.829428815128537</v>
      </c>
      <c r="AD63" s="29" t="n">
        <v>3.588530441711062</v>
      </c>
      <c r="AE63" s="29" t="n">
        <v>2.788182081427791</v>
      </c>
      <c r="AF63" s="29" t="n">
        <v>5.309503945458816</v>
      </c>
      <c r="AG63" s="29" t="n">
        <v>5.85726138446008</v>
      </c>
      <c r="AH63" s="29" t="n">
        <v>2.052275671687708</v>
      </c>
      <c r="AI63" s="29" t="n">
        <v>0.5389529504058806</v>
      </c>
      <c r="AJ63" s="29" t="n">
        <v>0.8772185800818832</v>
      </c>
      <c r="AK63" s="29" t="n">
        <v>7.410765281247189</v>
      </c>
      <c r="AL63" s="29" t="n">
        <v>12.32753612559811</v>
      </c>
      <c r="AM63" s="29" t="n">
        <v>35.84302296194964</v>
      </c>
      <c r="AN63" s="29" t="n">
        <v>16.01236193317981</v>
      </c>
      <c r="AO63" s="29" t="n">
        <v>22.94372333898608</v>
      </c>
      <c r="AP63" s="29" t="n">
        <v>22.00268712279975</v>
      </c>
      <c r="AQ63" s="29" t="n">
        <v>1.69141707264584</v>
      </c>
      <c r="AR63" s="29" t="n">
        <v>0.1558477765644787</v>
      </c>
      <c r="AS63" s="29" t="n">
        <v>2.230869599596871</v>
      </c>
      <c r="AT63" s="29" t="n">
        <v>25.27477941381713</v>
      </c>
      <c r="AU63" s="29" t="n">
        <v>5.036104010950093</v>
      </c>
      <c r="AV63" s="29" t="n">
        <v>158.8493530609519</v>
      </c>
      <c r="AW63" s="29" t="n">
        <v>9.609690890105878</v>
      </c>
      <c r="AX63" s="29" t="n">
        <v>0</v>
      </c>
      <c r="AY63" s="29" t="n">
        <v>4.436931419674204</v>
      </c>
      <c r="AZ63" s="29" t="n">
        <v>4.954324962035443</v>
      </c>
      <c r="BA63" s="29" t="n">
        <v>19.55618116226589</v>
      </c>
      <c r="BB63" s="29">
        <f>SUM(C63:BA63)</f>
        <v/>
      </c>
      <c r="BC63" s="29" t="n">
        <v>0</v>
      </c>
      <c r="BD63" s="29" t="n">
        <v>0</v>
      </c>
      <c r="BE63" s="29" t="n">
        <v>26721.0785466148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80.14475790805243</v>
      </c>
      <c r="D64" s="27" t="n">
        <v>26.58485649010642</v>
      </c>
      <c r="E64" s="27" t="n">
        <v>142.0204870107757</v>
      </c>
      <c r="F64" s="27" t="n">
        <v>31.63522761667938</v>
      </c>
      <c r="G64" s="27" t="n">
        <v>26.53333094139881</v>
      </c>
      <c r="H64" s="27" t="n">
        <v>360.3496661563278</v>
      </c>
      <c r="I64" s="27" t="n">
        <v>16.91141944602995</v>
      </c>
      <c r="J64" s="27" t="n">
        <v>23.56268034081188</v>
      </c>
      <c r="K64" s="27" t="n">
        <v>22.09075027849908</v>
      </c>
      <c r="L64" s="27" t="n">
        <v>22.86106443378085</v>
      </c>
      <c r="M64" s="27" t="n">
        <v>17.66798172552638</v>
      </c>
      <c r="N64" s="27" t="n">
        <v>54.62422901989708</v>
      </c>
      <c r="O64" s="27" t="n">
        <v>58.76646921452826</v>
      </c>
      <c r="P64" s="27" t="n">
        <v>46.03255918750222</v>
      </c>
      <c r="Q64" s="27" t="n">
        <v>8.929830041553123</v>
      </c>
      <c r="R64" s="27" t="n">
        <v>115.985832895144</v>
      </c>
      <c r="S64" s="27" t="n">
        <v>20.08105709264113</v>
      </c>
      <c r="T64" s="27" t="n">
        <v>66.0569050087076</v>
      </c>
      <c r="U64" s="27" t="n">
        <v>24.74387076045956</v>
      </c>
      <c r="V64" s="27" t="n">
        <v>31.90132050366289</v>
      </c>
      <c r="W64" s="27" t="n">
        <v>20.84964421608956</v>
      </c>
      <c r="X64" s="27" t="n">
        <v>23.04011867788136</v>
      </c>
      <c r="Y64" s="27" t="n">
        <v>49.73208175747786</v>
      </c>
      <c r="Z64" s="27" t="n">
        <v>57.92490285807593</v>
      </c>
      <c r="AA64" s="27" t="n">
        <v>82.42035103398102</v>
      </c>
      <c r="AB64" s="27" t="n">
        <v>28.0737051588874</v>
      </c>
      <c r="AC64" s="27" t="n">
        <v>35.51920155368514</v>
      </c>
      <c r="AD64" s="27" t="n">
        <v>55.89969518602719</v>
      </c>
      <c r="AE64" s="27" t="n">
        <v>41.7372635388483</v>
      </c>
      <c r="AF64" s="27" t="n">
        <v>80.12796531351749</v>
      </c>
      <c r="AG64" s="27" t="n">
        <v>89.18496455881066</v>
      </c>
      <c r="AH64" s="27" t="n">
        <v>38.24807419655241</v>
      </c>
      <c r="AI64" s="27" t="n">
        <v>9.169239772544804</v>
      </c>
      <c r="AJ64" s="27" t="n">
        <v>16.94257563450344</v>
      </c>
      <c r="AK64" s="27" t="n">
        <v>229.4528826281596</v>
      </c>
      <c r="AL64" s="27" t="n">
        <v>166.9867689095424</v>
      </c>
      <c r="AM64" s="27" t="n">
        <v>780.9238049071192</v>
      </c>
      <c r="AN64" s="27" t="n">
        <v>370.19644404735</v>
      </c>
      <c r="AO64" s="27" t="n">
        <v>461.4515741904005</v>
      </c>
      <c r="AP64" s="27" t="n">
        <v>341.5664356213043</v>
      </c>
      <c r="AQ64" s="27" t="n">
        <v>33.62455578410107</v>
      </c>
      <c r="AR64" s="27" t="n">
        <v>6.510841237624579</v>
      </c>
      <c r="AS64" s="27" t="n">
        <v>53.09961701479002</v>
      </c>
      <c r="AT64" s="27" t="n">
        <v>522.545887169054</v>
      </c>
      <c r="AU64" s="27" t="n">
        <v>92.1299205241362</v>
      </c>
      <c r="AV64" s="27" t="n">
        <v>62.1944967930423</v>
      </c>
      <c r="AW64" s="27" t="n">
        <v>312.3366968791471</v>
      </c>
      <c r="AX64" s="27" t="n">
        <v>0</v>
      </c>
      <c r="AY64" s="27" t="n">
        <v>76.67823247738427</v>
      </c>
      <c r="AZ64" s="27" t="n">
        <v>71.70441907183513</v>
      </c>
      <c r="BA64" s="27" t="n">
        <v>314.6498796031996</v>
      </c>
      <c r="BB64" s="27">
        <f>SUM(C64:BA64)</f>
        <v/>
      </c>
      <c r="BC64" s="27" t="n">
        <v>0</v>
      </c>
      <c r="BD64" s="27" t="n">
        <v>0</v>
      </c>
      <c r="BE64" s="27" t="n">
        <v>143243.2591006684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5030.519365647529</v>
      </c>
      <c r="D67" s="32" t="n">
        <v>3097.839292749696</v>
      </c>
      <c r="E67" s="32" t="n">
        <v>2307.732928341653</v>
      </c>
      <c r="F67" s="32" t="n">
        <v>326.2903461366423</v>
      </c>
      <c r="G67" s="32" t="n">
        <v>850.8515389600307</v>
      </c>
      <c r="H67" s="32" t="n">
        <v>9694.116950402626</v>
      </c>
      <c r="I67" s="32" t="n">
        <v>434.9918805444219</v>
      </c>
      <c r="J67" s="32" t="n">
        <v>2302.618362942644</v>
      </c>
      <c r="K67" s="32" t="n">
        <v>2003.083387155541</v>
      </c>
      <c r="L67" s="32" t="n">
        <v>1164.720983861374</v>
      </c>
      <c r="M67" s="32" t="n">
        <v>793.1514688366558</v>
      </c>
      <c r="N67" s="32" t="n">
        <v>1596.277583526085</v>
      </c>
      <c r="O67" s="32" t="n">
        <v>886.9113939380076</v>
      </c>
      <c r="P67" s="32" t="n">
        <v>16637.24511758599</v>
      </c>
      <c r="Q67" s="32" t="n">
        <v>268.7662317151966</v>
      </c>
      <c r="R67" s="32" t="n">
        <v>4737.361413876069</v>
      </c>
      <c r="S67" s="32" t="n">
        <v>1946.202377694098</v>
      </c>
      <c r="T67" s="32" t="n">
        <v>697.4042806645155</v>
      </c>
      <c r="U67" s="32" t="n">
        <v>782.3033694644942</v>
      </c>
      <c r="V67" s="32" t="n">
        <v>1832.229773877117</v>
      </c>
      <c r="W67" s="32" t="n">
        <v>839.3371220137628</v>
      </c>
      <c r="X67" s="32" t="n">
        <v>769.0797090516508</v>
      </c>
      <c r="Y67" s="32" t="n">
        <v>3209.405049426994</v>
      </c>
      <c r="Z67" s="32" t="n">
        <v>1637.378485191614</v>
      </c>
      <c r="AA67" s="32" t="n">
        <v>2790.469854325239</v>
      </c>
      <c r="AB67" s="32" t="n">
        <v>2037.4571156949</v>
      </c>
      <c r="AC67" s="32" t="n">
        <v>1573.662434642736</v>
      </c>
      <c r="AD67" s="32" t="n">
        <v>3789.994227432148</v>
      </c>
      <c r="AE67" s="32" t="n">
        <v>2268.284532696773</v>
      </c>
      <c r="AF67" s="32" t="n">
        <v>9991.510969267991</v>
      </c>
      <c r="AG67" s="32" t="n">
        <v>6107.43729612589</v>
      </c>
      <c r="AH67" s="32" t="n">
        <v>3771.076217213832</v>
      </c>
      <c r="AI67" s="32" t="n">
        <v>1904.269293922072</v>
      </c>
      <c r="AJ67" s="32" t="n">
        <v>1687.846455899704</v>
      </c>
      <c r="AK67" s="32" t="n">
        <v>5071.437301472078</v>
      </c>
      <c r="AL67" s="32" t="n">
        <v>13632.09426498179</v>
      </c>
      <c r="AM67" s="32" t="n">
        <v>3549.566232615354</v>
      </c>
      <c r="AN67" s="32" t="n">
        <v>2102.739626363747</v>
      </c>
      <c r="AO67" s="32" t="n">
        <v>1866.722396808414</v>
      </c>
      <c r="AP67" s="32" t="n">
        <v>4859.549639308335</v>
      </c>
      <c r="AQ67" s="32" t="n">
        <v>1505.55846611741</v>
      </c>
      <c r="AR67" s="32" t="n">
        <v>508.6672721924216</v>
      </c>
      <c r="AS67" s="32" t="n">
        <v>5778.502928789057</v>
      </c>
      <c r="AT67" s="32" t="n">
        <v>5756.372381043322</v>
      </c>
      <c r="AU67" s="32" t="n">
        <v>936.4854919479885</v>
      </c>
      <c r="AV67" s="32" t="n">
        <v>4346.234804457479</v>
      </c>
      <c r="AW67" s="32" t="n">
        <v>5394.486598297288</v>
      </c>
      <c r="AX67" s="32" t="n">
        <v>0</v>
      </c>
      <c r="AY67" s="32" t="n">
        <v>1759.338600147101</v>
      </c>
      <c r="AZ67" s="32" t="n">
        <v>1524.968327977201</v>
      </c>
      <c r="BA67" s="32" t="n">
        <v>5368.286139177348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39059.0585510221</v>
      </c>
      <c r="D69" s="32" t="n">
        <v>17903.3303075108</v>
      </c>
      <c r="E69" s="32" t="n">
        <v>10450.2585108148</v>
      </c>
      <c r="F69" s="32" t="n">
        <v>2101.01452985913</v>
      </c>
      <c r="G69" s="32" t="n">
        <v>1675.96901106414</v>
      </c>
      <c r="H69" s="32" t="n">
        <v>17264.1504530784</v>
      </c>
      <c r="I69" s="32" t="n">
        <v>814.064372560005</v>
      </c>
      <c r="J69" s="32" t="n">
        <v>5962.3778040453</v>
      </c>
      <c r="K69" s="32" t="n">
        <v>9262.2844995005</v>
      </c>
      <c r="L69" s="32" t="n">
        <v>3422.32229128432</v>
      </c>
      <c r="M69" s="32" t="n">
        <v>3311.70613128109</v>
      </c>
      <c r="N69" s="32" t="n">
        <v>7159.97303406565</v>
      </c>
      <c r="O69" s="32" t="n">
        <v>4508.37082103696</v>
      </c>
      <c r="P69" s="32" t="n">
        <v>9199.70200521223</v>
      </c>
      <c r="Q69" s="32" t="n">
        <v>2103.36361182625</v>
      </c>
      <c r="R69" s="32" t="n">
        <v>6142.33980733601</v>
      </c>
      <c r="S69" s="32" t="n">
        <v>1520.65809388641</v>
      </c>
      <c r="T69" s="32" t="n">
        <v>7504.10753350407</v>
      </c>
      <c r="U69" s="32" t="n">
        <v>463.714128762466</v>
      </c>
      <c r="V69" s="32" t="n">
        <v>3048.857205565</v>
      </c>
      <c r="W69" s="32" t="n">
        <v>908.63111846123</v>
      </c>
      <c r="X69" s="32" t="n">
        <v>1045.38832483988</v>
      </c>
      <c r="Y69" s="32" t="n">
        <v>5997.72065822376</v>
      </c>
      <c r="Z69" s="32" t="n">
        <v>5940.96970115944</v>
      </c>
      <c r="AA69" s="32" t="n">
        <v>2722.31495757355</v>
      </c>
      <c r="AB69" s="32" t="n">
        <v>2721.1469029746</v>
      </c>
      <c r="AC69" s="32" t="n">
        <v>9301.576771162279</v>
      </c>
      <c r="AD69" s="32" t="n">
        <v>11475.5944949655</v>
      </c>
      <c r="AE69" s="32" t="n">
        <v>4253.13137193325</v>
      </c>
      <c r="AF69" s="32" t="n">
        <v>5476.10037436704</v>
      </c>
      <c r="AG69" s="32" t="n">
        <v>9966.30065058527</v>
      </c>
      <c r="AH69" s="32" t="n">
        <v>3763.00161202268</v>
      </c>
      <c r="AI69" s="32" t="n">
        <v>3658.23848924522</v>
      </c>
      <c r="AJ69" s="32" t="n">
        <v>8578.55451081265</v>
      </c>
      <c r="AK69" s="32" t="n">
        <v>32366.204712065</v>
      </c>
      <c r="AL69" s="32" t="n">
        <v>71780.4312811298</v>
      </c>
      <c r="AM69" s="32" t="n">
        <v>83631.30478733539</v>
      </c>
      <c r="AN69" s="32" t="n">
        <v>37874.7458512551</v>
      </c>
      <c r="AO69" s="32" t="n">
        <v>44143.0441095041</v>
      </c>
      <c r="AP69" s="32" t="n">
        <v>70489.1914096949</v>
      </c>
      <c r="AQ69" s="32" t="n">
        <v>126155.290822441</v>
      </c>
      <c r="AR69" s="32" t="n">
        <v>5346.05888042225</v>
      </c>
      <c r="AS69" s="32" t="n">
        <v>22557.9771763086</v>
      </c>
      <c r="AT69" s="32" t="n">
        <v>58131.6417692252</v>
      </c>
      <c r="AU69" s="32" t="n">
        <v>15788.4636129356</v>
      </c>
      <c r="AV69" s="32" t="n">
        <v>23558.2528711011</v>
      </c>
      <c r="AW69" s="32" t="n">
        <v>36863.9791451736</v>
      </c>
      <c r="AX69" s="32" t="n">
        <v>12116.6572594356</v>
      </c>
      <c r="AY69" s="32" t="n">
        <v>39568.0449844982</v>
      </c>
      <c r="AZ69" s="32" t="n">
        <v>18123.9387673399</v>
      </c>
      <c r="BA69" s="32" t="n">
        <v>104144.857946777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58941.29662408982</v>
      </c>
      <c r="D72" s="32" t="n">
        <v>31231.70821919838</v>
      </c>
      <c r="E72" s="32" t="n">
        <v>24487.33244770828</v>
      </c>
      <c r="F72" s="32" t="n">
        <v>7193.870606168707</v>
      </c>
      <c r="G72" s="32" t="n">
        <v>6681.637996560913</v>
      </c>
      <c r="H72" s="32" t="n">
        <v>126988.6027276365</v>
      </c>
      <c r="I72" s="32" t="n">
        <v>4317.377302937234</v>
      </c>
      <c r="J72" s="32" t="n">
        <v>20274.20059523069</v>
      </c>
      <c r="K72" s="32" t="n">
        <v>21086.87723851328</v>
      </c>
      <c r="L72" s="32" t="n">
        <v>13034.0915563754</v>
      </c>
      <c r="M72" s="32" t="n">
        <v>8490.06289321282</v>
      </c>
      <c r="N72" s="32" t="n">
        <v>21397.15784179743</v>
      </c>
      <c r="O72" s="32" t="n">
        <v>8569.360485317839</v>
      </c>
      <c r="P72" s="32" t="n">
        <v>69334.62980431975</v>
      </c>
      <c r="Q72" s="32" t="n">
        <v>6658.449844666511</v>
      </c>
      <c r="R72" s="32" t="n">
        <v>27302.55613458948</v>
      </c>
      <c r="S72" s="32" t="n">
        <v>9938.201542717617</v>
      </c>
      <c r="T72" s="32" t="n">
        <v>14657.99846439428</v>
      </c>
      <c r="U72" s="32" t="n">
        <v>4811.396678594956</v>
      </c>
      <c r="V72" s="32" t="n">
        <v>10353.37879870662</v>
      </c>
      <c r="W72" s="32" t="n">
        <v>4961.904727485619</v>
      </c>
      <c r="X72" s="32" t="n">
        <v>7015.253379639866</v>
      </c>
      <c r="Y72" s="32" t="n">
        <v>25176.48307343842</v>
      </c>
      <c r="Z72" s="32" t="n">
        <v>19802.72198797287</v>
      </c>
      <c r="AA72" s="32" t="n">
        <v>23741.46299738244</v>
      </c>
      <c r="AB72" s="32" t="n">
        <v>12268.35060109982</v>
      </c>
      <c r="AC72" s="32" t="n">
        <v>21717.88012299433</v>
      </c>
      <c r="AD72" s="32" t="n">
        <v>35513.9763138396</v>
      </c>
      <c r="AE72" s="32" t="n">
        <v>15615.36934342955</v>
      </c>
      <c r="AF72" s="32" t="n">
        <v>33833.22481667033</v>
      </c>
      <c r="AG72" s="32" t="n">
        <v>34008.23666852542</v>
      </c>
      <c r="AH72" s="32" t="n">
        <v>18627.17308239602</v>
      </c>
      <c r="AI72" s="32" t="n">
        <v>9399.714621215753</v>
      </c>
      <c r="AJ72" s="32" t="n">
        <v>17228.15750635604</v>
      </c>
      <c r="AK72" s="32" t="n">
        <v>63856.0941501065</v>
      </c>
      <c r="AL72" s="32" t="n">
        <v>143636.174786807</v>
      </c>
      <c r="AM72" s="32" t="n">
        <v>155641.8799535657</v>
      </c>
      <c r="AN72" s="32" t="n">
        <v>90617.45614691243</v>
      </c>
      <c r="AO72" s="32" t="n">
        <v>87367.14381158802</v>
      </c>
      <c r="AP72" s="32" t="n">
        <v>108982.7053934911</v>
      </c>
      <c r="AQ72" s="32" t="n">
        <v>137630.9047748995</v>
      </c>
      <c r="AR72" s="32" t="n">
        <v>7036.205662678015</v>
      </c>
      <c r="AS72" s="32" t="n">
        <v>43940.92506001217</v>
      </c>
      <c r="AT72" s="32" t="n">
        <v>101989.0786137168</v>
      </c>
      <c r="AU72" s="32" t="n">
        <v>23352.55462642939</v>
      </c>
      <c r="AV72" s="32" t="n">
        <v>43099.47858730656</v>
      </c>
      <c r="AW72" s="32" t="n">
        <v>69002.9927115856</v>
      </c>
      <c r="AX72" s="32" t="n">
        <v>12116.6572594356</v>
      </c>
      <c r="AY72" s="32" t="n">
        <v>49121.3342874542</v>
      </c>
      <c r="AZ72" s="32" t="n">
        <v>27158.97045662723</v>
      </c>
      <c r="BA72" s="32" t="n">
        <v>148965.8320746999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contiene consumo intermedio nacional/domestico. El ajuste intermedio fuera de Z queda visible antes del valor agregado.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2000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471.7199958938895</v>
      </c>
      <c r="D14" s="27" t="n">
        <v>380.1926258753494</v>
      </c>
      <c r="E14" s="27" t="n">
        <v>3.420030808568966</v>
      </c>
      <c r="F14" s="27" t="n">
        <v>0.6082442175962148</v>
      </c>
      <c r="G14" s="27" t="n">
        <v>0.6413087335498087</v>
      </c>
      <c r="H14" s="27" t="n">
        <v>4810.686996419186</v>
      </c>
      <c r="I14" s="27" t="n">
        <v>65.69462072476652</v>
      </c>
      <c r="J14" s="27" t="n">
        <v>212.8898252996765</v>
      </c>
      <c r="K14" s="27" t="n">
        <v>27.84525634636555</v>
      </c>
      <c r="L14" s="27" t="n">
        <v>4.444012484467611</v>
      </c>
      <c r="M14" s="27" t="n">
        <v>179.9284280922394</v>
      </c>
      <c r="N14" s="27" t="n">
        <v>106.7045323990315</v>
      </c>
      <c r="O14" s="27" t="n">
        <v>0.09934681259680517</v>
      </c>
      <c r="P14" s="27" t="n">
        <v>0.3630141984514004</v>
      </c>
      <c r="Q14" s="27" t="n">
        <v>161.4239601817079</v>
      </c>
      <c r="R14" s="27" t="n">
        <v>29.27666043707599</v>
      </c>
      <c r="S14" s="27" t="n">
        <v>37.04213243779379</v>
      </c>
      <c r="T14" s="27" t="n">
        <v>4.834169534221903</v>
      </c>
      <c r="U14" s="27" t="n">
        <v>12.57455357283457</v>
      </c>
      <c r="V14" s="27" t="n">
        <v>9.433541329650184</v>
      </c>
      <c r="W14" s="27" t="n">
        <v>7.897293414364572</v>
      </c>
      <c r="X14" s="27" t="n">
        <v>11.63245215780347</v>
      </c>
      <c r="Y14" s="27" t="n">
        <v>63.16495446697632</v>
      </c>
      <c r="Z14" s="27" t="n">
        <v>6.103218929185434</v>
      </c>
      <c r="AA14" s="27" t="n">
        <v>29.50758865910748</v>
      </c>
      <c r="AB14" s="27" t="n">
        <v>1.085449423695086</v>
      </c>
      <c r="AC14" s="27" t="n">
        <v>1.398397312527701</v>
      </c>
      <c r="AD14" s="27" t="n">
        <v>0.01720811572201841</v>
      </c>
      <c r="AE14" s="27" t="n">
        <v>0.2737249304057647</v>
      </c>
      <c r="AF14" s="27" t="n">
        <v>0.3686712202445841</v>
      </c>
      <c r="AG14" s="27" t="n">
        <v>0.07246080861831448</v>
      </c>
      <c r="AH14" s="27" t="n">
        <v>0.02793753876348782</v>
      </c>
      <c r="AI14" s="27" t="n">
        <v>0.01694345526031282</v>
      </c>
      <c r="AJ14" s="27" t="n">
        <v>1.103442844261145</v>
      </c>
      <c r="AK14" s="27" t="n">
        <v>2.295913861808299</v>
      </c>
      <c r="AL14" s="27" t="n">
        <v>24.06800824924691</v>
      </c>
      <c r="AM14" s="27" t="n">
        <v>314.1095111353122</v>
      </c>
      <c r="AN14" s="27" t="n">
        <v>0.1312246832712164</v>
      </c>
      <c r="AO14" s="27" t="n">
        <v>0.43744490790361</v>
      </c>
      <c r="AP14" s="27" t="n">
        <v>0.2756876509228076</v>
      </c>
      <c r="AQ14" s="27" t="n">
        <v>0.2259070585747683</v>
      </c>
      <c r="AR14" s="27" t="n">
        <v>0.002478518502741491</v>
      </c>
      <c r="AS14" s="27" t="n">
        <v>173.4629203333407</v>
      </c>
      <c r="AT14" s="27" t="n">
        <v>1.286096031441031</v>
      </c>
      <c r="AU14" s="27" t="n">
        <v>3.097884273185973</v>
      </c>
      <c r="AV14" s="27" t="n">
        <v>12.6295326658559</v>
      </c>
      <c r="AW14" s="27" t="n">
        <v>16.52926070553007</v>
      </c>
      <c r="AX14" s="27" t="n">
        <v>0</v>
      </c>
      <c r="AY14" s="27" t="n">
        <v>32.80167402920678</v>
      </c>
      <c r="AZ14" s="27" t="n">
        <v>13.02546330508004</v>
      </c>
      <c r="BA14" s="27" t="n">
        <v>122.8766358138092</v>
      </c>
      <c r="BB14" s="27">
        <f>SUM(C14:BA14)</f>
        <v/>
      </c>
      <c r="BC14" s="27" t="n">
        <v>0</v>
      </c>
      <c r="BD14" s="27" t="n">
        <v>0</v>
      </c>
      <c r="BE14" s="27" t="n">
        <v>0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32.7537162456081</v>
      </c>
      <c r="D15" s="29" t="n">
        <v>138.7389625471832</v>
      </c>
      <c r="E15" s="29" t="n">
        <v>0.2388125528395648</v>
      </c>
      <c r="F15" s="29" t="n">
        <v>0.08899615452328552</v>
      </c>
      <c r="G15" s="29" t="n">
        <v>0.03410209080378449</v>
      </c>
      <c r="H15" s="29" t="n">
        <v>1887.966026720172</v>
      </c>
      <c r="I15" s="29" t="n">
        <v>2.617479871438685</v>
      </c>
      <c r="J15" s="29" t="n">
        <v>0.5084278210805548</v>
      </c>
      <c r="K15" s="29" t="n">
        <v>0.07434224644905799</v>
      </c>
      <c r="L15" s="29" t="n">
        <v>1.285587952749139</v>
      </c>
      <c r="M15" s="29" t="n">
        <v>11.5314757667263</v>
      </c>
      <c r="N15" s="29" t="n">
        <v>6.70743851778365</v>
      </c>
      <c r="O15" s="29" t="n">
        <v>0.001647163575211513</v>
      </c>
      <c r="P15" s="29" t="n">
        <v>0.001239878916892808</v>
      </c>
      <c r="Q15" s="29" t="n">
        <v>1.602974782571559</v>
      </c>
      <c r="R15" s="29" t="n">
        <v>0.9726538129169146</v>
      </c>
      <c r="S15" s="29" t="n">
        <v>0.9865623112417472</v>
      </c>
      <c r="T15" s="29" t="n">
        <v>0.1204364423035955</v>
      </c>
      <c r="U15" s="29" t="n">
        <v>0.3588103178977896</v>
      </c>
      <c r="V15" s="29" t="n">
        <v>0.5362663206765761</v>
      </c>
      <c r="W15" s="29" t="n">
        <v>0.2079371797159646</v>
      </c>
      <c r="X15" s="29" t="n">
        <v>0.3057204566964613</v>
      </c>
      <c r="Y15" s="29" t="n">
        <v>3.790033154223346</v>
      </c>
      <c r="Z15" s="29" t="n">
        <v>0.1483744140429435</v>
      </c>
      <c r="AA15" s="29" t="n">
        <v>1.807488703260839</v>
      </c>
      <c r="AB15" s="29" t="n">
        <v>0.1197467263396258</v>
      </c>
      <c r="AC15" s="29" t="n">
        <v>0.06024171560870549</v>
      </c>
      <c r="AD15" s="29" t="n">
        <v>0.005580317548599128</v>
      </c>
      <c r="AE15" s="29" t="n">
        <v>0.007453067888026315</v>
      </c>
      <c r="AF15" s="29" t="n">
        <v>0.01698118971526367</v>
      </c>
      <c r="AG15" s="29" t="n">
        <v>0.01660671747240056</v>
      </c>
      <c r="AH15" s="29" t="n">
        <v>0.002409187755095324</v>
      </c>
      <c r="AI15" s="29" t="n">
        <v>0.01218906487977097</v>
      </c>
      <c r="AJ15" s="29" t="n">
        <v>0.0183820634458214</v>
      </c>
      <c r="AK15" s="29" t="n">
        <v>0.4324712675206329</v>
      </c>
      <c r="AL15" s="29" t="n">
        <v>4.763279607782815</v>
      </c>
      <c r="AM15" s="29" t="n">
        <v>7.939998685550519</v>
      </c>
      <c r="AN15" s="29" t="n">
        <v>0.107101929299077</v>
      </c>
      <c r="AO15" s="29" t="n">
        <v>0.3606015691583526</v>
      </c>
      <c r="AP15" s="29" t="n">
        <v>0.07256603803567059</v>
      </c>
      <c r="AQ15" s="29" t="n">
        <v>0.09710742016658305</v>
      </c>
      <c r="AR15" s="29" t="n">
        <v>5.57036002849186e-05</v>
      </c>
      <c r="AS15" s="29" t="n">
        <v>43.32424258610202</v>
      </c>
      <c r="AT15" s="29" t="n">
        <v>0.2463683703651235</v>
      </c>
      <c r="AU15" s="29" t="n">
        <v>0.6106634569204749</v>
      </c>
      <c r="AV15" s="29" t="n">
        <v>3.577995872264589</v>
      </c>
      <c r="AW15" s="29" t="n">
        <v>1.423865036947775</v>
      </c>
      <c r="AX15" s="29" t="n">
        <v>0</v>
      </c>
      <c r="AY15" s="29" t="n">
        <v>7.447759600496212</v>
      </c>
      <c r="AZ15" s="29" t="n">
        <v>2.573705537851902</v>
      </c>
      <c r="BA15" s="29" t="n">
        <v>9.932142578972298</v>
      </c>
      <c r="BB15" s="29">
        <f>SUM(C15:BA15)</f>
        <v/>
      </c>
      <c r="BC15" s="29" t="n">
        <v>0</v>
      </c>
      <c r="BD15" s="29" t="n">
        <v>0</v>
      </c>
      <c r="BE15" s="29" t="n">
        <v>0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2.197725621481761</v>
      </c>
      <c r="D16" s="27" t="n">
        <v>3.240990268414931</v>
      </c>
      <c r="E16" s="27" t="n">
        <v>432.0539053641054</v>
      </c>
      <c r="F16" s="27" t="n">
        <v>10.8587768968674</v>
      </c>
      <c r="G16" s="27" t="n">
        <v>1.230620207700907</v>
      </c>
      <c r="H16" s="27" t="n">
        <v>47.16580168301107</v>
      </c>
      <c r="I16" s="27" t="n">
        <v>0.03675023166396212</v>
      </c>
      <c r="J16" s="27" t="n">
        <v>15.69694055465435</v>
      </c>
      <c r="K16" s="27" t="n">
        <v>0.06814601953903707</v>
      </c>
      <c r="L16" s="27" t="n">
        <v>0.01968295554027932</v>
      </c>
      <c r="M16" s="27" t="n">
        <v>3.411195756634863</v>
      </c>
      <c r="N16" s="27" t="n">
        <v>34.23472933438124</v>
      </c>
      <c r="O16" s="27" t="n">
        <v>0.10886376432586</v>
      </c>
      <c r="P16" s="27" t="n">
        <v>7829.473267382446</v>
      </c>
      <c r="Q16" s="27" t="n">
        <v>0.0345777195978406</v>
      </c>
      <c r="R16" s="27" t="n">
        <v>69.8650866740041</v>
      </c>
      <c r="S16" s="27" t="n">
        <v>36.07276932916285</v>
      </c>
      <c r="T16" s="27" t="n">
        <v>2.086525634997212</v>
      </c>
      <c r="U16" s="27" t="n">
        <v>2.282379746180937</v>
      </c>
      <c r="V16" s="27" t="n">
        <v>1.583275253991667</v>
      </c>
      <c r="W16" s="27" t="n">
        <v>1.723383352902805</v>
      </c>
      <c r="X16" s="27" t="n">
        <v>3.41933478080427</v>
      </c>
      <c r="Y16" s="27" t="n">
        <v>6.667124654351067</v>
      </c>
      <c r="Z16" s="27" t="n">
        <v>23.52333582551154</v>
      </c>
      <c r="AA16" s="27" t="n">
        <v>32.31270221216482</v>
      </c>
      <c r="AB16" s="27" t="n">
        <v>19.95924378092991</v>
      </c>
      <c r="AC16" s="27" t="n">
        <v>17.61484493892181</v>
      </c>
      <c r="AD16" s="27" t="n">
        <v>3.451969922588725</v>
      </c>
      <c r="AE16" s="27" t="n">
        <v>1.517022441196466</v>
      </c>
      <c r="AF16" s="27" t="n">
        <v>0.2964462192089944</v>
      </c>
      <c r="AG16" s="27" t="n">
        <v>4.489169576377225</v>
      </c>
      <c r="AH16" s="27" t="n">
        <v>12.44625317774015</v>
      </c>
      <c r="AI16" s="27" t="n">
        <v>0.1101823955561638</v>
      </c>
      <c r="AJ16" s="27" t="n">
        <v>0.08730215926463664</v>
      </c>
      <c r="AK16" s="27" t="n">
        <v>333.7226053787114</v>
      </c>
      <c r="AL16" s="27" t="n">
        <v>9.021010098673075</v>
      </c>
      <c r="AM16" s="27" t="n">
        <v>3.148157281464832</v>
      </c>
      <c r="AN16" s="27" t="n">
        <v>0.6866802744770448</v>
      </c>
      <c r="AO16" s="27" t="n">
        <v>1.287337689282382</v>
      </c>
      <c r="AP16" s="27" t="n">
        <v>0.2949342268289897</v>
      </c>
      <c r="AQ16" s="27" t="n">
        <v>0.2802451656814491</v>
      </c>
      <c r="AR16" s="27" t="n">
        <v>0.09900007421615474</v>
      </c>
      <c r="AS16" s="27" t="n">
        <v>6.615399920401601</v>
      </c>
      <c r="AT16" s="27" t="n">
        <v>8.197102394270125</v>
      </c>
      <c r="AU16" s="27" t="n">
        <v>0.3039586075800561</v>
      </c>
      <c r="AV16" s="27" t="n">
        <v>0.2485958615097001</v>
      </c>
      <c r="AW16" s="27" t="n">
        <v>1.515096558751489</v>
      </c>
      <c r="AX16" s="27" t="n">
        <v>0</v>
      </c>
      <c r="AY16" s="27" t="n">
        <v>0.6690685102048077</v>
      </c>
      <c r="AZ16" s="27" t="n">
        <v>0.5437624715852031</v>
      </c>
      <c r="BA16" s="27" t="n">
        <v>4.159138523762771</v>
      </c>
      <c r="BB16" s="27">
        <f>SUM(C16:BA16)</f>
        <v/>
      </c>
      <c r="BC16" s="27" t="n">
        <v>0</v>
      </c>
      <c r="BD16" s="27" t="n">
        <v>0</v>
      </c>
      <c r="BE16" s="27" t="n">
        <v>0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0.01980367745097535</v>
      </c>
      <c r="D17" s="29" t="n">
        <v>0.01190971458641355</v>
      </c>
      <c r="E17" s="29" t="n">
        <v>0.2947489323539508</v>
      </c>
      <c r="F17" s="29" t="n">
        <v>9.280572813027522</v>
      </c>
      <c r="G17" s="29" t="n">
        <v>0.3501757067837373</v>
      </c>
      <c r="H17" s="29" t="n">
        <v>0.591272607719398</v>
      </c>
      <c r="I17" s="29" t="n">
        <v>0.04354047930467336</v>
      </c>
      <c r="J17" s="29" t="n">
        <v>0.02720531776192305</v>
      </c>
      <c r="K17" s="29" t="n">
        <v>0.02952640271358477</v>
      </c>
      <c r="L17" s="29" t="n">
        <v>0.0443544964935712</v>
      </c>
      <c r="M17" s="29" t="n">
        <v>0.01307215228243224</v>
      </c>
      <c r="N17" s="29" t="n">
        <v>0.07164781685915975</v>
      </c>
      <c r="O17" s="29" t="n">
        <v>0.01117233105937696</v>
      </c>
      <c r="P17" s="29" t="n">
        <v>0.1019515674936433</v>
      </c>
      <c r="Q17" s="29" t="n">
        <v>0.01274433044108995</v>
      </c>
      <c r="R17" s="29" t="n">
        <v>0.1069208926367726</v>
      </c>
      <c r="S17" s="29" t="n">
        <v>0.02242276035354198</v>
      </c>
      <c r="T17" s="29" t="n">
        <v>0.1464546439239808</v>
      </c>
      <c r="U17" s="29" t="n">
        <v>0.05374067927338658</v>
      </c>
      <c r="V17" s="29" t="n">
        <v>0.06734919579566973</v>
      </c>
      <c r="W17" s="29" t="n">
        <v>0.03914603400880485</v>
      </c>
      <c r="X17" s="29" t="n">
        <v>0.03806727964997086</v>
      </c>
      <c r="Y17" s="29" t="n">
        <v>0.08224079397586721</v>
      </c>
      <c r="Z17" s="29" t="n">
        <v>1.734522701703672</v>
      </c>
      <c r="AA17" s="29" t="n">
        <v>144.9460497997086</v>
      </c>
      <c r="AB17" s="29" t="n">
        <v>0.03561781038483677</v>
      </c>
      <c r="AC17" s="29" t="n">
        <v>0.05786861137348653</v>
      </c>
      <c r="AD17" s="29" t="n">
        <v>0.1146134094106603</v>
      </c>
      <c r="AE17" s="29" t="n">
        <v>0.08903231891565007</v>
      </c>
      <c r="AF17" s="29" t="n">
        <v>0.1694567967714159</v>
      </c>
      <c r="AG17" s="29" t="n">
        <v>0.187186005367655</v>
      </c>
      <c r="AH17" s="29" t="n">
        <v>0.06551581254704049</v>
      </c>
      <c r="AI17" s="29" t="n">
        <v>0.01733883234573041</v>
      </c>
      <c r="AJ17" s="29" t="n">
        <v>0.0280180938124922</v>
      </c>
      <c r="AK17" s="29" t="n">
        <v>0.2404329928316979</v>
      </c>
      <c r="AL17" s="29" t="n">
        <v>0.4331595448099276</v>
      </c>
      <c r="AM17" s="29" t="n">
        <v>1.142722897334807</v>
      </c>
      <c r="AN17" s="29" t="n">
        <v>0.5119412416085398</v>
      </c>
      <c r="AO17" s="29" t="n">
        <v>0.7363041145582928</v>
      </c>
      <c r="AP17" s="29" t="n">
        <v>0.7033915147631256</v>
      </c>
      <c r="AQ17" s="29" t="n">
        <v>0.05505943598723532</v>
      </c>
      <c r="AR17" s="29" t="n">
        <v>0.004976922849766654</v>
      </c>
      <c r="AS17" s="29" t="n">
        <v>0.07142613114217501</v>
      </c>
      <c r="AT17" s="29" t="n">
        <v>0.9471801368557602</v>
      </c>
      <c r="AU17" s="29" t="n">
        <v>0.1607461928662322</v>
      </c>
      <c r="AV17" s="29" t="n">
        <v>0.06013133876658853</v>
      </c>
      <c r="AW17" s="29" t="n">
        <v>0.3043695094497568</v>
      </c>
      <c r="AX17" s="29" t="n">
        <v>0</v>
      </c>
      <c r="AY17" s="29" t="n">
        <v>0.1405917765430569</v>
      </c>
      <c r="AZ17" s="29" t="n">
        <v>0.1552202579194944</v>
      </c>
      <c r="BA17" s="29" t="n">
        <v>0.6181772377505993</v>
      </c>
      <c r="BB17" s="29">
        <f>SUM(C17:BA17)</f>
        <v/>
      </c>
      <c r="BC17" s="29" t="n">
        <v>0</v>
      </c>
      <c r="BD17" s="29" t="n">
        <v>0</v>
      </c>
      <c r="BE17" s="29" t="n">
        <v>0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62.76696476875279</v>
      </c>
      <c r="D18" s="27" t="n">
        <v>34.16755536063276</v>
      </c>
      <c r="E18" s="27" t="n">
        <v>31.61572504489462</v>
      </c>
      <c r="F18" s="27" t="n">
        <v>0.7100652939476141</v>
      </c>
      <c r="G18" s="27" t="n">
        <v>119.6428990142395</v>
      </c>
      <c r="H18" s="27" t="n">
        <v>34.74953045951771</v>
      </c>
      <c r="I18" s="27" t="n">
        <v>-0.002850693215546914</v>
      </c>
      <c r="J18" s="27" t="n">
        <v>0.7983671138561911</v>
      </c>
      <c r="K18" s="27" t="n">
        <v>0.01258209664134447</v>
      </c>
      <c r="L18" s="27" t="n">
        <v>0.8167641170231036</v>
      </c>
      <c r="M18" s="27" t="n">
        <v>0.03182792964664725</v>
      </c>
      <c r="N18" s="27" t="n">
        <v>6.238750926261265</v>
      </c>
      <c r="O18" s="27" t="n">
        <v>0.3711733057250563</v>
      </c>
      <c r="P18" s="27" t="n">
        <v>4.895257068266148</v>
      </c>
      <c r="Q18" s="27" t="n">
        <v>10.43225399617647</v>
      </c>
      <c r="R18" s="27" t="n">
        <v>386.4896226366131</v>
      </c>
      <c r="S18" s="27" t="n">
        <v>3.088339613277315</v>
      </c>
      <c r="T18" s="27" t="n">
        <v>0.4883034976416908</v>
      </c>
      <c r="U18" s="27" t="n">
        <v>0.4544083557982061</v>
      </c>
      <c r="V18" s="27" t="n">
        <v>3.02667952081026</v>
      </c>
      <c r="W18" s="27" t="n">
        <v>13.25051182802096</v>
      </c>
      <c r="X18" s="27" t="n">
        <v>4.431229900978139</v>
      </c>
      <c r="Y18" s="27" t="n">
        <v>2.139147088174833</v>
      </c>
      <c r="Z18" s="27" t="n">
        <v>422.3032814203374</v>
      </c>
      <c r="AA18" s="27" t="n">
        <v>1022.013953387658</v>
      </c>
      <c r="AB18" s="27" t="n">
        <v>852.169699788253</v>
      </c>
      <c r="AC18" s="27" t="n">
        <v>2.492773781588399</v>
      </c>
      <c r="AD18" s="27" t="n">
        <v>3.403613154365134</v>
      </c>
      <c r="AE18" s="27" t="n">
        <v>7.661246750221407</v>
      </c>
      <c r="AF18" s="27" t="n">
        <v>0.2692615172632453</v>
      </c>
      <c r="AG18" s="27" t="n">
        <v>2.242276999817693</v>
      </c>
      <c r="AH18" s="27" t="n">
        <v>13.24518557501368</v>
      </c>
      <c r="AI18" s="27" t="n">
        <v>0.7671059669702481</v>
      </c>
      <c r="AJ18" s="27" t="n">
        <v>5.125714627577429</v>
      </c>
      <c r="AK18" s="27" t="n">
        <v>125.0768492930489</v>
      </c>
      <c r="AL18" s="27" t="n">
        <v>574.0785602610869</v>
      </c>
      <c r="AM18" s="27" t="n">
        <v>5.047691191910402</v>
      </c>
      <c r="AN18" s="27" t="n">
        <v>0.4812858973200658</v>
      </c>
      <c r="AO18" s="27" t="n">
        <v>0.06791225953175981</v>
      </c>
      <c r="AP18" s="27" t="n">
        <v>0.1062722569870524</v>
      </c>
      <c r="AQ18" s="27" t="n">
        <v>16.28897091822838</v>
      </c>
      <c r="AR18" s="27" t="n">
        <v>0.005067572024718364</v>
      </c>
      <c r="AS18" s="27" t="n">
        <v>2.650126292429118</v>
      </c>
      <c r="AT18" s="27" t="n">
        <v>4.33084092801713</v>
      </c>
      <c r="AU18" s="27" t="n">
        <v>0.1036186871290443</v>
      </c>
      <c r="AV18" s="27" t="n">
        <v>3.15286069700652</v>
      </c>
      <c r="AW18" s="27" t="n">
        <v>1.221221378650142</v>
      </c>
      <c r="AX18" s="27" t="n">
        <v>0</v>
      </c>
      <c r="AY18" s="27" t="n">
        <v>4.863282759684322</v>
      </c>
      <c r="AZ18" s="27" t="n">
        <v>1.536001938906206</v>
      </c>
      <c r="BA18" s="27" t="n">
        <v>4.131684822567875</v>
      </c>
      <c r="BB18" s="27">
        <f>SUM(C18:BA18)</f>
        <v/>
      </c>
      <c r="BC18" s="27" t="n">
        <v>0</v>
      </c>
      <c r="BD18" s="27" t="n">
        <v>0</v>
      </c>
      <c r="BE18" s="27" t="n">
        <v>0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99.95876604737717</v>
      </c>
      <c r="D19" s="29" t="n">
        <v>740.5355204625664</v>
      </c>
      <c r="E19" s="29" t="n">
        <v>31.18277311810849</v>
      </c>
      <c r="F19" s="29" t="n">
        <v>-1.849819885194243</v>
      </c>
      <c r="G19" s="29" t="n">
        <v>14.67396799791759</v>
      </c>
      <c r="H19" s="29" t="n">
        <v>4987.022855300764</v>
      </c>
      <c r="I19" s="29" t="n">
        <v>-2.563904521326927</v>
      </c>
      <c r="J19" s="29" t="n">
        <v>-2.650396052770018</v>
      </c>
      <c r="K19" s="29" t="n">
        <v>-7.889043613858162</v>
      </c>
      <c r="L19" s="29" t="n">
        <v>216.2024378223002</v>
      </c>
      <c r="M19" s="29" t="n">
        <v>0.2719219760100446</v>
      </c>
      <c r="N19" s="29" t="n">
        <v>34.6960458393252</v>
      </c>
      <c r="O19" s="29" t="n">
        <v>1.640931104736776</v>
      </c>
      <c r="P19" s="29" t="n">
        <v>350.799357929311</v>
      </c>
      <c r="Q19" s="29" t="n">
        <v>93.09567010720633</v>
      </c>
      <c r="R19" s="29" t="n">
        <v>78.44880737164534</v>
      </c>
      <c r="S19" s="29" t="n">
        <v>26.15201294594987</v>
      </c>
      <c r="T19" s="29" t="n">
        <v>41.20961543162618</v>
      </c>
      <c r="U19" s="29" t="n">
        <v>18.9018285119436</v>
      </c>
      <c r="V19" s="29" t="n">
        <v>204.9267654130813</v>
      </c>
      <c r="W19" s="29" t="n">
        <v>27.85856314326496</v>
      </c>
      <c r="X19" s="29" t="n">
        <v>83.274404278308</v>
      </c>
      <c r="Y19" s="29" t="n">
        <v>-2.466645818964043</v>
      </c>
      <c r="Z19" s="29" t="n">
        <v>-5.954593999751182</v>
      </c>
      <c r="AA19" s="29" t="n">
        <v>-4.026022054368466</v>
      </c>
      <c r="AB19" s="29" t="n">
        <v>-1.072138854488265</v>
      </c>
      <c r="AC19" s="29" t="n">
        <v>1.946925554337525</v>
      </c>
      <c r="AD19" s="29" t="n">
        <v>-12.76636103517251</v>
      </c>
      <c r="AE19" s="29" t="n">
        <v>-4.881777169429283</v>
      </c>
      <c r="AF19" s="29" t="n">
        <v>-12.48309115619434</v>
      </c>
      <c r="AG19" s="29" t="n">
        <v>1.741763048123931</v>
      </c>
      <c r="AH19" s="29" t="n">
        <v>3.239657550901091</v>
      </c>
      <c r="AI19" s="29" t="n">
        <v>1.232913929843728</v>
      </c>
      <c r="AJ19" s="29" t="n">
        <v>1.07994975757777</v>
      </c>
      <c r="AK19" s="29" t="n">
        <v>10.13440594651787</v>
      </c>
      <c r="AL19" s="29" t="n">
        <v>49.94944217577902</v>
      </c>
      <c r="AM19" s="29" t="n">
        <v>109.7962839525596</v>
      </c>
      <c r="AN19" s="29" t="n">
        <v>-2.067393416843968</v>
      </c>
      <c r="AO19" s="29" t="n">
        <v>-43.26748305086196</v>
      </c>
      <c r="AP19" s="29" t="n">
        <v>31.97366786305928</v>
      </c>
      <c r="AQ19" s="29" t="n">
        <v>1.919862099560285</v>
      </c>
      <c r="AR19" s="29" t="n">
        <v>2.317918580289645</v>
      </c>
      <c r="AS19" s="29" t="n">
        <v>4616.411879815832</v>
      </c>
      <c r="AT19" s="29" t="n">
        <v>4.739227941820345</v>
      </c>
      <c r="AU19" s="29" t="n">
        <v>25.39740500334756</v>
      </c>
      <c r="AV19" s="29" t="n">
        <v>114.7216214966788</v>
      </c>
      <c r="AW19" s="29" t="n">
        <v>87.93878372890958</v>
      </c>
      <c r="AX19" s="29" t="n">
        <v>0</v>
      </c>
      <c r="AY19" s="29" t="n">
        <v>238.8114588765245</v>
      </c>
      <c r="AZ19" s="29" t="n">
        <v>153.4684980757642</v>
      </c>
      <c r="BA19" s="29" t="n">
        <v>258.3963315999007</v>
      </c>
      <c r="BB19" s="29">
        <f>SUM(C19:BA19)</f>
        <v/>
      </c>
      <c r="BC19" s="29" t="n">
        <v>0</v>
      </c>
      <c r="BD19" s="29" t="n">
        <v>0</v>
      </c>
      <c r="BE19" s="29" t="n">
        <v>0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0.1562860055738819</v>
      </c>
      <c r="D20" s="27" t="n">
        <v>0.00494249543885173</v>
      </c>
      <c r="E20" s="27" t="n">
        <v>0.08513959393386163</v>
      </c>
      <c r="F20" s="27" t="n">
        <v>0.009649387825949063</v>
      </c>
      <c r="G20" s="27" t="n">
        <v>0.08308417955436541</v>
      </c>
      <c r="H20" s="27" t="n">
        <v>0.2218603183862259</v>
      </c>
      <c r="I20" s="27" t="n">
        <v>384.7692053976727</v>
      </c>
      <c r="J20" s="27" t="n">
        <v>2.457046320517007</v>
      </c>
      <c r="K20" s="27" t="n">
        <v>4.368974059237234</v>
      </c>
      <c r="L20" s="27" t="n">
        <v>1.356765451711559</v>
      </c>
      <c r="M20" s="27" t="n">
        <v>0.002795244001255926</v>
      </c>
      <c r="N20" s="27" t="n">
        <v>0.04958554057317141</v>
      </c>
      <c r="O20" s="27" t="n">
        <v>0.002385226188501334</v>
      </c>
      <c r="P20" s="27" t="n">
        <v>0.0217976949409247</v>
      </c>
      <c r="Q20" s="27" t="n">
        <v>0.002721976167835242</v>
      </c>
      <c r="R20" s="27" t="n">
        <v>0.02284795322656592</v>
      </c>
      <c r="S20" s="27" t="n">
        <v>0.004794702893269508</v>
      </c>
      <c r="T20" s="27" t="n">
        <v>0.0359344874942571</v>
      </c>
      <c r="U20" s="27" t="n">
        <v>0.01248574456158461</v>
      </c>
      <c r="V20" s="27" t="n">
        <v>0.0144014108365504</v>
      </c>
      <c r="W20" s="27" t="n">
        <v>0.008370456206618545</v>
      </c>
      <c r="X20" s="27" t="n">
        <v>0.02098312667452046</v>
      </c>
      <c r="Y20" s="27" t="n">
        <v>0.1832029725858003</v>
      </c>
      <c r="Z20" s="27" t="n">
        <v>0.02339567004347439</v>
      </c>
      <c r="AA20" s="27" t="n">
        <v>0.01648489119259133</v>
      </c>
      <c r="AB20" s="27" t="n">
        <v>0.007390236830266332</v>
      </c>
      <c r="AC20" s="27" t="n">
        <v>0.02114200204760069</v>
      </c>
      <c r="AD20" s="27" t="n">
        <v>0.02638973057604505</v>
      </c>
      <c r="AE20" s="27" t="n">
        <v>0.02088545561970413</v>
      </c>
      <c r="AF20" s="27" t="n">
        <v>0.04102000187566152</v>
      </c>
      <c r="AG20" s="27" t="n">
        <v>0.04149331053037161</v>
      </c>
      <c r="AH20" s="27" t="n">
        <v>0.3903349792421932</v>
      </c>
      <c r="AI20" s="27" t="n">
        <v>0.02052825047552823</v>
      </c>
      <c r="AJ20" s="27" t="n">
        <v>0.4701862005847761</v>
      </c>
      <c r="AK20" s="27" t="n">
        <v>0.05849514503097667</v>
      </c>
      <c r="AL20" s="27" t="n">
        <v>0.2917062102430449</v>
      </c>
      <c r="AM20" s="27" t="n">
        <v>0.2699454811367645</v>
      </c>
      <c r="AN20" s="27" t="n">
        <v>0.1241213190369408</v>
      </c>
      <c r="AO20" s="27" t="n">
        <v>0.1578198967765528</v>
      </c>
      <c r="AP20" s="27" t="n">
        <v>0.1502417636606235</v>
      </c>
      <c r="AQ20" s="27" t="n">
        <v>0.01155004385956254</v>
      </c>
      <c r="AR20" s="27" t="n">
        <v>0.01040729461718941</v>
      </c>
      <c r="AS20" s="27" t="n">
        <v>0.1413463903393014</v>
      </c>
      <c r="AT20" s="27" t="n">
        <v>0.1747437390229915</v>
      </c>
      <c r="AU20" s="27" t="n">
        <v>0.03431261018049197</v>
      </c>
      <c r="AV20" s="27" t="n">
        <v>0.01788486040425022</v>
      </c>
      <c r="AW20" s="27" t="n">
        <v>0.2632041183647591</v>
      </c>
      <c r="AX20" s="27" t="n">
        <v>0</v>
      </c>
      <c r="AY20" s="27" t="n">
        <v>0.04697183929777617</v>
      </c>
      <c r="AZ20" s="27" t="n">
        <v>0.0414309058654285</v>
      </c>
      <c r="BA20" s="27" t="n">
        <v>0.1434009871739438</v>
      </c>
      <c r="BB20" s="27">
        <f>SUM(C20:BA20)</f>
        <v/>
      </c>
      <c r="BC20" s="27" t="n">
        <v>0</v>
      </c>
      <c r="BD20" s="27" t="n">
        <v>0</v>
      </c>
      <c r="BE20" s="27" t="n">
        <v>0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47.03908571842464</v>
      </c>
      <c r="D21" s="29" t="n">
        <v>1.089427757927976</v>
      </c>
      <c r="E21" s="29" t="n">
        <v>8.078853885517084</v>
      </c>
      <c r="F21" s="29" t="n">
        <v>-0.009900120851708914</v>
      </c>
      <c r="G21" s="29" t="n">
        <v>20.75662340197361</v>
      </c>
      <c r="H21" s="29" t="n">
        <v>27.11680964062021</v>
      </c>
      <c r="I21" s="29" t="n">
        <v>-0.01757759323852531</v>
      </c>
      <c r="J21" s="29" t="n">
        <v>1357.947452628495</v>
      </c>
      <c r="K21" s="29" t="n">
        <v>1649.805695590443</v>
      </c>
      <c r="L21" s="29" t="n">
        <v>389.6246670172159</v>
      </c>
      <c r="M21" s="29" t="n">
        <v>1.440921935145968</v>
      </c>
      <c r="N21" s="29" t="n">
        <v>12.07263266698813</v>
      </c>
      <c r="O21" s="29" t="n">
        <v>0.3956483589696717</v>
      </c>
      <c r="P21" s="29" t="n">
        <v>-0.08398756264809186</v>
      </c>
      <c r="Q21" s="29" t="n">
        <v>-0.06481378986681688</v>
      </c>
      <c r="R21" s="29" t="n">
        <v>0.7537702026987713</v>
      </c>
      <c r="S21" s="29" t="n">
        <v>4.41564949907271</v>
      </c>
      <c r="T21" s="29" t="n">
        <v>8.073394274158753</v>
      </c>
      <c r="U21" s="29" t="n">
        <v>0.3784108073114111</v>
      </c>
      <c r="V21" s="29" t="n">
        <v>2.369598154503907</v>
      </c>
      <c r="W21" s="29" t="n">
        <v>2.031642276290416</v>
      </c>
      <c r="X21" s="29" t="n">
        <v>5.329142720338487</v>
      </c>
      <c r="Y21" s="29" t="n">
        <v>85.75226295495246</v>
      </c>
      <c r="Z21" s="29" t="n">
        <v>4.948646578811383</v>
      </c>
      <c r="AA21" s="29" t="n">
        <v>-0.4184999435948161</v>
      </c>
      <c r="AB21" s="29" t="n">
        <v>0.2380656877903354</v>
      </c>
      <c r="AC21" s="29" t="n">
        <v>4.974483274401607</v>
      </c>
      <c r="AD21" s="29" t="n">
        <v>1.008988303027847</v>
      </c>
      <c r="AE21" s="29" t="n">
        <v>6.126967005037671</v>
      </c>
      <c r="AF21" s="29" t="n">
        <v>2.856568311220585</v>
      </c>
      <c r="AG21" s="29" t="n">
        <v>16.20541802522768</v>
      </c>
      <c r="AH21" s="29" t="n">
        <v>115.7721293354909</v>
      </c>
      <c r="AI21" s="29" t="n">
        <v>5.427313090845757</v>
      </c>
      <c r="AJ21" s="29" t="n">
        <v>141.3100474903514</v>
      </c>
      <c r="AK21" s="29" t="n">
        <v>2.453688403118133</v>
      </c>
      <c r="AL21" s="29" t="n">
        <v>64.27310801311576</v>
      </c>
      <c r="AM21" s="29" t="n">
        <v>12.63740089969491</v>
      </c>
      <c r="AN21" s="29" t="n">
        <v>9.096168330181252</v>
      </c>
      <c r="AO21" s="29" t="n">
        <v>-1.155099543546547</v>
      </c>
      <c r="AP21" s="29" t="n">
        <v>0.9378832781332965</v>
      </c>
      <c r="AQ21" s="29" t="n">
        <v>0.2383894066970029</v>
      </c>
      <c r="AR21" s="29" t="n">
        <v>2.682688183227501</v>
      </c>
      <c r="AS21" s="29" t="n">
        <v>36.26605826924933</v>
      </c>
      <c r="AT21" s="29" t="n">
        <v>2.754989735803669</v>
      </c>
      <c r="AU21" s="29" t="n">
        <v>0.2365405338596394</v>
      </c>
      <c r="AV21" s="29" t="n">
        <v>1.424318107418775</v>
      </c>
      <c r="AW21" s="29" t="n">
        <v>57.67222351472706</v>
      </c>
      <c r="AX21" s="29" t="n">
        <v>0</v>
      </c>
      <c r="AY21" s="29" t="n">
        <v>5.433188541686504</v>
      </c>
      <c r="AZ21" s="29" t="n">
        <v>2.494910338428339</v>
      </c>
      <c r="BA21" s="29" t="n">
        <v>4.553068397565783</v>
      </c>
      <c r="BB21" s="29">
        <f>SUM(C21:BA21)</f>
        <v/>
      </c>
      <c r="BC21" s="29" t="n">
        <v>0</v>
      </c>
      <c r="BD21" s="29" t="n">
        <v>0</v>
      </c>
      <c r="BE21" s="29" t="n">
        <v>0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2.125203423605016</v>
      </c>
      <c r="D22" s="27" t="n">
        <v>0.1226647714548417</v>
      </c>
      <c r="E22" s="27" t="n">
        <v>7.825168568160147</v>
      </c>
      <c r="F22" s="27" t="n">
        <v>0.04427319899345211</v>
      </c>
      <c r="G22" s="27" t="n">
        <v>0.963897285039643</v>
      </c>
      <c r="H22" s="27" t="n">
        <v>-0.9953724485455335</v>
      </c>
      <c r="I22" s="27" t="n">
        <v>-0.08618729017856541</v>
      </c>
      <c r="J22" s="27" t="n">
        <v>19.39300471799959</v>
      </c>
      <c r="K22" s="27" t="n">
        <v>313.3023322074301</v>
      </c>
      <c r="L22" s="27" t="n">
        <v>13.59707409929557</v>
      </c>
      <c r="M22" s="27" t="n">
        <v>-0.0638320437088252</v>
      </c>
      <c r="N22" s="27" t="n">
        <v>-0.1794059005298644</v>
      </c>
      <c r="O22" s="27" t="n">
        <v>0.06738738123969888</v>
      </c>
      <c r="P22" s="27" t="n">
        <v>-0.03721510817321521</v>
      </c>
      <c r="Q22" s="27" t="n">
        <v>-0.06383237583894572</v>
      </c>
      <c r="R22" s="27" t="n">
        <v>-0.03214524613597974</v>
      </c>
      <c r="S22" s="27" t="n">
        <v>-0.1564993408801751</v>
      </c>
      <c r="T22" s="27" t="n">
        <v>-0.2182819866103666</v>
      </c>
      <c r="U22" s="27" t="n">
        <v>0.4138631444552006</v>
      </c>
      <c r="V22" s="27" t="n">
        <v>0.06036350063102244</v>
      </c>
      <c r="W22" s="27" t="n">
        <v>0.0731886588200916</v>
      </c>
      <c r="X22" s="27" t="n">
        <v>-0.1953856639254693</v>
      </c>
      <c r="Y22" s="27" t="n">
        <v>0.4595657888020914</v>
      </c>
      <c r="Z22" s="27" t="n">
        <v>1.565133351035411</v>
      </c>
      <c r="AA22" s="27" t="n">
        <v>0.6523349629806642</v>
      </c>
      <c r="AB22" s="27" t="n">
        <v>-0.05599495842355228</v>
      </c>
      <c r="AC22" s="27" t="n">
        <v>5.631515688374331</v>
      </c>
      <c r="AD22" s="27" t="n">
        <v>1.098159413330601</v>
      </c>
      <c r="AE22" s="27" t="n">
        <v>0.03662385137933588</v>
      </c>
      <c r="AF22" s="27" t="n">
        <v>-0.418593994798734</v>
      </c>
      <c r="AG22" s="27" t="n">
        <v>0.1896990559821854</v>
      </c>
      <c r="AH22" s="27" t="n">
        <v>2.42502741324151</v>
      </c>
      <c r="AI22" s="27" t="n">
        <v>0.2198126874492826</v>
      </c>
      <c r="AJ22" s="27" t="n">
        <v>2.57562982041018</v>
      </c>
      <c r="AK22" s="27" t="n">
        <v>22.54368524882796</v>
      </c>
      <c r="AL22" s="27" t="n">
        <v>7.272886813591285</v>
      </c>
      <c r="AM22" s="27" t="n">
        <v>28.04411274856376</v>
      </c>
      <c r="AN22" s="27" t="n">
        <v>53.12739041646643</v>
      </c>
      <c r="AO22" s="27" t="n">
        <v>16.35749728782572</v>
      </c>
      <c r="AP22" s="27" t="n">
        <v>62.68318691271047</v>
      </c>
      <c r="AQ22" s="27" t="n">
        <v>3.422129566254918</v>
      </c>
      <c r="AR22" s="27" t="n">
        <v>0.06127511678211303</v>
      </c>
      <c r="AS22" s="27" t="n">
        <v>25.48349779085094</v>
      </c>
      <c r="AT22" s="27" t="n">
        <v>42.33983780137148</v>
      </c>
      <c r="AU22" s="27" t="n">
        <v>0.1598079546021897</v>
      </c>
      <c r="AV22" s="27" t="n">
        <v>3.550218606704022</v>
      </c>
      <c r="AW22" s="27" t="n">
        <v>154.162049624996</v>
      </c>
      <c r="AX22" s="27" t="n">
        <v>0</v>
      </c>
      <c r="AY22" s="27" t="n">
        <v>90.45388744647572</v>
      </c>
      <c r="AZ22" s="27" t="n">
        <v>7.911140613635345</v>
      </c>
      <c r="BA22" s="27" t="n">
        <v>65.12888902146287</v>
      </c>
      <c r="BB22" s="27">
        <f>SUM(C22:BA22)</f>
        <v/>
      </c>
      <c r="BC22" s="27" t="n">
        <v>0</v>
      </c>
      <c r="BD22" s="27" t="n">
        <v>0</v>
      </c>
      <c r="BE22" s="27" t="n">
        <v>0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0.1183124954635921</v>
      </c>
      <c r="D23" s="29" t="n">
        <v>0.2425101958638081</v>
      </c>
      <c r="E23" s="29" t="n">
        <v>0.6040896760807463</v>
      </c>
      <c r="F23" s="29" t="n">
        <v>-0.07145023603306856</v>
      </c>
      <c r="G23" s="29" t="n">
        <v>1.093261937467604</v>
      </c>
      <c r="H23" s="29" t="n">
        <v>-0.4842699664313669</v>
      </c>
      <c r="I23" s="29" t="n">
        <v>-0.08846706434273391</v>
      </c>
      <c r="J23" s="29" t="n">
        <v>0.1039923756345091</v>
      </c>
      <c r="K23" s="29" t="n">
        <v>2.756242211164022</v>
      </c>
      <c r="L23" s="29" t="n">
        <v>743.5261225225926</v>
      </c>
      <c r="M23" s="29" t="n">
        <v>0.08419957557042246</v>
      </c>
      <c r="N23" s="29" t="n">
        <v>7.630989199427018</v>
      </c>
      <c r="O23" s="29" t="n">
        <v>0.1360927371107264</v>
      </c>
      <c r="P23" s="29" t="n">
        <v>0.03850420905777972</v>
      </c>
      <c r="Q23" s="29" t="n">
        <v>-0.01263739430928495</v>
      </c>
      <c r="R23" s="29" t="n">
        <v>0.105456182874579</v>
      </c>
      <c r="S23" s="29" t="n">
        <v>0.02071524702433257</v>
      </c>
      <c r="T23" s="29" t="n">
        <v>0.007621926561859061</v>
      </c>
      <c r="U23" s="29" t="n">
        <v>0.1628275876630029</v>
      </c>
      <c r="V23" s="29" t="n">
        <v>0.5350127237232131</v>
      </c>
      <c r="W23" s="29" t="n">
        <v>0.3305757265503746</v>
      </c>
      <c r="X23" s="29" t="n">
        <v>0.9427126333293897</v>
      </c>
      <c r="Y23" s="29" t="n">
        <v>-0.1222402164918572</v>
      </c>
      <c r="Z23" s="29" t="n">
        <v>-0.2685412924213963</v>
      </c>
      <c r="AA23" s="29" t="n">
        <v>-0.3645593661425943</v>
      </c>
      <c r="AB23" s="29" t="n">
        <v>-0.1659155265197932</v>
      </c>
      <c r="AC23" s="29" t="n">
        <v>2.049625663637329</v>
      </c>
      <c r="AD23" s="29" t="n">
        <v>-0.570669252806715</v>
      </c>
      <c r="AE23" s="29" t="n">
        <v>-0.2640202610552618</v>
      </c>
      <c r="AF23" s="29" t="n">
        <v>3.018831519699374</v>
      </c>
      <c r="AG23" s="29" t="n">
        <v>0.3113825209130935</v>
      </c>
      <c r="AH23" s="29" t="n">
        <v>0.8354351208322681</v>
      </c>
      <c r="AI23" s="29" t="n">
        <v>-0.0069024571174639</v>
      </c>
      <c r="AJ23" s="29" t="n">
        <v>1.291016889736806</v>
      </c>
      <c r="AK23" s="29" t="n">
        <v>7.831458404838537</v>
      </c>
      <c r="AL23" s="29" t="n">
        <v>3.63924977482001</v>
      </c>
      <c r="AM23" s="29" t="n">
        <v>-1.073880571319572</v>
      </c>
      <c r="AN23" s="29" t="n">
        <v>-1.530662582560196</v>
      </c>
      <c r="AO23" s="29" t="n">
        <v>0.9891675047438485</v>
      </c>
      <c r="AP23" s="29" t="n">
        <v>0.9378077223838494</v>
      </c>
      <c r="AQ23" s="29" t="n">
        <v>0.1159286316731926</v>
      </c>
      <c r="AR23" s="29" t="n">
        <v>0.006432862677894814</v>
      </c>
      <c r="AS23" s="29" t="n">
        <v>0.912013564370645</v>
      </c>
      <c r="AT23" s="29" t="n">
        <v>4.728090777590326</v>
      </c>
      <c r="AU23" s="29" t="n">
        <v>0.1476526184133195</v>
      </c>
      <c r="AV23" s="29" t="n">
        <v>-0.1196912198209306</v>
      </c>
      <c r="AW23" s="29" t="n">
        <v>1.642713965742852</v>
      </c>
      <c r="AX23" s="29" t="n">
        <v>0</v>
      </c>
      <c r="AY23" s="29" t="n">
        <v>0.7595063685678083</v>
      </c>
      <c r="AZ23" s="29" t="n">
        <v>0.1801218727845354</v>
      </c>
      <c r="BA23" s="29" t="n">
        <v>2.304321404000242</v>
      </c>
      <c r="BB23" s="29">
        <f>SUM(C23:BA23)</f>
        <v/>
      </c>
      <c r="BC23" s="29" t="n">
        <v>0</v>
      </c>
      <c r="BD23" s="29" t="n">
        <v>0</v>
      </c>
      <c r="BE23" s="29" t="n">
        <v>0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18.80125814983838</v>
      </c>
      <c r="D24" s="27" t="n">
        <v>14.47634608190141</v>
      </c>
      <c r="E24" s="27" t="n">
        <v>0.3352813236414914</v>
      </c>
      <c r="F24" s="27" t="n">
        <v>0.122451002634331</v>
      </c>
      <c r="G24" s="27" t="n">
        <v>0.4511694619248136</v>
      </c>
      <c r="H24" s="27" t="n">
        <v>23.62784695618359</v>
      </c>
      <c r="I24" s="27" t="n">
        <v>0.02769018036140179</v>
      </c>
      <c r="J24" s="27" t="n">
        <v>2.176314840422495</v>
      </c>
      <c r="K24" s="27" t="n">
        <v>0.6431628093114361</v>
      </c>
      <c r="L24" s="27" t="n">
        <v>0.1498412049531716</v>
      </c>
      <c r="M24" s="27" t="n">
        <v>290.5825247011688</v>
      </c>
      <c r="N24" s="27" t="n">
        <v>24.6304155750751</v>
      </c>
      <c r="O24" s="27" t="n">
        <v>0.2695451133396993</v>
      </c>
      <c r="P24" s="27" t="n">
        <v>0.04464586363609355</v>
      </c>
      <c r="Q24" s="27" t="n">
        <v>0.006444451970687931</v>
      </c>
      <c r="R24" s="27" t="n">
        <v>1.390554398797705</v>
      </c>
      <c r="S24" s="27" t="n">
        <v>0.09478418142935377</v>
      </c>
      <c r="T24" s="27" t="n">
        <v>0.05165734983729527</v>
      </c>
      <c r="U24" s="27" t="n">
        <v>0.6505609699648698</v>
      </c>
      <c r="V24" s="27" t="n">
        <v>0.3999574468394224</v>
      </c>
      <c r="W24" s="27" t="n">
        <v>0.2301578854502937</v>
      </c>
      <c r="X24" s="27" t="n">
        <v>2.222450032976793</v>
      </c>
      <c r="Y24" s="27" t="n">
        <v>1.542287778504058</v>
      </c>
      <c r="Z24" s="27" t="n">
        <v>2.401373645825798</v>
      </c>
      <c r="AA24" s="27" t="n">
        <v>1.715478894155351</v>
      </c>
      <c r="AB24" s="27" t="n">
        <v>0.6419807950261535</v>
      </c>
      <c r="AC24" s="27" t="n">
        <v>12.2765119932553</v>
      </c>
      <c r="AD24" s="27" t="n">
        <v>17.77690929317539</v>
      </c>
      <c r="AE24" s="27" t="n">
        <v>0.8445241460937771</v>
      </c>
      <c r="AF24" s="27" t="n">
        <v>0.3212257216882757</v>
      </c>
      <c r="AG24" s="27" t="n">
        <v>10.1633564880399</v>
      </c>
      <c r="AH24" s="27" t="n">
        <v>5.262437309158233</v>
      </c>
      <c r="AI24" s="27" t="n">
        <v>5.997771673145849</v>
      </c>
      <c r="AJ24" s="27" t="n">
        <v>365.294172463396</v>
      </c>
      <c r="AK24" s="27" t="n">
        <v>19.58362885073205</v>
      </c>
      <c r="AL24" s="27" t="n">
        <v>319.2870947871199</v>
      </c>
      <c r="AM24" s="27" t="n">
        <v>83.47746460716114</v>
      </c>
      <c r="AN24" s="27" t="n">
        <v>3.48167991343307</v>
      </c>
      <c r="AO24" s="27" t="n">
        <v>9.444934966338005</v>
      </c>
      <c r="AP24" s="27" t="n">
        <v>0.4463514469876483</v>
      </c>
      <c r="AQ24" s="27" t="n">
        <v>17.79896126673573</v>
      </c>
      <c r="AR24" s="27" t="n">
        <v>0.08702868476561983</v>
      </c>
      <c r="AS24" s="27" t="n">
        <v>0.3900863688775733</v>
      </c>
      <c r="AT24" s="27" t="n">
        <v>1.12226335900492</v>
      </c>
      <c r="AU24" s="27" t="n">
        <v>0.2129925082342569</v>
      </c>
      <c r="AV24" s="27" t="n">
        <v>0.185664861590104</v>
      </c>
      <c r="AW24" s="27" t="n">
        <v>17.54397916998708</v>
      </c>
      <c r="AX24" s="27" t="n">
        <v>0</v>
      </c>
      <c r="AY24" s="27" t="n">
        <v>3.33235096439368</v>
      </c>
      <c r="AZ24" s="27" t="n">
        <v>0.3064947456800625</v>
      </c>
      <c r="BA24" s="27" t="n">
        <v>3.592950338830486</v>
      </c>
      <c r="BB24" s="27">
        <f>SUM(C24:BA24)</f>
        <v/>
      </c>
      <c r="BC24" s="27" t="n">
        <v>0</v>
      </c>
      <c r="BD24" s="27" t="n">
        <v>0</v>
      </c>
      <c r="BE24" s="27" t="n">
        <v>0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33.27244597970878</v>
      </c>
      <c r="D25" s="29" t="n">
        <v>14.17891857094955</v>
      </c>
      <c r="E25" s="29" t="n">
        <v>4.989611622463697</v>
      </c>
      <c r="F25" s="29" t="n">
        <v>7.653133482152324</v>
      </c>
      <c r="G25" s="29" t="n">
        <v>3.401802887278758</v>
      </c>
      <c r="H25" s="29" t="n">
        <v>547.3360990904357</v>
      </c>
      <c r="I25" s="29" t="n">
        <v>119.0412264161865</v>
      </c>
      <c r="J25" s="29" t="n">
        <v>98.42242548306264</v>
      </c>
      <c r="K25" s="29" t="n">
        <v>88.41310657427481</v>
      </c>
      <c r="L25" s="29" t="n">
        <v>92.99392063593415</v>
      </c>
      <c r="M25" s="29" t="n">
        <v>86.44090827115234</v>
      </c>
      <c r="N25" s="29" t="n">
        <v>1275.097854316254</v>
      </c>
      <c r="O25" s="29" t="n">
        <v>171.5909551764816</v>
      </c>
      <c r="P25" s="29" t="n">
        <v>12.92076401412463</v>
      </c>
      <c r="Q25" s="29" t="n">
        <v>2.903399496093513</v>
      </c>
      <c r="R25" s="29" t="n">
        <v>10.85159361623383</v>
      </c>
      <c r="S25" s="29" t="n">
        <v>2.485940889590237</v>
      </c>
      <c r="T25" s="29" t="n">
        <v>73.82772320381277</v>
      </c>
      <c r="U25" s="29" t="n">
        <v>11.98432959446438</v>
      </c>
      <c r="V25" s="29" t="n">
        <v>150.994308943025</v>
      </c>
      <c r="W25" s="29" t="n">
        <v>1.842817326148077</v>
      </c>
      <c r="X25" s="29" t="n">
        <v>8.345892159802329</v>
      </c>
      <c r="Y25" s="29" t="n">
        <v>202.3326357964751</v>
      </c>
      <c r="Z25" s="29" t="n">
        <v>172.1041513374396</v>
      </c>
      <c r="AA25" s="29" t="n">
        <v>8.21159846602713</v>
      </c>
      <c r="AB25" s="29" t="n">
        <v>2.396102931336832</v>
      </c>
      <c r="AC25" s="29" t="n">
        <v>104.1559176514026</v>
      </c>
      <c r="AD25" s="29" t="n">
        <v>25.85898006228842</v>
      </c>
      <c r="AE25" s="29" t="n">
        <v>40.56244897793189</v>
      </c>
      <c r="AF25" s="29" t="n">
        <v>213.2816992536315</v>
      </c>
      <c r="AG25" s="29" t="n">
        <v>26.98600701015487</v>
      </c>
      <c r="AH25" s="29" t="n">
        <v>79.74862441913204</v>
      </c>
      <c r="AI25" s="29" t="n">
        <v>4.087715988812379</v>
      </c>
      <c r="AJ25" s="29" t="n">
        <v>68.51813581618465</v>
      </c>
      <c r="AK25" s="29" t="n">
        <v>14.44355251731324</v>
      </c>
      <c r="AL25" s="29" t="n">
        <v>56.18932716961386</v>
      </c>
      <c r="AM25" s="29" t="n">
        <v>432.6774751828111</v>
      </c>
      <c r="AN25" s="29" t="n">
        <v>50.16963192678054</v>
      </c>
      <c r="AO25" s="29" t="n">
        <v>251.2091438297811</v>
      </c>
      <c r="AP25" s="29" t="n">
        <v>117.5678395751807</v>
      </c>
      <c r="AQ25" s="29" t="n">
        <v>20.16861769950529</v>
      </c>
      <c r="AR25" s="29" t="n">
        <v>3.896704382181484</v>
      </c>
      <c r="AS25" s="29" t="n">
        <v>96.61987131706327</v>
      </c>
      <c r="AT25" s="29" t="n">
        <v>380.3847509511648</v>
      </c>
      <c r="AU25" s="29" t="n">
        <v>36.28403563656713</v>
      </c>
      <c r="AV25" s="29" t="n">
        <v>85.98083343214056</v>
      </c>
      <c r="AW25" s="29" t="n">
        <v>87.55557918555475</v>
      </c>
      <c r="AX25" s="29" t="n">
        <v>0</v>
      </c>
      <c r="AY25" s="29" t="n">
        <v>64.51301192939371</v>
      </c>
      <c r="AZ25" s="29" t="n">
        <v>13.0848315800168</v>
      </c>
      <c r="BA25" s="29" t="n">
        <v>82.69425258789622</v>
      </c>
      <c r="BB25" s="29">
        <f>SUM(C25:BA25)</f>
        <v/>
      </c>
      <c r="BC25" s="29" t="n">
        <v>0</v>
      </c>
      <c r="BD25" s="29" t="n">
        <v>0</v>
      </c>
      <c r="BE25" s="29" t="n">
        <v>0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0.7358833168550853</v>
      </c>
      <c r="D26" s="27" t="n">
        <v>0.267040960229475</v>
      </c>
      <c r="E26" s="27" t="n">
        <v>0.5211334466261501</v>
      </c>
      <c r="F26" s="27" t="n">
        <v>0.7627186331797053</v>
      </c>
      <c r="G26" s="27" t="n">
        <v>0.7085662012185076</v>
      </c>
      <c r="H26" s="27" t="n">
        <v>34.55478431386243</v>
      </c>
      <c r="I26" s="27" t="n">
        <v>1.552546793276389</v>
      </c>
      <c r="J26" s="27" t="n">
        <v>2.631783933384092</v>
      </c>
      <c r="K26" s="27" t="n">
        <v>5.622324578716451</v>
      </c>
      <c r="L26" s="27" t="n">
        <v>2.551450521844259</v>
      </c>
      <c r="M26" s="27" t="n">
        <v>2.566598225537966</v>
      </c>
      <c r="N26" s="27" t="n">
        <v>20.9459714565199</v>
      </c>
      <c r="O26" s="27" t="n">
        <v>143.7439332006738</v>
      </c>
      <c r="P26" s="27" t="n">
        <v>0.4924739546272283</v>
      </c>
      <c r="Q26" s="27" t="n">
        <v>0.3280270632881054</v>
      </c>
      <c r="R26" s="27" t="n">
        <v>0.36741720873287</v>
      </c>
      <c r="S26" s="27" t="n">
        <v>0.06224723694265463</v>
      </c>
      <c r="T26" s="27" t="n">
        <v>1.562132074681525</v>
      </c>
      <c r="U26" s="27" t="n">
        <v>1.201949721547435</v>
      </c>
      <c r="V26" s="27" t="n">
        <v>2.080580837306985</v>
      </c>
      <c r="W26" s="27" t="n">
        <v>0.3145868352914479</v>
      </c>
      <c r="X26" s="27" t="n">
        <v>0.5211933795537108</v>
      </c>
      <c r="Y26" s="27" t="n">
        <v>4.298407991475892</v>
      </c>
      <c r="Z26" s="27" t="n">
        <v>3.216525831564554</v>
      </c>
      <c r="AA26" s="27" t="n">
        <v>1.58628198844441</v>
      </c>
      <c r="AB26" s="27" t="n">
        <v>0.1186314997007505</v>
      </c>
      <c r="AC26" s="27" t="n">
        <v>2.669065470831343</v>
      </c>
      <c r="AD26" s="27" t="n">
        <v>2.168946481836156</v>
      </c>
      <c r="AE26" s="27" t="n">
        <v>1.287510995451077</v>
      </c>
      <c r="AF26" s="27" t="n">
        <v>18.10145312642784</v>
      </c>
      <c r="AG26" s="27" t="n">
        <v>2.215298736685843</v>
      </c>
      <c r="AH26" s="27" t="n">
        <v>3.373319441943872</v>
      </c>
      <c r="AI26" s="27" t="n">
        <v>0.2904205102139273</v>
      </c>
      <c r="AJ26" s="27" t="n">
        <v>6.744718341627603</v>
      </c>
      <c r="AK26" s="27" t="n">
        <v>2.293607949313305</v>
      </c>
      <c r="AL26" s="27" t="n">
        <v>5.067748940876616</v>
      </c>
      <c r="AM26" s="27" t="n">
        <v>371.6506944449114</v>
      </c>
      <c r="AN26" s="27" t="n">
        <v>11.11280107658545</v>
      </c>
      <c r="AO26" s="27" t="n">
        <v>381.2536584685727</v>
      </c>
      <c r="AP26" s="27" t="n">
        <v>112.6174295977861</v>
      </c>
      <c r="AQ26" s="27" t="n">
        <v>18.56793636986345</v>
      </c>
      <c r="AR26" s="27" t="n">
        <v>0.07378745815719712</v>
      </c>
      <c r="AS26" s="27" t="n">
        <v>4.666985676229768</v>
      </c>
      <c r="AT26" s="27" t="n">
        <v>381.3174490453797</v>
      </c>
      <c r="AU26" s="27" t="n">
        <v>1.74228299081266</v>
      </c>
      <c r="AV26" s="27" t="n">
        <v>2.576903883412405</v>
      </c>
      <c r="AW26" s="27" t="n">
        <v>79.05860417852645</v>
      </c>
      <c r="AX26" s="27" t="n">
        <v>0</v>
      </c>
      <c r="AY26" s="27" t="n">
        <v>8.220574030608796</v>
      </c>
      <c r="AZ26" s="27" t="n">
        <v>3.502273392073337</v>
      </c>
      <c r="BA26" s="27" t="n">
        <v>65.98516650584524</v>
      </c>
      <c r="BB26" s="27">
        <f>SUM(C26:BA26)</f>
        <v/>
      </c>
      <c r="BC26" s="27" t="n">
        <v>0</v>
      </c>
      <c r="BD26" s="27" t="n">
        <v>0</v>
      </c>
      <c r="BE26" s="27" t="n">
        <v>0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359.0535212992914</v>
      </c>
      <c r="D27" s="29" t="n">
        <v>196.0574634936708</v>
      </c>
      <c r="E27" s="29" t="n">
        <v>40.83294869642237</v>
      </c>
      <c r="F27" s="29" t="n">
        <v>72.86997262684119</v>
      </c>
      <c r="G27" s="29" t="n">
        <v>96.53427487908864</v>
      </c>
      <c r="H27" s="29" t="n">
        <v>326.9950172641801</v>
      </c>
      <c r="I27" s="29" t="n">
        <v>1.499230202126262</v>
      </c>
      <c r="J27" s="29" t="n">
        <v>17.72497620974355</v>
      </c>
      <c r="K27" s="29" t="n">
        <v>7.550223589770697</v>
      </c>
      <c r="L27" s="29" t="n">
        <v>11.6369247093149</v>
      </c>
      <c r="M27" s="29" t="n">
        <v>20.63495518578845</v>
      </c>
      <c r="N27" s="29" t="n">
        <v>53.18421738295681</v>
      </c>
      <c r="O27" s="29" t="n">
        <v>1.579682798404169</v>
      </c>
      <c r="P27" s="29" t="n">
        <v>7769.597318134278</v>
      </c>
      <c r="Q27" s="29" t="n">
        <v>21.19188952580188</v>
      </c>
      <c r="R27" s="29" t="n">
        <v>393.0282901508382</v>
      </c>
      <c r="S27" s="29" t="n">
        <v>23.1521227168204</v>
      </c>
      <c r="T27" s="29" t="n">
        <v>7.647277229350455</v>
      </c>
      <c r="U27" s="29" t="n">
        <v>11.65956482429508</v>
      </c>
      <c r="V27" s="29" t="n">
        <v>18.98921332250877</v>
      </c>
      <c r="W27" s="29" t="n">
        <v>17.53484146903499</v>
      </c>
      <c r="X27" s="29" t="n">
        <v>25.50806340476115</v>
      </c>
      <c r="Y27" s="29" t="n">
        <v>61.98060896509612</v>
      </c>
      <c r="Z27" s="29" t="n">
        <v>118.8354391998853</v>
      </c>
      <c r="AA27" s="29" t="n">
        <v>147.9106270711968</v>
      </c>
      <c r="AB27" s="29" t="n">
        <v>80.8593146442667</v>
      </c>
      <c r="AC27" s="29" t="n">
        <v>15.0311074164787</v>
      </c>
      <c r="AD27" s="29" t="n">
        <v>26.14578257793594</v>
      </c>
      <c r="AE27" s="29" t="n">
        <v>21.26833315956129</v>
      </c>
      <c r="AF27" s="29" t="n">
        <v>11.49663607489781</v>
      </c>
      <c r="AG27" s="29" t="n">
        <v>33.03441028281745</v>
      </c>
      <c r="AH27" s="29" t="n">
        <v>16.39933812669645</v>
      </c>
      <c r="AI27" s="29" t="n">
        <v>3.27967884977821</v>
      </c>
      <c r="AJ27" s="29" t="n">
        <v>11.04702704496618</v>
      </c>
      <c r="AK27" s="29" t="n">
        <v>225.5584933773209</v>
      </c>
      <c r="AL27" s="29" t="n">
        <v>418.453030610528</v>
      </c>
      <c r="AM27" s="29" t="n">
        <v>487.3775595300547</v>
      </c>
      <c r="AN27" s="29" t="n">
        <v>2955.077645560321</v>
      </c>
      <c r="AO27" s="29" t="n">
        <v>28.83138504746659</v>
      </c>
      <c r="AP27" s="29" t="n">
        <v>47.57232789616374</v>
      </c>
      <c r="AQ27" s="29" t="n">
        <v>6.714494652424704</v>
      </c>
      <c r="AR27" s="29" t="n">
        <v>8.546867281689417</v>
      </c>
      <c r="AS27" s="29" t="n">
        <v>45.21775547757375</v>
      </c>
      <c r="AT27" s="29" t="n">
        <v>155.9426834814308</v>
      </c>
      <c r="AU27" s="29" t="n">
        <v>5.565943034872163</v>
      </c>
      <c r="AV27" s="29" t="n">
        <v>25.38322914469317</v>
      </c>
      <c r="AW27" s="29" t="n">
        <v>69.36048428855004</v>
      </c>
      <c r="AX27" s="29" t="n">
        <v>0</v>
      </c>
      <c r="AY27" s="29" t="n">
        <v>26.65861109944142</v>
      </c>
      <c r="AZ27" s="29" t="n">
        <v>8.177584584104761</v>
      </c>
      <c r="BA27" s="29" t="n">
        <v>205.804943524155</v>
      </c>
      <c r="BB27" s="29">
        <f>SUM(C27:BA27)</f>
        <v/>
      </c>
      <c r="BC27" s="29" t="n">
        <v>0</v>
      </c>
      <c r="BD27" s="29" t="n">
        <v>0</v>
      </c>
      <c r="BE27" s="29" t="n">
        <v>0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9.123764792596315</v>
      </c>
      <c r="D28" s="27" t="n">
        <v>9.229886760272557</v>
      </c>
      <c r="E28" s="27" t="n">
        <v>29.92059036615802</v>
      </c>
      <c r="F28" s="27" t="n">
        <v>0.183978637947994</v>
      </c>
      <c r="G28" s="27" t="n">
        <v>0.51858742745688</v>
      </c>
      <c r="H28" s="27" t="n">
        <v>75.97564948994211</v>
      </c>
      <c r="I28" s="27" t="n">
        <v>0.006371537891322581</v>
      </c>
      <c r="J28" s="27" t="n">
        <v>0.1325415347249613</v>
      </c>
      <c r="K28" s="27" t="n">
        <v>0.1057084039325515</v>
      </c>
      <c r="L28" s="27" t="n">
        <v>0.04475762960878456</v>
      </c>
      <c r="M28" s="27" t="n">
        <v>0.08799013144671526</v>
      </c>
      <c r="N28" s="27" t="n">
        <v>0.2988888573319148</v>
      </c>
      <c r="O28" s="27" t="n">
        <v>0.05903985178688589</v>
      </c>
      <c r="P28" s="27" t="n">
        <v>445.0557098601615</v>
      </c>
      <c r="Q28" s="27" t="n">
        <v>20.76650834453804</v>
      </c>
      <c r="R28" s="27" t="n">
        <v>31.64522047463859</v>
      </c>
      <c r="S28" s="27" t="n">
        <v>0.108469785971592</v>
      </c>
      <c r="T28" s="27" t="n">
        <v>54.19302799144202</v>
      </c>
      <c r="U28" s="27" t="n">
        <v>13.13629747170662</v>
      </c>
      <c r="V28" s="27" t="n">
        <v>98.38323880659608</v>
      </c>
      <c r="W28" s="27" t="n">
        <v>17.42049885629486</v>
      </c>
      <c r="X28" s="27" t="n">
        <v>4.676385323251726</v>
      </c>
      <c r="Y28" s="27" t="n">
        <v>0.1562664417166614</v>
      </c>
      <c r="Z28" s="27" t="n">
        <v>0.3153700215790869</v>
      </c>
      <c r="AA28" s="27" t="n">
        <v>0.7757324080507229</v>
      </c>
      <c r="AB28" s="27" t="n">
        <v>0.2865013944968509</v>
      </c>
      <c r="AC28" s="27" t="n">
        <v>2.691895317532326</v>
      </c>
      <c r="AD28" s="27" t="n">
        <v>1.268635801864772</v>
      </c>
      <c r="AE28" s="27" t="n">
        <v>0.2869682634756783</v>
      </c>
      <c r="AF28" s="27" t="n">
        <v>0.03290667561570744</v>
      </c>
      <c r="AG28" s="27" t="n">
        <v>0.8671437968173253</v>
      </c>
      <c r="AH28" s="27" t="n">
        <v>0.2394949623314793</v>
      </c>
      <c r="AI28" s="27" t="n">
        <v>0.03147844007357103</v>
      </c>
      <c r="AJ28" s="27" t="n">
        <v>0.3606733922203228</v>
      </c>
      <c r="AK28" s="27" t="n">
        <v>3.560230607311151</v>
      </c>
      <c r="AL28" s="27" t="n">
        <v>33.12993805611309</v>
      </c>
      <c r="AM28" s="27" t="n">
        <v>19.39209810842193</v>
      </c>
      <c r="AN28" s="27" t="n">
        <v>49.72070136878845</v>
      </c>
      <c r="AO28" s="27" t="n">
        <v>0.3711897423301136</v>
      </c>
      <c r="AP28" s="27" t="n">
        <v>0.1509041896482912</v>
      </c>
      <c r="AQ28" s="27" t="n">
        <v>0.04307796914898638</v>
      </c>
      <c r="AR28" s="27" t="n">
        <v>2.866672890018517</v>
      </c>
      <c r="AS28" s="27" t="n">
        <v>4.966265885129634</v>
      </c>
      <c r="AT28" s="27" t="n">
        <v>11.52893903300872</v>
      </c>
      <c r="AU28" s="27" t="n">
        <v>0.168170240814131</v>
      </c>
      <c r="AV28" s="27" t="n">
        <v>4.087632761370301</v>
      </c>
      <c r="AW28" s="27" t="n">
        <v>5.922011830338651</v>
      </c>
      <c r="AX28" s="27" t="n">
        <v>0</v>
      </c>
      <c r="AY28" s="27" t="n">
        <v>4.650842589248473</v>
      </c>
      <c r="AZ28" s="27" t="n">
        <v>1.948794628896229</v>
      </c>
      <c r="BA28" s="27" t="n">
        <v>42.13910123604249</v>
      </c>
      <c r="BB28" s="27">
        <f>SUM(C28:BA28)</f>
        <v/>
      </c>
      <c r="BC28" s="27" t="n">
        <v>0</v>
      </c>
      <c r="BD28" s="27" t="n">
        <v>0</v>
      </c>
      <c r="BE28" s="27" t="n">
        <v>0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2003.925924228439</v>
      </c>
      <c r="D29" s="29" t="n">
        <v>301.1748539868824</v>
      </c>
      <c r="E29" s="29" t="n">
        <v>207.2695692696115</v>
      </c>
      <c r="F29" s="29" t="n">
        <v>23.90928623066279</v>
      </c>
      <c r="G29" s="29" t="n">
        <v>45.93913218080947</v>
      </c>
      <c r="H29" s="29" t="n">
        <v>185.1792673083868</v>
      </c>
      <c r="I29" s="29" t="n">
        <v>0.03277313955352262</v>
      </c>
      <c r="J29" s="29" t="n">
        <v>250.5527739700129</v>
      </c>
      <c r="K29" s="29" t="n">
        <v>25.68445940346577</v>
      </c>
      <c r="L29" s="29" t="n">
        <v>138.0409702638921</v>
      </c>
      <c r="M29" s="29" t="n">
        <v>6.958073399840321</v>
      </c>
      <c r="N29" s="29" t="n">
        <v>338.8954751437236</v>
      </c>
      <c r="O29" s="29" t="n">
        <v>4.668508657394817</v>
      </c>
      <c r="P29" s="29" t="n">
        <v>152.0116596835972</v>
      </c>
      <c r="Q29" s="29" t="n">
        <v>41.97725187636944</v>
      </c>
      <c r="R29" s="29" t="n">
        <v>2977.408956692708</v>
      </c>
      <c r="S29" s="29" t="n">
        <v>1536.193684607837</v>
      </c>
      <c r="T29" s="29" t="n">
        <v>189.3366415166735</v>
      </c>
      <c r="U29" s="29" t="n">
        <v>499.4007887219976</v>
      </c>
      <c r="V29" s="29" t="n">
        <v>466.5458488213172</v>
      </c>
      <c r="W29" s="29" t="n">
        <v>472.2134009314714</v>
      </c>
      <c r="X29" s="29" t="n">
        <v>600.1336860463164</v>
      </c>
      <c r="Y29" s="29" t="n">
        <v>376.1347105127778</v>
      </c>
      <c r="Z29" s="29" t="n">
        <v>181.5482052968409</v>
      </c>
      <c r="AA29" s="29" t="n">
        <v>186.2251164074292</v>
      </c>
      <c r="AB29" s="29" t="n">
        <v>120.019157362457</v>
      </c>
      <c r="AC29" s="29" t="n">
        <v>77.41399933328148</v>
      </c>
      <c r="AD29" s="29" t="n">
        <v>24.87627916659111</v>
      </c>
      <c r="AE29" s="29" t="n">
        <v>37.40506371825373</v>
      </c>
      <c r="AF29" s="29" t="n">
        <v>18.37838561522772</v>
      </c>
      <c r="AG29" s="29" t="n">
        <v>4.295085971748053</v>
      </c>
      <c r="AH29" s="29" t="n">
        <v>9.003627708523076</v>
      </c>
      <c r="AI29" s="29" t="n">
        <v>10.54976540001266</v>
      </c>
      <c r="AJ29" s="29" t="n">
        <v>40.28772414284596</v>
      </c>
      <c r="AK29" s="29" t="n">
        <v>124.6888149504589</v>
      </c>
      <c r="AL29" s="29" t="n">
        <v>18.31904685531673</v>
      </c>
      <c r="AM29" s="29" t="n">
        <v>55.41842888253714</v>
      </c>
      <c r="AN29" s="29" t="n">
        <v>0.1916423219237288</v>
      </c>
      <c r="AO29" s="29" t="n">
        <v>-1.311627720016674</v>
      </c>
      <c r="AP29" s="29" t="n">
        <v>2.062394524973702</v>
      </c>
      <c r="AQ29" s="29" t="n">
        <v>0.9538668042596429</v>
      </c>
      <c r="AR29" s="29" t="n">
        <v>0.06178114601914819</v>
      </c>
      <c r="AS29" s="29" t="n">
        <v>3.299593683741691</v>
      </c>
      <c r="AT29" s="29" t="n">
        <v>19.97729437491432</v>
      </c>
      <c r="AU29" s="29" t="n">
        <v>1.724463539685333</v>
      </c>
      <c r="AV29" s="29" t="n">
        <v>109.8401810138083</v>
      </c>
      <c r="AW29" s="29" t="n">
        <v>49.35773517849695</v>
      </c>
      <c r="AX29" s="29" t="n">
        <v>0</v>
      </c>
      <c r="AY29" s="29" t="n">
        <v>10.15656991770598</v>
      </c>
      <c r="AZ29" s="29" t="n">
        <v>30.45317788329545</v>
      </c>
      <c r="BA29" s="29" t="n">
        <v>4.085852669471077</v>
      </c>
      <c r="BB29" s="29">
        <f>SUM(C29:BA29)</f>
        <v/>
      </c>
      <c r="BC29" s="29" t="n">
        <v>0</v>
      </c>
      <c r="BD29" s="29" t="n">
        <v>0</v>
      </c>
      <c r="BE29" s="29" t="n">
        <v>0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32.62841880214841</v>
      </c>
      <c r="D30" s="27" t="n">
        <v>6.400657351947218</v>
      </c>
      <c r="E30" s="27" t="n">
        <v>81.11107777238033</v>
      </c>
      <c r="F30" s="27" t="n">
        <v>0.8719122129036971</v>
      </c>
      <c r="G30" s="27" t="n">
        <v>1.527842230003358</v>
      </c>
      <c r="H30" s="27" t="n">
        <v>4.799952410579897</v>
      </c>
      <c r="I30" s="27" t="n">
        <v>3.940147537010522</v>
      </c>
      <c r="J30" s="27" t="n">
        <v>624.1576127981956</v>
      </c>
      <c r="K30" s="27" t="n">
        <v>1.696360524708654</v>
      </c>
      <c r="L30" s="27" t="n">
        <v>185.59917497506</v>
      </c>
      <c r="M30" s="27" t="n">
        <v>81.94191565935537</v>
      </c>
      <c r="N30" s="27" t="n">
        <v>154.3382065706616</v>
      </c>
      <c r="O30" s="27" t="n">
        <v>6.799184608763893</v>
      </c>
      <c r="P30" s="27" t="n">
        <v>0.270845559568811</v>
      </c>
      <c r="Q30" s="27" t="n">
        <v>0.5137318754104812</v>
      </c>
      <c r="R30" s="27" t="n">
        <v>55.34530386524339</v>
      </c>
      <c r="S30" s="27" t="n">
        <v>264.3048794032838</v>
      </c>
      <c r="T30" s="27" t="n">
        <v>11.60289142353785</v>
      </c>
      <c r="U30" s="27" t="n">
        <v>12.52208388045462</v>
      </c>
      <c r="V30" s="27" t="n">
        <v>107.2251985478094</v>
      </c>
      <c r="W30" s="27" t="n">
        <v>117.5399374641895</v>
      </c>
      <c r="X30" s="27" t="n">
        <v>114.2293078673056</v>
      </c>
      <c r="Y30" s="27" t="n">
        <v>1716.237567473416</v>
      </c>
      <c r="Z30" s="27" t="n">
        <v>187.3857424454831</v>
      </c>
      <c r="AA30" s="27" t="n">
        <v>3.392569937143795</v>
      </c>
      <c r="AB30" s="27" t="n">
        <v>25.58357086130346</v>
      </c>
      <c r="AC30" s="27" t="n">
        <v>91.6819555456613</v>
      </c>
      <c r="AD30" s="27" t="n">
        <v>20.51919410908248</v>
      </c>
      <c r="AE30" s="27" t="n">
        <v>296.7182988647264</v>
      </c>
      <c r="AF30" s="27" t="n">
        <v>87.14951154128264</v>
      </c>
      <c r="AG30" s="27" t="n">
        <v>10.48845711888043</v>
      </c>
      <c r="AH30" s="27" t="n">
        <v>179.1896077041164</v>
      </c>
      <c r="AI30" s="27" t="n">
        <v>20.54334178065433</v>
      </c>
      <c r="AJ30" s="27" t="n">
        <v>132.6983561001518</v>
      </c>
      <c r="AK30" s="27" t="n">
        <v>1.651778532906535</v>
      </c>
      <c r="AL30" s="27" t="n">
        <v>7.277664527956873</v>
      </c>
      <c r="AM30" s="27" t="n">
        <v>5.062042319690677</v>
      </c>
      <c r="AN30" s="27" t="n">
        <v>2.454377298424717</v>
      </c>
      <c r="AO30" s="27" t="n">
        <v>1.106778772228375</v>
      </c>
      <c r="AP30" s="27" t="n">
        <v>0.5075810674478579</v>
      </c>
      <c r="AQ30" s="27" t="n">
        <v>0.653324005326286</v>
      </c>
      <c r="AR30" s="27" t="n">
        <v>0.01894983872717768</v>
      </c>
      <c r="AS30" s="27" t="n">
        <v>0.1680525875769555</v>
      </c>
      <c r="AT30" s="27" t="n">
        <v>4.286683329194734</v>
      </c>
      <c r="AU30" s="27" t="n">
        <v>0.2754290676293351</v>
      </c>
      <c r="AV30" s="27" t="n">
        <v>7.079694131259939</v>
      </c>
      <c r="AW30" s="27" t="n">
        <v>2.174176088388406</v>
      </c>
      <c r="AX30" s="27" t="n">
        <v>0</v>
      </c>
      <c r="AY30" s="27" t="n">
        <v>0.7026674787859781</v>
      </c>
      <c r="AZ30" s="27" t="n">
        <v>2.047541555548594</v>
      </c>
      <c r="BA30" s="27" t="n">
        <v>1.123639619642432</v>
      </c>
      <c r="BB30" s="27">
        <f>SUM(C30:BA30)</f>
        <v/>
      </c>
      <c r="BC30" s="27" t="n">
        <v>0</v>
      </c>
      <c r="BD30" s="27" t="n">
        <v>0</v>
      </c>
      <c r="BE30" s="27" t="n">
        <v>0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68.86156669787532</v>
      </c>
      <c r="D31" s="29" t="n">
        <v>570.615987147763</v>
      </c>
      <c r="E31" s="29" t="n">
        <v>34.54236942777988</v>
      </c>
      <c r="F31" s="29" t="n">
        <v>0.3602667619530786</v>
      </c>
      <c r="G31" s="29" t="n">
        <v>0.8013410004827276</v>
      </c>
      <c r="H31" s="29" t="n">
        <v>24.79576281958791</v>
      </c>
      <c r="I31" s="29" t="n">
        <v>-0.01022267606872608</v>
      </c>
      <c r="J31" s="29" t="n">
        <v>2.02070336895204</v>
      </c>
      <c r="K31" s="29" t="n">
        <v>2.801687150095406</v>
      </c>
      <c r="L31" s="29" t="n">
        <v>0.7313727145056882</v>
      </c>
      <c r="M31" s="29" t="n">
        <v>0.07969288302488678</v>
      </c>
      <c r="N31" s="29" t="n">
        <v>0.7134268764746613</v>
      </c>
      <c r="O31" s="29" t="n">
        <v>0.7059077164206334</v>
      </c>
      <c r="P31" s="29" t="n">
        <v>0.2686802002504127</v>
      </c>
      <c r="Q31" s="29" t="n">
        <v>0.1367163004452993</v>
      </c>
      <c r="R31" s="29" t="n">
        <v>7.465226052838658</v>
      </c>
      <c r="S31" s="29" t="n">
        <v>6.215049972632277</v>
      </c>
      <c r="T31" s="29" t="n">
        <v>653.1562358446922</v>
      </c>
      <c r="U31" s="29" t="n">
        <v>45.0759238117598</v>
      </c>
      <c r="V31" s="29" t="n">
        <v>5.634575518296152</v>
      </c>
      <c r="W31" s="29" t="n">
        <v>1.74199762463304</v>
      </c>
      <c r="X31" s="29" t="n">
        <v>3.543830161471723</v>
      </c>
      <c r="Y31" s="29" t="n">
        <v>0.8283334924423302</v>
      </c>
      <c r="Z31" s="29" t="n">
        <v>0.1435899298667052</v>
      </c>
      <c r="AA31" s="29" t="n">
        <v>0.5302495305044315</v>
      </c>
      <c r="AB31" s="29" t="n">
        <v>0.3256080538053766</v>
      </c>
      <c r="AC31" s="29" t="n">
        <v>0.8908180813342104</v>
      </c>
      <c r="AD31" s="29" t="n">
        <v>2.128270682076946</v>
      </c>
      <c r="AE31" s="29" t="n">
        <v>-0.007655851635142505</v>
      </c>
      <c r="AF31" s="29" t="n">
        <v>5.334735693736575</v>
      </c>
      <c r="AG31" s="29" t="n">
        <v>0.88932691894422</v>
      </c>
      <c r="AH31" s="29" t="n">
        <v>0.6970428488301288</v>
      </c>
      <c r="AI31" s="29" t="n">
        <v>0.1105150802253883</v>
      </c>
      <c r="AJ31" s="29" t="n">
        <v>0.8094408657730054</v>
      </c>
      <c r="AK31" s="29" t="n">
        <v>0.9302709216457392</v>
      </c>
      <c r="AL31" s="29" t="n">
        <v>3.362366996581704</v>
      </c>
      <c r="AM31" s="29" t="n">
        <v>37.20653121885009</v>
      </c>
      <c r="AN31" s="29" t="n">
        <v>-0.3793975514581593</v>
      </c>
      <c r="AO31" s="29" t="n">
        <v>0.06326575995537177</v>
      </c>
      <c r="AP31" s="29" t="n">
        <v>2.424863678749999</v>
      </c>
      <c r="AQ31" s="29" t="n">
        <v>0.2083081551408036</v>
      </c>
      <c r="AR31" s="29" t="n">
        <v>0.07304265444449441</v>
      </c>
      <c r="AS31" s="29" t="n">
        <v>1.267962145441543</v>
      </c>
      <c r="AT31" s="29" t="n">
        <v>13.69662411328613</v>
      </c>
      <c r="AU31" s="29" t="n">
        <v>25.84288373113935</v>
      </c>
      <c r="AV31" s="29" t="n">
        <v>1369.727534028691</v>
      </c>
      <c r="AW31" s="29" t="n">
        <v>114.3846802366372</v>
      </c>
      <c r="AX31" s="29" t="n">
        <v>0</v>
      </c>
      <c r="AY31" s="29" t="n">
        <v>78.9938260798728</v>
      </c>
      <c r="AZ31" s="29" t="n">
        <v>314.6078798697792</v>
      </c>
      <c r="BA31" s="29" t="n">
        <v>63.69818670964762</v>
      </c>
      <c r="BB31" s="29">
        <f>SUM(C31:BA31)</f>
        <v/>
      </c>
      <c r="BC31" s="29" t="n">
        <v>0</v>
      </c>
      <c r="BD31" s="29" t="n">
        <v>0</v>
      </c>
      <c r="BE31" s="29" t="n">
        <v>0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1154.190578529469</v>
      </c>
      <c r="D32" s="27" t="n">
        <v>122.0727052270329</v>
      </c>
      <c r="E32" s="27" t="n">
        <v>10.86887076998289</v>
      </c>
      <c r="F32" s="27" t="n">
        <v>1.367987684572167</v>
      </c>
      <c r="G32" s="27" t="n">
        <v>6.520409163465057</v>
      </c>
      <c r="H32" s="27" t="n">
        <v>15.32298303416159</v>
      </c>
      <c r="I32" s="27" t="n">
        <v>0.3780072603892438</v>
      </c>
      <c r="J32" s="27" t="n">
        <v>49.07771295526025</v>
      </c>
      <c r="K32" s="27" t="n">
        <v>1.052320520243418</v>
      </c>
      <c r="L32" s="27" t="n">
        <v>15.95401235559403</v>
      </c>
      <c r="M32" s="27" t="n">
        <v>6.506814030783566</v>
      </c>
      <c r="N32" s="27" t="n">
        <v>16.9326159325733</v>
      </c>
      <c r="O32" s="27" t="n">
        <v>1.309606765630681</v>
      </c>
      <c r="P32" s="27" t="n">
        <v>0.8788772363065002</v>
      </c>
      <c r="Q32" s="27" t="n">
        <v>1.755010683075489</v>
      </c>
      <c r="R32" s="27" t="n">
        <v>36.20784964399788</v>
      </c>
      <c r="S32" s="27" t="n">
        <v>71.25094792134227</v>
      </c>
      <c r="T32" s="27" t="n">
        <v>8.875161166000204</v>
      </c>
      <c r="U32" s="27" t="n">
        <v>199.1189290859747</v>
      </c>
      <c r="V32" s="27" t="n">
        <v>66.65200831892624</v>
      </c>
      <c r="W32" s="27" t="n">
        <v>27.78432947435418</v>
      </c>
      <c r="X32" s="27" t="n">
        <v>31.00696268081624</v>
      </c>
      <c r="Y32" s="27" t="n">
        <v>125.7572108126234</v>
      </c>
      <c r="Z32" s="27" t="n">
        <v>13.80559754533389</v>
      </c>
      <c r="AA32" s="27" t="n">
        <v>4.506064636742468</v>
      </c>
      <c r="AB32" s="27" t="n">
        <v>3.170892527473811</v>
      </c>
      <c r="AC32" s="27" t="n">
        <v>10.90455124039341</v>
      </c>
      <c r="AD32" s="27" t="n">
        <v>2.177901902289681</v>
      </c>
      <c r="AE32" s="27" t="n">
        <v>20.37944626252403</v>
      </c>
      <c r="AF32" s="27" t="n">
        <v>6.671247165854409</v>
      </c>
      <c r="AG32" s="27" t="n">
        <v>1.069354547135201</v>
      </c>
      <c r="AH32" s="27" t="n">
        <v>11.93206764016119</v>
      </c>
      <c r="AI32" s="27" t="n">
        <v>1.443380014493943</v>
      </c>
      <c r="AJ32" s="27" t="n">
        <v>10.10582460120353</v>
      </c>
      <c r="AK32" s="27" t="n">
        <v>1.93940754102222</v>
      </c>
      <c r="AL32" s="27" t="n">
        <v>3.264352930191561</v>
      </c>
      <c r="AM32" s="27" t="n">
        <v>6.053382621284626</v>
      </c>
      <c r="AN32" s="27" t="n">
        <v>1.218546640139213</v>
      </c>
      <c r="AO32" s="27" t="n">
        <v>1.619934631688073</v>
      </c>
      <c r="AP32" s="27" t="n">
        <v>1.562275465151813</v>
      </c>
      <c r="AQ32" s="27" t="n">
        <v>0.2455850698700743</v>
      </c>
      <c r="AR32" s="27" t="n">
        <v>0.01066707801117259</v>
      </c>
      <c r="AS32" s="27" t="n">
        <v>0.6497765365992865</v>
      </c>
      <c r="AT32" s="27" t="n">
        <v>10.50805174215994</v>
      </c>
      <c r="AU32" s="27" t="n">
        <v>0.343926542200133</v>
      </c>
      <c r="AV32" s="27" t="n">
        <v>0.665610985706434</v>
      </c>
      <c r="AW32" s="27" t="n">
        <v>73.8811935621973</v>
      </c>
      <c r="AX32" s="27" t="n">
        <v>0</v>
      </c>
      <c r="AY32" s="27" t="n">
        <v>1.27305768947583</v>
      </c>
      <c r="AZ32" s="27" t="n">
        <v>2.63156120065203</v>
      </c>
      <c r="BA32" s="27" t="n">
        <v>1.599957172614271</v>
      </c>
      <c r="BB32" s="27">
        <f>SUM(C32:BA32)</f>
        <v/>
      </c>
      <c r="BC32" s="27" t="n">
        <v>0</v>
      </c>
      <c r="BD32" s="27" t="n">
        <v>0</v>
      </c>
      <c r="BE32" s="27" t="n">
        <v>0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38.81465465051394</v>
      </c>
      <c r="D33" s="29" t="n">
        <v>15.95672890395061</v>
      </c>
      <c r="E33" s="29" t="n">
        <v>14.94557477330081</v>
      </c>
      <c r="F33" s="29" t="n">
        <v>9.07857738837515</v>
      </c>
      <c r="G33" s="29" t="n">
        <v>7.76699671285912</v>
      </c>
      <c r="H33" s="29" t="n">
        <v>41.39938026426838</v>
      </c>
      <c r="I33" s="29" t="n">
        <v>-0.340184408779943</v>
      </c>
      <c r="J33" s="29" t="n">
        <v>14.15116549653398</v>
      </c>
      <c r="K33" s="29" t="n">
        <v>12.00132001076187</v>
      </c>
      <c r="L33" s="29" t="n">
        <v>-1.652334787923193</v>
      </c>
      <c r="M33" s="29" t="n">
        <v>6.04075091504529</v>
      </c>
      <c r="N33" s="29" t="n">
        <v>7.75363913179004</v>
      </c>
      <c r="O33" s="29" t="n">
        <v>1.040915126052269</v>
      </c>
      <c r="P33" s="29" t="n">
        <v>6.852522025981952</v>
      </c>
      <c r="Q33" s="29" t="n">
        <v>0.458464352563475</v>
      </c>
      <c r="R33" s="29" t="n">
        <v>36.98218631683204</v>
      </c>
      <c r="S33" s="29" t="n">
        <v>4.533964326272665</v>
      </c>
      <c r="T33" s="29" t="n">
        <v>9.414639985856107</v>
      </c>
      <c r="U33" s="29" t="n">
        <v>21.27179809230835</v>
      </c>
      <c r="V33" s="29" t="n">
        <v>296.8348159142375</v>
      </c>
      <c r="W33" s="29" t="n">
        <v>7.90666234910553</v>
      </c>
      <c r="X33" s="29" t="n">
        <v>17.05513160803069</v>
      </c>
      <c r="Y33" s="29" t="n">
        <v>7.465531999744806</v>
      </c>
      <c r="Z33" s="29" t="n">
        <v>31.47102493558701</v>
      </c>
      <c r="AA33" s="29" t="n">
        <v>5.00582730451153</v>
      </c>
      <c r="AB33" s="29" t="n">
        <v>11.06887732310091</v>
      </c>
      <c r="AC33" s="29" t="n">
        <v>87.83150048869263</v>
      </c>
      <c r="AD33" s="29" t="n">
        <v>0.5333022678319517</v>
      </c>
      <c r="AE33" s="29" t="n">
        <v>1.211304367853146</v>
      </c>
      <c r="AF33" s="29" t="n">
        <v>24.37067647626053</v>
      </c>
      <c r="AG33" s="29" t="n">
        <v>4.069665974949531</v>
      </c>
      <c r="AH33" s="29" t="n">
        <v>8.272809836484756</v>
      </c>
      <c r="AI33" s="29" t="n">
        <v>0.3428435469358528</v>
      </c>
      <c r="AJ33" s="29" t="n">
        <v>2.600322367676708</v>
      </c>
      <c r="AK33" s="29" t="n">
        <v>14.16990371313103</v>
      </c>
      <c r="AL33" s="29" t="n">
        <v>53.27516363939203</v>
      </c>
      <c r="AM33" s="29" t="n">
        <v>365.5700215426958</v>
      </c>
      <c r="AN33" s="29" t="n">
        <v>72.42751508024033</v>
      </c>
      <c r="AO33" s="29" t="n">
        <v>32.04265359790963</v>
      </c>
      <c r="AP33" s="29" t="n">
        <v>6.766470770418667</v>
      </c>
      <c r="AQ33" s="29" t="n">
        <v>0.9715516520598102</v>
      </c>
      <c r="AR33" s="29" t="n">
        <v>0.01860884752322673</v>
      </c>
      <c r="AS33" s="29" t="n">
        <v>28.01927178410018</v>
      </c>
      <c r="AT33" s="29" t="n">
        <v>159.9822215605507</v>
      </c>
      <c r="AU33" s="29" t="n">
        <v>28.67748394383091</v>
      </c>
      <c r="AV33" s="29" t="n">
        <v>141.6029813796111</v>
      </c>
      <c r="AW33" s="29" t="n">
        <v>607.1945827696828</v>
      </c>
      <c r="AX33" s="29" t="n">
        <v>0</v>
      </c>
      <c r="AY33" s="29" t="n">
        <v>47.4572354500642</v>
      </c>
      <c r="AZ33" s="29" t="n">
        <v>32.58946026027484</v>
      </c>
      <c r="BA33" s="29" t="n">
        <v>39.7446603024034</v>
      </c>
      <c r="BB33" s="29">
        <f>SUM(C33:BA33)</f>
        <v/>
      </c>
      <c r="BC33" s="29" t="n">
        <v>0</v>
      </c>
      <c r="BD33" s="29" t="n">
        <v>0</v>
      </c>
      <c r="BE33" s="29" t="n">
        <v>0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7.671848732877269</v>
      </c>
      <c r="D34" s="27" t="n">
        <v>3.712573165114363</v>
      </c>
      <c r="E34" s="27" t="n">
        <v>2.277420458388658</v>
      </c>
      <c r="F34" s="27" t="n">
        <v>0.3524203002192431</v>
      </c>
      <c r="G34" s="27" t="n">
        <v>3.941756645090738</v>
      </c>
      <c r="H34" s="27" t="n">
        <v>13.26040738910956</v>
      </c>
      <c r="I34" s="27" t="n">
        <v>0.009459238735595718</v>
      </c>
      <c r="J34" s="27" t="n">
        <v>16.04066019455739</v>
      </c>
      <c r="K34" s="27" t="n">
        <v>6.031507664613832</v>
      </c>
      <c r="L34" s="27" t="n">
        <v>14.02533154687929</v>
      </c>
      <c r="M34" s="27" t="n">
        <v>32.56151578716029</v>
      </c>
      <c r="N34" s="27" t="n">
        <v>91.87449601690112</v>
      </c>
      <c r="O34" s="27" t="n">
        <v>88.38372011163007</v>
      </c>
      <c r="P34" s="27" t="n">
        <v>0.5143188864882912</v>
      </c>
      <c r="Q34" s="27" t="n">
        <v>0.4269943423461479</v>
      </c>
      <c r="R34" s="27" t="n">
        <v>12.56630241788374</v>
      </c>
      <c r="S34" s="27" t="n">
        <v>10.91553150961366</v>
      </c>
      <c r="T34" s="27" t="n">
        <v>2.032458231437073</v>
      </c>
      <c r="U34" s="27" t="n">
        <v>2.863178352048808</v>
      </c>
      <c r="V34" s="27" t="n">
        <v>6.953230877835872</v>
      </c>
      <c r="W34" s="27" t="n">
        <v>15.25666809517184</v>
      </c>
      <c r="X34" s="27" t="n">
        <v>9.459782201702906</v>
      </c>
      <c r="Y34" s="27" t="n">
        <v>146.5763579821538</v>
      </c>
      <c r="Z34" s="27" t="n">
        <v>73.27385770610607</v>
      </c>
      <c r="AA34" s="27" t="n">
        <v>1.351076645264973</v>
      </c>
      <c r="AB34" s="27" t="n">
        <v>0.6809297665911404</v>
      </c>
      <c r="AC34" s="27" t="n">
        <v>39.87039047676674</v>
      </c>
      <c r="AD34" s="27" t="n">
        <v>45.57066689628852</v>
      </c>
      <c r="AE34" s="27" t="n">
        <v>5.591638909370043</v>
      </c>
      <c r="AF34" s="27" t="n">
        <v>30.92946942001453</v>
      </c>
      <c r="AG34" s="27" t="n">
        <v>35.75138679891226</v>
      </c>
      <c r="AH34" s="27" t="n">
        <v>23.43867606624703</v>
      </c>
      <c r="AI34" s="27" t="n">
        <v>6.770914477108043</v>
      </c>
      <c r="AJ34" s="27" t="n">
        <v>21.8511099798405</v>
      </c>
      <c r="AK34" s="27" t="n">
        <v>13.04446230199231</v>
      </c>
      <c r="AL34" s="27" t="n">
        <v>497.5723993016043</v>
      </c>
      <c r="AM34" s="27" t="n">
        <v>78.97204746816838</v>
      </c>
      <c r="AN34" s="27" t="n">
        <v>19.52719813903562</v>
      </c>
      <c r="AO34" s="27" t="n">
        <v>30.14804955348585</v>
      </c>
      <c r="AP34" s="27" t="n">
        <v>0.5361664465213726</v>
      </c>
      <c r="AQ34" s="27" t="n">
        <v>50.12461207059265</v>
      </c>
      <c r="AR34" s="27" t="n">
        <v>0.02470401813334992</v>
      </c>
      <c r="AS34" s="27" t="n">
        <v>1.242907736871686</v>
      </c>
      <c r="AT34" s="27" t="n">
        <v>2.465376920664213</v>
      </c>
      <c r="AU34" s="27" t="n">
        <v>0.1409197476720216</v>
      </c>
      <c r="AV34" s="27" t="n">
        <v>0.3923661121483952</v>
      </c>
      <c r="AW34" s="27" t="n">
        <v>29.84993806537203</v>
      </c>
      <c r="AX34" s="27" t="n">
        <v>0</v>
      </c>
      <c r="AY34" s="27" t="n">
        <v>4.36669719503765</v>
      </c>
      <c r="AZ34" s="27" t="n">
        <v>1.323906314118487</v>
      </c>
      <c r="BA34" s="27" t="n">
        <v>12.66921916218323</v>
      </c>
      <c r="BB34" s="27">
        <f>SUM(C34:BA34)</f>
        <v/>
      </c>
      <c r="BC34" s="27" t="n">
        <v>0</v>
      </c>
      <c r="BD34" s="27" t="n">
        <v>0</v>
      </c>
      <c r="BE34" s="27" t="n">
        <v>0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18.87752152842222</v>
      </c>
      <c r="D35" s="29" t="n">
        <v>5.663488834344073</v>
      </c>
      <c r="E35" s="29" t="n">
        <v>21.20544630628683</v>
      </c>
      <c r="F35" s="29" t="n">
        <v>15.00227948563783</v>
      </c>
      <c r="G35" s="29" t="n">
        <v>193.761722475972</v>
      </c>
      <c r="H35" s="29" t="n">
        <v>259.8558103091337</v>
      </c>
      <c r="I35" s="29" t="n">
        <v>1.011430525806904</v>
      </c>
      <c r="J35" s="29" t="n">
        <v>46.04419115949602</v>
      </c>
      <c r="K35" s="29" t="n">
        <v>1.516006763784801</v>
      </c>
      <c r="L35" s="29" t="n">
        <v>21.75050070697743</v>
      </c>
      <c r="M35" s="29" t="n">
        <v>39.31634759670362</v>
      </c>
      <c r="N35" s="29" t="n">
        <v>51.68861229675333</v>
      </c>
      <c r="O35" s="29" t="n">
        <v>31.44689878004822</v>
      </c>
      <c r="P35" s="29" t="n">
        <v>23.879666598456</v>
      </c>
      <c r="Q35" s="29" t="n">
        <v>7.152710283952862</v>
      </c>
      <c r="R35" s="29" t="n">
        <v>67.09397573705739</v>
      </c>
      <c r="S35" s="29" t="n">
        <v>74.2326672385874</v>
      </c>
      <c r="T35" s="29" t="n">
        <v>63.44416417344146</v>
      </c>
      <c r="U35" s="29" t="n">
        <v>26.41850462057299</v>
      </c>
      <c r="V35" s="29" t="n">
        <v>85.91076224816527</v>
      </c>
      <c r="W35" s="29" t="n">
        <v>67.56615674104329</v>
      </c>
      <c r="X35" s="29" t="n">
        <v>232.4998750356988</v>
      </c>
      <c r="Y35" s="29" t="n">
        <v>172.6526466481152</v>
      </c>
      <c r="Z35" s="29" t="n">
        <v>42.95427195860223</v>
      </c>
      <c r="AA35" s="29" t="n">
        <v>45.4135444139916</v>
      </c>
      <c r="AB35" s="29" t="n">
        <v>5.888001784711053</v>
      </c>
      <c r="AC35" s="29" t="n">
        <v>19.01976014881807</v>
      </c>
      <c r="AD35" s="29" t="n">
        <v>30.06414299853084</v>
      </c>
      <c r="AE35" s="29" t="n">
        <v>19.51491121660356</v>
      </c>
      <c r="AF35" s="29" t="n">
        <v>7.115647908108816</v>
      </c>
      <c r="AG35" s="29" t="n">
        <v>8.545443177951178</v>
      </c>
      <c r="AH35" s="29" t="n">
        <v>10.406727565665</v>
      </c>
      <c r="AI35" s="29" t="n">
        <v>2.311215735362235</v>
      </c>
      <c r="AJ35" s="29" t="n">
        <v>32.05396165744605</v>
      </c>
      <c r="AK35" s="29" t="n">
        <v>18.50160308994218</v>
      </c>
      <c r="AL35" s="29" t="n">
        <v>89.40132779687981</v>
      </c>
      <c r="AM35" s="29" t="n">
        <v>114.5404096148909</v>
      </c>
      <c r="AN35" s="29" t="n">
        <v>6.731777798611093</v>
      </c>
      <c r="AO35" s="29" t="n">
        <v>1.819063034971754</v>
      </c>
      <c r="AP35" s="29" t="n">
        <v>2.652945007703916</v>
      </c>
      <c r="AQ35" s="29" t="n">
        <v>5.054951196992254</v>
      </c>
      <c r="AR35" s="29" t="n">
        <v>0.04793382065658073</v>
      </c>
      <c r="AS35" s="29" t="n">
        <v>1.011090756149798</v>
      </c>
      <c r="AT35" s="29" t="n">
        <v>10.86874581633337</v>
      </c>
      <c r="AU35" s="29" t="n">
        <v>0.5578331903202893</v>
      </c>
      <c r="AV35" s="29" t="n">
        <v>4.72243615839619</v>
      </c>
      <c r="AW35" s="29" t="n">
        <v>10.48533443418835</v>
      </c>
      <c r="AX35" s="29" t="n">
        <v>0</v>
      </c>
      <c r="AY35" s="29" t="n">
        <v>22.50936603695813</v>
      </c>
      <c r="AZ35" s="29" t="n">
        <v>48.04417996505715</v>
      </c>
      <c r="BA35" s="29" t="n">
        <v>6.361572349701377</v>
      </c>
      <c r="BB35" s="29">
        <f>SUM(C35:BA35)</f>
        <v/>
      </c>
      <c r="BC35" s="29" t="n">
        <v>0</v>
      </c>
      <c r="BD35" s="29" t="n">
        <v>0</v>
      </c>
      <c r="BE35" s="29" t="n">
        <v>0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31.22885042218131</v>
      </c>
      <c r="D36" s="27" t="n">
        <v>14.30014152579129</v>
      </c>
      <c r="E36" s="27" t="n">
        <v>15.00957349946227</v>
      </c>
      <c r="F36" s="27" t="n">
        <v>39.016736406316</v>
      </c>
      <c r="G36" s="27" t="n">
        <v>23.57343935991852</v>
      </c>
      <c r="H36" s="27" t="n">
        <v>719.7345291308512</v>
      </c>
      <c r="I36" s="27" t="n">
        <v>0.5610859378198334</v>
      </c>
      <c r="J36" s="27" t="n">
        <v>46.39994829588094</v>
      </c>
      <c r="K36" s="27" t="n">
        <v>54.1919532304637</v>
      </c>
      <c r="L36" s="27" t="n">
        <v>113.4410446292814</v>
      </c>
      <c r="M36" s="27" t="n">
        <v>19.58114674022782</v>
      </c>
      <c r="N36" s="27" t="n">
        <v>49.80583315275218</v>
      </c>
      <c r="O36" s="27" t="n">
        <v>82.89214602193857</v>
      </c>
      <c r="P36" s="27" t="n">
        <v>5.895902294470767</v>
      </c>
      <c r="Q36" s="27" t="n">
        <v>1.671511706173843</v>
      </c>
      <c r="R36" s="27" t="n">
        <v>73.99135246705404</v>
      </c>
      <c r="S36" s="27" t="n">
        <v>28.78307563497846</v>
      </c>
      <c r="T36" s="27" t="n">
        <v>25.24162142659231</v>
      </c>
      <c r="U36" s="27" t="n">
        <v>23.7068427589552</v>
      </c>
      <c r="V36" s="27" t="n">
        <v>104.7355186482637</v>
      </c>
      <c r="W36" s="27" t="n">
        <v>13.74755768256307</v>
      </c>
      <c r="X36" s="27" t="n">
        <v>20.34403957982391</v>
      </c>
      <c r="Y36" s="27" t="n">
        <v>1069.27361370752</v>
      </c>
      <c r="Z36" s="27" t="n">
        <v>151.7889612407391</v>
      </c>
      <c r="AA36" s="27" t="n">
        <v>58.41439281329313</v>
      </c>
      <c r="AB36" s="27" t="n">
        <v>4.862235895347045</v>
      </c>
      <c r="AC36" s="27" t="n">
        <v>47.06821258816422</v>
      </c>
      <c r="AD36" s="27" t="n">
        <v>231.5150963669297</v>
      </c>
      <c r="AE36" s="27" t="n">
        <v>139.5404014273193</v>
      </c>
      <c r="AF36" s="27" t="n">
        <v>175.911730677795</v>
      </c>
      <c r="AG36" s="27" t="n">
        <v>572.7776595126902</v>
      </c>
      <c r="AH36" s="27" t="n">
        <v>336.9168332430287</v>
      </c>
      <c r="AI36" s="27" t="n">
        <v>50.02770919118108</v>
      </c>
      <c r="AJ36" s="27" t="n">
        <v>144.3242854136807</v>
      </c>
      <c r="AK36" s="27" t="n">
        <v>32.60300055541716</v>
      </c>
      <c r="AL36" s="27" t="n">
        <v>780.5183070033244</v>
      </c>
      <c r="AM36" s="27" t="n">
        <v>346.5970153561023</v>
      </c>
      <c r="AN36" s="27" t="n">
        <v>540.3083001842107</v>
      </c>
      <c r="AO36" s="27" t="n">
        <v>1.125222155498975</v>
      </c>
      <c r="AP36" s="27" t="n">
        <v>4.524405184885207</v>
      </c>
      <c r="AQ36" s="27" t="n">
        <v>5.508145419093379</v>
      </c>
      <c r="AR36" s="27" t="n">
        <v>7.099974197653482</v>
      </c>
      <c r="AS36" s="27" t="n">
        <v>23.4368656705799</v>
      </c>
      <c r="AT36" s="27" t="n">
        <v>71.80407580684002</v>
      </c>
      <c r="AU36" s="27" t="n">
        <v>0.8153470736916177</v>
      </c>
      <c r="AV36" s="27" t="n">
        <v>26.03226689410063</v>
      </c>
      <c r="AW36" s="27" t="n">
        <v>22.88286630132348</v>
      </c>
      <c r="AX36" s="27" t="n">
        <v>0</v>
      </c>
      <c r="AY36" s="27" t="n">
        <v>21.26158472538477</v>
      </c>
      <c r="AZ36" s="27" t="n">
        <v>33.21103173409511</v>
      </c>
      <c r="BA36" s="27" t="n">
        <v>12.08768990558928</v>
      </c>
      <c r="BB36" s="27">
        <f>SUM(C36:BA36)</f>
        <v/>
      </c>
      <c r="BC36" s="27" t="n">
        <v>0</v>
      </c>
      <c r="BD36" s="27" t="n">
        <v>0</v>
      </c>
      <c r="BE36" s="27" t="n">
        <v>0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146.1895451226176</v>
      </c>
      <c r="D37" s="29" t="n">
        <v>124.9122463448623</v>
      </c>
      <c r="E37" s="29" t="n">
        <v>8.937209790040411</v>
      </c>
      <c r="F37" s="29" t="n">
        <v>0.3955894914484196</v>
      </c>
      <c r="G37" s="29" t="n">
        <v>7.258187483646353</v>
      </c>
      <c r="H37" s="29" t="n">
        <v>178.7242276767091</v>
      </c>
      <c r="I37" s="29" t="n">
        <v>-0.06751091655474184</v>
      </c>
      <c r="J37" s="29" t="n">
        <v>0.8278937202236604</v>
      </c>
      <c r="K37" s="29" t="n">
        <v>0.06273275506010853</v>
      </c>
      <c r="L37" s="29" t="n">
        <v>0.4339732191065087</v>
      </c>
      <c r="M37" s="29" t="n">
        <v>1.697578654121641</v>
      </c>
      <c r="N37" s="29" t="n">
        <v>13.48474242578072</v>
      </c>
      <c r="O37" s="29" t="n">
        <v>3.373798395084889</v>
      </c>
      <c r="P37" s="29" t="n">
        <v>1.091362983951257</v>
      </c>
      <c r="Q37" s="29" t="n">
        <v>0.3121466996810415</v>
      </c>
      <c r="R37" s="29" t="n">
        <v>47.20705136057649</v>
      </c>
      <c r="S37" s="29" t="n">
        <v>0.9091360906854385</v>
      </c>
      <c r="T37" s="29" t="n">
        <v>2.89782076042666</v>
      </c>
      <c r="U37" s="29" t="n">
        <v>0.3077063909831215</v>
      </c>
      <c r="V37" s="29" t="n">
        <v>19.68101957371702</v>
      </c>
      <c r="W37" s="29" t="n">
        <v>5.073443338214714</v>
      </c>
      <c r="X37" s="29" t="n">
        <v>14.83165217517174</v>
      </c>
      <c r="Y37" s="29" t="n">
        <v>37.37565980296934</v>
      </c>
      <c r="Z37" s="29" t="n">
        <v>538.0245905391345</v>
      </c>
      <c r="AA37" s="29" t="n">
        <v>120.5515481057751</v>
      </c>
      <c r="AB37" s="29" t="n">
        <v>8.440032399937765</v>
      </c>
      <c r="AC37" s="29" t="n">
        <v>10.37043144420253</v>
      </c>
      <c r="AD37" s="29" t="n">
        <v>30.51099392506362</v>
      </c>
      <c r="AE37" s="29" t="n">
        <v>18.93125659647079</v>
      </c>
      <c r="AF37" s="29" t="n">
        <v>3.075232710380858</v>
      </c>
      <c r="AG37" s="29" t="n">
        <v>98.63388697950573</v>
      </c>
      <c r="AH37" s="29" t="n">
        <v>11.02897013280923</v>
      </c>
      <c r="AI37" s="29" t="n">
        <v>6.051180111936597</v>
      </c>
      <c r="AJ37" s="29" t="n">
        <v>30.32636880693683</v>
      </c>
      <c r="AK37" s="29" t="n">
        <v>115.9519557471793</v>
      </c>
      <c r="AL37" s="29" t="n">
        <v>3158.195999991665</v>
      </c>
      <c r="AM37" s="29" t="n">
        <v>16.97046004461953</v>
      </c>
      <c r="AN37" s="29" t="n">
        <v>2.87438010025706</v>
      </c>
      <c r="AO37" s="29" t="n">
        <v>0.05004862261553174</v>
      </c>
      <c r="AP37" s="29" t="n">
        <v>0.6985470567459908</v>
      </c>
      <c r="AQ37" s="29" t="n">
        <v>92.25818950512048</v>
      </c>
      <c r="AR37" s="29" t="n">
        <v>0.05426580670408561</v>
      </c>
      <c r="AS37" s="29" t="n">
        <v>33.39750773186578</v>
      </c>
      <c r="AT37" s="29" t="n">
        <v>1.991875013348762</v>
      </c>
      <c r="AU37" s="29" t="n">
        <v>0.3593217944139548</v>
      </c>
      <c r="AV37" s="29" t="n">
        <v>4.684445399328409</v>
      </c>
      <c r="AW37" s="29" t="n">
        <v>15.81309829257055</v>
      </c>
      <c r="AX37" s="29" t="n">
        <v>0</v>
      </c>
      <c r="AY37" s="29" t="n">
        <v>8.964346505325025</v>
      </c>
      <c r="AZ37" s="29" t="n">
        <v>6.963758299339954</v>
      </c>
      <c r="BA37" s="29" t="n">
        <v>23.32880597829467</v>
      </c>
      <c r="BB37" s="29">
        <f>SUM(C37:BA37)</f>
        <v/>
      </c>
      <c r="BC37" s="29" t="n">
        <v>0</v>
      </c>
      <c r="BD37" s="29" t="n">
        <v>0</v>
      </c>
      <c r="BE37" s="29" t="n">
        <v>0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8.738093593639107</v>
      </c>
      <c r="D38" s="27" t="n">
        <v>14.12098135490178</v>
      </c>
      <c r="E38" s="27" t="n">
        <v>81.74850668134916</v>
      </c>
      <c r="F38" s="27" t="n">
        <v>2.415119924489415</v>
      </c>
      <c r="G38" s="27" t="n">
        <v>11.93553350121213</v>
      </c>
      <c r="H38" s="27" t="n">
        <v>26.55306690007428</v>
      </c>
      <c r="I38" s="27" t="n">
        <v>0.1970320898432881</v>
      </c>
      <c r="J38" s="27" t="n">
        <v>0.4912424108482989</v>
      </c>
      <c r="K38" s="27" t="n">
        <v>0.621026934968688</v>
      </c>
      <c r="L38" s="27" t="n">
        <v>0.4165739860085482</v>
      </c>
      <c r="M38" s="27" t="n">
        <v>1.239124124381755</v>
      </c>
      <c r="N38" s="27" t="n">
        <v>7.955386059897894</v>
      </c>
      <c r="O38" s="27" t="n">
        <v>0.6582939626024116</v>
      </c>
      <c r="P38" s="27" t="n">
        <v>1.014022052518069</v>
      </c>
      <c r="Q38" s="27" t="n">
        <v>0.2390450911006255</v>
      </c>
      <c r="R38" s="27" t="n">
        <v>4.212851927309661</v>
      </c>
      <c r="S38" s="27" t="n">
        <v>0.5768282300059325</v>
      </c>
      <c r="T38" s="27" t="n">
        <v>0.8748780899645886</v>
      </c>
      <c r="U38" s="27" t="n">
        <v>0.3150838020763052</v>
      </c>
      <c r="V38" s="27" t="n">
        <v>1.958025424637487</v>
      </c>
      <c r="W38" s="27" t="n">
        <v>2.018277533852628</v>
      </c>
      <c r="X38" s="27" t="n">
        <v>0.6422791798055559</v>
      </c>
      <c r="Y38" s="27" t="n">
        <v>45.01697618353933</v>
      </c>
      <c r="Z38" s="27" t="n">
        <v>30.10267164911705</v>
      </c>
      <c r="AA38" s="27" t="n">
        <v>503.7262974597108</v>
      </c>
      <c r="AB38" s="27" t="n">
        <v>45.96960177608636</v>
      </c>
      <c r="AC38" s="27" t="n">
        <v>923.069747833587</v>
      </c>
      <c r="AD38" s="27" t="n">
        <v>420.9785380835187</v>
      </c>
      <c r="AE38" s="27" t="n">
        <v>157.0605362161192</v>
      </c>
      <c r="AF38" s="27" t="n">
        <v>13.03750406453622</v>
      </c>
      <c r="AG38" s="27" t="n">
        <v>265.8532645255948</v>
      </c>
      <c r="AH38" s="27" t="n">
        <v>411.0856352454735</v>
      </c>
      <c r="AI38" s="27" t="n">
        <v>30.8633100384989</v>
      </c>
      <c r="AJ38" s="27" t="n">
        <v>69.5870022799685</v>
      </c>
      <c r="AK38" s="27" t="n">
        <v>17.46396098189283</v>
      </c>
      <c r="AL38" s="27" t="n">
        <v>870.4587202406146</v>
      </c>
      <c r="AM38" s="27" t="n">
        <v>45.74039147393488</v>
      </c>
      <c r="AN38" s="27" t="n">
        <v>4.866813148376541</v>
      </c>
      <c r="AO38" s="27" t="n">
        <v>3.725150186824087</v>
      </c>
      <c r="AP38" s="27" t="n">
        <v>2.590274123021643</v>
      </c>
      <c r="AQ38" s="27" t="n">
        <v>1.008697191392813</v>
      </c>
      <c r="AR38" s="27" t="n">
        <v>0.07057087725695495</v>
      </c>
      <c r="AS38" s="27" t="n">
        <v>3.519925498054933</v>
      </c>
      <c r="AT38" s="27" t="n">
        <v>13.92238721716753</v>
      </c>
      <c r="AU38" s="27" t="n">
        <v>0.8485248510605057</v>
      </c>
      <c r="AV38" s="27" t="n">
        <v>0.6231016165890763</v>
      </c>
      <c r="AW38" s="27" t="n">
        <v>2.763145282035539</v>
      </c>
      <c r="AX38" s="27" t="n">
        <v>0</v>
      </c>
      <c r="AY38" s="27" t="n">
        <v>2.208644226834545</v>
      </c>
      <c r="AZ38" s="27" t="n">
        <v>0.9600141051469262</v>
      </c>
      <c r="BA38" s="27" t="n">
        <v>9.361412834516868</v>
      </c>
      <c r="BB38" s="27">
        <f>SUM(C38:BA38)</f>
        <v/>
      </c>
      <c r="BC38" s="27" t="n">
        <v>0</v>
      </c>
      <c r="BD38" s="27" t="n">
        <v>0</v>
      </c>
      <c r="BE38" s="27" t="n">
        <v>0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62.60251245155968</v>
      </c>
      <c r="D39" s="29" t="n">
        <v>9.694625634217315</v>
      </c>
      <c r="E39" s="29" t="n">
        <v>5.151387259829473</v>
      </c>
      <c r="F39" s="29" t="n">
        <v>1.497456450688337</v>
      </c>
      <c r="G39" s="29" t="n">
        <v>6.252822118568718</v>
      </c>
      <c r="H39" s="29" t="n">
        <v>70.46123983956242</v>
      </c>
      <c r="I39" s="29" t="n">
        <v>0.05971206946332596</v>
      </c>
      <c r="J39" s="29" t="n">
        <v>1.278096964347691</v>
      </c>
      <c r="K39" s="29" t="n">
        <v>0.3549888311491189</v>
      </c>
      <c r="L39" s="29" t="n">
        <v>1.133642522496699</v>
      </c>
      <c r="M39" s="29" t="n">
        <v>0.7183290617774424</v>
      </c>
      <c r="N39" s="29" t="n">
        <v>27.96999885451915</v>
      </c>
      <c r="O39" s="29" t="n">
        <v>32.99819177761982</v>
      </c>
      <c r="P39" s="29" t="n">
        <v>0.5180883745077637</v>
      </c>
      <c r="Q39" s="29" t="n">
        <v>0.2041882639596643</v>
      </c>
      <c r="R39" s="29" t="n">
        <v>73.31093505804471</v>
      </c>
      <c r="S39" s="29" t="n">
        <v>4.120306966103248</v>
      </c>
      <c r="T39" s="29" t="n">
        <v>1.654891565360065</v>
      </c>
      <c r="U39" s="29" t="n">
        <v>2.046643036233586</v>
      </c>
      <c r="V39" s="29" t="n">
        <v>3.997168778598451</v>
      </c>
      <c r="W39" s="29" t="n">
        <v>6.100551050519134</v>
      </c>
      <c r="X39" s="29" t="n">
        <v>31.16317079150494</v>
      </c>
      <c r="Y39" s="29" t="n">
        <v>10.50117328622577</v>
      </c>
      <c r="Z39" s="29" t="n">
        <v>15.77842335278439</v>
      </c>
      <c r="AA39" s="29" t="n">
        <v>150.0655447827384</v>
      </c>
      <c r="AB39" s="29" t="n">
        <v>717.7314947632671</v>
      </c>
      <c r="AC39" s="29" t="n">
        <v>165.7923967133743</v>
      </c>
      <c r="AD39" s="29" t="n">
        <v>209.7531903203194</v>
      </c>
      <c r="AE39" s="29" t="n">
        <v>477.9138124879049</v>
      </c>
      <c r="AF39" s="29" t="n">
        <v>26.82694517770577</v>
      </c>
      <c r="AG39" s="29" t="n">
        <v>46.59567851763051</v>
      </c>
      <c r="AH39" s="29" t="n">
        <v>404.5158616422054</v>
      </c>
      <c r="AI39" s="29" t="n">
        <v>48.21899105720585</v>
      </c>
      <c r="AJ39" s="29" t="n">
        <v>197.6533247060592</v>
      </c>
      <c r="AK39" s="29" t="n">
        <v>20.29377310963124</v>
      </c>
      <c r="AL39" s="29" t="n">
        <v>364.5178850565341</v>
      </c>
      <c r="AM39" s="29" t="n">
        <v>25.27845990728966</v>
      </c>
      <c r="AN39" s="29" t="n">
        <v>3.761197138357158</v>
      </c>
      <c r="AO39" s="29" t="n">
        <v>1.549185184084374</v>
      </c>
      <c r="AP39" s="29" t="n">
        <v>1.012012914380606</v>
      </c>
      <c r="AQ39" s="29" t="n">
        <v>4.834229416853335</v>
      </c>
      <c r="AR39" s="29" t="n">
        <v>0.06479344721199055</v>
      </c>
      <c r="AS39" s="29" t="n">
        <v>1.503520972536661</v>
      </c>
      <c r="AT39" s="29" t="n">
        <v>2.231797801593832</v>
      </c>
      <c r="AU39" s="29" t="n">
        <v>0.4412670204228081</v>
      </c>
      <c r="AV39" s="29" t="n">
        <v>3.234297235542456</v>
      </c>
      <c r="AW39" s="29" t="n">
        <v>2.649338793026641</v>
      </c>
      <c r="AX39" s="29" t="n">
        <v>0</v>
      </c>
      <c r="AY39" s="29" t="n">
        <v>0.7452647324334805</v>
      </c>
      <c r="AZ39" s="29" t="n">
        <v>0.9685935226418357</v>
      </c>
      <c r="BA39" s="29" t="n">
        <v>2.810606475630832</v>
      </c>
      <c r="BB39" s="29">
        <f>SUM(C39:BA39)</f>
        <v/>
      </c>
      <c r="BC39" s="29" t="n">
        <v>0</v>
      </c>
      <c r="BD39" s="29" t="n">
        <v>0</v>
      </c>
      <c r="BE39" s="29" t="n">
        <v>0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20.78127313925884</v>
      </c>
      <c r="D40" s="27" t="n">
        <v>37.38639067009839</v>
      </c>
      <c r="E40" s="27" t="n">
        <v>79.08248364547075</v>
      </c>
      <c r="F40" s="27" t="n">
        <v>37.81324693222184</v>
      </c>
      <c r="G40" s="27" t="n">
        <v>22.89990158912213</v>
      </c>
      <c r="H40" s="27" t="n">
        <v>478.5052049851479</v>
      </c>
      <c r="I40" s="27" t="n">
        <v>1.971522721582547</v>
      </c>
      <c r="J40" s="27" t="n">
        <v>9.754695397760225</v>
      </c>
      <c r="K40" s="27" t="n">
        <v>15.93350529973221</v>
      </c>
      <c r="L40" s="27" t="n">
        <v>7.468511091947783</v>
      </c>
      <c r="M40" s="27" t="n">
        <v>36.17771922789685</v>
      </c>
      <c r="N40" s="27" t="n">
        <v>9.63365479344494</v>
      </c>
      <c r="O40" s="27" t="n">
        <v>4.922961029884223</v>
      </c>
      <c r="P40" s="27" t="n">
        <v>19.55583449497734</v>
      </c>
      <c r="Q40" s="27" t="n">
        <v>2.766189306908854</v>
      </c>
      <c r="R40" s="27" t="n">
        <v>26.32835020603929</v>
      </c>
      <c r="S40" s="27" t="n">
        <v>9.9609590574797</v>
      </c>
      <c r="T40" s="27" t="n">
        <v>8.210187783085185</v>
      </c>
      <c r="U40" s="27" t="n">
        <v>3.711773083846862</v>
      </c>
      <c r="V40" s="27" t="n">
        <v>64.75530966661363</v>
      </c>
      <c r="W40" s="27" t="n">
        <v>58.0287168844587</v>
      </c>
      <c r="X40" s="27" t="n">
        <v>6.019042333968174</v>
      </c>
      <c r="Y40" s="27" t="n">
        <v>19.11719319792389</v>
      </c>
      <c r="Z40" s="27" t="n">
        <v>18.31863234525328</v>
      </c>
      <c r="AA40" s="27" t="n">
        <v>183.9372292076889</v>
      </c>
      <c r="AB40" s="27" t="n">
        <v>26.21963333675949</v>
      </c>
      <c r="AC40" s="27" t="n">
        <v>476.288631329664</v>
      </c>
      <c r="AD40" s="27" t="n">
        <v>503.0714640199196</v>
      </c>
      <c r="AE40" s="27" t="n">
        <v>152.8164338512451</v>
      </c>
      <c r="AF40" s="27" t="n">
        <v>104.5350871356039</v>
      </c>
      <c r="AG40" s="27" t="n">
        <v>231.4887419177703</v>
      </c>
      <c r="AH40" s="27" t="n">
        <v>192.7887821314527</v>
      </c>
      <c r="AI40" s="27" t="n">
        <v>92.38958240870312</v>
      </c>
      <c r="AJ40" s="27" t="n">
        <v>88.07000441096052</v>
      </c>
      <c r="AK40" s="27" t="n">
        <v>167.8258160240208</v>
      </c>
      <c r="AL40" s="27" t="n">
        <v>1628.303377390484</v>
      </c>
      <c r="AM40" s="27" t="n">
        <v>93.5241065206408</v>
      </c>
      <c r="AN40" s="27" t="n">
        <v>20.71823477115586</v>
      </c>
      <c r="AO40" s="27" t="n">
        <v>2.533991062741627</v>
      </c>
      <c r="AP40" s="27" t="n">
        <v>1.698900918307382</v>
      </c>
      <c r="AQ40" s="27" t="n">
        <v>23.22821419886428</v>
      </c>
      <c r="AR40" s="27" t="n">
        <v>0.856774230626136</v>
      </c>
      <c r="AS40" s="27" t="n">
        <v>100.3428806671905</v>
      </c>
      <c r="AT40" s="27" t="n">
        <v>19.89630899814854</v>
      </c>
      <c r="AU40" s="27" t="n">
        <v>1.19029646004316</v>
      </c>
      <c r="AV40" s="27" t="n">
        <v>11.82896400970058</v>
      </c>
      <c r="AW40" s="27" t="n">
        <v>39.71350858089887</v>
      </c>
      <c r="AX40" s="27" t="n">
        <v>0</v>
      </c>
      <c r="AY40" s="27" t="n">
        <v>5.644903374123007</v>
      </c>
      <c r="AZ40" s="27" t="n">
        <v>7.361193076054671</v>
      </c>
      <c r="BA40" s="27" t="n">
        <v>66.41220348169345</v>
      </c>
      <c r="BB40" s="27">
        <f>SUM(C40:BA40)</f>
        <v/>
      </c>
      <c r="BC40" s="27" t="n">
        <v>0</v>
      </c>
      <c r="BD40" s="27" t="n">
        <v>0</v>
      </c>
      <c r="BE40" s="27" t="n">
        <v>0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18.06140535628772</v>
      </c>
      <c r="D41" s="29" t="n">
        <v>9.579253385529331</v>
      </c>
      <c r="E41" s="29" t="n">
        <v>532.9509812834422</v>
      </c>
      <c r="F41" s="29" t="n">
        <v>389.8509026924645</v>
      </c>
      <c r="G41" s="29" t="n">
        <v>246.7658996774823</v>
      </c>
      <c r="H41" s="29" t="n">
        <v>228.6545219095135</v>
      </c>
      <c r="I41" s="29" t="n">
        <v>1.050498557305143</v>
      </c>
      <c r="J41" s="29" t="n">
        <v>34.98430560377464</v>
      </c>
      <c r="K41" s="29" t="n">
        <v>75.31549448723806</v>
      </c>
      <c r="L41" s="29" t="n">
        <v>23.91588534079161</v>
      </c>
      <c r="M41" s="29" t="n">
        <v>80.42826990030163</v>
      </c>
      <c r="N41" s="29" t="n">
        <v>190.9105299921416</v>
      </c>
      <c r="O41" s="29" t="n">
        <v>142.2412452861991</v>
      </c>
      <c r="P41" s="29" t="n">
        <v>58.49961426400665</v>
      </c>
      <c r="Q41" s="29" t="n">
        <v>38.79808393975253</v>
      </c>
      <c r="R41" s="29" t="n">
        <v>89.47795275306977</v>
      </c>
      <c r="S41" s="29" t="n">
        <v>36.99847288161709</v>
      </c>
      <c r="T41" s="29" t="n">
        <v>45.86249054245447</v>
      </c>
      <c r="U41" s="29" t="n">
        <v>13.60847675116375</v>
      </c>
      <c r="V41" s="29" t="n">
        <v>20.81269052100133</v>
      </c>
      <c r="W41" s="29" t="n">
        <v>27.51569610437997</v>
      </c>
      <c r="X41" s="29" t="n">
        <v>42.60148833539631</v>
      </c>
      <c r="Y41" s="29" t="n">
        <v>74.74567709277427</v>
      </c>
      <c r="Z41" s="29" t="n">
        <v>236.3853674579043</v>
      </c>
      <c r="AA41" s="29" t="n">
        <v>978.9707967578089</v>
      </c>
      <c r="AB41" s="29" t="n">
        <v>189.0845160524196</v>
      </c>
      <c r="AC41" s="29" t="n">
        <v>84.07031540541979</v>
      </c>
      <c r="AD41" s="29" t="n">
        <v>3235.154588644503</v>
      </c>
      <c r="AE41" s="29" t="n">
        <v>147.3786935662403</v>
      </c>
      <c r="AF41" s="29" t="n">
        <v>119.7812977937535</v>
      </c>
      <c r="AG41" s="29" t="n">
        <v>244.8400918079917</v>
      </c>
      <c r="AH41" s="29" t="n">
        <v>119.9155346691259</v>
      </c>
      <c r="AI41" s="29" t="n">
        <v>75.55437055807437</v>
      </c>
      <c r="AJ41" s="29" t="n">
        <v>58.65604327964631</v>
      </c>
      <c r="AK41" s="29" t="n">
        <v>224.6792577814728</v>
      </c>
      <c r="AL41" s="29" t="n">
        <v>843.6012255336188</v>
      </c>
      <c r="AM41" s="29" t="n">
        <v>461.5481658174627</v>
      </c>
      <c r="AN41" s="29" t="n">
        <v>468.0798065672497</v>
      </c>
      <c r="AO41" s="29" t="n">
        <v>214.3908396943378</v>
      </c>
      <c r="AP41" s="29" t="n">
        <v>28.38159561332154</v>
      </c>
      <c r="AQ41" s="29" t="n">
        <v>9.439302262939856</v>
      </c>
      <c r="AR41" s="29" t="n">
        <v>13.32926560145032</v>
      </c>
      <c r="AS41" s="29" t="n">
        <v>23.08394759440623</v>
      </c>
      <c r="AT41" s="29" t="n">
        <v>255.3843011826513</v>
      </c>
      <c r="AU41" s="29" t="n">
        <v>2.113578742990352</v>
      </c>
      <c r="AV41" s="29" t="n">
        <v>90.31437402411044</v>
      </c>
      <c r="AW41" s="29" t="n">
        <v>211.9218575732116</v>
      </c>
      <c r="AX41" s="29" t="n">
        <v>0</v>
      </c>
      <c r="AY41" s="29" t="n">
        <v>32.7345305457632</v>
      </c>
      <c r="AZ41" s="29" t="n">
        <v>85.09730798380026</v>
      </c>
      <c r="BA41" s="29" t="n">
        <v>101.1276682590588</v>
      </c>
      <c r="BB41" s="29">
        <f>SUM(C41:BA41)</f>
        <v/>
      </c>
      <c r="BC41" s="29" t="n">
        <v>0</v>
      </c>
      <c r="BD41" s="29" t="n">
        <v>0</v>
      </c>
      <c r="BE41" s="29" t="n">
        <v>0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5.408032974150344</v>
      </c>
      <c r="D42" s="27" t="n">
        <v>14.53180561370138</v>
      </c>
      <c r="E42" s="27" t="n">
        <v>27.95056798334082</v>
      </c>
      <c r="F42" s="27" t="n">
        <v>6.644369340882994</v>
      </c>
      <c r="G42" s="27" t="n">
        <v>8.383314647173117</v>
      </c>
      <c r="H42" s="27" t="n">
        <v>29.87791698093932</v>
      </c>
      <c r="I42" s="27" t="n">
        <v>0.6590983329077639</v>
      </c>
      <c r="J42" s="27" t="n">
        <v>11.05977524975583</v>
      </c>
      <c r="K42" s="27" t="n">
        <v>3.56064831905194</v>
      </c>
      <c r="L42" s="27" t="n">
        <v>2.15986628693042</v>
      </c>
      <c r="M42" s="27" t="n">
        <v>5.434628208175964</v>
      </c>
      <c r="N42" s="27" t="n">
        <v>9.728195634645552</v>
      </c>
      <c r="O42" s="27" t="n">
        <v>5.661121930680554</v>
      </c>
      <c r="P42" s="27" t="n">
        <v>1.340426115263344</v>
      </c>
      <c r="Q42" s="27" t="n">
        <v>0.9056686886024874</v>
      </c>
      <c r="R42" s="27" t="n">
        <v>13.90529000383761</v>
      </c>
      <c r="S42" s="27" t="n">
        <v>5.533021892888099</v>
      </c>
      <c r="T42" s="27" t="n">
        <v>1.774867831641558</v>
      </c>
      <c r="U42" s="27" t="n">
        <v>0.5329193720507485</v>
      </c>
      <c r="V42" s="27" t="n">
        <v>2.987407522380639</v>
      </c>
      <c r="W42" s="27" t="n">
        <v>1.287468878802932</v>
      </c>
      <c r="X42" s="27" t="n">
        <v>3.721527646800042</v>
      </c>
      <c r="Y42" s="27" t="n">
        <v>14.91131821720905</v>
      </c>
      <c r="Z42" s="27" t="n">
        <v>23.46109163472575</v>
      </c>
      <c r="AA42" s="27" t="n">
        <v>17.54061717604231</v>
      </c>
      <c r="AB42" s="27" t="n">
        <v>26.71252120473341</v>
      </c>
      <c r="AC42" s="27" t="n">
        <v>13.04824703730797</v>
      </c>
      <c r="AD42" s="27" t="n">
        <v>622.0411502003345</v>
      </c>
      <c r="AE42" s="27" t="n">
        <v>1019.090106891649</v>
      </c>
      <c r="AF42" s="27" t="n">
        <v>493.8758530933333</v>
      </c>
      <c r="AG42" s="27" t="n">
        <v>129.9200500573024</v>
      </c>
      <c r="AH42" s="27" t="n">
        <v>182.6517101789487</v>
      </c>
      <c r="AI42" s="27" t="n">
        <v>31.70537575987291</v>
      </c>
      <c r="AJ42" s="27" t="n">
        <v>41.71888791034479</v>
      </c>
      <c r="AK42" s="27" t="n">
        <v>675.0023618654548</v>
      </c>
      <c r="AL42" s="27" t="n">
        <v>1573.202014790856</v>
      </c>
      <c r="AM42" s="27" t="n">
        <v>145.6731656497435</v>
      </c>
      <c r="AN42" s="27" t="n">
        <v>169.1586280299612</v>
      </c>
      <c r="AO42" s="27" t="n">
        <v>136.8155244372329</v>
      </c>
      <c r="AP42" s="27" t="n">
        <v>6.721838064947657</v>
      </c>
      <c r="AQ42" s="27" t="n">
        <v>52.14755782620221</v>
      </c>
      <c r="AR42" s="27" t="n">
        <v>74.81880859765961</v>
      </c>
      <c r="AS42" s="27" t="n">
        <v>7.667226903109106</v>
      </c>
      <c r="AT42" s="27" t="n">
        <v>110.9353707314426</v>
      </c>
      <c r="AU42" s="27" t="n">
        <v>0.5816803003019828</v>
      </c>
      <c r="AV42" s="27" t="n">
        <v>57.95703605666239</v>
      </c>
      <c r="AW42" s="27" t="n">
        <v>183.8819094448754</v>
      </c>
      <c r="AX42" s="27" t="n">
        <v>0</v>
      </c>
      <c r="AY42" s="27" t="n">
        <v>23.51589030226241</v>
      </c>
      <c r="AZ42" s="27" t="n">
        <v>24.94162525534833</v>
      </c>
      <c r="BA42" s="27" t="n">
        <v>20.47615809528145</v>
      </c>
      <c r="BB42" s="27">
        <f>SUM(C42:BA42)</f>
        <v/>
      </c>
      <c r="BC42" s="27" t="n">
        <v>0</v>
      </c>
      <c r="BD42" s="27" t="n">
        <v>0</v>
      </c>
      <c r="BE42" s="27" t="n">
        <v>0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0.6179118464748177</v>
      </c>
      <c r="D43" s="29" t="n">
        <v>1.049962730756149</v>
      </c>
      <c r="E43" s="29" t="n">
        <v>56.41179590887836</v>
      </c>
      <c r="F43" s="29" t="n">
        <v>3.886928814979724</v>
      </c>
      <c r="G43" s="29" t="n">
        <v>8.90809519120582</v>
      </c>
      <c r="H43" s="29" t="n">
        <v>13.21790430610976</v>
      </c>
      <c r="I43" s="29" t="n">
        <v>0.1937593122400889</v>
      </c>
      <c r="J43" s="29" t="n">
        <v>0.9027023981287455</v>
      </c>
      <c r="K43" s="29" t="n">
        <v>0.2355489963994833</v>
      </c>
      <c r="L43" s="29" t="n">
        <v>0.1404734230330381</v>
      </c>
      <c r="M43" s="29" t="n">
        <v>1.929786354581514</v>
      </c>
      <c r="N43" s="29" t="n">
        <v>3.054770875168009</v>
      </c>
      <c r="O43" s="29" t="n">
        <v>119.3570052304478</v>
      </c>
      <c r="P43" s="29" t="n">
        <v>1.605564271524798</v>
      </c>
      <c r="Q43" s="29" t="n">
        <v>0.4896082390969224</v>
      </c>
      <c r="R43" s="29" t="n">
        <v>2.437352512139652</v>
      </c>
      <c r="S43" s="29" t="n">
        <v>1.495351533854317</v>
      </c>
      <c r="T43" s="29" t="n">
        <v>7.389433685351793</v>
      </c>
      <c r="U43" s="29" t="n">
        <v>0.8076568212369596</v>
      </c>
      <c r="V43" s="29" t="n">
        <v>3.120616674007317</v>
      </c>
      <c r="W43" s="29" t="n">
        <v>2.260709079613279</v>
      </c>
      <c r="X43" s="29" t="n">
        <v>7.486293963813226</v>
      </c>
      <c r="Y43" s="29" t="n">
        <v>4.30298779209743</v>
      </c>
      <c r="Z43" s="29" t="n">
        <v>3.329621378436737</v>
      </c>
      <c r="AA43" s="29" t="n">
        <v>9.626765327085939</v>
      </c>
      <c r="AB43" s="29" t="n">
        <v>2.482492403419811</v>
      </c>
      <c r="AC43" s="29" t="n">
        <v>1.474292098512257</v>
      </c>
      <c r="AD43" s="29" t="n">
        <v>283.3327723006505</v>
      </c>
      <c r="AE43" s="29" t="n">
        <v>143.4920551702956</v>
      </c>
      <c r="AF43" s="29" t="n">
        <v>9438.970982206272</v>
      </c>
      <c r="AG43" s="29" t="n">
        <v>76.48502717566126</v>
      </c>
      <c r="AH43" s="29" t="n">
        <v>67.63138758602385</v>
      </c>
      <c r="AI43" s="29" t="n">
        <v>12.18455787444204</v>
      </c>
      <c r="AJ43" s="29" t="n">
        <v>17.99351373514801</v>
      </c>
      <c r="AK43" s="29" t="n">
        <v>55.80786031122022</v>
      </c>
      <c r="AL43" s="29" t="n">
        <v>152.3305664690397</v>
      </c>
      <c r="AM43" s="29" t="n">
        <v>64.84978904522849</v>
      </c>
      <c r="AN43" s="29" t="n">
        <v>67.47653568842107</v>
      </c>
      <c r="AO43" s="29" t="n">
        <v>584.9306969314467</v>
      </c>
      <c r="AP43" s="29" t="n">
        <v>121.053958639595</v>
      </c>
      <c r="AQ43" s="29" t="n">
        <v>2.002930635383451</v>
      </c>
      <c r="AR43" s="29" t="n">
        <v>309.207165019801</v>
      </c>
      <c r="AS43" s="29" t="n">
        <v>1.270913220858623</v>
      </c>
      <c r="AT43" s="29" t="n">
        <v>830.4103269868961</v>
      </c>
      <c r="AU43" s="29" t="n">
        <v>44.22072582746891</v>
      </c>
      <c r="AV43" s="29" t="n">
        <v>1775.273185673683</v>
      </c>
      <c r="AW43" s="29" t="n">
        <v>102.5916958383742</v>
      </c>
      <c r="AX43" s="29" t="n">
        <v>0</v>
      </c>
      <c r="AY43" s="29" t="n">
        <v>705.749617950673</v>
      </c>
      <c r="AZ43" s="29" t="n">
        <v>766.8970488578728</v>
      </c>
      <c r="BA43" s="29" t="n">
        <v>222.6687031726063</v>
      </c>
      <c r="BB43" s="29">
        <f>SUM(C43:BA43)</f>
        <v/>
      </c>
      <c r="BC43" s="29" t="n">
        <v>0</v>
      </c>
      <c r="BD43" s="29" t="n">
        <v>0</v>
      </c>
      <c r="BE43" s="29" t="n">
        <v>0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0.6886654630976183</v>
      </c>
      <c r="D44" s="27" t="n">
        <v>1.440258768778385</v>
      </c>
      <c r="E44" s="27" t="n">
        <v>9.209012090470326</v>
      </c>
      <c r="F44" s="27" t="n">
        <v>3.720280042371444</v>
      </c>
      <c r="G44" s="27" t="n">
        <v>2.779867259901015</v>
      </c>
      <c r="H44" s="27" t="n">
        <v>8.232463368178442</v>
      </c>
      <c r="I44" s="27" t="n">
        <v>-0.1853922363946269</v>
      </c>
      <c r="J44" s="27" t="n">
        <v>-0.9282115337794272</v>
      </c>
      <c r="K44" s="27" t="n">
        <v>-0.8372935197200664</v>
      </c>
      <c r="L44" s="27" t="n">
        <v>-1.778549854599819</v>
      </c>
      <c r="M44" s="27" t="n">
        <v>1.289441667349518</v>
      </c>
      <c r="N44" s="27" t="n">
        <v>-0.3960256290399602</v>
      </c>
      <c r="O44" s="27" t="n">
        <v>1.23028268760565</v>
      </c>
      <c r="P44" s="27" t="n">
        <v>1.132161351655634</v>
      </c>
      <c r="Q44" s="27" t="n">
        <v>0.06019376546439243</v>
      </c>
      <c r="R44" s="27" t="n">
        <v>2.084251132724864</v>
      </c>
      <c r="S44" s="27" t="n">
        <v>-0.1181989863331272</v>
      </c>
      <c r="T44" s="27" t="n">
        <v>-0.3735144655398071</v>
      </c>
      <c r="U44" s="27" t="n">
        <v>-0.09281445327101921</v>
      </c>
      <c r="V44" s="27" t="n">
        <v>2.19797526842955</v>
      </c>
      <c r="W44" s="27" t="n">
        <v>1.84369351009485</v>
      </c>
      <c r="X44" s="27" t="n">
        <v>1.23619493889012</v>
      </c>
      <c r="Y44" s="27" t="n">
        <v>-1.608334702525739</v>
      </c>
      <c r="Z44" s="27" t="n">
        <v>0.7777451570670594</v>
      </c>
      <c r="AA44" s="27" t="n">
        <v>10.71694197651598</v>
      </c>
      <c r="AB44" s="27" t="n">
        <v>1.466039778115634</v>
      </c>
      <c r="AC44" s="27" t="n">
        <v>12.87359078091988</v>
      </c>
      <c r="AD44" s="27" t="n">
        <v>49.19841743874352</v>
      </c>
      <c r="AE44" s="27" t="n">
        <v>19.97891578049671</v>
      </c>
      <c r="AF44" s="27" t="n">
        <v>7.964467128657021</v>
      </c>
      <c r="AG44" s="27" t="n">
        <v>701.8575629276149</v>
      </c>
      <c r="AH44" s="27" t="n">
        <v>22.59922390285445</v>
      </c>
      <c r="AI44" s="27" t="n">
        <v>14.58671764806326</v>
      </c>
      <c r="AJ44" s="27" t="n">
        <v>2.805726359634925</v>
      </c>
      <c r="AK44" s="27" t="n">
        <v>19.48350785032316</v>
      </c>
      <c r="AL44" s="27" t="n">
        <v>85.44544179200089</v>
      </c>
      <c r="AM44" s="27" t="n">
        <v>67.52036527224936</v>
      </c>
      <c r="AN44" s="27" t="n">
        <v>45.93274941238223</v>
      </c>
      <c r="AO44" s="27" t="n">
        <v>-0.5125576422197486</v>
      </c>
      <c r="AP44" s="27" t="n">
        <v>4.980010797975408</v>
      </c>
      <c r="AQ44" s="27" t="n">
        <v>2.06422777226837</v>
      </c>
      <c r="AR44" s="27" t="n">
        <v>0.2512040779834578</v>
      </c>
      <c r="AS44" s="27" t="n">
        <v>3.663729375438265</v>
      </c>
      <c r="AT44" s="27" t="n">
        <v>20.2343770269582</v>
      </c>
      <c r="AU44" s="27" t="n">
        <v>1.104891080888094</v>
      </c>
      <c r="AV44" s="27" t="n">
        <v>-0.2688307549127192</v>
      </c>
      <c r="AW44" s="27" t="n">
        <v>7.67485329742763</v>
      </c>
      <c r="AX44" s="27" t="n">
        <v>0</v>
      </c>
      <c r="AY44" s="27" t="n">
        <v>0.7450615398127881</v>
      </c>
      <c r="AZ44" s="27" t="n">
        <v>0.1867626393349378</v>
      </c>
      <c r="BA44" s="27" t="n">
        <v>8.741514134717272</v>
      </c>
      <c r="BB44" s="27">
        <f>SUM(C44:BA44)</f>
        <v/>
      </c>
      <c r="BC44" s="27" t="n">
        <v>0</v>
      </c>
      <c r="BD44" s="27" t="n">
        <v>0</v>
      </c>
      <c r="BE44" s="27" t="n">
        <v>0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1.468725254510149</v>
      </c>
      <c r="D45" s="29" t="n">
        <v>1.253071469667027</v>
      </c>
      <c r="E45" s="29" t="n">
        <v>12.47348484560874</v>
      </c>
      <c r="F45" s="29" t="n">
        <v>8.224821260968746</v>
      </c>
      <c r="G45" s="29" t="n">
        <v>5.61942253702071</v>
      </c>
      <c r="H45" s="29" t="n">
        <v>19.23400485424354</v>
      </c>
      <c r="I45" s="29" t="n">
        <v>0.1545603929445913</v>
      </c>
      <c r="J45" s="29" t="n">
        <v>2.089982989220276</v>
      </c>
      <c r="K45" s="29" t="n">
        <v>3.570199597160676</v>
      </c>
      <c r="L45" s="29" t="n">
        <v>2.804709191497979</v>
      </c>
      <c r="M45" s="29" t="n">
        <v>2.021503910956876</v>
      </c>
      <c r="N45" s="29" t="n">
        <v>4.166219420176341</v>
      </c>
      <c r="O45" s="29" t="n">
        <v>4.963320422191181</v>
      </c>
      <c r="P45" s="29" t="n">
        <v>1.57705874744731</v>
      </c>
      <c r="Q45" s="29" t="n">
        <v>0.7592999666921417</v>
      </c>
      <c r="R45" s="29" t="n">
        <v>3.143490183830036</v>
      </c>
      <c r="S45" s="29" t="n">
        <v>1.059362891761218</v>
      </c>
      <c r="T45" s="29" t="n">
        <v>1.64911719426636</v>
      </c>
      <c r="U45" s="29" t="n">
        <v>0.6690247944656303</v>
      </c>
      <c r="V45" s="29" t="n">
        <v>2.377276357179632</v>
      </c>
      <c r="W45" s="29" t="n">
        <v>1.315308597123694</v>
      </c>
      <c r="X45" s="29" t="n">
        <v>1.108586213093797</v>
      </c>
      <c r="Y45" s="29" t="n">
        <v>15.7264322557158</v>
      </c>
      <c r="Z45" s="29" t="n">
        <v>7.186368950982497</v>
      </c>
      <c r="AA45" s="29" t="n">
        <v>22.86511059712189</v>
      </c>
      <c r="AB45" s="29" t="n">
        <v>6.601870113455885</v>
      </c>
      <c r="AC45" s="29" t="n">
        <v>9.681576834420246</v>
      </c>
      <c r="AD45" s="29" t="n">
        <v>85.96689249559101</v>
      </c>
      <c r="AE45" s="29" t="n">
        <v>20.07778859609159</v>
      </c>
      <c r="AF45" s="29" t="n">
        <v>54.07203700486304</v>
      </c>
      <c r="AG45" s="29" t="n">
        <v>3311.321777231708</v>
      </c>
      <c r="AH45" s="29" t="n">
        <v>1112.752563412226</v>
      </c>
      <c r="AI45" s="29" t="n">
        <v>12.66037161188892</v>
      </c>
      <c r="AJ45" s="29" t="n">
        <v>4.355588046724417</v>
      </c>
      <c r="AK45" s="29" t="n">
        <v>12.12370511957686</v>
      </c>
      <c r="AL45" s="29" t="n">
        <v>68.2491905981984</v>
      </c>
      <c r="AM45" s="29" t="n">
        <v>1301.058914600294</v>
      </c>
      <c r="AN45" s="29" t="n">
        <v>1045.213053229689</v>
      </c>
      <c r="AO45" s="29" t="n">
        <v>7.350872160681354</v>
      </c>
      <c r="AP45" s="29" t="n">
        <v>3.075309360056614</v>
      </c>
      <c r="AQ45" s="29" t="n">
        <v>1.292523295865792</v>
      </c>
      <c r="AR45" s="29" t="n">
        <v>1.16149420507572</v>
      </c>
      <c r="AS45" s="29" t="n">
        <v>2.3452338357033</v>
      </c>
      <c r="AT45" s="29" t="n">
        <v>30.96877770909413</v>
      </c>
      <c r="AU45" s="29" t="n">
        <v>0.7213343382903112</v>
      </c>
      <c r="AV45" s="29" t="n">
        <v>41.62512906684079</v>
      </c>
      <c r="AW45" s="29" t="n">
        <v>7.084443071241062</v>
      </c>
      <c r="AX45" s="29" t="n">
        <v>0</v>
      </c>
      <c r="AY45" s="29" t="n">
        <v>50.71877499515026</v>
      </c>
      <c r="AZ45" s="29" t="n">
        <v>34.77725050204678</v>
      </c>
      <c r="BA45" s="29" t="n">
        <v>102.5281342143739</v>
      </c>
      <c r="BB45" s="29">
        <f>SUM(C45:BA45)</f>
        <v/>
      </c>
      <c r="BC45" s="29" t="n">
        <v>0</v>
      </c>
      <c r="BD45" s="29" t="n">
        <v>0</v>
      </c>
      <c r="BE45" s="29" t="n">
        <v>0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0.0527464543616501</v>
      </c>
      <c r="D46" s="27" t="n">
        <v>0.06959391696999336</v>
      </c>
      <c r="E46" s="27" t="n">
        <v>0.8594829898078093</v>
      </c>
      <c r="F46" s="27" t="n">
        <v>0.254173874968152</v>
      </c>
      <c r="G46" s="27" t="n">
        <v>0.1969860746230096</v>
      </c>
      <c r="H46" s="27" t="n">
        <v>0.4322988892726274</v>
      </c>
      <c r="I46" s="27" t="n">
        <v>0.02732291955781701</v>
      </c>
      <c r="J46" s="27" t="n">
        <v>-0.0460722871823624</v>
      </c>
      <c r="K46" s="27" t="n">
        <v>2.121363209840997</v>
      </c>
      <c r="L46" s="27" t="n">
        <v>0.4107093090222058</v>
      </c>
      <c r="M46" s="27" t="n">
        <v>0.071161345599505</v>
      </c>
      <c r="N46" s="27" t="n">
        <v>0.004694069186546634</v>
      </c>
      <c r="O46" s="27" t="n">
        <v>0.08027282769510445</v>
      </c>
      <c r="P46" s="27" t="n">
        <v>0.1550890143886028</v>
      </c>
      <c r="Q46" s="27" t="n">
        <v>0.01084705534620405</v>
      </c>
      <c r="R46" s="27" t="n">
        <v>0.2657783186859052</v>
      </c>
      <c r="S46" s="27" t="n">
        <v>0.02526212551077357</v>
      </c>
      <c r="T46" s="27" t="n">
        <v>0.1213669567198699</v>
      </c>
      <c r="U46" s="27" t="n">
        <v>0.08741237302714124</v>
      </c>
      <c r="V46" s="27" t="n">
        <v>0.1698738187455758</v>
      </c>
      <c r="W46" s="27" t="n">
        <v>0.1141481841308135</v>
      </c>
      <c r="X46" s="27" t="n">
        <v>-0.02604370671915057</v>
      </c>
      <c r="Y46" s="27" t="n">
        <v>-0.06302901761596677</v>
      </c>
      <c r="Z46" s="27" t="n">
        <v>0.2289600155720892</v>
      </c>
      <c r="AA46" s="27" t="n">
        <v>0.669939784148552</v>
      </c>
      <c r="AB46" s="27" t="n">
        <v>0.08979678582702846</v>
      </c>
      <c r="AC46" s="27" t="n">
        <v>0.7449091126939222</v>
      </c>
      <c r="AD46" s="27" t="n">
        <v>274.8491570452114</v>
      </c>
      <c r="AE46" s="27" t="n">
        <v>0.2672444989406991</v>
      </c>
      <c r="AF46" s="27" t="n">
        <v>0.614473554427593</v>
      </c>
      <c r="AG46" s="27" t="n">
        <v>0.9265736276433927</v>
      </c>
      <c r="AH46" s="27" t="n">
        <v>1.003999374475244</v>
      </c>
      <c r="AI46" s="27" t="n">
        <v>1454.786040752321</v>
      </c>
      <c r="AJ46" s="27" t="n">
        <v>2.658174475116451</v>
      </c>
      <c r="AK46" s="27" t="n">
        <v>0.6541523035620374</v>
      </c>
      <c r="AL46" s="27" t="n">
        <v>3.995641586286639</v>
      </c>
      <c r="AM46" s="27" t="n">
        <v>27.55207309067237</v>
      </c>
      <c r="AN46" s="27" t="n">
        <v>212.2726539364571</v>
      </c>
      <c r="AO46" s="27" t="n">
        <v>0.7983717168590969</v>
      </c>
      <c r="AP46" s="27" t="n">
        <v>1.309074124124252</v>
      </c>
      <c r="AQ46" s="27" t="n">
        <v>0.2293327311512254</v>
      </c>
      <c r="AR46" s="27" t="n">
        <v>15.36807296005156</v>
      </c>
      <c r="AS46" s="27" t="n">
        <v>0.2596699634615629</v>
      </c>
      <c r="AT46" s="27" t="n">
        <v>2.789628756874872</v>
      </c>
      <c r="AU46" s="27" t="n">
        <v>0.304543017177638</v>
      </c>
      <c r="AV46" s="27" t="n">
        <v>0.1162655724074742</v>
      </c>
      <c r="AW46" s="27" t="n">
        <v>1.078741371900071</v>
      </c>
      <c r="AX46" s="27" t="n">
        <v>0</v>
      </c>
      <c r="AY46" s="27" t="n">
        <v>0.6639784091188037</v>
      </c>
      <c r="AZ46" s="27" t="n">
        <v>0.3516403741430262</v>
      </c>
      <c r="BA46" s="27" t="n">
        <v>44.64579156194049</v>
      </c>
      <c r="BB46" s="27">
        <f>SUM(C46:BA46)</f>
        <v/>
      </c>
      <c r="BC46" s="27" t="n">
        <v>0</v>
      </c>
      <c r="BD46" s="27" t="n">
        <v>0</v>
      </c>
      <c r="BE46" s="27" t="n">
        <v>0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2.806586465512715</v>
      </c>
      <c r="D47" s="29" t="n">
        <v>1.829275829111738</v>
      </c>
      <c r="E47" s="29" t="n">
        <v>8.137668286211278</v>
      </c>
      <c r="F47" s="29" t="n">
        <v>4.716859779138344</v>
      </c>
      <c r="G47" s="29" t="n">
        <v>1.798889360123881</v>
      </c>
      <c r="H47" s="29" t="n">
        <v>19.86181985336357</v>
      </c>
      <c r="I47" s="29" t="n">
        <v>-0.03833592960202915</v>
      </c>
      <c r="J47" s="29" t="n">
        <v>9.805049123020359</v>
      </c>
      <c r="K47" s="29" t="n">
        <v>330.1675724205678</v>
      </c>
      <c r="L47" s="29" t="n">
        <v>80.08637479416723</v>
      </c>
      <c r="M47" s="29" t="n">
        <v>5.385567236696302</v>
      </c>
      <c r="N47" s="29" t="n">
        <v>2.078382928735729</v>
      </c>
      <c r="O47" s="29" t="n">
        <v>1.880425903176284</v>
      </c>
      <c r="P47" s="29" t="n">
        <v>0.8448637163697273</v>
      </c>
      <c r="Q47" s="29" t="n">
        <v>0.1968951760460418</v>
      </c>
      <c r="R47" s="29" t="n">
        <v>15.32378544761718</v>
      </c>
      <c r="S47" s="29" t="n">
        <v>6.034942909633053</v>
      </c>
      <c r="T47" s="29" t="n">
        <v>2.4735026514171</v>
      </c>
      <c r="U47" s="29" t="n">
        <v>7.021222720097043</v>
      </c>
      <c r="V47" s="29" t="n">
        <v>3.221980008395374</v>
      </c>
      <c r="W47" s="29" t="n">
        <v>1.551520604664206</v>
      </c>
      <c r="X47" s="29" t="n">
        <v>0.7387398092426551</v>
      </c>
      <c r="Y47" s="29" t="n">
        <v>20.91818850318996</v>
      </c>
      <c r="Z47" s="29" t="n">
        <v>26.23038514671676</v>
      </c>
      <c r="AA47" s="29" t="n">
        <v>5.12187435454191</v>
      </c>
      <c r="AB47" s="29" t="n">
        <v>0.4733603201032586</v>
      </c>
      <c r="AC47" s="29" t="n">
        <v>6.645024841879059</v>
      </c>
      <c r="AD47" s="29" t="n">
        <v>104.7852209291672</v>
      </c>
      <c r="AE47" s="29" t="n">
        <v>4.846342856032014</v>
      </c>
      <c r="AF47" s="29" t="n">
        <v>6.469842537472079</v>
      </c>
      <c r="AG47" s="29" t="n">
        <v>50.24346039190655</v>
      </c>
      <c r="AH47" s="29" t="n">
        <v>90.20358852484699</v>
      </c>
      <c r="AI47" s="29" t="n">
        <v>11.43609391180901</v>
      </c>
      <c r="AJ47" s="29" t="n">
        <v>383.04666556273</v>
      </c>
      <c r="AK47" s="29" t="n">
        <v>16.96045438930014</v>
      </c>
      <c r="AL47" s="29" t="n">
        <v>178.1231989968484</v>
      </c>
      <c r="AM47" s="29" t="n">
        <v>63.17385714762104</v>
      </c>
      <c r="AN47" s="29" t="n">
        <v>58.71797533451936</v>
      </c>
      <c r="AO47" s="29" t="n">
        <v>16.96492358725958</v>
      </c>
      <c r="AP47" s="29" t="n">
        <v>29.92077774620241</v>
      </c>
      <c r="AQ47" s="29" t="n">
        <v>17.13695428723857</v>
      </c>
      <c r="AR47" s="29" t="n">
        <v>1.258012964606466</v>
      </c>
      <c r="AS47" s="29" t="n">
        <v>3.137571948519708</v>
      </c>
      <c r="AT47" s="29" t="n">
        <v>224.6745662551621</v>
      </c>
      <c r="AU47" s="29" t="n">
        <v>4.714495688439172</v>
      </c>
      <c r="AV47" s="29" t="n">
        <v>9.872583414565543</v>
      </c>
      <c r="AW47" s="29" t="n">
        <v>70.10816880449464</v>
      </c>
      <c r="AX47" s="29" t="n">
        <v>0</v>
      </c>
      <c r="AY47" s="29" t="n">
        <v>18.6852637962223</v>
      </c>
      <c r="AZ47" s="29" t="n">
        <v>27.73846979539208</v>
      </c>
      <c r="BA47" s="29" t="n">
        <v>59.93769730739772</v>
      </c>
      <c r="BB47" s="29">
        <f>SUM(C47:BA47)</f>
        <v/>
      </c>
      <c r="BC47" s="29" t="n">
        <v>0</v>
      </c>
      <c r="BD47" s="29" t="n">
        <v>0</v>
      </c>
      <c r="BE47" s="29" t="n">
        <v>0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242.5065651681781</v>
      </c>
      <c r="D48" s="27" t="n">
        <v>194.5978901225212</v>
      </c>
      <c r="E48" s="27" t="n">
        <v>10.35988191346833</v>
      </c>
      <c r="F48" s="27" t="n">
        <v>39.7900254286287</v>
      </c>
      <c r="G48" s="27" t="n">
        <v>53.71014166497572</v>
      </c>
      <c r="H48" s="27" t="n">
        <v>233.9999120533656</v>
      </c>
      <c r="I48" s="27" t="n">
        <v>3.982136608148866</v>
      </c>
      <c r="J48" s="27" t="n">
        <v>112.646037912196</v>
      </c>
      <c r="K48" s="27" t="n">
        <v>16.71111835045932</v>
      </c>
      <c r="L48" s="27" t="n">
        <v>20.50044737572039</v>
      </c>
      <c r="M48" s="27" t="n">
        <v>56.9951577336787</v>
      </c>
      <c r="N48" s="27" t="n">
        <v>111.8237851535346</v>
      </c>
      <c r="O48" s="27" t="n">
        <v>9.031298919003042</v>
      </c>
      <c r="P48" s="27" t="n">
        <v>15.08142080973332</v>
      </c>
      <c r="Q48" s="27" t="n">
        <v>4.899760944227654</v>
      </c>
      <c r="R48" s="27" t="n">
        <v>176.7768074791108</v>
      </c>
      <c r="S48" s="27" t="n">
        <v>90.14242869189954</v>
      </c>
      <c r="T48" s="27" t="n">
        <v>13.15707684622381</v>
      </c>
      <c r="U48" s="27" t="n">
        <v>12.08671473736432</v>
      </c>
      <c r="V48" s="27" t="n">
        <v>13.98172864731321</v>
      </c>
      <c r="W48" s="27" t="n">
        <v>7.55237703173328</v>
      </c>
      <c r="X48" s="27" t="n">
        <v>30.56610763938551</v>
      </c>
      <c r="Y48" s="27" t="n">
        <v>124.6011135044432</v>
      </c>
      <c r="Z48" s="27" t="n">
        <v>216.5010954535255</v>
      </c>
      <c r="AA48" s="27" t="n">
        <v>413.3367419264091</v>
      </c>
      <c r="AB48" s="27" t="n">
        <v>205.9950713462885</v>
      </c>
      <c r="AC48" s="27" t="n">
        <v>53.75622288561592</v>
      </c>
      <c r="AD48" s="27" t="n">
        <v>34.9011051831156</v>
      </c>
      <c r="AE48" s="27" t="n">
        <v>28.08602627313952</v>
      </c>
      <c r="AF48" s="27" t="n">
        <v>14.16306862351697</v>
      </c>
      <c r="AG48" s="27" t="n">
        <v>22.1830216588681</v>
      </c>
      <c r="AH48" s="27" t="n">
        <v>77.90583874889404</v>
      </c>
      <c r="AI48" s="27" t="n">
        <v>9.961483975455991</v>
      </c>
      <c r="AJ48" s="27" t="n">
        <v>17.84377494931709</v>
      </c>
      <c r="AK48" s="27" t="n">
        <v>2586.948796145862</v>
      </c>
      <c r="AL48" s="27" t="n">
        <v>40.39766731556443</v>
      </c>
      <c r="AM48" s="27" t="n">
        <v>725.5879678214974</v>
      </c>
      <c r="AN48" s="27" t="n">
        <v>133.4472208296572</v>
      </c>
      <c r="AO48" s="27" t="n">
        <v>127.4551206654619</v>
      </c>
      <c r="AP48" s="27" t="n">
        <v>81.93391239925025</v>
      </c>
      <c r="AQ48" s="27" t="n">
        <v>24.16196832993817</v>
      </c>
      <c r="AR48" s="27" t="n">
        <v>10.29071733933874</v>
      </c>
      <c r="AS48" s="27" t="n">
        <v>131.8058171955928</v>
      </c>
      <c r="AT48" s="27" t="n">
        <v>111.2620712621634</v>
      </c>
      <c r="AU48" s="27" t="n">
        <v>92.37383098141171</v>
      </c>
      <c r="AV48" s="27" t="n">
        <v>132.0081638552953</v>
      </c>
      <c r="AW48" s="27" t="n">
        <v>622.3160855351563</v>
      </c>
      <c r="AX48" s="27" t="n">
        <v>0</v>
      </c>
      <c r="AY48" s="27" t="n">
        <v>68.45504512219608</v>
      </c>
      <c r="AZ48" s="27" t="n">
        <v>82.77986164833641</v>
      </c>
      <c r="BA48" s="27" t="n">
        <v>536.0148162826466</v>
      </c>
      <c r="BB48" s="27">
        <f>SUM(C48:BA48)</f>
        <v/>
      </c>
      <c r="BC48" s="27" t="n">
        <v>0</v>
      </c>
      <c r="BD48" s="27" t="n">
        <v>0</v>
      </c>
      <c r="BE48" s="27" t="n">
        <v>0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0.8022678515287617</v>
      </c>
      <c r="D49" s="29" t="n">
        <v>2.290517323601514</v>
      </c>
      <c r="E49" s="29" t="n">
        <v>30.23836433856759</v>
      </c>
      <c r="F49" s="29" t="n">
        <v>14.20027886090623</v>
      </c>
      <c r="G49" s="29" t="n">
        <v>4.279415372429968</v>
      </c>
      <c r="H49" s="29" t="n">
        <v>0.403876495184789</v>
      </c>
      <c r="I49" s="29" t="n">
        <v>0.01195851720958242</v>
      </c>
      <c r="J49" s="29" t="n">
        <v>0.6268187262190705</v>
      </c>
      <c r="K49" s="29" t="n">
        <v>0.08231858264557196</v>
      </c>
      <c r="L49" s="29" t="n">
        <v>0.0260779410150777</v>
      </c>
      <c r="M49" s="29" t="n">
        <v>0.007770787438553719</v>
      </c>
      <c r="N49" s="29" t="n">
        <v>0.2979334818819282</v>
      </c>
      <c r="O49" s="29" t="n">
        <v>0.3251762459535583</v>
      </c>
      <c r="P49" s="29" t="n">
        <v>0.2680157003130335</v>
      </c>
      <c r="Q49" s="29" t="n">
        <v>0.2790757505606092</v>
      </c>
      <c r="R49" s="29" t="n">
        <v>1.298978442109122</v>
      </c>
      <c r="S49" s="29" t="n">
        <v>0.00850500154313613</v>
      </c>
      <c r="T49" s="29" t="n">
        <v>0.04822241165461906</v>
      </c>
      <c r="U49" s="29" t="n">
        <v>0.03142736921559224</v>
      </c>
      <c r="V49" s="29" t="n">
        <v>0.02924861423320859</v>
      </c>
      <c r="W49" s="29" t="n">
        <v>0.02735271955091367</v>
      </c>
      <c r="X49" s="29" t="n">
        <v>0.01293019404504874</v>
      </c>
      <c r="Y49" s="29" t="n">
        <v>0.06369975212445013</v>
      </c>
      <c r="Z49" s="29" t="n">
        <v>0.4382276659313015</v>
      </c>
      <c r="AA49" s="29" t="n">
        <v>2.671845170858736</v>
      </c>
      <c r="AB49" s="29" t="n">
        <v>18.85531731152198</v>
      </c>
      <c r="AC49" s="29" t="n">
        <v>0.6780852496873803</v>
      </c>
      <c r="AD49" s="29" t="n">
        <v>1.029297145914758</v>
      </c>
      <c r="AE49" s="29" t="n">
        <v>0.203604129599359</v>
      </c>
      <c r="AF49" s="29" t="n">
        <v>1.473534716937485</v>
      </c>
      <c r="AG49" s="29" t="n">
        <v>2.938381153322136</v>
      </c>
      <c r="AH49" s="29" t="n">
        <v>0.4957724246268608</v>
      </c>
      <c r="AI49" s="29" t="n">
        <v>2.331328231570062</v>
      </c>
      <c r="AJ49" s="29" t="n">
        <v>0.2535619513140668</v>
      </c>
      <c r="AK49" s="29" t="n">
        <v>69.04905000006809</v>
      </c>
      <c r="AL49" s="29" t="n">
        <v>707.5783181959094</v>
      </c>
      <c r="AM49" s="29" t="n">
        <v>17.7044470547197</v>
      </c>
      <c r="AN49" s="29" t="n">
        <v>20.98887390445259</v>
      </c>
      <c r="AO49" s="29" t="n">
        <v>69.89190495078084</v>
      </c>
      <c r="AP49" s="29" t="n">
        <v>14.49209153598083</v>
      </c>
      <c r="AQ49" s="29" t="n">
        <v>18.84752366736659</v>
      </c>
      <c r="AR49" s="29" t="n">
        <v>0.04616646434855492</v>
      </c>
      <c r="AS49" s="29" t="n">
        <v>6.93010043182327</v>
      </c>
      <c r="AT49" s="29" t="n">
        <v>15.29389354945286</v>
      </c>
      <c r="AU49" s="29" t="n">
        <v>5.471942969922671</v>
      </c>
      <c r="AV49" s="29" t="n">
        <v>0.2124543398295105</v>
      </c>
      <c r="AW49" s="29" t="n">
        <v>40.18212407376944</v>
      </c>
      <c r="AX49" s="29" t="n">
        <v>0</v>
      </c>
      <c r="AY49" s="29" t="n">
        <v>8.544779824823889</v>
      </c>
      <c r="AZ49" s="29" t="n">
        <v>31.17719776994165</v>
      </c>
      <c r="BA49" s="29" t="n">
        <v>147.7831777211634</v>
      </c>
      <c r="BB49" s="29">
        <f>SUM(C49:BA49)</f>
        <v/>
      </c>
      <c r="BC49" s="29" t="n">
        <v>0</v>
      </c>
      <c r="BD49" s="29" t="n">
        <v>0</v>
      </c>
      <c r="BE49" s="29" t="n">
        <v>0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-115.7948919454103</v>
      </c>
      <c r="D50" s="27" t="n">
        <v>18.52454343703129</v>
      </c>
      <c r="E50" s="27" t="n">
        <v>-25.75487647874241</v>
      </c>
      <c r="F50" s="27" t="n">
        <v>-476.2954944143772</v>
      </c>
      <c r="G50" s="27" t="n">
        <v>-171.360834746055</v>
      </c>
      <c r="H50" s="27" t="n">
        <v>-6782.830419657554</v>
      </c>
      <c r="I50" s="27" t="n">
        <v>-241.891253724983</v>
      </c>
      <c r="J50" s="27" t="n">
        <v>-765.2937226016061</v>
      </c>
      <c r="K50" s="27" t="n">
        <v>-807.6205841396511</v>
      </c>
      <c r="L50" s="27" t="n">
        <v>-1051.192728266449</v>
      </c>
      <c r="M50" s="27" t="n">
        <v>-261.0647797578786</v>
      </c>
      <c r="N50" s="27" t="n">
        <v>-1243.885365086824</v>
      </c>
      <c r="O50" s="27" t="n">
        <v>-67.49515712644045</v>
      </c>
      <c r="P50" s="27" t="n">
        <v>-302.1396141435467</v>
      </c>
      <c r="Q50" s="27" t="n">
        <v>-187.839518583598</v>
      </c>
      <c r="R50" s="27" t="n">
        <v>-268.8011053926881</v>
      </c>
      <c r="S50" s="27" t="n">
        <v>-411.7578257995497</v>
      </c>
      <c r="T50" s="27" t="n">
        <v>-813.2774802042984</v>
      </c>
      <c r="U50" s="27" t="n">
        <v>-283.8823717562337</v>
      </c>
      <c r="V50" s="27" t="n">
        <v>-55.13444263289465</v>
      </c>
      <c r="W50" s="27" t="n">
        <v>-174.4405396959385</v>
      </c>
      <c r="X50" s="27" t="n">
        <v>-639.2877604313053</v>
      </c>
      <c r="Y50" s="27" t="n">
        <v>-1418.467503698627</v>
      </c>
      <c r="Z50" s="27" t="n">
        <v>-1147.227602916111</v>
      </c>
      <c r="AA50" s="27" t="n">
        <v>-1519.426203753638</v>
      </c>
      <c r="AB50" s="27" t="n">
        <v>-452.6046612147452</v>
      </c>
      <c r="AC50" s="27" t="n">
        <v>-901.4040102748286</v>
      </c>
      <c r="AD50" s="27" t="n">
        <v>-2855.27023596277</v>
      </c>
      <c r="AE50" s="27" t="n">
        <v>-739.9978751483798</v>
      </c>
      <c r="AF50" s="27" t="n">
        <v>-1277.257800562739</v>
      </c>
      <c r="AG50" s="27" t="n">
        <v>-254.6359909552814</v>
      </c>
      <c r="AH50" s="27" t="n">
        <v>-16.36139800649779</v>
      </c>
      <c r="AI50" s="27" t="n">
        <v>-68.52402948326522</v>
      </c>
      <c r="AJ50" s="27" t="n">
        <v>-318.1175529812355</v>
      </c>
      <c r="AK50" s="27" t="n">
        <v>-637.8204326722476</v>
      </c>
      <c r="AL50" s="27" t="n">
        <v>-304.2414394264874</v>
      </c>
      <c r="AM50" s="27" t="n">
        <v>-5627.626412701702</v>
      </c>
      <c r="AN50" s="27" t="n">
        <v>-4647.881867653579</v>
      </c>
      <c r="AO50" s="27" t="n">
        <v>-4124.723172087478</v>
      </c>
      <c r="AP50" s="27" t="n">
        <v>-64.40453282618873</v>
      </c>
      <c r="AQ50" s="27" t="n">
        <v>-6.846010593937959</v>
      </c>
      <c r="AR50" s="27" t="n">
        <v>-0.7791598303075392</v>
      </c>
      <c r="AS50" s="27" t="n">
        <v>28.9427043699451</v>
      </c>
      <c r="AT50" s="27" t="n">
        <v>-1265.663399680355</v>
      </c>
      <c r="AU50" s="27" t="n">
        <v>0.6473054003745715</v>
      </c>
      <c r="AV50" s="27" t="n">
        <v>-367.8713498068456</v>
      </c>
      <c r="AW50" s="27" t="n">
        <v>-46.75475508825842</v>
      </c>
      <c r="AX50" s="27" t="n">
        <v>0</v>
      </c>
      <c r="AY50" s="27" t="n">
        <v>-417.320362010889</v>
      </c>
      <c r="AZ50" s="27" t="n">
        <v>-681.3556066076935</v>
      </c>
      <c r="BA50" s="27" t="n">
        <v>-1008.889395314074</v>
      </c>
      <c r="BB50" s="27">
        <f>SUM(C50:BA50)</f>
        <v/>
      </c>
      <c r="BC50" s="27" t="n">
        <v>0</v>
      </c>
      <c r="BD50" s="27" t="n">
        <v>0</v>
      </c>
      <c r="BE50" s="27" t="n">
        <v>0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-71.3048101871515</v>
      </c>
      <c r="D51" s="29" t="n">
        <v>-15.36216526670861</v>
      </c>
      <c r="E51" s="29" t="n">
        <v>-108.0131899497052</v>
      </c>
      <c r="F51" s="29" t="n">
        <v>-55.75839904678019</v>
      </c>
      <c r="G51" s="29" t="n">
        <v>-28.85228144977528</v>
      </c>
      <c r="H51" s="29" t="n">
        <v>-524.2380531240534</v>
      </c>
      <c r="I51" s="29" t="n">
        <v>-1.608268224939903</v>
      </c>
      <c r="J51" s="29" t="n">
        <v>-23.48425589381001</v>
      </c>
      <c r="K51" s="29" t="n">
        <v>-3.114322148089491</v>
      </c>
      <c r="L51" s="29" t="n">
        <v>-17.41057215171145</v>
      </c>
      <c r="M51" s="29" t="n">
        <v>4.733700549286002</v>
      </c>
      <c r="N51" s="29" t="n">
        <v>-66.69235441454725</v>
      </c>
      <c r="O51" s="29" t="n">
        <v>-8.306463683905063</v>
      </c>
      <c r="P51" s="29" t="n">
        <v>-42.68023184277591</v>
      </c>
      <c r="Q51" s="29" t="n">
        <v>-14.50271848173309</v>
      </c>
      <c r="R51" s="29" t="n">
        <v>-83.78940065764363</v>
      </c>
      <c r="S51" s="29" t="n">
        <v>-20.83698735005744</v>
      </c>
      <c r="T51" s="29" t="n">
        <v>-30.199804677952</v>
      </c>
      <c r="U51" s="29" t="n">
        <v>-0.7224925962532798</v>
      </c>
      <c r="V51" s="29" t="n">
        <v>-24.25227736770019</v>
      </c>
      <c r="W51" s="29" t="n">
        <v>-2.578665751610024</v>
      </c>
      <c r="X51" s="29" t="n">
        <v>-14.97890604737922</v>
      </c>
      <c r="Y51" s="29" t="n">
        <v>-35.01759151293327</v>
      </c>
      <c r="Z51" s="29" t="n">
        <v>-27.76944967168698</v>
      </c>
      <c r="AA51" s="29" t="n">
        <v>-143.6736378258454</v>
      </c>
      <c r="AB51" s="29" t="n">
        <v>-9.466030733035732</v>
      </c>
      <c r="AC51" s="29" t="n">
        <v>-29.04041859006161</v>
      </c>
      <c r="AD51" s="29" t="n">
        <v>-6.53024818505632</v>
      </c>
      <c r="AE51" s="29" t="n">
        <v>-24.23590863043039</v>
      </c>
      <c r="AF51" s="29" t="n">
        <v>-43.99698653459301</v>
      </c>
      <c r="AG51" s="29" t="n">
        <v>-89.83434095705243</v>
      </c>
      <c r="AH51" s="29" t="n">
        <v>-25.56261256403764</v>
      </c>
      <c r="AI51" s="29" t="n">
        <v>-6.059650620552676</v>
      </c>
      <c r="AJ51" s="29" t="n">
        <v>-15.89665670461816</v>
      </c>
      <c r="AK51" s="29" t="n">
        <v>-7.869973489948119</v>
      </c>
      <c r="AL51" s="29" t="n">
        <v>30.47601402535155</v>
      </c>
      <c r="AM51" s="29" t="n">
        <v>-377.2637761511212</v>
      </c>
      <c r="AN51" s="29" t="n">
        <v>-823.3881763537446</v>
      </c>
      <c r="AO51" s="29" t="n">
        <v>49.16285454841233</v>
      </c>
      <c r="AP51" s="29" t="n">
        <v>129.4652911017184</v>
      </c>
      <c r="AQ51" s="29" t="n">
        <v>7.34725324059017</v>
      </c>
      <c r="AR51" s="29" t="n">
        <v>0.563299289594402</v>
      </c>
      <c r="AS51" s="29" t="n">
        <v>1.186598769023524</v>
      </c>
      <c r="AT51" s="29" t="n">
        <v>102.4863181131723</v>
      </c>
      <c r="AU51" s="29" t="n">
        <v>89.64201946159847</v>
      </c>
      <c r="AV51" s="29" t="n">
        <v>7.228894735409945</v>
      </c>
      <c r="AW51" s="29" t="n">
        <v>412.8630674479247</v>
      </c>
      <c r="AX51" s="29" t="n">
        <v>0</v>
      </c>
      <c r="AY51" s="29" t="n">
        <v>31.67862233060286</v>
      </c>
      <c r="AZ51" s="29" t="n">
        <v>16.3320409709913</v>
      </c>
      <c r="BA51" s="29" t="n">
        <v>71.45474858767008</v>
      </c>
      <c r="BB51" s="29">
        <f>SUM(C51:BA51)</f>
        <v/>
      </c>
      <c r="BC51" s="29" t="n">
        <v>0</v>
      </c>
      <c r="BD51" s="29" t="n">
        <v>0</v>
      </c>
      <c r="BE51" s="29" t="n">
        <v>0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1.60354480060219</v>
      </c>
      <c r="D52" s="27" t="n">
        <v>0.8082815570479764</v>
      </c>
      <c r="E52" s="27" t="n">
        <v>30.82191855044647</v>
      </c>
      <c r="F52" s="27" t="n">
        <v>11.39780827512837</v>
      </c>
      <c r="G52" s="27" t="n">
        <v>5.865709975057011</v>
      </c>
      <c r="H52" s="27" t="n">
        <v>225.3015394235451</v>
      </c>
      <c r="I52" s="27" t="n">
        <v>4.429773433426771</v>
      </c>
      <c r="J52" s="27" t="n">
        <v>28.80316975428078</v>
      </c>
      <c r="K52" s="27" t="n">
        <v>55.10696835238996</v>
      </c>
      <c r="L52" s="27" t="n">
        <v>18.97924942897078</v>
      </c>
      <c r="M52" s="27" t="n">
        <v>9.332768650142045</v>
      </c>
      <c r="N52" s="27" t="n">
        <v>30.88539234235589</v>
      </c>
      <c r="O52" s="27" t="n">
        <v>45.03240507021138</v>
      </c>
      <c r="P52" s="27" t="n">
        <v>16.41775936134396</v>
      </c>
      <c r="Q52" s="27" t="n">
        <v>5.578934069978993</v>
      </c>
      <c r="R52" s="27" t="n">
        <v>43.71122645045152</v>
      </c>
      <c r="S52" s="27" t="n">
        <v>11.15811441728104</v>
      </c>
      <c r="T52" s="27" t="n">
        <v>31.5354976862192</v>
      </c>
      <c r="U52" s="27" t="n">
        <v>14.88664411995277</v>
      </c>
      <c r="V52" s="27" t="n">
        <v>3.260536880608395</v>
      </c>
      <c r="W52" s="27" t="n">
        <v>10.23438767876882</v>
      </c>
      <c r="X52" s="27" t="n">
        <v>9.783651209208621</v>
      </c>
      <c r="Y52" s="27" t="n">
        <v>33.75811773031442</v>
      </c>
      <c r="Z52" s="27" t="n">
        <v>36.48370064594439</v>
      </c>
      <c r="AA52" s="27" t="n">
        <v>32.07761446775405</v>
      </c>
      <c r="AB52" s="27" t="n">
        <v>6.500486234242889</v>
      </c>
      <c r="AC52" s="27" t="n">
        <v>29.69268113213898</v>
      </c>
      <c r="AD52" s="27" t="n">
        <v>46.35250191712394</v>
      </c>
      <c r="AE52" s="27" t="n">
        <v>47.42376473246959</v>
      </c>
      <c r="AF52" s="27" t="n">
        <v>81.39169608903745</v>
      </c>
      <c r="AG52" s="27" t="n">
        <v>117.4089200503806</v>
      </c>
      <c r="AH52" s="27" t="n">
        <v>107.3072980277718</v>
      </c>
      <c r="AI52" s="27" t="n">
        <v>10.49349050755546</v>
      </c>
      <c r="AJ52" s="27" t="n">
        <v>29.46223725337629</v>
      </c>
      <c r="AK52" s="27" t="n">
        <v>89.26277958647026</v>
      </c>
      <c r="AL52" s="27" t="n">
        <v>116.545844294328</v>
      </c>
      <c r="AM52" s="27" t="n">
        <v>721.3802425992267</v>
      </c>
      <c r="AN52" s="27" t="n">
        <v>231.6416988899889</v>
      </c>
      <c r="AO52" s="27" t="n">
        <v>2457.828206781659</v>
      </c>
      <c r="AP52" s="27" t="n">
        <v>979.9953722765393</v>
      </c>
      <c r="AQ52" s="27" t="n">
        <v>47.63965843476009</v>
      </c>
      <c r="AR52" s="27" t="n">
        <v>17.01844217935494</v>
      </c>
      <c r="AS52" s="27" t="n">
        <v>53.4761897881436</v>
      </c>
      <c r="AT52" s="27" t="n">
        <v>2197.805457106231</v>
      </c>
      <c r="AU52" s="27" t="n">
        <v>211.7307489378009</v>
      </c>
      <c r="AV52" s="27" t="n">
        <v>81.85264542414568</v>
      </c>
      <c r="AW52" s="27" t="n">
        <v>285.2792345789471</v>
      </c>
      <c r="AX52" s="27" t="n">
        <v>0</v>
      </c>
      <c r="AY52" s="27" t="n">
        <v>259.6131553539575</v>
      </c>
      <c r="AZ52" s="27" t="n">
        <v>83.62337546368192</v>
      </c>
      <c r="BA52" s="27" t="n">
        <v>620.983353905405</v>
      </c>
      <c r="BB52" s="27">
        <f>SUM(C52:BA52)</f>
        <v/>
      </c>
      <c r="BC52" s="27" t="n">
        <v>0</v>
      </c>
      <c r="BD52" s="27" t="n">
        <v>0</v>
      </c>
      <c r="BE52" s="27" t="n">
        <v>0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153.0893055150628</v>
      </c>
      <c r="D53" s="29" t="n">
        <v>83.67383844595538</v>
      </c>
      <c r="E53" s="29" t="n">
        <v>125.8914648898859</v>
      </c>
      <c r="F53" s="29" t="n">
        <v>71.88898099283526</v>
      </c>
      <c r="G53" s="29" t="n">
        <v>48.93197127489955</v>
      </c>
      <c r="H53" s="29" t="n">
        <v>559.1000375308892</v>
      </c>
      <c r="I53" s="29" t="n">
        <v>24.51673153176827</v>
      </c>
      <c r="J53" s="29" t="n">
        <v>61.28684276479843</v>
      </c>
      <c r="K53" s="29" t="n">
        <v>68.81604763165451</v>
      </c>
      <c r="L53" s="29" t="n">
        <v>52.06265542355477</v>
      </c>
      <c r="M53" s="29" t="n">
        <v>36.63382783127382</v>
      </c>
      <c r="N53" s="29" t="n">
        <v>91.88606521778192</v>
      </c>
      <c r="O53" s="29" t="n">
        <v>22.32538706692728</v>
      </c>
      <c r="P53" s="29" t="n">
        <v>111.8373989999938</v>
      </c>
      <c r="Q53" s="29" t="n">
        <v>28.78503583865542</v>
      </c>
      <c r="R53" s="29" t="n">
        <v>125.7662946635676</v>
      </c>
      <c r="S53" s="29" t="n">
        <v>49.02228683334594</v>
      </c>
      <c r="T53" s="29" t="n">
        <v>38.04901982204572</v>
      </c>
      <c r="U53" s="29" t="n">
        <v>22.87159700814198</v>
      </c>
      <c r="V53" s="29" t="n">
        <v>33.84366967680182</v>
      </c>
      <c r="W53" s="29" t="n">
        <v>17.22168866110029</v>
      </c>
      <c r="X53" s="29" t="n">
        <v>30.46871807985882</v>
      </c>
      <c r="Y53" s="29" t="n">
        <v>94.77501923867455</v>
      </c>
      <c r="Z53" s="29" t="n">
        <v>96.4432576509442</v>
      </c>
      <c r="AA53" s="29" t="n">
        <v>172.9187169357689</v>
      </c>
      <c r="AB53" s="29" t="n">
        <v>57.53316851997383</v>
      </c>
      <c r="AC53" s="29" t="n">
        <v>79.19226416397743</v>
      </c>
      <c r="AD53" s="29" t="n">
        <v>114.6748409003898</v>
      </c>
      <c r="AE53" s="29" t="n">
        <v>67.55835542538843</v>
      </c>
      <c r="AF53" s="29" t="n">
        <v>99.2641815593293</v>
      </c>
      <c r="AG53" s="29" t="n">
        <v>119.6726168264618</v>
      </c>
      <c r="AH53" s="29" t="n">
        <v>72.31402434412308</v>
      </c>
      <c r="AI53" s="29" t="n">
        <v>24.28036434841726</v>
      </c>
      <c r="AJ53" s="29" t="n">
        <v>42.75688934677604</v>
      </c>
      <c r="AK53" s="29" t="n">
        <v>264.9757790494813</v>
      </c>
      <c r="AL53" s="29" t="n">
        <v>417.3088838195351</v>
      </c>
      <c r="AM53" s="29" t="n">
        <v>869.1379346548864</v>
      </c>
      <c r="AN53" s="29" t="n">
        <v>490.6258354340264</v>
      </c>
      <c r="AO53" s="29" t="n">
        <v>350.1740405677826</v>
      </c>
      <c r="AP53" s="29" t="n">
        <v>1887.318170364141</v>
      </c>
      <c r="AQ53" s="29" t="n">
        <v>956.367467003411</v>
      </c>
      <c r="AR53" s="29" t="n">
        <v>17.49202789459712</v>
      </c>
      <c r="AS53" s="29" t="n">
        <v>106.5129858240271</v>
      </c>
      <c r="AT53" s="29" t="n">
        <v>367.8893004289163</v>
      </c>
      <c r="AU53" s="29" t="n">
        <v>46.85231702052334</v>
      </c>
      <c r="AV53" s="29" t="n">
        <v>187.0463360030152</v>
      </c>
      <c r="AW53" s="29" t="n">
        <v>219.8334104381664</v>
      </c>
      <c r="AX53" s="29" t="n">
        <v>0</v>
      </c>
      <c r="AY53" s="29" t="n">
        <v>8.43148184209563</v>
      </c>
      <c r="AZ53" s="29" t="n">
        <v>6.789300445952065</v>
      </c>
      <c r="BA53" s="29" t="n">
        <v>1894.296156898931</v>
      </c>
      <c r="BB53" s="29">
        <f>SUM(C53:BA53)</f>
        <v/>
      </c>
      <c r="BC53" s="29" t="n">
        <v>0</v>
      </c>
      <c r="BD53" s="29" t="n">
        <v>0</v>
      </c>
      <c r="BE53" s="29" t="n">
        <v>0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0.04635760838593452</v>
      </c>
      <c r="D54" s="27" t="n">
        <v>0.016369194329933</v>
      </c>
      <c r="E54" s="27" t="n">
        <v>1.102363300772662</v>
      </c>
      <c r="F54" s="27" t="n">
        <v>0.04164291029677162</v>
      </c>
      <c r="G54" s="27" t="n">
        <v>0.2306117064842176</v>
      </c>
      <c r="H54" s="27" t="n">
        <v>5.096128843200004</v>
      </c>
      <c r="I54" s="27" t="n">
        <v>0.1939044928769308</v>
      </c>
      <c r="J54" s="27" t="n">
        <v>2.41059794196777</v>
      </c>
      <c r="K54" s="27" t="n">
        <v>3.341983226514693</v>
      </c>
      <c r="L54" s="27" t="n">
        <v>0.6805467025613375</v>
      </c>
      <c r="M54" s="27" t="n">
        <v>0.2123915297197402</v>
      </c>
      <c r="N54" s="27" t="n">
        <v>0.5706079246092423</v>
      </c>
      <c r="O54" s="27" t="n">
        <v>0.3720574071866231</v>
      </c>
      <c r="P54" s="27" t="n">
        <v>0.7524680483561934</v>
      </c>
      <c r="Q54" s="27" t="n">
        <v>0.5403589616774579</v>
      </c>
      <c r="R54" s="27" t="n">
        <v>0.7810766398358402</v>
      </c>
      <c r="S54" s="27" t="n">
        <v>0.1550946035844807</v>
      </c>
      <c r="T54" s="27" t="n">
        <v>1.001708128202627</v>
      </c>
      <c r="U54" s="27" t="n">
        <v>0.1628684179333617</v>
      </c>
      <c r="V54" s="27" t="n">
        <v>0.8359506299138194</v>
      </c>
      <c r="W54" s="27" t="n">
        <v>0.113162646892443</v>
      </c>
      <c r="X54" s="27" t="n">
        <v>0.2058375419208248</v>
      </c>
      <c r="Y54" s="27" t="n">
        <v>2.040433470562641</v>
      </c>
      <c r="Z54" s="27" t="n">
        <v>0.9115846996277482</v>
      </c>
      <c r="AA54" s="27" t="n">
        <v>1.897514012227919</v>
      </c>
      <c r="AB54" s="27" t="n">
        <v>-0.007820285325309392</v>
      </c>
      <c r="AC54" s="27" t="n">
        <v>0.9654515993737621</v>
      </c>
      <c r="AD54" s="27" t="n">
        <v>0.7551979999547688</v>
      </c>
      <c r="AE54" s="27" t="n">
        <v>0.4757513742490497</v>
      </c>
      <c r="AF54" s="27" t="n">
        <v>1.342130556519645</v>
      </c>
      <c r="AG54" s="27" t="n">
        <v>0.5108024927600795</v>
      </c>
      <c r="AH54" s="27" t="n">
        <v>1.295988458295871</v>
      </c>
      <c r="AI54" s="27" t="n">
        <v>0.1881568742681964</v>
      </c>
      <c r="AJ54" s="27" t="n">
        <v>1.136091122571216</v>
      </c>
      <c r="AK54" s="27" t="n">
        <v>5.787792179280892</v>
      </c>
      <c r="AL54" s="27" t="n">
        <v>8.252144885491637</v>
      </c>
      <c r="AM54" s="27" t="n">
        <v>153.4319560484397</v>
      </c>
      <c r="AN54" s="27" t="n">
        <v>17.05494716822945</v>
      </c>
      <c r="AO54" s="27" t="n">
        <v>22.87313047580817</v>
      </c>
      <c r="AP54" s="27" t="n">
        <v>24.78769852948683</v>
      </c>
      <c r="AQ54" s="27" t="n">
        <v>9.176658808815796</v>
      </c>
      <c r="AR54" s="27" t="n">
        <v>2.033499057783909</v>
      </c>
      <c r="AS54" s="27" t="n">
        <v>23.78126846858977</v>
      </c>
      <c r="AT54" s="27" t="n">
        <v>42.50780442794763</v>
      </c>
      <c r="AU54" s="27" t="n">
        <v>19.61122827304413</v>
      </c>
      <c r="AV54" s="27" t="n">
        <v>9.021687565308495</v>
      </c>
      <c r="AW54" s="27" t="n">
        <v>38.33794538735113</v>
      </c>
      <c r="AX54" s="27" t="n">
        <v>0</v>
      </c>
      <c r="AY54" s="27" t="n">
        <v>2.815235709505764</v>
      </c>
      <c r="AZ54" s="27" t="n">
        <v>1.474502488375693</v>
      </c>
      <c r="BA54" s="27" t="n">
        <v>12.63326557284134</v>
      </c>
      <c r="BB54" s="27">
        <f>SUM(C54:BA54)</f>
        <v/>
      </c>
      <c r="BC54" s="27" t="n">
        <v>0</v>
      </c>
      <c r="BD54" s="27" t="n">
        <v>0</v>
      </c>
      <c r="BE54" s="27" t="n">
        <v>0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-0.06407437572600823</v>
      </c>
      <c r="D55" s="29" t="n">
        <v>-0.03651433241209505</v>
      </c>
      <c r="E55" s="29" t="n">
        <v>0.4075215741831866</v>
      </c>
      <c r="F55" s="29" t="n">
        <v>-0.4709109814580705</v>
      </c>
      <c r="G55" s="29" t="n">
        <v>-0.1440982939183123</v>
      </c>
      <c r="H55" s="29" t="n">
        <v>-6.644910076256303</v>
      </c>
      <c r="I55" s="29" t="n">
        <v>-0.2309214373751642</v>
      </c>
      <c r="J55" s="29" t="n">
        <v>-0.5502485204496879</v>
      </c>
      <c r="K55" s="29" t="n">
        <v>-0.7901469683603722</v>
      </c>
      <c r="L55" s="29" t="n">
        <v>-1.006434096430242</v>
      </c>
      <c r="M55" s="29" t="n">
        <v>-0.2523905935331741</v>
      </c>
      <c r="N55" s="29" t="n">
        <v>-1.194543353071669</v>
      </c>
      <c r="O55" s="29" t="n">
        <v>0.1656054319723612</v>
      </c>
      <c r="P55" s="29" t="n">
        <v>-0.3115847916061388</v>
      </c>
      <c r="Q55" s="29" t="n">
        <v>-0.1850275967771463</v>
      </c>
      <c r="R55" s="29" t="n">
        <v>-0.3550671719876086</v>
      </c>
      <c r="S55" s="29" t="n">
        <v>-0.3945581584194138</v>
      </c>
      <c r="T55" s="29" t="n">
        <v>-0.825927078134448</v>
      </c>
      <c r="U55" s="29" t="n">
        <v>-0.275350028399507</v>
      </c>
      <c r="V55" s="29" t="n">
        <v>-0.05741016052072161</v>
      </c>
      <c r="W55" s="29" t="n">
        <v>-0.1719528838431738</v>
      </c>
      <c r="X55" s="29" t="n">
        <v>-0.6138429419982231</v>
      </c>
      <c r="Y55" s="29" t="n">
        <v>-1.363985431494943</v>
      </c>
      <c r="Z55" s="29" t="n">
        <v>-1.091039990220968</v>
      </c>
      <c r="AA55" s="29" t="n">
        <v>-1.169632007160877</v>
      </c>
      <c r="AB55" s="29" t="n">
        <v>-0.3949145122758738</v>
      </c>
      <c r="AC55" s="29" t="n">
        <v>-0.5736369997915053</v>
      </c>
      <c r="AD55" s="29" t="n">
        <v>-2.667511952307036</v>
      </c>
      <c r="AE55" s="29" t="n">
        <v>-0.07231292294076001</v>
      </c>
      <c r="AF55" s="29" t="n">
        <v>4.045892978246444</v>
      </c>
      <c r="AG55" s="29" t="n">
        <v>-0.2505895887530043</v>
      </c>
      <c r="AH55" s="29" t="n">
        <v>-0.03007308582245089</v>
      </c>
      <c r="AI55" s="29" t="n">
        <v>-0.06955384612395604</v>
      </c>
      <c r="AJ55" s="29" t="n">
        <v>-0.255245294809633</v>
      </c>
      <c r="AK55" s="29" t="n">
        <v>4.71881488152726</v>
      </c>
      <c r="AL55" s="29" t="n">
        <v>0.9767842301422299</v>
      </c>
      <c r="AM55" s="29" t="n">
        <v>15.97875798360931</v>
      </c>
      <c r="AN55" s="29" t="n">
        <v>0.9894015004302609</v>
      </c>
      <c r="AO55" s="29" t="n">
        <v>53.71712530105918</v>
      </c>
      <c r="AP55" s="29" t="n">
        <v>11.65690476578425</v>
      </c>
      <c r="AQ55" s="29" t="n">
        <v>0.8010133003383927</v>
      </c>
      <c r="AR55" s="29" t="n">
        <v>1.453626561315453</v>
      </c>
      <c r="AS55" s="29" t="n">
        <v>1.236550466791444</v>
      </c>
      <c r="AT55" s="29" t="n">
        <v>14.92836117506205</v>
      </c>
      <c r="AU55" s="29" t="n">
        <v>4.72966595753174</v>
      </c>
      <c r="AV55" s="29" t="n">
        <v>6.454361260001095</v>
      </c>
      <c r="AW55" s="29" t="n">
        <v>0.1996333466717283</v>
      </c>
      <c r="AX55" s="29" t="n">
        <v>0</v>
      </c>
      <c r="AY55" s="29" t="n">
        <v>-0.03530306361192181</v>
      </c>
      <c r="AZ55" s="29" t="n">
        <v>0.4985756426271731</v>
      </c>
      <c r="BA55" s="29" t="n">
        <v>5.261820605882325</v>
      </c>
      <c r="BB55" s="29">
        <f>SUM(C55:BA55)</f>
        <v/>
      </c>
      <c r="BC55" s="29" t="n">
        <v>0</v>
      </c>
      <c r="BD55" s="29" t="n">
        <v>0</v>
      </c>
      <c r="BE55" s="29" t="n">
        <v>0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0.2791399646443701</v>
      </c>
      <c r="D56" s="27" t="n">
        <v>0.007928988212017395</v>
      </c>
      <c r="E56" s="27" t="n">
        <v>13.59512061488908</v>
      </c>
      <c r="F56" s="27" t="n">
        <v>1.895068283316624</v>
      </c>
      <c r="G56" s="27" t="n">
        <v>1.502317753950734</v>
      </c>
      <c r="H56" s="27" t="n">
        <v>22.15122002913479</v>
      </c>
      <c r="I56" s="27" t="n">
        <v>2.148162421171102</v>
      </c>
      <c r="J56" s="27" t="n">
        <v>1.715236124916379</v>
      </c>
      <c r="K56" s="27" t="n">
        <v>0.3477327946197656</v>
      </c>
      <c r="L56" s="27" t="n">
        <v>0.2429940459512375</v>
      </c>
      <c r="M56" s="27" t="n">
        <v>0.0633132087194289</v>
      </c>
      <c r="N56" s="27" t="n">
        <v>1.800118870535243</v>
      </c>
      <c r="O56" s="27" t="n">
        <v>1.391446753516821</v>
      </c>
      <c r="P56" s="27" t="n">
        <v>1.073711718004976</v>
      </c>
      <c r="Q56" s="27" t="n">
        <v>0.1369706452454539</v>
      </c>
      <c r="R56" s="27" t="n">
        <v>10.82490301742434</v>
      </c>
      <c r="S56" s="27" t="n">
        <v>0.1787185308805939</v>
      </c>
      <c r="T56" s="27" t="n">
        <v>16.926134094136</v>
      </c>
      <c r="U56" s="27" t="n">
        <v>4.894874341939535</v>
      </c>
      <c r="V56" s="27" t="n">
        <v>2.134370827835905</v>
      </c>
      <c r="W56" s="27" t="n">
        <v>1.954994466017011</v>
      </c>
      <c r="X56" s="27" t="n">
        <v>5.990810584824016</v>
      </c>
      <c r="Y56" s="27" t="n">
        <v>3.753251765271381</v>
      </c>
      <c r="Z56" s="27" t="n">
        <v>2.512241868834487</v>
      </c>
      <c r="AA56" s="27" t="n">
        <v>12.43658856949618</v>
      </c>
      <c r="AB56" s="27" t="n">
        <v>3.397935520837186</v>
      </c>
      <c r="AC56" s="27" t="n">
        <v>7.192367416004386</v>
      </c>
      <c r="AD56" s="27" t="n">
        <v>15.69754371494226</v>
      </c>
      <c r="AE56" s="27" t="n">
        <v>5.080175748449387</v>
      </c>
      <c r="AF56" s="27" t="n">
        <v>9.911978801344381</v>
      </c>
      <c r="AG56" s="27" t="n">
        <v>18.04528901047802</v>
      </c>
      <c r="AH56" s="27" t="n">
        <v>6.280729656021397</v>
      </c>
      <c r="AI56" s="27" t="n">
        <v>1.647349533639099</v>
      </c>
      <c r="AJ56" s="27" t="n">
        <v>3.116341890470988</v>
      </c>
      <c r="AK56" s="27" t="n">
        <v>15.86563065092519</v>
      </c>
      <c r="AL56" s="27" t="n">
        <v>77.94950627245355</v>
      </c>
      <c r="AM56" s="27" t="n">
        <v>131.7100691727845</v>
      </c>
      <c r="AN56" s="27" t="n">
        <v>64.44161211184424</v>
      </c>
      <c r="AO56" s="27" t="n">
        <v>43.94700003893482</v>
      </c>
      <c r="AP56" s="27" t="n">
        <v>132.1608851161648</v>
      </c>
      <c r="AQ56" s="27" t="n">
        <v>4.577057526851427</v>
      </c>
      <c r="AR56" s="27" t="n">
        <v>4.097527409198322</v>
      </c>
      <c r="AS56" s="27" t="n">
        <v>8.680420674053813</v>
      </c>
      <c r="AT56" s="27" t="n">
        <v>106.8600068401108</v>
      </c>
      <c r="AU56" s="27" t="n">
        <v>24.91172519162668</v>
      </c>
      <c r="AV56" s="27" t="n">
        <v>137.5735153757408</v>
      </c>
      <c r="AW56" s="27" t="n">
        <v>1130.503471400635</v>
      </c>
      <c r="AX56" s="27" t="n">
        <v>0</v>
      </c>
      <c r="AY56" s="27" t="n">
        <v>45.56433645379224</v>
      </c>
      <c r="AZ56" s="27" t="n">
        <v>115.9303204634033</v>
      </c>
      <c r="BA56" s="27" t="n">
        <v>491.689781534429</v>
      </c>
      <c r="BB56" s="27">
        <f>SUM(C56:BA56)</f>
        <v/>
      </c>
      <c r="BC56" s="27" t="n">
        <v>0</v>
      </c>
      <c r="BD56" s="27" t="n">
        <v>0</v>
      </c>
      <c r="BE56" s="27" t="n">
        <v>0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25.615580828926</v>
      </c>
      <c r="D57" s="29" t="n">
        <v>15.26695475674129</v>
      </c>
      <c r="E57" s="29" t="n">
        <v>385.0720697380057</v>
      </c>
      <c r="F57" s="29" t="n">
        <v>63.13308883851249</v>
      </c>
      <c r="G57" s="29" t="n">
        <v>62.69265360849109</v>
      </c>
      <c r="H57" s="29" t="n">
        <v>760.5531855392277</v>
      </c>
      <c r="I57" s="29" t="n">
        <v>56.00017727073049</v>
      </c>
      <c r="J57" s="29" t="n">
        <v>35.02156041040087</v>
      </c>
      <c r="K57" s="29" t="n">
        <v>38.55041062280173</v>
      </c>
      <c r="L57" s="29" t="n">
        <v>56.74703745615008</v>
      </c>
      <c r="M57" s="29" t="n">
        <v>17.7524649547277</v>
      </c>
      <c r="N57" s="29" t="n">
        <v>94.11421840177385</v>
      </c>
      <c r="O57" s="29" t="n">
        <v>16.27844698424103</v>
      </c>
      <c r="P57" s="29" t="n">
        <v>132.0268690872308</v>
      </c>
      <c r="Q57" s="29" t="n">
        <v>16.8210323202331</v>
      </c>
      <c r="R57" s="29" t="n">
        <v>138.7396180126923</v>
      </c>
      <c r="S57" s="29" t="n">
        <v>29.12890930258284</v>
      </c>
      <c r="T57" s="29" t="n">
        <v>188.9078180903601</v>
      </c>
      <c r="U57" s="29" t="n">
        <v>69.28693164028874</v>
      </c>
      <c r="V57" s="29" t="n">
        <v>87.06303474845311</v>
      </c>
      <c r="W57" s="29" t="n">
        <v>50.70367886690885</v>
      </c>
      <c r="X57" s="29" t="n">
        <v>49.22775743784314</v>
      </c>
      <c r="Y57" s="29" t="n">
        <v>105.9541684852157</v>
      </c>
      <c r="Z57" s="29" t="n">
        <v>114.7889023638295</v>
      </c>
      <c r="AA57" s="29" t="n">
        <v>111.5724852434018</v>
      </c>
      <c r="AB57" s="29" t="n">
        <v>46.80244340659457</v>
      </c>
      <c r="AC57" s="29" t="n">
        <v>74.85553703264047</v>
      </c>
      <c r="AD57" s="29" t="n">
        <v>189.056656256672</v>
      </c>
      <c r="AE57" s="29" t="n">
        <v>115.8364356722492</v>
      </c>
      <c r="AF57" s="29" t="n">
        <v>217.9465703299538</v>
      </c>
      <c r="AG57" s="29" t="n">
        <v>243.4673353592661</v>
      </c>
      <c r="AH57" s="29" t="n">
        <v>85.63598732216994</v>
      </c>
      <c r="AI57" s="29" t="n">
        <v>22.90707306222669</v>
      </c>
      <c r="AJ57" s="29" t="n">
        <v>36.58900603542027</v>
      </c>
      <c r="AK57" s="29" t="n">
        <v>307.4917095368571</v>
      </c>
      <c r="AL57" s="29" t="n">
        <v>517.1681526442386</v>
      </c>
      <c r="AM57" s="29" t="n">
        <v>1478.086456634448</v>
      </c>
      <c r="AN57" s="29" t="n">
        <v>661.8956322700417</v>
      </c>
      <c r="AO57" s="29" t="n">
        <v>945.1744943518388</v>
      </c>
      <c r="AP57" s="29" t="n">
        <v>907.0276765946875</v>
      </c>
      <c r="AQ57" s="29" t="n">
        <v>69.95398701702905</v>
      </c>
      <c r="AR57" s="29" t="n">
        <v>6.535599406964493</v>
      </c>
      <c r="AS57" s="29" t="n">
        <v>92.39526794643922</v>
      </c>
      <c r="AT57" s="29" t="n">
        <v>1042.985632726791</v>
      </c>
      <c r="AU57" s="29" t="n">
        <v>207.3871253782517</v>
      </c>
      <c r="AV57" s="29" t="n">
        <v>78.11538836385974</v>
      </c>
      <c r="AW57" s="29" t="n">
        <v>393.2670705272683</v>
      </c>
      <c r="AX57" s="29" t="n">
        <v>0</v>
      </c>
      <c r="AY57" s="29" t="n">
        <v>180.6219613898752</v>
      </c>
      <c r="AZ57" s="29" t="n">
        <v>198.3677306228257</v>
      </c>
      <c r="BA57" s="29" t="n">
        <v>787.3804696844201</v>
      </c>
      <c r="BB57" s="29">
        <f>SUM(C57:BA57)</f>
        <v/>
      </c>
      <c r="BC57" s="29" t="n">
        <v>0</v>
      </c>
      <c r="BD57" s="29" t="n">
        <v>0</v>
      </c>
      <c r="BE57" s="29" t="n">
        <v>0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0.0938835953312203</v>
      </c>
      <c r="D58" s="27" t="n">
        <v>0.05642293271181379</v>
      </c>
      <c r="E58" s="27" t="n">
        <v>1.262739145580111</v>
      </c>
      <c r="F58" s="27" t="n">
        <v>0.9925014586457314</v>
      </c>
      <c r="G58" s="27" t="n">
        <v>0.3795178776759364</v>
      </c>
      <c r="H58" s="27" t="n">
        <v>2.290471000317011</v>
      </c>
      <c r="I58" s="27" t="n">
        <v>0.1532678843340223</v>
      </c>
      <c r="J58" s="27" t="n">
        <v>0.1145516111541174</v>
      </c>
      <c r="K58" s="27" t="n">
        <v>0.1047048377724532</v>
      </c>
      <c r="L58" s="27" t="n">
        <v>0.1562771808202472</v>
      </c>
      <c r="M58" s="27" t="n">
        <v>0.0460588743643401</v>
      </c>
      <c r="N58" s="27" t="n">
        <v>0.5875507121418251</v>
      </c>
      <c r="O58" s="27" t="n">
        <v>0.03934076384676645</v>
      </c>
      <c r="P58" s="27" t="n">
        <v>0.4196546851902936</v>
      </c>
      <c r="Q58" s="27" t="n">
        <v>0.04492611444632132</v>
      </c>
      <c r="R58" s="27" t="n">
        <v>0.4874899118224827</v>
      </c>
      <c r="S58" s="27" t="n">
        <v>0.07895518804180861</v>
      </c>
      <c r="T58" s="27" t="n">
        <v>0.5156213014336416</v>
      </c>
      <c r="U58" s="27" t="n">
        <v>0.3897137208415019</v>
      </c>
      <c r="V58" s="27" t="n">
        <v>0.2371888156866235</v>
      </c>
      <c r="W58" s="27" t="n">
        <v>0.1800513524756944</v>
      </c>
      <c r="X58" s="27" t="n">
        <v>0.1340271642686338</v>
      </c>
      <c r="Y58" s="27" t="n">
        <v>0.3219468719474114</v>
      </c>
      <c r="Z58" s="27" t="n">
        <v>0.3070026965124436</v>
      </c>
      <c r="AA58" s="27" t="n">
        <v>2.720446568914305</v>
      </c>
      <c r="AB58" s="27" t="n">
        <v>0.7449942776651947</v>
      </c>
      <c r="AC58" s="27" t="n">
        <v>0.71844928395729</v>
      </c>
      <c r="AD58" s="27" t="n">
        <v>0.6756938005725345</v>
      </c>
      <c r="AE58" s="27" t="n">
        <v>0.3133986917227829</v>
      </c>
      <c r="AF58" s="27" t="n">
        <v>0.6152443769549012</v>
      </c>
      <c r="AG58" s="27" t="n">
        <v>1.371276949368514</v>
      </c>
      <c r="AH58" s="27" t="n">
        <v>0.2717473544315074</v>
      </c>
      <c r="AI58" s="27" t="n">
        <v>0.06060094930275915</v>
      </c>
      <c r="AJ58" s="27" t="n">
        <v>0.09882387976140518</v>
      </c>
      <c r="AK58" s="27" t="n">
        <v>1.585745373229841</v>
      </c>
      <c r="AL58" s="27" t="n">
        <v>1.415392008071382</v>
      </c>
      <c r="AM58" s="27" t="n">
        <v>8.659383592517722</v>
      </c>
      <c r="AN58" s="27" t="n">
        <v>12.07524816402129</v>
      </c>
      <c r="AO58" s="27" t="n">
        <v>3.090422285790152</v>
      </c>
      <c r="AP58" s="27" t="n">
        <v>13.96146917602262</v>
      </c>
      <c r="AQ58" s="27" t="n">
        <v>0.1921909754996352</v>
      </c>
      <c r="AR58" s="27" t="n">
        <v>3.603427023048627</v>
      </c>
      <c r="AS58" s="27" t="n">
        <v>0.2685865573887462</v>
      </c>
      <c r="AT58" s="27" t="n">
        <v>38.24769185034459</v>
      </c>
      <c r="AU58" s="27" t="n">
        <v>0.569188154122369</v>
      </c>
      <c r="AV58" s="27" t="n">
        <v>0.2136982013455867</v>
      </c>
      <c r="AW58" s="27" t="n">
        <v>2.471759688226288</v>
      </c>
      <c r="AX58" s="27" t="n">
        <v>0</v>
      </c>
      <c r="AY58" s="27" t="n">
        <v>8.873665166478629</v>
      </c>
      <c r="AZ58" s="27" t="n">
        <v>3.349878072643216</v>
      </c>
      <c r="BA58" s="27" t="n">
        <v>6.768433265774533</v>
      </c>
      <c r="BB58" s="27">
        <f>SUM(C58:BA58)</f>
        <v/>
      </c>
      <c r="BC58" s="27" t="n">
        <v>0</v>
      </c>
      <c r="BD58" s="27" t="n">
        <v>0</v>
      </c>
      <c r="BE58" s="27" t="n">
        <v>0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-0.5602248235752467</v>
      </c>
      <c r="D59" s="29" t="n">
        <v>-0.1661933716782628</v>
      </c>
      <c r="E59" s="29" t="n">
        <v>-0.2193310971405527</v>
      </c>
      <c r="F59" s="29" t="n">
        <v>-2.158943640827423</v>
      </c>
      <c r="G59" s="29" t="n">
        <v>-0.7905928567765589</v>
      </c>
      <c r="H59" s="29" t="n">
        <v>-30.53842756195928</v>
      </c>
      <c r="I59" s="29" t="n">
        <v>-1.053604166696665</v>
      </c>
      <c r="J59" s="29" t="n">
        <v>-3.38394611060127</v>
      </c>
      <c r="K59" s="29" t="n">
        <v>-3.582485480476079</v>
      </c>
      <c r="L59" s="29" t="n">
        <v>-4.612294680515141</v>
      </c>
      <c r="M59" s="29" t="n">
        <v>-1.155832585501177</v>
      </c>
      <c r="N59" s="29" t="n">
        <v>-5.475325335027296</v>
      </c>
      <c r="O59" s="29" t="n">
        <v>-0.313962500567207</v>
      </c>
      <c r="P59" s="29" t="n">
        <v>-1.409420876178855</v>
      </c>
      <c r="Q59" s="29" t="n">
        <v>-0.8415719184768106</v>
      </c>
      <c r="R59" s="29" t="n">
        <v>-1.608332030648369</v>
      </c>
      <c r="S59" s="29" t="n">
        <v>-1.809122393782897</v>
      </c>
      <c r="T59" s="29" t="n">
        <v>-3.765222393777653</v>
      </c>
      <c r="U59" s="29" t="n">
        <v>-1.25704425116218</v>
      </c>
      <c r="V59" s="29" t="n">
        <v>-0.2439159785656356</v>
      </c>
      <c r="W59" s="29" t="n">
        <v>-0.7841568399803485</v>
      </c>
      <c r="X59" s="29" t="n">
        <v>-2.814685046588417</v>
      </c>
      <c r="Y59" s="29" t="n">
        <v>-6.232504422901284</v>
      </c>
      <c r="Z59" s="29" t="n">
        <v>-5.144027529275891</v>
      </c>
      <c r="AA59" s="29" t="n">
        <v>-6.875525195827271</v>
      </c>
      <c r="AB59" s="29" t="n">
        <v>-2.018013920187022</v>
      </c>
      <c r="AC59" s="29" t="n">
        <v>-3.992574816707644</v>
      </c>
      <c r="AD59" s="29" t="n">
        <v>-13.10410240153413</v>
      </c>
      <c r="AE59" s="29" t="n">
        <v>-3.29463120769806</v>
      </c>
      <c r="AF59" s="29" t="n">
        <v>-5.653046204862353</v>
      </c>
      <c r="AG59" s="29" t="n">
        <v>-1.205924359100647</v>
      </c>
      <c r="AH59" s="29" t="n">
        <v>-0.112024740015463</v>
      </c>
      <c r="AI59" s="29" t="n">
        <v>-0.3150248974051745</v>
      </c>
      <c r="AJ59" s="29" t="n">
        <v>-1.432358741895679</v>
      </c>
      <c r="AK59" s="29" t="n">
        <v>-2.768082566269152</v>
      </c>
      <c r="AL59" s="29" t="n">
        <v>-1.830866273867452</v>
      </c>
      <c r="AM59" s="29" t="n">
        <v>-22.59212428672415</v>
      </c>
      <c r="AN59" s="29" t="n">
        <v>-20.43739140774181</v>
      </c>
      <c r="AO59" s="29" t="n">
        <v>-17.843398192744</v>
      </c>
      <c r="AP59" s="29" t="n">
        <v>0.0760259452840691</v>
      </c>
      <c r="AQ59" s="29" t="n">
        <v>0.09310473946797419</v>
      </c>
      <c r="AR59" s="29" t="n">
        <v>0.007511798161173614</v>
      </c>
      <c r="AS59" s="29" t="n">
        <v>0.1080005349354922</v>
      </c>
      <c r="AT59" s="29" t="n">
        <v>-5.022420834255083</v>
      </c>
      <c r="AU59" s="29" t="n">
        <v>0.2697102324269308</v>
      </c>
      <c r="AV59" s="29" t="n">
        <v>97.32385761828441</v>
      </c>
      <c r="AW59" s="29" t="n">
        <v>0.2008385737951249</v>
      </c>
      <c r="AX59" s="29" t="n">
        <v>0</v>
      </c>
      <c r="AY59" s="29" t="n">
        <v>-1.893133906212957</v>
      </c>
      <c r="AZ59" s="29" t="n">
        <v>-3.104632909178962</v>
      </c>
      <c r="BA59" s="29" t="n">
        <v>-4.093812615261057</v>
      </c>
      <c r="BB59" s="29">
        <f>SUM(C59:BA59)</f>
        <v/>
      </c>
      <c r="BC59" s="29" t="n">
        <v>0</v>
      </c>
      <c r="BD59" s="29" t="n">
        <v>0</v>
      </c>
      <c r="BE59" s="29" t="n">
        <v>0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0.5321546625920238</v>
      </c>
      <c r="D60" s="27" t="n">
        <v>0.294926854048052</v>
      </c>
      <c r="E60" s="27" t="n">
        <v>7.028918151351449</v>
      </c>
      <c r="F60" s="27" t="n">
        <v>2.170978271560908</v>
      </c>
      <c r="G60" s="27" t="n">
        <v>1.034522498189994</v>
      </c>
      <c r="H60" s="27" t="n">
        <v>20.2003570389283</v>
      </c>
      <c r="I60" s="27" t="n">
        <v>1.32604913711503</v>
      </c>
      <c r="J60" s="27" t="n">
        <v>1.617455024286178</v>
      </c>
      <c r="K60" s="27" t="n">
        <v>0.6838704500891045</v>
      </c>
      <c r="L60" s="27" t="n">
        <v>1.142112108067798</v>
      </c>
      <c r="M60" s="27" t="n">
        <v>0.5979483070908286</v>
      </c>
      <c r="N60" s="27" t="n">
        <v>7.211305132546974</v>
      </c>
      <c r="O60" s="27" t="n">
        <v>0.6676829190837795</v>
      </c>
      <c r="P60" s="27" t="n">
        <v>3.255144197023751</v>
      </c>
      <c r="Q60" s="27" t="n">
        <v>3.18580766743795</v>
      </c>
      <c r="R60" s="27" t="n">
        <v>4.772054292875779</v>
      </c>
      <c r="S60" s="27" t="n">
        <v>0.1361444409200724</v>
      </c>
      <c r="T60" s="27" t="n">
        <v>6.395433733891226</v>
      </c>
      <c r="U60" s="27" t="n">
        <v>3.566769896836994</v>
      </c>
      <c r="V60" s="27" t="n">
        <v>2.705746953938565</v>
      </c>
      <c r="W60" s="27" t="n">
        <v>1.194399555021489</v>
      </c>
      <c r="X60" s="27" t="n">
        <v>6.154796297660948</v>
      </c>
      <c r="Y60" s="27" t="n">
        <v>8.712084211824987</v>
      </c>
      <c r="Z60" s="27" t="n">
        <v>3.324996944151459</v>
      </c>
      <c r="AA60" s="27" t="n">
        <v>4.381124082121841</v>
      </c>
      <c r="AB60" s="27" t="n">
        <v>1.378046737491628</v>
      </c>
      <c r="AC60" s="27" t="n">
        <v>2.619184130504641</v>
      </c>
      <c r="AD60" s="27" t="n">
        <v>5.504723318456251</v>
      </c>
      <c r="AE60" s="27" t="n">
        <v>3.671526064306965</v>
      </c>
      <c r="AF60" s="27" t="n">
        <v>6.099820454948098</v>
      </c>
      <c r="AG60" s="27" t="n">
        <v>12.3663068027768</v>
      </c>
      <c r="AH60" s="27" t="n">
        <v>3.782992584752773</v>
      </c>
      <c r="AI60" s="27" t="n">
        <v>1.25641864571805</v>
      </c>
      <c r="AJ60" s="27" t="n">
        <v>2.148981090352477</v>
      </c>
      <c r="AK60" s="27" t="n">
        <v>15.81462645728227</v>
      </c>
      <c r="AL60" s="27" t="n">
        <v>23.97755271786056</v>
      </c>
      <c r="AM60" s="27" t="n">
        <v>93.30808383959878</v>
      </c>
      <c r="AN60" s="27" t="n">
        <v>40.33068058413726</v>
      </c>
      <c r="AO60" s="27" t="n">
        <v>84.01460457695885</v>
      </c>
      <c r="AP60" s="27" t="n">
        <v>47.55755609951294</v>
      </c>
      <c r="AQ60" s="27" t="n">
        <v>9.766097469476593</v>
      </c>
      <c r="AR60" s="27" t="n">
        <v>0.9681504012030148</v>
      </c>
      <c r="AS60" s="27" t="n">
        <v>15.28873951507902</v>
      </c>
      <c r="AT60" s="27" t="n">
        <v>48.54635003762205</v>
      </c>
      <c r="AU60" s="27" t="n">
        <v>20.59138662066681</v>
      </c>
      <c r="AV60" s="27" t="n">
        <v>44.33920742099313</v>
      </c>
      <c r="AW60" s="27" t="n">
        <v>91.71839241724024</v>
      </c>
      <c r="AX60" s="27" t="n">
        <v>0</v>
      </c>
      <c r="AY60" s="27" t="n">
        <v>17.79384346934105</v>
      </c>
      <c r="AZ60" s="27" t="n">
        <v>18.02317858446083</v>
      </c>
      <c r="BA60" s="27" t="n">
        <v>45.89008771736122</v>
      </c>
      <c r="BB60" s="27">
        <f>SUM(C60:BA60)</f>
        <v/>
      </c>
      <c r="BC60" s="27" t="n">
        <v>0</v>
      </c>
      <c r="BD60" s="27" t="n">
        <v>0</v>
      </c>
      <c r="BE60" s="27" t="n">
        <v>0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0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1.276509820755776</v>
      </c>
      <c r="D62" s="27" t="n">
        <v>0.9949928547362311</v>
      </c>
      <c r="E62" s="27" t="n">
        <v>18.504778801679</v>
      </c>
      <c r="F62" s="27" t="n">
        <v>2.855308175863735</v>
      </c>
      <c r="G62" s="27" t="n">
        <v>2.911973762838273</v>
      </c>
      <c r="H62" s="27" t="n">
        <v>37.46556094232866</v>
      </c>
      <c r="I62" s="27" t="n">
        <v>2.747002747308047</v>
      </c>
      <c r="J62" s="27" t="n">
        <v>1.715680048956417</v>
      </c>
      <c r="K62" s="27" t="n">
        <v>1.863820531638186</v>
      </c>
      <c r="L62" s="27" t="n">
        <v>2.7987838356789</v>
      </c>
      <c r="M62" s="27" t="n">
        <v>0.8255237499294139</v>
      </c>
      <c r="N62" s="27" t="n">
        <v>4.528105810496412</v>
      </c>
      <c r="O62" s="27" t="n">
        <v>0.7806282431769892</v>
      </c>
      <c r="P62" s="27" t="n">
        <v>6.431628107202611</v>
      </c>
      <c r="Q62" s="27" t="n">
        <v>0.803348327265261</v>
      </c>
      <c r="R62" s="27" t="n">
        <v>6.743378073949066</v>
      </c>
      <c r="S62" s="27" t="n">
        <v>1.414678650794507</v>
      </c>
      <c r="T62" s="27" t="n">
        <v>9.522969501390332</v>
      </c>
      <c r="U62" s="27" t="n">
        <v>3.411697682162592</v>
      </c>
      <c r="V62" s="27" t="n">
        <v>4.248887012987264</v>
      </c>
      <c r="W62" s="27" t="n">
        <v>2.470225072330368</v>
      </c>
      <c r="X62" s="27" t="n">
        <v>2.402968541001171</v>
      </c>
      <c r="Y62" s="27" t="n">
        <v>5.190394091352188</v>
      </c>
      <c r="Z62" s="27" t="n">
        <v>5.500270786193914</v>
      </c>
      <c r="AA62" s="27" t="n">
        <v>4.889180714341743</v>
      </c>
      <c r="AB62" s="27" t="n">
        <v>2.186703033823667</v>
      </c>
      <c r="AC62" s="27" t="n">
        <v>3.655089106522846</v>
      </c>
      <c r="AD62" s="27" t="n">
        <v>7.232840862340493</v>
      </c>
      <c r="AE62" s="27" t="n">
        <v>5.617330497507807</v>
      </c>
      <c r="AF62" s="27" t="n">
        <v>10.69530980556496</v>
      </c>
      <c r="AG62" s="27" t="n">
        <v>11.80839582907008</v>
      </c>
      <c r="AH62" s="27" t="n">
        <v>4.133816361200582</v>
      </c>
      <c r="AI62" s="27" t="n">
        <v>1.08597523215931</v>
      </c>
      <c r="AJ62" s="27" t="n">
        <v>1.768360864405084</v>
      </c>
      <c r="AK62" s="27" t="n">
        <v>14.93439740380143</v>
      </c>
      <c r="AL62" s="27" t="n">
        <v>24.83474544141769</v>
      </c>
      <c r="AM62" s="27" t="n">
        <v>72.31315329059947</v>
      </c>
      <c r="AN62" s="27" t="n">
        <v>32.33487321935581</v>
      </c>
      <c r="AO62" s="27" t="n">
        <v>46.43376687408765</v>
      </c>
      <c r="AP62" s="27" t="n">
        <v>44.51169047129005</v>
      </c>
      <c r="AQ62" s="27" t="n">
        <v>3.418151102077406</v>
      </c>
      <c r="AR62" s="27" t="n">
        <v>0.3481970076367757</v>
      </c>
      <c r="AS62" s="27" t="n">
        <v>4.52219590163536</v>
      </c>
      <c r="AT62" s="27" t="n">
        <v>51.41015205265496</v>
      </c>
      <c r="AU62" s="27" t="n">
        <v>10.13917029014032</v>
      </c>
      <c r="AV62" s="27" t="n">
        <v>4.470121729057684</v>
      </c>
      <c r="AW62" s="27" t="n">
        <v>19.29513549685081</v>
      </c>
      <c r="AX62" s="27" t="n">
        <v>0</v>
      </c>
      <c r="AY62" s="27" t="n">
        <v>8.966377909839768</v>
      </c>
      <c r="AZ62" s="27" t="n">
        <v>9.858147529622244</v>
      </c>
      <c r="BA62" s="27" t="n">
        <v>38.64678831593224</v>
      </c>
      <c r="BB62" s="27">
        <f>SUM(C62:BA62)</f>
        <v/>
      </c>
      <c r="BC62" s="27" t="n">
        <v>0</v>
      </c>
      <c r="BD62" s="27" t="n">
        <v>0</v>
      </c>
      <c r="BE62" s="27" t="n">
        <v>0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0.09387614196770966</v>
      </c>
      <c r="D63" s="29" t="n">
        <v>0.1546867574867667</v>
      </c>
      <c r="E63" s="29" t="n">
        <v>1.219554281123342</v>
      </c>
      <c r="F63" s="29" t="n">
        <v>0.1886982937158263</v>
      </c>
      <c r="G63" s="29" t="n">
        <v>0.1912321773853609</v>
      </c>
      <c r="H63" s="29" t="n">
        <v>2.458521350353414</v>
      </c>
      <c r="I63" s="29" t="n">
        <v>0.1799370368289762</v>
      </c>
      <c r="J63" s="29" t="n">
        <v>0.1156833341463635</v>
      </c>
      <c r="K63" s="29" t="n">
        <v>0.124952729534926</v>
      </c>
      <c r="L63" s="29" t="n">
        <v>0.1833641675595102</v>
      </c>
      <c r="M63" s="29" t="n">
        <v>0.05534935711125098</v>
      </c>
      <c r="N63" s="29" t="n">
        <v>0.2978044144270449</v>
      </c>
      <c r="O63" s="29" t="n">
        <v>0.04614532373176314</v>
      </c>
      <c r="P63" s="29" t="n">
        <v>0.4228512422140749</v>
      </c>
      <c r="Q63" s="29" t="n">
        <v>0.05263610165401678</v>
      </c>
      <c r="R63" s="29" t="n">
        <v>0.4448342081223539</v>
      </c>
      <c r="S63" s="29" t="n">
        <v>0.09266515022285328</v>
      </c>
      <c r="T63" s="29" t="n">
        <v>0.725980570782168</v>
      </c>
      <c r="U63" s="29" t="n">
        <v>0.2332177054626804</v>
      </c>
      <c r="V63" s="29" t="n">
        <v>0.3441703202569901</v>
      </c>
      <c r="W63" s="29" t="n">
        <v>0.1629503253691515</v>
      </c>
      <c r="X63" s="29" t="n">
        <v>0.1604145465356737</v>
      </c>
      <c r="Y63" s="29" t="n">
        <v>0.341533347352747</v>
      </c>
      <c r="Z63" s="29" t="n">
        <v>0.363439298776325</v>
      </c>
      <c r="AA63" s="29" t="n">
        <v>0.3197980528246259</v>
      </c>
      <c r="AB63" s="29" t="n">
        <v>0.1452542084138882</v>
      </c>
      <c r="AC63" s="29" t="n">
        <v>0.2592289448072836</v>
      </c>
      <c r="AD63" s="29" t="n">
        <v>0.4747902094003807</v>
      </c>
      <c r="AE63" s="29" t="n">
        <v>0.3684742942898421</v>
      </c>
      <c r="AF63" s="29" t="n">
        <v>0.7061134072111286</v>
      </c>
      <c r="AG63" s="29" t="n">
        <v>0.7737665284528319</v>
      </c>
      <c r="AH63" s="29" t="n">
        <v>0.2723020487262571</v>
      </c>
      <c r="AI63" s="29" t="n">
        <v>0.07120882265401023</v>
      </c>
      <c r="AJ63" s="29" t="n">
        <v>0.1160094429288451</v>
      </c>
      <c r="AK63" s="29" t="n">
        <v>0.980696297660453</v>
      </c>
      <c r="AL63" s="29" t="n">
        <v>1.632205942447855</v>
      </c>
      <c r="AM63" s="29" t="n">
        <v>4.809798453584946</v>
      </c>
      <c r="AN63" s="29" t="n">
        <v>2.129990630509921</v>
      </c>
      <c r="AO63" s="29" t="n">
        <v>3.036289548967183</v>
      </c>
      <c r="AP63" s="29" t="n">
        <v>2.904655567445371</v>
      </c>
      <c r="AQ63" s="29" t="n">
        <v>0.2232227049624504</v>
      </c>
      <c r="AR63" s="29" t="n">
        <v>0.02056782020810953</v>
      </c>
      <c r="AS63" s="29" t="n">
        <v>0.2996626178436771</v>
      </c>
      <c r="AT63" s="29" t="n">
        <v>3.36840698915151</v>
      </c>
      <c r="AU63" s="29" t="n">
        <v>0.6740156271534884</v>
      </c>
      <c r="AV63" s="29" t="n">
        <v>3.828525261696556</v>
      </c>
      <c r="AW63" s="29" t="n">
        <v>1.40419685774023</v>
      </c>
      <c r="AX63" s="29" t="n">
        <v>0</v>
      </c>
      <c r="AY63" s="29" t="n">
        <v>0.6038644100921873</v>
      </c>
      <c r="AZ63" s="29" t="n">
        <v>0.698999830188234</v>
      </c>
      <c r="BA63" s="29" t="n">
        <v>2.549893359479481</v>
      </c>
      <c r="BB63" s="29">
        <f>SUM(C63:BA63)</f>
        <v/>
      </c>
      <c r="BC63" s="29" t="n">
        <v>0</v>
      </c>
      <c r="BD63" s="29" t="n">
        <v>0</v>
      </c>
      <c r="BE63" s="29" t="n">
        <v>0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28.84658587210386</v>
      </c>
      <c r="D64" s="27" t="n">
        <v>8.395445318210006</v>
      </c>
      <c r="E64" s="27" t="n">
        <v>14.07433452577196</v>
      </c>
      <c r="F64" s="27" t="n">
        <v>1.778837251954724</v>
      </c>
      <c r="G64" s="27" t="n">
        <v>2.553378013499785</v>
      </c>
      <c r="H64" s="27" t="n">
        <v>28.71428049777533</v>
      </c>
      <c r="I64" s="27" t="n">
        <v>1.952388477352339</v>
      </c>
      <c r="J64" s="27" t="n">
        <v>2.332766042538378</v>
      </c>
      <c r="K64" s="27" t="n">
        <v>3.667015660281059</v>
      </c>
      <c r="L64" s="27" t="n">
        <v>2.046862054716504</v>
      </c>
      <c r="M64" s="27" t="n">
        <v>2.023846636463826</v>
      </c>
      <c r="N64" s="27" t="n">
        <v>6.545135778946404</v>
      </c>
      <c r="O64" s="27" t="n">
        <v>11.87974455278876</v>
      </c>
      <c r="P64" s="27" t="n">
        <v>4.208390326871012</v>
      </c>
      <c r="Q64" s="27" t="n">
        <v>0.5127355258652351</v>
      </c>
      <c r="R64" s="27" t="n">
        <v>33.51765907278654</v>
      </c>
      <c r="S64" s="27" t="n">
        <v>2.906660060414828</v>
      </c>
      <c r="T64" s="27" t="n">
        <v>8.982384733516589</v>
      </c>
      <c r="U64" s="27" t="n">
        <v>2.99900639052258</v>
      </c>
      <c r="V64" s="27" t="n">
        <v>4.061432200235284</v>
      </c>
      <c r="W64" s="27" t="n">
        <v>3.867410238214583</v>
      </c>
      <c r="X64" s="27" t="n">
        <v>3.398691449232895</v>
      </c>
      <c r="Y64" s="27" t="n">
        <v>5.144803971716781</v>
      </c>
      <c r="Z64" s="27" t="n">
        <v>7.841142903591263</v>
      </c>
      <c r="AA64" s="27" t="n">
        <v>7.114050065691199</v>
      </c>
      <c r="AB64" s="27" t="n">
        <v>4.914807875081484</v>
      </c>
      <c r="AC64" s="27" t="n">
        <v>3.275846651482353</v>
      </c>
      <c r="AD64" s="27" t="n">
        <v>5.175148536597257</v>
      </c>
      <c r="AE64" s="27" t="n">
        <v>4.206878343656046</v>
      </c>
      <c r="AF64" s="27" t="n">
        <v>8.308661488066853</v>
      </c>
      <c r="AG64" s="27" t="n">
        <v>8.001861760386738</v>
      </c>
      <c r="AH64" s="27" t="n">
        <v>3.938078914904079</v>
      </c>
      <c r="AI64" s="27" t="n">
        <v>0.9133349491297837</v>
      </c>
      <c r="AJ64" s="27" t="n">
        <v>1.601450088263397</v>
      </c>
      <c r="AK64" s="27" t="n">
        <v>38.47440630370103</v>
      </c>
      <c r="AL64" s="27" t="n">
        <v>20.32191707853619</v>
      </c>
      <c r="AM64" s="27" t="n">
        <v>86.99343143944044</v>
      </c>
      <c r="AN64" s="27" t="n">
        <v>14.70874186599905</v>
      </c>
      <c r="AO64" s="27" t="n">
        <v>70.19780570364921</v>
      </c>
      <c r="AP64" s="27" t="n">
        <v>47.13487875343279</v>
      </c>
      <c r="AQ64" s="27" t="n">
        <v>4.528381189786772</v>
      </c>
      <c r="AR64" s="27" t="n">
        <v>0.5102214547793452</v>
      </c>
      <c r="AS64" s="27" t="n">
        <v>6.580315296607803</v>
      </c>
      <c r="AT64" s="27" t="n">
        <v>76.39739992848226</v>
      </c>
      <c r="AU64" s="27" t="n">
        <v>11.6791511443413</v>
      </c>
      <c r="AV64" s="27" t="n">
        <v>11.61594272210833</v>
      </c>
      <c r="AW64" s="27" t="n">
        <v>45.76427383443334</v>
      </c>
      <c r="AX64" s="27" t="n">
        <v>0</v>
      </c>
      <c r="AY64" s="27" t="n">
        <v>10.72496883243621</v>
      </c>
      <c r="AZ64" s="27" t="n">
        <v>10.42282051848932</v>
      </c>
      <c r="BA64" s="27" t="n">
        <v>44.04687566824636</v>
      </c>
      <c r="BB64" s="27">
        <f>SUM(C64:BA64)</f>
        <v/>
      </c>
      <c r="BC64" s="27" t="n">
        <v>0</v>
      </c>
      <c r="BD64" s="27" t="n">
        <v>0</v>
      </c>
      <c r="BE64" s="27" t="n">
        <v>0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9.094947017729282e-13</v>
      </c>
      <c r="D67" s="32" t="n">
        <v>0</v>
      </c>
      <c r="E67" s="32" t="n">
        <v>-4.547473508864641e-13</v>
      </c>
      <c r="F67" s="32" t="n">
        <v>5.684341886080801e-14</v>
      </c>
      <c r="G67" s="32" t="n">
        <v>-1.13686837721616e-13</v>
      </c>
      <c r="H67" s="32" t="n">
        <v>1.818989403545856e-12</v>
      </c>
      <c r="I67" s="32" t="n">
        <v>-5.684341886080801e-14</v>
      </c>
      <c r="J67" s="32" t="n">
        <v>-9.094947017729282e-13</v>
      </c>
      <c r="K67" s="32" t="n">
        <v>-4.547473508864641e-13</v>
      </c>
      <c r="L67" s="32" t="n">
        <v>-2.273736754432321e-13</v>
      </c>
      <c r="M67" s="32" t="n">
        <v>0</v>
      </c>
      <c r="N67" s="32" t="n">
        <v>1.13686837721616e-12</v>
      </c>
      <c r="O67" s="32" t="n">
        <v>0</v>
      </c>
      <c r="P67" s="32" t="n">
        <v>0</v>
      </c>
      <c r="Q67" s="32" t="n">
        <v>2.273736754432321e-13</v>
      </c>
      <c r="R67" s="32" t="n">
        <v>-9.094947017729282e-13</v>
      </c>
      <c r="S67" s="32" t="n">
        <v>-1.13686837721616e-12</v>
      </c>
      <c r="T67" s="32" t="n">
        <v>4.547473508864641e-13</v>
      </c>
      <c r="U67" s="32" t="n">
        <v>-1.13686837721616e-13</v>
      </c>
      <c r="V67" s="32" t="n">
        <v>-2.273736754432321e-13</v>
      </c>
      <c r="W67" s="32" t="n">
        <v>1.13686837721616e-13</v>
      </c>
      <c r="X67" s="32" t="n">
        <v>-1.13686837721616e-13</v>
      </c>
      <c r="Y67" s="32" t="n">
        <v>0</v>
      </c>
      <c r="Z67" s="32" t="n">
        <v>2.273736754432321e-13</v>
      </c>
      <c r="AA67" s="32" t="n">
        <v>-4.547473508864641e-13</v>
      </c>
      <c r="AB67" s="32" t="n">
        <v>-2.273736754432321e-13</v>
      </c>
      <c r="AC67" s="32" t="n">
        <v>-2.273736754432321e-13</v>
      </c>
      <c r="AD67" s="32" t="n">
        <v>4.547473508864641e-13</v>
      </c>
      <c r="AE67" s="32" t="n">
        <v>9.094947017729282e-13</v>
      </c>
      <c r="AF67" s="32" t="n">
        <v>0</v>
      </c>
      <c r="AG67" s="32" t="n">
        <v>-1.818989403545856e-12</v>
      </c>
      <c r="AH67" s="32" t="n">
        <v>0</v>
      </c>
      <c r="AI67" s="32" t="n">
        <v>-4.547473508864641e-13</v>
      </c>
      <c r="AJ67" s="32" t="n">
        <v>4.547473508864641e-13</v>
      </c>
      <c r="AK67" s="32" t="n">
        <v>0</v>
      </c>
      <c r="AL67" s="32" t="n">
        <v>1.818989403545856e-12</v>
      </c>
      <c r="AM67" s="32" t="n">
        <v>3.637978807091713e-12</v>
      </c>
      <c r="AN67" s="32" t="n">
        <v>9.094947017729282e-13</v>
      </c>
      <c r="AO67" s="32" t="n">
        <v>4.547473508864641e-13</v>
      </c>
      <c r="AP67" s="32" t="n">
        <v>0</v>
      </c>
      <c r="AQ67" s="32" t="n">
        <v>-2.273736754432321e-13</v>
      </c>
      <c r="AR67" s="32" t="n">
        <v>-5.684341886080801e-14</v>
      </c>
      <c r="AS67" s="32" t="n">
        <v>-9.094947017729282e-13</v>
      </c>
      <c r="AT67" s="32" t="n">
        <v>0</v>
      </c>
      <c r="AU67" s="32" t="n">
        <v>1.13686837721616e-13</v>
      </c>
      <c r="AV67" s="32" t="n">
        <v>-9.094947017729282e-13</v>
      </c>
      <c r="AW67" s="32" t="n">
        <v>0</v>
      </c>
      <c r="AX67" s="32" t="n">
        <v>0</v>
      </c>
      <c r="AY67" s="32" t="n">
        <v>9.094947017729282e-13</v>
      </c>
      <c r="AZ67" s="32" t="n">
        <v>-4.547473508864641e-13</v>
      </c>
      <c r="BA67" s="32" t="n">
        <v>1.818989403545856e-12</v>
      </c>
      <c r="BH67" s="32">
        <f>SUM(C67:BA67)</f>
        <v/>
      </c>
    </row>
    <row r="68"/>
    <row r="69">
      <c r="B69" s="31" t="inlineStr">
        <is>
          <t>Sin valor agregado</t>
        </is>
      </c>
      <c r="C69" s="32" t="n">
        <v>0</v>
      </c>
      <c r="D69" s="32" t="n">
        <v>0</v>
      </c>
      <c r="E69" s="32" t="n">
        <v>0</v>
      </c>
      <c r="F69" s="32" t="n">
        <v>0</v>
      </c>
      <c r="G69" s="32" t="n">
        <v>0</v>
      </c>
      <c r="H69" s="32" t="n">
        <v>0</v>
      </c>
      <c r="I69" s="32" t="n">
        <v>0</v>
      </c>
      <c r="J69" s="32" t="n">
        <v>0</v>
      </c>
      <c r="K69" s="32" t="n">
        <v>0</v>
      </c>
      <c r="L69" s="32" t="n">
        <v>0</v>
      </c>
      <c r="M69" s="32" t="n">
        <v>0</v>
      </c>
      <c r="N69" s="32" t="n">
        <v>0</v>
      </c>
      <c r="O69" s="32" t="n">
        <v>0</v>
      </c>
      <c r="P69" s="32" t="n">
        <v>0</v>
      </c>
      <c r="Q69" s="32" t="n">
        <v>0</v>
      </c>
      <c r="R69" s="32" t="n">
        <v>0</v>
      </c>
      <c r="S69" s="32" t="n">
        <v>0</v>
      </c>
      <c r="T69" s="32" t="n">
        <v>0</v>
      </c>
      <c r="U69" s="32" t="n">
        <v>0</v>
      </c>
      <c r="V69" s="32" t="n">
        <v>0</v>
      </c>
      <c r="W69" s="32" t="n">
        <v>0</v>
      </c>
      <c r="X69" s="32" t="n">
        <v>0</v>
      </c>
      <c r="Y69" s="32" t="n">
        <v>0</v>
      </c>
      <c r="Z69" s="32" t="n">
        <v>0</v>
      </c>
      <c r="AA69" s="32" t="n">
        <v>0</v>
      </c>
      <c r="AB69" s="32" t="n">
        <v>0</v>
      </c>
      <c r="AC69" s="32" t="n">
        <v>0</v>
      </c>
      <c r="AD69" s="32" t="n">
        <v>0</v>
      </c>
      <c r="AE69" s="32" t="n">
        <v>0</v>
      </c>
      <c r="AF69" s="32" t="n">
        <v>0</v>
      </c>
      <c r="AG69" s="32" t="n">
        <v>0</v>
      </c>
      <c r="AH69" s="32" t="n">
        <v>0</v>
      </c>
      <c r="AI69" s="32" t="n">
        <v>0</v>
      </c>
      <c r="AJ69" s="32" t="n">
        <v>0</v>
      </c>
      <c r="AK69" s="32" t="n">
        <v>0</v>
      </c>
      <c r="AL69" s="32" t="n">
        <v>0</v>
      </c>
      <c r="AM69" s="32" t="n">
        <v>0</v>
      </c>
      <c r="AN69" s="32" t="n">
        <v>0</v>
      </c>
      <c r="AO69" s="32" t="n">
        <v>0</v>
      </c>
      <c r="AP69" s="32" t="n">
        <v>0</v>
      </c>
      <c r="AQ69" s="32" t="n">
        <v>0</v>
      </c>
      <c r="AR69" s="32" t="n">
        <v>0</v>
      </c>
      <c r="AS69" s="32" t="n">
        <v>0</v>
      </c>
      <c r="AT69" s="32" t="n">
        <v>0</v>
      </c>
      <c r="AU69" s="32" t="n">
        <v>0</v>
      </c>
      <c r="AV69" s="32" t="n">
        <v>0</v>
      </c>
      <c r="AW69" s="32" t="n">
        <v>0</v>
      </c>
      <c r="AX69" s="32" t="n">
        <v>0</v>
      </c>
      <c r="AY69" s="32" t="n">
        <v>0</v>
      </c>
      <c r="AZ69" s="32" t="n">
        <v>0</v>
      </c>
      <c r="BA69" s="32" t="n">
        <v>0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7359.748642298947</v>
      </c>
      <c r="D72" s="32" t="n">
        <v>2176.555028737085</v>
      </c>
      <c r="E72" s="32" t="n">
        <v>8990.13241887362</v>
      </c>
      <c r="F72" s="32" t="n">
        <v>165.1910920643277</v>
      </c>
      <c r="G72" s="32" t="n">
        <v>3795.451468367275</v>
      </c>
      <c r="H72" s="32" t="n">
        <v>12662.13157116955</v>
      </c>
      <c r="I72" s="32" t="n">
        <v>396.9120930802313</v>
      </c>
      <c r="J72" s="32" t="n">
        <v>4124.745061992414</v>
      </c>
      <c r="K72" s="32" t="n">
        <v>953.0406696034819</v>
      </c>
      <c r="L72" s="32" t="n">
        <v>784.9960889432134</v>
      </c>
      <c r="M72" s="32" t="n">
        <v>1285.917017022994</v>
      </c>
      <c r="N72" s="32" t="n">
        <v>5560.67265436341</v>
      </c>
      <c r="O72" s="32" t="n">
        <v>1719.873828319054</v>
      </c>
      <c r="P72" s="32" t="n">
        <v>14761.99333111966</v>
      </c>
      <c r="Q72" s="32" t="n">
        <v>1003.032750388102</v>
      </c>
      <c r="R72" s="32" t="n">
        <v>11982.86932274354</v>
      </c>
      <c r="S72" s="32" t="n">
        <v>4677.545197043159</v>
      </c>
      <c r="T72" s="32" t="n">
        <v>3469.047201450174</v>
      </c>
      <c r="U72" s="32" t="n">
        <v>2164.475526745144</v>
      </c>
      <c r="V72" s="32" t="n">
        <v>2383.020842331454</v>
      </c>
      <c r="W72" s="32" t="n">
        <v>1515.189027844071</v>
      </c>
      <c r="X72" s="32" t="n">
        <v>2094.589584728002</v>
      </c>
      <c r="Y72" s="32" t="n">
        <v>6420.091080797238</v>
      </c>
      <c r="Z72" s="32" t="n">
        <v>4974.418710980071</v>
      </c>
      <c r="AA72" s="32" t="n">
        <v>4065.424092065959</v>
      </c>
      <c r="AB72" s="32" t="n">
        <v>3250.532007256222</v>
      </c>
      <c r="AC72" s="32" t="n">
        <v>5241.788522398585</v>
      </c>
      <c r="AD72" s="32" t="n">
        <v>10978.64847742882</v>
      </c>
      <c r="AE72" s="32" t="n">
        <v>6043.221665167749</v>
      </c>
      <c r="AF72" s="32" t="n">
        <v>16105.04740748566</v>
      </c>
      <c r="AG72" s="32" t="n">
        <v>1142.899062485119</v>
      </c>
      <c r="AH72" s="32" t="n">
        <v>7455.265068544993</v>
      </c>
      <c r="AI72" s="32" t="n">
        <v>2054.624339218509</v>
      </c>
      <c r="AJ72" s="32" t="n">
        <v>2017.46860843789</v>
      </c>
      <c r="AK72" s="32" t="n">
        <v>8197.372448488828</v>
      </c>
      <c r="AL72" s="32" t="n">
        <v>1261.223232085569</v>
      </c>
      <c r="AM72" s="32" t="n">
        <v>-45270.39897463684</v>
      </c>
      <c r="AN72" s="32" t="n">
        <v>-1869.671355667654</v>
      </c>
      <c r="AO72" s="32" t="n">
        <v>9648.964195876166</v>
      </c>
      <c r="AP72" s="32" t="n">
        <v>10990.40399265051</v>
      </c>
      <c r="AQ72" s="32" t="n">
        <v>423.9561358286089</v>
      </c>
      <c r="AR72" s="32" t="n">
        <v>105.6707044271855</v>
      </c>
      <c r="AS72" s="32" t="n">
        <v>2716.789947808623</v>
      </c>
      <c r="AT72" s="32" t="n">
        <v>11627.9704545828</v>
      </c>
      <c r="AU72" s="32" t="n">
        <v>122.3307213845389</v>
      </c>
      <c r="AV72" s="32" t="n">
        <v>-99.43120792781339</v>
      </c>
      <c r="AW72" s="32" t="n">
        <v>749.0493205867577</v>
      </c>
      <c r="AX72" s="32" t="n">
        <v>0</v>
      </c>
      <c r="AY72" s="32" t="n">
        <v>566.9191815149516</v>
      </c>
      <c r="AZ72" s="32" t="n">
        <v>41.32643606096204</v>
      </c>
      <c r="BA72" s="32" t="n">
        <v>739.8025879630994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U_importada/ajuste transformado a industrias con D = V * diag(q)^-1.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H75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2000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2" t="inlineStr">
        <is>
          <t>Total consumo intermedio</t>
        </is>
      </c>
      <c r="BC10" s="22" t="inlineStr">
        <is>
          <t>Demanda final</t>
        </is>
      </c>
      <c r="BD10" s="23" t="n"/>
      <c r="BE10" s="23" t="n"/>
      <c r="BF10" s="23" t="n"/>
      <c r="BG10" s="22" t="inlineStr">
        <is>
          <t>Total demanda final</t>
        </is>
      </c>
      <c r="BH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inlineStr">
        <is>
          <t>Produtos de madeira</t>
        </is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inlineStr">
        <is>
          <t>Produtos de metal</t>
        </is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C11" s="24" t="inlineStr"/>
      <c r="BD11" s="24" t="inlineStr"/>
      <c r="BE11" s="24" t="inlineStr"/>
      <c r="BF11" s="24" t="inlineStr"/>
    </row>
    <row r="12" ht="90" customHeight="1">
      <c r="A12" s="25" t="n"/>
      <c r="B12" s="25" t="n"/>
      <c r="C12" s="26" t="inlineStr">
        <is>
          <t>Agricultura silvicultura exploração florestal</t>
        </is>
      </c>
      <c r="D12" s="26" t="inlineStr">
        <is>
          <t>Pecuária e pesca</t>
        </is>
      </c>
      <c r="E12" s="26" t="inlineStr">
        <is>
          <t>Petróleo e gás natural</t>
        </is>
      </c>
      <c r="F12" s="26" t="inlineStr">
        <is>
          <t>Minério de ferro</t>
        </is>
      </c>
      <c r="G12" s="26" t="inlineStr">
        <is>
          <t>Outros da indústria extrativa</t>
        </is>
      </c>
      <c r="H12" s="26" t="inlineStr">
        <is>
          <t>Alimentos e Bebidas</t>
        </is>
      </c>
      <c r="I12" s="26" t="inlineStr">
        <is>
          <t>Produtos do fumo</t>
        </is>
      </c>
      <c r="J12" s="26" t="inlineStr">
        <is>
          <t>Têxteis</t>
        </is>
      </c>
      <c r="K12" s="26" t="inlineStr">
        <is>
          <t>Artigos do vestuário e acessórios</t>
        </is>
      </c>
      <c r="L12" s="26" t="inlineStr">
        <is>
          <t>Artefatos de couro e calçados</t>
        </is>
      </c>
      <c r="M12" s="26" t="inlineStr">
        <is>
          <t>exclusive móveis</t>
        </is>
      </c>
      <c r="N12" s="26" t="inlineStr">
        <is>
          <t>Celulose e produtos de papel</t>
        </is>
      </c>
      <c r="O12" s="26" t="inlineStr">
        <is>
          <t>Jornais revistas discos</t>
        </is>
      </c>
      <c r="P12" s="26" t="inlineStr">
        <is>
          <t>Refino de petróleo e coque</t>
        </is>
      </c>
      <c r="Q12" s="26" t="inlineStr">
        <is>
          <t>Álcool</t>
        </is>
      </c>
      <c r="R12" s="26" t="inlineStr">
        <is>
          <t>Produtos  químicos</t>
        </is>
      </c>
      <c r="S12" s="26" t="inlineStr">
        <is>
          <t>Fabricação de resina e elastômeros</t>
        </is>
      </c>
      <c r="T12" s="26" t="inlineStr">
        <is>
          <t>Produtos farmacêuticos</t>
        </is>
      </c>
      <c r="U12" s="26" t="inlineStr">
        <is>
          <t>Defensivos agrícolas</t>
        </is>
      </c>
      <c r="V12" s="26" t="inlineStr">
        <is>
          <t>Perfumaria higiene e limpeza</t>
        </is>
      </c>
      <c r="W12" s="26" t="inlineStr">
        <is>
          <t>Tintas vernizes esmaltes e lacas</t>
        </is>
      </c>
      <c r="X12" s="26" t="inlineStr">
        <is>
          <t>Produtos e preparados químicos diversos</t>
        </is>
      </c>
      <c r="Y12" s="26" t="inlineStr">
        <is>
          <t>Artigos de borracha e plástico</t>
        </is>
      </c>
      <c r="Z12" s="26" t="inlineStr">
        <is>
          <t>Cimento e outros produtos de minerais não-metálicos</t>
        </is>
      </c>
      <c r="AA12" s="26" t="inlineStr">
        <is>
          <t>Fabricação de aço e derivados</t>
        </is>
      </c>
      <c r="AB12" s="26" t="inlineStr">
        <is>
          <t>Metalurgia de metais não-ferrosos</t>
        </is>
      </c>
      <c r="AC12" s="26" t="inlineStr">
        <is>
          <t>exclusive máquinas e equipamentos</t>
        </is>
      </c>
      <c r="AD12" s="26" t="inlineStr">
        <is>
          <t>Máquinas e equipamentos inclusive manutenção e reparos</t>
        </is>
      </c>
      <c r="AE12" s="26" t="inlineStr">
        <is>
          <t>Eletrodomésticos e material eletronico</t>
        </is>
      </c>
      <c r="AF12" s="26" t="inlineStr">
        <is>
          <t>Máquinas para escritório aparelhos e e material eletronico</t>
        </is>
      </c>
      <c r="AG12" s="26" t="inlineStr">
        <is>
          <t>Automóveis camionetas caminhões e ônibus</t>
        </is>
      </c>
      <c r="AH12" s="26" t="inlineStr">
        <is>
          <t>Peças e acessórios para veículos automotores</t>
        </is>
      </c>
      <c r="AI12" s="26" t="inlineStr">
        <is>
          <t>Outros equipamentos de transporte</t>
        </is>
      </c>
      <c r="AJ12" s="26" t="inlineStr">
        <is>
          <t>Móveis e produtos das indústrias diversas</t>
        </is>
      </c>
      <c r="AK12" s="26" t="inlineStr">
        <is>
          <t>Produção e distribuição de eletricidade gás água esgoto e limpeza urbana</t>
        </is>
      </c>
      <c r="AL12" s="26" t="inlineStr">
        <is>
          <t>Construção civil</t>
        </is>
      </c>
      <c r="AM12" s="26" t="inlineStr">
        <is>
          <t>Comércio</t>
        </is>
      </c>
      <c r="AN12" s="26" t="inlineStr">
        <is>
          <t>Transporte armazenagem e correio</t>
        </is>
      </c>
      <c r="AO12" s="26" t="inlineStr">
        <is>
          <t>Serviços de informação</t>
        </is>
      </c>
      <c r="AP12" s="26" t="inlineStr">
        <is>
          <t>Intermediação financeira seguros e previdência complementar e serviços relacionados</t>
        </is>
      </c>
      <c r="AQ12" s="26" t="inlineStr">
        <is>
          <t>Atividades imobiliárias e aluguéis</t>
        </is>
      </c>
      <c r="AR12" s="26" t="inlineStr">
        <is>
          <t>Serviços de manutenção e reparação</t>
        </is>
      </c>
      <c r="AS12" s="26" t="inlineStr">
        <is>
          <t>Serviços de alojamento e alimentação</t>
        </is>
      </c>
      <c r="AT12" s="26" t="inlineStr">
        <is>
          <t>Serviços prestados às empresas</t>
        </is>
      </c>
      <c r="AU12" s="26" t="inlineStr">
        <is>
          <t>Educação mercantil</t>
        </is>
      </c>
      <c r="AV12" s="26" t="inlineStr">
        <is>
          <t>Saúde mercantil</t>
        </is>
      </c>
      <c r="AW12" s="26" t="inlineStr">
        <is>
          <t>Serviços prestados às famílias e associativas</t>
        </is>
      </c>
      <c r="AX12" s="26" t="inlineStr">
        <is>
          <t>Serviços domésticos</t>
        </is>
      </c>
      <c r="AY12" s="26" t="inlineStr">
        <is>
          <t>Educação pública</t>
        </is>
      </c>
      <c r="AZ12" s="26" t="inlineStr">
        <is>
          <t>Saúde pública</t>
        </is>
      </c>
      <c r="BA12" s="26" t="inlineStr">
        <is>
          <t>Administração pública e seguridade social</t>
        </is>
      </c>
      <c r="BB12" s="25" t="n"/>
      <c r="BC12" s="26" t="inlineStr">
        <is>
          <t>Gasto de consumo final</t>
        </is>
      </c>
      <c r="BD12" s="26" t="inlineStr">
        <is>
          <t>Formacion bruta de capital</t>
        </is>
      </c>
      <c r="BE12" s="26" t="inlineStr">
        <is>
          <t>Exportaciones netas</t>
        </is>
      </c>
      <c r="BF12" s="26" t="inlineStr">
        <is>
          <t>Sin desglose fuente</t>
        </is>
      </c>
      <c r="BG12" s="25" t="n"/>
      <c r="BH12" s="25" t="n"/>
    </row>
    <row r="13"/>
    <row r="14">
      <c r="A14" s="27" t="n">
        <v>1</v>
      </c>
      <c r="B14" s="28" t="inlineStr">
        <is>
          <t>Agricultura silvicultura exploração florestal</t>
        </is>
      </c>
      <c r="C14" s="27" t="n">
        <v>2476.050093941664</v>
      </c>
      <c r="D14" s="27" t="n">
        <v>2060.326206379636</v>
      </c>
      <c r="E14" s="27" t="n">
        <v>11.45256964676592</v>
      </c>
      <c r="F14" s="27" t="n">
        <v>2.375928990815519</v>
      </c>
      <c r="G14" s="27" t="n">
        <v>2.242941304328694</v>
      </c>
      <c r="H14" s="27" t="n">
        <v>28672.97512779307</v>
      </c>
      <c r="I14" s="27" t="n">
        <v>1295.127835617216</v>
      </c>
      <c r="J14" s="27" t="n">
        <v>2189.355364314894</v>
      </c>
      <c r="K14" s="27" t="n">
        <v>119.3631911173894</v>
      </c>
      <c r="L14" s="27" t="n">
        <v>15.50380173762792</v>
      </c>
      <c r="M14" s="27" t="n">
        <v>740.0172195925825</v>
      </c>
      <c r="N14" s="27" t="n">
        <v>434.7126520702426</v>
      </c>
      <c r="O14" s="27" t="n">
        <v>0.5672377970607196</v>
      </c>
      <c r="P14" s="27" t="n">
        <v>1.360958663106251</v>
      </c>
      <c r="Q14" s="27" t="n">
        <v>2554.618911531384</v>
      </c>
      <c r="R14" s="27" t="n">
        <v>96.08087129750821</v>
      </c>
      <c r="S14" s="27" t="n">
        <v>110.4449522995698</v>
      </c>
      <c r="T14" s="27" t="n">
        <v>15.0546347101252</v>
      </c>
      <c r="U14" s="27" t="n">
        <v>37.50736594638421</v>
      </c>
      <c r="V14" s="27" t="n">
        <v>28.3654986793772</v>
      </c>
      <c r="W14" s="27" t="n">
        <v>23.57936158371837</v>
      </c>
      <c r="X14" s="27" t="n">
        <v>35.21398504378574</v>
      </c>
      <c r="Y14" s="27" t="n">
        <v>252.4444490276641</v>
      </c>
      <c r="Z14" s="27" t="n">
        <v>21.75661732268441</v>
      </c>
      <c r="AA14" s="27" t="n">
        <v>118.9272491089297</v>
      </c>
      <c r="AB14" s="27" t="n">
        <v>4.032566650586095</v>
      </c>
      <c r="AC14" s="27" t="n">
        <v>4.69875214757666</v>
      </c>
      <c r="AD14" s="27" t="n">
        <v>0.1650852147442311</v>
      </c>
      <c r="AE14" s="27" t="n">
        <v>0.8457058450733266</v>
      </c>
      <c r="AF14" s="27" t="n">
        <v>1.206092643140677</v>
      </c>
      <c r="AG14" s="27" t="n">
        <v>0.3515835685760905</v>
      </c>
      <c r="AH14" s="27" t="n">
        <v>0.119217330148011</v>
      </c>
      <c r="AI14" s="27" t="n">
        <v>0.1554743470849678</v>
      </c>
      <c r="AJ14" s="27" t="n">
        <v>4.447966869370774</v>
      </c>
      <c r="AK14" s="27" t="n">
        <v>11.11868175223984</v>
      </c>
      <c r="AL14" s="27" t="n">
        <v>120.2816507264958</v>
      </c>
      <c r="AM14" s="27" t="n">
        <v>1752.427815867526</v>
      </c>
      <c r="AN14" s="27" t="n">
        <v>1.390816521836262</v>
      </c>
      <c r="AO14" s="27" t="n">
        <v>4.826020286692922</v>
      </c>
      <c r="AP14" s="27" t="n">
        <v>1.717266014894812</v>
      </c>
      <c r="AQ14" s="27" t="n">
        <v>1.524012782350515</v>
      </c>
      <c r="AR14" s="27" t="n">
        <v>0.01419682570274366</v>
      </c>
      <c r="AS14" s="27" t="n">
        <v>870.8753994858121</v>
      </c>
      <c r="AT14" s="27" t="n">
        <v>10.16829764363999</v>
      </c>
      <c r="AU14" s="27" t="n">
        <v>12.62113645371152</v>
      </c>
      <c r="AV14" s="27" t="n">
        <v>51.8418374146262</v>
      </c>
      <c r="AW14" s="27" t="n">
        <v>69.73645778011513</v>
      </c>
      <c r="AX14" s="27" t="n">
        <v>0</v>
      </c>
      <c r="AY14" s="27" t="n">
        <v>134.4982716851521</v>
      </c>
      <c r="AZ14" s="27" t="n">
        <v>53.0221097805926</v>
      </c>
      <c r="BA14" s="27" t="n">
        <v>429.1944329015994</v>
      </c>
      <c r="BB14" s="27">
        <f>SUM(C14:BA14)</f>
        <v/>
      </c>
      <c r="BC14" s="27" t="n">
        <v>0</v>
      </c>
      <c r="BD14" s="27" t="n">
        <v>0</v>
      </c>
      <c r="BE14" s="27" t="n">
        <v>21444.33734735358</v>
      </c>
      <c r="BF14" s="27" t="n">
        <v>0</v>
      </c>
      <c r="BG14" s="27">
        <f>SUM(BC14:BF14)</f>
        <v/>
      </c>
      <c r="BH14" s="27">
        <f>BB14+BG14</f>
        <v/>
      </c>
    </row>
    <row r="15">
      <c r="A15" s="29" t="n">
        <v>2</v>
      </c>
      <c r="B15" s="30" t="inlineStr">
        <is>
          <t>Pecuária e pesca</t>
        </is>
      </c>
      <c r="C15" s="29" t="n">
        <v>228.0479840754075</v>
      </c>
      <c r="D15" s="29" t="n">
        <v>1299.955204728578</v>
      </c>
      <c r="E15" s="29" t="n">
        <v>3.006315905385267</v>
      </c>
      <c r="F15" s="29" t="n">
        <v>1.344108913186876</v>
      </c>
      <c r="G15" s="29" t="n">
        <v>0.4318179285929383</v>
      </c>
      <c r="H15" s="29" t="n">
        <v>20242.5036072879</v>
      </c>
      <c r="I15" s="29" t="n">
        <v>52.77547748612021</v>
      </c>
      <c r="J15" s="29" t="n">
        <v>3.272613328025857</v>
      </c>
      <c r="K15" s="29" t="n">
        <v>0.2887810411372386</v>
      </c>
      <c r="L15" s="29" t="n">
        <v>5.710374553527291</v>
      </c>
      <c r="M15" s="29" t="n">
        <v>47.41502757709601</v>
      </c>
      <c r="N15" s="29" t="n">
        <v>27.49083006233394</v>
      </c>
      <c r="O15" s="29" t="n">
        <v>0.0292489635273415</v>
      </c>
      <c r="P15" s="29" t="n">
        <v>0.02235412489594695</v>
      </c>
      <c r="Q15" s="29" t="n">
        <v>17.04616869525999</v>
      </c>
      <c r="R15" s="29" t="n">
        <v>3.509698707141177</v>
      </c>
      <c r="S15" s="29" t="n">
        <v>2.941589972636914</v>
      </c>
      <c r="T15" s="29" t="n">
        <v>0.3617021293352132</v>
      </c>
      <c r="U15" s="29" t="n">
        <v>1.079042396833255</v>
      </c>
      <c r="V15" s="29" t="n">
        <v>2.057123874928375</v>
      </c>
      <c r="W15" s="29" t="n">
        <v>0.621475252041616</v>
      </c>
      <c r="X15" s="29" t="n">
        <v>0.9118125456711058</v>
      </c>
      <c r="Y15" s="29" t="n">
        <v>15.38969267188027</v>
      </c>
      <c r="Z15" s="29" t="n">
        <v>0.6392674762313922</v>
      </c>
      <c r="AA15" s="29" t="n">
        <v>7.560090549273832</v>
      </c>
      <c r="AB15" s="29" t="n">
        <v>1.789784606403817</v>
      </c>
      <c r="AC15" s="29" t="n">
        <v>0.2682227338604253</v>
      </c>
      <c r="AD15" s="29" t="n">
        <v>0.09271388726949188</v>
      </c>
      <c r="AE15" s="29" t="n">
        <v>0.03626422473122051</v>
      </c>
      <c r="AF15" s="29" t="n">
        <v>0.1596407032742508</v>
      </c>
      <c r="AG15" s="29" t="n">
        <v>0.2703137260245462</v>
      </c>
      <c r="AH15" s="29" t="n">
        <v>0.04326031987389423</v>
      </c>
      <c r="AI15" s="29" t="n">
        <v>0.2132173944642731</v>
      </c>
      <c r="AJ15" s="29" t="n">
        <v>0.08202788394138394</v>
      </c>
      <c r="AK15" s="29" t="n">
        <v>6.596164603179462</v>
      </c>
      <c r="AL15" s="29" t="n">
        <v>69.2021871505228</v>
      </c>
      <c r="AM15" s="29" t="n">
        <v>57.44239095613491</v>
      </c>
      <c r="AN15" s="29" t="n">
        <v>1.897187877761379</v>
      </c>
      <c r="AO15" s="29" t="n">
        <v>6.363878543279651</v>
      </c>
      <c r="AP15" s="29" t="n">
        <v>1.293670316324637</v>
      </c>
      <c r="AQ15" s="29" t="n">
        <v>1.715582314970668</v>
      </c>
      <c r="AR15" s="29" t="n">
        <v>0.002302327123361859</v>
      </c>
      <c r="AS15" s="29" t="n">
        <v>337.4878866513687</v>
      </c>
      <c r="AT15" s="29" t="n">
        <v>3.234668460357363</v>
      </c>
      <c r="AU15" s="29" t="n">
        <v>5.060420401394209</v>
      </c>
      <c r="AV15" s="29" t="n">
        <v>34.42286005633368</v>
      </c>
      <c r="AW15" s="29" t="n">
        <v>10.25359860435674</v>
      </c>
      <c r="AX15" s="29" t="n">
        <v>0</v>
      </c>
      <c r="AY15" s="29" t="n">
        <v>59.38860510584819</v>
      </c>
      <c r="AZ15" s="29" t="n">
        <v>19.21081778031987</v>
      </c>
      <c r="BA15" s="29" t="n">
        <v>84.88733219810425</v>
      </c>
      <c r="BB15" s="29">
        <f>SUM(C15:BA15)</f>
        <v/>
      </c>
      <c r="BC15" s="29" t="n">
        <v>0</v>
      </c>
      <c r="BD15" s="29" t="n">
        <v>0</v>
      </c>
      <c r="BE15" s="29" t="n">
        <v>10742.43683886129</v>
      </c>
      <c r="BF15" s="29" t="n">
        <v>0</v>
      </c>
      <c r="BG15" s="29">
        <f>SUM(BC15:BF15)</f>
        <v/>
      </c>
      <c r="BH15" s="29">
        <f>BB15+BG15</f>
        <v/>
      </c>
    </row>
    <row r="16">
      <c r="A16" s="27" t="n">
        <v>3</v>
      </c>
      <c r="B16" s="28" t="inlineStr">
        <is>
          <t>Petróleo e gás natural</t>
        </is>
      </c>
      <c r="C16" s="27" t="n">
        <v>5.509040562165954</v>
      </c>
      <c r="D16" s="27" t="n">
        <v>8.306815803607277</v>
      </c>
      <c r="E16" s="27" t="n">
        <v>1357.4463086269</v>
      </c>
      <c r="F16" s="27" t="n">
        <v>36.34383836416011</v>
      </c>
      <c r="G16" s="27" t="n">
        <v>4.541288869425657</v>
      </c>
      <c r="H16" s="27" t="n">
        <v>147.5570498941292</v>
      </c>
      <c r="I16" s="27" t="n">
        <v>0.1318619591346802</v>
      </c>
      <c r="J16" s="27" t="n">
        <v>49.26980796350934</v>
      </c>
      <c r="K16" s="27" t="n">
        <v>0.7310014098664751</v>
      </c>
      <c r="L16" s="27" t="n">
        <v>0.192944266009229</v>
      </c>
      <c r="M16" s="27" t="n">
        <v>10.6944312063522</v>
      </c>
      <c r="N16" s="27" t="n">
        <v>107.1672738032767</v>
      </c>
      <c r="O16" s="27" t="n">
        <v>0.4154435689209978</v>
      </c>
      <c r="P16" s="27" t="n">
        <v>24503.97774608836</v>
      </c>
      <c r="Q16" s="27" t="n">
        <v>0.2321428674698367</v>
      </c>
      <c r="R16" s="27" t="n">
        <v>218.5393078811623</v>
      </c>
      <c r="S16" s="27" t="n">
        <v>112.9232134924326</v>
      </c>
      <c r="T16" s="27" t="n">
        <v>6.702344827467368</v>
      </c>
      <c r="U16" s="27" t="n">
        <v>7.012534011085295</v>
      </c>
      <c r="V16" s="27" t="n">
        <v>5.083580225976313</v>
      </c>
      <c r="W16" s="27" t="n">
        <v>5.397040127981376</v>
      </c>
      <c r="X16" s="27" t="n">
        <v>10.74188260779027</v>
      </c>
      <c r="Y16" s="27" t="n">
        <v>21.15238345001315</v>
      </c>
      <c r="Z16" s="27" t="n">
        <v>73.72351317156664</v>
      </c>
      <c r="AA16" s="27" t="n">
        <v>101.4526657274563</v>
      </c>
      <c r="AB16" s="27" t="n">
        <v>65.67588919462217</v>
      </c>
      <c r="AC16" s="27" t="n">
        <v>55.35642950771354</v>
      </c>
      <c r="AD16" s="27" t="n">
        <v>10.1917022920219</v>
      </c>
      <c r="AE16" s="27" t="n">
        <v>4.800943413376</v>
      </c>
      <c r="AF16" s="27" t="n">
        <v>1.415321523332036</v>
      </c>
      <c r="AG16" s="27" t="n">
        <v>14.56788772990054</v>
      </c>
      <c r="AH16" s="27" t="n">
        <v>39.0608510399045</v>
      </c>
      <c r="AI16" s="27" t="n">
        <v>0.734347829411229</v>
      </c>
      <c r="AJ16" s="27" t="n">
        <v>0.4541497819275009</v>
      </c>
      <c r="AK16" s="27" t="n">
        <v>1057.190540073299</v>
      </c>
      <c r="AL16" s="27" t="n">
        <v>151.2449443588657</v>
      </c>
      <c r="AM16" s="27" t="n">
        <v>34.63834989672524</v>
      </c>
      <c r="AN16" s="27" t="n">
        <v>8.336582638132576</v>
      </c>
      <c r="AO16" s="27" t="n">
        <v>19.60574928404188</v>
      </c>
      <c r="AP16" s="27" t="n">
        <v>7.18446129601626</v>
      </c>
      <c r="AQ16" s="27" t="n">
        <v>5.491426766181039</v>
      </c>
      <c r="AR16" s="27" t="n">
        <v>0.5608543999775282</v>
      </c>
      <c r="AS16" s="27" t="n">
        <v>20.98507532831926</v>
      </c>
      <c r="AT16" s="27" t="n">
        <v>34.09903749797002</v>
      </c>
      <c r="AU16" s="27" t="n">
        <v>4.843704907611608</v>
      </c>
      <c r="AV16" s="27" t="n">
        <v>2.04784726105082</v>
      </c>
      <c r="AW16" s="27" t="n">
        <v>16.86274703922314</v>
      </c>
      <c r="AX16" s="27" t="n">
        <v>0</v>
      </c>
      <c r="AY16" s="27" t="n">
        <v>3.62792435606235</v>
      </c>
      <c r="AZ16" s="27" t="n">
        <v>7.228846838159089</v>
      </c>
      <c r="BA16" s="27" t="n">
        <v>38.84704043921418</v>
      </c>
      <c r="BB16" s="27">
        <f>SUM(C16:BA16)</f>
        <v/>
      </c>
      <c r="BC16" s="27" t="n">
        <v>0</v>
      </c>
      <c r="BD16" s="27" t="n">
        <v>0</v>
      </c>
      <c r="BE16" s="27" t="n">
        <v>5077.166751112603</v>
      </c>
      <c r="BF16" s="27" t="n">
        <v>0</v>
      </c>
      <c r="BG16" s="27">
        <f>SUM(BC16:BF16)</f>
        <v/>
      </c>
      <c r="BH16" s="27">
        <f>BB16+BG16</f>
        <v/>
      </c>
    </row>
    <row r="17">
      <c r="A17" s="29" t="n">
        <v>4</v>
      </c>
      <c r="B17" s="30" t="inlineStr">
        <is>
          <t>Minério de ferro</t>
        </is>
      </c>
      <c r="C17" s="29" t="n">
        <v>0.1702651567871467</v>
      </c>
      <c r="D17" s="29" t="n">
        <v>0.1033110853807078</v>
      </c>
      <c r="E17" s="29" t="n">
        <v>2.543410970458497</v>
      </c>
      <c r="F17" s="29" t="n">
        <v>111.2028999712265</v>
      </c>
      <c r="G17" s="29" t="n">
        <v>4.045125601239636</v>
      </c>
      <c r="H17" s="29" t="n">
        <v>5.071587657480541</v>
      </c>
      <c r="I17" s="29" t="n">
        <v>0.373458128405358</v>
      </c>
      <c r="J17" s="29" t="n">
        <v>0.2336335949762244</v>
      </c>
      <c r="K17" s="29" t="n">
        <v>0.253255712202844</v>
      </c>
      <c r="L17" s="29" t="n">
        <v>0.3804401676642357</v>
      </c>
      <c r="M17" s="29" t="n">
        <v>0.1121232839782492</v>
      </c>
      <c r="N17" s="29" t="n">
        <v>0.6146784983976229</v>
      </c>
      <c r="O17" s="29" t="n">
        <v>0.09598741532944893</v>
      </c>
      <c r="P17" s="29" t="n">
        <v>0.8745839744180934</v>
      </c>
      <c r="Q17" s="29" t="n">
        <v>0.1094452699572195</v>
      </c>
      <c r="R17" s="29" t="n">
        <v>0.9177282836865179</v>
      </c>
      <c r="S17" s="29" t="n">
        <v>0.1923259056639931</v>
      </c>
      <c r="T17" s="29" t="n">
        <v>1.256179952301362</v>
      </c>
      <c r="U17" s="29" t="n">
        <v>0.4609572440416935</v>
      </c>
      <c r="V17" s="29" t="n">
        <v>0.5776717439294965</v>
      </c>
      <c r="W17" s="29" t="n">
        <v>0.3357749847398456</v>
      </c>
      <c r="X17" s="29" t="n">
        <v>0.3265130572422424</v>
      </c>
      <c r="Y17" s="29" t="n">
        <v>0.7054008933131203</v>
      </c>
      <c r="Z17" s="29" t="n">
        <v>20.51353962770085</v>
      </c>
      <c r="AA17" s="29" t="n">
        <v>1738.870248320454</v>
      </c>
      <c r="AB17" s="29" t="n">
        <v>0.3150448036537344</v>
      </c>
      <c r="AC17" s="29" t="n">
        <v>0.4966803467824408</v>
      </c>
      <c r="AD17" s="29" t="n">
        <v>0.983567079209124</v>
      </c>
      <c r="AE17" s="29" t="n">
        <v>0.7637428747798762</v>
      </c>
      <c r="AF17" s="29" t="n">
        <v>1.454190510785555</v>
      </c>
      <c r="AG17" s="29" t="n">
        <v>1.607010129173349</v>
      </c>
      <c r="AH17" s="29" t="n">
        <v>0.5621775026008236</v>
      </c>
      <c r="AI17" s="29" t="n">
        <v>0.1498962829786925</v>
      </c>
      <c r="AJ17" s="29" t="n">
        <v>0.240431247644393</v>
      </c>
      <c r="AK17" s="29" t="n">
        <v>2.097126046494551</v>
      </c>
      <c r="AL17" s="29" t="n">
        <v>4.073390679362898</v>
      </c>
      <c r="AM17" s="29" t="n">
        <v>9.808563473613852</v>
      </c>
      <c r="AN17" s="29" t="n">
        <v>4.401437871710014</v>
      </c>
      <c r="AO17" s="29" t="n">
        <v>6.350531112029297</v>
      </c>
      <c r="AP17" s="29" t="n">
        <v>6.040175105892119</v>
      </c>
      <c r="AQ17" s="29" t="n">
        <v>0.481692393040039</v>
      </c>
      <c r="AR17" s="29" t="n">
        <v>0.04268837464295473</v>
      </c>
      <c r="AS17" s="29" t="n">
        <v>0.615874557901265</v>
      </c>
      <c r="AT17" s="29" t="n">
        <v>8.611568525471681</v>
      </c>
      <c r="AU17" s="29" t="n">
        <v>1.381298279866331</v>
      </c>
      <c r="AV17" s="29" t="n">
        <v>0.5157622881718791</v>
      </c>
      <c r="AW17" s="29" t="n">
        <v>2.630541522923311</v>
      </c>
      <c r="AX17" s="29" t="n">
        <v>0</v>
      </c>
      <c r="AY17" s="29" t="n">
        <v>1.21017457005907</v>
      </c>
      <c r="AZ17" s="29" t="n">
        <v>1.347117503073282</v>
      </c>
      <c r="BA17" s="29" t="n">
        <v>5.376887483009404</v>
      </c>
      <c r="BB17" s="29">
        <f>SUM(C17:BA17)</f>
        <v/>
      </c>
      <c r="BC17" s="29" t="n">
        <v>0</v>
      </c>
      <c r="BD17" s="29" t="n">
        <v>0</v>
      </c>
      <c r="BE17" s="29" t="n">
        <v>5407.163581167187</v>
      </c>
      <c r="BF17" s="29" t="n">
        <v>0</v>
      </c>
      <c r="BG17" s="29">
        <f>SUM(BC17:BF17)</f>
        <v/>
      </c>
      <c r="BH17" s="29">
        <f>BB17+BG17</f>
        <v/>
      </c>
    </row>
    <row r="18">
      <c r="A18" s="27" t="n">
        <v>5</v>
      </c>
      <c r="B18" s="28" t="inlineStr">
        <is>
          <t>Outros da indústria extrativa</t>
        </is>
      </c>
      <c r="C18" s="27" t="n">
        <v>179.0757854826957</v>
      </c>
      <c r="D18" s="27" t="n">
        <v>109.0777366498006</v>
      </c>
      <c r="E18" s="27" t="n">
        <v>98.50566578153797</v>
      </c>
      <c r="F18" s="27" t="n">
        <v>1.898244105386822</v>
      </c>
      <c r="G18" s="27" t="n">
        <v>320.1558805325835</v>
      </c>
      <c r="H18" s="27" t="n">
        <v>113.9176454335265</v>
      </c>
      <c r="I18" s="27" t="n">
        <v>0.05129338123342891</v>
      </c>
      <c r="J18" s="27" t="n">
        <v>2.412317135066121</v>
      </c>
      <c r="K18" s="27" t="n">
        <v>0.2876008929016718</v>
      </c>
      <c r="L18" s="27" t="n">
        <v>2.425365616857613</v>
      </c>
      <c r="M18" s="27" t="n">
        <v>0.1361813674581367</v>
      </c>
      <c r="N18" s="27" t="n">
        <v>18.00483497908439</v>
      </c>
      <c r="O18" s="27" t="n">
        <v>1.250224693749448</v>
      </c>
      <c r="P18" s="27" t="n">
        <v>8.504392408708952</v>
      </c>
      <c r="Q18" s="27" t="n">
        <v>33.71020541660231</v>
      </c>
      <c r="R18" s="27" t="n">
        <v>1202.264855203756</v>
      </c>
      <c r="S18" s="27" t="n">
        <v>8.597356330847125</v>
      </c>
      <c r="T18" s="27" t="n">
        <v>1.647623954114312</v>
      </c>
      <c r="U18" s="27" t="n">
        <v>1.333011026706273</v>
      </c>
      <c r="V18" s="27" t="n">
        <v>9.011090837795052</v>
      </c>
      <c r="W18" s="27" t="n">
        <v>40.69350689220091</v>
      </c>
      <c r="X18" s="27" t="n">
        <v>12.91833614724035</v>
      </c>
      <c r="Y18" s="27" t="n">
        <v>7.176976958702643</v>
      </c>
      <c r="Z18" s="27" t="n">
        <v>1365.387690256975</v>
      </c>
      <c r="AA18" s="27" t="n">
        <v>1664.316546415889</v>
      </c>
      <c r="AB18" s="27" t="n">
        <v>2081.78059817813</v>
      </c>
      <c r="AC18" s="27" t="n">
        <v>8.264449222540584</v>
      </c>
      <c r="AD18" s="27" t="n">
        <v>11.32953234947846</v>
      </c>
      <c r="AE18" s="27" t="n">
        <v>25.81015624764097</v>
      </c>
      <c r="AF18" s="27" t="n">
        <v>1.237378880250752</v>
      </c>
      <c r="AG18" s="27" t="n">
        <v>9.511024057418398</v>
      </c>
      <c r="AH18" s="27" t="n">
        <v>29.33358379286139</v>
      </c>
      <c r="AI18" s="27" t="n">
        <v>2.558027141714122</v>
      </c>
      <c r="AJ18" s="27" t="n">
        <v>17.38922506242792</v>
      </c>
      <c r="AK18" s="27" t="n">
        <v>226.4524518475337</v>
      </c>
      <c r="AL18" s="27" t="n">
        <v>1918.640842272199</v>
      </c>
      <c r="AM18" s="27" t="n">
        <v>24.06838389360571</v>
      </c>
      <c r="AN18" s="27" t="n">
        <v>3.062167592116933</v>
      </c>
      <c r="AO18" s="27" t="n">
        <v>2.095827280309452</v>
      </c>
      <c r="AP18" s="27" t="n">
        <v>1.805439443521335</v>
      </c>
      <c r="AQ18" s="27" t="n">
        <v>54.73185176776354</v>
      </c>
      <c r="AR18" s="27" t="n">
        <v>0.1072319949700473</v>
      </c>
      <c r="AS18" s="27" t="n">
        <v>10.76728330790747</v>
      </c>
      <c r="AT18" s="27" t="n">
        <v>9.192542546858542</v>
      </c>
      <c r="AU18" s="27" t="n">
        <v>1.290681511882511</v>
      </c>
      <c r="AV18" s="27" t="n">
        <v>9.561860155383311</v>
      </c>
      <c r="AW18" s="27" t="n">
        <v>5.715643316800726</v>
      </c>
      <c r="AX18" s="27" t="n">
        <v>0</v>
      </c>
      <c r="AY18" s="27" t="n">
        <v>16.22565204547673</v>
      </c>
      <c r="AZ18" s="27" t="n">
        <v>5.313128559171872</v>
      </c>
      <c r="BA18" s="27" t="n">
        <v>14.90983754494932</v>
      </c>
      <c r="BB18" s="27">
        <f>SUM(C18:BA18)</f>
        <v/>
      </c>
      <c r="BC18" s="27" t="n">
        <v>0</v>
      </c>
      <c r="BD18" s="27" t="n">
        <v>0</v>
      </c>
      <c r="BE18" s="27" t="n">
        <v>783.160333284202</v>
      </c>
      <c r="BF18" s="27" t="n">
        <v>0</v>
      </c>
      <c r="BG18" s="27">
        <f>SUM(BC18:BF18)</f>
        <v/>
      </c>
      <c r="BH18" s="27">
        <f>BB18+BG18</f>
        <v/>
      </c>
    </row>
    <row r="19">
      <c r="A19" s="29" t="n">
        <v>6</v>
      </c>
      <c r="B19" s="30" t="inlineStr">
        <is>
          <t>Alimentos e Bebidas</t>
        </is>
      </c>
      <c r="C19" s="29" t="n">
        <v>366.6511550312952</v>
      </c>
      <c r="D19" s="29" t="n">
        <v>2936.917901229718</v>
      </c>
      <c r="E19" s="29" t="n">
        <v>117.490265415534</v>
      </c>
      <c r="F19" s="29" t="n">
        <v>14.65809262612709</v>
      </c>
      <c r="G19" s="29" t="n">
        <v>60.49866333233265</v>
      </c>
      <c r="H19" s="29" t="n">
        <v>20698.3803482195</v>
      </c>
      <c r="I19" s="29" t="n">
        <v>2.054941575405795</v>
      </c>
      <c r="J19" s="29" t="n">
        <v>24.97326325317724</v>
      </c>
      <c r="K19" s="29" t="n">
        <v>9.885262371305389</v>
      </c>
      <c r="L19" s="29" t="n">
        <v>1035.755461040754</v>
      </c>
      <c r="M19" s="29" t="n">
        <v>13.31776784602816</v>
      </c>
      <c r="N19" s="29" t="n">
        <v>181.7303337087703</v>
      </c>
      <c r="O19" s="29" t="n">
        <v>9.057742001692215</v>
      </c>
      <c r="P19" s="29" t="n">
        <v>1314.832311261729</v>
      </c>
      <c r="Q19" s="29" t="n">
        <v>553.2101293567569</v>
      </c>
      <c r="R19" s="29" t="n">
        <v>263.525515163772</v>
      </c>
      <c r="S19" s="29" t="n">
        <v>95.71573902329436</v>
      </c>
      <c r="T19" s="29" t="n">
        <v>190.8079246365456</v>
      </c>
      <c r="U19" s="29" t="n">
        <v>77.28531987522483</v>
      </c>
      <c r="V19" s="29" t="n">
        <v>803.5597275964346</v>
      </c>
      <c r="W19" s="29" t="n">
        <v>118.9738704707809</v>
      </c>
      <c r="X19" s="29" t="n">
        <v>451.8247497005695</v>
      </c>
      <c r="Y19" s="29" t="n">
        <v>54.32906439986753</v>
      </c>
      <c r="Z19" s="29" t="n">
        <v>30.85811002826761</v>
      </c>
      <c r="AA19" s="29" t="n">
        <v>56.24449930295571</v>
      </c>
      <c r="AB19" s="29" t="n">
        <v>16.59269015043943</v>
      </c>
      <c r="AC19" s="29" t="n">
        <v>53.0993402800727</v>
      </c>
      <c r="AD19" s="29" t="n">
        <v>79.84556568177277</v>
      </c>
      <c r="AE19" s="29" t="n">
        <v>17.63729133066336</v>
      </c>
      <c r="AF19" s="29" t="n">
        <v>15.56836036462981</v>
      </c>
      <c r="AG19" s="29" t="n">
        <v>22.08076460851294</v>
      </c>
      <c r="AH19" s="29" t="n">
        <v>16.28283465784039</v>
      </c>
      <c r="AI19" s="29" t="n">
        <v>7.735166709034786</v>
      </c>
      <c r="AJ19" s="29" t="n">
        <v>19.44284896558818</v>
      </c>
      <c r="AK19" s="29" t="n">
        <v>94.57075331011792</v>
      </c>
      <c r="AL19" s="29" t="n">
        <v>226.4173896709202</v>
      </c>
      <c r="AM19" s="29" t="n">
        <v>892.0153677227721</v>
      </c>
      <c r="AN19" s="29" t="n">
        <v>218.4703529383829</v>
      </c>
      <c r="AO19" s="29" t="n">
        <v>49.93163077816726</v>
      </c>
      <c r="AP19" s="29" t="n">
        <v>127.7833081962834</v>
      </c>
      <c r="AQ19" s="29" t="n">
        <v>14.25347705602845</v>
      </c>
      <c r="AR19" s="29" t="n">
        <v>10.16177022526693</v>
      </c>
      <c r="AS19" s="29" t="n">
        <v>13183.04188770559</v>
      </c>
      <c r="AT19" s="29" t="n">
        <v>109.6781930058808</v>
      </c>
      <c r="AU19" s="29" t="n">
        <v>112.8964374950358</v>
      </c>
      <c r="AV19" s="29" t="n">
        <v>441.0899566077702</v>
      </c>
      <c r="AW19" s="29" t="n">
        <v>359.321247364416</v>
      </c>
      <c r="AX19" s="29" t="n">
        <v>0</v>
      </c>
      <c r="AY19" s="29" t="n">
        <v>936.7825211681767</v>
      </c>
      <c r="AZ19" s="29" t="n">
        <v>595.611860197125</v>
      </c>
      <c r="BA19" s="29" t="n">
        <v>1081.846534974074</v>
      </c>
      <c r="BB19" s="29">
        <f>SUM(C19:BA19)</f>
        <v/>
      </c>
      <c r="BC19" s="29" t="n">
        <v>0</v>
      </c>
      <c r="BD19" s="29" t="n">
        <v>0</v>
      </c>
      <c r="BE19" s="29" t="n">
        <v>91461.17647314623</v>
      </c>
      <c r="BF19" s="29" t="n">
        <v>0</v>
      </c>
      <c r="BG19" s="29">
        <f>SUM(BC19:BF19)</f>
        <v/>
      </c>
      <c r="BH19" s="29">
        <f>BB19+BG19</f>
        <v/>
      </c>
    </row>
    <row r="20">
      <c r="A20" s="27" t="n">
        <v>7</v>
      </c>
      <c r="B20" s="28" t="inlineStr">
        <is>
          <t>Produtos do fumo</t>
        </is>
      </c>
      <c r="C20" s="27" t="n">
        <v>0.6261638505954354</v>
      </c>
      <c r="D20" s="27" t="n">
        <v>0.03100927536111886</v>
      </c>
      <c r="E20" s="27" t="n">
        <v>0.6246850462425636</v>
      </c>
      <c r="F20" s="27" t="n">
        <v>0.08276533412781223</v>
      </c>
      <c r="G20" s="27" t="n">
        <v>0.3686580525756021</v>
      </c>
      <c r="H20" s="27" t="n">
        <v>1.454651939056412</v>
      </c>
      <c r="I20" s="27" t="n">
        <v>704.1599465859032</v>
      </c>
      <c r="J20" s="27" t="n">
        <v>9.559469169506343</v>
      </c>
      <c r="K20" s="27" t="n">
        <v>16.97920405433057</v>
      </c>
      <c r="L20" s="27" t="n">
        <v>5.308160728563006</v>
      </c>
      <c r="M20" s="27" t="n">
        <v>0.02397554206605384</v>
      </c>
      <c r="N20" s="27" t="n">
        <v>0.2643253013492861</v>
      </c>
      <c r="O20" s="27" t="n">
        <v>0.02045871158073223</v>
      </c>
      <c r="P20" s="27" t="n">
        <v>0.186964555424977</v>
      </c>
      <c r="Q20" s="27" t="n">
        <v>0.02334710461248016</v>
      </c>
      <c r="R20" s="27" t="n">
        <v>0.195972896627498</v>
      </c>
      <c r="S20" s="27" t="n">
        <v>0.04112542620972</v>
      </c>
      <c r="T20" s="27" t="n">
        <v>0.2865263100398674</v>
      </c>
      <c r="U20" s="27" t="n">
        <v>0.1024216562704247</v>
      </c>
      <c r="V20" s="27" t="n">
        <v>0.1235246837725435</v>
      </c>
      <c r="W20" s="27" t="n">
        <v>0.07179560167329732</v>
      </c>
      <c r="X20" s="27" t="n">
        <v>0.1196441545829005</v>
      </c>
      <c r="Y20" s="27" t="n">
        <v>0.7933535640081844</v>
      </c>
      <c r="Z20" s="27" t="n">
        <v>0.1783300569575761</v>
      </c>
      <c r="AA20" s="27" t="n">
        <v>0.1413952420843087</v>
      </c>
      <c r="AB20" s="27" t="n">
        <v>0.06338800259388447</v>
      </c>
      <c r="AC20" s="27" t="n">
        <v>0.140115197727655</v>
      </c>
      <c r="AD20" s="27" t="n">
        <v>0.2174564403523737</v>
      </c>
      <c r="AE20" s="27" t="n">
        <v>0.1704510341685415</v>
      </c>
      <c r="AF20" s="27" t="n">
        <v>0.3292824011707261</v>
      </c>
      <c r="AG20" s="27" t="n">
        <v>0.3488444529901475</v>
      </c>
      <c r="AH20" s="27" t="n">
        <v>1.580100950200477</v>
      </c>
      <c r="AI20" s="27" t="n">
        <v>0.09692626572452484</v>
      </c>
      <c r="AJ20" s="27" t="n">
        <v>1.852231488422762</v>
      </c>
      <c r="AK20" s="27" t="n">
        <v>0.4645749516829778</v>
      </c>
      <c r="AL20" s="27" t="n">
        <v>1.526961163160451</v>
      </c>
      <c r="AM20" s="27" t="n">
        <v>2.194362435268158</v>
      </c>
      <c r="AN20" s="27" t="n">
        <v>0.9946349805696536</v>
      </c>
      <c r="AO20" s="27" t="n">
        <v>1.348002540562673</v>
      </c>
      <c r="AP20" s="27" t="n">
        <v>1.288663073100212</v>
      </c>
      <c r="AQ20" s="27" t="n">
        <v>0.09906776020100094</v>
      </c>
      <c r="AR20" s="27" t="n">
        <v>0.04537481024300524</v>
      </c>
      <c r="AS20" s="27" t="n">
        <v>0.6197464740025814</v>
      </c>
      <c r="AT20" s="27" t="n">
        <v>1.487607030397734</v>
      </c>
      <c r="AU20" s="27" t="n">
        <v>0.2943082709090377</v>
      </c>
      <c r="AV20" s="27" t="n">
        <v>0.1297882848628551</v>
      </c>
      <c r="AW20" s="27" t="n">
        <v>1.324641746959259</v>
      </c>
      <c r="AX20" s="27" t="n">
        <v>0</v>
      </c>
      <c r="AY20" s="27" t="n">
        <v>0.3229801503399918</v>
      </c>
      <c r="AZ20" s="27" t="n">
        <v>0.3149023735684433</v>
      </c>
      <c r="BA20" s="27" t="n">
        <v>1.16900059611196</v>
      </c>
      <c r="BB20" s="27">
        <f>SUM(C20:BA20)</f>
        <v/>
      </c>
      <c r="BC20" s="27" t="n">
        <v>0</v>
      </c>
      <c r="BD20" s="27" t="n">
        <v>0</v>
      </c>
      <c r="BE20" s="27" t="n">
        <v>3954.098108298652</v>
      </c>
      <c r="BF20" s="27" t="n">
        <v>0</v>
      </c>
      <c r="BG20" s="27">
        <f>SUM(BC20:BF20)</f>
        <v/>
      </c>
      <c r="BH20" s="27">
        <f>BB20+BG20</f>
        <v/>
      </c>
    </row>
    <row r="21">
      <c r="A21" s="29" t="n">
        <v>8</v>
      </c>
      <c r="B21" s="30" t="inlineStr">
        <is>
          <t>Têxteis</t>
        </is>
      </c>
      <c r="C21" s="29" t="n">
        <v>184.4319212082339</v>
      </c>
      <c r="D21" s="29" t="n">
        <v>4.520890682188166</v>
      </c>
      <c r="E21" s="29" t="n">
        <v>31.03271471136059</v>
      </c>
      <c r="F21" s="29" t="n">
        <v>1.026465730116504</v>
      </c>
      <c r="G21" s="29" t="n">
        <v>81.07851859367179</v>
      </c>
      <c r="H21" s="29" t="n">
        <v>125.1144811429372</v>
      </c>
      <c r="I21" s="29" t="n">
        <v>0.5635532409135964</v>
      </c>
      <c r="J21" s="29" t="n">
        <v>5551.072652603979</v>
      </c>
      <c r="K21" s="29" t="n">
        <v>6584.179227876397</v>
      </c>
      <c r="L21" s="29" t="n">
        <v>1512.928400949018</v>
      </c>
      <c r="M21" s="29" t="n">
        <v>4.886188714346849</v>
      </c>
      <c r="N21" s="29" t="n">
        <v>47.42957850596257</v>
      </c>
      <c r="O21" s="29" t="n">
        <v>1.855117632021384</v>
      </c>
      <c r="P21" s="29" t="n">
        <v>0.8609331173929136</v>
      </c>
      <c r="Q21" s="29" t="n">
        <v>0.3516657195978267</v>
      </c>
      <c r="R21" s="29" t="n">
        <v>3.788755361429061</v>
      </c>
      <c r="S21" s="29" t="n">
        <v>13.89038817582069</v>
      </c>
      <c r="T21" s="29" t="n">
        <v>36.90365014168049</v>
      </c>
      <c r="U21" s="29" t="n">
        <v>2.204172367417574</v>
      </c>
      <c r="V21" s="29" t="n">
        <v>8.128472885288042</v>
      </c>
      <c r="W21" s="29" t="n">
        <v>6.496099526068456</v>
      </c>
      <c r="X21" s="29" t="n">
        <v>20.45482328612878</v>
      </c>
      <c r="Y21" s="29" t="n">
        <v>310.2421500016025</v>
      </c>
      <c r="Z21" s="29" t="n">
        <v>19.28714041873463</v>
      </c>
      <c r="AA21" s="29" t="n">
        <v>2.468714600745717</v>
      </c>
      <c r="AB21" s="29" t="n">
        <v>1.619730192453542</v>
      </c>
      <c r="AC21" s="29" t="n">
        <v>20.70804688786603</v>
      </c>
      <c r="AD21" s="29" t="n">
        <v>9.921307513399618</v>
      </c>
      <c r="AE21" s="29" t="n">
        <v>20.86537202107482</v>
      </c>
      <c r="AF21" s="29" t="n">
        <v>13.50232732815184</v>
      </c>
      <c r="AG21" s="29" t="n">
        <v>47.31947101126006</v>
      </c>
      <c r="AH21" s="29" t="n">
        <v>440.8980223205429</v>
      </c>
      <c r="AI21" s="29" t="n">
        <v>20.79479199604004</v>
      </c>
      <c r="AJ21" s="29" t="n">
        <v>547.8966570927859</v>
      </c>
      <c r="AK21" s="29" t="n">
        <v>12.86954443999462</v>
      </c>
      <c r="AL21" s="29" t="n">
        <v>255.0394691318768</v>
      </c>
      <c r="AM21" s="29" t="n">
        <v>95.86206020484377</v>
      </c>
      <c r="AN21" s="29" t="n">
        <v>44.25463876448172</v>
      </c>
      <c r="AO21" s="29" t="n">
        <v>12.1766738381236</v>
      </c>
      <c r="AP21" s="29" t="n">
        <v>11.14144332573054</v>
      </c>
      <c r="AQ21" s="29" t="n">
        <v>3.240752943179209</v>
      </c>
      <c r="AR21" s="29" t="n">
        <v>10.92377443696447</v>
      </c>
      <c r="AS21" s="29" t="n">
        <v>146.7185230958414</v>
      </c>
      <c r="AT21" s="29" t="n">
        <v>24.70588467976925</v>
      </c>
      <c r="AU21" s="29" t="n">
        <v>6.071969728526466</v>
      </c>
      <c r="AV21" s="29" t="n">
        <v>8.94017058932887</v>
      </c>
      <c r="AW21" s="29" t="n">
        <v>232.870723500295</v>
      </c>
      <c r="AX21" s="29" t="n">
        <v>0</v>
      </c>
      <c r="AY21" s="29" t="n">
        <v>22.40630734138282</v>
      </c>
      <c r="AZ21" s="29" t="n">
        <v>11.88940594258758</v>
      </c>
      <c r="BA21" s="29" t="n">
        <v>23.63941995952998</v>
      </c>
      <c r="BB21" s="29">
        <f>SUM(C21:BA21)</f>
        <v/>
      </c>
      <c r="BC21" s="29" t="n">
        <v>0</v>
      </c>
      <c r="BD21" s="29" t="n">
        <v>0</v>
      </c>
      <c r="BE21" s="29" t="n">
        <v>7797.242604637752</v>
      </c>
      <c r="BF21" s="29" t="n">
        <v>0</v>
      </c>
      <c r="BG21" s="29">
        <f>SUM(BC21:BF21)</f>
        <v/>
      </c>
      <c r="BH21" s="29">
        <f>BB21+BG21</f>
        <v/>
      </c>
    </row>
    <row r="22">
      <c r="A22" s="27" t="n">
        <v>9</v>
      </c>
      <c r="B22" s="28" t="inlineStr">
        <is>
          <t>Artigos do vestuário e acessórios</t>
        </is>
      </c>
      <c r="C22" s="27" t="n">
        <v>7.12950435172072</v>
      </c>
      <c r="D22" s="27" t="n">
        <v>0.4869646458730287</v>
      </c>
      <c r="E22" s="27" t="n">
        <v>23.16070538937078</v>
      </c>
      <c r="F22" s="27" t="n">
        <v>1.154588014973482</v>
      </c>
      <c r="G22" s="27" t="n">
        <v>3.654895235691728</v>
      </c>
      <c r="H22" s="27" t="n">
        <v>12.30560069557169</v>
      </c>
      <c r="I22" s="27" t="n">
        <v>0.3816744067423736</v>
      </c>
      <c r="J22" s="27" t="n">
        <v>76.99286872662253</v>
      </c>
      <c r="K22" s="27" t="n">
        <v>886.0368525781287</v>
      </c>
      <c r="L22" s="27" t="n">
        <v>54.12782536585873</v>
      </c>
      <c r="M22" s="27" t="n">
        <v>0.3274457486363005</v>
      </c>
      <c r="N22" s="27" t="n">
        <v>2.206121368431015</v>
      </c>
      <c r="O22" s="27" t="n">
        <v>0.3771775671220187</v>
      </c>
      <c r="P22" s="27" t="n">
        <v>0.9828987814007119</v>
      </c>
      <c r="Q22" s="27" t="n">
        <v>0.2168197716265707</v>
      </c>
      <c r="R22" s="27" t="n">
        <v>1.101334348347598</v>
      </c>
      <c r="S22" s="27" t="n">
        <v>0.3501553397559062</v>
      </c>
      <c r="T22" s="27" t="n">
        <v>1.67460003484725</v>
      </c>
      <c r="U22" s="27" t="n">
        <v>1.875210787149461</v>
      </c>
      <c r="V22" s="27" t="n">
        <v>0.6677248787824802</v>
      </c>
      <c r="W22" s="27" t="n">
        <v>0.7094558462597936</v>
      </c>
      <c r="X22" s="27" t="n">
        <v>0.7683198134174427</v>
      </c>
      <c r="Y22" s="27" t="n">
        <v>5.192911341647628</v>
      </c>
      <c r="Z22" s="27" t="n">
        <v>6.632345653864881</v>
      </c>
      <c r="AA22" s="27" t="n">
        <v>4.77442508706111</v>
      </c>
      <c r="AB22" s="27" t="n">
        <v>0.7880473638270137</v>
      </c>
      <c r="AC22" s="27" t="n">
        <v>17.2728135208091</v>
      </c>
      <c r="AD22" s="27" t="n">
        <v>8.534711928374255</v>
      </c>
      <c r="AE22" s="27" t="n">
        <v>1.873123420211708</v>
      </c>
      <c r="AF22" s="27" t="n">
        <v>1.946273069269919</v>
      </c>
      <c r="AG22" s="27" t="n">
        <v>2.04250610677438</v>
      </c>
      <c r="AH22" s="27" t="n">
        <v>9.683616778777179</v>
      </c>
      <c r="AI22" s="27" t="n">
        <v>0.9104090966032983</v>
      </c>
      <c r="AJ22" s="27" t="n">
        <v>10.84640018029489</v>
      </c>
      <c r="AK22" s="27" t="n">
        <v>63.92796780032683</v>
      </c>
      <c r="AL22" s="27" t="n">
        <v>25.1767884285182</v>
      </c>
      <c r="AM22" s="27" t="n">
        <v>96.8248100560259</v>
      </c>
      <c r="AN22" s="27" t="n">
        <v>155.1937309222908</v>
      </c>
      <c r="AO22" s="27" t="n">
        <v>55.71337119782038</v>
      </c>
      <c r="AP22" s="27" t="n">
        <v>175.1274738953713</v>
      </c>
      <c r="AQ22" s="27" t="n">
        <v>9.948506921555168</v>
      </c>
      <c r="AR22" s="27" t="n">
        <v>0.3345717978164376</v>
      </c>
      <c r="AS22" s="27" t="n">
        <v>71.43198781070694</v>
      </c>
      <c r="AT22" s="27" t="n">
        <v>122.9618038310512</v>
      </c>
      <c r="AU22" s="27" t="n">
        <v>1.999261505019361</v>
      </c>
      <c r="AV22" s="27" t="n">
        <v>11.07893096511685</v>
      </c>
      <c r="AW22" s="27" t="n">
        <v>423.4471878648945</v>
      </c>
      <c r="AX22" s="27" t="n">
        <v>0</v>
      </c>
      <c r="AY22" s="27" t="n">
        <v>247.5090529379028</v>
      </c>
      <c r="AZ22" s="27" t="n">
        <v>23.5833016564168</v>
      </c>
      <c r="BA22" s="27" t="n">
        <v>182.5716682324179</v>
      </c>
      <c r="BB22" s="27">
        <f>SUM(C22:BA22)</f>
        <v/>
      </c>
      <c r="BC22" s="27" t="n">
        <v>0</v>
      </c>
      <c r="BD22" s="27" t="n">
        <v>0</v>
      </c>
      <c r="BE22" s="27" t="n">
        <v>19225.67857594677</v>
      </c>
      <c r="BF22" s="27" t="n">
        <v>0</v>
      </c>
      <c r="BG22" s="27">
        <f>SUM(BC22:BF22)</f>
        <v/>
      </c>
      <c r="BH22" s="27">
        <f>BB22+BG22</f>
        <v/>
      </c>
    </row>
    <row r="23">
      <c r="A23" s="29" t="n">
        <v>10</v>
      </c>
      <c r="B23" s="30" t="inlineStr">
        <is>
          <t>Artefatos de couro e calçados</t>
        </is>
      </c>
      <c r="C23" s="29" t="n">
        <v>0.7030347298962988</v>
      </c>
      <c r="D23" s="29" t="n">
        <v>1.107525907080684</v>
      </c>
      <c r="E23" s="29" t="n">
        <v>3.237387444950243</v>
      </c>
      <c r="F23" s="29" t="n">
        <v>0.843391763900423</v>
      </c>
      <c r="G23" s="29" t="n">
        <v>4.386616475910026</v>
      </c>
      <c r="H23" s="29" t="n">
        <v>14.32253146448809</v>
      </c>
      <c r="I23" s="29" t="n">
        <v>0.3356614615536035</v>
      </c>
      <c r="J23" s="29" t="n">
        <v>2.146575530925531</v>
      </c>
      <c r="K23" s="29" t="n">
        <v>9.785836395187605</v>
      </c>
      <c r="L23" s="29" t="n">
        <v>2699.420742876096</v>
      </c>
      <c r="M23" s="29" t="n">
        <v>0.8607087595888183</v>
      </c>
      <c r="N23" s="29" t="n">
        <v>33.78545111444549</v>
      </c>
      <c r="O23" s="29" t="n">
        <v>0.6566178931866082</v>
      </c>
      <c r="P23" s="29" t="n">
        <v>1.176186573582717</v>
      </c>
      <c r="Q23" s="29" t="n">
        <v>0.4256692227010088</v>
      </c>
      <c r="R23" s="29" t="n">
        <v>1.490751508785913</v>
      </c>
      <c r="S23" s="29" t="n">
        <v>0.9654431028609155</v>
      </c>
      <c r="T23" s="29" t="n">
        <v>2.306323123691492</v>
      </c>
      <c r="U23" s="29" t="n">
        <v>1.286942796679083</v>
      </c>
      <c r="V23" s="29" t="n">
        <v>2.393977413703481</v>
      </c>
      <c r="W23" s="29" t="n">
        <v>1.651010326351096</v>
      </c>
      <c r="X23" s="29" t="n">
        <v>4.759519663818423</v>
      </c>
      <c r="Y23" s="29" t="n">
        <v>2.734494624632274</v>
      </c>
      <c r="Z23" s="29" t="n">
        <v>1.639365855945995</v>
      </c>
      <c r="AA23" s="29" t="n">
        <v>2.016481813110529</v>
      </c>
      <c r="AB23" s="29" t="n">
        <v>0.4356872404675504</v>
      </c>
      <c r="AC23" s="29" t="n">
        <v>8.483578800225597</v>
      </c>
      <c r="AD23" s="29" t="n">
        <v>3.758934166123</v>
      </c>
      <c r="AE23" s="29" t="n">
        <v>0.8925290785853293</v>
      </c>
      <c r="AF23" s="29" t="n">
        <v>15.7090938031062</v>
      </c>
      <c r="AG23" s="29" t="n">
        <v>2.338310348793557</v>
      </c>
      <c r="AH23" s="29" t="n">
        <v>3.354195864231928</v>
      </c>
      <c r="AI23" s="29" t="n">
        <v>0.1810502958058167</v>
      </c>
      <c r="AJ23" s="29" t="n">
        <v>4.604305658609834</v>
      </c>
      <c r="AK23" s="29" t="n">
        <v>27.29747620862408</v>
      </c>
      <c r="AL23" s="29" t="n">
        <v>14.13378879496438</v>
      </c>
      <c r="AM23" s="29" t="n">
        <v>13.00541469469111</v>
      </c>
      <c r="AN23" s="29" t="n">
        <v>5.650828687779201</v>
      </c>
      <c r="AO23" s="29" t="n">
        <v>14.02776256791569</v>
      </c>
      <c r="AP23" s="29" t="n">
        <v>6.09767728939832</v>
      </c>
      <c r="AQ23" s="29" t="n">
        <v>0.6764489495535118</v>
      </c>
      <c r="AR23" s="29" t="n">
        <v>0.06924829106685607</v>
      </c>
      <c r="AS23" s="29" t="n">
        <v>4.364991498121689</v>
      </c>
      <c r="AT23" s="29" t="n">
        <v>21.03818336915494</v>
      </c>
      <c r="AU23" s="29" t="n">
        <v>1.344426705369911</v>
      </c>
      <c r="AV23" s="29" t="n">
        <v>0.840586891758583</v>
      </c>
      <c r="AW23" s="29" t="n">
        <v>6.588878302596258</v>
      </c>
      <c r="AX23" s="29" t="n">
        <v>0</v>
      </c>
      <c r="AY23" s="29" t="n">
        <v>3.868444252948064</v>
      </c>
      <c r="AZ23" s="29" t="n">
        <v>2.62760531327162</v>
      </c>
      <c r="BA23" s="29" t="n">
        <v>13.27501669352688</v>
      </c>
      <c r="BB23" s="29">
        <f>SUM(C23:BA23)</f>
        <v/>
      </c>
      <c r="BC23" s="29" t="n">
        <v>0</v>
      </c>
      <c r="BD23" s="29" t="n">
        <v>0</v>
      </c>
      <c r="BE23" s="29" t="n">
        <v>10849.76309240083</v>
      </c>
      <c r="BF23" s="29" t="n">
        <v>0</v>
      </c>
      <c r="BG23" s="29">
        <f>SUM(BC23:BF23)</f>
        <v/>
      </c>
      <c r="BH23" s="29">
        <f>BB23+BG23</f>
        <v/>
      </c>
    </row>
    <row r="24">
      <c r="A24" s="28" t="inlineStr">
        <is>
          <t>Produtos de madeira</t>
        </is>
      </c>
      <c r="B24" s="28" t="inlineStr">
        <is>
          <t>exclusive móveis</t>
        </is>
      </c>
      <c r="C24" s="27" t="n">
        <v>93.95213953381719</v>
      </c>
      <c r="D24" s="27" t="n">
        <v>72.29917146443081</v>
      </c>
      <c r="E24" s="27" t="n">
        <v>1.794256157557689</v>
      </c>
      <c r="F24" s="27" t="n">
        <v>0.6373366272474592</v>
      </c>
      <c r="G24" s="27" t="n">
        <v>2.260267456234643</v>
      </c>
      <c r="H24" s="27" t="n">
        <v>122.0801953977894</v>
      </c>
      <c r="I24" s="27" t="n">
        <v>0.3061108358943548</v>
      </c>
      <c r="J24" s="27" t="n">
        <v>11.86036541572891</v>
      </c>
      <c r="K24" s="27" t="n">
        <v>3.125905424230432</v>
      </c>
      <c r="L24" s="27" t="n">
        <v>1.17320993572129</v>
      </c>
      <c r="M24" s="27" t="n">
        <v>1451.640559464578</v>
      </c>
      <c r="N24" s="27" t="n">
        <v>124.13877950862</v>
      </c>
      <c r="O24" s="27" t="n">
        <v>1.178665049038484</v>
      </c>
      <c r="P24" s="27" t="n">
        <v>0.6303458013346916</v>
      </c>
      <c r="Q24" s="27" t="n">
        <v>0.2645260168017393</v>
      </c>
      <c r="R24" s="27" t="n">
        <v>7.177142019690963</v>
      </c>
      <c r="S24" s="27" t="n">
        <v>0.5845307773034676</v>
      </c>
      <c r="T24" s="27" t="n">
        <v>1.035906856158577</v>
      </c>
      <c r="U24" s="27" t="n">
        <v>3.383983351215214</v>
      </c>
      <c r="V24" s="27" t="n">
        <v>1.7500106382442</v>
      </c>
      <c r="W24" s="27" t="n">
        <v>1.22570515356115</v>
      </c>
      <c r="X24" s="27" t="n">
        <v>11.43767743136696</v>
      </c>
      <c r="Y24" s="27" t="n">
        <v>8.078961953748417</v>
      </c>
      <c r="Z24" s="27" t="n">
        <v>12.48729006056317</v>
      </c>
      <c r="AA24" s="27" t="n">
        <v>9.261081123710671</v>
      </c>
      <c r="AB24" s="27" t="n">
        <v>2.482986622422054</v>
      </c>
      <c r="AC24" s="27" t="n">
        <v>61.43369164250696</v>
      </c>
      <c r="AD24" s="27" t="n">
        <v>87.68809749426691</v>
      </c>
      <c r="AE24" s="27" t="n">
        <v>3.997947614090928</v>
      </c>
      <c r="AF24" s="27" t="n">
        <v>2.493538511702802</v>
      </c>
      <c r="AG24" s="27" t="n">
        <v>50.60556396543773</v>
      </c>
      <c r="AH24" s="27" t="n">
        <v>25.58674854565372</v>
      </c>
      <c r="AI24" s="27" t="n">
        <v>29.90866000389284</v>
      </c>
      <c r="AJ24" s="27" t="n">
        <v>1823.204248456725</v>
      </c>
      <c r="AK24" s="27" t="n">
        <v>99.64631173258371</v>
      </c>
      <c r="AL24" s="27" t="n">
        <v>1594.808614609068</v>
      </c>
      <c r="AM24" s="27" t="n">
        <v>460.0288616981787</v>
      </c>
      <c r="AN24" s="27" t="n">
        <v>24.45608822775697</v>
      </c>
      <c r="AO24" s="27" t="n">
        <v>55.93839845158742</v>
      </c>
      <c r="AP24" s="27" t="n">
        <v>9.158250189074773</v>
      </c>
      <c r="AQ24" s="27" t="n">
        <v>91.26491109291833</v>
      </c>
      <c r="AR24" s="27" t="n">
        <v>0.9593726567926903</v>
      </c>
      <c r="AS24" s="27" t="n">
        <v>7.999774354842526</v>
      </c>
      <c r="AT24" s="27" t="n">
        <v>16.67952058840539</v>
      </c>
      <c r="AU24" s="27" t="n">
        <v>6.261460487790787</v>
      </c>
      <c r="AV24" s="27" t="n">
        <v>3.337160748062035</v>
      </c>
      <c r="AW24" s="27" t="n">
        <v>96.87689488493675</v>
      </c>
      <c r="AX24" s="27" t="n">
        <v>0</v>
      </c>
      <c r="AY24" s="27" t="n">
        <v>17.53631433686675</v>
      </c>
      <c r="AZ24" s="27" t="n">
        <v>2.24925389808039</v>
      </c>
      <c r="BA24" s="27" t="n">
        <v>21.99824678700951</v>
      </c>
      <c r="BB24" s="27">
        <f>SUM(C24:BA24)</f>
        <v/>
      </c>
      <c r="BC24" s="27" t="n">
        <v>0</v>
      </c>
      <c r="BD24" s="27" t="n">
        <v>0</v>
      </c>
      <c r="BE24" s="27" t="n">
        <v>3235.569697873482</v>
      </c>
      <c r="BF24" s="27" t="n">
        <v>0</v>
      </c>
      <c r="BG24" s="27">
        <f>SUM(BC24:BF24)</f>
        <v/>
      </c>
      <c r="BH24" s="27">
        <f>BB24+BG24</f>
        <v/>
      </c>
    </row>
    <row r="25">
      <c r="A25" s="29" t="n">
        <v>12</v>
      </c>
      <c r="B25" s="30" t="inlineStr">
        <is>
          <t>Celulose e produtos de papel</t>
        </is>
      </c>
      <c r="C25" s="29" t="n">
        <v>113.7673193516844</v>
      </c>
      <c r="D25" s="29" t="n">
        <v>48.44167702153557</v>
      </c>
      <c r="E25" s="29" t="n">
        <v>17.53289368301318</v>
      </c>
      <c r="F25" s="29" t="n">
        <v>24.9851340446576</v>
      </c>
      <c r="G25" s="29" t="n">
        <v>11.50494099002772</v>
      </c>
      <c r="H25" s="29" t="n">
        <v>1861.438962741919</v>
      </c>
      <c r="I25" s="29" t="n">
        <v>394.0143126834517</v>
      </c>
      <c r="J25" s="29" t="n">
        <v>333.3806091721054</v>
      </c>
      <c r="K25" s="29" t="n">
        <v>300.6384068129735</v>
      </c>
      <c r="L25" s="29" t="n">
        <v>314.781860957967</v>
      </c>
      <c r="M25" s="29" t="n">
        <v>296.7940379350337</v>
      </c>
      <c r="N25" s="29" t="n">
        <v>5615.650362151086</v>
      </c>
      <c r="O25" s="29" t="n">
        <v>589.2630370600804</v>
      </c>
      <c r="P25" s="29" t="n">
        <v>44.26802247005794</v>
      </c>
      <c r="Q25" s="29" t="n">
        <v>10.22117967635145</v>
      </c>
      <c r="R25" s="29" t="n">
        <v>41.78506743243518</v>
      </c>
      <c r="S25" s="29" t="n">
        <v>12.3855189632301</v>
      </c>
      <c r="T25" s="29" t="n">
        <v>250.3847202333336</v>
      </c>
      <c r="U25" s="29" t="n">
        <v>40.45330400377495</v>
      </c>
      <c r="V25" s="29" t="n">
        <v>496.4796435197776</v>
      </c>
      <c r="W25" s="29" t="n">
        <v>6.364731837530108</v>
      </c>
      <c r="X25" s="29" t="n">
        <v>28.05836536737034</v>
      </c>
      <c r="Y25" s="29" t="n">
        <v>696.69878957279</v>
      </c>
      <c r="Z25" s="29" t="n">
        <v>582.0095827848982</v>
      </c>
      <c r="AA25" s="29" t="n">
        <v>28.3485622168377</v>
      </c>
      <c r="AB25" s="29" t="n">
        <v>7.45918842638506</v>
      </c>
      <c r="AC25" s="29" t="n">
        <v>348.1978471833938</v>
      </c>
      <c r="AD25" s="29" t="n">
        <v>83.68730283613428</v>
      </c>
      <c r="AE25" s="29" t="n">
        <v>138.9749781213696</v>
      </c>
      <c r="AF25" s="29" t="n">
        <v>719.1734643236066</v>
      </c>
      <c r="AG25" s="29" t="n">
        <v>93.58278973064853</v>
      </c>
      <c r="AH25" s="29" t="n">
        <v>271.9010491589552</v>
      </c>
      <c r="AI25" s="29" t="n">
        <v>14.02749195233267</v>
      </c>
      <c r="AJ25" s="29" t="n">
        <v>238.197697562962</v>
      </c>
      <c r="AK25" s="29" t="n">
        <v>53.88661047661402</v>
      </c>
      <c r="AL25" s="29" t="n">
        <v>209.9730904497671</v>
      </c>
      <c r="AM25" s="29" t="n">
        <v>1585.069417987293</v>
      </c>
      <c r="AN25" s="29" t="n">
        <v>180.2395541054676</v>
      </c>
      <c r="AO25" s="29" t="n">
        <v>891.8486473263304</v>
      </c>
      <c r="AP25" s="29" t="n">
        <v>425.0454837999479</v>
      </c>
      <c r="AQ25" s="29" t="n">
        <v>76.34317287438512</v>
      </c>
      <c r="AR25" s="29" t="n">
        <v>14.63014815596372</v>
      </c>
      <c r="AS25" s="29" t="n">
        <v>341.9658646746093</v>
      </c>
      <c r="AT25" s="29" t="n">
        <v>1334.320127917745</v>
      </c>
      <c r="AU25" s="29" t="n">
        <v>135.6903089898099</v>
      </c>
      <c r="AV25" s="29" t="n">
        <v>281.2684978114523</v>
      </c>
      <c r="AW25" s="29" t="n">
        <v>299.4834939649601</v>
      </c>
      <c r="AX25" s="29" t="n">
        <v>0</v>
      </c>
      <c r="AY25" s="29" t="n">
        <v>217.0999722667649</v>
      </c>
      <c r="AZ25" s="29" t="n">
        <v>41.42426048367937</v>
      </c>
      <c r="BA25" s="29" t="n">
        <v>293.2934841306037</v>
      </c>
      <c r="BB25" s="29">
        <f>SUM(C25:BA25)</f>
        <v/>
      </c>
      <c r="BC25" s="29" t="n">
        <v>0</v>
      </c>
      <c r="BD25" s="29" t="n">
        <v>0</v>
      </c>
      <c r="BE25" s="29" t="n">
        <v>6501.395508765733</v>
      </c>
      <c r="BF25" s="29" t="n">
        <v>0</v>
      </c>
      <c r="BG25" s="29">
        <f>SUM(BC25:BF25)</f>
        <v/>
      </c>
      <c r="BH25" s="29">
        <f>BB25+BG25</f>
        <v/>
      </c>
    </row>
    <row r="26">
      <c r="A26" s="27" t="n">
        <v>13</v>
      </c>
      <c r="B26" s="28" t="inlineStr">
        <is>
          <t>Jornais revistas discos</t>
        </is>
      </c>
      <c r="C26" s="27" t="n">
        <v>3.262652285207374</v>
      </c>
      <c r="D26" s="27" t="n">
        <v>1.108534743269814</v>
      </c>
      <c r="E26" s="27" t="n">
        <v>3.075658666166691</v>
      </c>
      <c r="F26" s="27" t="n">
        <v>4.431463842890943</v>
      </c>
      <c r="G26" s="27" t="n">
        <v>3.360938724907025</v>
      </c>
      <c r="H26" s="27" t="n">
        <v>184.5360161926521</v>
      </c>
      <c r="I26" s="27" t="n">
        <v>5.508538153086692</v>
      </c>
      <c r="J26" s="27" t="n">
        <v>12.95636419497008</v>
      </c>
      <c r="K26" s="27" t="n">
        <v>21.05855674759328</v>
      </c>
      <c r="L26" s="27" t="n">
        <v>10.53866243461462</v>
      </c>
      <c r="M26" s="27" t="n">
        <v>11.98337021176687</v>
      </c>
      <c r="N26" s="27" t="n">
        <v>95.54608172903055</v>
      </c>
      <c r="O26" s="27" t="n">
        <v>796.8783487816833</v>
      </c>
      <c r="P26" s="27" t="n">
        <v>2.868566000111527</v>
      </c>
      <c r="Q26" s="27" t="n">
        <v>2.047622069003527</v>
      </c>
      <c r="R26" s="27" t="n">
        <v>1.96758951667552</v>
      </c>
      <c r="S26" s="27" t="n">
        <v>0.5560616390407302</v>
      </c>
      <c r="T26" s="27" t="n">
        <v>7.469871341433374</v>
      </c>
      <c r="U26" s="27" t="n">
        <v>6.508468189554888</v>
      </c>
      <c r="V26" s="27" t="n">
        <v>7.360523955193392</v>
      </c>
      <c r="W26" s="27" t="n">
        <v>1.744507150990306</v>
      </c>
      <c r="X26" s="27" t="n">
        <v>2.612407292059942</v>
      </c>
      <c r="Y26" s="27" t="n">
        <v>19.90185323022664</v>
      </c>
      <c r="Z26" s="27" t="n">
        <v>13.522407099425</v>
      </c>
      <c r="AA26" s="27" t="n">
        <v>10.52640533131068</v>
      </c>
      <c r="AB26" s="27" t="n">
        <v>1.111826268806652</v>
      </c>
      <c r="AC26" s="27" t="n">
        <v>13.01403121563624</v>
      </c>
      <c r="AD26" s="27" t="n">
        <v>11.8986702476172</v>
      </c>
      <c r="AE26" s="27" t="n">
        <v>6.961003520832083</v>
      </c>
      <c r="AF26" s="27" t="n">
        <v>96.4223408889069</v>
      </c>
      <c r="AG26" s="27" t="n">
        <v>10.87113636865448</v>
      </c>
      <c r="AH26" s="27" t="n">
        <v>14.39096274631462</v>
      </c>
      <c r="AI26" s="27" t="n">
        <v>1.613239262214915</v>
      </c>
      <c r="AJ26" s="27" t="n">
        <v>25.32622850924981</v>
      </c>
      <c r="AK26" s="27" t="n">
        <v>14.06199298868177</v>
      </c>
      <c r="AL26" s="27" t="n">
        <v>25.40280991074395</v>
      </c>
      <c r="AM26" s="27" t="n">
        <v>2098.068560881487</v>
      </c>
      <c r="AN26" s="27" t="n">
        <v>68.10264413150479</v>
      </c>
      <c r="AO26" s="27" t="n">
        <v>2129.117579755341</v>
      </c>
      <c r="AP26" s="27" t="n">
        <v>629.7989941649764</v>
      </c>
      <c r="AQ26" s="27" t="n">
        <v>104.4823339994156</v>
      </c>
      <c r="AR26" s="27" t="n">
        <v>0.7022060250342731</v>
      </c>
      <c r="AS26" s="27" t="n">
        <v>28.15280289028951</v>
      </c>
      <c r="AT26" s="27" t="n">
        <v>2120.676248111298</v>
      </c>
      <c r="AU26" s="27" t="n">
        <v>12.74222753879008</v>
      </c>
      <c r="AV26" s="27" t="n">
        <v>14.23789239761972</v>
      </c>
      <c r="AW26" s="27" t="n">
        <v>445.4734209144186</v>
      </c>
      <c r="AX26" s="27" t="n">
        <v>0</v>
      </c>
      <c r="AY26" s="27" t="n">
        <v>44.59137442779583</v>
      </c>
      <c r="AZ26" s="27" t="n">
        <v>19.53327099413603</v>
      </c>
      <c r="BA26" s="27" t="n">
        <v>368.369017065014</v>
      </c>
      <c r="BB26" s="27">
        <f>SUM(C26:BA26)</f>
        <v/>
      </c>
      <c r="BC26" s="27" t="n">
        <v>0</v>
      </c>
      <c r="BD26" s="27" t="n">
        <v>0</v>
      </c>
      <c r="BE26" s="27" t="n">
        <v>752.7021115913127</v>
      </c>
      <c r="BF26" s="27" t="n">
        <v>0</v>
      </c>
      <c r="BG26" s="27">
        <f>SUM(BC26:BF26)</f>
        <v/>
      </c>
      <c r="BH26" s="27">
        <f>BB26+BG26</f>
        <v/>
      </c>
    </row>
    <row r="27">
      <c r="A27" s="29" t="n">
        <v>14</v>
      </c>
      <c r="B27" s="30" t="inlineStr">
        <is>
          <t>Refino de petróleo e coque</t>
        </is>
      </c>
      <c r="C27" s="29" t="n">
        <v>1664.024961838435</v>
      </c>
      <c r="D27" s="29" t="n">
        <v>814.7935667120714</v>
      </c>
      <c r="E27" s="29" t="n">
        <v>258.0348263866727</v>
      </c>
      <c r="F27" s="29" t="n">
        <v>374.5733872985077</v>
      </c>
      <c r="G27" s="29" t="n">
        <v>509.7436723144154</v>
      </c>
      <c r="H27" s="29" t="n">
        <v>1532.00967154128</v>
      </c>
      <c r="I27" s="29" t="n">
        <v>6.775038584838525</v>
      </c>
      <c r="J27" s="29" t="n">
        <v>82.05632793560088</v>
      </c>
      <c r="K27" s="29" t="n">
        <v>37.45283932275819</v>
      </c>
      <c r="L27" s="29" t="n">
        <v>64.13222118133305</v>
      </c>
      <c r="M27" s="29" t="n">
        <v>64.12188464131204</v>
      </c>
      <c r="N27" s="29" t="n">
        <v>298.627960072372</v>
      </c>
      <c r="O27" s="29" t="n">
        <v>7.870524063728652</v>
      </c>
      <c r="P27" s="29" t="n">
        <v>28318.12271856164</v>
      </c>
      <c r="Q27" s="29" t="n">
        <v>103.6894793907658</v>
      </c>
      <c r="R27" s="29" t="n">
        <v>2729.317093320276</v>
      </c>
      <c r="S27" s="29" t="n">
        <v>92.47250277532582</v>
      </c>
      <c r="T27" s="29" t="n">
        <v>35.07952567315498</v>
      </c>
      <c r="U27" s="29" t="n">
        <v>49.57562665894999</v>
      </c>
      <c r="V27" s="29" t="n">
        <v>101.5978486568871</v>
      </c>
      <c r="W27" s="29" t="n">
        <v>105.7936958771376</v>
      </c>
      <c r="X27" s="29" t="n">
        <v>141.7764255912962</v>
      </c>
      <c r="Y27" s="29" t="n">
        <v>378.9253965794297</v>
      </c>
      <c r="Z27" s="29" t="n">
        <v>742.3470932532019</v>
      </c>
      <c r="AA27" s="29" t="n">
        <v>742.3645324845002</v>
      </c>
      <c r="AB27" s="29" t="n">
        <v>465.5891955524535</v>
      </c>
      <c r="AC27" s="29" t="n">
        <v>77.64747281256939</v>
      </c>
      <c r="AD27" s="29" t="n">
        <v>145.9915276200769</v>
      </c>
      <c r="AE27" s="29" t="n">
        <v>133.305380290648</v>
      </c>
      <c r="AF27" s="29" t="n">
        <v>56.61371711915324</v>
      </c>
      <c r="AG27" s="29" t="n">
        <v>162.5687406383595</v>
      </c>
      <c r="AH27" s="29" t="n">
        <v>88.87449894110533</v>
      </c>
      <c r="AI27" s="29" t="n">
        <v>15.70493840205935</v>
      </c>
      <c r="AJ27" s="29" t="n">
        <v>55.75044800390071</v>
      </c>
      <c r="AK27" s="29" t="n">
        <v>1129.088262549832</v>
      </c>
      <c r="AL27" s="29" t="n">
        <v>2002.430833820974</v>
      </c>
      <c r="AM27" s="29" t="n">
        <v>2187.870387284693</v>
      </c>
      <c r="AN27" s="29" t="n">
        <v>14836.49571674962</v>
      </c>
      <c r="AO27" s="29" t="n">
        <v>77.30412594462862</v>
      </c>
      <c r="AP27" s="29" t="n">
        <v>121.2775892236434</v>
      </c>
      <c r="AQ27" s="29" t="n">
        <v>19.01587664132452</v>
      </c>
      <c r="AR27" s="29" t="n">
        <v>21.21717002729075</v>
      </c>
      <c r="AS27" s="29" t="n">
        <v>118.645175770471</v>
      </c>
      <c r="AT27" s="29" t="n">
        <v>443.4487079839963</v>
      </c>
      <c r="AU27" s="29" t="n">
        <v>25.91583952754741</v>
      </c>
      <c r="AV27" s="29" t="n">
        <v>68.13605971023505</v>
      </c>
      <c r="AW27" s="29" t="n">
        <v>216.3656654857857</v>
      </c>
      <c r="AX27" s="29" t="n">
        <v>0</v>
      </c>
      <c r="AY27" s="29" t="n">
        <v>76.62416770403826</v>
      </c>
      <c r="AZ27" s="29" t="n">
        <v>22.95514074433183</v>
      </c>
      <c r="BA27" s="29" t="n">
        <v>622.9039004681391</v>
      </c>
      <c r="BB27" s="29">
        <f>SUM(C27:BA27)</f>
        <v/>
      </c>
      <c r="BC27" s="29" t="n">
        <v>0</v>
      </c>
      <c r="BD27" s="29" t="n">
        <v>0</v>
      </c>
      <c r="BE27" s="29" t="n">
        <v>21649.6037757066</v>
      </c>
      <c r="BF27" s="29" t="n">
        <v>0</v>
      </c>
      <c r="BG27" s="29">
        <f>SUM(BC27:BF27)</f>
        <v/>
      </c>
      <c r="BH27" s="29">
        <f>BB27+BG27</f>
        <v/>
      </c>
    </row>
    <row r="28">
      <c r="A28" s="27" t="n">
        <v>15</v>
      </c>
      <c r="B28" s="28" t="inlineStr">
        <is>
          <t>Álcool</t>
        </is>
      </c>
      <c r="C28" s="27" t="n">
        <v>35.30384777862449</v>
      </c>
      <c r="D28" s="27" t="n">
        <v>39.85982580548171</v>
      </c>
      <c r="E28" s="27" t="n">
        <v>110.794603092079</v>
      </c>
      <c r="F28" s="27" t="n">
        <v>0.7071394016802164</v>
      </c>
      <c r="G28" s="27" t="n">
        <v>1.992331323772362</v>
      </c>
      <c r="H28" s="27" t="n">
        <v>511.0816401593727</v>
      </c>
      <c r="I28" s="27" t="n">
        <v>0.04573887107230036</v>
      </c>
      <c r="J28" s="27" t="n">
        <v>0.8042942805811619</v>
      </c>
      <c r="K28" s="27" t="n">
        <v>0.4365329441095778</v>
      </c>
      <c r="L28" s="27" t="n">
        <v>0.2215028664380446</v>
      </c>
      <c r="M28" s="27" t="n">
        <v>0.4392833345577262</v>
      </c>
      <c r="N28" s="27" t="n">
        <v>1.333438142909704</v>
      </c>
      <c r="O28" s="27" t="n">
        <v>0.2045916507528911</v>
      </c>
      <c r="P28" s="27" t="n">
        <v>1647.485422368396</v>
      </c>
      <c r="Q28" s="27" t="n">
        <v>91.20818141333854</v>
      </c>
      <c r="R28" s="27" t="n">
        <v>117.5610022464994</v>
      </c>
      <c r="S28" s="27" t="n">
        <v>0.6067301588412909</v>
      </c>
      <c r="T28" s="27" t="n">
        <v>200.6916309693549</v>
      </c>
      <c r="U28" s="27" t="n">
        <v>48.68209276411447</v>
      </c>
      <c r="V28" s="27" t="n">
        <v>364.2365792069616</v>
      </c>
      <c r="W28" s="27" t="n">
        <v>64.91415859673693</v>
      </c>
      <c r="X28" s="27" t="n">
        <v>33.46872655561664</v>
      </c>
      <c r="Y28" s="27" t="n">
        <v>0.9129273243839394</v>
      </c>
      <c r="Z28" s="27" t="n">
        <v>1.629966596946017</v>
      </c>
      <c r="AA28" s="27" t="n">
        <v>3.576780400465568</v>
      </c>
      <c r="AB28" s="27" t="n">
        <v>1.554563672537292</v>
      </c>
      <c r="AC28" s="27" t="n">
        <v>10.10525780448366</v>
      </c>
      <c r="AD28" s="27" t="n">
        <v>3.743900054709628</v>
      </c>
      <c r="AE28" s="27" t="n">
        <v>1.119790361243721</v>
      </c>
      <c r="AF28" s="27" t="n">
        <v>0.2165768552002711</v>
      </c>
      <c r="AG28" s="27" t="n">
        <v>3.251451759270034</v>
      </c>
      <c r="AH28" s="27" t="n">
        <v>1.067871463677064</v>
      </c>
      <c r="AI28" s="27" t="n">
        <v>0.1372431926930875</v>
      </c>
      <c r="AJ28" s="27" t="n">
        <v>1.330252604385271</v>
      </c>
      <c r="AK28" s="27" t="n">
        <v>19.54764605114809</v>
      </c>
      <c r="AL28" s="27" t="n">
        <v>125.397293269306</v>
      </c>
      <c r="AM28" s="27" t="n">
        <v>77.5963913966668</v>
      </c>
      <c r="AN28" s="27" t="n">
        <v>184.7710970658547</v>
      </c>
      <c r="AO28" s="27" t="n">
        <v>2.528213524590185</v>
      </c>
      <c r="AP28" s="27" t="n">
        <v>1.509880987058619</v>
      </c>
      <c r="AQ28" s="27" t="n">
        <v>0.497753664251127</v>
      </c>
      <c r="AR28" s="27" t="n">
        <v>10.68004126167655</v>
      </c>
      <c r="AS28" s="27" t="n">
        <v>38.78470680274365</v>
      </c>
      <c r="AT28" s="27" t="n">
        <v>44.04290872655902</v>
      </c>
      <c r="AU28" s="27" t="n">
        <v>1.544670289971941</v>
      </c>
      <c r="AV28" s="27" t="n">
        <v>16.40330472243736</v>
      </c>
      <c r="AW28" s="27" t="n">
        <v>24.71464405078746</v>
      </c>
      <c r="AX28" s="27" t="n">
        <v>0</v>
      </c>
      <c r="AY28" s="27" t="n">
        <v>18.55073509437775</v>
      </c>
      <c r="AZ28" s="27" t="n">
        <v>8.276775670597299</v>
      </c>
      <c r="BA28" s="27" t="n">
        <v>159.7834959160755</v>
      </c>
      <c r="BB28" s="27">
        <f>SUM(C28:BA28)</f>
        <v/>
      </c>
      <c r="BC28" s="27" t="n">
        <v>0</v>
      </c>
      <c r="BD28" s="27" t="n">
        <v>0</v>
      </c>
      <c r="BE28" s="27" t="n">
        <v>3626.127160539213</v>
      </c>
      <c r="BF28" s="27" t="n">
        <v>0</v>
      </c>
      <c r="BG28" s="27">
        <f>SUM(BC28:BF28)</f>
        <v/>
      </c>
      <c r="BH28" s="27">
        <f>BB28+BG28</f>
        <v/>
      </c>
    </row>
    <row r="29">
      <c r="A29" s="29" t="n">
        <v>16</v>
      </c>
      <c r="B29" s="30" t="inlineStr">
        <is>
          <t>Produtos  químicos</t>
        </is>
      </c>
      <c r="C29" s="29" t="n">
        <v>5538.42840453036</v>
      </c>
      <c r="D29" s="29" t="n">
        <v>832.6876262436131</v>
      </c>
      <c r="E29" s="29" t="n">
        <v>604.3149978736957</v>
      </c>
      <c r="F29" s="29" t="n">
        <v>74.16726825906279</v>
      </c>
      <c r="G29" s="29" t="n">
        <v>146.3624608883287</v>
      </c>
      <c r="H29" s="29" t="n">
        <v>587.4079617018641</v>
      </c>
      <c r="I29" s="29" t="n">
        <v>1.70672359023056</v>
      </c>
      <c r="J29" s="29" t="n">
        <v>745.7116650649086</v>
      </c>
      <c r="K29" s="29" t="n">
        <v>82.52745272338794</v>
      </c>
      <c r="L29" s="29" t="n">
        <v>411.5820731102662</v>
      </c>
      <c r="M29" s="29" t="n">
        <v>24.08488344188802</v>
      </c>
      <c r="N29" s="29" t="n">
        <v>976.7259032964479</v>
      </c>
      <c r="O29" s="29" t="n">
        <v>16.31152820741366</v>
      </c>
      <c r="P29" s="29" t="n">
        <v>439.375083187017</v>
      </c>
      <c r="Q29" s="29" t="n">
        <v>126.8592041785479</v>
      </c>
      <c r="R29" s="29" t="n">
        <v>8397.238956168316</v>
      </c>
      <c r="S29" s="29" t="n">
        <v>4560.30597855838</v>
      </c>
      <c r="T29" s="29" t="n">
        <v>568.6247735292778</v>
      </c>
      <c r="U29" s="29" t="n">
        <v>1487.562574893338</v>
      </c>
      <c r="V29" s="29" t="n">
        <v>1366.564862761568</v>
      </c>
      <c r="W29" s="29" t="n">
        <v>1376.369337068096</v>
      </c>
      <c r="X29" s="29" t="n">
        <v>1775.344523123654</v>
      </c>
      <c r="Y29" s="29" t="n">
        <v>1121.286657213065</v>
      </c>
      <c r="Z29" s="29" t="n">
        <v>513.9700231719569</v>
      </c>
      <c r="AA29" s="29" t="n">
        <v>543.4615629445382</v>
      </c>
      <c r="AB29" s="29" t="n">
        <v>340.8685219971182</v>
      </c>
      <c r="AC29" s="29" t="n">
        <v>226.5181336289797</v>
      </c>
      <c r="AD29" s="29" t="n">
        <v>84.42449730817576</v>
      </c>
      <c r="AE29" s="29" t="n">
        <v>112.234436219911</v>
      </c>
      <c r="AF29" s="29" t="n">
        <v>61.63354582284261</v>
      </c>
      <c r="AG29" s="29" t="n">
        <v>16.55117865923716</v>
      </c>
      <c r="AH29" s="29" t="n">
        <v>28.11130274206614</v>
      </c>
      <c r="AI29" s="29" t="n">
        <v>30.04698297497078</v>
      </c>
      <c r="AJ29" s="29" t="n">
        <v>120.0149992080149</v>
      </c>
      <c r="AK29" s="29" t="n">
        <v>359.4417311363806</v>
      </c>
      <c r="AL29" s="29" t="n">
        <v>78.18785396226812</v>
      </c>
      <c r="AM29" s="29" t="n">
        <v>315.0669490387371</v>
      </c>
      <c r="AN29" s="29" t="n">
        <v>38.45581257517756</v>
      </c>
      <c r="AO29" s="29" t="n">
        <v>37.80054432480684</v>
      </c>
      <c r="AP29" s="29" t="n">
        <v>34.07346375677839</v>
      </c>
      <c r="AQ29" s="29" t="n">
        <v>11.58620499741941</v>
      </c>
      <c r="AR29" s="29" t="n">
        <v>1.940874017476722</v>
      </c>
      <c r="AS29" s="29" t="n">
        <v>30.82322898318026</v>
      </c>
      <c r="AT29" s="29" t="n">
        <v>102.5080122432998</v>
      </c>
      <c r="AU29" s="29" t="n">
        <v>22.06353614271696</v>
      </c>
      <c r="AV29" s="29" t="n">
        <v>309.18306965162</v>
      </c>
      <c r="AW29" s="29" t="n">
        <v>155.3090006013555</v>
      </c>
      <c r="AX29" s="29" t="n">
        <v>0</v>
      </c>
      <c r="AY29" s="29" t="n">
        <v>35.11122178339441</v>
      </c>
      <c r="AZ29" s="29" t="n">
        <v>94.4606510593093</v>
      </c>
      <c r="BA29" s="29" t="n">
        <v>31.98558846804618</v>
      </c>
      <c r="BB29" s="29">
        <f>SUM(C29:BA29)</f>
        <v/>
      </c>
      <c r="BC29" s="29" t="n">
        <v>0</v>
      </c>
      <c r="BD29" s="29" t="n">
        <v>0</v>
      </c>
      <c r="BE29" s="29" t="n">
        <v>4287.531251027581</v>
      </c>
      <c r="BF29" s="29" t="n">
        <v>0</v>
      </c>
      <c r="BG29" s="29">
        <f>SUM(BC29:BF29)</f>
        <v/>
      </c>
      <c r="BH29" s="29">
        <f>BB29+BG29</f>
        <v/>
      </c>
    </row>
    <row r="30">
      <c r="A30" s="27" t="n">
        <v>17</v>
      </c>
      <c r="B30" s="28" t="inlineStr">
        <is>
          <t>Fabricação de resina e elastômeros</t>
        </is>
      </c>
      <c r="C30" s="27" t="n">
        <v>92.36061559665768</v>
      </c>
      <c r="D30" s="27" t="n">
        <v>16.52968372525276</v>
      </c>
      <c r="E30" s="27" t="n">
        <v>238.570100183037</v>
      </c>
      <c r="F30" s="27" t="n">
        <v>2.670954172612747</v>
      </c>
      <c r="G30" s="27" t="n">
        <v>5.148459352774091</v>
      </c>
      <c r="H30" s="27" t="n">
        <v>17.30035815165726</v>
      </c>
      <c r="I30" s="27" t="n">
        <v>11.71017888309762</v>
      </c>
      <c r="J30" s="27" t="n">
        <v>1832.554888271327</v>
      </c>
      <c r="K30" s="27" t="n">
        <v>7.085720127411052</v>
      </c>
      <c r="L30" s="27" t="n">
        <v>554.4279469127066</v>
      </c>
      <c r="M30" s="27" t="n">
        <v>240.7254859588567</v>
      </c>
      <c r="N30" s="27" t="n">
        <v>453.8952469532377</v>
      </c>
      <c r="O30" s="27" t="n">
        <v>21.11047561123516</v>
      </c>
      <c r="P30" s="27" t="n">
        <v>1.400890077062856</v>
      </c>
      <c r="Q30" s="27" t="n">
        <v>1.659917834705982</v>
      </c>
      <c r="R30" s="27" t="n">
        <v>160.8215782924528</v>
      </c>
      <c r="S30" s="27" t="n">
        <v>775.5385733010164</v>
      </c>
      <c r="T30" s="27" t="n">
        <v>32.71775610411717</v>
      </c>
      <c r="U30" s="27" t="n">
        <v>36.93877097886658</v>
      </c>
      <c r="V30" s="27" t="n">
        <v>314.8980783695256</v>
      </c>
      <c r="W30" s="27" t="n">
        <v>344.9184860761353</v>
      </c>
      <c r="X30" s="27" t="n">
        <v>335.7092812741417</v>
      </c>
      <c r="Y30" s="27" t="n">
        <v>5033.291891389958</v>
      </c>
      <c r="Z30" s="27" t="n">
        <v>550.4580952983576</v>
      </c>
      <c r="AA30" s="27" t="n">
        <v>10.38435764868937</v>
      </c>
      <c r="AB30" s="27" t="n">
        <v>75.00704204844207</v>
      </c>
      <c r="AC30" s="27" t="n">
        <v>269.5515584648563</v>
      </c>
      <c r="AD30" s="27" t="n">
        <v>60.42984712216887</v>
      </c>
      <c r="AE30" s="27" t="n">
        <v>870.1574050090287</v>
      </c>
      <c r="AF30" s="27" t="n">
        <v>256.6340696008656</v>
      </c>
      <c r="AG30" s="27" t="n">
        <v>30.88601281621011</v>
      </c>
      <c r="AH30" s="27" t="n">
        <v>525.6254474437529</v>
      </c>
      <c r="AI30" s="27" t="n">
        <v>60.35165468012268</v>
      </c>
      <c r="AJ30" s="27" t="n">
        <v>389.5283555320399</v>
      </c>
      <c r="AK30" s="27" t="n">
        <v>6.472789533400653</v>
      </c>
      <c r="AL30" s="27" t="n">
        <v>29.9321573912228</v>
      </c>
      <c r="AM30" s="27" t="n">
        <v>43.08979340572562</v>
      </c>
      <c r="AN30" s="27" t="n">
        <v>11.74018838201006</v>
      </c>
      <c r="AO30" s="27" t="n">
        <v>9.339957744641032</v>
      </c>
      <c r="AP30" s="27" t="n">
        <v>7.348216865981004</v>
      </c>
      <c r="AQ30" s="27" t="n">
        <v>4.115251644719965</v>
      </c>
      <c r="AR30" s="27" t="n">
        <v>0.3880197934550016</v>
      </c>
      <c r="AS30" s="27" t="n">
        <v>4.435963994017976</v>
      </c>
      <c r="AT30" s="27" t="n">
        <v>21.48787998116551</v>
      </c>
      <c r="AU30" s="27" t="n">
        <v>4.259664238059987</v>
      </c>
      <c r="AV30" s="27" t="n">
        <v>17.79882451926118</v>
      </c>
      <c r="AW30" s="27" t="n">
        <v>13.13976691491929</v>
      </c>
      <c r="AX30" s="27" t="n">
        <v>0</v>
      </c>
      <c r="AY30" s="27" t="n">
        <v>2.76020790165903</v>
      </c>
      <c r="AZ30" s="27" t="n">
        <v>5.792850908586244</v>
      </c>
      <c r="BA30" s="27" t="n">
        <v>7.044936914790711</v>
      </c>
      <c r="BB30" s="27">
        <f>SUM(C30:BA30)</f>
        <v/>
      </c>
      <c r="BC30" s="27" t="n">
        <v>0</v>
      </c>
      <c r="BD30" s="27" t="n">
        <v>0</v>
      </c>
      <c r="BE30" s="27" t="n">
        <v>795.6010863647836</v>
      </c>
      <c r="BF30" s="27" t="n">
        <v>0</v>
      </c>
      <c r="BG30" s="27">
        <f>SUM(BC30:BF30)</f>
        <v/>
      </c>
      <c r="BH30" s="27">
        <f>BB30+BG30</f>
        <v/>
      </c>
    </row>
    <row r="31">
      <c r="A31" s="29" t="n">
        <v>18</v>
      </c>
      <c r="B31" s="30" t="inlineStr">
        <is>
          <t>Produtos farmacêuticos</t>
        </is>
      </c>
      <c r="C31" s="29" t="n">
        <v>154.5504993938064</v>
      </c>
      <c r="D31" s="29" t="n">
        <v>1261.066215327334</v>
      </c>
      <c r="E31" s="29" t="n">
        <v>83.10249920241205</v>
      </c>
      <c r="F31" s="29" t="n">
        <v>2.945950539532753</v>
      </c>
      <c r="G31" s="29" t="n">
        <v>3.879944194739312</v>
      </c>
      <c r="H31" s="29" t="n">
        <v>83.94524566106912</v>
      </c>
      <c r="I31" s="29" t="n">
        <v>1.380425227947003</v>
      </c>
      <c r="J31" s="29" t="n">
        <v>9.486998918510622</v>
      </c>
      <c r="K31" s="29" t="n">
        <v>12.8099811543511</v>
      </c>
      <c r="L31" s="29" t="n">
        <v>6.25915949231223</v>
      </c>
      <c r="M31" s="29" t="n">
        <v>1.09113740042008</v>
      </c>
      <c r="N31" s="29" t="n">
        <v>6.475022088120148</v>
      </c>
      <c r="O31" s="29" t="n">
        <v>1.806640996398305</v>
      </c>
      <c r="P31" s="29" t="n">
        <v>3.408559478137703</v>
      </c>
      <c r="Q31" s="29" t="n">
        <v>1.130706551758183</v>
      </c>
      <c r="R31" s="29" t="n">
        <v>23.81545756046894</v>
      </c>
      <c r="S31" s="29" t="n">
        <v>19.96540890734743</v>
      </c>
      <c r="T31" s="29" t="n">
        <v>1448.257197853697</v>
      </c>
      <c r="U31" s="29" t="n">
        <v>102.8823225265797</v>
      </c>
      <c r="V31" s="29" t="n">
        <v>14.57807606062675</v>
      </c>
      <c r="W31" s="29" t="n">
        <v>6.30334607434402</v>
      </c>
      <c r="X31" s="29" t="n">
        <v>12.06899552171255</v>
      </c>
      <c r="Y31" s="29" t="n">
        <v>7.609046362108633</v>
      </c>
      <c r="Z31" s="29" t="n">
        <v>4.709980346946181</v>
      </c>
      <c r="AA31" s="29" t="n">
        <v>6.643547945965029</v>
      </c>
      <c r="AB31" s="29" t="n">
        <v>2.559324368580191</v>
      </c>
      <c r="AC31" s="29" t="n">
        <v>4.83626382583384</v>
      </c>
      <c r="AD31" s="29" t="n">
        <v>13.73842697859622</v>
      </c>
      <c r="AE31" s="29" t="n">
        <v>3.351736943610082</v>
      </c>
      <c r="AF31" s="29" t="n">
        <v>14.44049046816477</v>
      </c>
      <c r="AG31" s="29" t="n">
        <v>6.412926357428861</v>
      </c>
      <c r="AH31" s="29" t="n">
        <v>3.42156440386075</v>
      </c>
      <c r="AI31" s="29" t="n">
        <v>0.7773152315420562</v>
      </c>
      <c r="AJ31" s="29" t="n">
        <v>3.883731025322599</v>
      </c>
      <c r="AK31" s="29" t="n">
        <v>8.549801132019414</v>
      </c>
      <c r="AL31" s="29" t="n">
        <v>17.16079240109033</v>
      </c>
      <c r="AM31" s="29" t="n">
        <v>116.1509486788589</v>
      </c>
      <c r="AN31" s="29" t="n">
        <v>18.71844902282392</v>
      </c>
      <c r="AO31" s="29" t="n">
        <v>23.31262873129724</v>
      </c>
      <c r="AP31" s="29" t="n">
        <v>20.29791145424067</v>
      </c>
      <c r="AQ31" s="29" t="n">
        <v>1.652834495254438</v>
      </c>
      <c r="AR31" s="29" t="n">
        <v>0.2572246793171505</v>
      </c>
      <c r="AS31" s="29" t="n">
        <v>5.256226149440073</v>
      </c>
      <c r="AT31" s="29" t="n">
        <v>48.41995546390331</v>
      </c>
      <c r="AU31" s="29" t="n">
        <v>60.39964667991862</v>
      </c>
      <c r="AV31" s="29" t="n">
        <v>3016.77589478271</v>
      </c>
      <c r="AW31" s="29" t="n">
        <v>257.4867108665774</v>
      </c>
      <c r="AX31" s="29" t="n">
        <v>0</v>
      </c>
      <c r="AY31" s="29" t="n">
        <v>176.6904104966813</v>
      </c>
      <c r="AZ31" s="29" t="n">
        <v>695.5939057983944</v>
      </c>
      <c r="BA31" s="29" t="n">
        <v>155.3125249945401</v>
      </c>
      <c r="BB31" s="29">
        <f>SUM(C31:BA31)</f>
        <v/>
      </c>
      <c r="BC31" s="29" t="n">
        <v>0</v>
      </c>
      <c r="BD31" s="29" t="n">
        <v>0</v>
      </c>
      <c r="BE31" s="29" t="n">
        <v>10171.08983131064</v>
      </c>
      <c r="BF31" s="29" t="n">
        <v>0</v>
      </c>
      <c r="BG31" s="29">
        <f>SUM(BC31:BF31)</f>
        <v/>
      </c>
      <c r="BH31" s="29">
        <f>BB31+BG31</f>
        <v/>
      </c>
    </row>
    <row r="32">
      <c r="A32" s="27" t="n">
        <v>19</v>
      </c>
      <c r="B32" s="28" t="inlineStr">
        <is>
          <t>Defensivos agrícolas</t>
        </is>
      </c>
      <c r="C32" s="27" t="n">
        <v>3307.985440158221</v>
      </c>
      <c r="D32" s="27" t="n">
        <v>350.0098669157018</v>
      </c>
      <c r="E32" s="27" t="n">
        <v>35.86729085522137</v>
      </c>
      <c r="F32" s="27" t="n">
        <v>4.870810831111441</v>
      </c>
      <c r="G32" s="27" t="n">
        <v>23.36673253177492</v>
      </c>
      <c r="H32" s="27" t="n">
        <v>56.82359160506365</v>
      </c>
      <c r="I32" s="27" t="n">
        <v>1.651155449168664</v>
      </c>
      <c r="J32" s="27" t="n">
        <v>144.9067982492904</v>
      </c>
      <c r="K32" s="27" t="n">
        <v>3.50098818620524</v>
      </c>
      <c r="L32" s="27" t="n">
        <v>47.73047056011752</v>
      </c>
      <c r="M32" s="27" t="n">
        <v>19.93424858349547</v>
      </c>
      <c r="N32" s="27" t="n">
        <v>51.5064342145418</v>
      </c>
      <c r="O32" s="27" t="n">
        <v>4.598663637961025</v>
      </c>
      <c r="P32" s="27" t="n">
        <v>4.214666183424942</v>
      </c>
      <c r="Q32" s="27" t="n">
        <v>5.49457359347888</v>
      </c>
      <c r="R32" s="27" t="n">
        <v>108.4658523984331</v>
      </c>
      <c r="S32" s="27" t="n">
        <v>212.4353509729146</v>
      </c>
      <c r="T32" s="27" t="n">
        <v>29.21652795710677</v>
      </c>
      <c r="U32" s="27" t="n">
        <v>573.8288711491772</v>
      </c>
      <c r="V32" s="27" t="n">
        <v>195.2962898077141</v>
      </c>
      <c r="W32" s="27" t="n">
        <v>83.03208222676103</v>
      </c>
      <c r="X32" s="27" t="n">
        <v>96.27650375228663</v>
      </c>
      <c r="Y32" s="27" t="n">
        <v>372.0498344440892</v>
      </c>
      <c r="Z32" s="27" t="n">
        <v>42.12942481227312</v>
      </c>
      <c r="AA32" s="27" t="n">
        <v>15.04956088128394</v>
      </c>
      <c r="AB32" s="27" t="n">
        <v>9.804001688558294</v>
      </c>
      <c r="AC32" s="27" t="n">
        <v>32.81363170105887</v>
      </c>
      <c r="AD32" s="27" t="n">
        <v>8.327223513926926</v>
      </c>
      <c r="AE32" s="27" t="n">
        <v>60.97727539077155</v>
      </c>
      <c r="AF32" s="27" t="n">
        <v>21.69964105290997</v>
      </c>
      <c r="AG32" s="27" t="n">
        <v>5.537901782890949</v>
      </c>
      <c r="AH32" s="27" t="n">
        <v>35.82635014361787</v>
      </c>
      <c r="AI32" s="27" t="n">
        <v>4.463464429092188</v>
      </c>
      <c r="AJ32" s="27" t="n">
        <v>30.48327464290361</v>
      </c>
      <c r="AK32" s="27" t="n">
        <v>8.864718633664166</v>
      </c>
      <c r="AL32" s="27" t="n">
        <v>16.14660996605195</v>
      </c>
      <c r="AM32" s="27" t="n">
        <v>33.6782722655643</v>
      </c>
      <c r="AN32" s="27" t="n">
        <v>9.842013002405663</v>
      </c>
      <c r="AO32" s="27" t="n">
        <v>13.66350946851826</v>
      </c>
      <c r="AP32" s="27" t="n">
        <v>13.11646252063679</v>
      </c>
      <c r="AQ32" s="27" t="n">
        <v>1.487380924260094</v>
      </c>
      <c r="AR32" s="27" t="n">
        <v>0.09149433017791503</v>
      </c>
      <c r="AS32" s="27" t="n">
        <v>2.73300348872157</v>
      </c>
      <c r="AT32" s="27" t="n">
        <v>40.2071785615984</v>
      </c>
      <c r="AU32" s="27" t="n">
        <v>2.949948296623409</v>
      </c>
      <c r="AV32" s="27" t="n">
        <v>2.656930861009513</v>
      </c>
      <c r="AW32" s="27" t="n">
        <v>215.5457449277063</v>
      </c>
      <c r="AX32" s="27" t="n">
        <v>0</v>
      </c>
      <c r="AY32" s="27" t="n">
        <v>5.837193814550789</v>
      </c>
      <c r="AZ32" s="27" t="n">
        <v>10.44322218563273</v>
      </c>
      <c r="BA32" s="27" t="n">
        <v>12.16844822394929</v>
      </c>
      <c r="BB32" s="27">
        <f>SUM(C32:BA32)</f>
        <v/>
      </c>
      <c r="BC32" s="27" t="n">
        <v>0</v>
      </c>
      <c r="BD32" s="27" t="n">
        <v>0</v>
      </c>
      <c r="BE32" s="27" t="n">
        <v>586.2652795664874</v>
      </c>
      <c r="BF32" s="27" t="n">
        <v>0</v>
      </c>
      <c r="BG32" s="27">
        <f>SUM(BC32:BF32)</f>
        <v/>
      </c>
      <c r="BH32" s="27">
        <f>BB32+BG32</f>
        <v/>
      </c>
    </row>
    <row r="33">
      <c r="A33" s="29" t="n">
        <v>20</v>
      </c>
      <c r="B33" s="30" t="inlineStr">
        <is>
          <t>Perfumaria higiene e limpeza</t>
        </is>
      </c>
      <c r="C33" s="29" t="n">
        <v>111.5762453861448</v>
      </c>
      <c r="D33" s="29" t="n">
        <v>38.2648541943524</v>
      </c>
      <c r="E33" s="29" t="n">
        <v>38.32805766987357</v>
      </c>
      <c r="F33" s="29" t="n">
        <v>22.42108639380869</v>
      </c>
      <c r="G33" s="29" t="n">
        <v>25.22426910921353</v>
      </c>
      <c r="H33" s="29" t="n">
        <v>161.0404227820552</v>
      </c>
      <c r="I33" s="29" t="n">
        <v>2.262685421402294</v>
      </c>
      <c r="J33" s="29" t="n">
        <v>34.6688372339414</v>
      </c>
      <c r="K33" s="29" t="n">
        <v>30.55508987857849</v>
      </c>
      <c r="L33" s="29" t="n">
        <v>6.234645088689191</v>
      </c>
      <c r="M33" s="29" t="n">
        <v>15.02603353318609</v>
      </c>
      <c r="N33" s="29" t="n">
        <v>29.40137647020572</v>
      </c>
      <c r="O33" s="29" t="n">
        <v>4.275269432790182</v>
      </c>
      <c r="P33" s="29" t="n">
        <v>18.56362535572252</v>
      </c>
      <c r="Q33" s="29" t="n">
        <v>3.648671438613402</v>
      </c>
      <c r="R33" s="29" t="n">
        <v>105.0654540009899</v>
      </c>
      <c r="S33" s="29" t="n">
        <v>18.36371357343783</v>
      </c>
      <c r="T33" s="29" t="n">
        <v>31.49828500754273</v>
      </c>
      <c r="U33" s="29" t="n">
        <v>51.05415447212415</v>
      </c>
      <c r="V33" s="29" t="n">
        <v>576.0981644280787</v>
      </c>
      <c r="W33" s="29" t="n">
        <v>21.09877910160217</v>
      </c>
      <c r="X33" s="29" t="n">
        <v>46.53821095324793</v>
      </c>
      <c r="Y33" s="29" t="n">
        <v>32.1588643753786</v>
      </c>
      <c r="Z33" s="29" t="n">
        <v>97.31629870938802</v>
      </c>
      <c r="AA33" s="29" t="n">
        <v>27.30271652490299</v>
      </c>
      <c r="AB33" s="29" t="n">
        <v>26.93671296981019</v>
      </c>
      <c r="AC33" s="29" t="n">
        <v>176.3696633421594</v>
      </c>
      <c r="AD33" s="29" t="n">
        <v>26.67957191380631</v>
      </c>
      <c r="AE33" s="29" t="n">
        <v>10.23968079765773</v>
      </c>
      <c r="AF33" s="29" t="n">
        <v>59.76576951750545</v>
      </c>
      <c r="AG33" s="29" t="n">
        <v>14.23238778928311</v>
      </c>
      <c r="AH33" s="29" t="n">
        <v>18.50899041346685</v>
      </c>
      <c r="AI33" s="29" t="n">
        <v>1.617006816503741</v>
      </c>
      <c r="AJ33" s="29" t="n">
        <v>10.4833384487183</v>
      </c>
      <c r="AK33" s="29" t="n">
        <v>38.99663715351689</v>
      </c>
      <c r="AL33" s="29" t="n">
        <v>149.1584016114892</v>
      </c>
      <c r="AM33" s="29" t="n">
        <v>768.4659092551162</v>
      </c>
      <c r="AN33" s="29" t="n">
        <v>182.6666791846207</v>
      </c>
      <c r="AO33" s="29" t="n">
        <v>105.282887241759</v>
      </c>
      <c r="AP33" s="29" t="n">
        <v>28.85432921722085</v>
      </c>
      <c r="AQ33" s="29" t="n">
        <v>4.225554397072627</v>
      </c>
      <c r="AR33" s="29" t="n">
        <v>0.2173685084686217</v>
      </c>
      <c r="AS33" s="29" t="n">
        <v>58.10473215295838</v>
      </c>
      <c r="AT33" s="29" t="n">
        <v>334.4286501667685</v>
      </c>
      <c r="AU33" s="29" t="n">
        <v>58.64756555707802</v>
      </c>
      <c r="AV33" s="29" t="n">
        <v>280.0910725973394</v>
      </c>
      <c r="AW33" s="29" t="n">
        <v>1171.459731335072</v>
      </c>
      <c r="AX33" s="29" t="n">
        <v>0</v>
      </c>
      <c r="AY33" s="29" t="n">
        <v>98.52459047475244</v>
      </c>
      <c r="AZ33" s="29" t="n">
        <v>73.49784834829705</v>
      </c>
      <c r="BA33" s="29" t="n">
        <v>97.21058073023399</v>
      </c>
      <c r="BB33" s="29">
        <f>SUM(C33:BA33)</f>
        <v/>
      </c>
      <c r="BC33" s="29" t="n">
        <v>0</v>
      </c>
      <c r="BD33" s="29" t="n">
        <v>0</v>
      </c>
      <c r="BE33" s="29" t="n">
        <v>7392.43695741312</v>
      </c>
      <c r="BF33" s="29" t="n">
        <v>0</v>
      </c>
      <c r="BG33" s="29">
        <f>SUM(BC33:BF33)</f>
        <v/>
      </c>
      <c r="BH33" s="29">
        <f>BB33+BG33</f>
        <v/>
      </c>
    </row>
    <row r="34">
      <c r="A34" s="27" t="n">
        <v>21</v>
      </c>
      <c r="B34" s="28" t="inlineStr">
        <is>
          <t>Tintas vernizes esmaltes e lacas</t>
        </is>
      </c>
      <c r="C34" s="27" t="n">
        <v>22.97690473149406</v>
      </c>
      <c r="D34" s="27" t="n">
        <v>13.82542619226061</v>
      </c>
      <c r="E34" s="27" t="n">
        <v>8.194810754956691</v>
      </c>
      <c r="F34" s="27" t="n">
        <v>1.937823235831559</v>
      </c>
      <c r="G34" s="27" t="n">
        <v>14.28893964351444</v>
      </c>
      <c r="H34" s="27" t="n">
        <v>59.94920106413726</v>
      </c>
      <c r="I34" s="27" t="n">
        <v>0.4469679914540852</v>
      </c>
      <c r="J34" s="27" t="n">
        <v>56.73926163129757</v>
      </c>
      <c r="K34" s="27" t="n">
        <v>25.16382926627937</v>
      </c>
      <c r="L34" s="27" t="n">
        <v>54.79256944244301</v>
      </c>
      <c r="M34" s="27" t="n">
        <v>129.2710287770238</v>
      </c>
      <c r="N34" s="27" t="n">
        <v>365.6008410405949</v>
      </c>
      <c r="O34" s="27" t="n">
        <v>353.0673102686991</v>
      </c>
      <c r="P34" s="27" t="n">
        <v>3.021119722651623</v>
      </c>
      <c r="Q34" s="27" t="n">
        <v>1.697154192269945</v>
      </c>
      <c r="R34" s="27" t="n">
        <v>39.53592078750583</v>
      </c>
      <c r="S34" s="27" t="n">
        <v>33.25967896667631</v>
      </c>
      <c r="T34" s="27" t="n">
        <v>8.216043414667105</v>
      </c>
      <c r="U34" s="27" t="n">
        <v>9.200581090193891</v>
      </c>
      <c r="V34" s="27" t="n">
        <v>23.22135968974763</v>
      </c>
      <c r="W34" s="27" t="n">
        <v>57.38335472801681</v>
      </c>
      <c r="X34" s="27" t="n">
        <v>32.79924762613943</v>
      </c>
      <c r="Y34" s="27" t="n">
        <v>565.8798156744357</v>
      </c>
      <c r="Z34" s="27" t="n">
        <v>292.0936409521438</v>
      </c>
      <c r="AA34" s="27" t="n">
        <v>6.868969136461368</v>
      </c>
      <c r="AB34" s="27" t="n">
        <v>2.616737346890083</v>
      </c>
      <c r="AC34" s="27" t="n">
        <v>159.1129838546747</v>
      </c>
      <c r="AD34" s="27" t="n">
        <v>185.5338870755238</v>
      </c>
      <c r="AE34" s="27" t="n">
        <v>19.60046732974212</v>
      </c>
      <c r="AF34" s="27" t="n">
        <v>124.2477538858038</v>
      </c>
      <c r="AG34" s="27" t="n">
        <v>143.1699905548835</v>
      </c>
      <c r="AH34" s="27" t="n">
        <v>91.55769826050371</v>
      </c>
      <c r="AI34" s="27" t="n">
        <v>26.64212910095545</v>
      </c>
      <c r="AJ34" s="27" t="n">
        <v>85.98364989452007</v>
      </c>
      <c r="AK34" s="27" t="n">
        <v>52.74429681060812</v>
      </c>
      <c r="AL34" s="27" t="n">
        <v>1991.512386566232</v>
      </c>
      <c r="AM34" s="27" t="n">
        <v>325.0817317410711</v>
      </c>
      <c r="AN34" s="27" t="n">
        <v>86.30255946340414</v>
      </c>
      <c r="AO34" s="27" t="n">
        <v>128.0978353179089</v>
      </c>
      <c r="AP34" s="27" t="n">
        <v>4.308395267914182</v>
      </c>
      <c r="AQ34" s="27" t="n">
        <v>200.5081810379187</v>
      </c>
      <c r="AR34" s="27" t="n">
        <v>0.07690122146761794</v>
      </c>
      <c r="AS34" s="27" t="n">
        <v>5.023931644256209</v>
      </c>
      <c r="AT34" s="27" t="n">
        <v>13.37574479250278</v>
      </c>
      <c r="AU34" s="27" t="n">
        <v>0.9780866889747523</v>
      </c>
      <c r="AV34" s="27" t="n">
        <v>1.694603952649036</v>
      </c>
      <c r="AW34" s="27" t="n">
        <v>118.6925763774804</v>
      </c>
      <c r="AX34" s="27" t="n">
        <v>0</v>
      </c>
      <c r="AY34" s="27" t="n">
        <v>18.04579149765763</v>
      </c>
      <c r="AZ34" s="27" t="n">
        <v>6.141822470868326</v>
      </c>
      <c r="BA34" s="27" t="n">
        <v>53.8141510757427</v>
      </c>
      <c r="BB34" s="27">
        <f>SUM(C34:BA34)</f>
        <v/>
      </c>
      <c r="BC34" s="27" t="n">
        <v>0</v>
      </c>
      <c r="BD34" s="27" t="n">
        <v>0</v>
      </c>
      <c r="BE34" s="27" t="n">
        <v>452.6602163484574</v>
      </c>
      <c r="BF34" s="27" t="n">
        <v>0</v>
      </c>
      <c r="BG34" s="27">
        <f>SUM(BC34:BF34)</f>
        <v/>
      </c>
      <c r="BH34" s="27">
        <f>BB34+BG34</f>
        <v/>
      </c>
    </row>
    <row r="35">
      <c r="A35" s="29" t="n">
        <v>22</v>
      </c>
      <c r="B35" s="30" t="inlineStr">
        <is>
          <t>Produtos e preparados químicos diversos</t>
        </is>
      </c>
      <c r="C35" s="29" t="n">
        <v>52.98394917726585</v>
      </c>
      <c r="D35" s="29" t="n">
        <v>17.42656520420703</v>
      </c>
      <c r="E35" s="29" t="n">
        <v>73.08669182472025</v>
      </c>
      <c r="F35" s="29" t="n">
        <v>53.66726108723479</v>
      </c>
      <c r="G35" s="29" t="n">
        <v>687.0043720712551</v>
      </c>
      <c r="H35" s="29" t="n">
        <v>934.1446282806766</v>
      </c>
      <c r="I35" s="29" t="n">
        <v>4.063979041511804</v>
      </c>
      <c r="J35" s="29" t="n">
        <v>148.3172759563934</v>
      </c>
      <c r="K35" s="29" t="n">
        <v>6.916625967804057</v>
      </c>
      <c r="L35" s="29" t="n">
        <v>73.90893326188797</v>
      </c>
      <c r="M35" s="29" t="n">
        <v>138.7741923288169</v>
      </c>
      <c r="N35" s="29" t="n">
        <v>181.5781518829788</v>
      </c>
      <c r="O35" s="29" t="n">
        <v>114.1051524554376</v>
      </c>
      <c r="P35" s="29" t="n">
        <v>87.05561035910263</v>
      </c>
      <c r="Q35" s="29" t="n">
        <v>25.33023526418086</v>
      </c>
      <c r="R35" s="29" t="n">
        <v>218.9318810964997</v>
      </c>
      <c r="S35" s="29" t="n">
        <v>241.2507232734983</v>
      </c>
      <c r="T35" s="29" t="n">
        <v>223.9149293188504</v>
      </c>
      <c r="U35" s="29" t="n">
        <v>88.38381992364378</v>
      </c>
      <c r="V35" s="29" t="n">
        <v>293.9395886449831</v>
      </c>
      <c r="W35" s="29" t="n">
        <v>233.1997980512182</v>
      </c>
      <c r="X35" s="29" t="n">
        <v>816.758763969288</v>
      </c>
      <c r="Y35" s="29" t="n">
        <v>577.7575470479903</v>
      </c>
      <c r="Z35" s="29" t="n">
        <v>152.0603598015907</v>
      </c>
      <c r="AA35" s="29" t="n">
        <v>162.9290459170181</v>
      </c>
      <c r="AB35" s="29" t="n">
        <v>20.0146536417938</v>
      </c>
      <c r="AC35" s="29" t="n">
        <v>66.28062217054841</v>
      </c>
      <c r="AD35" s="29" t="n">
        <v>111.5524848877192</v>
      </c>
      <c r="AE35" s="29" t="n">
        <v>64.14124414526353</v>
      </c>
      <c r="AF35" s="29" t="n">
        <v>26.04125114254348</v>
      </c>
      <c r="AG35" s="29" t="n">
        <v>32.02879590397649</v>
      </c>
      <c r="AH35" s="29" t="n">
        <v>33.97777385885522</v>
      </c>
      <c r="AI35" s="29" t="n">
        <v>8.005814277094927</v>
      </c>
      <c r="AJ35" s="29" t="n">
        <v>111.6838618195895</v>
      </c>
      <c r="AK35" s="29" t="n">
        <v>67.98025974817554</v>
      </c>
      <c r="AL35" s="29" t="n">
        <v>337.9596564412252</v>
      </c>
      <c r="AM35" s="29" t="n">
        <v>445.3970594533546</v>
      </c>
      <c r="AN35" s="29" t="n">
        <v>38.10379149626365</v>
      </c>
      <c r="AO35" s="29" t="n">
        <v>20.18208857849078</v>
      </c>
      <c r="AP35" s="29" t="n">
        <v>17.09477325402754</v>
      </c>
      <c r="AQ35" s="29" t="n">
        <v>21.33823105362288</v>
      </c>
      <c r="AR35" s="29" t="n">
        <v>0.5815959585371167</v>
      </c>
      <c r="AS35" s="29" t="n">
        <v>8.026998781345496</v>
      </c>
      <c r="AT35" s="29" t="n">
        <v>48.97492831520542</v>
      </c>
      <c r="AU35" s="29" t="n">
        <v>5.879973422336972</v>
      </c>
      <c r="AV35" s="29" t="n">
        <v>12.9160526055246</v>
      </c>
      <c r="AW35" s="29" t="n">
        <v>36.99318472032281</v>
      </c>
      <c r="AX35" s="29" t="n">
        <v>0</v>
      </c>
      <c r="AY35" s="29" t="n">
        <v>80.51431694312558</v>
      </c>
      <c r="AZ35" s="29" t="n">
        <v>170.4594907697945</v>
      </c>
      <c r="BA35" s="29" t="n">
        <v>28.9178327153942</v>
      </c>
      <c r="BB35" s="29">
        <f>SUM(C35:BA35)</f>
        <v/>
      </c>
      <c r="BC35" s="29" t="n">
        <v>0</v>
      </c>
      <c r="BD35" s="29" t="n">
        <v>0</v>
      </c>
      <c r="BE35" s="29" t="n">
        <v>1687.144374647573</v>
      </c>
      <c r="BF35" s="29" t="n">
        <v>0</v>
      </c>
      <c r="BG35" s="29">
        <f>SUM(BC35:BF35)</f>
        <v/>
      </c>
      <c r="BH35" s="29">
        <f>BB35+BG35</f>
        <v/>
      </c>
    </row>
    <row r="36">
      <c r="A36" s="27" t="n">
        <v>23</v>
      </c>
      <c r="B36" s="28" t="inlineStr">
        <is>
          <t>Artigos de borracha e plástico</t>
        </is>
      </c>
      <c r="C36" s="27" t="n">
        <v>137.2168430811547</v>
      </c>
      <c r="D36" s="27" t="n">
        <v>63.09919907525639</v>
      </c>
      <c r="E36" s="27" t="n">
        <v>55.80378740227354</v>
      </c>
      <c r="F36" s="27" t="n">
        <v>123.3286851555622</v>
      </c>
      <c r="G36" s="27" t="n">
        <v>89.86258928950899</v>
      </c>
      <c r="H36" s="27" t="n">
        <v>3203.351305947796</v>
      </c>
      <c r="I36" s="27" t="n">
        <v>3.137606341451733</v>
      </c>
      <c r="J36" s="27" t="n">
        <v>175.1050899301813</v>
      </c>
      <c r="K36" s="27" t="n">
        <v>214.3915639455606</v>
      </c>
      <c r="L36" s="27" t="n">
        <v>408.9072422807311</v>
      </c>
      <c r="M36" s="27" t="n">
        <v>84.53223795675675</v>
      </c>
      <c r="N36" s="27" t="n">
        <v>215.8592802937001</v>
      </c>
      <c r="O36" s="27" t="n">
        <v>363.1571028686379</v>
      </c>
      <c r="P36" s="27" t="n">
        <v>27.7351174742175</v>
      </c>
      <c r="Q36" s="27" t="n">
        <v>8.114320456554962</v>
      </c>
      <c r="R36" s="27" t="n">
        <v>324.7258133632583</v>
      </c>
      <c r="S36" s="27" t="n">
        <v>117.5151535235688</v>
      </c>
      <c r="T36" s="27" t="n">
        <v>114.227439043173</v>
      </c>
      <c r="U36" s="27" t="n">
        <v>103.9755964896394</v>
      </c>
      <c r="V36" s="27" t="n">
        <v>457.9794167281592</v>
      </c>
      <c r="W36" s="27" t="n">
        <v>57.10662506345609</v>
      </c>
      <c r="X36" s="27" t="n">
        <v>84.95213499567399</v>
      </c>
      <c r="Y36" s="27" t="n">
        <v>4473.298301130488</v>
      </c>
      <c r="Z36" s="27" t="n">
        <v>658.3446997074477</v>
      </c>
      <c r="AA36" s="27" t="n">
        <v>218.8841856570871</v>
      </c>
      <c r="AB36" s="27" t="n">
        <v>17.38287147078861</v>
      </c>
      <c r="AC36" s="27" t="n">
        <v>206.9954322809893</v>
      </c>
      <c r="AD36" s="27" t="n">
        <v>846.6362972094055</v>
      </c>
      <c r="AE36" s="27" t="n">
        <v>593.025171680262</v>
      </c>
      <c r="AF36" s="27" t="n">
        <v>664.5278738385526</v>
      </c>
      <c r="AG36" s="27" t="n">
        <v>1932.691025577548</v>
      </c>
      <c r="AH36" s="27" t="n">
        <v>1255.607041218458</v>
      </c>
      <c r="AI36" s="27" t="n">
        <v>162.9641644946554</v>
      </c>
      <c r="AJ36" s="27" t="n">
        <v>618.9158714442067</v>
      </c>
      <c r="AK36" s="27" t="n">
        <v>147.7193855129067</v>
      </c>
      <c r="AL36" s="27" t="n">
        <v>3436.90465532191</v>
      </c>
      <c r="AM36" s="27" t="n">
        <v>1545.575977176087</v>
      </c>
      <c r="AN36" s="27" t="n">
        <v>1720.195423685538</v>
      </c>
      <c r="AO36" s="27" t="n">
        <v>35.79303676980253</v>
      </c>
      <c r="AP36" s="27" t="n">
        <v>37.67678387403181</v>
      </c>
      <c r="AQ36" s="27" t="n">
        <v>29.66249512116536</v>
      </c>
      <c r="AR36" s="27" t="n">
        <v>27.7757575730236</v>
      </c>
      <c r="AS36" s="27" t="n">
        <v>117.0095513299446</v>
      </c>
      <c r="AT36" s="27" t="n">
        <v>309.3660693178183</v>
      </c>
      <c r="AU36" s="27" t="n">
        <v>16.16872669212558</v>
      </c>
      <c r="AV36" s="27" t="n">
        <v>120.8176826549857</v>
      </c>
      <c r="AW36" s="27" t="n">
        <v>121.090325621156</v>
      </c>
      <c r="AX36" s="27" t="n">
        <v>0</v>
      </c>
      <c r="AY36" s="27" t="n">
        <v>95.529068934412</v>
      </c>
      <c r="AZ36" s="27" t="n">
        <v>148.4270805789195</v>
      </c>
      <c r="BA36" s="27" t="n">
        <v>64.7222621966248</v>
      </c>
      <c r="BB36" s="27">
        <f>SUM(C36:BA36)</f>
        <v/>
      </c>
      <c r="BC36" s="27" t="n">
        <v>0</v>
      </c>
      <c r="BD36" s="27" t="n">
        <v>0</v>
      </c>
      <c r="BE36" s="27" t="n">
        <v>5538.405014468505</v>
      </c>
      <c r="BF36" s="27" t="n">
        <v>0</v>
      </c>
      <c r="BG36" s="27">
        <f>SUM(BC36:BF36)</f>
        <v/>
      </c>
      <c r="BH36" s="27">
        <f>BB36+BG36</f>
        <v/>
      </c>
    </row>
    <row r="37">
      <c r="A37" s="29" t="n">
        <v>24</v>
      </c>
      <c r="B37" s="30" t="inlineStr">
        <is>
          <t>Cimento e outros produtos de minerais não-metálicos</t>
        </is>
      </c>
      <c r="C37" s="29" t="n">
        <v>636.1315012333156</v>
      </c>
      <c r="D37" s="29" t="n">
        <v>555.574000256088</v>
      </c>
      <c r="E37" s="29" t="n">
        <v>43.70913141914134</v>
      </c>
      <c r="F37" s="29" t="n">
        <v>2.505230326123976</v>
      </c>
      <c r="G37" s="29" t="n">
        <v>29.11642358366778</v>
      </c>
      <c r="H37" s="29" t="n">
        <v>800.7167735976217</v>
      </c>
      <c r="I37" s="29" t="n">
        <v>0.4004581828249505</v>
      </c>
      <c r="J37" s="29" t="n">
        <v>5.345261883052174</v>
      </c>
      <c r="K37" s="29" t="n">
        <v>3.438710229870855</v>
      </c>
      <c r="L37" s="29" t="n">
        <v>4.019471220220167</v>
      </c>
      <c r="M37" s="29" t="n">
        <v>7.349199466949087</v>
      </c>
      <c r="N37" s="29" t="n">
        <v>59.73285693720953</v>
      </c>
      <c r="O37" s="29" t="n">
        <v>13.65319703091296</v>
      </c>
      <c r="P37" s="29" t="n">
        <v>5.700522620715208</v>
      </c>
      <c r="Q37" s="29" t="n">
        <v>1.654468140909616</v>
      </c>
      <c r="R37" s="29" t="n">
        <v>189.954466928859</v>
      </c>
      <c r="S37" s="29" t="n">
        <v>3.797305371615141</v>
      </c>
      <c r="T37" s="29" t="n">
        <v>14.67995643022306</v>
      </c>
      <c r="U37" s="29" t="n">
        <v>1.90663885519302</v>
      </c>
      <c r="V37" s="29" t="n">
        <v>85.40466698605019</v>
      </c>
      <c r="W37" s="29" t="n">
        <v>21.02663715519683</v>
      </c>
      <c r="X37" s="29" t="n">
        <v>63.74336825553314</v>
      </c>
      <c r="Y37" s="29" t="n">
        <v>164.4247846977246</v>
      </c>
      <c r="Z37" s="29" t="n">
        <v>2719.416286294515</v>
      </c>
      <c r="AA37" s="29" t="n">
        <v>258.4975312392992</v>
      </c>
      <c r="AB37" s="29" t="n">
        <v>17.45224643098555</v>
      </c>
      <c r="AC37" s="29" t="n">
        <v>46.8205146296019</v>
      </c>
      <c r="AD37" s="29" t="n">
        <v>135.5516223505096</v>
      </c>
      <c r="AE37" s="29" t="n">
        <v>82.33320441062102</v>
      </c>
      <c r="AF37" s="29" t="n">
        <v>15.94176304137846</v>
      </c>
      <c r="AG37" s="29" t="n">
        <v>425.2811191513005</v>
      </c>
      <c r="AH37" s="29" t="n">
        <v>42.56502170925926</v>
      </c>
      <c r="AI37" s="29" t="n">
        <v>24.89220958110685</v>
      </c>
      <c r="AJ37" s="29" t="n">
        <v>133.5979167434681</v>
      </c>
      <c r="AK37" s="29" t="n">
        <v>516.3366175684228</v>
      </c>
      <c r="AL37" s="29" t="n">
        <v>14581.93117870164</v>
      </c>
      <c r="AM37" s="29" t="n">
        <v>157.9091413333232</v>
      </c>
      <c r="AN37" s="29" t="n">
        <v>31.7675477004998</v>
      </c>
      <c r="AO37" s="29" t="n">
        <v>21.11760156482353</v>
      </c>
      <c r="AP37" s="29" t="n">
        <v>16.72308037969312</v>
      </c>
      <c r="AQ37" s="29" t="n">
        <v>444.1099784789722</v>
      </c>
      <c r="AR37" s="29" t="n">
        <v>1.219878066818717</v>
      </c>
      <c r="AS37" s="29" t="n">
        <v>158.7286158171862</v>
      </c>
      <c r="AT37" s="29" t="n">
        <v>31.79965846929702</v>
      </c>
      <c r="AU37" s="29" t="n">
        <v>11.42686876750192</v>
      </c>
      <c r="AV37" s="29" t="n">
        <v>25.38698561866963</v>
      </c>
      <c r="AW37" s="29" t="n">
        <v>86.71990751515617</v>
      </c>
      <c r="AX37" s="29" t="n">
        <v>0</v>
      </c>
      <c r="AY37" s="29" t="n">
        <v>43.23153079488768</v>
      </c>
      <c r="AZ37" s="29" t="n">
        <v>32.7063004446474</v>
      </c>
      <c r="BA37" s="29" t="n">
        <v>116.6786432427179</v>
      </c>
      <c r="BB37" s="29">
        <f>SUM(C37:BA37)</f>
        <v/>
      </c>
      <c r="BC37" s="29" t="n">
        <v>0</v>
      </c>
      <c r="BD37" s="29" t="n">
        <v>0</v>
      </c>
      <c r="BE37" s="29" t="n">
        <v>1882.820238231627</v>
      </c>
      <c r="BF37" s="29" t="n">
        <v>0</v>
      </c>
      <c r="BG37" s="29">
        <f>SUM(BC37:BF37)</f>
        <v/>
      </c>
      <c r="BH37" s="29">
        <f>BB37+BG37</f>
        <v/>
      </c>
    </row>
    <row r="38">
      <c r="A38" s="27" t="n">
        <v>25</v>
      </c>
      <c r="B38" s="28" t="inlineStr">
        <is>
          <t>Fabricação de aço e derivados</t>
        </is>
      </c>
      <c r="C38" s="27" t="n">
        <v>36.94865983457579</v>
      </c>
      <c r="D38" s="27" t="n">
        <v>67.02909763950332</v>
      </c>
      <c r="E38" s="27" t="n">
        <v>394.7684511589655</v>
      </c>
      <c r="F38" s="27" t="n">
        <v>10.49599938231453</v>
      </c>
      <c r="G38" s="27" t="n">
        <v>50.54090531136049</v>
      </c>
      <c r="H38" s="27" t="n">
        <v>129.0121831955979</v>
      </c>
      <c r="I38" s="27" t="n">
        <v>1.545984509087197</v>
      </c>
      <c r="J38" s="27" t="n">
        <v>4.054267782155764</v>
      </c>
      <c r="K38" s="27" t="n">
        <v>5.198587119946587</v>
      </c>
      <c r="L38" s="27" t="n">
        <v>2.799081923841732</v>
      </c>
      <c r="M38" s="27" t="n">
        <v>5.227153980037359</v>
      </c>
      <c r="N38" s="27" t="n">
        <v>37.90217329652049</v>
      </c>
      <c r="O38" s="27" t="n">
        <v>2.480333008772552</v>
      </c>
      <c r="P38" s="27" t="n">
        <v>5.897742156353277</v>
      </c>
      <c r="Q38" s="27" t="n">
        <v>1.408587930337188</v>
      </c>
      <c r="R38" s="27" t="n">
        <v>15.15494537799944</v>
      </c>
      <c r="S38" s="27" t="n">
        <v>2.524580910478047</v>
      </c>
      <c r="T38" s="27" t="n">
        <v>6.168787757341732</v>
      </c>
      <c r="U38" s="27" t="n">
        <v>2.071523743406953</v>
      </c>
      <c r="V38" s="27" t="n">
        <v>9.472422958927552</v>
      </c>
      <c r="W38" s="27" t="n">
        <v>8.690805896216352</v>
      </c>
      <c r="X38" s="27" t="n">
        <v>2.902645794029418</v>
      </c>
      <c r="Y38" s="27" t="n">
        <v>219.6404392140522</v>
      </c>
      <c r="Z38" s="27" t="n">
        <v>147.7547248001337</v>
      </c>
      <c r="AA38" s="27" t="n">
        <v>2925.047100280668</v>
      </c>
      <c r="AB38" s="27" t="n">
        <v>253.1735915931615</v>
      </c>
      <c r="AC38" s="27" t="n">
        <v>4460.570714149049</v>
      </c>
      <c r="AD38" s="27" t="n">
        <v>2012.292654276558</v>
      </c>
      <c r="AE38" s="27" t="n">
        <v>756.0707218877398</v>
      </c>
      <c r="AF38" s="27" t="n">
        <v>63.97565244758391</v>
      </c>
      <c r="AG38" s="27" t="n">
        <v>1286.057714263981</v>
      </c>
      <c r="AH38" s="27" t="n">
        <v>1986.466167166303</v>
      </c>
      <c r="AI38" s="27" t="n">
        <v>147.6651011373968</v>
      </c>
      <c r="AJ38" s="27" t="n">
        <v>335.1588969808003</v>
      </c>
      <c r="AK38" s="27" t="n">
        <v>86.95273269973343</v>
      </c>
      <c r="AL38" s="27" t="n">
        <v>4190.36943486878</v>
      </c>
      <c r="AM38" s="27" t="n">
        <v>339.7398254230213</v>
      </c>
      <c r="AN38" s="27" t="n">
        <v>38.9326353125312</v>
      </c>
      <c r="AO38" s="27" t="n">
        <v>41.58468011188394</v>
      </c>
      <c r="AP38" s="27" t="n">
        <v>37.68658179652312</v>
      </c>
      <c r="AQ38" s="27" t="n">
        <v>11.55683601814673</v>
      </c>
      <c r="AR38" s="27" t="n">
        <v>1.809867754151555</v>
      </c>
      <c r="AS38" s="27" t="n">
        <v>32.87794099689222</v>
      </c>
      <c r="AT38" s="27" t="n">
        <v>105.4218563912261</v>
      </c>
      <c r="AU38" s="27" t="n">
        <v>19.81322481620504</v>
      </c>
      <c r="AV38" s="27" t="n">
        <v>9.587417224922794</v>
      </c>
      <c r="AW38" s="27" t="n">
        <v>42.36754543971795</v>
      </c>
      <c r="AX38" s="27" t="n">
        <v>0</v>
      </c>
      <c r="AY38" s="27" t="n">
        <v>14.16203568437933</v>
      </c>
      <c r="AZ38" s="27" t="n">
        <v>6.998555042011946</v>
      </c>
      <c r="BA38" s="27" t="n">
        <v>59.59444006467988</v>
      </c>
      <c r="BB38" s="27">
        <f>SUM(C38:BA38)</f>
        <v/>
      </c>
      <c r="BC38" s="27" t="n">
        <v>0</v>
      </c>
      <c r="BD38" s="27" t="n">
        <v>0</v>
      </c>
      <c r="BE38" s="27" t="n">
        <v>7371.263080938386</v>
      </c>
      <c r="BF38" s="27" t="n">
        <v>0</v>
      </c>
      <c r="BG38" s="27">
        <f>SUM(BC38:BF38)</f>
        <v/>
      </c>
      <c r="BH38" s="27">
        <f>BB38+BG38</f>
        <v/>
      </c>
    </row>
    <row r="39">
      <c r="A39" s="29" t="n">
        <v>26</v>
      </c>
      <c r="B39" s="30" t="inlineStr">
        <is>
          <t>Metalurgia de metais não-ferrosos</t>
        </is>
      </c>
      <c r="C39" s="29" t="n">
        <v>173.412500392578</v>
      </c>
      <c r="D39" s="29" t="n">
        <v>27.40310016882397</v>
      </c>
      <c r="E39" s="29" t="n">
        <v>17.34564718564996</v>
      </c>
      <c r="F39" s="29" t="n">
        <v>4.974495004352044</v>
      </c>
      <c r="G39" s="29" t="n">
        <v>21.30919857749534</v>
      </c>
      <c r="H39" s="29" t="n">
        <v>251.7777963642671</v>
      </c>
      <c r="I39" s="29" t="n">
        <v>0.5624440355988891</v>
      </c>
      <c r="J39" s="29" t="n">
        <v>5.537087450601075</v>
      </c>
      <c r="K39" s="29" t="n">
        <v>3.508721974642731</v>
      </c>
      <c r="L39" s="29" t="n">
        <v>4.118441822498196</v>
      </c>
      <c r="M39" s="29" t="n">
        <v>2.838451857907568</v>
      </c>
      <c r="N39" s="29" t="n">
        <v>92.99543349272986</v>
      </c>
      <c r="O39" s="29" t="n">
        <v>113.9419743847505</v>
      </c>
      <c r="P39" s="29" t="n">
        <v>2.763902023427016</v>
      </c>
      <c r="Q39" s="29" t="n">
        <v>1.055852961706109</v>
      </c>
      <c r="R39" s="29" t="n">
        <v>205.8587511085252</v>
      </c>
      <c r="S39" s="29" t="n">
        <v>12.01139080594402</v>
      </c>
      <c r="T39" s="29" t="n">
        <v>6.749827680245238</v>
      </c>
      <c r="U39" s="29" t="n">
        <v>7.053995701866492</v>
      </c>
      <c r="V39" s="29" t="n">
        <v>13.00455587254621</v>
      </c>
      <c r="W39" s="29" t="n">
        <v>18.17135588764399</v>
      </c>
      <c r="X39" s="29" t="n">
        <v>105.0542077147113</v>
      </c>
      <c r="Y39" s="29" t="n">
        <v>37.33337795544882</v>
      </c>
      <c r="Z39" s="29" t="n">
        <v>51.71375730640218</v>
      </c>
      <c r="AA39" s="29" t="n">
        <v>518.9178322383252</v>
      </c>
      <c r="AB39" s="29" t="n">
        <v>2474.948686617409</v>
      </c>
      <c r="AC39" s="29" t="n">
        <v>576.4560615982751</v>
      </c>
      <c r="AD39" s="29" t="n">
        <v>723.6674664438433</v>
      </c>
      <c r="AE39" s="29" t="n">
        <v>1650.969360187066</v>
      </c>
      <c r="AF39" s="29" t="n">
        <v>94.52422355138715</v>
      </c>
      <c r="AG39" s="29" t="n">
        <v>162.2747375709246</v>
      </c>
      <c r="AH39" s="29" t="n">
        <v>1401.326265315088</v>
      </c>
      <c r="AI39" s="29" t="n">
        <v>166.1544783325045</v>
      </c>
      <c r="AJ39" s="29" t="n">
        <v>683.1860866313185</v>
      </c>
      <c r="AK39" s="29" t="n">
        <v>72.20198917843759</v>
      </c>
      <c r="AL39" s="29" t="n">
        <v>1274.402272198087</v>
      </c>
      <c r="AM39" s="29" t="n">
        <v>186.7227736085767</v>
      </c>
      <c r="AN39" s="29" t="n">
        <v>25.07932844496681</v>
      </c>
      <c r="AO39" s="29" t="n">
        <v>22.64202756216794</v>
      </c>
      <c r="AP39" s="29" t="n">
        <v>21.48968336694922</v>
      </c>
      <c r="AQ39" s="29" t="n">
        <v>22.63292536725594</v>
      </c>
      <c r="AR39" s="29" t="n">
        <v>1.475733543022213</v>
      </c>
      <c r="AS39" s="29" t="n">
        <v>20.86040856654043</v>
      </c>
      <c r="AT39" s="29" t="n">
        <v>36.77328449556953</v>
      </c>
      <c r="AU39" s="29" t="n">
        <v>14.24227310430775</v>
      </c>
      <c r="AV39" s="29" t="n">
        <v>14.97704564876932</v>
      </c>
      <c r="AW39" s="29" t="n">
        <v>32.87317934009391</v>
      </c>
      <c r="AX39" s="29" t="n">
        <v>0</v>
      </c>
      <c r="AY39" s="29" t="n">
        <v>4.901519071565295</v>
      </c>
      <c r="AZ39" s="29" t="n">
        <v>4.630662439299608</v>
      </c>
      <c r="BA39" s="29" t="n">
        <v>20.34724044924545</v>
      </c>
      <c r="BB39" s="29">
        <f>SUM(C39:BA39)</f>
        <v/>
      </c>
      <c r="BC39" s="29" t="n">
        <v>0</v>
      </c>
      <c r="BD39" s="29" t="n">
        <v>0</v>
      </c>
      <c r="BE39" s="29" t="n">
        <v>4109.695788085484</v>
      </c>
      <c r="BF39" s="29" t="n">
        <v>0</v>
      </c>
      <c r="BG39" s="29">
        <f>SUM(BC39:BF39)</f>
        <v/>
      </c>
      <c r="BH39" s="29">
        <f>BB39+BG39</f>
        <v/>
      </c>
    </row>
    <row r="40">
      <c r="A40" s="28" t="inlineStr">
        <is>
          <t>Produtos de metal</t>
        </is>
      </c>
      <c r="B40" s="28" t="inlineStr">
        <is>
          <t>exclusive máquinas e equipamentos</t>
        </is>
      </c>
      <c r="C40" s="27" t="n">
        <v>88.06536563492145</v>
      </c>
      <c r="D40" s="27" t="n">
        <v>157.2521227692148</v>
      </c>
      <c r="E40" s="27" t="n">
        <v>324.6202418575888</v>
      </c>
      <c r="F40" s="27" t="n">
        <v>154.4872519351841</v>
      </c>
      <c r="G40" s="27" t="n">
        <v>92.47359331258565</v>
      </c>
      <c r="H40" s="27" t="n">
        <v>2051.203080664823</v>
      </c>
      <c r="I40" s="27" t="n">
        <v>9.866628757856198</v>
      </c>
      <c r="J40" s="27" t="n">
        <v>43.5835819221232</v>
      </c>
      <c r="K40" s="27" t="n">
        <v>63.70796085181333</v>
      </c>
      <c r="L40" s="27" t="n">
        <v>35.04413356433764</v>
      </c>
      <c r="M40" s="27" t="n">
        <v>152.6386059352253</v>
      </c>
      <c r="N40" s="27" t="n">
        <v>43.67590815425082</v>
      </c>
      <c r="O40" s="27" t="n">
        <v>17.88498190455685</v>
      </c>
      <c r="P40" s="27" t="n">
        <v>83.3694304328977</v>
      </c>
      <c r="Q40" s="27" t="n">
        <v>12.29645594451277</v>
      </c>
      <c r="R40" s="27" t="n">
        <v>110.7393643237545</v>
      </c>
      <c r="S40" s="27" t="n">
        <v>43.11521084142839</v>
      </c>
      <c r="T40" s="27" t="n">
        <v>39.10653094793132</v>
      </c>
      <c r="U40" s="27" t="n">
        <v>16.18576561098553</v>
      </c>
      <c r="V40" s="27" t="n">
        <v>254.9527905633418</v>
      </c>
      <c r="W40" s="27" t="n">
        <v>244.4584091456782</v>
      </c>
      <c r="X40" s="27" t="n">
        <v>26.43513451991335</v>
      </c>
      <c r="Y40" s="27" t="n">
        <v>86.38885251664942</v>
      </c>
      <c r="Z40" s="27" t="n">
        <v>78.66315240671815</v>
      </c>
      <c r="AA40" s="27" t="n">
        <v>769.5428274990356</v>
      </c>
      <c r="AB40" s="27" t="n">
        <v>100.6482893646047</v>
      </c>
      <c r="AC40" s="27" t="n">
        <v>2011.085105979451</v>
      </c>
      <c r="AD40" s="27" t="n">
        <v>2065.203599072201</v>
      </c>
      <c r="AE40" s="27" t="n">
        <v>626.3969384174591</v>
      </c>
      <c r="AF40" s="27" t="n">
        <v>434.5916784263786</v>
      </c>
      <c r="AG40" s="27" t="n">
        <v>932.4441342127096</v>
      </c>
      <c r="AH40" s="27" t="n">
        <v>792.2638001782805</v>
      </c>
      <c r="AI40" s="27" t="n">
        <v>370.1052854164838</v>
      </c>
      <c r="AJ40" s="27" t="n">
        <v>362.7891352511065</v>
      </c>
      <c r="AK40" s="27" t="n">
        <v>698.9780224846608</v>
      </c>
      <c r="AL40" s="27" t="n">
        <v>6829.280510957601</v>
      </c>
      <c r="AM40" s="27" t="n">
        <v>449.3102561569192</v>
      </c>
      <c r="AN40" s="27" t="n">
        <v>90.85013362098726</v>
      </c>
      <c r="AO40" s="27" t="n">
        <v>38.49492983403196</v>
      </c>
      <c r="AP40" s="27" t="n">
        <v>20.14448455815262</v>
      </c>
      <c r="AQ40" s="27" t="n">
        <v>101.0184788970341</v>
      </c>
      <c r="AR40" s="27" t="n">
        <v>3.120292144815625</v>
      </c>
      <c r="AS40" s="27" t="n">
        <v>431.8947174458017</v>
      </c>
      <c r="AT40" s="27" t="n">
        <v>90.965283242163</v>
      </c>
      <c r="AU40" s="27" t="n">
        <v>12.74620103508561</v>
      </c>
      <c r="AV40" s="27" t="n">
        <v>27.06233455278491</v>
      </c>
      <c r="AW40" s="27" t="n">
        <v>141.0829035333258</v>
      </c>
      <c r="AX40" s="27" t="n">
        <v>0</v>
      </c>
      <c r="AY40" s="27" t="n">
        <v>20.43790790931028</v>
      </c>
      <c r="AZ40" s="27" t="n">
        <v>23.99073516876629</v>
      </c>
      <c r="BA40" s="27" t="n">
        <v>285.6450406627836</v>
      </c>
      <c r="BB40" s="27">
        <f>SUM(C40:BA40)</f>
        <v/>
      </c>
      <c r="BC40" s="27" t="n">
        <v>0</v>
      </c>
      <c r="BD40" s="27" t="n">
        <v>0</v>
      </c>
      <c r="BE40" s="27" t="n">
        <v>4998.834968383503</v>
      </c>
      <c r="BF40" s="27" t="n">
        <v>0</v>
      </c>
      <c r="BG40" s="27">
        <f>SUM(BC40:BF40)</f>
        <v/>
      </c>
      <c r="BH40" s="27">
        <f>BB40+BG40</f>
        <v/>
      </c>
    </row>
    <row r="41">
      <c r="A41" s="29" t="n">
        <v>28</v>
      </c>
      <c r="B41" s="30" t="inlineStr">
        <is>
          <t>Máquinas e equipamentos inclusive manutenção e reparos</t>
        </is>
      </c>
      <c r="C41" s="29" t="n">
        <v>53.20209047119822</v>
      </c>
      <c r="D41" s="29" t="n">
        <v>29.43779982808703</v>
      </c>
      <c r="E41" s="29" t="n">
        <v>1471.601240080139</v>
      </c>
      <c r="F41" s="29" t="n">
        <v>1075.759705463253</v>
      </c>
      <c r="G41" s="29" t="n">
        <v>680.7266964561113</v>
      </c>
      <c r="H41" s="29" t="n">
        <v>726.8478867562792</v>
      </c>
      <c r="I41" s="29" t="n">
        <v>5.41564394484173</v>
      </c>
      <c r="J41" s="29" t="n">
        <v>103.1336301551958</v>
      </c>
      <c r="K41" s="29" t="n">
        <v>215.2876149536459</v>
      </c>
      <c r="L41" s="29" t="n">
        <v>79.29621263436974</v>
      </c>
      <c r="M41" s="29" t="n">
        <v>224.9678471947389</v>
      </c>
      <c r="N41" s="29" t="n">
        <v>534.9885801274366</v>
      </c>
      <c r="O41" s="29" t="n">
        <v>391.7167560404121</v>
      </c>
      <c r="P41" s="29" t="n">
        <v>166.0425322674308</v>
      </c>
      <c r="Q41" s="29" t="n">
        <v>108.20092254321</v>
      </c>
      <c r="R41" s="29" t="n">
        <v>253.0366844607047</v>
      </c>
      <c r="S41" s="29" t="n">
        <v>105.5729784410107</v>
      </c>
      <c r="T41" s="29" t="n">
        <v>135.2903898949022</v>
      </c>
      <c r="U41" s="29" t="n">
        <v>40.95850016176827</v>
      </c>
      <c r="V41" s="29" t="n">
        <v>64.2452949482811</v>
      </c>
      <c r="W41" s="29" t="n">
        <v>80.69475648232523</v>
      </c>
      <c r="X41" s="29" t="n">
        <v>122.4855908355106</v>
      </c>
      <c r="Y41" s="29" t="n">
        <v>237.9209557232606</v>
      </c>
      <c r="Z41" s="29" t="n">
        <v>663.0914951764919</v>
      </c>
      <c r="AA41" s="29" t="n">
        <v>2710.522731995533</v>
      </c>
      <c r="AB41" s="29" t="n">
        <v>523.6047737624224</v>
      </c>
      <c r="AC41" s="29" t="n">
        <v>267.867754462485</v>
      </c>
      <c r="AD41" s="29" t="n">
        <v>8916.633310248309</v>
      </c>
      <c r="AE41" s="29" t="n">
        <v>408.3486493245788</v>
      </c>
      <c r="AF41" s="29" t="n">
        <v>278.1694583366333</v>
      </c>
      <c r="AG41" s="29" t="n">
        <v>691.2794277991899</v>
      </c>
      <c r="AH41" s="29" t="n">
        <v>344.9173012565757</v>
      </c>
      <c r="AI41" s="29" t="n">
        <v>206.035404810139</v>
      </c>
      <c r="AJ41" s="29" t="n">
        <v>171.1850566212841</v>
      </c>
      <c r="AK41" s="29" t="n">
        <v>625.1701788173973</v>
      </c>
      <c r="AL41" s="29" t="n">
        <v>2419.412319932054</v>
      </c>
      <c r="AM41" s="29" t="n">
        <v>1351.23283639566</v>
      </c>
      <c r="AN41" s="29" t="n">
        <v>1324.233623225699</v>
      </c>
      <c r="AO41" s="29" t="n">
        <v>617.4746960322477</v>
      </c>
      <c r="AP41" s="29" t="n">
        <v>92.67710541116016</v>
      </c>
      <c r="AQ41" s="29" t="n">
        <v>28.99315248847842</v>
      </c>
      <c r="AR41" s="29" t="n">
        <v>31.63861821552108</v>
      </c>
      <c r="AS41" s="29" t="n">
        <v>73.79043545590304</v>
      </c>
      <c r="AT41" s="29" t="n">
        <v>715.9681750456693</v>
      </c>
      <c r="AU41" s="29" t="n">
        <v>10.21209689337049</v>
      </c>
      <c r="AV41" s="29" t="n">
        <v>208.6491798797023</v>
      </c>
      <c r="AW41" s="29" t="n">
        <v>589.8023441597466</v>
      </c>
      <c r="AX41" s="29" t="n">
        <v>0</v>
      </c>
      <c r="AY41" s="29" t="n">
        <v>77.1519573697388</v>
      </c>
      <c r="AZ41" s="29" t="n">
        <v>222.6979970332845</v>
      </c>
      <c r="BA41" s="29" t="n">
        <v>295.5203236234029</v>
      </c>
      <c r="BB41" s="29">
        <f>SUM(C41:BA41)</f>
        <v/>
      </c>
      <c r="BC41" s="29" t="n">
        <v>0</v>
      </c>
      <c r="BD41" s="29" t="n">
        <v>0</v>
      </c>
      <c r="BE41" s="29" t="n">
        <v>15718.60096307391</v>
      </c>
      <c r="BF41" s="29" t="n">
        <v>0</v>
      </c>
      <c r="BG41" s="29">
        <f>SUM(BC41:BF41)</f>
        <v/>
      </c>
      <c r="BH41" s="29">
        <f>BB41+BG41</f>
        <v/>
      </c>
    </row>
    <row r="42">
      <c r="A42" s="27" t="n">
        <v>29</v>
      </c>
      <c r="B42" s="28" t="inlineStr">
        <is>
          <t>Eletrodomésticos e material eletronico</t>
        </is>
      </c>
      <c r="C42" s="27" t="n">
        <v>13.3431057358606</v>
      </c>
      <c r="D42" s="27" t="n">
        <v>32.66433875142324</v>
      </c>
      <c r="E42" s="27" t="n">
        <v>67.65422924807972</v>
      </c>
      <c r="F42" s="27" t="n">
        <v>18.12484337942114</v>
      </c>
      <c r="G42" s="27" t="n">
        <v>20.62297549009565</v>
      </c>
      <c r="H42" s="27" t="n">
        <v>97.67209465024028</v>
      </c>
      <c r="I42" s="27" t="n">
        <v>2.289539242867862</v>
      </c>
      <c r="J42" s="27" t="n">
        <v>27.60501007872852</v>
      </c>
      <c r="K42" s="27" t="n">
        <v>12.4823985457057</v>
      </c>
      <c r="L42" s="27" t="n">
        <v>7.176409757536117</v>
      </c>
      <c r="M42" s="27" t="n">
        <v>13.31051776177729</v>
      </c>
      <c r="N42" s="27" t="n">
        <v>25.30429247799476</v>
      </c>
      <c r="O42" s="27" t="n">
        <v>13.66690389789921</v>
      </c>
      <c r="P42" s="27" t="n">
        <v>5.349167755919281</v>
      </c>
      <c r="Q42" s="27" t="n">
        <v>2.712785862789245</v>
      </c>
      <c r="R42" s="27" t="n">
        <v>33.38070686011746</v>
      </c>
      <c r="S42" s="27" t="n">
        <v>13.14382504856391</v>
      </c>
      <c r="T42" s="27" t="n">
        <v>7.325011718489344</v>
      </c>
      <c r="U42" s="27" t="n">
        <v>2.510731235994323</v>
      </c>
      <c r="V42" s="27" t="n">
        <v>9.748964091142861</v>
      </c>
      <c r="W42" s="27" t="n">
        <v>4.705116509766001</v>
      </c>
      <c r="X42" s="27" t="n">
        <v>10.26702996082266</v>
      </c>
      <c r="Y42" s="27" t="n">
        <v>43.37162515935654</v>
      </c>
      <c r="Z42" s="27" t="n">
        <v>56.87323414447908</v>
      </c>
      <c r="AA42" s="27" t="n">
        <v>54.12761871821616</v>
      </c>
      <c r="AB42" s="27" t="n">
        <v>76.00514706412275</v>
      </c>
      <c r="AC42" s="27" t="n">
        <v>45.85058018793744</v>
      </c>
      <c r="AD42" s="27" t="n">
        <v>1364.639858883397</v>
      </c>
      <c r="AE42" s="27" t="n">
        <v>2235.120872078269</v>
      </c>
      <c r="AF42" s="27" t="n">
        <v>1039.119568056144</v>
      </c>
      <c r="AG42" s="27" t="n">
        <v>291.1183164118313</v>
      </c>
      <c r="AH42" s="27" t="n">
        <v>405.7830529259762</v>
      </c>
      <c r="AI42" s="27" t="n">
        <v>72.24967815711778</v>
      </c>
      <c r="AJ42" s="27" t="n">
        <v>99.09150959642437</v>
      </c>
      <c r="AK42" s="27" t="n">
        <v>1452.587450710355</v>
      </c>
      <c r="AL42" s="27" t="n">
        <v>3429.881650353222</v>
      </c>
      <c r="AM42" s="27" t="n">
        <v>377.0569811108318</v>
      </c>
      <c r="AN42" s="27" t="n">
        <v>380.8868496319626</v>
      </c>
      <c r="AO42" s="27" t="n">
        <v>312.1242311674131</v>
      </c>
      <c r="AP42" s="27" t="n">
        <v>29.39561482930132</v>
      </c>
      <c r="AQ42" s="27" t="n">
        <v>115.3569714904235</v>
      </c>
      <c r="AR42" s="27" t="n">
        <v>177.2075834059713</v>
      </c>
      <c r="AS42" s="27" t="n">
        <v>25.60092514786013</v>
      </c>
      <c r="AT42" s="27" t="n">
        <v>257.7703474011347</v>
      </c>
      <c r="AU42" s="27" t="n">
        <v>8.141792309639918</v>
      </c>
      <c r="AV42" s="27" t="n">
        <v>95.99931586948837</v>
      </c>
      <c r="AW42" s="27" t="n">
        <v>408.2605499692319</v>
      </c>
      <c r="AX42" s="27" t="n">
        <v>0</v>
      </c>
      <c r="AY42" s="27" t="n">
        <v>48.02703825411833</v>
      </c>
      <c r="AZ42" s="27" t="n">
        <v>44.210131122436</v>
      </c>
      <c r="BA42" s="27" t="n">
        <v>56.32951478693285</v>
      </c>
      <c r="BB42" s="27">
        <f>SUM(C42:BA42)</f>
        <v/>
      </c>
      <c r="BC42" s="27" t="n">
        <v>0</v>
      </c>
      <c r="BD42" s="27" t="n">
        <v>0</v>
      </c>
      <c r="BE42" s="27" t="n">
        <v>8215.161549793567</v>
      </c>
      <c r="BF42" s="27" t="n">
        <v>0</v>
      </c>
      <c r="BG42" s="27">
        <f>SUM(BC42:BF42)</f>
        <v/>
      </c>
      <c r="BH42" s="27">
        <f>BB42+BG42</f>
        <v/>
      </c>
    </row>
    <row r="43">
      <c r="A43" s="29" t="n">
        <v>30</v>
      </c>
      <c r="B43" s="30" t="inlineStr">
        <is>
          <t>Máquinas para escritório aparelhos e e material eletronico</t>
        </is>
      </c>
      <c r="C43" s="29" t="n">
        <v>2.584445341850281</v>
      </c>
      <c r="D43" s="29" t="n">
        <v>3.083425575288606</v>
      </c>
      <c r="E43" s="29" t="n">
        <v>114.2880713406765</v>
      </c>
      <c r="F43" s="29" t="n">
        <v>13.92366540075455</v>
      </c>
      <c r="G43" s="29" t="n">
        <v>31.71422728705438</v>
      </c>
      <c r="H43" s="29" t="n">
        <v>80.34837578707121</v>
      </c>
      <c r="I43" s="29" t="n">
        <v>2.764337197444398</v>
      </c>
      <c r="J43" s="29" t="n">
        <v>6.420353509919332</v>
      </c>
      <c r="K43" s="29" t="n">
        <v>4.401377557875088</v>
      </c>
      <c r="L43" s="29" t="n">
        <v>5.101367966854228</v>
      </c>
      <c r="M43" s="29" t="n">
        <v>7.433882217413077</v>
      </c>
      <c r="N43" s="29" t="n">
        <v>15.43830442205066</v>
      </c>
      <c r="O43" s="29" t="n">
        <v>223.6110942377909</v>
      </c>
      <c r="P43" s="29" t="n">
        <v>9.531522011241057</v>
      </c>
      <c r="Q43" s="29" t="n">
        <v>2.540712695040015</v>
      </c>
      <c r="R43" s="29" t="n">
        <v>12.22107789158814</v>
      </c>
      <c r="S43" s="29" t="n">
        <v>6.877044142057207</v>
      </c>
      <c r="T43" s="29" t="n">
        <v>24.17928956853181</v>
      </c>
      <c r="U43" s="29" t="n">
        <v>5.294936391853371</v>
      </c>
      <c r="V43" s="29" t="n">
        <v>13.3434926878242</v>
      </c>
      <c r="W43" s="29" t="n">
        <v>9.627176462224689</v>
      </c>
      <c r="X43" s="29" t="n">
        <v>29.36322820175866</v>
      </c>
      <c r="Y43" s="29" t="n">
        <v>21.9981526380262</v>
      </c>
      <c r="Z43" s="29" t="n">
        <v>16.1161214535976</v>
      </c>
      <c r="AA43" s="29" t="n">
        <v>35.20644569108624</v>
      </c>
      <c r="AB43" s="29" t="n">
        <v>9.597654302698931</v>
      </c>
      <c r="AC43" s="29" t="n">
        <v>10.06672003188391</v>
      </c>
      <c r="AD43" s="29" t="n">
        <v>561.3036067843721</v>
      </c>
      <c r="AE43" s="29" t="n">
        <v>298.3627995240743</v>
      </c>
      <c r="AF43" s="29" t="n">
        <v>18813.36453540543</v>
      </c>
      <c r="AG43" s="29" t="n">
        <v>157.513955970964</v>
      </c>
      <c r="AH43" s="29" t="n">
        <v>142.4587640820401</v>
      </c>
      <c r="AI43" s="29" t="n">
        <v>24.7084840471883</v>
      </c>
      <c r="AJ43" s="29" t="n">
        <v>40.37495977381448</v>
      </c>
      <c r="AK43" s="29" t="n">
        <v>132.2876531498352</v>
      </c>
      <c r="AL43" s="29" t="n">
        <v>299.9039229428059</v>
      </c>
      <c r="AM43" s="29" t="n">
        <v>236.978099351366</v>
      </c>
      <c r="AN43" s="29" t="n">
        <v>174.8850466154123</v>
      </c>
      <c r="AO43" s="29" t="n">
        <v>1238.829898772657</v>
      </c>
      <c r="AP43" s="29" t="n">
        <v>281.3837916548699</v>
      </c>
      <c r="AQ43" s="29" t="n">
        <v>9.027390958414976</v>
      </c>
      <c r="AR43" s="29" t="n">
        <v>613.4343176999328</v>
      </c>
      <c r="AS43" s="29" t="n">
        <v>11.3393593150108</v>
      </c>
      <c r="AT43" s="29" t="n">
        <v>1637.964860044469</v>
      </c>
      <c r="AU43" s="29" t="n">
        <v>99.83425363241955</v>
      </c>
      <c r="AV43" s="29" t="n">
        <v>2820.665647822864</v>
      </c>
      <c r="AW43" s="29" t="n">
        <v>223.894562224525</v>
      </c>
      <c r="AX43" s="29" t="n">
        <v>0</v>
      </c>
      <c r="AY43" s="29" t="n">
        <v>1271.674946505134</v>
      </c>
      <c r="AZ43" s="29" t="n">
        <v>1242.900509359799</v>
      </c>
      <c r="BA43" s="29" t="n">
        <v>445.0298692907692</v>
      </c>
      <c r="BB43" s="29">
        <f>SUM(C43:BA43)</f>
        <v/>
      </c>
      <c r="BC43" s="29" t="n">
        <v>0</v>
      </c>
      <c r="BD43" s="29" t="n">
        <v>0</v>
      </c>
      <c r="BE43" s="29" t="n">
        <v>18442.71956488972</v>
      </c>
      <c r="BF43" s="29" t="n">
        <v>0</v>
      </c>
      <c r="BG43" s="29">
        <f>SUM(BC43:BF43)</f>
        <v/>
      </c>
      <c r="BH43" s="29">
        <f>BB43+BG43</f>
        <v/>
      </c>
    </row>
    <row r="44">
      <c r="A44" s="27" t="n">
        <v>31</v>
      </c>
      <c r="B44" s="28" t="inlineStr">
        <is>
          <t>Automóveis camionetas caminhões e ônibus</t>
        </is>
      </c>
      <c r="C44" s="27" t="n">
        <v>4.506550430542227</v>
      </c>
      <c r="D44" s="27" t="n">
        <v>6.214263101315651</v>
      </c>
      <c r="E44" s="27" t="n">
        <v>40.75692649570485</v>
      </c>
      <c r="F44" s="27" t="n">
        <v>17.07147112500283</v>
      </c>
      <c r="G44" s="27" t="n">
        <v>11.59689858143625</v>
      </c>
      <c r="H44" s="27" t="n">
        <v>124.9167114332786</v>
      </c>
      <c r="I44" s="27" t="n">
        <v>3.076036215146148</v>
      </c>
      <c r="J44" s="27" t="n">
        <v>4.38687852073574</v>
      </c>
      <c r="K44" s="27" t="n">
        <v>5.232737736353247</v>
      </c>
      <c r="L44" s="27" t="n">
        <v>4.72345861320222</v>
      </c>
      <c r="M44" s="27" t="n">
        <v>7.426515892105361</v>
      </c>
      <c r="N44" s="27" t="n">
        <v>11.03654861228129</v>
      </c>
      <c r="O44" s="27" t="n">
        <v>4.43424449493599</v>
      </c>
      <c r="P44" s="27" t="n">
        <v>10.90437316520049</v>
      </c>
      <c r="Q44" s="27" t="n">
        <v>2.174419799328773</v>
      </c>
      <c r="R44" s="27" t="n">
        <v>15.87576389633864</v>
      </c>
      <c r="S44" s="27" t="n">
        <v>3.90542672670096</v>
      </c>
      <c r="T44" s="27" t="n">
        <v>11.44406800034494</v>
      </c>
      <c r="U44" s="27" t="n">
        <v>4.13420007233342</v>
      </c>
      <c r="V44" s="27" t="n">
        <v>11.72568063851192</v>
      </c>
      <c r="W44" s="27" t="n">
        <v>10.56582953001242</v>
      </c>
      <c r="X44" s="27" t="n">
        <v>13.24685811865427</v>
      </c>
      <c r="Y44" s="27" t="n">
        <v>9.740921527369881</v>
      </c>
      <c r="Z44" s="27" t="n">
        <v>14.84514911332289</v>
      </c>
      <c r="AA44" s="27" t="n">
        <v>51.51016182856375</v>
      </c>
      <c r="AB44" s="27" t="n">
        <v>9.187114862538527</v>
      </c>
      <c r="AC44" s="27" t="n">
        <v>64.68091572831241</v>
      </c>
      <c r="AD44" s="27" t="n">
        <v>173.7433817226291</v>
      </c>
      <c r="AE44" s="27" t="n">
        <v>60.19579909641227</v>
      </c>
      <c r="AF44" s="27" t="n">
        <v>38.37976175457944</v>
      </c>
      <c r="AG44" s="27" t="n">
        <v>2182.178747750695</v>
      </c>
      <c r="AH44" s="27" t="n">
        <v>73.74974513149212</v>
      </c>
      <c r="AI44" s="27" t="n">
        <v>40.10541148609401</v>
      </c>
      <c r="AJ44" s="27" t="n">
        <v>14.19343729640784</v>
      </c>
      <c r="AK44" s="27" t="n">
        <v>67.3195553468272</v>
      </c>
      <c r="AL44" s="27" t="n">
        <v>307.418419580091</v>
      </c>
      <c r="AM44" s="27" t="n">
        <v>280.7971499271863</v>
      </c>
      <c r="AN44" s="27" t="n">
        <v>241.3167362384609</v>
      </c>
      <c r="AO44" s="27" t="n">
        <v>56.88445340953788</v>
      </c>
      <c r="AP44" s="27" t="n">
        <v>43.09250718928998</v>
      </c>
      <c r="AQ44" s="27" t="n">
        <v>8.461802955930054</v>
      </c>
      <c r="AR44" s="27" t="n">
        <v>0.8711506552882693</v>
      </c>
      <c r="AS44" s="27" t="n">
        <v>18.0218856640374</v>
      </c>
      <c r="AT44" s="27" t="n">
        <v>92.85497013779454</v>
      </c>
      <c r="AU44" s="27" t="n">
        <v>9.872045054491718</v>
      </c>
      <c r="AV44" s="27" t="n">
        <v>5.273712383956397</v>
      </c>
      <c r="AW44" s="27" t="n">
        <v>33.22592002945946</v>
      </c>
      <c r="AX44" s="27" t="n">
        <v>0</v>
      </c>
      <c r="AY44" s="27" t="n">
        <v>10.91330393895189</v>
      </c>
      <c r="AZ44" s="27" t="n">
        <v>12.04359794267298</v>
      </c>
      <c r="BA44" s="27" t="n">
        <v>58.11976574544891</v>
      </c>
      <c r="BB44" s="27">
        <f>SUM(C44:BA44)</f>
        <v/>
      </c>
      <c r="BC44" s="27" t="n">
        <v>0</v>
      </c>
      <c r="BD44" s="27" t="n">
        <v>0</v>
      </c>
      <c r="BE44" s="27" t="n">
        <v>30841.7693087857</v>
      </c>
      <c r="BF44" s="27" t="n">
        <v>0</v>
      </c>
      <c r="BG44" s="27">
        <f>SUM(BC44:BF44)</f>
        <v/>
      </c>
      <c r="BH44" s="27">
        <f>BB44+BG44</f>
        <v/>
      </c>
    </row>
    <row r="45">
      <c r="A45" s="29" t="n">
        <v>32</v>
      </c>
      <c r="B45" s="30" t="inlineStr">
        <is>
          <t>Peças e acessórios para veículos automotores</t>
        </is>
      </c>
      <c r="C45" s="29" t="n">
        <v>6.208543385743323</v>
      </c>
      <c r="D45" s="29" t="n">
        <v>5.185959264512938</v>
      </c>
      <c r="E45" s="29" t="n">
        <v>40.93669481258684</v>
      </c>
      <c r="F45" s="29" t="n">
        <v>24.53624606926869</v>
      </c>
      <c r="G45" s="29" t="n">
        <v>17.49253037113562</v>
      </c>
      <c r="H45" s="29" t="n">
        <v>92.28713757950713</v>
      </c>
      <c r="I45" s="29" t="n">
        <v>1.469013705654591</v>
      </c>
      <c r="J45" s="29" t="n">
        <v>9.189927427059491</v>
      </c>
      <c r="K45" s="29" t="n">
        <v>14.70983018542524</v>
      </c>
      <c r="L45" s="29" t="n">
        <v>11.2528500776307</v>
      </c>
      <c r="M45" s="29" t="n">
        <v>6.878475516487749</v>
      </c>
      <c r="N45" s="29" t="n">
        <v>14.69974506419047</v>
      </c>
      <c r="O45" s="29" t="n">
        <v>14.06378067877871</v>
      </c>
      <c r="P45" s="29" t="n">
        <v>7.097817596523928</v>
      </c>
      <c r="Q45" s="29" t="n">
        <v>2.71314767367164</v>
      </c>
      <c r="R45" s="29" t="n">
        <v>13.00064789941767</v>
      </c>
      <c r="S45" s="29" t="n">
        <v>4.149022232933227</v>
      </c>
      <c r="T45" s="29" t="n">
        <v>8.597580693689688</v>
      </c>
      <c r="U45" s="29" t="n">
        <v>3.536318500171889</v>
      </c>
      <c r="V45" s="29" t="n">
        <v>11.10619434796013</v>
      </c>
      <c r="W45" s="29" t="n">
        <v>5.612112707049824</v>
      </c>
      <c r="X45" s="29" t="n">
        <v>4.627081597403846</v>
      </c>
      <c r="Y45" s="29" t="n">
        <v>65.62658863335075</v>
      </c>
      <c r="Z45" s="29" t="n">
        <v>26.59731920156112</v>
      </c>
      <c r="AA45" s="29" t="n">
        <v>73.49389709866915</v>
      </c>
      <c r="AB45" s="29" t="n">
        <v>21.45643664691871</v>
      </c>
      <c r="AC45" s="29" t="n">
        <v>42.73227453272269</v>
      </c>
      <c r="AD45" s="29" t="n">
        <v>253.8847504070759</v>
      </c>
      <c r="AE45" s="29" t="n">
        <v>63.54083033600055</v>
      </c>
      <c r="AF45" s="29" t="n">
        <v>115.3614719623549</v>
      </c>
      <c r="AG45" s="29" t="n">
        <v>8937.108581747872</v>
      </c>
      <c r="AH45" s="29" t="n">
        <v>3021.369052242799</v>
      </c>
      <c r="AI45" s="29" t="n">
        <v>33.69763562529987</v>
      </c>
      <c r="AJ45" s="29" t="n">
        <v>17.45933422200668</v>
      </c>
      <c r="AK45" s="29" t="n">
        <v>40.72876269856609</v>
      </c>
      <c r="AL45" s="29" t="n">
        <v>249.8749674172408</v>
      </c>
      <c r="AM45" s="29" t="n">
        <v>3601.397628539229</v>
      </c>
      <c r="AN45" s="29" t="n">
        <v>2839.926127841982</v>
      </c>
      <c r="AO45" s="29" t="n">
        <v>44.18993758306672</v>
      </c>
      <c r="AP45" s="29" t="n">
        <v>31.60854623805113</v>
      </c>
      <c r="AQ45" s="29" t="n">
        <v>8.890862490093728</v>
      </c>
      <c r="AR45" s="29" t="n">
        <v>3.522829103294473</v>
      </c>
      <c r="AS45" s="29" t="n">
        <v>19.84993401888498</v>
      </c>
      <c r="AT45" s="29" t="n">
        <v>112.2603579187074</v>
      </c>
      <c r="AU45" s="29" t="n">
        <v>13.06562075715756</v>
      </c>
      <c r="AV45" s="29" t="n">
        <v>72.91532367958794</v>
      </c>
      <c r="AW45" s="29" t="n">
        <v>40.8125442545989</v>
      </c>
      <c r="AX45" s="29" t="n">
        <v>0</v>
      </c>
      <c r="AY45" s="29" t="n">
        <v>133.6426019112638</v>
      </c>
      <c r="AZ45" s="29" t="n">
        <v>80.18401660350156</v>
      </c>
      <c r="BA45" s="29" t="n">
        <v>292.9496025913394</v>
      </c>
      <c r="BB45" s="29">
        <f>SUM(C45:BA45)</f>
        <v/>
      </c>
      <c r="BC45" s="29" t="n">
        <v>0</v>
      </c>
      <c r="BD45" s="29" t="n">
        <v>0</v>
      </c>
      <c r="BE45" s="29" t="n">
        <v>5504.872598977502</v>
      </c>
      <c r="BF45" s="29" t="n">
        <v>0</v>
      </c>
      <c r="BG45" s="29">
        <f>SUM(BC45:BF45)</f>
        <v/>
      </c>
      <c r="BH45" s="29">
        <f>BB45+BG45</f>
        <v/>
      </c>
    </row>
    <row r="46">
      <c r="A46" s="27" t="n">
        <v>33</v>
      </c>
      <c r="B46" s="28" t="inlineStr">
        <is>
          <t>Outros equipamentos de transporte</t>
        </is>
      </c>
      <c r="C46" s="27" t="n">
        <v>0.4267790654887428</v>
      </c>
      <c r="D46" s="27" t="n">
        <v>0.3881232340413112</v>
      </c>
      <c r="E46" s="27" t="n">
        <v>5.170749937408443</v>
      </c>
      <c r="F46" s="27" t="n">
        <v>1.415632786729818</v>
      </c>
      <c r="G46" s="27" t="n">
        <v>1.087605098696533</v>
      </c>
      <c r="H46" s="27" t="n">
        <v>11.08202949385993</v>
      </c>
      <c r="I46" s="27" t="n">
        <v>0.5949140471221408</v>
      </c>
      <c r="J46" s="27" t="n">
        <v>0.6165952323118595</v>
      </c>
      <c r="K46" s="27" t="n">
        <v>6.786020631270327</v>
      </c>
      <c r="L46" s="27" t="n">
        <v>2.13486140282401</v>
      </c>
      <c r="M46" s="27" t="n">
        <v>0.5182005762156097</v>
      </c>
      <c r="N46" s="27" t="n">
        <v>1.331995570818761</v>
      </c>
      <c r="O46" s="27" t="n">
        <v>0.3727626862605644</v>
      </c>
      <c r="P46" s="27" t="n">
        <v>1.553047070432938</v>
      </c>
      <c r="Q46" s="27" t="n">
        <v>0.2657976578447115</v>
      </c>
      <c r="R46" s="27" t="n">
        <v>1.940460261464146</v>
      </c>
      <c r="S46" s="27" t="n">
        <v>0.5065262126092498</v>
      </c>
      <c r="T46" s="27" t="n">
        <v>2.122745257863586</v>
      </c>
      <c r="U46" s="27" t="n">
        <v>0.8774516762185605</v>
      </c>
      <c r="V46" s="27" t="n">
        <v>1.219789014443201</v>
      </c>
      <c r="W46" s="27" t="n">
        <v>0.8599876183932736</v>
      </c>
      <c r="X46" s="27" t="n">
        <v>0.6134750387656717</v>
      </c>
      <c r="Y46" s="27" t="n">
        <v>1.406400021090366</v>
      </c>
      <c r="Z46" s="27" t="n">
        <v>2.088948088582896</v>
      </c>
      <c r="AA46" s="27" t="n">
        <v>3.903878618353402</v>
      </c>
      <c r="AB46" s="27" t="n">
        <v>0.8175448727100336</v>
      </c>
      <c r="AC46" s="27" t="n">
        <v>4.333189009405134</v>
      </c>
      <c r="AD46" s="27" t="n">
        <v>648.5016848462293</v>
      </c>
      <c r="AE46" s="27" t="n">
        <v>2.243548431826594</v>
      </c>
      <c r="AF46" s="27" t="n">
        <v>3.732230800066858</v>
      </c>
      <c r="AG46" s="27" t="n">
        <v>4.850656704573213</v>
      </c>
      <c r="AH46" s="27" t="n">
        <v>3.92760401742142</v>
      </c>
      <c r="AI46" s="27" t="n">
        <v>3408.146633703868</v>
      </c>
      <c r="AJ46" s="27" t="n">
        <v>8.088749978114055</v>
      </c>
      <c r="AK46" s="27" t="n">
        <v>4.714674898622663</v>
      </c>
      <c r="AL46" s="27" t="n">
        <v>18.27237093760021</v>
      </c>
      <c r="AM46" s="27" t="n">
        <v>83.54884221014052</v>
      </c>
      <c r="AN46" s="27" t="n">
        <v>505.0461997885249</v>
      </c>
      <c r="AO46" s="27" t="n">
        <v>11.45812791231274</v>
      </c>
      <c r="AP46" s="27" t="n">
        <v>10.64653006408817</v>
      </c>
      <c r="AQ46" s="27" t="n">
        <v>1.468635106298908</v>
      </c>
      <c r="AR46" s="27" t="n">
        <v>36.09858318966878</v>
      </c>
      <c r="AS46" s="27" t="n">
        <v>2.35351763727366</v>
      </c>
      <c r="AT46" s="27" t="n">
        <v>16.88823484480616</v>
      </c>
      <c r="AU46" s="27" t="n">
        <v>2.905563452009601</v>
      </c>
      <c r="AV46" s="27" t="n">
        <v>1.401648073958735</v>
      </c>
      <c r="AW46" s="27" t="n">
        <v>7.007898503212985</v>
      </c>
      <c r="AX46" s="27" t="n">
        <v>0</v>
      </c>
      <c r="AY46" s="27" t="n">
        <v>3.172856611257017</v>
      </c>
      <c r="AZ46" s="27" t="n">
        <v>2.743243958371573</v>
      </c>
      <c r="BA46" s="27" t="n">
        <v>111.5566354166988</v>
      </c>
      <c r="BB46" s="27">
        <f>SUM(C46:BA46)</f>
        <v/>
      </c>
      <c r="BC46" s="27" t="n">
        <v>0</v>
      </c>
      <c r="BD46" s="27" t="n">
        <v>0</v>
      </c>
      <c r="BE46" s="27" t="n">
        <v>6501.055409525673</v>
      </c>
      <c r="BF46" s="27" t="n">
        <v>0</v>
      </c>
      <c r="BG46" s="27">
        <f>SUM(BC46:BF46)</f>
        <v/>
      </c>
      <c r="BH46" s="27">
        <f>BB46+BG46</f>
        <v/>
      </c>
    </row>
    <row r="47">
      <c r="A47" s="29" t="n">
        <v>34</v>
      </c>
      <c r="B47" s="30" t="inlineStr">
        <is>
          <t>Móveis e produtos das indústrias diversas</t>
        </is>
      </c>
      <c r="C47" s="29" t="n">
        <v>10.1080061062428</v>
      </c>
      <c r="D47" s="29" t="n">
        <v>6.619355587686814</v>
      </c>
      <c r="E47" s="29" t="n">
        <v>25.08169029740707</v>
      </c>
      <c r="F47" s="29" t="n">
        <v>14.8116787092226</v>
      </c>
      <c r="G47" s="29" t="n">
        <v>6.381905800299035</v>
      </c>
      <c r="H47" s="29" t="n">
        <v>96.09068494121405</v>
      </c>
      <c r="I47" s="29" t="n">
        <v>0.5312878116834672</v>
      </c>
      <c r="J47" s="29" t="n">
        <v>34.89476347535945</v>
      </c>
      <c r="K47" s="29" t="n">
        <v>938.8539356204304</v>
      </c>
      <c r="L47" s="29" t="n">
        <v>231.6286830264897</v>
      </c>
      <c r="M47" s="29" t="n">
        <v>21.80489171027379</v>
      </c>
      <c r="N47" s="29" t="n">
        <v>10.60981269334896</v>
      </c>
      <c r="O47" s="29" t="n">
        <v>7.939444562516569</v>
      </c>
      <c r="P47" s="29" t="n">
        <v>3.819973842910293</v>
      </c>
      <c r="Q47" s="29" t="n">
        <v>1.04367856331628</v>
      </c>
      <c r="R47" s="29" t="n">
        <v>46.75421783865563</v>
      </c>
      <c r="S47" s="29" t="n">
        <v>18.59425388327752</v>
      </c>
      <c r="T47" s="29" t="n">
        <v>9.760655946795197</v>
      </c>
      <c r="U47" s="29" t="n">
        <v>21.00847319733997</v>
      </c>
      <c r="V47" s="29" t="n">
        <v>12.31910529974742</v>
      </c>
      <c r="W47" s="29" t="n">
        <v>6.073952351142905</v>
      </c>
      <c r="X47" s="29" t="n">
        <v>4.113207777851692</v>
      </c>
      <c r="Y47" s="29" t="n">
        <v>84.77091782910701</v>
      </c>
      <c r="Z47" s="29" t="n">
        <v>80.62587465453441</v>
      </c>
      <c r="AA47" s="29" t="n">
        <v>20.82022573655633</v>
      </c>
      <c r="AB47" s="29" t="n">
        <v>2.489525959715737</v>
      </c>
      <c r="AC47" s="29" t="n">
        <v>28.89300260968368</v>
      </c>
      <c r="AD47" s="29" t="n">
        <v>308.7295246133678</v>
      </c>
      <c r="AE47" s="29" t="n">
        <v>20.27606610508046</v>
      </c>
      <c r="AF47" s="29" t="n">
        <v>23.81832450327636</v>
      </c>
      <c r="AG47" s="29" t="n">
        <v>148.6341397451375</v>
      </c>
      <c r="AH47" s="29" t="n">
        <v>261.1672902079946</v>
      </c>
      <c r="AI47" s="29" t="n">
        <v>29.47722297087502</v>
      </c>
      <c r="AJ47" s="29" t="n">
        <v>1088.859241534813</v>
      </c>
      <c r="AK47" s="29" t="n">
        <v>53.31429622443957</v>
      </c>
      <c r="AL47" s="29" t="n">
        <v>557.7968918093563</v>
      </c>
      <c r="AM47" s="29" t="n">
        <v>205.632935947674</v>
      </c>
      <c r="AN47" s="29" t="n">
        <v>176.1111326264865</v>
      </c>
      <c r="AO47" s="29" t="n">
        <v>58.54220206901469</v>
      </c>
      <c r="AP47" s="29" t="n">
        <v>87.08215587770424</v>
      </c>
      <c r="AQ47" s="29" t="n">
        <v>49.72963218849792</v>
      </c>
      <c r="AR47" s="29" t="n">
        <v>3.546374869124683</v>
      </c>
      <c r="AS47" s="29" t="n">
        <v>12.22898647757242</v>
      </c>
      <c r="AT47" s="29" t="n">
        <v>638.4549845872698</v>
      </c>
      <c r="AU47" s="29" t="n">
        <v>14.30003163559565</v>
      </c>
      <c r="AV47" s="29" t="n">
        <v>29.50896621473277</v>
      </c>
      <c r="AW47" s="29" t="n">
        <v>199.858388295467</v>
      </c>
      <c r="AX47" s="29" t="n">
        <v>0</v>
      </c>
      <c r="AY47" s="29" t="n">
        <v>53.97744353731011</v>
      </c>
      <c r="AZ47" s="29" t="n">
        <v>80.55278650890031</v>
      </c>
      <c r="BA47" s="29" t="n">
        <v>173.7180106686996</v>
      </c>
      <c r="BB47" s="29">
        <f>SUM(C47:BA47)</f>
        <v/>
      </c>
      <c r="BC47" s="29" t="n">
        <v>0</v>
      </c>
      <c r="BD47" s="29" t="n">
        <v>0</v>
      </c>
      <c r="BE47" s="29" t="n">
        <v>13223.60555470221</v>
      </c>
      <c r="BF47" s="29" t="n">
        <v>0</v>
      </c>
      <c r="BG47" s="29">
        <f>SUM(BC47:BF47)</f>
        <v/>
      </c>
      <c r="BH47" s="29">
        <f>BB47+BG47</f>
        <v/>
      </c>
    </row>
    <row r="48">
      <c r="A48" s="27" t="n">
        <v>35</v>
      </c>
      <c r="B48" s="28" t="inlineStr">
        <is>
          <t>Produção e distribuição de eletricidade gás água esgoto e limpeza urbana</t>
        </is>
      </c>
      <c r="C48" s="27" t="n">
        <v>1439.268479213849</v>
      </c>
      <c r="D48" s="27" t="n">
        <v>1154.905435469213</v>
      </c>
      <c r="E48" s="27" t="n">
        <v>62.43464012935971</v>
      </c>
      <c r="F48" s="27" t="n">
        <v>236.3738327019353</v>
      </c>
      <c r="G48" s="27" t="n">
        <v>318.9389330808157</v>
      </c>
      <c r="H48" s="27" t="n">
        <v>1392.009793811485</v>
      </c>
      <c r="I48" s="27" t="n">
        <v>23.81884067366679</v>
      </c>
      <c r="J48" s="27" t="n">
        <v>668.8577416389617</v>
      </c>
      <c r="K48" s="27" t="n">
        <v>99.56663710890632</v>
      </c>
      <c r="L48" s="27" t="n">
        <v>122.0251025947495</v>
      </c>
      <c r="M48" s="27" t="n">
        <v>338.3492746910494</v>
      </c>
      <c r="N48" s="27" t="n">
        <v>664.1174684691348</v>
      </c>
      <c r="O48" s="27" t="n">
        <v>53.66225170602354</v>
      </c>
      <c r="P48" s="27" t="n">
        <v>89.908196464312</v>
      </c>
      <c r="Q48" s="27" t="n">
        <v>29.17726815158152</v>
      </c>
      <c r="R48" s="27" t="n">
        <v>1049.545907249182</v>
      </c>
      <c r="S48" s="27" t="n">
        <v>535.1230610428415</v>
      </c>
      <c r="T48" s="27" t="n">
        <v>78.73357207523651</v>
      </c>
      <c r="U48" s="27" t="n">
        <v>71.95565064936983</v>
      </c>
      <c r="V48" s="27" t="n">
        <v>83.22703710727808</v>
      </c>
      <c r="W48" s="27" t="n">
        <v>44.97821511428762</v>
      </c>
      <c r="X48" s="27" t="n">
        <v>181.6433282487295</v>
      </c>
      <c r="Y48" s="27" t="n">
        <v>740.0733967493123</v>
      </c>
      <c r="Z48" s="27" t="n">
        <v>1285.354860199601</v>
      </c>
      <c r="AA48" s="27" t="n">
        <v>2453.648047924739</v>
      </c>
      <c r="AB48" s="27" t="n">
        <v>1222.716184639996</v>
      </c>
      <c r="AC48" s="27" t="n">
        <v>319.4152036452296</v>
      </c>
      <c r="AD48" s="27" t="n">
        <v>208.0594681204819</v>
      </c>
      <c r="AE48" s="27" t="n">
        <v>167.1113423294138</v>
      </c>
      <c r="AF48" s="27" t="n">
        <v>84.86882584695076</v>
      </c>
      <c r="AG48" s="27" t="n">
        <v>132.2747591015371</v>
      </c>
      <c r="AH48" s="27" t="n">
        <v>462.611446536599</v>
      </c>
      <c r="AI48" s="27" t="n">
        <v>59.19192015643422</v>
      </c>
      <c r="AJ48" s="27" t="n">
        <v>106.0886259367831</v>
      </c>
      <c r="AK48" s="27" t="n">
        <v>15353.93552874004</v>
      </c>
      <c r="AL48" s="27" t="n">
        <v>240.8534755571861</v>
      </c>
      <c r="AM48" s="27" t="n">
        <v>4317.460115658108</v>
      </c>
      <c r="AN48" s="27" t="n">
        <v>795.1561171168624</v>
      </c>
      <c r="AO48" s="27" t="n">
        <v>760.4208739363472</v>
      </c>
      <c r="AP48" s="27" t="n">
        <v>489.5026508803396</v>
      </c>
      <c r="AQ48" s="27" t="n">
        <v>143.9526374618134</v>
      </c>
      <c r="AR48" s="27" t="n">
        <v>61.17837443147319</v>
      </c>
      <c r="AS48" s="27" t="n">
        <v>783.4999607163048</v>
      </c>
      <c r="AT48" s="27" t="n">
        <v>664.8796101285423</v>
      </c>
      <c r="AU48" s="27" t="n">
        <v>549.5681590763035</v>
      </c>
      <c r="AV48" s="27" t="n">
        <v>784.1028454290308</v>
      </c>
      <c r="AW48" s="27" t="n">
        <v>3695.903406234688</v>
      </c>
      <c r="AX48" s="27" t="n">
        <v>0</v>
      </c>
      <c r="AY48" s="27" t="n">
        <v>406.8946188013016</v>
      </c>
      <c r="AZ48" s="27" t="n">
        <v>491.9420802754489</v>
      </c>
      <c r="BA48" s="27" t="n">
        <v>3183.710346319204</v>
      </c>
      <c r="BB48" s="27">
        <f>SUM(C48:BA48)</f>
        <v/>
      </c>
      <c r="BC48" s="27" t="n">
        <v>0</v>
      </c>
      <c r="BD48" s="27" t="n">
        <v>0</v>
      </c>
      <c r="BE48" s="27" t="n">
        <v>23350.45886098496</v>
      </c>
      <c r="BF48" s="27" t="n">
        <v>0</v>
      </c>
      <c r="BG48" s="27">
        <f>SUM(BC48:BF48)</f>
        <v/>
      </c>
      <c r="BH48" s="27">
        <f>BB48+BG48</f>
        <v/>
      </c>
    </row>
    <row r="49">
      <c r="A49" s="29" t="n">
        <v>36</v>
      </c>
      <c r="B49" s="30" t="inlineStr">
        <is>
          <t>Construção civil</t>
        </is>
      </c>
      <c r="C49" s="29" t="n">
        <v>14.13313508019288</v>
      </c>
      <c r="D49" s="29" t="n">
        <v>40.32138640117842</v>
      </c>
      <c r="E49" s="29" t="n">
        <v>532.542258509936</v>
      </c>
      <c r="F49" s="29" t="n">
        <v>250.0067776010752</v>
      </c>
      <c r="G49" s="29" t="n">
        <v>75.41574487962617</v>
      </c>
      <c r="H49" s="29" t="n">
        <v>9.627493452715603</v>
      </c>
      <c r="I49" s="29" t="n">
        <v>0.2748768198750895</v>
      </c>
      <c r="J49" s="29" t="n">
        <v>12.34544108964581</v>
      </c>
      <c r="K49" s="29" t="n">
        <v>3.253594683621893</v>
      </c>
      <c r="L49" s="29" t="n">
        <v>0.8543556456636553</v>
      </c>
      <c r="M49" s="29" t="n">
        <v>0.2553129144446389</v>
      </c>
      <c r="N49" s="29" t="n">
        <v>5.562430673575991</v>
      </c>
      <c r="O49" s="29" t="n">
        <v>5.913070945664733</v>
      </c>
      <c r="P49" s="29" t="n">
        <v>5.005267361196967</v>
      </c>
      <c r="Q49" s="29" t="n">
        <v>5.199435362111825</v>
      </c>
      <c r="R49" s="29" t="n">
        <v>23.16832268326415</v>
      </c>
      <c r="S49" s="29" t="n">
        <v>0.2385438897974033</v>
      </c>
      <c r="T49" s="29" t="n">
        <v>1.255168189814597</v>
      </c>
      <c r="U49" s="29" t="n">
        <v>0.5912954923180781</v>
      </c>
      <c r="V49" s="29" t="n">
        <v>0.8695405684421416</v>
      </c>
      <c r="W49" s="29" t="n">
        <v>0.5035965550795946</v>
      </c>
      <c r="X49" s="29" t="n">
        <v>0.3426160059091948</v>
      </c>
      <c r="Y49" s="29" t="n">
        <v>2.218431249158245</v>
      </c>
      <c r="Z49" s="29" t="n">
        <v>8.184571293018942</v>
      </c>
      <c r="AA49" s="29" t="n">
        <v>48.08082343219307</v>
      </c>
      <c r="AB49" s="29" t="n">
        <v>331.9463105411689</v>
      </c>
      <c r="AC49" s="29" t="n">
        <v>12.45257006617837</v>
      </c>
      <c r="AD49" s="29" t="n">
        <v>18.635783371631</v>
      </c>
      <c r="AE49" s="29" t="n">
        <v>3.781886099494929</v>
      </c>
      <c r="AF49" s="29" t="n">
        <v>26.53637100700837</v>
      </c>
      <c r="AG49" s="29" t="n">
        <v>51.76801754394305</v>
      </c>
      <c r="AH49" s="29" t="n">
        <v>9.326453183801977</v>
      </c>
      <c r="AI49" s="29" t="n">
        <v>41.12647311283027</v>
      </c>
      <c r="AJ49" s="29" t="n">
        <v>5.057012363558371</v>
      </c>
      <c r="AK49" s="29" t="n">
        <v>1218.435485035059</v>
      </c>
      <c r="AL49" s="29" t="n">
        <v>12461.09697524619</v>
      </c>
      <c r="AM49" s="29" t="n">
        <v>391.8702914855266</v>
      </c>
      <c r="AN49" s="29" t="n">
        <v>378.27221282912</v>
      </c>
      <c r="AO49" s="29" t="n">
        <v>1241.953035589512</v>
      </c>
      <c r="AP49" s="29" t="n">
        <v>267.2965555550356</v>
      </c>
      <c r="AQ49" s="29" t="n">
        <v>336.6040021548079</v>
      </c>
      <c r="AR49" s="29" t="n">
        <v>1.883063162134865</v>
      </c>
      <c r="AS49" s="29" t="n">
        <v>134.5059429343279</v>
      </c>
      <c r="AT49" s="29" t="n">
        <v>290.7636130901617</v>
      </c>
      <c r="AU49" s="29" t="n">
        <v>106.4978629612256</v>
      </c>
      <c r="AV49" s="29" t="n">
        <v>8.478122275724335</v>
      </c>
      <c r="AW49" s="29" t="n">
        <v>727.3124295793821</v>
      </c>
      <c r="AX49" s="29" t="n">
        <v>0</v>
      </c>
      <c r="AY49" s="29" t="n">
        <v>151.7717055809654</v>
      </c>
      <c r="AZ49" s="29" t="n">
        <v>549.5226383248123</v>
      </c>
      <c r="BA49" s="29" t="n">
        <v>2607.72752713624</v>
      </c>
      <c r="BB49" s="29">
        <f>SUM(C49:BA49)</f>
        <v/>
      </c>
      <c r="BC49" s="29" t="n">
        <v>0</v>
      </c>
      <c r="BD49" s="29" t="n">
        <v>0</v>
      </c>
      <c r="BE49" s="29" t="n">
        <v>122476.6121878825</v>
      </c>
      <c r="BF49" s="29" t="n">
        <v>0</v>
      </c>
      <c r="BG49" s="29">
        <f>SUM(BC49:BF49)</f>
        <v/>
      </c>
      <c r="BH49" s="29">
        <f>BB49+BG49</f>
        <v/>
      </c>
    </row>
    <row r="50">
      <c r="A50" s="27" t="n">
        <v>37</v>
      </c>
      <c r="B50" s="28" t="inlineStr">
        <is>
          <t>Comércio</t>
        </is>
      </c>
      <c r="C50" s="27" t="n">
        <v>95.58743171863902</v>
      </c>
      <c r="D50" s="27" t="n">
        <v>180.4412734856516</v>
      </c>
      <c r="E50" s="27" t="n">
        <v>201.103719005701</v>
      </c>
      <c r="F50" s="27" t="n">
        <v>184.0966629175364</v>
      </c>
      <c r="G50" s="27" t="n">
        <v>85.01389023595897</v>
      </c>
      <c r="H50" s="27" t="n">
        <v>2728.455677547709</v>
      </c>
      <c r="I50" s="27" t="n">
        <v>60.26390196869966</v>
      </c>
      <c r="J50" s="27" t="n">
        <v>253.9964169143599</v>
      </c>
      <c r="K50" s="27" t="n">
        <v>270.9999885885479</v>
      </c>
      <c r="L50" s="27" t="n">
        <v>268.9465500148026</v>
      </c>
      <c r="M50" s="27" t="n">
        <v>75.70632730074135</v>
      </c>
      <c r="N50" s="27" t="n">
        <v>338.8018689074427</v>
      </c>
      <c r="O50" s="27" t="n">
        <v>36.76715774742556</v>
      </c>
      <c r="P50" s="27" t="n">
        <v>258.9317201210592</v>
      </c>
      <c r="Q50" s="27" t="n">
        <v>85.49728357588825</v>
      </c>
      <c r="R50" s="27" t="n">
        <v>855.5972128177619</v>
      </c>
      <c r="S50" s="27" t="n">
        <v>109.2939639241208</v>
      </c>
      <c r="T50" s="27" t="n">
        <v>335.5348713401306</v>
      </c>
      <c r="U50" s="27" t="n">
        <v>86.69417716547338</v>
      </c>
      <c r="V50" s="27" t="n">
        <v>49.07201575622976</v>
      </c>
      <c r="W50" s="27" t="n">
        <v>79.30879011557599</v>
      </c>
      <c r="X50" s="27" t="n">
        <v>178.1327595146544</v>
      </c>
      <c r="Y50" s="27" t="n">
        <v>422.465519193245</v>
      </c>
      <c r="Z50" s="27" t="n">
        <v>460.2187833647354</v>
      </c>
      <c r="AA50" s="27" t="n">
        <v>633.4580784127238</v>
      </c>
      <c r="AB50" s="27" t="n">
        <v>139.7186887576416</v>
      </c>
      <c r="AC50" s="27" t="n">
        <v>281.1603932808785</v>
      </c>
      <c r="AD50" s="27" t="n">
        <v>1111.663068639522</v>
      </c>
      <c r="AE50" s="27" t="n">
        <v>253.1084028645028</v>
      </c>
      <c r="AF50" s="27" t="n">
        <v>401.0559771420026</v>
      </c>
      <c r="AG50" s="27" t="n">
        <v>182.826618993642</v>
      </c>
      <c r="AH50" s="27" t="n">
        <v>75.9374531692408</v>
      </c>
      <c r="AI50" s="27" t="n">
        <v>34.93375298490787</v>
      </c>
      <c r="AJ50" s="27" t="n">
        <v>124.9325661292248</v>
      </c>
      <c r="AK50" s="27" t="n">
        <v>280.9585988896349</v>
      </c>
      <c r="AL50" s="27" t="n">
        <v>806.3335765232935</v>
      </c>
      <c r="AM50" s="27" t="n">
        <v>2011.945023554509</v>
      </c>
      <c r="AN50" s="27" t="n">
        <v>1834.903391406387</v>
      </c>
      <c r="AO50" s="27" t="n">
        <v>1522.242724032155</v>
      </c>
      <c r="AP50" s="27" t="n">
        <v>232.6258005769936</v>
      </c>
      <c r="AQ50" s="27" t="n">
        <v>33.29007733327114</v>
      </c>
      <c r="AR50" s="27" t="n">
        <v>22.42776766700668</v>
      </c>
      <c r="AS50" s="27" t="n">
        <v>335.048492981941</v>
      </c>
      <c r="AT50" s="27" t="n">
        <v>646.9256372697462</v>
      </c>
      <c r="AU50" s="27" t="n">
        <v>85.35514489675545</v>
      </c>
      <c r="AV50" s="27" t="n">
        <v>444.1303458870343</v>
      </c>
      <c r="AW50" s="27" t="n">
        <v>238.1025156654634</v>
      </c>
      <c r="AX50" s="27" t="n">
        <v>0</v>
      </c>
      <c r="AY50" s="27" t="n">
        <v>215.6163994852901</v>
      </c>
      <c r="AZ50" s="27" t="n">
        <v>319.0263478547995</v>
      </c>
      <c r="BA50" s="27" t="n">
        <v>526.647220980008</v>
      </c>
      <c r="BB50" s="27">
        <f>SUM(C50:BA50)</f>
        <v/>
      </c>
      <c r="BC50" s="27" t="n">
        <v>0</v>
      </c>
      <c r="BD50" s="27" t="n">
        <v>0</v>
      </c>
      <c r="BE50" s="27" t="n">
        <v>89452.65290831005</v>
      </c>
      <c r="BF50" s="27" t="n">
        <v>0</v>
      </c>
      <c r="BG50" s="27">
        <f>SUM(BC50:BF50)</f>
        <v/>
      </c>
      <c r="BH50" s="27">
        <f>BB50+BG50</f>
        <v/>
      </c>
    </row>
    <row r="51">
      <c r="A51" s="29" t="n">
        <v>38</v>
      </c>
      <c r="B51" s="30" t="inlineStr">
        <is>
          <t>Transporte armazenagem e correio</t>
        </is>
      </c>
      <c r="C51" s="29" t="n">
        <v>891.6841218059803</v>
      </c>
      <c r="D51" s="29" t="n">
        <v>195.9370524423937</v>
      </c>
      <c r="E51" s="29" t="n">
        <v>2337.478546358734</v>
      </c>
      <c r="F51" s="29" t="n">
        <v>846.2342786863042</v>
      </c>
      <c r="G51" s="29" t="n">
        <v>468.0136244754038</v>
      </c>
      <c r="H51" s="29" t="n">
        <v>7364.022007660855</v>
      </c>
      <c r="I51" s="29" t="n">
        <v>83.87376279467668</v>
      </c>
      <c r="J51" s="29" t="n">
        <v>397.9099310069398</v>
      </c>
      <c r="K51" s="29" t="n">
        <v>284.8418602277282</v>
      </c>
      <c r="L51" s="29" t="n">
        <v>343.2215383662885</v>
      </c>
      <c r="M51" s="29" t="n">
        <v>432.6338922074033</v>
      </c>
      <c r="N51" s="29" t="n">
        <v>979.0106265292889</v>
      </c>
      <c r="O51" s="29" t="n">
        <v>150.7158614364938</v>
      </c>
      <c r="P51" s="29" t="n">
        <v>639.9226045199187</v>
      </c>
      <c r="Q51" s="29" t="n">
        <v>213.4537659695093</v>
      </c>
      <c r="R51" s="29" t="n">
        <v>1336.629730852434</v>
      </c>
      <c r="S51" s="29" t="n">
        <v>340.0849174382598</v>
      </c>
      <c r="T51" s="29" t="n">
        <v>642.9114522660877</v>
      </c>
      <c r="U51" s="29" t="n">
        <v>284.4505498579062</v>
      </c>
      <c r="V51" s="29" t="n">
        <v>369.6818763616136</v>
      </c>
      <c r="W51" s="29" t="n">
        <v>221.3843147668395</v>
      </c>
      <c r="X51" s="29" t="n">
        <v>266.0693586118022</v>
      </c>
      <c r="Y51" s="29" t="n">
        <v>665.2476351211985</v>
      </c>
      <c r="Z51" s="29" t="n">
        <v>727.726375728285</v>
      </c>
      <c r="AA51" s="29" t="n">
        <v>1923.138774615617</v>
      </c>
      <c r="AB51" s="29" t="n">
        <v>168.171774074959</v>
      </c>
      <c r="AC51" s="29" t="n">
        <v>631.5578616413534</v>
      </c>
      <c r="AD51" s="29" t="n">
        <v>598.3481705953333</v>
      </c>
      <c r="AE51" s="29" t="n">
        <v>510.1741648207284</v>
      </c>
      <c r="AF51" s="29" t="n">
        <v>903.5905141039393</v>
      </c>
      <c r="AG51" s="29" t="n">
        <v>1386.447643718067</v>
      </c>
      <c r="AH51" s="29" t="n">
        <v>619.1049278508031</v>
      </c>
      <c r="AI51" s="29" t="n">
        <v>161.2945494806881</v>
      </c>
      <c r="AJ51" s="29" t="n">
        <v>302.7899769862592</v>
      </c>
      <c r="AK51" s="29" t="n">
        <v>731.1571829298483</v>
      </c>
      <c r="AL51" s="29" t="n">
        <v>1096.833537374948</v>
      </c>
      <c r="AM51" s="29" t="n">
        <v>8350.512212919532</v>
      </c>
      <c r="AN51" s="29" t="n">
        <v>11367.54453241441</v>
      </c>
      <c r="AO51" s="29" t="n">
        <v>918.4351331515586</v>
      </c>
      <c r="AP51" s="29" t="n">
        <v>1655.490031243076</v>
      </c>
      <c r="AQ51" s="29" t="n">
        <v>93.59668990681413</v>
      </c>
      <c r="AR51" s="29" t="n">
        <v>32.10272408131344</v>
      </c>
      <c r="AS51" s="29" t="n">
        <v>252.5949635650068</v>
      </c>
      <c r="AT51" s="29" t="n">
        <v>1589.403579884503</v>
      </c>
      <c r="AU51" s="29" t="n">
        <v>774.6571547022511</v>
      </c>
      <c r="AV51" s="29" t="n">
        <v>96.99539832814159</v>
      </c>
      <c r="AW51" s="29" t="n">
        <v>4086.974600936565</v>
      </c>
      <c r="AX51" s="29" t="n">
        <v>0</v>
      </c>
      <c r="AY51" s="29" t="n">
        <v>346.0781659397392</v>
      </c>
      <c r="AZ51" s="29" t="n">
        <v>224.7005010616892</v>
      </c>
      <c r="BA51" s="29" t="n">
        <v>1637.719527631485</v>
      </c>
      <c r="BB51" s="29">
        <f>SUM(C51:BA51)</f>
        <v/>
      </c>
      <c r="BC51" s="29" t="n">
        <v>0</v>
      </c>
      <c r="BD51" s="29" t="n">
        <v>0</v>
      </c>
      <c r="BE51" s="29" t="n">
        <v>27805.16526498353</v>
      </c>
      <c r="BF51" s="29" t="n">
        <v>0</v>
      </c>
      <c r="BG51" s="29">
        <f>SUM(BC51:BF51)</f>
        <v/>
      </c>
      <c r="BH51" s="29">
        <f>BB51+BG51</f>
        <v/>
      </c>
    </row>
    <row r="52">
      <c r="A52" s="27" t="n">
        <v>39</v>
      </c>
      <c r="B52" s="28" t="inlineStr">
        <is>
          <t>Serviços de informação</t>
        </is>
      </c>
      <c r="C52" s="27" t="n">
        <v>10.14903933579701</v>
      </c>
      <c r="D52" s="27" t="n">
        <v>5.144752041618033</v>
      </c>
      <c r="E52" s="27" t="n">
        <v>194.0220555504376</v>
      </c>
      <c r="F52" s="27" t="n">
        <v>70.73727439958556</v>
      </c>
      <c r="G52" s="27" t="n">
        <v>36.77648699460239</v>
      </c>
      <c r="H52" s="27" t="n">
        <v>1393.67979579055</v>
      </c>
      <c r="I52" s="27" t="n">
        <v>27.92004148944175</v>
      </c>
      <c r="J52" s="27" t="n">
        <v>177.8299636986336</v>
      </c>
      <c r="K52" s="27" t="n">
        <v>339.7478029207716</v>
      </c>
      <c r="L52" s="27" t="n">
        <v>117.4556952311417</v>
      </c>
      <c r="M52" s="27" t="n">
        <v>57.54861839753072</v>
      </c>
      <c r="N52" s="27" t="n">
        <v>190.6065753724945</v>
      </c>
      <c r="O52" s="27" t="n">
        <v>270.1948402795119</v>
      </c>
      <c r="P52" s="27" t="n">
        <v>102.5704439000646</v>
      </c>
      <c r="Q52" s="27" t="n">
        <v>34.56566790340242</v>
      </c>
      <c r="R52" s="27" t="n">
        <v>270.4732888738823</v>
      </c>
      <c r="S52" s="27" t="n">
        <v>68.97411087139764</v>
      </c>
      <c r="T52" s="27" t="n">
        <v>196.2256392448317</v>
      </c>
      <c r="U52" s="27" t="n">
        <v>92.31404849319911</v>
      </c>
      <c r="V52" s="27" t="n">
        <v>21.17965380734703</v>
      </c>
      <c r="W52" s="27" t="n">
        <v>63.52009820507298</v>
      </c>
      <c r="X52" s="27" t="n">
        <v>60.7645946286234</v>
      </c>
      <c r="Y52" s="27" t="n">
        <v>209.0550651902404</v>
      </c>
      <c r="Z52" s="27" t="n">
        <v>225.7521647658976</v>
      </c>
      <c r="AA52" s="27" t="n">
        <v>198.6330397655503</v>
      </c>
      <c r="AB52" s="27" t="n">
        <v>40.48546508452732</v>
      </c>
      <c r="AC52" s="27" t="n">
        <v>183.5313673473173</v>
      </c>
      <c r="AD52" s="27" t="n">
        <v>286.8364757251732</v>
      </c>
      <c r="AE52" s="27" t="n">
        <v>292.9611409640032</v>
      </c>
      <c r="AF52" s="27" t="n">
        <v>502.4455606147313</v>
      </c>
      <c r="AG52" s="27" t="n">
        <v>724.6872561235191</v>
      </c>
      <c r="AH52" s="27" t="n">
        <v>660.8862231622192</v>
      </c>
      <c r="AI52" s="27" t="n">
        <v>64.7946741052148</v>
      </c>
      <c r="AJ52" s="27" t="n">
        <v>181.655983231141</v>
      </c>
      <c r="AK52" s="27" t="n">
        <v>553.1700527211392</v>
      </c>
      <c r="AL52" s="27" t="n">
        <v>723.5898612909129</v>
      </c>
      <c r="AM52" s="27" t="n">
        <v>4458.534589768174</v>
      </c>
      <c r="AN52" s="27" t="n">
        <v>1434.105753653433</v>
      </c>
      <c r="AO52" s="27" t="n">
        <v>15108.03495763233</v>
      </c>
      <c r="AP52" s="27" t="n">
        <v>6034.405830700552</v>
      </c>
      <c r="AQ52" s="27" t="n">
        <v>294.2594162222388</v>
      </c>
      <c r="AR52" s="27" t="n">
        <v>105.0282371765618</v>
      </c>
      <c r="AS52" s="27" t="n">
        <v>333.3973134730804</v>
      </c>
      <c r="AT52" s="27" t="n">
        <v>13513.57121510104</v>
      </c>
      <c r="AU52" s="27" t="n">
        <v>1307.209686678368</v>
      </c>
      <c r="AV52" s="27" t="n">
        <v>505.5098696021157</v>
      </c>
      <c r="AW52" s="27" t="n">
        <v>1760.720356801469</v>
      </c>
      <c r="AX52" s="27" t="n">
        <v>0</v>
      </c>
      <c r="AY52" s="27" t="n">
        <v>1598.414321753428</v>
      </c>
      <c r="AZ52" s="27" t="n">
        <v>516.5374935128351</v>
      </c>
      <c r="BA52" s="27" t="n">
        <v>3826.03521533482</v>
      </c>
      <c r="BB52" s="27">
        <f>SUM(C52:BA52)</f>
        <v/>
      </c>
      <c r="BC52" s="27" t="n">
        <v>0</v>
      </c>
      <c r="BD52" s="27" t="n">
        <v>0</v>
      </c>
      <c r="BE52" s="27" t="n">
        <v>37569.4589325319</v>
      </c>
      <c r="BF52" s="27" t="n">
        <v>0</v>
      </c>
      <c r="BG52" s="27">
        <f>SUM(BC52:BF52)</f>
        <v/>
      </c>
      <c r="BH52" s="27">
        <f>BB52+BG52</f>
        <v/>
      </c>
    </row>
    <row r="53">
      <c r="A53" s="29" t="n">
        <v>40</v>
      </c>
      <c r="B53" s="30" t="inlineStr">
        <is>
          <t>Intermediação financeira seguros e previdência complementar e serviços relacionados</t>
        </is>
      </c>
      <c r="C53" s="29" t="n">
        <v>1238.177177596737</v>
      </c>
      <c r="D53" s="29" t="n">
        <v>676.6948406318861</v>
      </c>
      <c r="E53" s="29" t="n">
        <v>1022.598389493825</v>
      </c>
      <c r="F53" s="29" t="n">
        <v>582.0377544820634</v>
      </c>
      <c r="G53" s="29" t="n">
        <v>396.7031892195791</v>
      </c>
      <c r="H53" s="29" t="n">
        <v>4545.961650694141</v>
      </c>
      <c r="I53" s="29" t="n">
        <v>199.2378949534682</v>
      </c>
      <c r="J53" s="29" t="n">
        <v>504.8234533749688</v>
      </c>
      <c r="K53" s="29" t="n">
        <v>568.8986955252693</v>
      </c>
      <c r="L53" s="29" t="n">
        <v>424.2282508757552</v>
      </c>
      <c r="M53" s="29" t="n">
        <v>297.2233126900163</v>
      </c>
      <c r="N53" s="29" t="n">
        <v>746.804450757896</v>
      </c>
      <c r="O53" s="29" t="n">
        <v>181.9701602371184</v>
      </c>
      <c r="P53" s="29" t="n">
        <v>907.5544871665115</v>
      </c>
      <c r="Q53" s="29" t="n">
        <v>235.2300899408606</v>
      </c>
      <c r="R53" s="29" t="n">
        <v>1020.521615028436</v>
      </c>
      <c r="S53" s="29" t="n">
        <v>397.2230450425018</v>
      </c>
      <c r="T53" s="29" t="n">
        <v>312.5572125998774</v>
      </c>
      <c r="U53" s="29" t="n">
        <v>186.1601771963823</v>
      </c>
      <c r="V53" s="29" t="n">
        <v>276.9649947051291</v>
      </c>
      <c r="W53" s="29" t="n">
        <v>139.9081493040333</v>
      </c>
      <c r="X53" s="29" t="n">
        <v>248.3616881990282</v>
      </c>
      <c r="Y53" s="29" t="n">
        <v>775.6834624568288</v>
      </c>
      <c r="Z53" s="29" t="n">
        <v>784.2527868573885</v>
      </c>
      <c r="AA53" s="29" t="n">
        <v>1406.544884974089</v>
      </c>
      <c r="AB53" s="29" t="n">
        <v>465.6596344443146</v>
      </c>
      <c r="AC53" s="29" t="n">
        <v>644.6986838822916</v>
      </c>
      <c r="AD53" s="29" t="n">
        <v>932.6514282311889</v>
      </c>
      <c r="AE53" s="29" t="n">
        <v>548.9049922443927</v>
      </c>
      <c r="AF53" s="29" t="n">
        <v>808.9781598185371</v>
      </c>
      <c r="AG53" s="29" t="n">
        <v>971.2140132791212</v>
      </c>
      <c r="AH53" s="29" t="n">
        <v>589.7963756576848</v>
      </c>
      <c r="AI53" s="29" t="n">
        <v>197.2039531093734</v>
      </c>
      <c r="AJ53" s="29" t="n">
        <v>350.2482272457931</v>
      </c>
      <c r="AK53" s="29" t="n">
        <v>2165.476770951943</v>
      </c>
      <c r="AL53" s="29" t="n">
        <v>3406.797073307068</v>
      </c>
      <c r="AM53" s="29" t="n">
        <v>7586.167290329681</v>
      </c>
      <c r="AN53" s="29" t="n">
        <v>4035.879179622285</v>
      </c>
      <c r="AO53" s="29" t="n">
        <v>2926.255830910704</v>
      </c>
      <c r="AP53" s="29" t="n">
        <v>15354.39116254604</v>
      </c>
      <c r="AQ53" s="29" t="n">
        <v>7766.88023093556</v>
      </c>
      <c r="AR53" s="29" t="n">
        <v>148.7631491466525</v>
      </c>
      <c r="AS53" s="29" t="n">
        <v>947.4451645322592</v>
      </c>
      <c r="AT53" s="29" t="n">
        <v>3131.945691151001</v>
      </c>
      <c r="AU53" s="29" t="n">
        <v>450.9112415941615</v>
      </c>
      <c r="AV53" s="29" t="n">
        <v>1550.791320989984</v>
      </c>
      <c r="AW53" s="29" t="n">
        <v>1925.651147821389</v>
      </c>
      <c r="AX53" s="29" t="n">
        <v>0</v>
      </c>
      <c r="AY53" s="29" t="n">
        <v>80.78738433965599</v>
      </c>
      <c r="AZ53" s="29" t="n">
        <v>62.98088964210736</v>
      </c>
      <c r="BA53" s="29" t="n">
        <v>15368.35939534649</v>
      </c>
      <c r="BB53" s="29">
        <f>SUM(C53:BA53)</f>
        <v/>
      </c>
      <c r="BC53" s="29" t="n">
        <v>0</v>
      </c>
      <c r="BD53" s="29" t="n">
        <v>0</v>
      </c>
      <c r="BE53" s="29" t="n">
        <v>29477.94918105789</v>
      </c>
      <c r="BF53" s="29" t="n">
        <v>0</v>
      </c>
      <c r="BG53" s="29">
        <f>SUM(BC53:BF53)</f>
        <v/>
      </c>
      <c r="BH53" s="29">
        <f>BB53+BG53</f>
        <v/>
      </c>
    </row>
    <row r="54">
      <c r="A54" s="27" t="n">
        <v>41</v>
      </c>
      <c r="B54" s="28" t="inlineStr">
        <is>
          <t>Atividades imobiliárias e aluguéis</t>
        </is>
      </c>
      <c r="C54" s="27" t="n">
        <v>2.838013925560587</v>
      </c>
      <c r="D54" s="27" t="n">
        <v>0.9513385353796522</v>
      </c>
      <c r="E54" s="27" t="n">
        <v>46.00723993880859</v>
      </c>
      <c r="F54" s="27" t="n">
        <v>5.264637515917241</v>
      </c>
      <c r="G54" s="27" t="n">
        <v>10.84030843533595</v>
      </c>
      <c r="H54" s="27" t="n">
        <v>260.8521217214364</v>
      </c>
      <c r="I54" s="27" t="n">
        <v>9.752181283264337</v>
      </c>
      <c r="J54" s="27" t="n">
        <v>105.235219303402</v>
      </c>
      <c r="K54" s="27" t="n">
        <v>144.0785576438482</v>
      </c>
      <c r="L54" s="27" t="n">
        <v>35.70182805711185</v>
      </c>
      <c r="M54" s="27" t="n">
        <v>10.67784662284544</v>
      </c>
      <c r="N54" s="27" t="n">
        <v>32.57321827869019</v>
      </c>
      <c r="O54" s="27" t="n">
        <v>15.90272425287574</v>
      </c>
      <c r="P54" s="27" t="n">
        <v>33.44605082344107</v>
      </c>
      <c r="Q54" s="27" t="n">
        <v>23.72672675924013</v>
      </c>
      <c r="R54" s="27" t="n">
        <v>34.95570791127358</v>
      </c>
      <c r="S54" s="27" t="n">
        <v>9.379370008151852</v>
      </c>
      <c r="T54" s="27" t="n">
        <v>47.61803225188682</v>
      </c>
      <c r="U54" s="27" t="n">
        <v>8.803686492496494</v>
      </c>
      <c r="V54" s="27" t="n">
        <v>34.98403925680337</v>
      </c>
      <c r="W54" s="27" t="n">
        <v>5.97119139539178</v>
      </c>
      <c r="X54" s="27" t="n">
        <v>13.12674435582008</v>
      </c>
      <c r="Y54" s="27" t="n">
        <v>94.5999812227903</v>
      </c>
      <c r="Z54" s="27" t="n">
        <v>46.13544631100228</v>
      </c>
      <c r="AA54" s="27" t="n">
        <v>89.7407911756259</v>
      </c>
      <c r="AB54" s="27" t="n">
        <v>2.986272178860206</v>
      </c>
      <c r="AC54" s="27" t="n">
        <v>46.47272560825945</v>
      </c>
      <c r="AD54" s="27" t="n">
        <v>52.70096688829603</v>
      </c>
      <c r="AE54" s="27" t="n">
        <v>25.08499091208928</v>
      </c>
      <c r="AF54" s="27" t="n">
        <v>64.79063657608107</v>
      </c>
      <c r="AG54" s="27" t="n">
        <v>23.13606702299736</v>
      </c>
      <c r="AH54" s="27" t="n">
        <v>53.7929178812249</v>
      </c>
      <c r="AI54" s="27" t="n">
        <v>8.300387292557609</v>
      </c>
      <c r="AJ54" s="27" t="n">
        <v>49.33352465189679</v>
      </c>
      <c r="AK54" s="27" t="n">
        <v>243.9354480761137</v>
      </c>
      <c r="AL54" s="27" t="n">
        <v>344.3480602523261</v>
      </c>
      <c r="AM54" s="27" t="n">
        <v>6382.465782438503</v>
      </c>
      <c r="AN54" s="27" t="n">
        <v>738.8677623555991</v>
      </c>
      <c r="AO54" s="27" t="n">
        <v>975.2814738244701</v>
      </c>
      <c r="AP54" s="27" t="n">
        <v>1025.126564182088</v>
      </c>
      <c r="AQ54" s="27" t="n">
        <v>379.3641772738089</v>
      </c>
      <c r="AR54" s="27" t="n">
        <v>84.08514809307424</v>
      </c>
      <c r="AS54" s="27" t="n">
        <v>983.3246371536644</v>
      </c>
      <c r="AT54" s="27" t="n">
        <v>1766.316018726756</v>
      </c>
      <c r="AU54" s="27" t="n">
        <v>810.6238998339837</v>
      </c>
      <c r="AV54" s="27" t="n">
        <v>376.364406273991</v>
      </c>
      <c r="AW54" s="27" t="n">
        <v>1585.218685667718</v>
      </c>
      <c r="AX54" s="27" t="n">
        <v>0</v>
      </c>
      <c r="AY54" s="27" t="n">
        <v>119.5761441103518</v>
      </c>
      <c r="AZ54" s="27" t="n">
        <v>66.16777974515955</v>
      </c>
      <c r="BA54" s="27" t="n">
        <v>529.7310811037281</v>
      </c>
      <c r="BB54" s="27">
        <f>SUM(C54:BA54)</f>
        <v/>
      </c>
      <c r="BC54" s="27" t="n">
        <v>0</v>
      </c>
      <c r="BD54" s="27" t="n">
        <v>0</v>
      </c>
      <c r="BE54" s="27" t="n">
        <v>120194.2293204609</v>
      </c>
      <c r="BF54" s="27" t="n">
        <v>0</v>
      </c>
      <c r="BG54" s="27">
        <f>SUM(BC54:BF54)</f>
        <v/>
      </c>
      <c r="BH54" s="27">
        <f>BB54+BG54</f>
        <v/>
      </c>
    </row>
    <row r="55">
      <c r="A55" s="29" t="n">
        <v>42</v>
      </c>
      <c r="B55" s="30" t="inlineStr">
        <is>
          <t>Serviços de manutenção e reparação</t>
        </is>
      </c>
      <c r="C55" s="29" t="n">
        <v>1.734100986613653</v>
      </c>
      <c r="D55" s="29" t="n">
        <v>0.008328107772199778</v>
      </c>
      <c r="E55" s="29" t="n">
        <v>13.6362678513812</v>
      </c>
      <c r="F55" s="29" t="n">
        <v>0.1065651169914963</v>
      </c>
      <c r="G55" s="29" t="n">
        <v>0.9103316346371028</v>
      </c>
      <c r="H55" s="29" t="n">
        <v>2.367466322836957</v>
      </c>
      <c r="I55" s="29" t="n">
        <v>0.0531156416185157</v>
      </c>
      <c r="J55" s="29" t="n">
        <v>5.837973769045971</v>
      </c>
      <c r="K55" s="29" t="n">
        <v>0.1950108390292845</v>
      </c>
      <c r="L55" s="29" t="n">
        <v>0.2306811141819882</v>
      </c>
      <c r="M55" s="29" t="n">
        <v>0.05805616761770549</v>
      </c>
      <c r="N55" s="29" t="n">
        <v>0.2726226136883734</v>
      </c>
      <c r="O55" s="29" t="n">
        <v>6.887159474914392</v>
      </c>
      <c r="P55" s="29" t="n">
        <v>0.07410017921658446</v>
      </c>
      <c r="Q55" s="29" t="n">
        <v>0.04446585862816255</v>
      </c>
      <c r="R55" s="29" t="n">
        <v>0.0840626860308486</v>
      </c>
      <c r="S55" s="29" t="n">
        <v>0.08988207065032</v>
      </c>
      <c r="T55" s="29" t="n">
        <v>0.191502646637204</v>
      </c>
      <c r="U55" s="29" t="n">
        <v>0.06299648774409511</v>
      </c>
      <c r="V55" s="29" t="n">
        <v>0.01710628766126905</v>
      </c>
      <c r="W55" s="29" t="n">
        <v>0.03939729056607488</v>
      </c>
      <c r="X55" s="29" t="n">
        <v>0.1396605254644885</v>
      </c>
      <c r="Y55" s="29" t="n">
        <v>0.3181712257743829</v>
      </c>
      <c r="Z55" s="29" t="n">
        <v>1.218857053917259</v>
      </c>
      <c r="AA55" s="29" t="n">
        <v>10.08840267224035</v>
      </c>
      <c r="AB55" s="29" t="n">
        <v>1.410281873549032</v>
      </c>
      <c r="AC55" s="29" t="n">
        <v>8.937285950324023</v>
      </c>
      <c r="AD55" s="29" t="n">
        <v>6.136746978762734</v>
      </c>
      <c r="AE55" s="29" t="n">
        <v>19.08473063488679</v>
      </c>
      <c r="AF55" s="29" t="n">
        <v>154.5385818328712</v>
      </c>
      <c r="AG55" s="29" t="n">
        <v>0.5973072692260404</v>
      </c>
      <c r="AH55" s="29" t="n">
        <v>0.0132101765887329</v>
      </c>
      <c r="AI55" s="29" t="n">
        <v>0.01664105740428715</v>
      </c>
      <c r="AJ55" s="29" t="n">
        <v>1.843097241341571</v>
      </c>
      <c r="AK55" s="29" t="n">
        <v>156.1966178754439</v>
      </c>
      <c r="AL55" s="29" t="n">
        <v>41.3200956710776</v>
      </c>
      <c r="AM55" s="29" t="n">
        <v>626.3967949619786</v>
      </c>
      <c r="AN55" s="29" t="n">
        <v>161.6633929744056</v>
      </c>
      <c r="AO55" s="29" t="n">
        <v>1685.015388302869</v>
      </c>
      <c r="AP55" s="29" t="n">
        <v>342.6991339972951</v>
      </c>
      <c r="AQ55" s="29" t="n">
        <v>23.69679058191015</v>
      </c>
      <c r="AR55" s="29" t="n">
        <v>42.58206850194323</v>
      </c>
      <c r="AS55" s="29" t="n">
        <v>37.7082629436264</v>
      </c>
      <c r="AT55" s="29" t="n">
        <v>472.5761208166072</v>
      </c>
      <c r="AU55" s="29" t="n">
        <v>138.3215228970533</v>
      </c>
      <c r="AV55" s="29" t="n">
        <v>202.0424834634812</v>
      </c>
      <c r="AW55" s="29" t="n">
        <v>8.40252768060777</v>
      </c>
      <c r="AX55" s="29" t="n">
        <v>0</v>
      </c>
      <c r="AY55" s="29" t="n">
        <v>11.55257842872367</v>
      </c>
      <c r="AZ55" s="29" t="n">
        <v>34.98000721336005</v>
      </c>
      <c r="BA55" s="29" t="n">
        <v>183.2401915676458</v>
      </c>
      <c r="BB55" s="29">
        <f>SUM(C55:BA55)</f>
        <v/>
      </c>
      <c r="BC55" s="29" t="n">
        <v>0</v>
      </c>
      <c r="BD55" s="29" t="n">
        <v>0</v>
      </c>
      <c r="BE55" s="29" t="n">
        <v>2735.834892697528</v>
      </c>
      <c r="BF55" s="29" t="n">
        <v>0</v>
      </c>
      <c r="BG55" s="29">
        <f>SUM(BC55:BF55)</f>
        <v/>
      </c>
      <c r="BH55" s="29">
        <f>BB55+BG55</f>
        <v/>
      </c>
    </row>
    <row r="56">
      <c r="A56" s="27" t="n">
        <v>43</v>
      </c>
      <c r="B56" s="28" t="inlineStr">
        <is>
          <t>Serviços de alojamento e alimentação</t>
        </is>
      </c>
      <c r="C56" s="27" t="n">
        <v>3.152386825676769</v>
      </c>
      <c r="D56" s="27" t="n">
        <v>0.5819242692532145</v>
      </c>
      <c r="E56" s="27" t="n">
        <v>72.46749834229747</v>
      </c>
      <c r="F56" s="27" t="n">
        <v>16.1309222655924</v>
      </c>
      <c r="G56" s="27" t="n">
        <v>10.29486399484003</v>
      </c>
      <c r="H56" s="27" t="n">
        <v>205.014655016466</v>
      </c>
      <c r="I56" s="27" t="n">
        <v>14.32976896354122</v>
      </c>
      <c r="J56" s="27" t="n">
        <v>19.26263809395636</v>
      </c>
      <c r="K56" s="27" t="n">
        <v>13.09087953082142</v>
      </c>
      <c r="L56" s="27" t="n">
        <v>14.79016007024422</v>
      </c>
      <c r="M56" s="27" t="n">
        <v>3.742598532878475</v>
      </c>
      <c r="N56" s="27" t="n">
        <v>25.3607802278544</v>
      </c>
      <c r="O56" s="27" t="n">
        <v>8.206801989246783</v>
      </c>
      <c r="P56" s="27" t="n">
        <v>10.33379427861806</v>
      </c>
      <c r="Q56" s="27" t="n">
        <v>3.32247156738045</v>
      </c>
      <c r="R56" s="27" t="n">
        <v>60.98614367472554</v>
      </c>
      <c r="S56" s="27" t="n">
        <v>6.226860124550871</v>
      </c>
      <c r="T56" s="27" t="n">
        <v>98.71943544131813</v>
      </c>
      <c r="U56" s="27" t="n">
        <v>29.05673867008239</v>
      </c>
      <c r="V56" s="27" t="n">
        <v>12.29058083943517</v>
      </c>
      <c r="W56" s="27" t="n">
        <v>12.52447848318064</v>
      </c>
      <c r="X56" s="27" t="n">
        <v>39.01811134115612</v>
      </c>
      <c r="Y56" s="27" t="n">
        <v>38.02287702802091</v>
      </c>
      <c r="Z56" s="27" t="n">
        <v>28.26776715927001</v>
      </c>
      <c r="AA56" s="27" t="n">
        <v>84.34409211325334</v>
      </c>
      <c r="AB56" s="27" t="n">
        <v>23.36783646009267</v>
      </c>
      <c r="AC56" s="27" t="n">
        <v>48.86497817036025</v>
      </c>
      <c r="AD56" s="27" t="n">
        <v>118.6389811484065</v>
      </c>
      <c r="AE56" s="27" t="n">
        <v>36.08770847714289</v>
      </c>
      <c r="AF56" s="27" t="n">
        <v>68.30700538707372</v>
      </c>
      <c r="AG56" s="27" t="n">
        <v>97.30439848549963</v>
      </c>
      <c r="AH56" s="27" t="n">
        <v>33.32118267513676</v>
      </c>
      <c r="AI56" s="27" t="n">
        <v>9.505997735501843</v>
      </c>
      <c r="AJ56" s="27" t="n">
        <v>20.55429248485305</v>
      </c>
      <c r="AK56" s="27" t="n">
        <v>92.3733081198759</v>
      </c>
      <c r="AL56" s="27" t="n">
        <v>410.0269866063961</v>
      </c>
      <c r="AM56" s="27" t="n">
        <v>791.4200125952722</v>
      </c>
      <c r="AN56" s="27" t="n">
        <v>396.7176210898375</v>
      </c>
      <c r="AO56" s="27" t="n">
        <v>287.1737933307832</v>
      </c>
      <c r="AP56" s="27" t="n">
        <v>689.5112633999997</v>
      </c>
      <c r="AQ56" s="27" t="n">
        <v>26.21294171682093</v>
      </c>
      <c r="AR56" s="27" t="n">
        <v>21.62997927422519</v>
      </c>
      <c r="AS56" s="27" t="n">
        <v>51.44583850948339</v>
      </c>
      <c r="AT56" s="27" t="n">
        <v>579.8631339170367</v>
      </c>
      <c r="AU56" s="27" t="n">
        <v>133.7423027937156</v>
      </c>
      <c r="AV56" s="27" t="n">
        <v>714.7319958856511</v>
      </c>
      <c r="AW56" s="27" t="n">
        <v>5814.96794724104</v>
      </c>
      <c r="AX56" s="27" t="n">
        <v>0</v>
      </c>
      <c r="AY56" s="27" t="n">
        <v>240.8924462941166</v>
      </c>
      <c r="AZ56" s="27" t="n">
        <v>605.270405611151</v>
      </c>
      <c r="BA56" s="27" t="n">
        <v>2543.396939817628</v>
      </c>
      <c r="BB56" s="27">
        <f>SUM(C56:BA56)</f>
        <v/>
      </c>
      <c r="BC56" s="27" t="n">
        <v>0</v>
      </c>
      <c r="BD56" s="27" t="n">
        <v>0</v>
      </c>
      <c r="BE56" s="27" t="n">
        <v>31971.86824234471</v>
      </c>
      <c r="BF56" s="27" t="n">
        <v>0</v>
      </c>
      <c r="BG56" s="27">
        <f>SUM(BC56:BF56)</f>
        <v/>
      </c>
      <c r="BH56" s="27">
        <f>BB56+BG56</f>
        <v/>
      </c>
    </row>
    <row r="57">
      <c r="A57" s="29" t="n">
        <v>44</v>
      </c>
      <c r="B57" s="30" t="inlineStr">
        <is>
          <t>Serviços prestados às empresas</t>
        </is>
      </c>
      <c r="C57" s="29" t="n">
        <v>219.2605499552079</v>
      </c>
      <c r="D57" s="29" t="n">
        <v>130.6208860638574</v>
      </c>
      <c r="E57" s="29" t="n">
        <v>3262.283962972504</v>
      </c>
      <c r="F57" s="29" t="n">
        <v>513.8777443041309</v>
      </c>
      <c r="G57" s="29" t="n">
        <v>519.6027106654063</v>
      </c>
      <c r="H57" s="29" t="n">
        <v>6555.150464269186</v>
      </c>
      <c r="I57" s="29" t="n">
        <v>481.9196745939906</v>
      </c>
      <c r="J57" s="29" t="n">
        <v>304.3480111032781</v>
      </c>
      <c r="K57" s="29" t="n">
        <v>332.6366306543702</v>
      </c>
      <c r="L57" s="29" t="n">
        <v>492.3593145327802</v>
      </c>
      <c r="M57" s="29" t="n">
        <v>147.8370833214745</v>
      </c>
      <c r="N57" s="29" t="n">
        <v>800.48563726488</v>
      </c>
      <c r="O57" s="29" t="n">
        <v>129.1774990705558</v>
      </c>
      <c r="P57" s="29" t="n">
        <v>1130.514628613052</v>
      </c>
      <c r="Q57" s="29" t="n">
        <v>142.8272030971268</v>
      </c>
      <c r="R57" s="29" t="n">
        <v>1186.025857053165</v>
      </c>
      <c r="S57" s="29" t="n">
        <v>249.6824820563149</v>
      </c>
      <c r="T57" s="29" t="n">
        <v>1622.923331737474</v>
      </c>
      <c r="U57" s="29" t="n">
        <v>595.1952598879382</v>
      </c>
      <c r="V57" s="29" t="n">
        <v>746.392509063311</v>
      </c>
      <c r="W57" s="29" t="n">
        <v>434.114522437194</v>
      </c>
      <c r="X57" s="29" t="n">
        <v>423.1051570096565</v>
      </c>
      <c r="Y57" s="29" t="n">
        <v>914.4212381760346</v>
      </c>
      <c r="Z57" s="29" t="n">
        <v>974.208679545222</v>
      </c>
      <c r="AA57" s="29" t="n">
        <v>891.3322481210884</v>
      </c>
      <c r="AB57" s="29" t="n">
        <v>389.4665443634431</v>
      </c>
      <c r="AC57" s="29" t="n">
        <v>643.3744038962739</v>
      </c>
      <c r="AD57" s="29" t="n">
        <v>1388.047278514523</v>
      </c>
      <c r="AE57" s="29" t="n">
        <v>989.6807304126369</v>
      </c>
      <c r="AF57" s="29" t="n">
        <v>1876.34361898675</v>
      </c>
      <c r="AG57" s="29" t="n">
        <v>2076.130608556381</v>
      </c>
      <c r="AH57" s="29" t="n">
        <v>728.8623474003359</v>
      </c>
      <c r="AI57" s="29" t="n">
        <v>192.6424373370023</v>
      </c>
      <c r="AJ57" s="29" t="n">
        <v>312.8088565086082</v>
      </c>
      <c r="AK57" s="29" t="n">
        <v>2629.859509553847</v>
      </c>
      <c r="AL57" s="29" t="n">
        <v>4387.371148831823</v>
      </c>
      <c r="AM57" s="29" t="n">
        <v>12789.92315289622</v>
      </c>
      <c r="AN57" s="29" t="n">
        <v>5684.200514081268</v>
      </c>
      <c r="AO57" s="29" t="n">
        <v>8133.544804821991</v>
      </c>
      <c r="AP57" s="29" t="n">
        <v>7796.221147687549</v>
      </c>
      <c r="AQ57" s="29" t="n">
        <v>606.1432335887328</v>
      </c>
      <c r="AR57" s="29" t="n">
        <v>57.14481323782837</v>
      </c>
      <c r="AS57" s="29" t="n">
        <v>808.4965762580764</v>
      </c>
      <c r="AT57" s="29" t="n">
        <v>8965.899302865966</v>
      </c>
      <c r="AU57" s="29" t="n">
        <v>1792.960849207109</v>
      </c>
      <c r="AV57" s="29" t="n">
        <v>675.6150607767144</v>
      </c>
      <c r="AW57" s="29" t="n">
        <v>3385.351405933419</v>
      </c>
      <c r="AX57" s="29" t="n">
        <v>0</v>
      </c>
      <c r="AY57" s="29" t="n">
        <v>1553.295445927924</v>
      </c>
      <c r="AZ57" s="29" t="n">
        <v>1701.863415889531</v>
      </c>
      <c r="BA57" s="29" t="n">
        <v>6762.223755250243</v>
      </c>
      <c r="BB57" s="29">
        <f>SUM(C57:BA57)</f>
        <v/>
      </c>
      <c r="BC57" s="29" t="n">
        <v>0</v>
      </c>
      <c r="BD57" s="29" t="n">
        <v>0</v>
      </c>
      <c r="BE57" s="29" t="n">
        <v>14088.97209348855</v>
      </c>
      <c r="BF57" s="29" t="n">
        <v>0</v>
      </c>
      <c r="BG57" s="29">
        <f>SUM(BC57:BF57)</f>
        <v/>
      </c>
      <c r="BH57" s="29">
        <f>BB57+BG57</f>
        <v/>
      </c>
    </row>
    <row r="58">
      <c r="A58" s="27" t="n">
        <v>45</v>
      </c>
      <c r="B58" s="28" t="inlineStr">
        <is>
          <t>Educação mercantil</t>
        </is>
      </c>
      <c r="C58" s="27" t="n">
        <v>1.276852014601181</v>
      </c>
      <c r="D58" s="27" t="n">
        <v>0.7736834803193828</v>
      </c>
      <c r="E58" s="27" t="n">
        <v>15.31509001549785</v>
      </c>
      <c r="F58" s="27" t="n">
        <v>24.64966619932837</v>
      </c>
      <c r="G58" s="27" t="n">
        <v>7.460300907782117</v>
      </c>
      <c r="H58" s="27" t="n">
        <v>23.72791548261181</v>
      </c>
      <c r="I58" s="27" t="n">
        <v>1.316402676064825</v>
      </c>
      <c r="J58" s="27" t="n">
        <v>1.3568298849935</v>
      </c>
      <c r="K58" s="27" t="n">
        <v>0.9244538502335208</v>
      </c>
      <c r="L58" s="27" t="n">
        <v>1.346959450171403</v>
      </c>
      <c r="M58" s="27" t="n">
        <v>0.3970121521675432</v>
      </c>
      <c r="N58" s="27" t="n">
        <v>11.53526921682593</v>
      </c>
      <c r="O58" s="27" t="n">
        <v>0.3403471205815778</v>
      </c>
      <c r="P58" s="27" t="n">
        <v>4.781600126502622</v>
      </c>
      <c r="Q58" s="27" t="n">
        <v>0.3896857494990401</v>
      </c>
      <c r="R58" s="27" t="n">
        <v>6.341979527329496</v>
      </c>
      <c r="S58" s="27" t="n">
        <v>0.6789336821118338</v>
      </c>
      <c r="T58" s="27" t="n">
        <v>4.431331409570148</v>
      </c>
      <c r="U58" s="27" t="n">
        <v>7.226130959866832</v>
      </c>
      <c r="V58" s="27" t="n">
        <v>2.040835456604464</v>
      </c>
      <c r="W58" s="27" t="n">
        <v>2.36360238889073</v>
      </c>
      <c r="X58" s="27" t="n">
        <v>1.151984947241568</v>
      </c>
      <c r="Y58" s="27" t="n">
        <v>3.398543071990297</v>
      </c>
      <c r="Z58" s="27" t="n">
        <v>2.641681170278701</v>
      </c>
      <c r="AA58" s="27" t="n">
        <v>70.74402403779678</v>
      </c>
      <c r="AB58" s="27" t="n">
        <v>18.45565025416841</v>
      </c>
      <c r="AC58" s="27" t="n">
        <v>16.13248461863377</v>
      </c>
      <c r="AD58" s="27" t="n">
        <v>11.07525027952624</v>
      </c>
      <c r="AE58" s="27" t="n">
        <v>2.692690255498594</v>
      </c>
      <c r="AF58" s="27" t="n">
        <v>5.654080389849769</v>
      </c>
      <c r="AG58" s="27" t="n">
        <v>25.56674971301704</v>
      </c>
      <c r="AH58" s="27" t="n">
        <v>3.134148969020328</v>
      </c>
      <c r="AI58" s="27" t="n">
        <v>0.5213094316038963</v>
      </c>
      <c r="AJ58" s="27" t="n">
        <v>0.8566683259444843</v>
      </c>
      <c r="AK58" s="27" t="n">
        <v>28.19932055412854</v>
      </c>
      <c r="AL58" s="27" t="n">
        <v>12.76057621543978</v>
      </c>
      <c r="AM58" s="27" t="n">
        <v>164.579073364696</v>
      </c>
      <c r="AN58" s="27" t="n">
        <v>302.5541942832479</v>
      </c>
      <c r="AO58" s="27" t="n">
        <v>36.51188153597182</v>
      </c>
      <c r="AP58" s="27" t="n">
        <v>342.1971492698939</v>
      </c>
      <c r="AQ58" s="27" t="n">
        <v>1.717928889854626</v>
      </c>
      <c r="AR58" s="27" t="n">
        <v>100.3187540762242</v>
      </c>
      <c r="AS58" s="27" t="n">
        <v>2.735598163183801</v>
      </c>
      <c r="AT58" s="27" t="n">
        <v>1013.575136719238</v>
      </c>
      <c r="AU58" s="27" t="n">
        <v>5.030490601918176</v>
      </c>
      <c r="AV58" s="27" t="n">
        <v>1.901849422592899</v>
      </c>
      <c r="AW58" s="27" t="n">
        <v>48.58046734478714</v>
      </c>
      <c r="AX58" s="27" t="n">
        <v>0</v>
      </c>
      <c r="AY58" s="27" t="n">
        <v>238.3263646131463</v>
      </c>
      <c r="AZ58" s="27" t="n">
        <v>83.12140516262291</v>
      </c>
      <c r="BA58" s="27" t="n">
        <v>147.5569859021272</v>
      </c>
      <c r="BB58" s="27">
        <f>SUM(C58:BA58)</f>
        <v/>
      </c>
      <c r="BC58" s="27" t="n">
        <v>0</v>
      </c>
      <c r="BD58" s="27" t="n">
        <v>0</v>
      </c>
      <c r="BE58" s="27" t="n">
        <v>20664.51802447876</v>
      </c>
      <c r="BF58" s="27" t="n">
        <v>0</v>
      </c>
      <c r="BG58" s="27">
        <f>SUM(BC58:BF58)</f>
        <v/>
      </c>
      <c r="BH58" s="27">
        <f>BB58+BG58</f>
        <v/>
      </c>
    </row>
    <row r="59">
      <c r="A59" s="29" t="n">
        <v>46</v>
      </c>
      <c r="B59" s="30" t="inlineStr">
        <is>
          <t>Saúde mercantil</t>
        </is>
      </c>
      <c r="C59" s="29" t="n">
        <v>0.1889863313010325</v>
      </c>
      <c r="D59" s="29" t="n">
        <v>0.06412299942310185</v>
      </c>
      <c r="E59" s="29" t="n">
        <v>1.041351224139161</v>
      </c>
      <c r="F59" s="29" t="n">
        <v>0.6115684314424259</v>
      </c>
      <c r="G59" s="29" t="n">
        <v>0.3864738507402651</v>
      </c>
      <c r="H59" s="29" t="n">
        <v>11.32261621148474</v>
      </c>
      <c r="I59" s="29" t="n">
        <v>0.4268909262672458</v>
      </c>
      <c r="J59" s="29" t="n">
        <v>2.328081933058895</v>
      </c>
      <c r="K59" s="29" t="n">
        <v>2.942833706916436</v>
      </c>
      <c r="L59" s="29" t="n">
        <v>1.607040164315942</v>
      </c>
      <c r="M59" s="29" t="n">
        <v>0.4301494397990921</v>
      </c>
      <c r="N59" s="29" t="n">
        <v>1.785133502299677</v>
      </c>
      <c r="O59" s="29" t="n">
        <v>0.3151192742567021</v>
      </c>
      <c r="P59" s="29" t="n">
        <v>0.916815580071717</v>
      </c>
      <c r="Q59" s="29" t="n">
        <v>0.5497789917211505</v>
      </c>
      <c r="R59" s="29" t="n">
        <v>0.9889550920508046</v>
      </c>
      <c r="S59" s="29" t="n">
        <v>0.5682619748041953</v>
      </c>
      <c r="T59" s="29" t="n">
        <v>1.702125008053182</v>
      </c>
      <c r="U59" s="29" t="n">
        <v>0.4699026662487975</v>
      </c>
      <c r="V59" s="29" t="n">
        <v>0.6394969531921555</v>
      </c>
      <c r="W59" s="29" t="n">
        <v>0.3062691228735965</v>
      </c>
      <c r="X59" s="29" t="n">
        <v>0.8661710200202113</v>
      </c>
      <c r="Y59" s="29" t="n">
        <v>2.873231028452203</v>
      </c>
      <c r="Z59" s="29" t="n">
        <v>1.92576478661672</v>
      </c>
      <c r="AA59" s="29" t="n">
        <v>2.941185915911414</v>
      </c>
      <c r="AB59" s="29" t="n">
        <v>0.5350635169046716</v>
      </c>
      <c r="AC59" s="29" t="n">
        <v>1.639791590230222</v>
      </c>
      <c r="AD59" s="29" t="n">
        <v>3.841259815814919</v>
      </c>
      <c r="AE59" s="29" t="n">
        <v>1.204410384584506</v>
      </c>
      <c r="AF59" s="29" t="n">
        <v>2.402495603689957</v>
      </c>
      <c r="AG59" s="29" t="n">
        <v>0.8132774795191928</v>
      </c>
      <c r="AH59" s="29" t="n">
        <v>0.8826343643279826</v>
      </c>
      <c r="AI59" s="29" t="n">
        <v>0.2108858651492598</v>
      </c>
      <c r="AJ59" s="29" t="n">
        <v>1.073422703955229</v>
      </c>
      <c r="AK59" s="29" t="n">
        <v>4.444706705651553</v>
      </c>
      <c r="AL59" s="29" t="n">
        <v>5.872393797968797</v>
      </c>
      <c r="AM59" s="29" t="n">
        <v>99.58085761159745</v>
      </c>
      <c r="AN59" s="29" t="n">
        <v>15.94812440484548</v>
      </c>
      <c r="AO59" s="29" t="n">
        <v>19.0610598575169</v>
      </c>
      <c r="AP59" s="29" t="n">
        <v>15.72797265318135</v>
      </c>
      <c r="AQ59" s="29" t="n">
        <v>5.580964272939857</v>
      </c>
      <c r="AR59" s="29" t="n">
        <v>1.23232391353463</v>
      </c>
      <c r="AS59" s="29" t="n">
        <v>14.42078761216742</v>
      </c>
      <c r="AT59" s="29" t="n">
        <v>27.81676560774985</v>
      </c>
      <c r="AU59" s="29" t="n">
        <v>11.95863358979508</v>
      </c>
      <c r="AV59" s="29" t="n">
        <v>4815.896538296969</v>
      </c>
      <c r="AW59" s="29" t="n">
        <v>23.44648698885434</v>
      </c>
      <c r="AX59" s="29" t="n">
        <v>0</v>
      </c>
      <c r="AY59" s="29" t="n">
        <v>3.034862904391268</v>
      </c>
      <c r="AZ59" s="29" t="n">
        <v>4.114951272710982</v>
      </c>
      <c r="BA59" s="29" t="n">
        <v>22.764436430328</v>
      </c>
      <c r="BB59" s="29">
        <f>SUM(C59:BA59)</f>
        <v/>
      </c>
      <c r="BC59" s="29" t="n">
        <v>0</v>
      </c>
      <c r="BD59" s="29" t="n">
        <v>0</v>
      </c>
      <c r="BE59" s="29" t="n">
        <v>37856.48852796648</v>
      </c>
      <c r="BF59" s="29" t="n">
        <v>0</v>
      </c>
      <c r="BG59" s="29">
        <f>SUM(BC59:BF59)</f>
        <v/>
      </c>
      <c r="BH59" s="29">
        <f>BB59+BG59</f>
        <v/>
      </c>
    </row>
    <row r="60">
      <c r="A60" s="27" t="n">
        <v>47</v>
      </c>
      <c r="B60" s="28" t="inlineStr">
        <is>
          <t>Serviços prestados às famílias e associativas</t>
        </is>
      </c>
      <c r="C60" s="27" t="n">
        <v>42.57379349288828</v>
      </c>
      <c r="D60" s="27" t="n">
        <v>18.22336739959334</v>
      </c>
      <c r="E60" s="27" t="n">
        <v>228.0383423764838</v>
      </c>
      <c r="F60" s="27" t="n">
        <v>102.6890307965352</v>
      </c>
      <c r="G60" s="27" t="n">
        <v>51.10680888742056</v>
      </c>
      <c r="H60" s="27" t="n">
        <v>689.8669873663678</v>
      </c>
      <c r="I60" s="27" t="n">
        <v>38.67582278238535</v>
      </c>
      <c r="J60" s="27" t="n">
        <v>73.50528734778709</v>
      </c>
      <c r="K60" s="27" t="n">
        <v>73.56088357244667</v>
      </c>
      <c r="L60" s="27" t="n">
        <v>64.77838595614007</v>
      </c>
      <c r="M60" s="27" t="n">
        <v>39.65800947401092</v>
      </c>
      <c r="N60" s="27" t="n">
        <v>220.2117805350014</v>
      </c>
      <c r="O60" s="27" t="n">
        <v>31.51174441757458</v>
      </c>
      <c r="P60" s="27" t="n">
        <v>108.9751190441891</v>
      </c>
      <c r="Q60" s="27" t="n">
        <v>86.94046462852349</v>
      </c>
      <c r="R60" s="27" t="n">
        <v>138.004827049055</v>
      </c>
      <c r="S60" s="27" t="n">
        <v>18.56412618643651</v>
      </c>
      <c r="T60" s="27" t="n">
        <v>176.9471214594187</v>
      </c>
      <c r="U60" s="27" t="n">
        <v>87.7355635120513</v>
      </c>
      <c r="V60" s="27" t="n">
        <v>71.73033767066244</v>
      </c>
      <c r="W60" s="27" t="n">
        <v>32.57950050667071</v>
      </c>
      <c r="X60" s="27" t="n">
        <v>170.04898899952</v>
      </c>
      <c r="Y60" s="27" t="n">
        <v>277.4331671981461</v>
      </c>
      <c r="Z60" s="27" t="n">
        <v>138.3467200462885</v>
      </c>
      <c r="AA60" s="27" t="n">
        <v>167.847103524005</v>
      </c>
      <c r="AB60" s="27" t="n">
        <v>53.33601884253825</v>
      </c>
      <c r="AC60" s="27" t="n">
        <v>124.7210603850854</v>
      </c>
      <c r="AD60" s="27" t="n">
        <v>215.0065038926105</v>
      </c>
      <c r="AE60" s="27" t="n">
        <v>119.4410266662962</v>
      </c>
      <c r="AF60" s="27" t="n">
        <v>194.0325753994434</v>
      </c>
      <c r="AG60" s="27" t="n">
        <v>342.3756752835718</v>
      </c>
      <c r="AH60" s="27" t="n">
        <v>135.1627602562319</v>
      </c>
      <c r="AI60" s="27" t="n">
        <v>38.6995257953407</v>
      </c>
      <c r="AJ60" s="27" t="n">
        <v>81.63345982623328</v>
      </c>
      <c r="AK60" s="27" t="n">
        <v>367.0229790323332</v>
      </c>
      <c r="AL60" s="27" t="n">
        <v>545.0237491146072</v>
      </c>
      <c r="AM60" s="27" t="n">
        <v>2261.022363923315</v>
      </c>
      <c r="AN60" s="27" t="n">
        <v>1241.894637428141</v>
      </c>
      <c r="AO60" s="27" t="n">
        <v>2049.094921081051</v>
      </c>
      <c r="AP60" s="27" t="n">
        <v>1090.091644157577</v>
      </c>
      <c r="AQ60" s="27" t="n">
        <v>235.3673240692754</v>
      </c>
      <c r="AR60" s="27" t="n">
        <v>25.21086536774245</v>
      </c>
      <c r="AS60" s="27" t="n">
        <v>376.1058429564894</v>
      </c>
      <c r="AT60" s="27" t="n">
        <v>1159.370005031474</v>
      </c>
      <c r="AU60" s="27" t="n">
        <v>482.9829583103811</v>
      </c>
      <c r="AV60" s="27" t="n">
        <v>1073.490558849068</v>
      </c>
      <c r="AW60" s="27" t="n">
        <v>2197.057796311834</v>
      </c>
      <c r="AX60" s="27" t="n">
        <v>0</v>
      </c>
      <c r="AY60" s="27" t="n">
        <v>421.8866144567992</v>
      </c>
      <c r="AZ60" s="27" t="n">
        <v>429.790795484233</v>
      </c>
      <c r="BA60" s="27" t="n">
        <v>1060.489425661325</v>
      </c>
      <c r="BB60" s="27">
        <f>SUM(C60:BA60)</f>
        <v/>
      </c>
      <c r="BC60" s="27" t="n">
        <v>0</v>
      </c>
      <c r="BD60" s="27" t="n">
        <v>0</v>
      </c>
      <c r="BE60" s="27" t="n">
        <v>50281.93416156895</v>
      </c>
      <c r="BF60" s="27" t="n">
        <v>0</v>
      </c>
      <c r="BG60" s="27">
        <f>SUM(BC60:BF60)</f>
        <v/>
      </c>
      <c r="BH60" s="27">
        <f>BB60+BG60</f>
        <v/>
      </c>
    </row>
    <row r="61">
      <c r="A61" s="29" t="n">
        <v>48</v>
      </c>
      <c r="B61" s="30" t="inlineStr">
        <is>
          <t>Serviços domésticos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>
        <f>SUM(C61:BA61)</f>
        <v/>
      </c>
      <c r="BC61" s="29" t="n">
        <v>0</v>
      </c>
      <c r="BD61" s="29" t="n">
        <v>0</v>
      </c>
      <c r="BE61" s="29" t="n">
        <v>12116.6572594356</v>
      </c>
      <c r="BF61" s="29" t="n">
        <v>0</v>
      </c>
      <c r="BG61" s="29">
        <f>SUM(BC61:BF61)</f>
        <v/>
      </c>
      <c r="BH61" s="29">
        <f>BB61+BG61</f>
        <v/>
      </c>
    </row>
    <row r="62">
      <c r="A62" s="27" t="n">
        <v>49</v>
      </c>
      <c r="B62" s="28" t="inlineStr">
        <is>
          <t>Educação pública</t>
        </is>
      </c>
      <c r="C62" s="27" t="n">
        <v>10.7729906610398</v>
      </c>
      <c r="D62" s="27" t="n">
        <v>6.980425364203203</v>
      </c>
      <c r="E62" s="27" t="n">
        <v>158.6703406574332</v>
      </c>
      <c r="F62" s="27" t="n">
        <v>24.6406577790419</v>
      </c>
      <c r="G62" s="27" t="n">
        <v>25.01524985485894</v>
      </c>
      <c r="H62" s="27" t="n">
        <v>321.6746580480702</v>
      </c>
      <c r="I62" s="27" t="n">
        <v>23.56112708796888</v>
      </c>
      <c r="J62" s="27" t="n">
        <v>14.7159685173462</v>
      </c>
      <c r="K62" s="27" t="n">
        <v>15.98332368852404</v>
      </c>
      <c r="L62" s="27" t="n">
        <v>24.00414755909481</v>
      </c>
      <c r="M62" s="27" t="n">
        <v>7.078341801545409</v>
      </c>
      <c r="N62" s="27" t="n">
        <v>38.88443811811953</v>
      </c>
      <c r="O62" s="27" t="n">
        <v>6.465186576584468</v>
      </c>
      <c r="P62" s="27" t="n">
        <v>55.17651553993566</v>
      </c>
      <c r="Q62" s="27" t="n">
        <v>6.890976819286218</v>
      </c>
      <c r="R62" s="27" t="n">
        <v>57.85478632157029</v>
      </c>
      <c r="S62" s="27" t="n">
        <v>12.13358095476238</v>
      </c>
      <c r="T62" s="27" t="n">
        <v>79.88205940080702</v>
      </c>
      <c r="U62" s="27" t="n">
        <v>29.1793001164058</v>
      </c>
      <c r="V62" s="27" t="n">
        <v>36.44379896062877</v>
      </c>
      <c r="W62" s="27" t="n">
        <v>21.19447583271983</v>
      </c>
      <c r="X62" s="27" t="n">
        <v>20.60706191523164</v>
      </c>
      <c r="Y62" s="27" t="n">
        <v>44.52268658460231</v>
      </c>
      <c r="Z62" s="27" t="n">
        <v>47.17489408018383</v>
      </c>
      <c r="AA62" s="27" t="n">
        <v>42.3732838077731</v>
      </c>
      <c r="AB62" s="27" t="n">
        <v>18.86768342337497</v>
      </c>
      <c r="AC62" s="27" t="n">
        <v>31.43898429290977</v>
      </c>
      <c r="AD62" s="27" t="n">
        <v>62.07850183573611</v>
      </c>
      <c r="AE62" s="27" t="n">
        <v>48.178069458551</v>
      </c>
      <c r="AF62" s="27" t="n">
        <v>91.71113289982698</v>
      </c>
      <c r="AG62" s="27" t="n">
        <v>101.4066221655671</v>
      </c>
      <c r="AH62" s="27" t="n">
        <v>35.45943412776592</v>
      </c>
      <c r="AI62" s="27" t="n">
        <v>9.313930566728576</v>
      </c>
      <c r="AJ62" s="27" t="n">
        <v>15.16350214887131</v>
      </c>
      <c r="AK62" s="27" t="n">
        <v>128.2275200753936</v>
      </c>
      <c r="AL62" s="27" t="n">
        <v>212.9910600347956</v>
      </c>
      <c r="AM62" s="27" t="n">
        <v>620.3732974931813</v>
      </c>
      <c r="AN62" s="27" t="n">
        <v>279.1775665853865</v>
      </c>
      <c r="AO62" s="27" t="n">
        <v>397.7315098097251</v>
      </c>
      <c r="AP62" s="27" t="n">
        <v>383.6482259834637</v>
      </c>
      <c r="AQ62" s="27" t="n">
        <v>29.29029326145875</v>
      </c>
      <c r="AR62" s="27" t="n">
        <v>3.636619496803073</v>
      </c>
      <c r="AS62" s="27" t="n">
        <v>38.59069389976322</v>
      </c>
      <c r="AT62" s="27" t="n">
        <v>446.7088093418487</v>
      </c>
      <c r="AU62" s="27" t="n">
        <v>86.88664377530326</v>
      </c>
      <c r="AV62" s="27" t="n">
        <v>37.47237838843009</v>
      </c>
      <c r="AW62" s="27" t="n">
        <v>164.9203627707642</v>
      </c>
      <c r="AX62" s="27" t="n">
        <v>0</v>
      </c>
      <c r="AY62" s="27" t="n">
        <v>78.1698123032123</v>
      </c>
      <c r="AZ62" s="27" t="n">
        <v>84.16920837571715</v>
      </c>
      <c r="BA62" s="27" t="n">
        <v>331.8385223963668</v>
      </c>
      <c r="BB62" s="27">
        <f>SUM(C62:BA62)</f>
        <v/>
      </c>
      <c r="BC62" s="27" t="n">
        <v>0</v>
      </c>
      <c r="BD62" s="27" t="n">
        <v>0</v>
      </c>
      <c r="BE62" s="27" t="n">
        <v>44818.92280801047</v>
      </c>
      <c r="BF62" s="27" t="n">
        <v>0</v>
      </c>
      <c r="BG62" s="27">
        <f>SUM(BC62:BF62)</f>
        <v/>
      </c>
      <c r="BH62" s="27">
        <f>BB62+BG62</f>
        <v/>
      </c>
    </row>
    <row r="63">
      <c r="A63" s="29" t="n">
        <v>50</v>
      </c>
      <c r="B63" s="30" t="inlineStr">
        <is>
          <t>Saúde pública</t>
        </is>
      </c>
      <c r="C63" s="29" t="n">
        <v>0.7273514779045387</v>
      </c>
      <c r="D63" s="29" t="n">
        <v>0.6514279995850684</v>
      </c>
      <c r="E63" s="29" t="n">
        <v>10.40583640682564</v>
      </c>
      <c r="F63" s="29" t="n">
        <v>1.603793958073542</v>
      </c>
      <c r="G63" s="29" t="n">
        <v>1.636075738102923</v>
      </c>
      <c r="H63" s="29" t="n">
        <v>20.98843728928412</v>
      </c>
      <c r="I63" s="29" t="n">
        <v>1.543367231553252</v>
      </c>
      <c r="J63" s="29" t="n">
        <v>0.969687812873111</v>
      </c>
      <c r="K63" s="29" t="n">
        <v>1.052219175919159</v>
      </c>
      <c r="L63" s="29" t="n">
        <v>1.572342133142567</v>
      </c>
      <c r="M63" s="29" t="n">
        <v>0.4659025412590925</v>
      </c>
      <c r="N63" s="29" t="n">
        <v>2.542534360813712</v>
      </c>
      <c r="O63" s="29" t="n">
        <v>0.3954867291022688</v>
      </c>
      <c r="P63" s="29" t="n">
        <v>3.616398344170808</v>
      </c>
      <c r="Q63" s="29" t="n">
        <v>0.4512760930681673</v>
      </c>
      <c r="R63" s="29" t="n">
        <v>3.793752762299213</v>
      </c>
      <c r="S63" s="29" t="n">
        <v>0.7948133351603611</v>
      </c>
      <c r="T63" s="29" t="n">
        <v>5.457825058477013</v>
      </c>
      <c r="U63" s="29" t="n">
        <v>1.928515287937083</v>
      </c>
      <c r="V63" s="29" t="n">
        <v>2.513224947146449</v>
      </c>
      <c r="W63" s="29" t="n">
        <v>1.38981568865514</v>
      </c>
      <c r="X63" s="29" t="n">
        <v>1.355342060947812</v>
      </c>
      <c r="Y63" s="29" t="n">
        <v>2.91834484283442</v>
      </c>
      <c r="Z63" s="29" t="n">
        <v>3.096043585659844</v>
      </c>
      <c r="AA63" s="29" t="n">
        <v>2.73498289162553</v>
      </c>
      <c r="AB63" s="29" t="n">
        <v>1.229712700645203</v>
      </c>
      <c r="AC63" s="29" t="n">
        <v>2.08865775993582</v>
      </c>
      <c r="AD63" s="29" t="n">
        <v>4.063320651111443</v>
      </c>
      <c r="AE63" s="29" t="n">
        <v>3.156656375717633</v>
      </c>
      <c r="AF63" s="29" t="n">
        <v>6.015617352669945</v>
      </c>
      <c r="AG63" s="29" t="n">
        <v>6.631027912912912</v>
      </c>
      <c r="AH63" s="29" t="n">
        <v>2.324577720413965</v>
      </c>
      <c r="AI63" s="29" t="n">
        <v>0.6101617730598908</v>
      </c>
      <c r="AJ63" s="29" t="n">
        <v>0.9932280230107283</v>
      </c>
      <c r="AK63" s="29" t="n">
        <v>8.391461578907641</v>
      </c>
      <c r="AL63" s="29" t="n">
        <v>13.95974206804597</v>
      </c>
      <c r="AM63" s="29" t="n">
        <v>40.65282141553459</v>
      </c>
      <c r="AN63" s="29" t="n">
        <v>18.14235256368973</v>
      </c>
      <c r="AO63" s="29" t="n">
        <v>25.98001288795326</v>
      </c>
      <c r="AP63" s="29" t="n">
        <v>24.90734269024512</v>
      </c>
      <c r="AQ63" s="29" t="n">
        <v>1.91463977760829</v>
      </c>
      <c r="AR63" s="29" t="n">
        <v>0.1764155967725882</v>
      </c>
      <c r="AS63" s="29" t="n">
        <v>2.530532217440548</v>
      </c>
      <c r="AT63" s="29" t="n">
        <v>28.64318640296864</v>
      </c>
      <c r="AU63" s="29" t="n">
        <v>5.710119638103581</v>
      </c>
      <c r="AV63" s="29" t="n">
        <v>162.6778783226485</v>
      </c>
      <c r="AW63" s="29" t="n">
        <v>11.01388774784611</v>
      </c>
      <c r="AX63" s="29" t="n">
        <v>0</v>
      </c>
      <c r="AY63" s="29" t="n">
        <v>5.040795829766392</v>
      </c>
      <c r="AZ63" s="29" t="n">
        <v>5.653324792223677</v>
      </c>
      <c r="BA63" s="29" t="n">
        <v>22.10607452174537</v>
      </c>
      <c r="BB63" s="29">
        <f>SUM(C63:BA63)</f>
        <v/>
      </c>
      <c r="BC63" s="29" t="n">
        <v>0</v>
      </c>
      <c r="BD63" s="29" t="n">
        <v>0</v>
      </c>
      <c r="BE63" s="29" t="n">
        <v>26721.0785466148</v>
      </c>
      <c r="BF63" s="29" t="n">
        <v>0</v>
      </c>
      <c r="BG63" s="29">
        <f>SUM(BC63:BF63)</f>
        <v/>
      </c>
      <c r="BH63" s="29">
        <f>BB63+BG63</f>
        <v/>
      </c>
    </row>
    <row r="64">
      <c r="A64" s="27" t="n">
        <v>51</v>
      </c>
      <c r="B64" s="28" t="inlineStr">
        <is>
          <t>Administração pública e seguridade social</t>
        </is>
      </c>
      <c r="C64" s="27" t="n">
        <v>108.9913437801563</v>
      </c>
      <c r="D64" s="27" t="n">
        <v>34.98030180831643</v>
      </c>
      <c r="E64" s="27" t="n">
        <v>156.0948215365476</v>
      </c>
      <c r="F64" s="27" t="n">
        <v>33.41406486863411</v>
      </c>
      <c r="G64" s="27" t="n">
        <v>29.08670895489859</v>
      </c>
      <c r="H64" s="27" t="n">
        <v>389.0639466541032</v>
      </c>
      <c r="I64" s="27" t="n">
        <v>18.86380792338229</v>
      </c>
      <c r="J64" s="27" t="n">
        <v>25.89544638335026</v>
      </c>
      <c r="K64" s="27" t="n">
        <v>25.75776593878014</v>
      </c>
      <c r="L64" s="27" t="n">
        <v>24.90792648849735</v>
      </c>
      <c r="M64" s="27" t="n">
        <v>19.69182836199021</v>
      </c>
      <c r="N64" s="27" t="n">
        <v>61.16936479884348</v>
      </c>
      <c r="O64" s="27" t="n">
        <v>70.64621376731702</v>
      </c>
      <c r="P64" s="27" t="n">
        <v>50.24094951437323</v>
      </c>
      <c r="Q64" s="27" t="n">
        <v>9.442565567418358</v>
      </c>
      <c r="R64" s="27" t="n">
        <v>149.5034919679305</v>
      </c>
      <c r="S64" s="27" t="n">
        <v>22.98771715305596</v>
      </c>
      <c r="T64" s="27" t="n">
        <v>75.03928974222418</v>
      </c>
      <c r="U64" s="27" t="n">
        <v>27.74287715098214</v>
      </c>
      <c r="V64" s="27" t="n">
        <v>35.96275270389818</v>
      </c>
      <c r="W64" s="27" t="n">
        <v>24.71705445430414</v>
      </c>
      <c r="X64" s="27" t="n">
        <v>26.43881012711426</v>
      </c>
      <c r="Y64" s="27" t="n">
        <v>54.87688572919464</v>
      </c>
      <c r="Z64" s="27" t="n">
        <v>65.7660457616672</v>
      </c>
      <c r="AA64" s="27" t="n">
        <v>89.53440109967222</v>
      </c>
      <c r="AB64" s="27" t="n">
        <v>32.98851303396889</v>
      </c>
      <c r="AC64" s="27" t="n">
        <v>38.7950482051675</v>
      </c>
      <c r="AD64" s="27" t="n">
        <v>61.07484372262444</v>
      </c>
      <c r="AE64" s="27" t="n">
        <v>45.94414188250435</v>
      </c>
      <c r="AF64" s="27" t="n">
        <v>88.43662680158434</v>
      </c>
      <c r="AG64" s="27" t="n">
        <v>97.18682631919739</v>
      </c>
      <c r="AH64" s="27" t="n">
        <v>42.18615311145649</v>
      </c>
      <c r="AI64" s="27" t="n">
        <v>10.08257472167459</v>
      </c>
      <c r="AJ64" s="27" t="n">
        <v>18.54402572276684</v>
      </c>
      <c r="AK64" s="27" t="n">
        <v>267.9272889318606</v>
      </c>
      <c r="AL64" s="27" t="n">
        <v>187.3086859880786</v>
      </c>
      <c r="AM64" s="27" t="n">
        <v>867.9172363465597</v>
      </c>
      <c r="AN64" s="27" t="n">
        <v>384.905185913349</v>
      </c>
      <c r="AO64" s="27" t="n">
        <v>531.6493798940497</v>
      </c>
      <c r="AP64" s="27" t="n">
        <v>388.7013143747371</v>
      </c>
      <c r="AQ64" s="27" t="n">
        <v>38.15293697388784</v>
      </c>
      <c r="AR64" s="27" t="n">
        <v>7.021062692403924</v>
      </c>
      <c r="AS64" s="27" t="n">
        <v>59.67993231139782</v>
      </c>
      <c r="AT64" s="27" t="n">
        <v>598.9432870975363</v>
      </c>
      <c r="AU64" s="27" t="n">
        <v>103.8090716684775</v>
      </c>
      <c r="AV64" s="27" t="n">
        <v>73.81043951515062</v>
      </c>
      <c r="AW64" s="27" t="n">
        <v>358.1009707135804</v>
      </c>
      <c r="AX64" s="27" t="n">
        <v>0</v>
      </c>
      <c r="AY64" s="27" t="n">
        <v>87.40320130982047</v>
      </c>
      <c r="AZ64" s="27" t="n">
        <v>82.12723959032445</v>
      </c>
      <c r="BA64" s="27" t="n">
        <v>358.696755271446</v>
      </c>
      <c r="BB64" s="27">
        <f>SUM(C64:BA64)</f>
        <v/>
      </c>
      <c r="BC64" s="27" t="n">
        <v>0</v>
      </c>
      <c r="BD64" s="27" t="n">
        <v>0</v>
      </c>
      <c r="BE64" s="27" t="n">
        <v>143243.2591006684</v>
      </c>
      <c r="BF64" s="27" t="n">
        <v>0</v>
      </c>
      <c r="BG64" s="27">
        <f>SUM(BC64:BF64)</f>
        <v/>
      </c>
      <c r="BH64" s="27">
        <f>BB64+BG64</f>
        <v/>
      </c>
    </row>
    <row r="65">
      <c r="B65" s="31" t="inlineStr">
        <is>
          <t>Total consumo intermedio</t>
        </is>
      </c>
      <c r="C65" s="32">
        <f>SUM(C14:C64)</f>
        <v/>
      </c>
      <c r="D65" s="32">
        <f>SUM(D14:D64)</f>
        <v/>
      </c>
      <c r="E65" s="32">
        <f>SUM(E14:E64)</f>
        <v/>
      </c>
      <c r="F65" s="32">
        <f>SUM(F14:F64)</f>
        <v/>
      </c>
      <c r="G65" s="32">
        <f>SUM(G14:G64)</f>
        <v/>
      </c>
      <c r="H65" s="32">
        <f>SUM(H14:H64)</f>
        <v/>
      </c>
      <c r="I65" s="32">
        <f>SUM(I14:I64)</f>
        <v/>
      </c>
      <c r="J65" s="32">
        <f>SUM(J14:J64)</f>
        <v/>
      </c>
      <c r="K65" s="32">
        <f>SUM(K14:K64)</f>
        <v/>
      </c>
      <c r="L65" s="32">
        <f>SUM(L14:L64)</f>
        <v/>
      </c>
      <c r="M65" s="32">
        <f>SUM(M14:M64)</f>
        <v/>
      </c>
      <c r="N65" s="32">
        <f>SUM(N14:N64)</f>
        <v/>
      </c>
      <c r="O65" s="32">
        <f>SUM(O14:O64)</f>
        <v/>
      </c>
      <c r="P65" s="32">
        <f>SUM(P14:P64)</f>
        <v/>
      </c>
      <c r="Q65" s="32">
        <f>SUM(Q14:Q64)</f>
        <v/>
      </c>
      <c r="R65" s="32">
        <f>SUM(R14:R64)</f>
        <v/>
      </c>
      <c r="S65" s="32">
        <f>SUM(S14:S64)</f>
        <v/>
      </c>
      <c r="T65" s="32">
        <f>SUM(T14:T64)</f>
        <v/>
      </c>
      <c r="U65" s="32">
        <f>SUM(U14:U64)</f>
        <v/>
      </c>
      <c r="V65" s="32">
        <f>SUM(V14:V64)</f>
        <v/>
      </c>
      <c r="W65" s="32">
        <f>SUM(W14:W64)</f>
        <v/>
      </c>
      <c r="X65" s="32">
        <f>SUM(X14:X64)</f>
        <v/>
      </c>
      <c r="Y65" s="32">
        <f>SUM(Y14:Y64)</f>
        <v/>
      </c>
      <c r="Z65" s="32">
        <f>SUM(Z14:Z64)</f>
        <v/>
      </c>
      <c r="AA65" s="32">
        <f>SUM(AA14:AA64)</f>
        <v/>
      </c>
      <c r="AB65" s="32">
        <f>SUM(AB14:AB64)</f>
        <v/>
      </c>
      <c r="AC65" s="32">
        <f>SUM(AC14:AC64)</f>
        <v/>
      </c>
      <c r="AD65" s="32">
        <f>SUM(AD14:AD64)</f>
        <v/>
      </c>
      <c r="AE65" s="32">
        <f>SUM(AE14:AE64)</f>
        <v/>
      </c>
      <c r="AF65" s="32">
        <f>SUM(AF14:AF64)</f>
        <v/>
      </c>
      <c r="AG65" s="32">
        <f>SUM(AG14:AG64)</f>
        <v/>
      </c>
      <c r="AH65" s="32">
        <f>SUM(AH14:AH64)</f>
        <v/>
      </c>
      <c r="AI65" s="32">
        <f>SUM(AI14:AI64)</f>
        <v/>
      </c>
      <c r="AJ65" s="32">
        <f>SUM(AJ14:AJ64)</f>
        <v/>
      </c>
      <c r="AK65" s="32">
        <f>SUM(AK14:AK64)</f>
        <v/>
      </c>
      <c r="AL65" s="32">
        <f>SUM(AL14:AL64)</f>
        <v/>
      </c>
      <c r="AM65" s="32">
        <f>SUM(AM14:AM64)</f>
        <v/>
      </c>
      <c r="AN65" s="32">
        <f>SUM(AN14:AN64)</f>
        <v/>
      </c>
      <c r="AO65" s="32">
        <f>SUM(AO14:AO64)</f>
        <v/>
      </c>
      <c r="AP65" s="32">
        <f>SUM(AP14:AP64)</f>
        <v/>
      </c>
      <c r="AQ65" s="32">
        <f>SUM(AQ14:AQ64)</f>
        <v/>
      </c>
      <c r="AR65" s="32">
        <f>SUM(AR14:AR64)</f>
        <v/>
      </c>
      <c r="AS65" s="32">
        <f>SUM(AS14:AS64)</f>
        <v/>
      </c>
      <c r="AT65" s="32">
        <f>SUM(AT14:AT64)</f>
        <v/>
      </c>
      <c r="AU65" s="32">
        <f>SUM(AU14:AU64)</f>
        <v/>
      </c>
      <c r="AV65" s="32">
        <f>SUM(AV14:AV64)</f>
        <v/>
      </c>
      <c r="AW65" s="32">
        <f>SUM(AW14:AW64)</f>
        <v/>
      </c>
      <c r="AX65" s="32">
        <f>SUM(AX14:AX64)</f>
        <v/>
      </c>
      <c r="AY65" s="32">
        <f>SUM(AY14:AY64)</f>
        <v/>
      </c>
      <c r="AZ65" s="32">
        <f>SUM(AZ14:AZ64)</f>
        <v/>
      </c>
      <c r="BA65" s="32">
        <f>SUM(BA14:BA64)</f>
        <v/>
      </c>
      <c r="BB65" s="32">
        <f>SUM(BB14:BB64)</f>
        <v/>
      </c>
      <c r="BC65" s="32">
        <f>SUM(BC14:BC64)</f>
        <v/>
      </c>
      <c r="BD65" s="32">
        <f>SUM(BD14:BD64)</f>
        <v/>
      </c>
      <c r="BE65" s="32">
        <f>SUM(BE14:BE64)</f>
        <v/>
      </c>
      <c r="BF65" s="32">
        <f>SUM(BF14:BF64)</f>
        <v/>
      </c>
      <c r="BG65" s="32">
        <f>SUM(BG14:BG64)</f>
        <v/>
      </c>
      <c r="BH65" s="32">
        <f>SUM(BH14:BH64)</f>
        <v/>
      </c>
    </row>
    <row r="66"/>
    <row r="67">
      <c r="B67" s="31" t="inlineStr">
        <is>
          <t>Ajuste intermedio no asignado a matriz</t>
        </is>
      </c>
      <c r="C67" s="32" t="n">
        <v>9.094947017729282e-13</v>
      </c>
      <c r="D67" s="32" t="n">
        <v>0</v>
      </c>
      <c r="E67" s="32" t="n">
        <v>-4.547473508864641e-13</v>
      </c>
      <c r="F67" s="32" t="n">
        <v>5.684341886080801e-14</v>
      </c>
      <c r="G67" s="32" t="n">
        <v>-1.13686837721616e-13</v>
      </c>
      <c r="H67" s="32" t="n">
        <v>1.818989403545856e-12</v>
      </c>
      <c r="I67" s="32" t="n">
        <v>-5.684341886080801e-14</v>
      </c>
      <c r="J67" s="32" t="n">
        <v>-9.094947017729282e-13</v>
      </c>
      <c r="K67" s="32" t="n">
        <v>-4.547473508864641e-13</v>
      </c>
      <c r="L67" s="32" t="n">
        <v>-2.273736754432321e-13</v>
      </c>
      <c r="M67" s="32" t="n">
        <v>0</v>
      </c>
      <c r="N67" s="32" t="n">
        <v>1.13686837721616e-12</v>
      </c>
      <c r="O67" s="32" t="n">
        <v>0</v>
      </c>
      <c r="P67" s="32" t="n">
        <v>0</v>
      </c>
      <c r="Q67" s="32" t="n">
        <v>2.273736754432321e-13</v>
      </c>
      <c r="R67" s="32" t="n">
        <v>-9.094947017729282e-13</v>
      </c>
      <c r="S67" s="32" t="n">
        <v>-1.13686837721616e-12</v>
      </c>
      <c r="T67" s="32" t="n">
        <v>4.547473508864641e-13</v>
      </c>
      <c r="U67" s="32" t="n">
        <v>-1.13686837721616e-13</v>
      </c>
      <c r="V67" s="32" t="n">
        <v>-2.273736754432321e-13</v>
      </c>
      <c r="W67" s="32" t="n">
        <v>1.13686837721616e-13</v>
      </c>
      <c r="X67" s="32" t="n">
        <v>-1.13686837721616e-13</v>
      </c>
      <c r="Y67" s="32" t="n">
        <v>0</v>
      </c>
      <c r="Z67" s="32" t="n">
        <v>2.273736754432321e-13</v>
      </c>
      <c r="AA67" s="32" t="n">
        <v>-4.547473508864641e-13</v>
      </c>
      <c r="AB67" s="32" t="n">
        <v>-2.273736754432321e-13</v>
      </c>
      <c r="AC67" s="32" t="n">
        <v>-2.273736754432321e-13</v>
      </c>
      <c r="AD67" s="32" t="n">
        <v>4.547473508864641e-13</v>
      </c>
      <c r="AE67" s="32" t="n">
        <v>9.094947017729282e-13</v>
      </c>
      <c r="AF67" s="32" t="n">
        <v>0</v>
      </c>
      <c r="AG67" s="32" t="n">
        <v>-1.818989403545856e-12</v>
      </c>
      <c r="AH67" s="32" t="n">
        <v>0</v>
      </c>
      <c r="AI67" s="32" t="n">
        <v>-4.547473508864641e-13</v>
      </c>
      <c r="AJ67" s="32" t="n">
        <v>4.547473508864641e-13</v>
      </c>
      <c r="AK67" s="32" t="n">
        <v>0</v>
      </c>
      <c r="AL67" s="32" t="n">
        <v>1.818989403545856e-12</v>
      </c>
      <c r="AM67" s="32" t="n">
        <v>3.637978807091713e-12</v>
      </c>
      <c r="AN67" s="32" t="n">
        <v>9.094947017729282e-13</v>
      </c>
      <c r="AO67" s="32" t="n">
        <v>4.547473508864641e-13</v>
      </c>
      <c r="AP67" s="32" t="n">
        <v>0</v>
      </c>
      <c r="AQ67" s="32" t="n">
        <v>-2.273736754432321e-13</v>
      </c>
      <c r="AR67" s="32" t="n">
        <v>-5.684341886080801e-14</v>
      </c>
      <c r="AS67" s="32" t="n">
        <v>-9.094947017729282e-13</v>
      </c>
      <c r="AT67" s="32" t="n">
        <v>0</v>
      </c>
      <c r="AU67" s="32" t="n">
        <v>1.13686837721616e-13</v>
      </c>
      <c r="AV67" s="32" t="n">
        <v>-9.094947017729282e-13</v>
      </c>
      <c r="AW67" s="32" t="n">
        <v>0</v>
      </c>
      <c r="AX67" s="32" t="n">
        <v>0</v>
      </c>
      <c r="AY67" s="32" t="n">
        <v>9.094947017729282e-13</v>
      </c>
      <c r="AZ67" s="32" t="n">
        <v>-4.547473508864641e-13</v>
      </c>
      <c r="BA67" s="32" t="n">
        <v>1.818989403545856e-12</v>
      </c>
      <c r="BH67" s="32">
        <f>SUM(C67:BA67)</f>
        <v/>
      </c>
    </row>
    <row r="68"/>
    <row r="69">
      <c r="B69" s="31" t="inlineStr">
        <is>
          <t>Valor agregado</t>
        </is>
      </c>
      <c r="C69" s="32" t="n">
        <v>39059.0585510221</v>
      </c>
      <c r="D69" s="32" t="n">
        <v>17903.3303075108</v>
      </c>
      <c r="E69" s="32" t="n">
        <v>10450.2585108148</v>
      </c>
      <c r="F69" s="32" t="n">
        <v>2101.01452985913</v>
      </c>
      <c r="G69" s="32" t="n">
        <v>1675.96901106414</v>
      </c>
      <c r="H69" s="32" t="n">
        <v>17264.1504530784</v>
      </c>
      <c r="I69" s="32" t="n">
        <v>814.064372560005</v>
      </c>
      <c r="J69" s="32" t="n">
        <v>5962.3778040453</v>
      </c>
      <c r="K69" s="32" t="n">
        <v>9262.2844995005</v>
      </c>
      <c r="L69" s="32" t="n">
        <v>3422.32229128432</v>
      </c>
      <c r="M69" s="32" t="n">
        <v>3311.70613128109</v>
      </c>
      <c r="N69" s="32" t="n">
        <v>7159.97303406565</v>
      </c>
      <c r="O69" s="32" t="n">
        <v>4508.37082103696</v>
      </c>
      <c r="P69" s="32" t="n">
        <v>9199.70200521223</v>
      </c>
      <c r="Q69" s="32" t="n">
        <v>2103.36361182625</v>
      </c>
      <c r="R69" s="32" t="n">
        <v>6142.33980733601</v>
      </c>
      <c r="S69" s="32" t="n">
        <v>1520.65809388641</v>
      </c>
      <c r="T69" s="32" t="n">
        <v>7504.10753350407</v>
      </c>
      <c r="U69" s="32" t="n">
        <v>463.714128762466</v>
      </c>
      <c r="V69" s="32" t="n">
        <v>3048.857205565</v>
      </c>
      <c r="W69" s="32" t="n">
        <v>908.63111846123</v>
      </c>
      <c r="X69" s="32" t="n">
        <v>1045.38832483988</v>
      </c>
      <c r="Y69" s="32" t="n">
        <v>5997.72065822376</v>
      </c>
      <c r="Z69" s="32" t="n">
        <v>5940.96970115944</v>
      </c>
      <c r="AA69" s="32" t="n">
        <v>2722.31495757355</v>
      </c>
      <c r="AB69" s="32" t="n">
        <v>2721.1469029746</v>
      </c>
      <c r="AC69" s="32" t="n">
        <v>9301.576771162279</v>
      </c>
      <c r="AD69" s="32" t="n">
        <v>11475.5944949655</v>
      </c>
      <c r="AE69" s="32" t="n">
        <v>4253.13137193325</v>
      </c>
      <c r="AF69" s="32" t="n">
        <v>5476.10037436704</v>
      </c>
      <c r="AG69" s="32" t="n">
        <v>9966.30065058527</v>
      </c>
      <c r="AH69" s="32" t="n">
        <v>3763.00161202268</v>
      </c>
      <c r="AI69" s="32" t="n">
        <v>3658.23848924522</v>
      </c>
      <c r="AJ69" s="32" t="n">
        <v>8578.55451081265</v>
      </c>
      <c r="AK69" s="32" t="n">
        <v>32366.204712065</v>
      </c>
      <c r="AL69" s="32" t="n">
        <v>71780.4312811298</v>
      </c>
      <c r="AM69" s="32" t="n">
        <v>83631.30478733539</v>
      </c>
      <c r="AN69" s="32" t="n">
        <v>37874.7458512551</v>
      </c>
      <c r="AO69" s="32" t="n">
        <v>44143.0441095041</v>
      </c>
      <c r="AP69" s="32" t="n">
        <v>70489.1914096949</v>
      </c>
      <c r="AQ69" s="32" t="n">
        <v>126155.290822441</v>
      </c>
      <c r="AR69" s="32" t="n">
        <v>5346.05888042225</v>
      </c>
      <c r="AS69" s="32" t="n">
        <v>22557.9771763086</v>
      </c>
      <c r="AT69" s="32" t="n">
        <v>58131.6417692252</v>
      </c>
      <c r="AU69" s="32" t="n">
        <v>15788.4636129356</v>
      </c>
      <c r="AV69" s="32" t="n">
        <v>23558.2528711011</v>
      </c>
      <c r="AW69" s="32" t="n">
        <v>36863.9791451736</v>
      </c>
      <c r="AX69" s="32" t="n">
        <v>12116.6572594356</v>
      </c>
      <c r="AY69" s="32" t="n">
        <v>39568.0449844982</v>
      </c>
      <c r="AZ69" s="32" t="n">
        <v>18123.9387673399</v>
      </c>
      <c r="BA69" s="32" t="n">
        <v>104144.857946777</v>
      </c>
      <c r="BH69" s="32">
        <f>SUM(C69:BA69)</f>
        <v/>
      </c>
    </row>
    <row r="70"/>
    <row r="71">
      <c r="B71" s="31" t="inlineStr">
        <is>
          <t>Produccion total</t>
        </is>
      </c>
      <c r="C71" s="32">
        <f>C65+C67+C69</f>
        <v/>
      </c>
      <c r="D71" s="32">
        <f>D65+D67+D69</f>
        <v/>
      </c>
      <c r="E71" s="32">
        <f>E65+E67+E69</f>
        <v/>
      </c>
      <c r="F71" s="32">
        <f>F65+F67+F69</f>
        <v/>
      </c>
      <c r="G71" s="32">
        <f>G65+G67+G69</f>
        <v/>
      </c>
      <c r="H71" s="32">
        <f>H65+H67+H69</f>
        <v/>
      </c>
      <c r="I71" s="32">
        <f>I65+I67+I69</f>
        <v/>
      </c>
      <c r="J71" s="32">
        <f>J65+J67+J69</f>
        <v/>
      </c>
      <c r="K71" s="32">
        <f>K65+K67+K69</f>
        <v/>
      </c>
      <c r="L71" s="32">
        <f>L65+L67+L69</f>
        <v/>
      </c>
      <c r="M71" s="32">
        <f>M65+M67+M69</f>
        <v/>
      </c>
      <c r="N71" s="32">
        <f>N65+N67+N69</f>
        <v/>
      </c>
      <c r="O71" s="32">
        <f>O65+O67+O69</f>
        <v/>
      </c>
      <c r="P71" s="32">
        <f>P65+P67+P69</f>
        <v/>
      </c>
      <c r="Q71" s="32">
        <f>Q65+Q67+Q69</f>
        <v/>
      </c>
      <c r="R71" s="32">
        <f>R65+R67+R69</f>
        <v/>
      </c>
      <c r="S71" s="32">
        <f>S65+S67+S69</f>
        <v/>
      </c>
      <c r="T71" s="32">
        <f>T65+T67+T69</f>
        <v/>
      </c>
      <c r="U71" s="32">
        <f>U65+U67+U69</f>
        <v/>
      </c>
      <c r="V71" s="32">
        <f>V65+V67+V69</f>
        <v/>
      </c>
      <c r="W71" s="32">
        <f>W65+W67+W69</f>
        <v/>
      </c>
      <c r="X71" s="32">
        <f>X65+X67+X69</f>
        <v/>
      </c>
      <c r="Y71" s="32">
        <f>Y65+Y67+Y69</f>
        <v/>
      </c>
      <c r="Z71" s="32">
        <f>Z65+Z67+Z69</f>
        <v/>
      </c>
      <c r="AA71" s="32">
        <f>AA65+AA67+AA69</f>
        <v/>
      </c>
      <c r="AB71" s="32">
        <f>AB65+AB67+AB69</f>
        <v/>
      </c>
      <c r="AC71" s="32">
        <f>AC65+AC67+AC69</f>
        <v/>
      </c>
      <c r="AD71" s="32">
        <f>AD65+AD67+AD69</f>
        <v/>
      </c>
      <c r="AE71" s="32">
        <f>AE65+AE67+AE69</f>
        <v/>
      </c>
      <c r="AF71" s="32">
        <f>AF65+AF67+AF69</f>
        <v/>
      </c>
      <c r="AG71" s="32">
        <f>AG65+AG67+AG69</f>
        <v/>
      </c>
      <c r="AH71" s="32">
        <f>AH65+AH67+AH69</f>
        <v/>
      </c>
      <c r="AI71" s="32">
        <f>AI65+AI67+AI69</f>
        <v/>
      </c>
      <c r="AJ71" s="32">
        <f>AJ65+AJ67+AJ69</f>
        <v/>
      </c>
      <c r="AK71" s="32">
        <f>AK65+AK67+AK69</f>
        <v/>
      </c>
      <c r="AL71" s="32">
        <f>AL65+AL67+AL69</f>
        <v/>
      </c>
      <c r="AM71" s="32">
        <f>AM65+AM67+AM69</f>
        <v/>
      </c>
      <c r="AN71" s="32">
        <f>AN65+AN67+AN69</f>
        <v/>
      </c>
      <c r="AO71" s="32">
        <f>AO65+AO67+AO69</f>
        <v/>
      </c>
      <c r="AP71" s="32">
        <f>AP65+AP67+AP69</f>
        <v/>
      </c>
      <c r="AQ71" s="32">
        <f>AQ65+AQ67+AQ69</f>
        <v/>
      </c>
      <c r="AR71" s="32">
        <f>AR65+AR67+AR69</f>
        <v/>
      </c>
      <c r="AS71" s="32">
        <f>AS65+AS67+AS69</f>
        <v/>
      </c>
      <c r="AT71" s="32">
        <f>AT65+AT67+AT69</f>
        <v/>
      </c>
      <c r="AU71" s="32">
        <f>AU65+AU67+AU69</f>
        <v/>
      </c>
      <c r="AV71" s="32">
        <f>AV65+AV67+AV69</f>
        <v/>
      </c>
      <c r="AW71" s="32">
        <f>AW65+AW67+AW69</f>
        <v/>
      </c>
      <c r="AX71" s="32">
        <f>AX65+AX67+AX69</f>
        <v/>
      </c>
      <c r="AY71" s="32">
        <f>AY65+AY67+AY69</f>
        <v/>
      </c>
      <c r="AZ71" s="32">
        <f>AZ65+AZ67+AZ69</f>
        <v/>
      </c>
      <c r="BA71" s="32">
        <f>BA65+BA67+BA69</f>
        <v/>
      </c>
      <c r="BH71" s="32">
        <f>SUM(C71:BA71)</f>
        <v/>
      </c>
    </row>
    <row r="72">
      <c r="B72" s="31" t="inlineStr">
        <is>
          <t>Produccion fuente</t>
        </is>
      </c>
      <c r="C72" s="32" t="n">
        <v>58941.29662408982</v>
      </c>
      <c r="D72" s="32" t="n">
        <v>31231.70821919838</v>
      </c>
      <c r="E72" s="32" t="n">
        <v>24487.33244770828</v>
      </c>
      <c r="F72" s="32" t="n">
        <v>7193.870606168707</v>
      </c>
      <c r="G72" s="32" t="n">
        <v>6681.637996560913</v>
      </c>
      <c r="H72" s="32" t="n">
        <v>126988.6027276365</v>
      </c>
      <c r="I72" s="32" t="n">
        <v>4317.377302937234</v>
      </c>
      <c r="J72" s="32" t="n">
        <v>20274.20059523069</v>
      </c>
      <c r="K72" s="32" t="n">
        <v>21086.87723851328</v>
      </c>
      <c r="L72" s="32" t="n">
        <v>13034.0915563754</v>
      </c>
      <c r="M72" s="32" t="n">
        <v>8490.06289321282</v>
      </c>
      <c r="N72" s="32" t="n">
        <v>21397.15784179743</v>
      </c>
      <c r="O72" s="32" t="n">
        <v>8569.360485317839</v>
      </c>
      <c r="P72" s="32" t="n">
        <v>69334.62980431975</v>
      </c>
      <c r="Q72" s="32" t="n">
        <v>6658.449844666511</v>
      </c>
      <c r="R72" s="32" t="n">
        <v>27302.55613458948</v>
      </c>
      <c r="S72" s="32" t="n">
        <v>9938.201542717617</v>
      </c>
      <c r="T72" s="32" t="n">
        <v>14657.99846439428</v>
      </c>
      <c r="U72" s="32" t="n">
        <v>4811.396678594956</v>
      </c>
      <c r="V72" s="32" t="n">
        <v>10353.37879870662</v>
      </c>
      <c r="W72" s="32" t="n">
        <v>4961.904727485619</v>
      </c>
      <c r="X72" s="32" t="n">
        <v>7015.253379639866</v>
      </c>
      <c r="Y72" s="32" t="n">
        <v>25176.48307343842</v>
      </c>
      <c r="Z72" s="32" t="n">
        <v>19802.72198797287</v>
      </c>
      <c r="AA72" s="32" t="n">
        <v>23741.46299738244</v>
      </c>
      <c r="AB72" s="32" t="n">
        <v>12268.35060109982</v>
      </c>
      <c r="AC72" s="32" t="n">
        <v>21717.88012299433</v>
      </c>
      <c r="AD72" s="32" t="n">
        <v>35513.9763138396</v>
      </c>
      <c r="AE72" s="32" t="n">
        <v>15615.36934342955</v>
      </c>
      <c r="AF72" s="32" t="n">
        <v>33833.22481667033</v>
      </c>
      <c r="AG72" s="32" t="n">
        <v>34008.23666852542</v>
      </c>
      <c r="AH72" s="32" t="n">
        <v>18627.17308239602</v>
      </c>
      <c r="AI72" s="32" t="n">
        <v>9399.714621215753</v>
      </c>
      <c r="AJ72" s="32" t="n">
        <v>17228.15750635604</v>
      </c>
      <c r="AK72" s="32" t="n">
        <v>63856.0941501065</v>
      </c>
      <c r="AL72" s="32" t="n">
        <v>143636.174786807</v>
      </c>
      <c r="AM72" s="32" t="n">
        <v>155641.8799535657</v>
      </c>
      <c r="AN72" s="32" t="n">
        <v>90617.45614691243</v>
      </c>
      <c r="AO72" s="32" t="n">
        <v>87367.14381158802</v>
      </c>
      <c r="AP72" s="32" t="n">
        <v>108982.7053934911</v>
      </c>
      <c r="AQ72" s="32" t="n">
        <v>137630.9047748995</v>
      </c>
      <c r="AR72" s="32" t="n">
        <v>7036.205662678015</v>
      </c>
      <c r="AS72" s="32" t="n">
        <v>43940.92506001217</v>
      </c>
      <c r="AT72" s="32" t="n">
        <v>101989.0786137168</v>
      </c>
      <c r="AU72" s="32" t="n">
        <v>23352.55462642939</v>
      </c>
      <c r="AV72" s="32" t="n">
        <v>43099.47858730656</v>
      </c>
      <c r="AW72" s="32" t="n">
        <v>69002.9927115856</v>
      </c>
      <c r="AX72" s="32" t="n">
        <v>12116.6572594356</v>
      </c>
      <c r="AY72" s="32" t="n">
        <v>49121.3342874542</v>
      </c>
      <c r="AZ72" s="32" t="n">
        <v>27158.97045662723</v>
      </c>
      <c r="BA72" s="32" t="n">
        <v>148965.8320746999</v>
      </c>
      <c r="BH72" s="32">
        <f>SUM(C72:BA72)</f>
        <v/>
      </c>
    </row>
    <row r="73">
      <c r="B73" s="33" t="inlineStr">
        <is>
          <t>Check produccion total - fuente</t>
        </is>
      </c>
      <c r="C73" s="34">
        <f>C71-C72</f>
        <v/>
      </c>
      <c r="D73" s="34">
        <f>D71-D72</f>
        <v/>
      </c>
      <c r="E73" s="34">
        <f>E71-E72</f>
        <v/>
      </c>
      <c r="F73" s="34">
        <f>F71-F72</f>
        <v/>
      </c>
      <c r="G73" s="34">
        <f>G71-G72</f>
        <v/>
      </c>
      <c r="H73" s="34">
        <f>H71-H72</f>
        <v/>
      </c>
      <c r="I73" s="34">
        <f>I71-I72</f>
        <v/>
      </c>
      <c r="J73" s="34">
        <f>J71-J72</f>
        <v/>
      </c>
      <c r="K73" s="34">
        <f>K71-K72</f>
        <v/>
      </c>
      <c r="L73" s="34">
        <f>L71-L72</f>
        <v/>
      </c>
      <c r="M73" s="34">
        <f>M71-M72</f>
        <v/>
      </c>
      <c r="N73" s="34">
        <f>N71-N72</f>
        <v/>
      </c>
      <c r="O73" s="34">
        <f>O71-O72</f>
        <v/>
      </c>
      <c r="P73" s="34">
        <f>P71-P72</f>
        <v/>
      </c>
      <c r="Q73" s="34">
        <f>Q71-Q72</f>
        <v/>
      </c>
      <c r="R73" s="34">
        <f>R71-R72</f>
        <v/>
      </c>
      <c r="S73" s="34">
        <f>S71-S72</f>
        <v/>
      </c>
      <c r="T73" s="34">
        <f>T71-T72</f>
        <v/>
      </c>
      <c r="U73" s="34">
        <f>U71-U72</f>
        <v/>
      </c>
      <c r="V73" s="34">
        <f>V71-V72</f>
        <v/>
      </c>
      <c r="W73" s="34">
        <f>W71-W72</f>
        <v/>
      </c>
      <c r="X73" s="34">
        <f>X71-X72</f>
        <v/>
      </c>
      <c r="Y73" s="34">
        <f>Y71-Y72</f>
        <v/>
      </c>
      <c r="Z73" s="34">
        <f>Z71-Z72</f>
        <v/>
      </c>
      <c r="AA73" s="34">
        <f>AA71-AA72</f>
        <v/>
      </c>
      <c r="AB73" s="34">
        <f>AB71-AB72</f>
        <v/>
      </c>
      <c r="AC73" s="34">
        <f>AC71-AC72</f>
        <v/>
      </c>
      <c r="AD73" s="34">
        <f>AD71-AD72</f>
        <v/>
      </c>
      <c r="AE73" s="34">
        <f>AE71-AE72</f>
        <v/>
      </c>
      <c r="AF73" s="34">
        <f>AF71-AF72</f>
        <v/>
      </c>
      <c r="AG73" s="34">
        <f>AG71-AG72</f>
        <v/>
      </c>
      <c r="AH73" s="34">
        <f>AH71-AH72</f>
        <v/>
      </c>
      <c r="AI73" s="34">
        <f>AI71-AI72</f>
        <v/>
      </c>
      <c r="AJ73" s="34">
        <f>AJ71-AJ72</f>
        <v/>
      </c>
      <c r="AK73" s="34">
        <f>AK71-AK72</f>
        <v/>
      </c>
      <c r="AL73" s="34">
        <f>AL71-AL72</f>
        <v/>
      </c>
      <c r="AM73" s="34">
        <f>AM71-AM72</f>
        <v/>
      </c>
      <c r="AN73" s="34">
        <f>AN71-AN72</f>
        <v/>
      </c>
      <c r="AO73" s="34">
        <f>AO71-AO72</f>
        <v/>
      </c>
      <c r="AP73" s="34">
        <f>AP71-AP72</f>
        <v/>
      </c>
      <c r="AQ73" s="34">
        <f>AQ71-AQ72</f>
        <v/>
      </c>
      <c r="AR73" s="34">
        <f>AR71-AR72</f>
        <v/>
      </c>
      <c r="AS73" s="34">
        <f>AS71-AS72</f>
        <v/>
      </c>
      <c r="AT73" s="34">
        <f>AT71-AT72</f>
        <v/>
      </c>
      <c r="AU73" s="34">
        <f>AU71-AU72</f>
        <v/>
      </c>
      <c r="AV73" s="34">
        <f>AV71-AV72</f>
        <v/>
      </c>
      <c r="AW73" s="34">
        <f>AW71-AW72</f>
        <v/>
      </c>
      <c r="AX73" s="34">
        <f>AX71-AX72</f>
        <v/>
      </c>
      <c r="AY73" s="34">
        <f>AY71-AY72</f>
        <v/>
      </c>
      <c r="AZ73" s="34">
        <f>AZ71-AZ72</f>
        <v/>
      </c>
      <c r="BA73" s="34">
        <f>BA71-BA72</f>
        <v/>
      </c>
      <c r="BH73" s="34">
        <f>SUM(C73:BA73)</f>
        <v/>
      </c>
    </row>
    <row r="74"/>
    <row r="75">
      <c r="B75" s="30" t="inlineStr">
        <is>
          <t>Nota</t>
        </is>
      </c>
      <c r="C75" s="30" t="inlineStr">
        <is>
          <t>Z total = Z nacional + matriz importada/ajuste asignada. El residuo de ajuste no asignado queda como fila firmada.</t>
        </is>
      </c>
    </row>
  </sheetData>
  <mergeCells count="9">
    <mergeCell ref="BG10:BG12"/>
    <mergeCell ref="C10:BA10"/>
    <mergeCell ref="BH10:BH12"/>
    <mergeCell ref="A3:H4"/>
    <mergeCell ref="B10:B12"/>
    <mergeCell ref="A10:A12"/>
    <mergeCell ref="A1:H1"/>
    <mergeCell ref="BB10:BB12"/>
    <mergeCell ref="BC10:BF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Agricultura silvicultura exploração florestal</t>
        </is>
      </c>
      <c r="C4" s="11" t="n">
        <v>58941.29662408982</v>
      </c>
      <c r="D4" s="11" t="n">
        <v>39059.0585510221</v>
      </c>
      <c r="E4" s="11" t="n">
        <v>1.519943829911412</v>
      </c>
      <c r="F4" s="11" t="n">
        <v>0.7767775977012054</v>
      </c>
      <c r="G4" s="11" t="n">
        <v>2.007832667030698</v>
      </c>
      <c r="H4" s="11" t="n">
        <v>1.028566428879828</v>
      </c>
    </row>
    <row r="5">
      <c r="A5" s="10" t="inlineStr"/>
      <c r="B5" s="10" t="inlineStr">
        <is>
          <t>Pecuária e pesca</t>
        </is>
      </c>
      <c r="C5" s="11" t="n">
        <v>31231.70821919838</v>
      </c>
      <c r="D5" s="11" t="n">
        <v>17903.3303075108</v>
      </c>
      <c r="E5" s="11" t="n">
        <v>1.646614944081441</v>
      </c>
      <c r="F5" s="11" t="n">
        <v>0.8415137292784267</v>
      </c>
      <c r="G5" s="11" t="n">
        <v>1.966309877850416</v>
      </c>
      <c r="H5" s="11" t="n">
        <v>1.007295260377797</v>
      </c>
    </row>
    <row r="6">
      <c r="A6" s="10" t="inlineStr"/>
      <c r="B6" s="10" t="inlineStr">
        <is>
          <t>Petróleo e gás natural</t>
        </is>
      </c>
      <c r="C6" s="11" t="n">
        <v>24487.33244770828</v>
      </c>
      <c r="D6" s="11" t="n">
        <v>10450.2585108148</v>
      </c>
      <c r="E6" s="11" t="n">
        <v>1.916489749423785</v>
      </c>
      <c r="F6" s="11" t="n">
        <v>0.979435077981243</v>
      </c>
      <c r="G6" s="11" t="n">
        <v>3.089150693088442</v>
      </c>
      <c r="H6" s="11" t="n">
        <v>1.582500747614863</v>
      </c>
    </row>
    <row r="7">
      <c r="A7" s="10" t="inlineStr"/>
      <c r="B7" s="10" t="inlineStr">
        <is>
          <t>Minério de ferro</t>
        </is>
      </c>
      <c r="C7" s="11" t="n">
        <v>7193.870606168707</v>
      </c>
      <c r="D7" s="11" t="n">
        <v>2101.01452985913</v>
      </c>
      <c r="E7" s="11" t="n">
        <v>2.282787207341686</v>
      </c>
      <c r="F7" s="11" t="n">
        <v>1.166633876914563</v>
      </c>
      <c r="G7" s="11" t="n">
        <v>1.567325480475818</v>
      </c>
      <c r="H7" s="11" t="n">
        <v>0.8029047434164122</v>
      </c>
    </row>
    <row r="8">
      <c r="A8" s="10" t="inlineStr"/>
      <c r="B8" s="10" t="inlineStr">
        <is>
          <t>Outros da indústria extrativa</t>
        </is>
      </c>
      <c r="C8" s="11" t="n">
        <v>6681.637996560913</v>
      </c>
      <c r="D8" s="11" t="n">
        <v>1675.96901106414</v>
      </c>
      <c r="E8" s="11" t="n">
        <v>2.273054069566862</v>
      </c>
      <c r="F8" s="11" t="n">
        <v>1.161659690875554</v>
      </c>
      <c r="G8" s="11" t="n">
        <v>2.915798319224614</v>
      </c>
      <c r="H8" s="11" t="n">
        <v>1.493696319312257</v>
      </c>
    </row>
    <row r="9">
      <c r="A9" s="10" t="inlineStr"/>
      <c r="B9" s="10" t="inlineStr">
        <is>
          <t>Alimentos e Bebidas</t>
        </is>
      </c>
      <c r="C9" s="11" t="n">
        <v>126988.6027276365</v>
      </c>
      <c r="D9" s="11" t="n">
        <v>17264.1504530784</v>
      </c>
      <c r="E9" s="11" t="n">
        <v>2.459264179644952</v>
      </c>
      <c r="F9" s="11" t="n">
        <v>1.2568236299157</v>
      </c>
      <c r="G9" s="11" t="n">
        <v>1.436051226102361</v>
      </c>
      <c r="H9" s="11" t="n">
        <v>0.735655966542764</v>
      </c>
    </row>
    <row r="10">
      <c r="A10" s="10" t="inlineStr"/>
      <c r="B10" s="10" t="inlineStr">
        <is>
          <t>Produtos do fumo</t>
        </is>
      </c>
      <c r="C10" s="11" t="n">
        <v>4317.377302937234</v>
      </c>
      <c r="D10" s="11" t="n">
        <v>814.064372560005</v>
      </c>
      <c r="E10" s="11" t="n">
        <v>2.232223894280466</v>
      </c>
      <c r="F10" s="11" t="n">
        <v>1.14079315301505</v>
      </c>
      <c r="G10" s="11" t="n">
        <v>1.097764707181358</v>
      </c>
      <c r="H10" s="11" t="n">
        <v>0.5623595746580092</v>
      </c>
    </row>
    <row r="11">
      <c r="A11" s="10" t="inlineStr"/>
      <c r="B11" s="10" t="inlineStr">
        <is>
          <t>Têxteis</t>
        </is>
      </c>
      <c r="C11" s="11" t="n">
        <v>20274.20059523069</v>
      </c>
      <c r="D11" s="11" t="n">
        <v>5962.3778040453</v>
      </c>
      <c r="E11" s="11" t="n">
        <v>2.175785874053314</v>
      </c>
      <c r="F11" s="11" t="n">
        <v>1.111950120194808</v>
      </c>
      <c r="G11" s="11" t="n">
        <v>1.947147369309579</v>
      </c>
      <c r="H11" s="11" t="n">
        <v>0.9974787486226733</v>
      </c>
    </row>
    <row r="12">
      <c r="A12" s="10" t="inlineStr"/>
      <c r="B12" s="10" t="inlineStr">
        <is>
          <t>Artigos do vestuário e acessórios</t>
        </is>
      </c>
      <c r="C12" s="11" t="n">
        <v>21086.87723851328</v>
      </c>
      <c r="D12" s="11" t="n">
        <v>9262.2844995005</v>
      </c>
      <c r="E12" s="11" t="n">
        <v>1.934093061842959</v>
      </c>
      <c r="F12" s="11" t="n">
        <v>0.9884313701227404</v>
      </c>
      <c r="G12" s="11" t="n">
        <v>1.13791860757064</v>
      </c>
      <c r="H12" s="11" t="n">
        <v>0.5829294929620474</v>
      </c>
    </row>
    <row r="13">
      <c r="A13" s="10" t="inlineStr"/>
      <c r="B13" s="10" t="inlineStr">
        <is>
          <t>Artefatos de couro e calçados</t>
        </is>
      </c>
      <c r="C13" s="11" t="n">
        <v>13034.0915563754</v>
      </c>
      <c r="D13" s="11" t="n">
        <v>3422.32229128432</v>
      </c>
      <c r="E13" s="11" t="n">
        <v>2.373009407275938</v>
      </c>
      <c r="F13" s="11" t="n">
        <v>1.212742543790976</v>
      </c>
      <c r="G13" s="11" t="n">
        <v>1.217601395787889</v>
      </c>
      <c r="H13" s="11" t="n">
        <v>0.6237491500308852</v>
      </c>
    </row>
    <row r="14">
      <c r="A14" s="10" t="inlineStr">
        <is>
          <t>Produtos de madeira</t>
        </is>
      </c>
      <c r="B14" s="10" t="inlineStr">
        <is>
          <t>exclusive móveis</t>
        </is>
      </c>
      <c r="C14" s="11" t="n">
        <v>8490.06289321282</v>
      </c>
      <c r="D14" s="11" t="n">
        <v>3311.70613128109</v>
      </c>
      <c r="E14" s="11" t="n">
        <v>1.994796918972056</v>
      </c>
      <c r="F14" s="11" t="n">
        <v>1.01945448780906</v>
      </c>
      <c r="G14" s="11" t="n">
        <v>1.996220860680394</v>
      </c>
      <c r="H14" s="11" t="n">
        <v>1.022617967941478</v>
      </c>
    </row>
    <row r="15">
      <c r="A15" s="10" t="inlineStr"/>
      <c r="B15" s="10" t="inlineStr">
        <is>
          <t>Celulose e produtos de papel</t>
        </is>
      </c>
      <c r="C15" s="11" t="n">
        <v>21397.15784179743</v>
      </c>
      <c r="D15" s="11" t="n">
        <v>7159.97303406565</v>
      </c>
      <c r="E15" s="11" t="n">
        <v>2.19687975668375</v>
      </c>
      <c r="F15" s="11" t="n">
        <v>1.122730291904716</v>
      </c>
      <c r="G15" s="11" t="n">
        <v>2.425305622047672</v>
      </c>
      <c r="H15" s="11" t="n">
        <v>1.242428208074176</v>
      </c>
    </row>
    <row r="16">
      <c r="A16" s="10" t="inlineStr"/>
      <c r="B16" s="10" t="inlineStr">
        <is>
          <t>Jornais revistas discos</t>
        </is>
      </c>
      <c r="C16" s="11" t="n">
        <v>8569.360485317839</v>
      </c>
      <c r="D16" s="11" t="n">
        <v>4508.37082103696</v>
      </c>
      <c r="E16" s="11" t="n">
        <v>1.740829003750335</v>
      </c>
      <c r="F16" s="11" t="n">
        <v>0.889662463132326</v>
      </c>
      <c r="G16" s="11" t="n">
        <v>2.978804264027996</v>
      </c>
      <c r="H16" s="11" t="n">
        <v>1.525972813618156</v>
      </c>
    </row>
    <row r="17">
      <c r="A17" s="10" t="inlineStr"/>
      <c r="B17" s="10" t="inlineStr">
        <is>
          <t>Refino de petróleo e coque</t>
        </is>
      </c>
      <c r="C17" s="11" t="n">
        <v>69334.62980431975</v>
      </c>
      <c r="D17" s="11" t="n">
        <v>9199.70200521223</v>
      </c>
      <c r="E17" s="11" t="n">
        <v>2.329230928377604</v>
      </c>
      <c r="F17" s="11" t="n">
        <v>1.190369255383573</v>
      </c>
      <c r="G17" s="11" t="n">
        <v>2.65957645135995</v>
      </c>
      <c r="H17" s="11" t="n">
        <v>1.362439757967323</v>
      </c>
    </row>
    <row r="18">
      <c r="A18" s="10" t="inlineStr"/>
      <c r="B18" s="10" t="inlineStr">
        <is>
          <t>Álcool</t>
        </is>
      </c>
      <c r="C18" s="11" t="n">
        <v>6658.449844666511</v>
      </c>
      <c r="D18" s="11" t="n">
        <v>2103.36361182625</v>
      </c>
      <c r="E18" s="11" t="n">
        <v>2.122473342012146</v>
      </c>
      <c r="F18" s="11" t="n">
        <v>1.084704389299133</v>
      </c>
      <c r="G18" s="11" t="n">
        <v>1.976583842368491</v>
      </c>
      <c r="H18" s="11" t="n">
        <v>1.012558375760027</v>
      </c>
    </row>
    <row r="19">
      <c r="A19" s="10" t="inlineStr"/>
      <c r="B19" s="10" t="inlineStr">
        <is>
          <t>Produtos  químicos</t>
        </is>
      </c>
      <c r="C19" s="11" t="n">
        <v>27302.55613458948</v>
      </c>
      <c r="D19" s="11" t="n">
        <v>6142.33980733601</v>
      </c>
      <c r="E19" s="11" t="n">
        <v>2.256610774960324</v>
      </c>
      <c r="F19" s="11" t="n">
        <v>1.153256233700755</v>
      </c>
      <c r="G19" s="11" t="n">
        <v>3.109772515208985</v>
      </c>
      <c r="H19" s="11" t="n">
        <v>1.593064832104479</v>
      </c>
    </row>
    <row r="20">
      <c r="A20" s="10" t="inlineStr"/>
      <c r="B20" s="10" t="inlineStr">
        <is>
          <t>Fabricação de resina e elastômeros</t>
        </is>
      </c>
      <c r="C20" s="11" t="n">
        <v>9938.201542717617</v>
      </c>
      <c r="D20" s="11" t="n">
        <v>1520.65809388641</v>
      </c>
      <c r="E20" s="11" t="n">
        <v>2.375212429304301</v>
      </c>
      <c r="F20" s="11" t="n">
        <v>1.21386841313246</v>
      </c>
      <c r="G20" s="11" t="n">
        <v>3.064247659305015</v>
      </c>
      <c r="H20" s="11" t="n">
        <v>1.569743496999565</v>
      </c>
    </row>
    <row r="21">
      <c r="A21" s="10" t="inlineStr"/>
      <c r="B21" s="10" t="inlineStr">
        <is>
          <t>Produtos farmacêuticos</t>
        </is>
      </c>
      <c r="C21" s="11" t="n">
        <v>14657.99846439428</v>
      </c>
      <c r="D21" s="11" t="n">
        <v>7504.10753350407</v>
      </c>
      <c r="E21" s="11" t="n">
        <v>1.825805891868676</v>
      </c>
      <c r="F21" s="11" t="n">
        <v>0.9330904778481963</v>
      </c>
      <c r="G21" s="11" t="n">
        <v>1.44986255370304</v>
      </c>
      <c r="H21" s="11" t="n">
        <v>0.7427311915560757</v>
      </c>
    </row>
    <row r="22">
      <c r="A22" s="10" t="inlineStr"/>
      <c r="B22" s="10" t="inlineStr">
        <is>
          <t>Defensivos agrícolas</t>
        </is>
      </c>
      <c r="C22" s="11" t="n">
        <v>4811.396678594956</v>
      </c>
      <c r="D22" s="11" t="n">
        <v>463.714128762466</v>
      </c>
      <c r="E22" s="11" t="n">
        <v>2.510244453638373</v>
      </c>
      <c r="F22" s="11" t="n">
        <v>1.282877444526117</v>
      </c>
      <c r="G22" s="11" t="n">
        <v>2.883274129948217</v>
      </c>
      <c r="H22" s="11" t="n">
        <v>1.477034926276099</v>
      </c>
    </row>
    <row r="23">
      <c r="A23" s="10" t="inlineStr"/>
      <c r="B23" s="10" t="inlineStr">
        <is>
          <t>Perfumaria higiene e limpeza</t>
        </is>
      </c>
      <c r="C23" s="11" t="n">
        <v>10353.37879870662</v>
      </c>
      <c r="D23" s="11" t="n">
        <v>3048.857205565</v>
      </c>
      <c r="E23" s="11" t="n">
        <v>2.119811771743105</v>
      </c>
      <c r="F23" s="11" t="n">
        <v>1.083344175770835</v>
      </c>
      <c r="G23" s="11" t="n">
        <v>1.521981584347059</v>
      </c>
      <c r="H23" s="11" t="n">
        <v>0.7796761098362898</v>
      </c>
    </row>
    <row r="24">
      <c r="A24" s="10" t="inlineStr"/>
      <c r="B24" s="10" t="inlineStr">
        <is>
          <t>Tintas vernizes esmaltes e lacas</t>
        </is>
      </c>
      <c r="C24" s="11" t="n">
        <v>4961.904727485619</v>
      </c>
      <c r="D24" s="11" t="n">
        <v>908.63111846123</v>
      </c>
      <c r="E24" s="11" t="n">
        <v>2.35468092203539</v>
      </c>
      <c r="F24" s="11" t="n">
        <v>1.2033756471633</v>
      </c>
      <c r="G24" s="11" t="n">
        <v>2.660146960144164</v>
      </c>
      <c r="H24" s="11" t="n">
        <v>1.362732016476939</v>
      </c>
    </row>
    <row r="25">
      <c r="A25" s="10" t="inlineStr"/>
      <c r="B25" s="10" t="inlineStr">
        <is>
          <t>Produtos e preparados químicos diversos</t>
        </is>
      </c>
      <c r="C25" s="11" t="n">
        <v>7015.253379639866</v>
      </c>
      <c r="D25" s="11" t="n">
        <v>1045.38832483988</v>
      </c>
      <c r="E25" s="11" t="n">
        <v>2.554342515761469</v>
      </c>
      <c r="F25" s="11" t="n">
        <v>1.305414058106931</v>
      </c>
      <c r="G25" s="11" t="n">
        <v>2.621073190414834</v>
      </c>
      <c r="H25" s="11" t="n">
        <v>1.342715424231328</v>
      </c>
    </row>
    <row r="26">
      <c r="A26" s="10" t="inlineStr"/>
      <c r="B26" s="10" t="inlineStr">
        <is>
          <t>Artigos de borracha e plástico</t>
        </is>
      </c>
      <c r="C26" s="11" t="n">
        <v>25176.48307343842</v>
      </c>
      <c r="D26" s="11" t="n">
        <v>5997.72065822376</v>
      </c>
      <c r="E26" s="11" t="n">
        <v>2.352782863991248</v>
      </c>
      <c r="F26" s="11" t="n">
        <v>1.202405631733248</v>
      </c>
      <c r="G26" s="11" t="n">
        <v>2.453241411653045</v>
      </c>
      <c r="H26" s="11" t="n">
        <v>1.256739069643547</v>
      </c>
    </row>
    <row r="27">
      <c r="A27" s="10" t="inlineStr"/>
      <c r="B27" s="10" t="inlineStr">
        <is>
          <t>Cimento e outros produtos de minerais não-metálicos</t>
        </is>
      </c>
      <c r="C27" s="11" t="n">
        <v>19802.72198797287</v>
      </c>
      <c r="D27" s="11" t="n">
        <v>5940.96970115944</v>
      </c>
      <c r="E27" s="11" t="n">
        <v>2.257787524087774</v>
      </c>
      <c r="F27" s="11" t="n">
        <v>1.153857619319308</v>
      </c>
      <c r="G27" s="11" t="n">
        <v>2.358852373179775</v>
      </c>
      <c r="H27" s="11" t="n">
        <v>1.208385739297833</v>
      </c>
    </row>
    <row r="28">
      <c r="A28" s="10" t="inlineStr"/>
      <c r="B28" s="10" t="inlineStr">
        <is>
          <t>Fabricação de aço e derivados</t>
        </is>
      </c>
      <c r="C28" s="11" t="n">
        <v>23741.46299738244</v>
      </c>
      <c r="D28" s="11" t="n">
        <v>2722.31495757355</v>
      </c>
      <c r="E28" s="11" t="n">
        <v>2.575779808369921</v>
      </c>
      <c r="F28" s="11" t="n">
        <v>1.316369731814019</v>
      </c>
      <c r="G28" s="11" t="n">
        <v>2.342448613236202</v>
      </c>
      <c r="H28" s="11" t="n">
        <v>1.199982470906789</v>
      </c>
    </row>
    <row r="29">
      <c r="A29" s="10" t="inlineStr"/>
      <c r="B29" s="10" t="inlineStr">
        <is>
          <t>Metalurgia de metais não-ferrosos</t>
        </is>
      </c>
      <c r="C29" s="11" t="n">
        <v>12268.35060109982</v>
      </c>
      <c r="D29" s="11" t="n">
        <v>2721.1469029746</v>
      </c>
      <c r="E29" s="11" t="n">
        <v>2.256404827606377</v>
      </c>
      <c r="F29" s="11" t="n">
        <v>1.153150982909441</v>
      </c>
      <c r="G29" s="11" t="n">
        <v>2.323671666573818</v>
      </c>
      <c r="H29" s="11" t="n">
        <v>1.190363473621345</v>
      </c>
    </row>
    <row r="30">
      <c r="A30" s="10" t="inlineStr">
        <is>
          <t>Produtos de metal</t>
        </is>
      </c>
      <c r="B30" s="10" t="inlineStr">
        <is>
          <t>exclusive máquinas e equipamentos</t>
        </is>
      </c>
      <c r="C30" s="11" t="n">
        <v>21717.88012299433</v>
      </c>
      <c r="D30" s="11" t="n">
        <v>9301.576771162279</v>
      </c>
      <c r="E30" s="11" t="n">
        <v>2.079328622401013</v>
      </c>
      <c r="F30" s="11" t="n">
        <v>1.062654987871594</v>
      </c>
      <c r="G30" s="11" t="n">
        <v>2.317541933424741</v>
      </c>
      <c r="H30" s="11" t="n">
        <v>1.187223352515308</v>
      </c>
    </row>
    <row r="31">
      <c r="A31" s="10" t="inlineStr"/>
      <c r="B31" s="10" t="inlineStr">
        <is>
          <t>Máquinas e equipamentos inclusive manutenção e reparos</t>
        </is>
      </c>
      <c r="C31" s="11" t="n">
        <v>35513.9763138396</v>
      </c>
      <c r="D31" s="11" t="n">
        <v>11475.5944949655</v>
      </c>
      <c r="E31" s="11" t="n">
        <v>2.160655708909346</v>
      </c>
      <c r="F31" s="11" t="n">
        <v>1.104217746733323</v>
      </c>
      <c r="G31" s="11" t="n">
        <v>2.158083515738384</v>
      </c>
      <c r="H31" s="11" t="n">
        <v>1.105536477942719</v>
      </c>
    </row>
    <row r="32">
      <c r="A32" s="10" t="inlineStr"/>
      <c r="B32" s="10" t="inlineStr">
        <is>
          <t>Eletrodomésticos e material eletronico</t>
        </is>
      </c>
      <c r="C32" s="11" t="n">
        <v>15615.36934342955</v>
      </c>
      <c r="D32" s="11" t="n">
        <v>4253.13137193325</v>
      </c>
      <c r="E32" s="11" t="n">
        <v>2.204055230635174</v>
      </c>
      <c r="F32" s="11" t="n">
        <v>1.126397366508835</v>
      </c>
      <c r="G32" s="11" t="n">
        <v>1.850132293374618</v>
      </c>
      <c r="H32" s="11" t="n">
        <v>0.9477801597708954</v>
      </c>
    </row>
    <row r="33">
      <c r="A33" s="10" t="inlineStr"/>
      <c r="B33" s="10" t="inlineStr">
        <is>
          <t>Máquinas para escritório aparelhos e e material eletronico</t>
        </is>
      </c>
      <c r="C33" s="11" t="n">
        <v>33833.22481667033</v>
      </c>
      <c r="D33" s="11" t="n">
        <v>5476.10037436704</v>
      </c>
      <c r="E33" s="11" t="n">
        <v>2.077909385331796</v>
      </c>
      <c r="F33" s="11" t="n">
        <v>1.061929677146619</v>
      </c>
      <c r="G33" s="11" t="n">
        <v>1.822331801555819</v>
      </c>
      <c r="H33" s="11" t="n">
        <v>0.9335386081412704</v>
      </c>
    </row>
    <row r="34">
      <c r="A34" s="10" t="inlineStr"/>
      <c r="B34" s="10" t="inlineStr">
        <is>
          <t>Automóveis camionetas caminhões e ônibus</t>
        </is>
      </c>
      <c r="C34" s="11" t="n">
        <v>34008.23666852542</v>
      </c>
      <c r="D34" s="11" t="n">
        <v>9966.30065058527</v>
      </c>
      <c r="E34" s="11" t="n">
        <v>2.107414180655923</v>
      </c>
      <c r="F34" s="11" t="n">
        <v>1.077008302804698</v>
      </c>
      <c r="G34" s="11" t="n">
        <v>1.145594048971374</v>
      </c>
      <c r="H34" s="11" t="n">
        <v>0.5868614448030859</v>
      </c>
    </row>
    <row r="35">
      <c r="A35" s="10" t="inlineStr"/>
      <c r="B35" s="10" t="inlineStr">
        <is>
          <t>Peças e acessórios para veículos automotores</t>
        </is>
      </c>
      <c r="C35" s="11" t="n">
        <v>18627.17308239602</v>
      </c>
      <c r="D35" s="11" t="n">
        <v>3763.00161202268</v>
      </c>
      <c r="E35" s="11" t="n">
        <v>2.281259825081282</v>
      </c>
      <c r="F35" s="11" t="n">
        <v>1.165853297856534</v>
      </c>
      <c r="G35" s="11" t="n">
        <v>2.164491607827903</v>
      </c>
      <c r="H35" s="11" t="n">
        <v>1.108819195922498</v>
      </c>
    </row>
    <row r="36">
      <c r="A36" s="10" t="inlineStr"/>
      <c r="B36" s="10" t="inlineStr">
        <is>
          <t>Outros equipamentos de transporte</t>
        </is>
      </c>
      <c r="C36" s="11" t="n">
        <v>9399.714621215753</v>
      </c>
      <c r="D36" s="11" t="n">
        <v>3658.23848924522</v>
      </c>
      <c r="E36" s="11" t="n">
        <v>1.772725089598853</v>
      </c>
      <c r="F36" s="11" t="n">
        <v>0.905963174023022</v>
      </c>
      <c r="G36" s="11" t="n">
        <v>1.528656131847433</v>
      </c>
      <c r="H36" s="11" t="n">
        <v>0.7830953267857789</v>
      </c>
    </row>
    <row r="37">
      <c r="A37" s="10" t="inlineStr"/>
      <c r="B37" s="10" t="inlineStr">
        <is>
          <t>Móveis e produtos das indústrias diversas</t>
        </is>
      </c>
      <c r="C37" s="11" t="n">
        <v>17228.15750635604</v>
      </c>
      <c r="D37" s="11" t="n">
        <v>8578.55451081265</v>
      </c>
      <c r="E37" s="11" t="n">
        <v>1.823358411479189</v>
      </c>
      <c r="F37" s="11" t="n">
        <v>0.9318396764041211</v>
      </c>
      <c r="G37" s="11" t="n">
        <v>1.390978531637595</v>
      </c>
      <c r="H37" s="11" t="n">
        <v>0.7125662633285136</v>
      </c>
    </row>
    <row r="38">
      <c r="A38" s="10" t="inlineStr"/>
      <c r="B38" s="10" t="inlineStr">
        <is>
          <t>Produção e distribuição de eletricidade gás água esgoto e limpeza urbana</t>
        </is>
      </c>
      <c r="C38" s="11" t="n">
        <v>63856.0941501065</v>
      </c>
      <c r="D38" s="11" t="n">
        <v>32366.204712065</v>
      </c>
      <c r="E38" s="11" t="n">
        <v>1.746574739833994</v>
      </c>
      <c r="F38" s="11" t="n">
        <v>0.8925988605071882</v>
      </c>
      <c r="G38" s="11" t="n">
        <v>2.276166898203872</v>
      </c>
      <c r="H38" s="11" t="n">
        <v>1.166027874963465</v>
      </c>
    </row>
    <row r="39">
      <c r="A39" s="10" t="inlineStr"/>
      <c r="B39" s="10" t="inlineStr">
        <is>
          <t>Construção civil</t>
        </is>
      </c>
      <c r="C39" s="11" t="n">
        <v>143636.174786807</v>
      </c>
      <c r="D39" s="11" t="n">
        <v>71780.4312811298</v>
      </c>
      <c r="E39" s="11" t="n">
        <v>1.830415855767665</v>
      </c>
      <c r="F39" s="11" t="n">
        <v>0.9354464311488881</v>
      </c>
      <c r="G39" s="11" t="n">
        <v>1.215320959185901</v>
      </c>
      <c r="H39" s="11" t="n">
        <v>0.6225809348850174</v>
      </c>
    </row>
    <row r="40">
      <c r="A40" s="10" t="inlineStr"/>
      <c r="B40" s="10" t="inlineStr">
        <is>
          <t>Comércio</t>
        </is>
      </c>
      <c r="C40" s="11" t="n">
        <v>155641.8799535657</v>
      </c>
      <c r="D40" s="11" t="n">
        <v>83631.30478733539</v>
      </c>
      <c r="E40" s="11" t="n">
        <v>1.780626447143874</v>
      </c>
      <c r="F40" s="11" t="n">
        <v>0.9100012163582822</v>
      </c>
      <c r="G40" s="11" t="n">
        <v>1.82589366148866</v>
      </c>
      <c r="H40" s="11" t="n">
        <v>0.9353632669444915</v>
      </c>
    </row>
    <row r="41">
      <c r="A41" s="10" t="inlineStr"/>
      <c r="B41" s="10" t="inlineStr">
        <is>
          <t>Transporte armazenagem e correio</t>
        </is>
      </c>
      <c r="C41" s="11" t="n">
        <v>90617.45614691243</v>
      </c>
      <c r="D41" s="11" t="n">
        <v>37874.7458512551</v>
      </c>
      <c r="E41" s="11" t="n">
        <v>2.111190177451166</v>
      </c>
      <c r="F41" s="11" t="n">
        <v>1.078938051563708</v>
      </c>
      <c r="G41" s="11" t="n">
        <v>2.390433926475908</v>
      </c>
      <c r="H41" s="11" t="n">
        <v>1.22456424163305</v>
      </c>
    </row>
    <row r="42">
      <c r="A42" s="10" t="inlineStr"/>
      <c r="B42" s="10" t="inlineStr">
        <is>
          <t>Serviços de informação</t>
        </is>
      </c>
      <c r="C42" s="11" t="n">
        <v>87367.14381158802</v>
      </c>
      <c r="D42" s="11" t="n">
        <v>44143.0441095041</v>
      </c>
      <c r="E42" s="11" t="n">
        <v>1.812687545970834</v>
      </c>
      <c r="F42" s="11" t="n">
        <v>0.9263862582502046</v>
      </c>
      <c r="G42" s="11" t="n">
        <v>2.18387946989756</v>
      </c>
      <c r="H42" s="11" t="n">
        <v>1.118751151099865</v>
      </c>
    </row>
    <row r="43">
      <c r="A43" s="10" t="inlineStr"/>
      <c r="B43" s="10" t="inlineStr">
        <is>
          <t>Intermediação financeira seguros e previdência complementar e serviços relacionados</t>
        </is>
      </c>
      <c r="C43" s="11" t="n">
        <v>108982.7053934911</v>
      </c>
      <c r="D43" s="11" t="n">
        <v>70489.1914096949</v>
      </c>
      <c r="E43" s="11" t="n">
        <v>1.505724664198653</v>
      </c>
      <c r="F43" s="11" t="n">
        <v>0.7695107966745413</v>
      </c>
      <c r="G43" s="11" t="n">
        <v>2.322962017546859</v>
      </c>
      <c r="H43" s="11" t="n">
        <v>1.189999936770191</v>
      </c>
    </row>
    <row r="44">
      <c r="A44" s="10" t="inlineStr"/>
      <c r="B44" s="10" t="inlineStr">
        <is>
          <t>Atividades imobiliárias e aluguéis</t>
        </is>
      </c>
      <c r="C44" s="11" t="n">
        <v>137630.9047748995</v>
      </c>
      <c r="D44" s="11" t="n">
        <v>126155.290822441</v>
      </c>
      <c r="E44" s="11" t="n">
        <v>1.116271360195438</v>
      </c>
      <c r="F44" s="11" t="n">
        <v>0.5704780456300196</v>
      </c>
      <c r="G44" s="11" t="n">
        <v>1.234550674389811</v>
      </c>
      <c r="H44" s="11" t="n">
        <v>0.6324318750656612</v>
      </c>
    </row>
    <row r="45">
      <c r="A45" s="10" t="inlineStr"/>
      <c r="B45" s="10" t="inlineStr">
        <is>
          <t>Serviços de manutenção e reparação</t>
        </is>
      </c>
      <c r="C45" s="11" t="n">
        <v>7036.205662678015</v>
      </c>
      <c r="D45" s="11" t="n">
        <v>5346.05888042225</v>
      </c>
      <c r="E45" s="11" t="n">
        <v>1.304846688798947</v>
      </c>
      <c r="F45" s="11" t="n">
        <v>0.6668507456309708</v>
      </c>
      <c r="G45" s="11" t="n">
        <v>2.246566483309373</v>
      </c>
      <c r="H45" s="11" t="n">
        <v>1.150864264199815</v>
      </c>
    </row>
    <row r="46">
      <c r="A46" s="10" t="inlineStr"/>
      <c r="B46" s="10" t="inlineStr">
        <is>
          <t>Serviços de alojamento e alimentação</t>
        </is>
      </c>
      <c r="C46" s="11" t="n">
        <v>43940.92506001217</v>
      </c>
      <c r="D46" s="11" t="n">
        <v>22557.9771763086</v>
      </c>
      <c r="E46" s="11" t="n">
        <v>1.749683048583387</v>
      </c>
      <c r="F46" s="11" t="n">
        <v>0.8941873827642299</v>
      </c>
      <c r="G46" s="11" t="n">
        <v>1.427161785458129</v>
      </c>
      <c r="H46" s="11" t="n">
        <v>0.7311021108513441</v>
      </c>
    </row>
    <row r="47">
      <c r="A47" s="10" t="inlineStr"/>
      <c r="B47" s="10" t="inlineStr">
        <is>
          <t>Serviços prestados às empresas</t>
        </is>
      </c>
      <c r="C47" s="11" t="n">
        <v>101989.0786137168</v>
      </c>
      <c r="D47" s="11" t="n">
        <v>58131.6417692252</v>
      </c>
      <c r="E47" s="11" t="n">
        <v>1.650616518135702</v>
      </c>
      <c r="F47" s="11" t="n">
        <v>0.8435587608248051</v>
      </c>
      <c r="G47" s="11" t="n">
        <v>2.675255937128322</v>
      </c>
      <c r="H47" s="11" t="n">
        <v>1.370471997380629</v>
      </c>
    </row>
    <row r="48">
      <c r="A48" s="10" t="inlineStr"/>
      <c r="B48" s="10" t="inlineStr">
        <is>
          <t>Educação mercantil</t>
        </is>
      </c>
      <c r="C48" s="11" t="n">
        <v>23352.55462642939</v>
      </c>
      <c r="D48" s="11" t="n">
        <v>15788.4636129356</v>
      </c>
      <c r="E48" s="11" t="n">
        <v>1.481596373394519</v>
      </c>
      <c r="F48" s="11" t="n">
        <v>0.7571798700977588</v>
      </c>
      <c r="G48" s="11" t="n">
        <v>1.250903400106591</v>
      </c>
      <c r="H48" s="11" t="n">
        <v>0.6408089997977902</v>
      </c>
    </row>
    <row r="49">
      <c r="A49" s="10" t="inlineStr"/>
      <c r="B49" s="10" t="inlineStr">
        <is>
          <t>Saúde mercantil</t>
        </is>
      </c>
      <c r="C49" s="11" t="n">
        <v>43099.47858730656</v>
      </c>
      <c r="D49" s="11" t="n">
        <v>23558.2528711011</v>
      </c>
      <c r="E49" s="11" t="n">
        <v>1.610812020835371</v>
      </c>
      <c r="F49" s="11" t="n">
        <v>0.8232164026519658</v>
      </c>
      <c r="G49" s="11" t="n">
        <v>1.148648613347464</v>
      </c>
      <c r="H49" s="11" t="n">
        <v>0.5884262277771297</v>
      </c>
    </row>
    <row r="50">
      <c r="A50" s="10" t="inlineStr"/>
      <c r="B50" s="10" t="inlineStr">
        <is>
          <t>Serviços prestados às famílias e associativas</t>
        </is>
      </c>
      <c r="C50" s="11" t="n">
        <v>69002.9927115856</v>
      </c>
      <c r="D50" s="11" t="n">
        <v>36863.9791451736</v>
      </c>
      <c r="E50" s="11" t="n">
        <v>1.692231272002732</v>
      </c>
      <c r="F50" s="11" t="n">
        <v>0.8648262628874585</v>
      </c>
      <c r="G50" s="11" t="n">
        <v>1.498876134068469</v>
      </c>
      <c r="H50" s="11" t="n">
        <v>0.7678397198467516</v>
      </c>
    </row>
    <row r="51">
      <c r="A51" s="10" t="inlineStr"/>
      <c r="B51" s="10" t="inlineStr">
        <is>
          <t>Serviços domésticos</t>
        </is>
      </c>
      <c r="C51" s="11" t="n">
        <v>12116.6572594356</v>
      </c>
      <c r="D51" s="11" t="n">
        <v>12116.6572594356</v>
      </c>
      <c r="E51" s="11" t="n">
        <v>1</v>
      </c>
      <c r="F51" s="11" t="n">
        <v>0.5110567788195692</v>
      </c>
      <c r="G51" s="11" t="n">
        <v>1</v>
      </c>
      <c r="H51" s="11" t="n">
        <v>0.5122769669849695</v>
      </c>
    </row>
    <row r="52">
      <c r="A52" s="10" t="inlineStr"/>
      <c r="B52" s="10" t="inlineStr">
        <is>
          <t>Educação pública</t>
        </is>
      </c>
      <c r="C52" s="11" t="n">
        <v>49121.3342874542</v>
      </c>
      <c r="D52" s="11" t="n">
        <v>39568.0449844982</v>
      </c>
      <c r="E52" s="11" t="n">
        <v>1.296247249030001</v>
      </c>
      <c r="F52" s="11" t="n">
        <v>0.6624559436430001</v>
      </c>
      <c r="G52" s="11" t="n">
        <v>1.170283415201733</v>
      </c>
      <c r="H52" s="11" t="n">
        <v>0.5995092384523557</v>
      </c>
    </row>
    <row r="53">
      <c r="A53" s="10" t="inlineStr"/>
      <c r="B53" s="10" t="inlineStr">
        <is>
          <t>Saúde pública</t>
        </is>
      </c>
      <c r="C53" s="11" t="n">
        <v>27158.97045662723</v>
      </c>
      <c r="D53" s="11" t="n">
        <v>18123.9387673399</v>
      </c>
      <c r="E53" s="11" t="n">
        <v>1.510587621954402</v>
      </c>
      <c r="F53" s="11" t="n">
        <v>0.77199604420073</v>
      </c>
      <c r="G53" s="11" t="n">
        <v>1.026718519879848</v>
      </c>
      <c r="H53" s="11" t="n">
        <v>0.5259642493113457</v>
      </c>
    </row>
    <row r="54">
      <c r="A54" s="10" t="inlineStr"/>
      <c r="B54" s="10" t="inlineStr">
        <is>
          <t>Administração pública e seguridade social</t>
        </is>
      </c>
      <c r="C54" s="11" t="n">
        <v>148965.8320746999</v>
      </c>
      <c r="D54" s="11" t="n">
        <v>104144.857946777</v>
      </c>
      <c r="E54" s="11" t="n">
        <v>1.449458957114774</v>
      </c>
      <c r="F54" s="11" t="n">
        <v>0.7407558256542486</v>
      </c>
      <c r="G54" s="11" t="n">
        <v>1.076124525647955</v>
      </c>
      <c r="H54" s="11" t="n">
        <v>0.5512738080970736</v>
      </c>
    </row>
    <row r="55"/>
    <row r="56"/>
    <row r="57">
      <c r="A57" s="10" t="inlineStr">
        <is>
          <t>Validacion contable y matematica</t>
        </is>
      </c>
    </row>
    <row r="58">
      <c r="A58" s="10" t="inlineStr">
        <is>
          <t>prueba</t>
        </is>
      </c>
      <c r="B58" s="10" t="inlineStr">
        <is>
          <t>resultado</t>
        </is>
      </c>
      <c r="C58" s="10" t="inlineStr">
        <is>
          <t>lectura</t>
        </is>
      </c>
    </row>
    <row r="59">
      <c r="A59" s="10" t="inlineStr">
        <is>
          <t>sectores</t>
        </is>
      </c>
      <c r="B59" s="11" t="n">
        <v>51</v>
      </c>
      <c r="C59" s="10" t="inlineStr">
        <is>
          <t>Cantidad de sectores de la MIP.</t>
        </is>
      </c>
    </row>
    <row r="60">
      <c r="A60" s="10" t="inlineStr">
        <is>
          <t>cuadrada_Z_A_L</t>
        </is>
      </c>
      <c r="B60" s="36" t="b">
        <v>1</v>
      </c>
      <c r="C60" s="10" t="inlineStr">
        <is>
          <t>Z, A y L son matrices cuadradas.</t>
        </is>
      </c>
    </row>
    <row r="61">
      <c r="A61" s="10" t="inlineStr">
        <is>
          <t>max_abs_A_menos_Z_sobre_x</t>
        </is>
      </c>
      <c r="B61" s="11" t="n">
        <v>1.110223024625157e-16</v>
      </c>
      <c r="C61" s="10" t="inlineStr">
        <is>
          <t>Consistencia de coeficientes tecnicos.</t>
        </is>
      </c>
    </row>
    <row r="62">
      <c r="A62" s="10" t="inlineStr">
        <is>
          <t>max_abs_Leontief</t>
        </is>
      </c>
      <c r="B62" s="11" t="n">
        <v>8.881784197001252e-16</v>
      </c>
      <c r="C62" s="10" t="inlineStr">
        <is>
          <t>Residual (I-A)L - I.</t>
        </is>
      </c>
    </row>
    <row r="63">
      <c r="A63" s="10" t="inlineStr">
        <is>
          <t>max_abs_fila_x_menos_Z_menos_y</t>
        </is>
      </c>
      <c r="B63" s="11" t="n">
        <v>423.5260419981205</v>
      </c>
      <c r="C63" s="10" t="inlineStr">
        <is>
          <t>Cierre por filas: x = ventas intermedias + demanda final.</t>
        </is>
      </c>
    </row>
    <row r="64">
      <c r="A64" s="10" t="inlineStr">
        <is>
          <t>max_abs_columna_x_menos_Z_menos_ajuste_menos_v</t>
        </is>
      </c>
      <c r="B64" s="11" t="n">
        <v>439.7212348571265</v>
      </c>
      <c r="C64" s="10" t="inlineStr">
        <is>
          <t>Cierre por columnas con ajuste procesado.</t>
        </is>
      </c>
    </row>
    <row r="65">
      <c r="A65" s="10" t="inlineStr">
        <is>
          <t>max_abs_total_x_menos_Ztotal_menos_ajuste_no_asignado_menos_v</t>
        </is>
      </c>
      <c r="B65" s="11" t="n">
        <v>439.7212348571265</v>
      </c>
      <c r="C65" s="10" t="inlineStr">
        <is>
          <t>Cierre Cuadro 3.</t>
        </is>
      </c>
    </row>
    <row r="66">
      <c r="A66" s="10" t="inlineStr">
        <is>
          <t>sectores_y_negativa</t>
        </is>
      </c>
      <c r="B66" s="11" t="n">
        <v>0</v>
      </c>
      <c r="C66" s="10" t="inlineStr">
        <is>
          <t>Demanda final total negativa.</t>
        </is>
      </c>
    </row>
    <row r="67">
      <c r="A67" s="10" t="inlineStr">
        <is>
          <t>min_y</t>
        </is>
      </c>
      <c r="B67" s="11" t="n">
        <v>452.6602163484574</v>
      </c>
      <c r="C67" s="10" t="inlineStr">
        <is>
          <t>Minimo de demanda final total.</t>
        </is>
      </c>
    </row>
    <row r="68">
      <c r="A68" s="10" t="inlineStr">
        <is>
          <t>sectores_va_negativo</t>
        </is>
      </c>
      <c r="B68" s="11" t="n">
        <v>0</v>
      </c>
      <c r="C68" s="10" t="inlineStr">
        <is>
          <t>Valor agregado negativo.</t>
        </is>
      </c>
    </row>
    <row r="69">
      <c r="A69" s="10" t="inlineStr">
        <is>
          <t>min_va</t>
        </is>
      </c>
      <c r="B69" s="11" t="n">
        <v>463.714128762466</v>
      </c>
      <c r="C69" s="10" t="inlineStr">
        <is>
          <t>Minimo de valor agregado.</t>
        </is>
      </c>
    </row>
    <row r="70">
      <c r="A70" s="10" t="inlineStr">
        <is>
          <t>sectores_ajuste_negativo</t>
        </is>
      </c>
      <c r="B70" s="11" t="n">
        <v>0</v>
      </c>
      <c r="C70" s="10" t="inlineStr">
        <is>
          <t>Ajuste intermedio/importado con signo negativo.</t>
        </is>
      </c>
    </row>
    <row r="71">
      <c r="A71" s="10" t="inlineStr">
        <is>
          <t>min_ajuste</t>
        </is>
      </c>
      <c r="B71" s="11" t="n">
        <v>0</v>
      </c>
      <c r="C71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COU CEPAL Brasil base 2000</t>
        </is>
      </c>
    </row>
    <row r="5">
      <c r="A5" s="10" t="inlineStr">
        <is>
          <t>Ano</t>
        </is>
      </c>
      <c r="B5" s="10" t="inlineStr">
        <is>
          <t>2000</t>
        </is>
      </c>
    </row>
    <row r="6">
      <c r="A6" s="10" t="inlineStr">
        <is>
          <t>Archivo fuente COU/referencia</t>
        </is>
      </c>
      <c r="B6" s="10" t="inlineStr">
        <is>
          <t>data\processed\brasil_early\cou_brasil_early_2000.xlsx</t>
        </is>
      </c>
    </row>
    <row r="7">
      <c r="A7" s="10" t="inlineStr">
        <is>
          <t>Ajuste intermedio</t>
        </is>
      </c>
      <c r="B7" s="10" t="inlineStr">
        <is>
          <t>U_importada/ajuste transformado a industrias con D = V * diag(q)^-1.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2026-07-07T00:55:13Z</dcterms:created>
  <dcterms:modified xmlns:dcterms="http://purl.org/dc/terms/" xmlns:xsi="http://www.w3.org/2001/XMLSchema-instance" xsi:type="dcterms:W3CDTF">2026-07-07T00:55:15Z</dcterms:modified>
</cp:coreProperties>
</file>