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ce" sheetId="1" state="visible" r:id="rId1"/>
    <sheet xmlns:r="http://schemas.openxmlformats.org/officeDocument/2006/relationships" name="Cuadro 1" sheetId="2" state="visible" r:id="rId2"/>
    <sheet xmlns:r="http://schemas.openxmlformats.org/officeDocument/2006/relationships" name="Cuadro 2" sheetId="3" state="visible" r:id="rId3"/>
    <sheet xmlns:r="http://schemas.openxmlformats.org/officeDocument/2006/relationships" name="Cuadro 3" sheetId="4" state="visible" r:id="rId4"/>
    <sheet xmlns:r="http://schemas.openxmlformats.org/officeDocument/2006/relationships" name="Cuadro 4" sheetId="5" state="visible" r:id="rId5"/>
    <sheet xmlns:r="http://schemas.openxmlformats.org/officeDocument/2006/relationships" name="Nota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;[Red]-#,##0.0000;&quot;-&quot;"/>
    <numFmt numFmtId="165" formatCode="#,##0.0;[Red]-#,##0.0;&quot;-&quot;"/>
  </numFmts>
  <fonts count="16">
    <font>
      <name val="Calibri"/>
      <family val="2"/>
      <color theme="1"/>
      <sz val="11"/>
      <scheme val="minor"/>
    </font>
    <font>
      <name val="Segoe UI"/>
      <color rgb="0017324D"/>
      <sz val="10"/>
    </font>
    <font>
      <name val="Segoe UI"/>
      <b val="1"/>
      <color rgb="00FFFFFF"/>
      <sz val="14"/>
    </font>
    <font>
      <name val="Segoe UI"/>
      <b val="1"/>
      <color rgb="0017324D"/>
      <sz val="12"/>
    </font>
    <font>
      <name val="Segoe UI"/>
      <b val="1"/>
      <color rgb="0017324D"/>
      <sz val="10"/>
    </font>
    <font>
      <name val="Segoe UI"/>
      <b val="1"/>
      <color rgb="00FFFFFF"/>
      <sz val="10"/>
    </font>
    <font>
      <name val="Segoe UI"/>
      <b val="1"/>
      <color rgb="000072BC"/>
      <sz val="10"/>
    </font>
    <font>
      <name val="Segoe UI"/>
      <b val="1"/>
      <color rgb="000072BC"/>
      <sz val="10"/>
      <u val="single"/>
    </font>
    <font>
      <name val="Segoe UI"/>
      <b val="1"/>
      <color rgb="0000558C"/>
      <sz val="9"/>
    </font>
    <font>
      <name val="Segoe UI"/>
      <color rgb="0017324D"/>
      <sz val="9"/>
    </font>
    <font>
      <name val="Segoe UI"/>
      <b val="1"/>
      <color rgb="0017324D"/>
      <sz val="9"/>
    </font>
    <font>
      <name val="Segoe UI"/>
      <color rgb="0017324D"/>
      <sz val="8"/>
    </font>
    <font>
      <name val="Segoe UI"/>
      <color rgb="000072BC"/>
      <sz val="8"/>
      <u val="single"/>
    </font>
    <font>
      <name val="Segoe UI"/>
      <b val="1"/>
      <color rgb="0017324D"/>
      <sz val="7.5"/>
    </font>
    <font>
      <name val="Segoe UI"/>
      <b val="1"/>
      <color rgb="0017324D"/>
      <sz val="8"/>
    </font>
    <font>
      <name val="Segoe UI"/>
      <b val="1"/>
      <color rgb="00842029"/>
      <sz val="8"/>
    </font>
  </fonts>
  <fills count="10">
    <fill>
      <patternFill/>
    </fill>
    <fill>
      <patternFill patternType="gray125"/>
    </fill>
    <fill>
      <patternFill patternType="solid">
        <fgColor rgb="000072BC"/>
      </patternFill>
    </fill>
    <fill>
      <patternFill patternType="solid">
        <fgColor rgb="00F2F2F2"/>
      </patternFill>
    </fill>
    <fill>
      <patternFill patternType="solid">
        <fgColor rgb="0000558C"/>
      </patternFill>
    </fill>
    <fill>
      <patternFill patternType="solid">
        <fgColor rgb="00F8D7DA"/>
      </patternFill>
    </fill>
    <fill>
      <patternFill patternType="solid">
        <fgColor rgb="00FAFBFC"/>
      </patternFill>
    </fill>
    <fill>
      <patternFill patternType="solid">
        <fgColor rgb="00EEF3F8"/>
      </patternFill>
    </fill>
    <fill>
      <patternFill patternType="solid">
        <fgColor rgb="00FFF3CD"/>
      </patternFill>
    </fill>
    <fill>
      <patternFill patternType="solid">
        <fgColor rgb="00D4EFDF"/>
      </patternFill>
    </fill>
  </fills>
  <borders count="7">
    <border>
      <left/>
      <right/>
      <top/>
      <bottom/>
      <diagonal/>
    </border>
    <border/>
    <border>
      <bottom style="thin">
        <color rgb="00D7DEE8"/>
      </bottom>
    </border>
    <border>
      <top style="thin">
        <color rgb="00D7DEE8"/>
      </top>
      <bottom style="thin">
        <color rgb="00D7DEE8"/>
      </bottom>
    </border>
    <border>
      <bottom style="hair">
        <color rgb="00E8EDF3"/>
      </bottom>
    </border>
    <border>
      <top style="thin">
        <color rgb="00D7DEE8"/>
      </top>
      <bottom style="hair">
        <color rgb="00E8EDF3"/>
      </bottom>
    </border>
    <border>
      <top style="medium">
        <color rgb="008B96A6"/>
      </top>
      <bottom style="thin">
        <color rgb="00D7DEE8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2" applyAlignment="1" pivotButton="0" quotePrefix="0" xfId="0">
      <alignment vertical="center" wrapText="1"/>
    </xf>
    <xf numFmtId="0" fontId="4" fillId="3" borderId="3" applyAlignment="1" pivotButton="0" quotePrefix="0" xfId="0">
      <alignment vertical="center" wrapText="1"/>
    </xf>
    <xf numFmtId="0" fontId="7" fillId="0" borderId="4" applyAlignment="1" pivotButton="0" quotePrefix="0" xfId="0">
      <alignment vertical="center" wrapText="1"/>
    </xf>
    <xf numFmtId="0" fontId="1" fillId="0" borderId="4" applyAlignment="1" pivotButton="0" quotePrefix="0" xfId="0">
      <alignment vertical="center" wrapText="1"/>
    </xf>
    <xf numFmtId="0" fontId="8" fillId="0" borderId="4" applyAlignment="1" pivotButton="0" quotePrefix="0" xfId="0">
      <alignment vertical="center" wrapText="1"/>
    </xf>
    <xf numFmtId="0" fontId="9" fillId="0" borderId="4" applyAlignment="1" pivotButton="0" quotePrefix="0" xfId="0">
      <alignment vertical="center" wrapText="1"/>
    </xf>
    <xf numFmtId="164" fontId="9" fillId="0" borderId="4" applyAlignment="1" pivotButton="0" quotePrefix="0" xfId="0">
      <alignment vertical="center" wrapText="1"/>
    </xf>
    <xf numFmtId="0" fontId="6" fillId="0" borderId="4" applyAlignment="1" pivotButton="0" quotePrefix="0" xfId="0">
      <alignment vertical="center" wrapText="1"/>
    </xf>
    <xf numFmtId="0" fontId="6" fillId="3" borderId="4" applyAlignment="1" pivotButton="0" quotePrefix="0" xfId="0">
      <alignment vertical="center" wrapText="1"/>
    </xf>
    <xf numFmtId="0" fontId="8" fillId="3" borderId="4" applyAlignment="1" pivotButton="0" quotePrefix="0" xfId="0">
      <alignment vertical="center" wrapText="1"/>
    </xf>
    <xf numFmtId="0" fontId="9" fillId="3" borderId="4" applyAlignment="1" pivotButton="0" quotePrefix="0" xfId="0">
      <alignment vertical="center" wrapText="1"/>
    </xf>
    <xf numFmtId="0" fontId="5" fillId="4" borderId="3" applyAlignment="1" pivotButton="0" quotePrefix="0" xfId="0">
      <alignment vertical="center" wrapText="1"/>
    </xf>
    <xf numFmtId="0" fontId="10" fillId="0" borderId="4" applyAlignment="1" pivotButton="0" quotePrefix="0" xfId="0">
      <alignment vertical="center" wrapText="1"/>
    </xf>
    <xf numFmtId="164" fontId="9" fillId="0" borderId="4" applyAlignment="1" pivotButton="0" quotePrefix="0" xfId="0">
      <alignment horizontal="right" vertical="center"/>
    </xf>
    <xf numFmtId="164" fontId="9" fillId="5" borderId="4" applyAlignment="1" pivotButton="0" quotePrefix="0" xfId="0">
      <alignment horizontal="right" vertical="center"/>
    </xf>
    <xf numFmtId="0" fontId="5" fillId="2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horizontal="center" vertical="center"/>
    </xf>
    <xf numFmtId="0" fontId="13" fillId="3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13" fillId="3" borderId="3" applyAlignment="1" pivotButton="0" quotePrefix="0" xfId="0">
      <alignment horizontal="center" vertical="center" wrapText="1"/>
    </xf>
    <xf numFmtId="0" fontId="0" fillId="0" borderId="2" pivotButton="0" quotePrefix="0" xfId="0"/>
    <xf numFmtId="0" fontId="13" fillId="3" borderId="2" applyAlignment="1" pivotButton="0" quotePrefix="0" xfId="0">
      <alignment horizontal="center" vertical="center" wrapText="1"/>
    </xf>
    <xf numFmtId="0" fontId="11" fillId="6" borderId="4" applyAlignment="1" pivotButton="0" quotePrefix="0" xfId="0">
      <alignment vertical="center"/>
    </xf>
    <xf numFmtId="165" fontId="11" fillId="6" borderId="4" applyAlignment="1" pivotButton="0" quotePrefix="0" xfId="0">
      <alignment horizontal="right" vertical="center"/>
    </xf>
    <xf numFmtId="0" fontId="11" fillId="0" borderId="4" applyAlignment="1" pivotButton="0" quotePrefix="0" xfId="0">
      <alignment vertical="center"/>
    </xf>
    <xf numFmtId="165" fontId="11" fillId="0" borderId="4" applyAlignment="1" pivotButton="0" quotePrefix="0" xfId="0">
      <alignment horizontal="right" vertical="center"/>
    </xf>
    <xf numFmtId="0" fontId="14" fillId="7" borderId="6" applyAlignment="1" pivotButton="0" quotePrefix="0" xfId="0">
      <alignment vertical="center"/>
    </xf>
    <xf numFmtId="165" fontId="14" fillId="7" borderId="6" applyAlignment="1" pivotButton="0" quotePrefix="0" xfId="0">
      <alignment horizontal="right" vertical="center"/>
    </xf>
    <xf numFmtId="165" fontId="15" fillId="5" borderId="6" applyAlignment="1" pivotButton="0" quotePrefix="0" xfId="0">
      <alignment horizontal="right" vertical="center"/>
    </xf>
    <xf numFmtId="0" fontId="14" fillId="8" borderId="6" applyAlignment="1" pivotButton="0" quotePrefix="0" xfId="0">
      <alignment vertical="center"/>
    </xf>
    <xf numFmtId="165" fontId="14" fillId="8" borderId="6" applyAlignment="1" pivotButton="0" quotePrefix="0" xfId="0">
      <alignment horizontal="right" vertical="center"/>
    </xf>
    <xf numFmtId="0" fontId="10" fillId="3" borderId="3" applyAlignment="1" pivotButton="0" quotePrefix="0" xfId="0">
      <alignment vertical="center" wrapText="1"/>
    </xf>
    <xf numFmtId="164" fontId="9" fillId="9" borderId="4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Cuadro 1'!A1" TargetMode="External" Id="rId1"/><Relationship Type="http://schemas.openxmlformats.org/officeDocument/2006/relationships/hyperlink" Target="#'Cuadro 2'!A1" TargetMode="External" Id="rId2"/><Relationship Type="http://schemas.openxmlformats.org/officeDocument/2006/relationships/hyperlink" Target="#'Cuadro 3'!A1" TargetMode="External" Id="rId3"/><Relationship Type="http://schemas.openxmlformats.org/officeDocument/2006/relationships/hyperlink" Target="#'Cuadro 4'!A1" TargetMode="External" Id="rId4"/><Relationship Type="http://schemas.openxmlformats.org/officeDocument/2006/relationships/hyperlink" Target="#'Notas'!A1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5"/>
  <sheetViews>
    <sheetView showGridLines="0" zoomScale="85"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3" customWidth="1" min="1" max="1"/>
    <col width="28" customWidth="1" min="2" max="2"/>
    <col width="24" customWidth="1" min="3" max="3"/>
    <col width="86" customWidth="1" min="4" max="4"/>
    <col width="4" customWidth="1" min="5" max="5"/>
    <col width="24" customWidth="1" min="6" max="6"/>
    <col width="28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54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17" customHeight="1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</row>
    <row r="3" ht="18" customHeight="1">
      <c r="A3" s="2" t="inlineStr">
        <is>
          <t>CEPAL | MATRICES INSUMO-PRODUCTO AUDITABLES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</row>
    <row r="4" ht="18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</row>
    <row r="5" ht="18" customHeight="1">
      <c r="A5" s="3" t="inlineStr">
        <is>
          <t>Matriz insumo producto
Brasil 2011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</row>
    <row r="6" ht="18" customHeight="1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</row>
    <row r="7" ht="18" customHeight="1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 ht="17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</row>
    <row r="9" ht="17" customHeight="1">
      <c r="A9" s="1" t="n"/>
      <c r="B9" s="6" t="inlineStr">
        <is>
          <t>Matrices insumo-producto, actividad por actividad</t>
        </is>
      </c>
      <c r="C9" s="1" t="n"/>
      <c r="D9" s="1" t="n"/>
      <c r="E9" s="1" t="n"/>
      <c r="F9" s="6" t="inlineStr">
        <is>
          <t>Ficha tecnica</t>
        </is>
      </c>
      <c r="G9" s="1" t="n"/>
      <c r="H9" s="1" t="n"/>
      <c r="I9" s="1" t="n"/>
      <c r="J9" s="1" t="n"/>
      <c r="K9" s="1" t="n"/>
      <c r="L9" s="1" t="n"/>
      <c r="M9" s="1" t="n"/>
    </row>
    <row r="10" ht="22" customHeight="1">
      <c r="A10" s="1" t="n"/>
      <c r="B10" s="7" t="inlineStr">
        <is>
          <t>Cuadro 1</t>
        </is>
      </c>
      <c r="C10" s="8" t="inlineStr">
        <is>
          <t>Nacional / domestica</t>
        </is>
      </c>
      <c r="D10" s="1" t="n"/>
      <c r="E10" s="1" t="n"/>
      <c r="F10" s="9" t="inlineStr">
        <is>
          <t>Pais</t>
        </is>
      </c>
      <c r="G10" s="10" t="inlineStr">
        <is>
          <t>Brasil</t>
        </is>
      </c>
      <c r="H10" s="1" t="n"/>
      <c r="I10" s="1" t="n"/>
      <c r="J10" s="1" t="n"/>
      <c r="K10" s="1" t="n"/>
      <c r="L10" s="1" t="n"/>
      <c r="M10" s="1" t="n"/>
    </row>
    <row r="11" ht="22" customHeight="1">
      <c r="A11" s="1" t="n"/>
      <c r="B11" s="7" t="inlineStr">
        <is>
          <t>Cuadro 2</t>
        </is>
      </c>
      <c r="C11" s="8" t="inlineStr">
        <is>
          <t>Importada / ajuste intermedio</t>
        </is>
      </c>
      <c r="D11" s="1" t="n"/>
      <c r="E11" s="1" t="n"/>
      <c r="F11" s="9" t="inlineStr">
        <is>
          <t>Ano</t>
        </is>
      </c>
      <c r="G11" s="11" t="n">
        <v>2011</v>
      </c>
      <c r="H11" s="1" t="n"/>
      <c r="I11" s="1" t="n"/>
      <c r="J11" s="1" t="n"/>
      <c r="K11" s="1" t="n"/>
      <c r="L11" s="1" t="n"/>
      <c r="M11" s="1" t="n"/>
    </row>
    <row r="12" ht="22" customHeight="1">
      <c r="A12" s="1" t="n"/>
      <c r="B12" s="7" t="inlineStr">
        <is>
          <t>Cuadro 3</t>
        </is>
      </c>
      <c r="C12" s="8" t="inlineStr">
        <is>
          <t>Nacional e importada - total auditable</t>
        </is>
      </c>
      <c r="D12" s="1" t="n"/>
      <c r="E12" s="1" t="n"/>
      <c r="F12" s="9" t="inlineStr">
        <is>
          <t>Fuente metodologica</t>
        </is>
      </c>
      <c r="G12" s="10" t="inlineStr">
        <is>
          <t>COU IBGE nivel 68</t>
        </is>
      </c>
      <c r="H12" s="1" t="n"/>
      <c r="I12" s="1" t="n"/>
      <c r="J12" s="1" t="n"/>
      <c r="K12" s="1" t="n"/>
      <c r="L12" s="1" t="n"/>
      <c r="M12" s="1" t="n"/>
    </row>
    <row r="13" ht="17" customHeight="1">
      <c r="A13" s="1" t="n"/>
      <c r="B13" s="12" t="inlineStr"/>
      <c r="C13" s="8" t="inlineStr"/>
      <c r="D13" s="1" t="n"/>
      <c r="E13" s="1" t="n"/>
      <c r="F13" s="9" t="inlineStr">
        <is>
          <t>Tipo</t>
        </is>
      </c>
      <c r="G13" s="10" t="inlineStr">
        <is>
          <t>Reconstruida desde COU</t>
        </is>
      </c>
      <c r="H13" s="1" t="n"/>
      <c r="I13" s="1" t="n"/>
      <c r="J13" s="1" t="n"/>
      <c r="K13" s="1" t="n"/>
      <c r="L13" s="1" t="n"/>
      <c r="M13" s="1" t="n"/>
    </row>
    <row r="14" ht="17" customHeight="1">
      <c r="A14" s="1" t="n"/>
      <c r="B14" s="13" t="inlineStr">
        <is>
          <t>Auditoria, multiplicadores y notas</t>
        </is>
      </c>
      <c r="C14" s="1" t="n"/>
      <c r="D14" s="1" t="n"/>
      <c r="E14" s="1" t="n"/>
      <c r="F14" s="14" t="inlineStr">
        <is>
          <t>Ajuste intermedio</t>
        </is>
      </c>
      <c r="G14" s="15" t="inlineStr">
        <is>
          <t>U_importada/ajuste transformado a industrias con D = V * diag(q)^-1.</t>
        </is>
      </c>
      <c r="H14" s="1" t="n"/>
      <c r="I14" s="1" t="n"/>
      <c r="J14" s="1" t="n"/>
      <c r="K14" s="1" t="n"/>
      <c r="L14" s="1" t="n"/>
      <c r="M14" s="1" t="n"/>
    </row>
    <row r="15" ht="22" customHeight="1">
      <c r="A15" s="1" t="n"/>
      <c r="B15" s="7" t="inlineStr">
        <is>
          <t>Cuadro 4</t>
        </is>
      </c>
      <c r="C15" s="8" t="inlineStr">
        <is>
          <t>Multiplicadores y validaciones</t>
        </is>
      </c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</row>
    <row r="16" ht="22" customHeight="1">
      <c r="A16" s="1" t="n"/>
      <c r="B16" s="7" t="inlineStr">
        <is>
          <t>Notas</t>
        </is>
      </c>
      <c r="C16" s="8" t="inlineStr">
        <is>
          <t>Fuente, convenciones y lectura contable</t>
        </is>
      </c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</row>
    <row r="17" ht="17" customHeight="1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</row>
    <row r="18" ht="17" customHeight="1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</row>
    <row r="19" ht="17" customHeight="1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</row>
    <row r="20" ht="17" customHeight="1">
      <c r="A20" s="16" t="inlineStr">
        <is>
          <t>Validacion contable y matematica</t>
        </is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</row>
    <row r="21" ht="17" customHeight="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</row>
    <row r="22" ht="17" customHeight="1">
      <c r="A22" s="1" t="n"/>
      <c r="B22" s="6" t="inlineStr">
        <is>
          <t>prueba</t>
        </is>
      </c>
      <c r="C22" s="6" t="inlineStr">
        <is>
          <t>resultado</t>
        </is>
      </c>
      <c r="D22" s="6" t="inlineStr">
        <is>
          <t>lectura</t>
        </is>
      </c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</row>
    <row r="23" ht="17" customHeight="1">
      <c r="A23" s="1" t="n"/>
      <c r="B23" s="17" t="inlineStr">
        <is>
          <t>sectores</t>
        </is>
      </c>
      <c r="C23" s="18" t="n">
        <v>68</v>
      </c>
      <c r="D23" s="10" t="inlineStr">
        <is>
          <t>Cantidad de sectores de la MIP.</t>
        </is>
      </c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</row>
    <row r="24" ht="17" customHeight="1">
      <c r="A24" s="1" t="n"/>
      <c r="B24" s="17" t="inlineStr">
        <is>
          <t>cuadrada_Z_A_L</t>
        </is>
      </c>
      <c r="C24" s="18" t="b">
        <v>1</v>
      </c>
      <c r="D24" s="10" t="inlineStr">
        <is>
          <t>Z, A y L son matrices cuadradas.</t>
        </is>
      </c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</row>
    <row r="25" ht="17" customHeight="1">
      <c r="A25" s="1" t="n"/>
      <c r="B25" s="17" t="inlineStr">
        <is>
          <t>max_abs_A_menos_Z_sobre_x</t>
        </is>
      </c>
      <c r="C25" s="18" t="n">
        <v>1.110223024625157e-16</v>
      </c>
      <c r="D25" s="10" t="inlineStr">
        <is>
          <t>Consistencia de coeficientes tecnicos.</t>
        </is>
      </c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</row>
    <row r="26" ht="17" customHeight="1">
      <c r="A26" s="1" t="n"/>
      <c r="B26" s="17" t="inlineStr">
        <is>
          <t>max_abs_Leontief</t>
        </is>
      </c>
      <c r="C26" s="18" t="n">
        <v>1.554312234475219e-15</v>
      </c>
      <c r="D26" s="10" t="inlineStr">
        <is>
          <t>Residual (I-A)L - I.</t>
        </is>
      </c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</row>
    <row r="27" ht="17" customHeight="1">
      <c r="A27" s="1" t="n"/>
      <c r="B27" s="17" t="inlineStr">
        <is>
          <t>max_abs_fila_x_menos_Z_menos_y</t>
        </is>
      </c>
      <c r="C27" s="18" t="n">
        <v>787.7762729105889</v>
      </c>
      <c r="D27" s="10" t="inlineStr">
        <is>
          <t>Cierre por filas: x = ventas intermedias + demanda final.</t>
        </is>
      </c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</row>
    <row r="28" ht="17" customHeight="1">
      <c r="A28" s="1" t="n"/>
      <c r="B28" s="17" t="inlineStr">
        <is>
          <t>max_abs_columna_x_menos_Z_menos_ajuste_menos_v</t>
        </is>
      </c>
      <c r="C28" s="18" t="n">
        <v>634.0000000000291</v>
      </c>
      <c r="D28" s="10" t="inlineStr">
        <is>
          <t>Cierre por columnas con ajuste procesado.</t>
        </is>
      </c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</row>
    <row r="29" ht="17" customHeight="1">
      <c r="A29" s="1" t="n"/>
      <c r="B29" s="17" t="inlineStr">
        <is>
          <t>max_abs_total_x_menos_Ztotal_menos_ajuste_no_asignado_menos_v</t>
        </is>
      </c>
      <c r="C29" s="18" t="n">
        <v>634.0000000000364</v>
      </c>
      <c r="D29" s="10" t="inlineStr">
        <is>
          <t>Cierre Cuadro 3.</t>
        </is>
      </c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</row>
    <row r="30" ht="17" customHeight="1">
      <c r="A30" s="1" t="n"/>
      <c r="B30" s="17" t="inlineStr">
        <is>
          <t>sectores_y_negativa</t>
        </is>
      </c>
      <c r="C30" s="18" t="n">
        <v>0</v>
      </c>
      <c r="D30" s="10" t="inlineStr">
        <is>
          <t>Demanda final total negativa.</t>
        </is>
      </c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</row>
    <row r="31" ht="17" customHeight="1">
      <c r="A31" s="1" t="n"/>
      <c r="B31" s="17" t="inlineStr">
        <is>
          <t>min_y</t>
        </is>
      </c>
      <c r="C31" s="18" t="n">
        <v>249.679197757909</v>
      </c>
      <c r="D31" s="10" t="inlineStr">
        <is>
          <t>Minimo de demanda final total.</t>
        </is>
      </c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</row>
    <row r="32" ht="17" customHeight="1">
      <c r="A32" s="1" t="n"/>
      <c r="B32" s="17" t="inlineStr">
        <is>
          <t>sectores_va_negativo</t>
        </is>
      </c>
      <c r="C32" s="18" t="n">
        <v>1</v>
      </c>
      <c r="D32" s="10" t="inlineStr">
        <is>
          <t>Valor agregado negativo.</t>
        </is>
      </c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</row>
    <row r="33" ht="17" customHeight="1">
      <c r="A33" s="1" t="n"/>
      <c r="B33" s="17" t="inlineStr">
        <is>
          <t>min_va</t>
        </is>
      </c>
      <c r="C33" s="19" t="n">
        <v>-10202</v>
      </c>
      <c r="D33" s="10" t="inlineStr">
        <is>
          <t>Minimo de valor agregado.</t>
        </is>
      </c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</row>
    <row r="34" ht="17" customHeight="1">
      <c r="A34" s="1" t="n"/>
      <c r="B34" s="17" t="inlineStr">
        <is>
          <t>sectores_ajuste_negativo</t>
        </is>
      </c>
      <c r="C34" s="18" t="n">
        <v>18</v>
      </c>
      <c r="D34" s="10" t="inlineStr">
        <is>
          <t>Ajuste intermedio/importado con signo negativo.</t>
        </is>
      </c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</row>
    <row r="35" ht="17" customHeight="1">
      <c r="A35" s="1" t="n"/>
      <c r="B35" s="17" t="inlineStr">
        <is>
          <t>min_ajuste</t>
        </is>
      </c>
      <c r="C35" s="19" t="n">
        <v>-45280.53271581482</v>
      </c>
      <c r="D35" s="10" t="inlineStr">
        <is>
          <t>Minimo de ajuste intermedio/importado.</t>
        </is>
      </c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</row>
  </sheetData>
  <mergeCells count="17">
    <mergeCell ref="C12:D12"/>
    <mergeCell ref="G14:M14"/>
    <mergeCell ref="B14:D14"/>
    <mergeCell ref="A1:M1"/>
    <mergeCell ref="C10:D10"/>
    <mergeCell ref="C16:D16"/>
    <mergeCell ref="C15:D15"/>
    <mergeCell ref="G13:M13"/>
    <mergeCell ref="C11:D11"/>
    <mergeCell ref="F9:M9"/>
    <mergeCell ref="B9:D9"/>
    <mergeCell ref="G12:M12"/>
    <mergeCell ref="A3:M4"/>
    <mergeCell ref="A20:M20"/>
    <mergeCell ref="G10:M10"/>
    <mergeCell ref="G11:M11"/>
    <mergeCell ref="A5:M7"/>
  </mergeCells>
  <hyperlinks>
    <hyperlink xmlns:r="http://schemas.openxmlformats.org/officeDocument/2006/relationships" ref="B10" r:id="rId1"/>
    <hyperlink xmlns:r="http://schemas.openxmlformats.org/officeDocument/2006/relationships" ref="B11" r:id="rId2"/>
    <hyperlink xmlns:r="http://schemas.openxmlformats.org/officeDocument/2006/relationships" ref="B12" r:id="rId3"/>
    <hyperlink xmlns:r="http://schemas.openxmlformats.org/officeDocument/2006/relationships" ref="B15" r:id="rId4"/>
    <hyperlink xmlns:r="http://schemas.openxmlformats.org/officeDocument/2006/relationships" ref="B16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Y92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</cols>
  <sheetData>
    <row r="1" ht="44" customHeight="1"/>
    <row r="2"/>
    <row r="3" ht="16" customHeight="1">
      <c r="A3" s="20" t="inlineStr">
        <is>
          <t>Matriz insumo producto, actividad por actividad - Nacional</t>
        </is>
      </c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  <c r="AE3" s="20" t="n"/>
      <c r="AF3" s="20" t="n"/>
      <c r="AG3" s="20" t="n"/>
      <c r="AH3" s="20" t="n"/>
      <c r="AI3" s="20" t="n"/>
      <c r="AJ3" s="20" t="n"/>
      <c r="AK3" s="20" t="n"/>
      <c r="AL3" s="20" t="n"/>
      <c r="AM3" s="20" t="n"/>
      <c r="AN3" s="20" t="n"/>
      <c r="AO3" s="20" t="n"/>
      <c r="AP3" s="20" t="n"/>
      <c r="AQ3" s="20" t="n"/>
      <c r="AR3" s="20" t="n"/>
      <c r="AS3" s="20" t="n"/>
      <c r="AT3" s="20" t="n"/>
      <c r="AU3" s="20" t="n"/>
      <c r="AV3" s="20" t="n"/>
      <c r="AW3" s="20" t="n"/>
      <c r="AX3" s="20" t="n"/>
      <c r="AY3" s="20" t="n"/>
      <c r="AZ3" s="20" t="n"/>
      <c r="BA3" s="20" t="n"/>
      <c r="BB3" s="20" t="n"/>
      <c r="BC3" s="20" t="n"/>
      <c r="BD3" s="20" t="n"/>
      <c r="BE3" s="20" t="n"/>
      <c r="BF3" s="20" t="n"/>
      <c r="BG3" s="20" t="n"/>
      <c r="BH3" s="20" t="n"/>
      <c r="BI3" s="20" t="n"/>
      <c r="BJ3" s="20" t="n"/>
      <c r="BK3" s="20" t="n"/>
      <c r="BL3" s="20" t="n"/>
      <c r="BM3" s="20" t="n"/>
      <c r="BN3" s="20" t="n"/>
      <c r="BO3" s="20" t="n"/>
      <c r="BP3" s="20" t="n"/>
      <c r="BQ3" s="20" t="n"/>
      <c r="BR3" s="20" t="n"/>
      <c r="BS3" s="20" t="n"/>
      <c r="BT3" s="20" t="n"/>
      <c r="BU3" s="20" t="n"/>
      <c r="BV3" s="20" t="n"/>
      <c r="BW3" s="20" t="n"/>
      <c r="BX3" s="20" t="n"/>
      <c r="BY3" s="20" t="n"/>
    </row>
    <row r="4" ht="16" customHeight="1"/>
    <row r="5">
      <c r="A5" s="21" t="inlineStr">
        <is>
          <t>Valores a precios corrientes</t>
        </is>
      </c>
    </row>
    <row r="6" ht="16.5" customHeight="1">
      <c r="A6" s="21" t="inlineStr">
        <is>
          <t>Ano 2011</t>
        </is>
      </c>
      <c r="J6" s="22" t="inlineStr">
        <is>
          <t>Indice</t>
        </is>
      </c>
    </row>
    <row r="7">
      <c r="A7" s="21" t="inlineStr">
        <is>
          <t>Base / fuente original</t>
        </is>
      </c>
    </row>
    <row r="8">
      <c r="A8" s="21" t="inlineStr">
        <is>
          <t>Unidades monetarias de la fuente</t>
        </is>
      </c>
    </row>
    <row r="9"/>
    <row r="10" ht="16" customHeight="1">
      <c r="A10" s="23" t="inlineStr">
        <is>
          <t>Codigo</t>
        </is>
      </c>
      <c r="B10" s="23" t="inlineStr">
        <is>
          <t>Actividad economica</t>
        </is>
      </c>
      <c r="C10" s="23" t="inlineStr">
        <is>
          <t>Consumo intermedio por actividades economicas</t>
        </is>
      </c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  <c r="AA10" s="24" t="n"/>
      <c r="AB10" s="24" t="n"/>
      <c r="AC10" s="24" t="n"/>
      <c r="AD10" s="24" t="n"/>
      <c r="AE10" s="24" t="n"/>
      <c r="AF10" s="24" t="n"/>
      <c r="AG10" s="24" t="n"/>
      <c r="AH10" s="24" t="n"/>
      <c r="AI10" s="24" t="n"/>
      <c r="AJ10" s="24" t="n"/>
      <c r="AK10" s="24" t="n"/>
      <c r="AL10" s="24" t="n"/>
      <c r="AM10" s="24" t="n"/>
      <c r="AN10" s="24" t="n"/>
      <c r="AO10" s="24" t="n"/>
      <c r="AP10" s="24" t="n"/>
      <c r="AQ10" s="24" t="n"/>
      <c r="AR10" s="24" t="n"/>
      <c r="AS10" s="24" t="n"/>
      <c r="AT10" s="24" t="n"/>
      <c r="AU10" s="24" t="n"/>
      <c r="AV10" s="24" t="n"/>
      <c r="AW10" s="24" t="n"/>
      <c r="AX10" s="24" t="n"/>
      <c r="AY10" s="24" t="n"/>
      <c r="AZ10" s="24" t="n"/>
      <c r="BA10" s="24" t="n"/>
      <c r="BB10" s="24" t="n"/>
      <c r="BC10" s="24" t="n"/>
      <c r="BD10" s="24" t="n"/>
      <c r="BE10" s="24" t="n"/>
      <c r="BF10" s="24" t="n"/>
      <c r="BG10" s="24" t="n"/>
      <c r="BH10" s="24" t="n"/>
      <c r="BI10" s="24" t="n"/>
      <c r="BJ10" s="24" t="n"/>
      <c r="BK10" s="24" t="n"/>
      <c r="BL10" s="24" t="n"/>
      <c r="BM10" s="24" t="n"/>
      <c r="BN10" s="24" t="n"/>
      <c r="BO10" s="24" t="n"/>
      <c r="BP10" s="24" t="n"/>
      <c r="BQ10" s="24" t="n"/>
      <c r="BR10" s="24" t="n"/>
      <c r="BS10" s="23" t="inlineStr">
        <is>
          <t>Total consumo intermedio</t>
        </is>
      </c>
      <c r="BT10" s="23" t="inlineStr">
        <is>
          <t>Demanda final</t>
        </is>
      </c>
      <c r="BU10" s="24" t="n"/>
      <c r="BV10" s="24" t="n"/>
      <c r="BW10" s="24" t="n"/>
      <c r="BX10" s="23" t="inlineStr">
        <is>
          <t>Total demanda final</t>
        </is>
      </c>
      <c r="BY10" s="23" t="inlineStr">
        <is>
          <t>Total</t>
        </is>
      </c>
    </row>
    <row r="11" ht="15" customHeight="1">
      <c r="C11" s="25" t="inlineStr">
        <is>
          <t>0191</t>
        </is>
      </c>
      <c r="D11" s="25" t="inlineStr">
        <is>
          <t>0192</t>
        </is>
      </c>
      <c r="E11" s="25" t="inlineStr">
        <is>
          <t>0280</t>
        </is>
      </c>
      <c r="F11" s="25" t="inlineStr">
        <is>
          <t>0580</t>
        </is>
      </c>
      <c r="G11" s="25" t="inlineStr">
        <is>
          <t>0680</t>
        </is>
      </c>
      <c r="H11" s="25" t="inlineStr">
        <is>
          <t>0791</t>
        </is>
      </c>
      <c r="I11" s="25" t="inlineStr">
        <is>
          <t>0792</t>
        </is>
      </c>
      <c r="J11" s="25" t="inlineStr">
        <is>
          <t>1091</t>
        </is>
      </c>
      <c r="K11" s="25" t="inlineStr">
        <is>
          <t>1092</t>
        </is>
      </c>
      <c r="L11" s="25" t="inlineStr">
        <is>
          <t>1093</t>
        </is>
      </c>
      <c r="M11" s="25" t="inlineStr">
        <is>
          <t>1100</t>
        </is>
      </c>
      <c r="N11" s="25" t="inlineStr">
        <is>
          <t>1200</t>
        </is>
      </c>
      <c r="O11" s="25" t="inlineStr">
        <is>
          <t>1300</t>
        </is>
      </c>
      <c r="P11" s="25" t="inlineStr">
        <is>
          <t>1400</t>
        </is>
      </c>
      <c r="Q11" s="25" t="inlineStr">
        <is>
          <t>1500</t>
        </is>
      </c>
      <c r="R11" s="25" t="inlineStr">
        <is>
          <t>1600</t>
        </is>
      </c>
      <c r="S11" s="25" t="inlineStr">
        <is>
          <t>1700</t>
        </is>
      </c>
      <c r="T11" s="25" t="inlineStr">
        <is>
          <t>1800</t>
        </is>
      </c>
      <c r="U11" s="25" t="inlineStr">
        <is>
          <t>1991</t>
        </is>
      </c>
      <c r="V11" s="25" t="inlineStr">
        <is>
          <t>1992</t>
        </is>
      </c>
      <c r="W11" s="25" t="inlineStr">
        <is>
          <t>2091</t>
        </is>
      </c>
      <c r="X11" s="25" t="inlineStr">
        <is>
          <t>2092</t>
        </is>
      </c>
      <c r="Y11" s="25" t="inlineStr">
        <is>
          <t>2093</t>
        </is>
      </c>
      <c r="Z11" s="25" t="inlineStr">
        <is>
          <t>2100</t>
        </is>
      </c>
      <c r="AA11" s="25" t="inlineStr">
        <is>
          <t>2200</t>
        </is>
      </c>
      <c r="AB11" s="25" t="inlineStr">
        <is>
          <t>2300</t>
        </is>
      </c>
      <c r="AC11" s="25" t="inlineStr">
        <is>
          <t>2491</t>
        </is>
      </c>
      <c r="AD11" s="25" t="inlineStr">
        <is>
          <t>2492</t>
        </is>
      </c>
      <c r="AE11" s="25" t="inlineStr">
        <is>
          <t>2500</t>
        </is>
      </c>
      <c r="AF11" s="25" t="inlineStr">
        <is>
          <t>2600</t>
        </is>
      </c>
      <c r="AG11" s="25" t="inlineStr">
        <is>
          <t>2700</t>
        </is>
      </c>
      <c r="AH11" s="25" t="inlineStr">
        <is>
          <t>2800</t>
        </is>
      </c>
      <c r="AI11" s="25" t="inlineStr">
        <is>
          <t>2991</t>
        </is>
      </c>
      <c r="AJ11" s="25" t="inlineStr">
        <is>
          <t>2992</t>
        </is>
      </c>
      <c r="AK11" s="25" t="inlineStr">
        <is>
          <t>3000</t>
        </is>
      </c>
      <c r="AL11" s="25" t="inlineStr">
        <is>
          <t>3180</t>
        </is>
      </c>
      <c r="AM11" s="25" t="inlineStr">
        <is>
          <t>3300</t>
        </is>
      </c>
      <c r="AN11" s="25" t="inlineStr">
        <is>
          <t>3500</t>
        </is>
      </c>
      <c r="AO11" s="25" t="inlineStr">
        <is>
          <t>3680</t>
        </is>
      </c>
      <c r="AP11" s="25" t="inlineStr">
        <is>
          <t>4180</t>
        </is>
      </c>
      <c r="AQ11" s="25" t="inlineStr">
        <is>
          <t>4500</t>
        </is>
      </c>
      <c r="AR11" s="25" t="inlineStr">
        <is>
          <t>4680</t>
        </is>
      </c>
      <c r="AS11" s="25" t="inlineStr">
        <is>
          <t>4900</t>
        </is>
      </c>
      <c r="AT11" s="25" t="inlineStr">
        <is>
          <t>5000</t>
        </is>
      </c>
      <c r="AU11" s="25" t="inlineStr">
        <is>
          <t>5100</t>
        </is>
      </c>
      <c r="AV11" s="25" t="inlineStr">
        <is>
          <t>5280</t>
        </is>
      </c>
      <c r="AW11" s="25" t="inlineStr">
        <is>
          <t>5500</t>
        </is>
      </c>
      <c r="AX11" s="25" t="inlineStr">
        <is>
          <t>5600</t>
        </is>
      </c>
      <c r="AY11" s="25" t="inlineStr">
        <is>
          <t>5800</t>
        </is>
      </c>
      <c r="AZ11" s="25" t="inlineStr">
        <is>
          <t>5980</t>
        </is>
      </c>
      <c r="BA11" s="25" t="inlineStr">
        <is>
          <t>6100</t>
        </is>
      </c>
      <c r="BB11" s="25" t="inlineStr">
        <is>
          <t>6280</t>
        </is>
      </c>
      <c r="BC11" s="25" t="inlineStr">
        <is>
          <t>6480</t>
        </is>
      </c>
      <c r="BD11" s="25" t="inlineStr">
        <is>
          <t>6800</t>
        </is>
      </c>
      <c r="BE11" s="25" t="inlineStr">
        <is>
          <t>6980</t>
        </is>
      </c>
      <c r="BF11" s="25" t="inlineStr">
        <is>
          <t>7180</t>
        </is>
      </c>
      <c r="BG11" s="25" t="inlineStr">
        <is>
          <t>7380</t>
        </is>
      </c>
      <c r="BH11" s="25" t="inlineStr">
        <is>
          <t>7700</t>
        </is>
      </c>
      <c r="BI11" s="25" t="inlineStr">
        <is>
          <t>7880</t>
        </is>
      </c>
      <c r="BJ11" s="25" t="inlineStr">
        <is>
          <t>8000</t>
        </is>
      </c>
      <c r="BK11" s="25" t="inlineStr">
        <is>
          <t>8400</t>
        </is>
      </c>
      <c r="BL11" s="25" t="inlineStr">
        <is>
          <t>8591</t>
        </is>
      </c>
      <c r="BM11" s="25" t="inlineStr">
        <is>
          <t>8592</t>
        </is>
      </c>
      <c r="BN11" s="25" t="inlineStr">
        <is>
          <t>8691</t>
        </is>
      </c>
      <c r="BO11" s="25" t="inlineStr">
        <is>
          <t>8692</t>
        </is>
      </c>
      <c r="BP11" s="25" t="inlineStr">
        <is>
          <t>9080</t>
        </is>
      </c>
      <c r="BQ11" s="25" t="inlineStr">
        <is>
          <t>9480</t>
        </is>
      </c>
      <c r="BR11" s="25" t="inlineStr">
        <is>
          <t>9700</t>
        </is>
      </c>
      <c r="BT11" s="25" t="inlineStr"/>
      <c r="BU11" s="25" t="inlineStr"/>
      <c r="BV11" s="25" t="inlineStr"/>
      <c r="BW11" s="25" t="inlineStr"/>
    </row>
    <row r="12" ht="90" customHeight="1">
      <c r="A12" s="26" t="n"/>
      <c r="B12" s="26" t="n"/>
      <c r="C12" s="27" t="inlineStr">
        <is>
          <t>Agricultura, inclusive o apoio à agricultura e a pós-colheita</t>
        </is>
      </c>
      <c r="D12" s="27" t="inlineStr">
        <is>
          <t>Pecuária, inclusive o apoio à pecuária</t>
        </is>
      </c>
      <c r="E12" s="27" t="inlineStr">
        <is>
          <t>Produção florestal; pesca e aquicultura</t>
        </is>
      </c>
      <c r="F12" s="27" t="inlineStr">
        <is>
          <t>Extração de carvão mineral e de minerais não-metálicos</t>
        </is>
      </c>
      <c r="G12" s="27" t="inlineStr">
        <is>
          <t>Extração de petróleo e gás, inclusive as atividades de apoio</t>
        </is>
      </c>
      <c r="H12" s="27" t="inlineStr">
        <is>
          <t>Extração de minério de ferro, inclusive beneficiamentos e a aglomeração</t>
        </is>
      </c>
      <c r="I12" s="27" t="inlineStr">
        <is>
          <t>Extração de minerais metálicos não-ferrosos, inclusive beneficiamentos</t>
        </is>
      </c>
      <c r="J12" s="27" t="inlineStr">
        <is>
          <t>Abate e produtos de carne, inclusive os produtos do laticínio e da pesca</t>
        </is>
      </c>
      <c r="K12" s="27" t="inlineStr">
        <is>
          <t>Fabricação e refino de açúcar</t>
        </is>
      </c>
      <c r="L12" s="27" t="inlineStr">
        <is>
          <t>Outros produtos alimentares</t>
        </is>
      </c>
      <c r="M12" s="27" t="inlineStr">
        <is>
          <t>Fabricação de bebidas</t>
        </is>
      </c>
      <c r="N12" s="27" t="inlineStr">
        <is>
          <t>Fabricação de produtos do fumo</t>
        </is>
      </c>
      <c r="O12" s="27" t="inlineStr">
        <is>
          <t>Fabricação de produtos têxteis</t>
        </is>
      </c>
      <c r="P12" s="27" t="inlineStr">
        <is>
          <t>Confecção de artefatos do vestuário e acessórios</t>
        </is>
      </c>
      <c r="Q12" s="27" t="inlineStr">
        <is>
          <t>Fabricação de calçados e de artefatos de couro</t>
        </is>
      </c>
      <c r="R12" s="27" t="inlineStr">
        <is>
          <t>Fabricação de produtos da madeira</t>
        </is>
      </c>
      <c r="S12" s="27" t="inlineStr">
        <is>
          <t>Fabricação de celulose, papel e produtos de papel</t>
        </is>
      </c>
      <c r="T12" s="27" t="inlineStr">
        <is>
          <t>Impressão e reprodução de gravações</t>
        </is>
      </c>
      <c r="U12" s="27" t="inlineStr">
        <is>
          <t>Refino de petróleo e coquerias</t>
        </is>
      </c>
      <c r="V12" s="27" t="inlineStr">
        <is>
          <t>Fabricação de biocombustíveis</t>
        </is>
      </c>
      <c r="W12" s="27" t="inlineStr">
        <is>
          <t>Fabricação de químicos orgânicos e inorgânicos, resinas e elastômeros</t>
        </is>
      </c>
      <c r="X12" s="27" t="inlineStr">
        <is>
          <t>Fabricação de defensivos, desinfestantes, tintas e químicos diversos</t>
        </is>
      </c>
      <c r="Y12" s="27" t="inlineStr">
        <is>
          <t>Fabricação de produtos de limpeza, cosméticos/perfumaria e higiene pessoal</t>
        </is>
      </c>
      <c r="Z12" s="27" t="inlineStr">
        <is>
          <t>Fabricação de produtos farmoquímicos e farmacêuticos</t>
        </is>
      </c>
      <c r="AA12" s="27" t="inlineStr">
        <is>
          <t>Fabricação de produtos de borracha e de material plástico</t>
        </is>
      </c>
      <c r="AB12" s="27" t="inlineStr">
        <is>
          <t>Fabricação de produtos de minerais não-metálicos</t>
        </is>
      </c>
      <c r="AC12" s="27" t="inlineStr">
        <is>
          <t>Produção de ferro-gusa/ferroligas, siderurgia e tubos de aço sem costura</t>
        </is>
      </c>
      <c r="AD12" s="27" t="inlineStr">
        <is>
          <t>Metalurgia de metais não-ferrosos e a fundição de metais</t>
        </is>
      </c>
      <c r="AE12" s="27" t="inlineStr">
        <is>
          <t>Fabricação de produtos de metal, exceto máquinas e equipamentos</t>
        </is>
      </c>
      <c r="AF12" s="27" t="inlineStr">
        <is>
          <t>Fabricação de equipamentos de informática, produtos eletrônicos e ópticos</t>
        </is>
      </c>
      <c r="AG12" s="27" t="inlineStr">
        <is>
          <t>Fabricação de máquinas e equipamentos elétricos</t>
        </is>
      </c>
      <c r="AH12" s="27" t="inlineStr">
        <is>
          <t>Fabricação de máquinas e equipamentos mecânicos</t>
        </is>
      </c>
      <c r="AI12" s="27" t="inlineStr">
        <is>
          <t>Fabricação de automóveis, caminhões e ônibus, exceto peças</t>
        </is>
      </c>
      <c r="AJ12" s="27" t="inlineStr">
        <is>
          <t>Fabricação de peças e acessórios para veículos automotores</t>
        </is>
      </c>
      <c r="AK12" s="27" t="inlineStr">
        <is>
          <t>Fabricação de outros equipamentos de transporte, exceto veículos automotores</t>
        </is>
      </c>
      <c r="AL12" s="27" t="inlineStr">
        <is>
          <t>Fabricação de móveis e de produtos de indústrias diversas</t>
        </is>
      </c>
      <c r="AM12" s="27" t="inlineStr">
        <is>
          <t>Manutenção, reparação e instalação de máquinas e equipamentos</t>
        </is>
      </c>
      <c r="AN12" s="27" t="inlineStr">
        <is>
          <t>Energia elétrica, gás natural e outras utilidades</t>
        </is>
      </c>
      <c r="AO12" s="27" t="inlineStr">
        <is>
          <t>Água, esgoto e gestão de resíduos</t>
        </is>
      </c>
      <c r="AP12" s="27" t="inlineStr">
        <is>
          <t>Construção</t>
        </is>
      </c>
      <c r="AQ12" s="27" t="inlineStr">
        <is>
          <t>Comércio e reparação de veículos automotores e motocicletas</t>
        </is>
      </c>
      <c r="AR12" s="27" t="inlineStr">
        <is>
          <t>Comércio por atacado e a varejo, exceto veículos automotores</t>
        </is>
      </c>
      <c r="AS12" s="27" t="inlineStr">
        <is>
          <t>Transporte terrestre</t>
        </is>
      </c>
      <c r="AT12" s="27" t="inlineStr">
        <is>
          <t>Transporte aquaviário</t>
        </is>
      </c>
      <c r="AU12" s="27" t="inlineStr">
        <is>
          <t>Transporte aéreo</t>
        </is>
      </c>
      <c r="AV12" s="27" t="inlineStr">
        <is>
          <t>Armazenamento, atividades auxiliares dos transportes e correio</t>
        </is>
      </c>
      <c r="AW12" s="27" t="inlineStr">
        <is>
          <t>Alojamento</t>
        </is>
      </c>
      <c r="AX12" s="27" t="inlineStr">
        <is>
          <t>Alimentação</t>
        </is>
      </c>
      <c r="AY12" s="27" t="inlineStr">
        <is>
          <t>Edição e edição integrada à impressão</t>
        </is>
      </c>
      <c r="AZ12" s="27" t="inlineStr">
        <is>
          <t>Atividades de televisão, rádio, cinema e  gravação/edição de som e imagem</t>
        </is>
      </c>
      <c r="BA12" s="27" t="inlineStr">
        <is>
          <t>Telecomunicações</t>
        </is>
      </c>
      <c r="BB12" s="27" t="inlineStr">
        <is>
          <t>Desenvolvimento de sistemas e outros serviços de informação</t>
        </is>
      </c>
      <c r="BC12" s="27" t="inlineStr">
        <is>
          <t>Intermediação financeira, seguros e previdência complementar</t>
        </is>
      </c>
      <c r="BD12" s="27" t="inlineStr">
        <is>
          <t>Atividades imobiliárias</t>
        </is>
      </c>
      <c r="BE12" s="27" t="inlineStr">
        <is>
          <t>Atividades jurídicas, contábeis, consultoria e sedes de empresas</t>
        </is>
      </c>
      <c r="BF12" s="27" t="inlineStr">
        <is>
          <t>Serviços de arquitetura, engenharia, testes/análises técnicas e P &amp; D</t>
        </is>
      </c>
      <c r="BG12" s="27" t="inlineStr">
        <is>
          <t>Outras atividades profissionais, científicas e técnicas</t>
        </is>
      </c>
      <c r="BH12" s="27" t="inlineStr">
        <is>
          <t>Aluguéis não-imobiliários e gestão de ativos de propriedade intelectual</t>
        </is>
      </c>
      <c r="BI12" s="27" t="inlineStr">
        <is>
          <t>Outras atividades administrativas e serviços complementares</t>
        </is>
      </c>
      <c r="BJ12" s="27" t="inlineStr">
        <is>
          <t>Atividades de vigilância, segurança e investigação</t>
        </is>
      </c>
      <c r="BK12" s="27" t="inlineStr">
        <is>
          <t>Administração pública, defesa e seguridade social</t>
        </is>
      </c>
      <c r="BL12" s="27" t="inlineStr">
        <is>
          <t>Educação pública</t>
        </is>
      </c>
      <c r="BM12" s="27" t="inlineStr">
        <is>
          <t>Educação privada</t>
        </is>
      </c>
      <c r="BN12" s="27" t="inlineStr">
        <is>
          <t>Saúde pública</t>
        </is>
      </c>
      <c r="BO12" s="27" t="inlineStr">
        <is>
          <t>Saúde privada</t>
        </is>
      </c>
      <c r="BP12" s="27" t="inlineStr">
        <is>
          <t>Atividades artísticas, criativas e de espetáculos</t>
        </is>
      </c>
      <c r="BQ12" s="27" t="inlineStr">
        <is>
          <t>Organizações associativas e outros serviços pessoais</t>
        </is>
      </c>
      <c r="BR12" s="27" t="inlineStr">
        <is>
          <t>Serviços domésticos</t>
        </is>
      </c>
      <c r="BS12" s="26" t="n"/>
      <c r="BT12" s="27" t="inlineStr">
        <is>
          <t>Gasto de consumo final</t>
        </is>
      </c>
      <c r="BU12" s="27" t="inlineStr">
        <is>
          <t>Formacion bruta de capital</t>
        </is>
      </c>
      <c r="BV12" s="27" t="inlineStr">
        <is>
          <t>Exportaciones netas</t>
        </is>
      </c>
      <c r="BW12" s="27" t="inlineStr">
        <is>
          <t>Sin desglose fuente</t>
        </is>
      </c>
      <c r="BX12" s="26" t="n"/>
      <c r="BY12" s="26" t="n"/>
    </row>
    <row r="13"/>
    <row r="14">
      <c r="A14" s="28" t="inlineStr">
        <is>
          <t>0191</t>
        </is>
      </c>
      <c r="B14" s="28" t="inlineStr">
        <is>
          <t>Agricultura, inclusive o apoio à agricultura e a pós-colheita</t>
        </is>
      </c>
      <c r="C14" s="29" t="n">
        <v>5022.635595110603</v>
      </c>
      <c r="D14" s="29" t="n">
        <v>3839.966011184504</v>
      </c>
      <c r="E14" s="29" t="n">
        <v>160.6194923274425</v>
      </c>
      <c r="F14" s="29" t="n">
        <v>2.286639241500557</v>
      </c>
      <c r="G14" s="29" t="n">
        <v>3.300297920520139</v>
      </c>
      <c r="H14" s="29" t="n">
        <v>0.5600104438447271</v>
      </c>
      <c r="I14" s="29" t="n">
        <v>0.7711915428598612</v>
      </c>
      <c r="J14" s="29" t="n">
        <v>4800.403399300166</v>
      </c>
      <c r="K14" s="29" t="n">
        <v>26785.16384559446</v>
      </c>
      <c r="L14" s="29" t="n">
        <v>45594.09480083126</v>
      </c>
      <c r="M14" s="29" t="n">
        <v>1799.124010232488</v>
      </c>
      <c r="N14" s="29" t="n">
        <v>3337.838195748989</v>
      </c>
      <c r="O14" s="29" t="n">
        <v>3691.392125902631</v>
      </c>
      <c r="P14" s="29" t="n">
        <v>381.1863443051213</v>
      </c>
      <c r="Q14" s="29" t="n">
        <v>7.046742339129763</v>
      </c>
      <c r="R14" s="29" t="n">
        <v>114.0163176233858</v>
      </c>
      <c r="S14" s="29" t="n">
        <v>132.2790091284926</v>
      </c>
      <c r="T14" s="29" t="n">
        <v>0.1663902120424067</v>
      </c>
      <c r="U14" s="29" t="n">
        <v>7.35440105350584</v>
      </c>
      <c r="V14" s="29" t="n">
        <v>10533.02688689832</v>
      </c>
      <c r="W14" s="29" t="n">
        <v>13.96341798261769</v>
      </c>
      <c r="X14" s="29" t="n">
        <v>17.33732050539631</v>
      </c>
      <c r="Y14" s="29" t="n">
        <v>1.265886801533364</v>
      </c>
      <c r="Z14" s="29" t="n">
        <v>9.645101860860974</v>
      </c>
      <c r="AA14" s="29" t="n">
        <v>58.74348745931974</v>
      </c>
      <c r="AB14" s="29" t="n">
        <v>15.55603570392198</v>
      </c>
      <c r="AC14" s="29" t="n">
        <v>19.45586164478231</v>
      </c>
      <c r="AD14" s="29" t="n">
        <v>9.019776250357365</v>
      </c>
      <c r="AE14" s="29" t="n">
        <v>2.422001976037169</v>
      </c>
      <c r="AF14" s="29" t="n">
        <v>0.1597803652058234</v>
      </c>
      <c r="AG14" s="29" t="n">
        <v>0.2679579387598718</v>
      </c>
      <c r="AH14" s="29" t="n">
        <v>0.911083773518101</v>
      </c>
      <c r="AI14" s="29" t="n">
        <v>0.7698450894654675</v>
      </c>
      <c r="AJ14" s="29" t="n">
        <v>0.3502137142062454</v>
      </c>
      <c r="AK14" s="29" t="n">
        <v>0.6360304997517449</v>
      </c>
      <c r="AL14" s="29" t="n">
        <v>13.38580658907615</v>
      </c>
      <c r="AM14" s="29" t="n">
        <v>0.0279653551524565</v>
      </c>
      <c r="AN14" s="29" t="n">
        <v>0.5350049691110076</v>
      </c>
      <c r="AO14" s="29" t="n">
        <v>16.04632278103844</v>
      </c>
      <c r="AP14" s="29" t="n">
        <v>254.3147196019949</v>
      </c>
      <c r="AQ14" s="29" t="n">
        <v>1.537108589444001</v>
      </c>
      <c r="AR14" s="29" t="n">
        <v>6141.352803717839</v>
      </c>
      <c r="AS14" s="29" t="n">
        <v>0.4985319704167935</v>
      </c>
      <c r="AT14" s="29" t="n">
        <v>0.01117475575478651</v>
      </c>
      <c r="AU14" s="29" t="n">
        <v>0.2190510470097176</v>
      </c>
      <c r="AV14" s="29" t="n">
        <v>5.168032512369246</v>
      </c>
      <c r="AW14" s="29" t="n">
        <v>167.925656301817</v>
      </c>
      <c r="AX14" s="29" t="n">
        <v>2699.501533745824</v>
      </c>
      <c r="AY14" s="29" t="n">
        <v>0.1030406417031203</v>
      </c>
      <c r="AZ14" s="29" t="n">
        <v>0.5637256110269597</v>
      </c>
      <c r="BA14" s="29" t="n">
        <v>31.87093580787901</v>
      </c>
      <c r="BB14" s="29" t="n">
        <v>1.032592799522177</v>
      </c>
      <c r="BC14" s="29" t="n">
        <v>11.28191161840289</v>
      </c>
      <c r="BD14" s="29" t="n">
        <v>7.927011211680591</v>
      </c>
      <c r="BE14" s="29" t="n">
        <v>3.025855661106273</v>
      </c>
      <c r="BF14" s="29" t="n">
        <v>10.32080452650752</v>
      </c>
      <c r="BG14" s="29" t="n">
        <v>0.4526667543019629</v>
      </c>
      <c r="BH14" s="29" t="n">
        <v>0.3027873111431567</v>
      </c>
      <c r="BI14" s="29" t="n">
        <v>56.21079945012124</v>
      </c>
      <c r="BJ14" s="29" t="n">
        <v>0.1268696753537759</v>
      </c>
      <c r="BK14" s="29" t="n">
        <v>1016.368834889647</v>
      </c>
      <c r="BL14" s="29" t="n">
        <v>281.9052437248048</v>
      </c>
      <c r="BM14" s="29" t="n">
        <v>26.08456376918834</v>
      </c>
      <c r="BN14" s="29" t="n">
        <v>149.4825603068702</v>
      </c>
      <c r="BO14" s="29" t="n">
        <v>100.7797948903643</v>
      </c>
      <c r="BP14" s="29" t="n">
        <v>1.490057272358632</v>
      </c>
      <c r="BQ14" s="29" t="n">
        <v>112.8287929371919</v>
      </c>
      <c r="BR14" s="29" t="n">
        <v>0</v>
      </c>
      <c r="BS14" s="29">
        <f>SUM(C14:BR14)</f>
        <v/>
      </c>
      <c r="BT14" s="29" t="n">
        <v>0</v>
      </c>
      <c r="BU14" s="29" t="n">
        <v>0</v>
      </c>
      <c r="BV14" s="29" t="n">
        <v>91764.58193069699</v>
      </c>
      <c r="BW14" s="29" t="n">
        <v>0</v>
      </c>
      <c r="BX14" s="29">
        <f>SUM(BT14:BW14)</f>
        <v/>
      </c>
      <c r="BY14" s="29">
        <f>BS14+BX14</f>
        <v/>
      </c>
    </row>
    <row r="15">
      <c r="A15" s="30" t="inlineStr">
        <is>
          <t>0192</t>
        </is>
      </c>
      <c r="B15" s="30" t="inlineStr">
        <is>
          <t>Pecuária, inclusive o apoio à pecuária</t>
        </is>
      </c>
      <c r="C15" s="31" t="n">
        <v>604.536014625134</v>
      </c>
      <c r="D15" s="31" t="n">
        <v>3660.187402485822</v>
      </c>
      <c r="E15" s="31" t="n">
        <v>125.4457010193418</v>
      </c>
      <c r="F15" s="31" t="n">
        <v>5.49805735648348</v>
      </c>
      <c r="G15" s="31" t="n">
        <v>9.182575206015466</v>
      </c>
      <c r="H15" s="31" t="n">
        <v>0.9131530605277205</v>
      </c>
      <c r="I15" s="31" t="n">
        <v>1.571428364570078</v>
      </c>
      <c r="J15" s="31" t="n">
        <v>54564.75466088441</v>
      </c>
      <c r="K15" s="31" t="n">
        <v>150.748062600634</v>
      </c>
      <c r="L15" s="31" t="n">
        <v>2723.585102771973</v>
      </c>
      <c r="M15" s="31" t="n">
        <v>56.93038054348333</v>
      </c>
      <c r="N15" s="31" t="n">
        <v>157.507263118355</v>
      </c>
      <c r="O15" s="31" t="n">
        <v>151.5418984976984</v>
      </c>
      <c r="P15" s="31" t="n">
        <v>85.13173813229417</v>
      </c>
      <c r="Q15" s="31" t="n">
        <v>8.471119603806963</v>
      </c>
      <c r="R15" s="31" t="n">
        <v>125.2177836170822</v>
      </c>
      <c r="S15" s="31" t="n">
        <v>131.590554391008</v>
      </c>
      <c r="T15" s="31" t="n">
        <v>0.3473664435011001</v>
      </c>
      <c r="U15" s="31" t="n">
        <v>0.3628446515602103</v>
      </c>
      <c r="V15" s="31" t="n">
        <v>83.39199043683789</v>
      </c>
      <c r="W15" s="31" t="n">
        <v>46.01966848618815</v>
      </c>
      <c r="X15" s="31" t="n">
        <v>7.997040848104753</v>
      </c>
      <c r="Y15" s="31" t="n">
        <v>2.62292656855792</v>
      </c>
      <c r="Z15" s="31" t="n">
        <v>2.494406761254262</v>
      </c>
      <c r="AA15" s="31" t="n">
        <v>61.14579588453655</v>
      </c>
      <c r="AB15" s="31" t="n">
        <v>65.97248637669666</v>
      </c>
      <c r="AC15" s="31" t="n">
        <v>26.16165082625938</v>
      </c>
      <c r="AD15" s="31" t="n">
        <v>19.8979775980442</v>
      </c>
      <c r="AE15" s="31" t="n">
        <v>1.739052060901881</v>
      </c>
      <c r="AF15" s="31" t="n">
        <v>0.4430004861057208</v>
      </c>
      <c r="AG15" s="31" t="n">
        <v>0.9629095335404779</v>
      </c>
      <c r="AH15" s="31" t="n">
        <v>1.463473130270453</v>
      </c>
      <c r="AI15" s="31" t="n">
        <v>1.09948547378449</v>
      </c>
      <c r="AJ15" s="31" t="n">
        <v>0.8683066695579343</v>
      </c>
      <c r="AK15" s="31" t="n">
        <v>0.8049371052338098</v>
      </c>
      <c r="AL15" s="31" t="n">
        <v>5.055434187583701</v>
      </c>
      <c r="AM15" s="31" t="n">
        <v>0.09354918935086445</v>
      </c>
      <c r="AN15" s="31" t="n">
        <v>0.5384004487016558</v>
      </c>
      <c r="AO15" s="31" t="n">
        <v>5.321939293216591</v>
      </c>
      <c r="AP15" s="31" t="n">
        <v>532.2671998258306</v>
      </c>
      <c r="AQ15" s="31" t="n">
        <v>2.542667467210465</v>
      </c>
      <c r="AR15" s="31" t="n">
        <v>261.3376153927793</v>
      </c>
      <c r="AS15" s="31" t="n">
        <v>0.6628230497287364</v>
      </c>
      <c r="AT15" s="31" t="n">
        <v>0.02428818410628393</v>
      </c>
      <c r="AU15" s="31" t="n">
        <v>0.2750900650300634</v>
      </c>
      <c r="AV15" s="31" t="n">
        <v>10.38972069280164</v>
      </c>
      <c r="AW15" s="31" t="n">
        <v>161.9498759694689</v>
      </c>
      <c r="AX15" s="31" t="n">
        <v>860.862914775054</v>
      </c>
      <c r="AY15" s="31" t="n">
        <v>0.3046531459272868</v>
      </c>
      <c r="AZ15" s="31" t="n">
        <v>0.9038453648471934</v>
      </c>
      <c r="BA15" s="31" t="n">
        <v>64.60366202614752</v>
      </c>
      <c r="BB15" s="31" t="n">
        <v>2.329242736003331</v>
      </c>
      <c r="BC15" s="31" t="n">
        <v>21.8432237114819</v>
      </c>
      <c r="BD15" s="31" t="n">
        <v>17.02705287734136</v>
      </c>
      <c r="BE15" s="31" t="n">
        <v>3.282348373071989</v>
      </c>
      <c r="BF15" s="31" t="n">
        <v>10.57653616757813</v>
      </c>
      <c r="BG15" s="31" t="n">
        <v>4.501044634250754</v>
      </c>
      <c r="BH15" s="31" t="n">
        <v>0.6747360876685777</v>
      </c>
      <c r="BI15" s="31" t="n">
        <v>15.87432766228033</v>
      </c>
      <c r="BJ15" s="31" t="n">
        <v>0.2350133943222011</v>
      </c>
      <c r="BK15" s="31" t="n">
        <v>212.4442711382732</v>
      </c>
      <c r="BL15" s="31" t="n">
        <v>97.63742874740569</v>
      </c>
      <c r="BM15" s="31" t="n">
        <v>9.128846209367859</v>
      </c>
      <c r="BN15" s="31" t="n">
        <v>56.3436036125251</v>
      </c>
      <c r="BO15" s="31" t="n">
        <v>74.90010945466814</v>
      </c>
      <c r="BP15" s="31" t="n">
        <v>1.547822057505915</v>
      </c>
      <c r="BQ15" s="31" t="n">
        <v>33.58135092432096</v>
      </c>
      <c r="BR15" s="31" t="n">
        <v>0</v>
      </c>
      <c r="BS15" s="31">
        <f>SUM(C15:BR15)</f>
        <v/>
      </c>
      <c r="BT15" s="31" t="n">
        <v>0</v>
      </c>
      <c r="BU15" s="31" t="n">
        <v>0</v>
      </c>
      <c r="BV15" s="31" t="n">
        <v>28857.33114751457</v>
      </c>
      <c r="BW15" s="31" t="n">
        <v>0</v>
      </c>
      <c r="BX15" s="31">
        <f>SUM(BT15:BW15)</f>
        <v/>
      </c>
      <c r="BY15" s="31">
        <f>BS15+BX15</f>
        <v/>
      </c>
    </row>
    <row r="16">
      <c r="A16" s="28" t="inlineStr">
        <is>
          <t>0280</t>
        </is>
      </c>
      <c r="B16" s="28" t="inlineStr">
        <is>
          <t>Produção florestal; pesca e aquicultura</t>
        </is>
      </c>
      <c r="C16" s="29" t="n">
        <v>825.9497991449689</v>
      </c>
      <c r="D16" s="29" t="n">
        <v>948.6375952531199</v>
      </c>
      <c r="E16" s="29" t="n">
        <v>1766.560521163916</v>
      </c>
      <c r="F16" s="29" t="n">
        <v>1.814054632339805</v>
      </c>
      <c r="G16" s="29" t="n">
        <v>0.5246500144459016</v>
      </c>
      <c r="H16" s="29" t="n">
        <v>0.07044610548265665</v>
      </c>
      <c r="I16" s="29" t="n">
        <v>0.08274041909486568</v>
      </c>
      <c r="J16" s="29" t="n">
        <v>1044.292199566902</v>
      </c>
      <c r="K16" s="29" t="n">
        <v>0.6854342326462015</v>
      </c>
      <c r="L16" s="29" t="n">
        <v>245.4169790210682</v>
      </c>
      <c r="M16" s="29" t="n">
        <v>9.763764282846267</v>
      </c>
      <c r="N16" s="29" t="n">
        <v>15.42683862851929</v>
      </c>
      <c r="O16" s="29" t="n">
        <v>65.32365088931556</v>
      </c>
      <c r="P16" s="29" t="n">
        <v>19.97063324016868</v>
      </c>
      <c r="Q16" s="29" t="n">
        <v>17.01365722887912</v>
      </c>
      <c r="R16" s="29" t="n">
        <v>2424.095347647237</v>
      </c>
      <c r="S16" s="29" t="n">
        <v>2405.190424525307</v>
      </c>
      <c r="T16" s="29" t="n">
        <v>0.02106019640769807</v>
      </c>
      <c r="U16" s="29" t="n">
        <v>0.02567574933780952</v>
      </c>
      <c r="V16" s="29" t="n">
        <v>1.621309945670917</v>
      </c>
      <c r="W16" s="29" t="n">
        <v>124.3067925027212</v>
      </c>
      <c r="X16" s="29" t="n">
        <v>2.208281648201908</v>
      </c>
      <c r="Y16" s="29" t="n">
        <v>0.0417425874309689</v>
      </c>
      <c r="Z16" s="29" t="n">
        <v>0.2785944759098102</v>
      </c>
      <c r="AA16" s="29" t="n">
        <v>1171.793239853072</v>
      </c>
      <c r="AB16" s="29" t="n">
        <v>54.28214025116679</v>
      </c>
      <c r="AC16" s="29" t="n">
        <v>398.5371185016893</v>
      </c>
      <c r="AD16" s="29" t="n">
        <v>1.055374569729361</v>
      </c>
      <c r="AE16" s="29" t="n">
        <v>9.52493616438791</v>
      </c>
      <c r="AF16" s="29" t="n">
        <v>0.03805969232173362</v>
      </c>
      <c r="AG16" s="29" t="n">
        <v>0.06564568210130542</v>
      </c>
      <c r="AH16" s="29" t="n">
        <v>0.0943144541551444</v>
      </c>
      <c r="AI16" s="29" t="n">
        <v>0.06484159891545213</v>
      </c>
      <c r="AJ16" s="29" t="n">
        <v>0.06069566393992518</v>
      </c>
      <c r="AK16" s="29" t="n">
        <v>0.04310001854068242</v>
      </c>
      <c r="AL16" s="29" t="n">
        <v>2.237499464098801</v>
      </c>
      <c r="AM16" s="29" t="n">
        <v>0.009011286438565866</v>
      </c>
      <c r="AN16" s="29" t="n">
        <v>0.05850358785905279</v>
      </c>
      <c r="AO16" s="29" t="n">
        <v>0.3157145344286102</v>
      </c>
      <c r="AP16" s="29" t="n">
        <v>397.7926839397187</v>
      </c>
      <c r="AQ16" s="29" t="n">
        <v>0.2951059512445862</v>
      </c>
      <c r="AR16" s="29" t="n">
        <v>227.0137211062607</v>
      </c>
      <c r="AS16" s="29" t="n">
        <v>0.08940524386242009</v>
      </c>
      <c r="AT16" s="29" t="n">
        <v>0.004108013157206851</v>
      </c>
      <c r="AU16" s="29" t="n">
        <v>0.01920127305388936</v>
      </c>
      <c r="AV16" s="29" t="n">
        <v>0.6280099986778137</v>
      </c>
      <c r="AW16" s="29" t="n">
        <v>33.95026329169715</v>
      </c>
      <c r="AX16" s="29" t="n">
        <v>342.2140217899394</v>
      </c>
      <c r="AY16" s="29" t="n">
        <v>0.03643792641332434</v>
      </c>
      <c r="AZ16" s="29" t="n">
        <v>0.06980735030674419</v>
      </c>
      <c r="BA16" s="29" t="n">
        <v>3.473678944228142</v>
      </c>
      <c r="BB16" s="29" t="n">
        <v>0.1883573184137162</v>
      </c>
      <c r="BC16" s="29" t="n">
        <v>1.414730587201359</v>
      </c>
      <c r="BD16" s="29" t="n">
        <v>0.967395783068998</v>
      </c>
      <c r="BE16" s="29" t="n">
        <v>0.3267960394259369</v>
      </c>
      <c r="BF16" s="29" t="n">
        <v>4.654654863447871</v>
      </c>
      <c r="BG16" s="29" t="n">
        <v>0.07379099345281964</v>
      </c>
      <c r="BH16" s="29" t="n">
        <v>0.08066021256586531</v>
      </c>
      <c r="BI16" s="29" t="n">
        <v>0.9431502698183249</v>
      </c>
      <c r="BJ16" s="29" t="n">
        <v>0.02388826105645115</v>
      </c>
      <c r="BK16" s="29" t="n">
        <v>93.06642426228282</v>
      </c>
      <c r="BL16" s="29" t="n">
        <v>62.87438989013331</v>
      </c>
      <c r="BM16" s="29" t="n">
        <v>5.315706763349905</v>
      </c>
      <c r="BN16" s="29" t="n">
        <v>30.54694581564121</v>
      </c>
      <c r="BO16" s="29" t="n">
        <v>14.94485844443806</v>
      </c>
      <c r="BP16" s="29" t="n">
        <v>0.207497017392809</v>
      </c>
      <c r="BQ16" s="29" t="n">
        <v>2.116042996145326</v>
      </c>
      <c r="BR16" s="29" t="n">
        <v>0</v>
      </c>
      <c r="BS16" s="29">
        <f>SUM(C16:BR16)</f>
        <v/>
      </c>
      <c r="BT16" s="29" t="n">
        <v>0</v>
      </c>
      <c r="BU16" s="29" t="n">
        <v>0</v>
      </c>
      <c r="BV16" s="29" t="n">
        <v>10912.16587722882</v>
      </c>
      <c r="BW16" s="29" t="n">
        <v>0</v>
      </c>
      <c r="BX16" s="29">
        <f>SUM(BT16:BW16)</f>
        <v/>
      </c>
      <c r="BY16" s="29">
        <f>BS16+BX16</f>
        <v/>
      </c>
    </row>
    <row r="17">
      <c r="A17" s="30" t="inlineStr">
        <is>
          <t>0580</t>
        </is>
      </c>
      <c r="B17" s="30" t="inlineStr">
        <is>
          <t>Extração de carvão mineral e de minerais não-metálicos</t>
        </is>
      </c>
      <c r="C17" s="31" t="n">
        <v>164.0011999149396</v>
      </c>
      <c r="D17" s="31" t="n">
        <v>272.8805630176274</v>
      </c>
      <c r="E17" s="31" t="n">
        <v>9.255091799482377</v>
      </c>
      <c r="F17" s="31" t="n">
        <v>294.6125345593179</v>
      </c>
      <c r="G17" s="31" t="n">
        <v>301.2477117722319</v>
      </c>
      <c r="H17" s="31" t="n">
        <v>0.338200970422109</v>
      </c>
      <c r="I17" s="31" t="n">
        <v>1.984762087031561</v>
      </c>
      <c r="J17" s="31" t="n">
        <v>41.89414815802891</v>
      </c>
      <c r="K17" s="31" t="n">
        <v>14.61516211326977</v>
      </c>
      <c r="L17" s="31" t="n">
        <v>185.6943309273172</v>
      </c>
      <c r="M17" s="31" t="n">
        <v>11.79103336003073</v>
      </c>
      <c r="N17" s="31" t="n">
        <v>0.1992243446377722</v>
      </c>
      <c r="O17" s="31" t="n">
        <v>7.152934113979346</v>
      </c>
      <c r="P17" s="31" t="n">
        <v>0.6162579744362342</v>
      </c>
      <c r="Q17" s="31" t="n">
        <v>6.066805512988241</v>
      </c>
      <c r="R17" s="31" t="n">
        <v>0.4485924562608004</v>
      </c>
      <c r="S17" s="31" t="n">
        <v>53.07995408405093</v>
      </c>
      <c r="T17" s="31" t="n">
        <v>0.5205419014014836</v>
      </c>
      <c r="U17" s="31" t="n">
        <v>4.558611991691276</v>
      </c>
      <c r="V17" s="31" t="n">
        <v>104.2104064106694</v>
      </c>
      <c r="W17" s="31" t="n">
        <v>2865.793499436436</v>
      </c>
      <c r="X17" s="31" t="n">
        <v>151.2417848161109</v>
      </c>
      <c r="Y17" s="31" t="n">
        <v>25.54793053723561</v>
      </c>
      <c r="Z17" s="31" t="n">
        <v>5.610007481146721</v>
      </c>
      <c r="AA17" s="31" t="n">
        <v>22.27114712816614</v>
      </c>
      <c r="AB17" s="31" t="n">
        <v>3845.544264399804</v>
      </c>
      <c r="AC17" s="31" t="n">
        <v>1099.603298747412</v>
      </c>
      <c r="AD17" s="31" t="n">
        <v>228.7936771290702</v>
      </c>
      <c r="AE17" s="31" t="n">
        <v>11.78915959971867</v>
      </c>
      <c r="AF17" s="31" t="n">
        <v>0.7406181513186325</v>
      </c>
      <c r="AG17" s="31" t="n">
        <v>40.76329064018491</v>
      </c>
      <c r="AH17" s="31" t="n">
        <v>5.186845784855889</v>
      </c>
      <c r="AI17" s="31" t="n">
        <v>14.44042360271465</v>
      </c>
      <c r="AJ17" s="31" t="n">
        <v>33.42413901609575</v>
      </c>
      <c r="AK17" s="31" t="n">
        <v>5.197295429892009</v>
      </c>
      <c r="AL17" s="31" t="n">
        <v>28.31776466533202</v>
      </c>
      <c r="AM17" s="31" t="n">
        <v>5.683202712249318</v>
      </c>
      <c r="AN17" s="31" t="n">
        <v>123.8679868024863</v>
      </c>
      <c r="AO17" s="31" t="n">
        <v>289.2113822062544</v>
      </c>
      <c r="AP17" s="31" t="n">
        <v>5506.870333011008</v>
      </c>
      <c r="AQ17" s="31" t="n">
        <v>2.343153493980275</v>
      </c>
      <c r="AR17" s="31" t="n">
        <v>59.92153465556155</v>
      </c>
      <c r="AS17" s="31" t="n">
        <v>0.4583245796501871</v>
      </c>
      <c r="AT17" s="31" t="n">
        <v>0.119322399109902</v>
      </c>
      <c r="AU17" s="31" t="n">
        <v>0.09269369982849243</v>
      </c>
      <c r="AV17" s="31" t="n">
        <v>4.550062853045025</v>
      </c>
      <c r="AW17" s="31" t="n">
        <v>2.061589964911553</v>
      </c>
      <c r="AX17" s="31" t="n">
        <v>16.79275914617708</v>
      </c>
      <c r="AY17" s="31" t="n">
        <v>0.710405929084392</v>
      </c>
      <c r="AZ17" s="31" t="n">
        <v>0.5960249651474551</v>
      </c>
      <c r="BA17" s="31" t="n">
        <v>4.360648620689116</v>
      </c>
      <c r="BB17" s="31" t="n">
        <v>0.6658792657635917</v>
      </c>
      <c r="BC17" s="31" t="n">
        <v>2.211523323997906</v>
      </c>
      <c r="BD17" s="31" t="n">
        <v>186.3988223663552</v>
      </c>
      <c r="BE17" s="31" t="n">
        <v>1.543937330833998</v>
      </c>
      <c r="BF17" s="31" t="n">
        <v>1.787980864446428</v>
      </c>
      <c r="BG17" s="31" t="n">
        <v>0.4997480359418852</v>
      </c>
      <c r="BH17" s="31" t="n">
        <v>0.4200263254464532</v>
      </c>
      <c r="BI17" s="31" t="n">
        <v>1.659230250378477</v>
      </c>
      <c r="BJ17" s="31" t="n">
        <v>0.1319569681393526</v>
      </c>
      <c r="BK17" s="31" t="n">
        <v>49.60155157885846</v>
      </c>
      <c r="BL17" s="31" t="n">
        <v>17.48921318390107</v>
      </c>
      <c r="BM17" s="31" t="n">
        <v>1.378669103251211</v>
      </c>
      <c r="BN17" s="31" t="n">
        <v>11.64010811769075</v>
      </c>
      <c r="BO17" s="31" t="n">
        <v>20.16261321004286</v>
      </c>
      <c r="BP17" s="31" t="n">
        <v>1.100451047478208</v>
      </c>
      <c r="BQ17" s="31" t="n">
        <v>8.684923757929909</v>
      </c>
      <c r="BR17" s="31" t="n">
        <v>0</v>
      </c>
      <c r="BS17" s="31">
        <f>SUM(C17:BR17)</f>
        <v/>
      </c>
      <c r="BT17" s="31" t="n">
        <v>0</v>
      </c>
      <c r="BU17" s="31" t="n">
        <v>0</v>
      </c>
      <c r="BV17" s="31" t="n">
        <v>1082.506310104564</v>
      </c>
      <c r="BW17" s="31" t="n">
        <v>0</v>
      </c>
      <c r="BX17" s="31">
        <f>SUM(BT17:BW17)</f>
        <v/>
      </c>
      <c r="BY17" s="31">
        <f>BS17+BX17</f>
        <v/>
      </c>
    </row>
    <row r="18">
      <c r="A18" s="28" t="inlineStr">
        <is>
          <t>0680</t>
        </is>
      </c>
      <c r="B18" s="28" t="inlineStr">
        <is>
          <t>Extração de petróleo e gás, inclusive as atividades de apoio</t>
        </is>
      </c>
      <c r="C18" s="29" t="n">
        <v>8.069554266551956</v>
      </c>
      <c r="D18" s="29" t="n">
        <v>6.634303219735286</v>
      </c>
      <c r="E18" s="29" t="n">
        <v>0.516584860352731</v>
      </c>
      <c r="F18" s="29" t="n">
        <v>1.408979705919239</v>
      </c>
      <c r="G18" s="29" t="n">
        <v>6096.083764515059</v>
      </c>
      <c r="H18" s="29" t="n">
        <v>229.5321124425021</v>
      </c>
      <c r="I18" s="29" t="n">
        <v>15.88922818907692</v>
      </c>
      <c r="J18" s="29" t="n">
        <v>55.21419157108373</v>
      </c>
      <c r="K18" s="29" t="n">
        <v>0.4508318359196651</v>
      </c>
      <c r="L18" s="29" t="n">
        <v>398.8033168551813</v>
      </c>
      <c r="M18" s="29" t="n">
        <v>110.6645772229303</v>
      </c>
      <c r="N18" s="29" t="n">
        <v>0.09110863231795152</v>
      </c>
      <c r="O18" s="29" t="n">
        <v>128.50291877374</v>
      </c>
      <c r="P18" s="29" t="n">
        <v>0.5731435966605692</v>
      </c>
      <c r="Q18" s="29" t="n">
        <v>1.138181569349799</v>
      </c>
      <c r="R18" s="29" t="n">
        <v>26.75659145363718</v>
      </c>
      <c r="S18" s="29" t="n">
        <v>403.0873119900077</v>
      </c>
      <c r="T18" s="29" t="n">
        <v>0.4228122215187862</v>
      </c>
      <c r="U18" s="29" t="n">
        <v>95160.004979249</v>
      </c>
      <c r="V18" s="29" t="n">
        <v>0.285994903383164</v>
      </c>
      <c r="W18" s="29" t="n">
        <v>1030.382363962398</v>
      </c>
      <c r="X18" s="29" t="n">
        <v>71.25129861442483</v>
      </c>
      <c r="Y18" s="29" t="n">
        <v>19.92021547319802</v>
      </c>
      <c r="Z18" s="29" t="n">
        <v>23.60360804096461</v>
      </c>
      <c r="AA18" s="29" t="n">
        <v>84.31339636687719</v>
      </c>
      <c r="AB18" s="29" t="n">
        <v>268.3434437000685</v>
      </c>
      <c r="AC18" s="29" t="n">
        <v>287.2560744208408</v>
      </c>
      <c r="AD18" s="29" t="n">
        <v>199.0806303642142</v>
      </c>
      <c r="AE18" s="29" t="n">
        <v>249.2968474187436</v>
      </c>
      <c r="AF18" s="29" t="n">
        <v>0.7608018417621766</v>
      </c>
      <c r="AG18" s="29" t="n">
        <v>25.72293189996147</v>
      </c>
      <c r="AH18" s="29" t="n">
        <v>86.92108317093683</v>
      </c>
      <c r="AI18" s="29" t="n">
        <v>81.81704665017585</v>
      </c>
      <c r="AJ18" s="29" t="n">
        <v>156.7286684885397</v>
      </c>
      <c r="AK18" s="29" t="n">
        <v>3.05389881315174</v>
      </c>
      <c r="AL18" s="29" t="n">
        <v>1.329753544298666</v>
      </c>
      <c r="AM18" s="29" t="n">
        <v>29.73294443862731</v>
      </c>
      <c r="AN18" s="29" t="n">
        <v>5881.416298389659</v>
      </c>
      <c r="AO18" s="29" t="n">
        <v>206.4007163644412</v>
      </c>
      <c r="AP18" s="29" t="n">
        <v>549.6369328114931</v>
      </c>
      <c r="AQ18" s="29" t="n">
        <v>7.246959740602629</v>
      </c>
      <c r="AR18" s="29" t="n">
        <v>76.86493757390524</v>
      </c>
      <c r="AS18" s="29" t="n">
        <v>48.6149492657667</v>
      </c>
      <c r="AT18" s="29" t="n">
        <v>1.3828049864575</v>
      </c>
      <c r="AU18" s="29" t="n">
        <v>0.2861614939964667</v>
      </c>
      <c r="AV18" s="29" t="n">
        <v>19.36401372003935</v>
      </c>
      <c r="AW18" s="29" t="n">
        <v>1.641195542017499</v>
      </c>
      <c r="AX18" s="29" t="n">
        <v>18.61181399272804</v>
      </c>
      <c r="AY18" s="29" t="n">
        <v>0.7179612841038923</v>
      </c>
      <c r="AZ18" s="29" t="n">
        <v>0.7943759641464526</v>
      </c>
      <c r="BA18" s="29" t="n">
        <v>56.0016632063689</v>
      </c>
      <c r="BB18" s="29" t="n">
        <v>1.913290099588736</v>
      </c>
      <c r="BC18" s="29" t="n">
        <v>9.929252581447487</v>
      </c>
      <c r="BD18" s="29" t="n">
        <v>2.725155734144316</v>
      </c>
      <c r="BE18" s="29" t="n">
        <v>5.579653365923396</v>
      </c>
      <c r="BF18" s="29" t="n">
        <v>62.23193975205186</v>
      </c>
      <c r="BG18" s="29" t="n">
        <v>1.39309824717105</v>
      </c>
      <c r="BH18" s="29" t="n">
        <v>2.937206413718412</v>
      </c>
      <c r="BI18" s="29" t="n">
        <v>8.345771270515758</v>
      </c>
      <c r="BJ18" s="29" t="n">
        <v>0.4158470762711669</v>
      </c>
      <c r="BK18" s="29" t="n">
        <v>383.1564820440138</v>
      </c>
      <c r="BL18" s="29" t="n">
        <v>2.311785047592588</v>
      </c>
      <c r="BM18" s="29" t="n">
        <v>4.860522988508116</v>
      </c>
      <c r="BN18" s="29" t="n">
        <v>1.327279389963311</v>
      </c>
      <c r="BO18" s="29" t="n">
        <v>2.457788861332123</v>
      </c>
      <c r="BP18" s="29" t="n">
        <v>4.771181316959225</v>
      </c>
      <c r="BQ18" s="29" t="n">
        <v>10.15021411384968</v>
      </c>
      <c r="BR18" s="29" t="n">
        <v>0</v>
      </c>
      <c r="BS18" s="29">
        <f>SUM(C18:BR18)</f>
        <v/>
      </c>
      <c r="BT18" s="29" t="n">
        <v>0</v>
      </c>
      <c r="BU18" s="29" t="n">
        <v>0</v>
      </c>
      <c r="BV18" s="29" t="n">
        <v>46389.86725307809</v>
      </c>
      <c r="BW18" s="29" t="n">
        <v>0</v>
      </c>
      <c r="BX18" s="29">
        <f>SUM(BT18:BW18)</f>
        <v/>
      </c>
      <c r="BY18" s="29">
        <f>BS18+BX18</f>
        <v/>
      </c>
    </row>
    <row r="19">
      <c r="A19" s="30" t="inlineStr">
        <is>
          <t>0791</t>
        </is>
      </c>
      <c r="B19" s="30" t="inlineStr">
        <is>
          <t>Extração de minério de ferro, inclusive beneficiamentos e a aglomeração</t>
        </is>
      </c>
      <c r="C19" s="31" t="n">
        <v>0</v>
      </c>
      <c r="D19" s="31" t="n">
        <v>0</v>
      </c>
      <c r="E19" s="31" t="n">
        <v>0</v>
      </c>
      <c r="F19" s="31" t="n">
        <v>0.006360263496630575</v>
      </c>
      <c r="G19" s="31" t="n">
        <v>0.02777945528111601</v>
      </c>
      <c r="H19" s="31" t="n">
        <v>1157.661569326616</v>
      </c>
      <c r="I19" s="31" t="n">
        <v>21.9331668088143</v>
      </c>
      <c r="J19" s="31" t="n">
        <v>0.3116529113348981</v>
      </c>
      <c r="K19" s="31" t="n">
        <v>0.05724237146967518</v>
      </c>
      <c r="L19" s="31" t="n">
        <v>0.1844476414022867</v>
      </c>
      <c r="M19" s="31" t="n">
        <v>0.3370939653214205</v>
      </c>
      <c r="N19" s="31" t="n">
        <v>0.09540395244945862</v>
      </c>
      <c r="O19" s="31" t="n">
        <v>0</v>
      </c>
      <c r="P19" s="31" t="n">
        <v>0.06996289846293632</v>
      </c>
      <c r="Q19" s="31" t="n">
        <v>0.1208450064359809</v>
      </c>
      <c r="R19" s="31" t="n">
        <v>0.03816158097978345</v>
      </c>
      <c r="S19" s="31" t="n">
        <v>0.1272052699326115</v>
      </c>
      <c r="T19" s="31" t="n">
        <v>0.006360263496630575</v>
      </c>
      <c r="U19" s="31" t="n">
        <v>0</v>
      </c>
      <c r="V19" s="31" t="n">
        <v>0</v>
      </c>
      <c r="W19" s="31" t="n">
        <v>0.4134171272809874</v>
      </c>
      <c r="X19" s="31" t="n">
        <v>0.1208450064359809</v>
      </c>
      <c r="Y19" s="31" t="n">
        <v>0.2862118573483758</v>
      </c>
      <c r="Z19" s="31" t="n">
        <v>0.8904368895282806</v>
      </c>
      <c r="AA19" s="31" t="n">
        <v>0.1526463239191338</v>
      </c>
      <c r="AB19" s="31" t="n">
        <v>170.4450025534456</v>
      </c>
      <c r="AC19" s="31" t="n">
        <v>12643.75183103707</v>
      </c>
      <c r="AD19" s="31" t="n">
        <v>5.727670499286372</v>
      </c>
      <c r="AE19" s="31" t="n">
        <v>0.04452184447641402</v>
      </c>
      <c r="AF19" s="31" t="n">
        <v>0.2544105398652231</v>
      </c>
      <c r="AG19" s="31" t="n">
        <v>0.5787839781933823</v>
      </c>
      <c r="AH19" s="31" t="n">
        <v>0.5724237146967517</v>
      </c>
      <c r="AI19" s="31" t="n">
        <v>1.481941394714924</v>
      </c>
      <c r="AJ19" s="31" t="n">
        <v>0.6953630744607896</v>
      </c>
      <c r="AK19" s="31" t="n">
        <v>0.1717271144090255</v>
      </c>
      <c r="AL19" s="31" t="n">
        <v>0.1144847429393504</v>
      </c>
      <c r="AM19" s="31" t="n">
        <v>0.006360263496630575</v>
      </c>
      <c r="AN19" s="31" t="n">
        <v>0.3561747558113122</v>
      </c>
      <c r="AO19" s="31" t="n">
        <v>0.03816158097978345</v>
      </c>
      <c r="AP19" s="31" t="n">
        <v>0.1208450064359809</v>
      </c>
      <c r="AQ19" s="31" t="n">
        <v>0</v>
      </c>
      <c r="AR19" s="31" t="n">
        <v>0.5024608162338154</v>
      </c>
      <c r="AS19" s="31" t="n">
        <v>0</v>
      </c>
      <c r="AT19" s="31" t="n">
        <v>0</v>
      </c>
      <c r="AU19" s="31" t="n">
        <v>0</v>
      </c>
      <c r="AV19" s="31" t="n">
        <v>0</v>
      </c>
      <c r="AW19" s="31" t="n">
        <v>0</v>
      </c>
      <c r="AX19" s="31" t="n">
        <v>0</v>
      </c>
      <c r="AY19" s="31" t="n">
        <v>0.01272052699326115</v>
      </c>
      <c r="AZ19" s="31" t="n">
        <v>0</v>
      </c>
      <c r="BA19" s="31" t="n">
        <v>0.4006966002877262</v>
      </c>
      <c r="BB19" s="31" t="n">
        <v>0.2289694858787007</v>
      </c>
      <c r="BC19" s="31" t="n">
        <v>0.04452184447641402</v>
      </c>
      <c r="BD19" s="31" t="n">
        <v>0</v>
      </c>
      <c r="BE19" s="31" t="n">
        <v>0</v>
      </c>
      <c r="BF19" s="31" t="n">
        <v>12.51388896696796</v>
      </c>
      <c r="BG19" s="31" t="n">
        <v>0</v>
      </c>
      <c r="BH19" s="31" t="n">
        <v>0.1272052699326115</v>
      </c>
      <c r="BI19" s="31" t="n">
        <v>0.0254410539865223</v>
      </c>
      <c r="BJ19" s="31" t="n">
        <v>0</v>
      </c>
      <c r="BK19" s="31" t="n">
        <v>0</v>
      </c>
      <c r="BL19" s="31" t="n">
        <v>0</v>
      </c>
      <c r="BM19" s="31" t="n">
        <v>0.006360263496630575</v>
      </c>
      <c r="BN19" s="31" t="n">
        <v>0</v>
      </c>
      <c r="BO19" s="31" t="n">
        <v>0.03816158097978345</v>
      </c>
      <c r="BP19" s="31" t="n">
        <v>0</v>
      </c>
      <c r="BQ19" s="31" t="n">
        <v>0</v>
      </c>
      <c r="BR19" s="31" t="n">
        <v>0</v>
      </c>
      <c r="BS19" s="31">
        <f>SUM(C19:BR19)</f>
        <v/>
      </c>
      <c r="BT19" s="31" t="n">
        <v>0</v>
      </c>
      <c r="BU19" s="31" t="n">
        <v>0</v>
      </c>
      <c r="BV19" s="31" t="n">
        <v>63041.89906257048</v>
      </c>
      <c r="BW19" s="31" t="n">
        <v>0</v>
      </c>
      <c r="BX19" s="31">
        <f>SUM(BT19:BW19)</f>
        <v/>
      </c>
      <c r="BY19" s="31">
        <f>BS19+BX19</f>
        <v/>
      </c>
    </row>
    <row r="20">
      <c r="A20" s="28" t="inlineStr">
        <is>
          <t>0792</t>
        </is>
      </c>
      <c r="B20" s="28" t="inlineStr">
        <is>
          <t>Extração de minerais metálicos não-ferrosos, inclusive beneficiamentos</t>
        </is>
      </c>
      <c r="C20" s="29" t="n">
        <v>1.140592122005051</v>
      </c>
      <c r="D20" s="29" t="n">
        <v>1.483390121395764</v>
      </c>
      <c r="E20" s="29" t="n">
        <v>0.04236420517948367</v>
      </c>
      <c r="F20" s="29" t="n">
        <v>1.075474523273112</v>
      </c>
      <c r="G20" s="29" t="n">
        <v>29.91912915368218</v>
      </c>
      <c r="H20" s="29" t="n">
        <v>6.286116148954359</v>
      </c>
      <c r="I20" s="29" t="n">
        <v>557.5206683233258</v>
      </c>
      <c r="J20" s="29" t="n">
        <v>0.3033713912763785</v>
      </c>
      <c r="K20" s="29" t="n">
        <v>0.09452011609005234</v>
      </c>
      <c r="L20" s="29" t="n">
        <v>1.284318076065701</v>
      </c>
      <c r="M20" s="29" t="n">
        <v>0.5959568973194406</v>
      </c>
      <c r="N20" s="29" t="n">
        <v>0</v>
      </c>
      <c r="O20" s="29" t="n">
        <v>0</v>
      </c>
      <c r="P20" s="29" t="n">
        <v>0</v>
      </c>
      <c r="Q20" s="29" t="n">
        <v>0</v>
      </c>
      <c r="R20" s="29" t="n">
        <v>0</v>
      </c>
      <c r="S20" s="29" t="n">
        <v>0.2290889885857402</v>
      </c>
      <c r="T20" s="29" t="n">
        <v>0.222822508810658</v>
      </c>
      <c r="U20" s="29" t="n">
        <v>0</v>
      </c>
      <c r="V20" s="29" t="n">
        <v>0.3742579155672823</v>
      </c>
      <c r="W20" s="29" t="n">
        <v>8.649750473492665</v>
      </c>
      <c r="X20" s="29" t="n">
        <v>0.4544270127629387</v>
      </c>
      <c r="Y20" s="29" t="n">
        <v>0.1097159141508594</v>
      </c>
      <c r="Z20" s="29" t="n">
        <v>0.02567608665437194</v>
      </c>
      <c r="AA20" s="29" t="n">
        <v>0.2264982443558611</v>
      </c>
      <c r="AB20" s="29" t="n">
        <v>38.71440396180242</v>
      </c>
      <c r="AC20" s="29" t="n">
        <v>1325.164054187476</v>
      </c>
      <c r="AD20" s="29" t="n">
        <v>5565.461415575875</v>
      </c>
      <c r="AE20" s="29" t="n">
        <v>1.620988707226836</v>
      </c>
      <c r="AF20" s="29" t="n">
        <v>0.1479492649216974</v>
      </c>
      <c r="AG20" s="29" t="n">
        <v>6.196735323609292</v>
      </c>
      <c r="AH20" s="29" t="n">
        <v>1.250388431641514</v>
      </c>
      <c r="AI20" s="29" t="n">
        <v>1.596736026724034</v>
      </c>
      <c r="AJ20" s="29" t="n">
        <v>11.61246466781627</v>
      </c>
      <c r="AK20" s="29" t="n">
        <v>0.6993216869675</v>
      </c>
      <c r="AL20" s="29" t="n">
        <v>1.94191855083507</v>
      </c>
      <c r="AM20" s="29" t="n">
        <v>0.3331445089455185</v>
      </c>
      <c r="AN20" s="29" t="n">
        <v>0.04705334677220386</v>
      </c>
      <c r="AO20" s="29" t="n">
        <v>1.082996683920671</v>
      </c>
      <c r="AP20" s="29" t="n">
        <v>31.65220826737834</v>
      </c>
      <c r="AQ20" s="29" t="n">
        <v>0.06981921809600142</v>
      </c>
      <c r="AR20" s="29" t="n">
        <v>0.1517518897687449</v>
      </c>
      <c r="AS20" s="29" t="n">
        <v>0.01074706634135006</v>
      </c>
      <c r="AT20" s="29" t="n">
        <v>0</v>
      </c>
      <c r="AU20" s="29" t="n">
        <v>0</v>
      </c>
      <c r="AV20" s="29" t="n">
        <v>0.01261543535620053</v>
      </c>
      <c r="AW20" s="29" t="n">
        <v>0.06981921809600142</v>
      </c>
      <c r="AX20" s="29" t="n">
        <v>0.2098138747884941</v>
      </c>
      <c r="AY20" s="29" t="n">
        <v>0</v>
      </c>
      <c r="AZ20" s="29" t="n">
        <v>0</v>
      </c>
      <c r="BA20" s="29" t="n">
        <v>0</v>
      </c>
      <c r="BB20" s="29" t="n">
        <v>0</v>
      </c>
      <c r="BC20" s="29" t="n">
        <v>0</v>
      </c>
      <c r="BD20" s="29" t="n">
        <v>0.919348695324003</v>
      </c>
      <c r="BE20" s="29" t="n">
        <v>0</v>
      </c>
      <c r="BF20" s="29" t="n">
        <v>0.6360828358803662</v>
      </c>
      <c r="BG20" s="29" t="n">
        <v>0</v>
      </c>
      <c r="BH20" s="29" t="n">
        <v>0</v>
      </c>
      <c r="BI20" s="29" t="n">
        <v>0.02600409653575563</v>
      </c>
      <c r="BJ20" s="29" t="n">
        <v>0</v>
      </c>
      <c r="BK20" s="29" t="n">
        <v>0.2803279958912269</v>
      </c>
      <c r="BL20" s="29" t="n">
        <v>0.09866785058697292</v>
      </c>
      <c r="BM20" s="29" t="n">
        <v>0</v>
      </c>
      <c r="BN20" s="29" t="n">
        <v>0.05051381018240791</v>
      </c>
      <c r="BO20" s="29" t="n">
        <v>0.02775044859463258</v>
      </c>
      <c r="BP20" s="29" t="n">
        <v>0.0003562205004898032</v>
      </c>
      <c r="BQ20" s="29" t="n">
        <v>0.02137323002938819</v>
      </c>
      <c r="BR20" s="29" t="n">
        <v>0</v>
      </c>
      <c r="BS20" s="29">
        <f>SUM(C20:BR20)</f>
        <v/>
      </c>
      <c r="BT20" s="29" t="n">
        <v>0</v>
      </c>
      <c r="BU20" s="29" t="n">
        <v>0</v>
      </c>
      <c r="BV20" s="29" t="n">
        <v>2932.85509069917</v>
      </c>
      <c r="BW20" s="29" t="n">
        <v>0</v>
      </c>
      <c r="BX20" s="29">
        <f>SUM(BT20:BW20)</f>
        <v/>
      </c>
      <c r="BY20" s="29">
        <f>BS20+BX20</f>
        <v/>
      </c>
    </row>
    <row r="21">
      <c r="A21" s="30" t="inlineStr">
        <is>
          <t>1091</t>
        </is>
      </c>
      <c r="B21" s="30" t="inlineStr">
        <is>
          <t>Abate e produtos de carne, inclusive os produtos do laticínio e da pesca</t>
        </is>
      </c>
      <c r="C21" s="31" t="n">
        <v>146.1746486717638</v>
      </c>
      <c r="D21" s="31" t="n">
        <v>2219.4897869474</v>
      </c>
      <c r="E21" s="31" t="n">
        <v>87.86322748516612</v>
      </c>
      <c r="F21" s="31" t="n">
        <v>2.414021003057064</v>
      </c>
      <c r="G21" s="31" t="n">
        <v>5.178058194928619</v>
      </c>
      <c r="H21" s="31" t="n">
        <v>7.740366972007734</v>
      </c>
      <c r="I21" s="31" t="n">
        <v>2.585389743294229</v>
      </c>
      <c r="J21" s="31" t="n">
        <v>12758.93449572468</v>
      </c>
      <c r="K21" s="31" t="n">
        <v>24.54474221176681</v>
      </c>
      <c r="L21" s="31" t="n">
        <v>1256.717655375426</v>
      </c>
      <c r="M21" s="31" t="n">
        <v>20.98921562750757</v>
      </c>
      <c r="N21" s="31" t="n">
        <v>14.93860080961834</v>
      </c>
      <c r="O21" s="31" t="n">
        <v>42.68000499385423</v>
      </c>
      <c r="P21" s="31" t="n">
        <v>39.89701686316295</v>
      </c>
      <c r="Q21" s="31" t="n">
        <v>1869.481880411867</v>
      </c>
      <c r="R21" s="31" t="n">
        <v>14.13785540821971</v>
      </c>
      <c r="S21" s="31" t="n">
        <v>99.22016262928132</v>
      </c>
      <c r="T21" s="31" t="n">
        <v>5.229828311372355</v>
      </c>
      <c r="U21" s="31" t="n">
        <v>26.06873444224891</v>
      </c>
      <c r="V21" s="31" t="n">
        <v>304.8980154924551</v>
      </c>
      <c r="W21" s="31" t="n">
        <v>54.70118047607784</v>
      </c>
      <c r="X21" s="31" t="n">
        <v>75.41779013662372</v>
      </c>
      <c r="Y21" s="31" t="n">
        <v>698.9194873431388</v>
      </c>
      <c r="Z21" s="31" t="n">
        <v>77.18078180149752</v>
      </c>
      <c r="AA21" s="31" t="n">
        <v>92.87505132119814</v>
      </c>
      <c r="AB21" s="31" t="n">
        <v>65.77607242537019</v>
      </c>
      <c r="AC21" s="31" t="n">
        <v>87.29272302136731</v>
      </c>
      <c r="AD21" s="31" t="n">
        <v>27.79461957304589</v>
      </c>
      <c r="AE21" s="31" t="n">
        <v>111.1393388334795</v>
      </c>
      <c r="AF21" s="31" t="n">
        <v>49.85449145364532</v>
      </c>
      <c r="AG21" s="31" t="n">
        <v>67.03839672181017</v>
      </c>
      <c r="AH21" s="31" t="n">
        <v>182.8571318333444</v>
      </c>
      <c r="AI21" s="31" t="n">
        <v>14.21474742594879</v>
      </c>
      <c r="AJ21" s="31" t="n">
        <v>3.358808847597849</v>
      </c>
      <c r="AK21" s="31" t="n">
        <v>11.52469121820439</v>
      </c>
      <c r="AL21" s="31" t="n">
        <v>38.27414445948613</v>
      </c>
      <c r="AM21" s="31" t="n">
        <v>9.348363501441078</v>
      </c>
      <c r="AN21" s="31" t="n">
        <v>0.4749739672944562</v>
      </c>
      <c r="AO21" s="31" t="n">
        <v>0.8210145662043179</v>
      </c>
      <c r="AP21" s="31" t="n">
        <v>7.367841801169003</v>
      </c>
      <c r="AQ21" s="31" t="n">
        <v>1.255056063262336</v>
      </c>
      <c r="AR21" s="31" t="n">
        <v>503.1105772359746</v>
      </c>
      <c r="AS21" s="31" t="n">
        <v>0.3585355216029028</v>
      </c>
      <c r="AT21" s="31" t="n">
        <v>0.2131291062438566</v>
      </c>
      <c r="AU21" s="31" t="n">
        <v>0.02854363798958871</v>
      </c>
      <c r="AV21" s="31" t="n">
        <v>0.7702592343266513</v>
      </c>
      <c r="AW21" s="31" t="n">
        <v>266.3537322942908</v>
      </c>
      <c r="AX21" s="31" t="n">
        <v>8180.135318986578</v>
      </c>
      <c r="AY21" s="31" t="n">
        <v>42.34630757069139</v>
      </c>
      <c r="AZ21" s="31" t="n">
        <v>35.9302640429302</v>
      </c>
      <c r="BA21" s="31" t="n">
        <v>279.569162277981</v>
      </c>
      <c r="BB21" s="31" t="n">
        <v>18.0010347561968</v>
      </c>
      <c r="BC21" s="31" t="n">
        <v>3.806986485537745</v>
      </c>
      <c r="BD21" s="31" t="n">
        <v>0.3374981016121579</v>
      </c>
      <c r="BE21" s="31" t="n">
        <v>20.07045044992627</v>
      </c>
      <c r="BF21" s="31" t="n">
        <v>7.771860383665083</v>
      </c>
      <c r="BG21" s="31" t="n">
        <v>11.84409266117886</v>
      </c>
      <c r="BH21" s="31" t="n">
        <v>0.2754705878395464</v>
      </c>
      <c r="BI21" s="31" t="n">
        <v>24.73900021490802</v>
      </c>
      <c r="BJ21" s="31" t="n">
        <v>2.726751639204515</v>
      </c>
      <c r="BK21" s="31" t="n">
        <v>1654.2077944379</v>
      </c>
      <c r="BL21" s="31" t="n">
        <v>1176.242531390009</v>
      </c>
      <c r="BM21" s="31" t="n">
        <v>112.3615207018781</v>
      </c>
      <c r="BN21" s="31" t="n">
        <v>585.1350336334468</v>
      </c>
      <c r="BO21" s="31" t="n">
        <v>361.1185155608853</v>
      </c>
      <c r="BP21" s="31" t="n">
        <v>6.936357725115926</v>
      </c>
      <c r="BQ21" s="31" t="n">
        <v>220.2718967356165</v>
      </c>
      <c r="BR21" s="31" t="n">
        <v>0</v>
      </c>
      <c r="BS21" s="31">
        <f>SUM(C21:BR21)</f>
        <v/>
      </c>
      <c r="BT21" s="31" t="n">
        <v>0</v>
      </c>
      <c r="BU21" s="31" t="n">
        <v>0</v>
      </c>
      <c r="BV21" s="31" t="n">
        <v>129864.8915928248</v>
      </c>
      <c r="BW21" s="31" t="n">
        <v>0</v>
      </c>
      <c r="BX21" s="31">
        <f>SUM(BT21:BW21)</f>
        <v/>
      </c>
      <c r="BY21" s="31">
        <f>BS21+BX21</f>
        <v/>
      </c>
    </row>
    <row r="22">
      <c r="A22" s="28" t="inlineStr">
        <is>
          <t>1092</t>
        </is>
      </c>
      <c r="B22" s="28" t="inlineStr">
        <is>
          <t>Fabricação e refino de açúcar</t>
        </is>
      </c>
      <c r="C22" s="29" t="n">
        <v>78.09563482393301</v>
      </c>
      <c r="D22" s="29" t="n">
        <v>122.1221911455565</v>
      </c>
      <c r="E22" s="29" t="n">
        <v>4.016387360777068</v>
      </c>
      <c r="F22" s="29" t="n">
        <v>4.684403925349017</v>
      </c>
      <c r="G22" s="29" t="n">
        <v>154.6812121407146</v>
      </c>
      <c r="H22" s="29" t="n">
        <v>14.23225536207189</v>
      </c>
      <c r="I22" s="29" t="n">
        <v>2.798742193870056</v>
      </c>
      <c r="J22" s="29" t="n">
        <v>395.5286291755882</v>
      </c>
      <c r="K22" s="29" t="n">
        <v>1851.567059811439</v>
      </c>
      <c r="L22" s="29" t="n">
        <v>4220.784219557038</v>
      </c>
      <c r="M22" s="29" t="n">
        <v>987.8121752127217</v>
      </c>
      <c r="N22" s="29" t="n">
        <v>1.080425056836884</v>
      </c>
      <c r="O22" s="29" t="n">
        <v>8.357339756661817</v>
      </c>
      <c r="P22" s="29" t="n">
        <v>3.071245741546683</v>
      </c>
      <c r="Q22" s="29" t="n">
        <v>4.33958254356391</v>
      </c>
      <c r="R22" s="29" t="n">
        <v>3.48993673408591</v>
      </c>
      <c r="S22" s="29" t="n">
        <v>13.64485884990142</v>
      </c>
      <c r="T22" s="29" t="n">
        <v>0.8799167319093817</v>
      </c>
      <c r="U22" s="29" t="n">
        <v>6904.785806745111</v>
      </c>
      <c r="V22" s="29" t="n">
        <v>579.0080569562023</v>
      </c>
      <c r="W22" s="29" t="n">
        <v>124.6648488603836</v>
      </c>
      <c r="X22" s="29" t="n">
        <v>636.7174610957668</v>
      </c>
      <c r="Y22" s="29" t="n">
        <v>397.1958765387432</v>
      </c>
      <c r="Z22" s="29" t="n">
        <v>266.5075241802961</v>
      </c>
      <c r="AA22" s="29" t="n">
        <v>13.04031179291881</v>
      </c>
      <c r="AB22" s="29" t="n">
        <v>16.23457288481752</v>
      </c>
      <c r="AC22" s="29" t="n">
        <v>17.8678806923973</v>
      </c>
      <c r="AD22" s="29" t="n">
        <v>9.043898433055714</v>
      </c>
      <c r="AE22" s="29" t="n">
        <v>22.47800591340744</v>
      </c>
      <c r="AF22" s="29" t="n">
        <v>3.778255204596319</v>
      </c>
      <c r="AG22" s="29" t="n">
        <v>9.699978488679092</v>
      </c>
      <c r="AH22" s="29" t="n">
        <v>90.18652135373063</v>
      </c>
      <c r="AI22" s="29" t="n">
        <v>16.81880536170413</v>
      </c>
      <c r="AJ22" s="29" t="n">
        <v>6.251335249874789</v>
      </c>
      <c r="AK22" s="29" t="n">
        <v>4.424427029043517</v>
      </c>
      <c r="AL22" s="29" t="n">
        <v>4.580510283502613</v>
      </c>
      <c r="AM22" s="29" t="n">
        <v>33.41195656807018</v>
      </c>
      <c r="AN22" s="29" t="n">
        <v>207.3024333943271</v>
      </c>
      <c r="AO22" s="29" t="n">
        <v>13.50450793484852</v>
      </c>
      <c r="AP22" s="29" t="n">
        <v>161.9243652119413</v>
      </c>
      <c r="AQ22" s="29" t="n">
        <v>55.66556891177941</v>
      </c>
      <c r="AR22" s="29" t="n">
        <v>147.9162875583791</v>
      </c>
      <c r="AS22" s="29" t="n">
        <v>216.2490489487038</v>
      </c>
      <c r="AT22" s="29" t="n">
        <v>0.9576656303838004</v>
      </c>
      <c r="AU22" s="29" t="n">
        <v>0.21495242850902</v>
      </c>
      <c r="AV22" s="29" t="n">
        <v>21.0793678257274</v>
      </c>
      <c r="AW22" s="29" t="n">
        <v>6.366376310082152</v>
      </c>
      <c r="AX22" s="29" t="n">
        <v>775.3419269663999</v>
      </c>
      <c r="AY22" s="29" t="n">
        <v>3.291731308533479</v>
      </c>
      <c r="AZ22" s="29" t="n">
        <v>3.958706001268786</v>
      </c>
      <c r="BA22" s="29" t="n">
        <v>25.05981037481801</v>
      </c>
      <c r="BB22" s="29" t="n">
        <v>3.18894672965644</v>
      </c>
      <c r="BC22" s="29" t="n">
        <v>14.49803355730005</v>
      </c>
      <c r="BD22" s="29" t="n">
        <v>2.560318800695366</v>
      </c>
      <c r="BE22" s="29" t="n">
        <v>6.341115230683944</v>
      </c>
      <c r="BF22" s="29" t="n">
        <v>28.7856342192372</v>
      </c>
      <c r="BG22" s="29" t="n">
        <v>7.422416680975205</v>
      </c>
      <c r="BH22" s="29" t="n">
        <v>1.097943186924686</v>
      </c>
      <c r="BI22" s="29" t="n">
        <v>25.27730571708348</v>
      </c>
      <c r="BJ22" s="29" t="n">
        <v>25.84319301385077</v>
      </c>
      <c r="BK22" s="29" t="n">
        <v>392.8332366006047</v>
      </c>
      <c r="BL22" s="29" t="n">
        <v>117.5603997911872</v>
      </c>
      <c r="BM22" s="29" t="n">
        <v>15.24946143437608</v>
      </c>
      <c r="BN22" s="29" t="n">
        <v>55.28292670925607</v>
      </c>
      <c r="BO22" s="29" t="n">
        <v>42.11469728175582</v>
      </c>
      <c r="BP22" s="29" t="n">
        <v>4.581767330949833</v>
      </c>
      <c r="BQ22" s="29" t="n">
        <v>53.01608444078813</v>
      </c>
      <c r="BR22" s="29" t="n">
        <v>0</v>
      </c>
      <c r="BS22" s="29">
        <f>SUM(C22:BR22)</f>
        <v/>
      </c>
      <c r="BT22" s="29" t="n">
        <v>0</v>
      </c>
      <c r="BU22" s="29" t="n">
        <v>0</v>
      </c>
      <c r="BV22" s="29" t="n">
        <v>36355.4205442833</v>
      </c>
      <c r="BW22" s="29" t="n">
        <v>0</v>
      </c>
      <c r="BX22" s="29">
        <f>SUM(BT22:BW22)</f>
        <v/>
      </c>
      <c r="BY22" s="29">
        <f>BS22+BX22</f>
        <v/>
      </c>
    </row>
    <row r="23">
      <c r="A23" s="30" t="inlineStr">
        <is>
          <t>1093</t>
        </is>
      </c>
      <c r="B23" s="30" t="inlineStr">
        <is>
          <t>Outros produtos alimentares</t>
        </is>
      </c>
      <c r="C23" s="31" t="n">
        <v>1341.679736322982</v>
      </c>
      <c r="D23" s="31" t="n">
        <v>6889.933584488297</v>
      </c>
      <c r="E23" s="31" t="n">
        <v>422.8153086421071</v>
      </c>
      <c r="F23" s="31" t="n">
        <v>112.7978951802482</v>
      </c>
      <c r="G23" s="31" t="n">
        <v>31.3243410434072</v>
      </c>
      <c r="H23" s="31" t="n">
        <v>18.50995262889736</v>
      </c>
      <c r="I23" s="31" t="n">
        <v>5.939650844919532</v>
      </c>
      <c r="J23" s="31" t="n">
        <v>9959.868487114265</v>
      </c>
      <c r="K23" s="31" t="n">
        <v>29.43819507944636</v>
      </c>
      <c r="L23" s="31" t="n">
        <v>14156.41692026741</v>
      </c>
      <c r="M23" s="31" t="n">
        <v>1379.654670439115</v>
      </c>
      <c r="N23" s="31" t="n">
        <v>8.82311389698817</v>
      </c>
      <c r="O23" s="31" t="n">
        <v>36.11199063042262</v>
      </c>
      <c r="P23" s="31" t="n">
        <v>22.56412387006309</v>
      </c>
      <c r="Q23" s="31" t="n">
        <v>75.06552130097845</v>
      </c>
      <c r="R23" s="31" t="n">
        <v>18.41553377070838</v>
      </c>
      <c r="S23" s="31" t="n">
        <v>438.043927380837</v>
      </c>
      <c r="T23" s="31" t="n">
        <v>13.44553241278381</v>
      </c>
      <c r="U23" s="31" t="n">
        <v>572.3592729113725</v>
      </c>
      <c r="V23" s="31" t="n">
        <v>1128.091724785774</v>
      </c>
      <c r="W23" s="31" t="n">
        <v>214.5508563287326</v>
      </c>
      <c r="X23" s="31" t="n">
        <v>523.2547375093135</v>
      </c>
      <c r="Y23" s="31" t="n">
        <v>523.9595237603398</v>
      </c>
      <c r="Z23" s="31" t="n">
        <v>104.9906214961388</v>
      </c>
      <c r="AA23" s="31" t="n">
        <v>101.9245078670018</v>
      </c>
      <c r="AB23" s="31" t="n">
        <v>54.06582891580176</v>
      </c>
      <c r="AC23" s="31" t="n">
        <v>64.47976721099226</v>
      </c>
      <c r="AD23" s="31" t="n">
        <v>17.63176291132555</v>
      </c>
      <c r="AE23" s="31" t="n">
        <v>60.50624949339383</v>
      </c>
      <c r="AF23" s="31" t="n">
        <v>27.22544085540633</v>
      </c>
      <c r="AG23" s="31" t="n">
        <v>41.59515602756723</v>
      </c>
      <c r="AH23" s="31" t="n">
        <v>106.1076909064063</v>
      </c>
      <c r="AI23" s="31" t="n">
        <v>15.36089402662289</v>
      </c>
      <c r="AJ23" s="31" t="n">
        <v>6.058907241248371</v>
      </c>
      <c r="AK23" s="31" t="n">
        <v>8.559908732481198</v>
      </c>
      <c r="AL23" s="31" t="n">
        <v>36.40729169269024</v>
      </c>
      <c r="AM23" s="31" t="n">
        <v>13.801862950722</v>
      </c>
      <c r="AN23" s="31" t="n">
        <v>5.064216520103503</v>
      </c>
      <c r="AO23" s="31" t="n">
        <v>10.33884167980163</v>
      </c>
      <c r="AP23" s="31" t="n">
        <v>66.9706003664583</v>
      </c>
      <c r="AQ23" s="31" t="n">
        <v>79.41762330864451</v>
      </c>
      <c r="AR23" s="31" t="n">
        <v>1899.216245390766</v>
      </c>
      <c r="AS23" s="31" t="n">
        <v>27.6233644468712</v>
      </c>
      <c r="AT23" s="31" t="n">
        <v>0.3268502642233383</v>
      </c>
      <c r="AU23" s="31" t="n">
        <v>22.64642138714172</v>
      </c>
      <c r="AV23" s="31" t="n">
        <v>15.16277248718188</v>
      </c>
      <c r="AW23" s="31" t="n">
        <v>152.8213760731192</v>
      </c>
      <c r="AX23" s="31" t="n">
        <v>6549.989185318615</v>
      </c>
      <c r="AY23" s="31" t="n">
        <v>22.98331841488663</v>
      </c>
      <c r="AZ23" s="31" t="n">
        <v>20.21141865079655</v>
      </c>
      <c r="BA23" s="31" t="n">
        <v>162.4200055884097</v>
      </c>
      <c r="BB23" s="31" t="n">
        <v>13.37258651656805</v>
      </c>
      <c r="BC23" s="31" t="n">
        <v>166.0258720690477</v>
      </c>
      <c r="BD23" s="31" t="n">
        <v>15.15117617925188</v>
      </c>
      <c r="BE23" s="31" t="n">
        <v>36.75546190883184</v>
      </c>
      <c r="BF23" s="31" t="n">
        <v>18.81792001237546</v>
      </c>
      <c r="BG23" s="31" t="n">
        <v>21.7714640493654</v>
      </c>
      <c r="BH23" s="31" t="n">
        <v>3.557908855985148</v>
      </c>
      <c r="BI23" s="31" t="n">
        <v>26.47738709714741</v>
      </c>
      <c r="BJ23" s="31" t="n">
        <v>4.273231334802256</v>
      </c>
      <c r="BK23" s="31" t="n">
        <v>1101.322857102548</v>
      </c>
      <c r="BL23" s="31" t="n">
        <v>962.9782675558869</v>
      </c>
      <c r="BM23" s="31" t="n">
        <v>91.42353413151673</v>
      </c>
      <c r="BN23" s="31" t="n">
        <v>860.193674705239</v>
      </c>
      <c r="BO23" s="31" t="n">
        <v>316.7204159973004</v>
      </c>
      <c r="BP23" s="31" t="n">
        <v>27.10554084227409</v>
      </c>
      <c r="BQ23" s="31" t="n">
        <v>457.8977264340731</v>
      </c>
      <c r="BR23" s="31" t="n">
        <v>0</v>
      </c>
      <c r="BS23" s="31">
        <f>SUM(C23:BR23)</f>
        <v/>
      </c>
      <c r="BT23" s="31" t="n">
        <v>0</v>
      </c>
      <c r="BU23" s="31" t="n">
        <v>0</v>
      </c>
      <c r="BV23" s="31" t="n">
        <v>119574.2390404147</v>
      </c>
      <c r="BW23" s="31" t="n">
        <v>0</v>
      </c>
      <c r="BX23" s="31">
        <f>SUM(BT23:BW23)</f>
        <v/>
      </c>
      <c r="BY23" s="31">
        <f>BS23+BX23</f>
        <v/>
      </c>
    </row>
    <row r="24">
      <c r="A24" s="28" t="inlineStr">
        <is>
          <t>1100</t>
        </is>
      </c>
      <c r="B24" s="28" t="inlineStr">
        <is>
          <t>Fabricação de bebidas</t>
        </is>
      </c>
      <c r="C24" s="29" t="n">
        <v>0.8283944267839571</v>
      </c>
      <c r="D24" s="29" t="n">
        <v>1.270190467945127</v>
      </c>
      <c r="E24" s="29" t="n">
        <v>0.09792057188974138</v>
      </c>
      <c r="F24" s="29" t="n">
        <v>0.2751989717450445</v>
      </c>
      <c r="G24" s="29" t="n">
        <v>3.997561479076352</v>
      </c>
      <c r="H24" s="29" t="n">
        <v>2.52308623229902</v>
      </c>
      <c r="I24" s="29" t="n">
        <v>0.5525168045780572</v>
      </c>
      <c r="J24" s="29" t="n">
        <v>262.5821728250424</v>
      </c>
      <c r="K24" s="29" t="n">
        <v>1.821327268331215</v>
      </c>
      <c r="L24" s="29" t="n">
        <v>36.03824153806074</v>
      </c>
      <c r="M24" s="29" t="n">
        <v>5126.055181078955</v>
      </c>
      <c r="N24" s="29" t="n">
        <v>0.8411492853998758</v>
      </c>
      <c r="O24" s="29" t="n">
        <v>2.485039913355594</v>
      </c>
      <c r="P24" s="29" t="n">
        <v>2.378035216033877</v>
      </c>
      <c r="Q24" s="29" t="n">
        <v>3.045077943676187</v>
      </c>
      <c r="R24" s="29" t="n">
        <v>1.280690157133458</v>
      </c>
      <c r="S24" s="29" t="n">
        <v>5.497527337976016</v>
      </c>
      <c r="T24" s="29" t="n">
        <v>0.3430476555383756</v>
      </c>
      <c r="U24" s="29" t="n">
        <v>45.29595604896056</v>
      </c>
      <c r="V24" s="29" t="n">
        <v>1.602972413618425</v>
      </c>
      <c r="W24" s="29" t="n">
        <v>4.208554172797599</v>
      </c>
      <c r="X24" s="29" t="n">
        <v>5.633419307257567</v>
      </c>
      <c r="Y24" s="29" t="n">
        <v>4.092304837890624</v>
      </c>
      <c r="Z24" s="29" t="n">
        <v>6.10689221811027</v>
      </c>
      <c r="AA24" s="29" t="n">
        <v>5.136105924748844</v>
      </c>
      <c r="AB24" s="29" t="n">
        <v>3.752867408137798</v>
      </c>
      <c r="AC24" s="29" t="n">
        <v>7.864462173060489</v>
      </c>
      <c r="AD24" s="29" t="n">
        <v>1.773333171513575</v>
      </c>
      <c r="AE24" s="29" t="n">
        <v>16.74518902426989</v>
      </c>
      <c r="AF24" s="29" t="n">
        <v>4.127561964182052</v>
      </c>
      <c r="AG24" s="29" t="n">
        <v>7.348557135096507</v>
      </c>
      <c r="AH24" s="29" t="n">
        <v>25.81075818242238</v>
      </c>
      <c r="AI24" s="29" t="n">
        <v>9.806750210042148</v>
      </c>
      <c r="AJ24" s="29" t="n">
        <v>4.962018409006292</v>
      </c>
      <c r="AK24" s="29" t="n">
        <v>4.278129993765377</v>
      </c>
      <c r="AL24" s="29" t="n">
        <v>3.97596760723289</v>
      </c>
      <c r="AM24" s="29" t="n">
        <v>7.51385319537297</v>
      </c>
      <c r="AN24" s="29" t="n">
        <v>3.695056504181898</v>
      </c>
      <c r="AO24" s="29" t="n">
        <v>1.464442827058785</v>
      </c>
      <c r="AP24" s="29" t="n">
        <v>42.39262505622484</v>
      </c>
      <c r="AQ24" s="29" t="n">
        <v>4.741102676055536</v>
      </c>
      <c r="AR24" s="29" t="n">
        <v>49.76043980567849</v>
      </c>
      <c r="AS24" s="29" t="n">
        <v>6.450317371562737</v>
      </c>
      <c r="AT24" s="29" t="n">
        <v>0.1358771810426919</v>
      </c>
      <c r="AU24" s="29" t="n">
        <v>5.745446732249956</v>
      </c>
      <c r="AV24" s="29" t="n">
        <v>1.986133921195662</v>
      </c>
      <c r="AW24" s="29" t="n">
        <v>330.7098756563431</v>
      </c>
      <c r="AX24" s="29" t="n">
        <v>18114.9926119021</v>
      </c>
      <c r="AY24" s="29" t="n">
        <v>2.403641727507012</v>
      </c>
      <c r="AZ24" s="29" t="n">
        <v>2.219686460153495</v>
      </c>
      <c r="BA24" s="29" t="n">
        <v>16.50612505135556</v>
      </c>
      <c r="BB24" s="29" t="n">
        <v>1.985932087568317</v>
      </c>
      <c r="BC24" s="29" t="n">
        <v>109.6831380729159</v>
      </c>
      <c r="BD24" s="29" t="n">
        <v>1.946707215158241</v>
      </c>
      <c r="BE24" s="29" t="n">
        <v>5.251733816612396</v>
      </c>
      <c r="BF24" s="29" t="n">
        <v>3.292020524466883</v>
      </c>
      <c r="BG24" s="29" t="n">
        <v>1.242603787779497</v>
      </c>
      <c r="BH24" s="29" t="n">
        <v>0.8950341997046983</v>
      </c>
      <c r="BI24" s="29" t="n">
        <v>4.836060210511404</v>
      </c>
      <c r="BJ24" s="29" t="n">
        <v>0.6177876118987133</v>
      </c>
      <c r="BK24" s="29" t="n">
        <v>73.72110541218673</v>
      </c>
      <c r="BL24" s="29" t="n">
        <v>57.15868054111187</v>
      </c>
      <c r="BM24" s="29" t="n">
        <v>7.723774703462494</v>
      </c>
      <c r="BN24" s="29" t="n">
        <v>28.56489101305878</v>
      </c>
      <c r="BO24" s="29" t="n">
        <v>94.32748316840438</v>
      </c>
      <c r="BP24" s="29" t="n">
        <v>21.93307059993241</v>
      </c>
      <c r="BQ24" s="29" t="n">
        <v>12.8243292105303</v>
      </c>
      <c r="BR24" s="29" t="n">
        <v>0</v>
      </c>
      <c r="BS24" s="29">
        <f>SUM(C24:BR24)</f>
        <v/>
      </c>
      <c r="BT24" s="29" t="n">
        <v>0</v>
      </c>
      <c r="BU24" s="29" t="n">
        <v>0</v>
      </c>
      <c r="BV24" s="29" t="n">
        <v>32276.65687199894</v>
      </c>
      <c r="BW24" s="29" t="n">
        <v>0</v>
      </c>
      <c r="BX24" s="29">
        <f>SUM(BT24:BW24)</f>
        <v/>
      </c>
      <c r="BY24" s="29">
        <f>BS24+BX24</f>
        <v/>
      </c>
    </row>
    <row r="25">
      <c r="A25" s="30" t="inlineStr">
        <is>
          <t>1200</t>
        </is>
      </c>
      <c r="B25" s="30" t="inlineStr">
        <is>
          <t>Fabricação de produtos do fumo</t>
        </is>
      </c>
      <c r="C25" s="31" t="n">
        <v>0.09834538254503827</v>
      </c>
      <c r="D25" s="31" t="n">
        <v>0.03228978156512327</v>
      </c>
      <c r="E25" s="31" t="n">
        <v>0.004121067814460369</v>
      </c>
      <c r="F25" s="31" t="n">
        <v>0.01178823043507067</v>
      </c>
      <c r="G25" s="31" t="n">
        <v>0.01867414412801122</v>
      </c>
      <c r="H25" s="31" t="n">
        <v>0.1213969114963199</v>
      </c>
      <c r="I25" s="31" t="n">
        <v>0.01257872361413487</v>
      </c>
      <c r="J25" s="31" t="n">
        <v>1.995594988039194</v>
      </c>
      <c r="K25" s="31" t="n">
        <v>0.1161005207316324</v>
      </c>
      <c r="L25" s="31" t="n">
        <v>1.608257504945729</v>
      </c>
      <c r="M25" s="31" t="n">
        <v>0.162287987440588</v>
      </c>
      <c r="N25" s="31" t="n">
        <v>644.1122259823475</v>
      </c>
      <c r="O25" s="31" t="n">
        <v>0.3385586254398266</v>
      </c>
      <c r="P25" s="31" t="n">
        <v>0.2993052610489014</v>
      </c>
      <c r="Q25" s="31" t="n">
        <v>0.4136938776964698</v>
      </c>
      <c r="R25" s="31" t="n">
        <v>0.1951667776285275</v>
      </c>
      <c r="S25" s="31" t="n">
        <v>2.136100377189998</v>
      </c>
      <c r="T25" s="31" t="n">
        <v>0.3754873299181806</v>
      </c>
      <c r="U25" s="31" t="n">
        <v>0.1355028045931676</v>
      </c>
      <c r="V25" s="31" t="n">
        <v>0.08155707348673161</v>
      </c>
      <c r="W25" s="31" t="n">
        <v>0.313591794378631</v>
      </c>
      <c r="X25" s="31" t="n">
        <v>0.3475415410992232</v>
      </c>
      <c r="Y25" s="31" t="n">
        <v>0.4107313138420104</v>
      </c>
      <c r="Z25" s="31" t="n">
        <v>0.6746242619146815</v>
      </c>
      <c r="AA25" s="31" t="n">
        <v>0.8369162889905976</v>
      </c>
      <c r="AB25" s="31" t="n">
        <v>0.7305018908911682</v>
      </c>
      <c r="AC25" s="31" t="n">
        <v>0.3848941423509564</v>
      </c>
      <c r="AD25" s="31" t="n">
        <v>0.1911442377251445</v>
      </c>
      <c r="AE25" s="31" t="n">
        <v>0.6389842319973289</v>
      </c>
      <c r="AF25" s="31" t="n">
        <v>0.5295869925214837</v>
      </c>
      <c r="AG25" s="31" t="n">
        <v>0.4837853012908823</v>
      </c>
      <c r="AH25" s="31" t="n">
        <v>0.8083426467894095</v>
      </c>
      <c r="AI25" s="31" t="n">
        <v>0.4516980014477612</v>
      </c>
      <c r="AJ25" s="31" t="n">
        <v>0.3504711103746805</v>
      </c>
      <c r="AK25" s="31" t="n">
        <v>0.09524530479924494</v>
      </c>
      <c r="AL25" s="31" t="n">
        <v>0.3708599473999502</v>
      </c>
      <c r="AM25" s="31" t="n">
        <v>0.005517708176359164</v>
      </c>
      <c r="AN25" s="31" t="n">
        <v>0.08326174606230195</v>
      </c>
      <c r="AO25" s="31" t="n">
        <v>0.03083827866535476</v>
      </c>
      <c r="AP25" s="31" t="n">
        <v>0.1298697736696948</v>
      </c>
      <c r="AQ25" s="31" t="n">
        <v>0.1804111909885983</v>
      </c>
      <c r="AR25" s="31" t="n">
        <v>2.359583243121709</v>
      </c>
      <c r="AS25" s="31" t="n">
        <v>0.03869224781354457</v>
      </c>
      <c r="AT25" s="31" t="n">
        <v>0.01442373735061129</v>
      </c>
      <c r="AU25" s="31" t="n">
        <v>0.005036860662118228</v>
      </c>
      <c r="AV25" s="31" t="n">
        <v>0.05906863867393196</v>
      </c>
      <c r="AW25" s="31" t="n">
        <v>0.04464490132332066</v>
      </c>
      <c r="AX25" s="31" t="n">
        <v>0.2662667704565227</v>
      </c>
      <c r="AY25" s="31" t="n">
        <v>0.5718461697652044</v>
      </c>
      <c r="AZ25" s="31" t="n">
        <v>0.1673294796809215</v>
      </c>
      <c r="BA25" s="31" t="n">
        <v>1.216853100154085</v>
      </c>
      <c r="BB25" s="31" t="n">
        <v>0.1748134522686648</v>
      </c>
      <c r="BC25" s="31" t="n">
        <v>0.4549379877028256</v>
      </c>
      <c r="BD25" s="31" t="n">
        <v>0.05769494940244516</v>
      </c>
      <c r="BE25" s="31" t="n">
        <v>0.3714540118815465</v>
      </c>
      <c r="BF25" s="31" t="n">
        <v>1.179827272585835</v>
      </c>
      <c r="BG25" s="31" t="n">
        <v>0.1458428846211574</v>
      </c>
      <c r="BH25" s="31" t="n">
        <v>0.1188789595326613</v>
      </c>
      <c r="BI25" s="31" t="n">
        <v>0.5434644116646133</v>
      </c>
      <c r="BJ25" s="31" t="n">
        <v>0.02107405851052124</v>
      </c>
      <c r="BK25" s="31" t="n">
        <v>0.2193323870140574</v>
      </c>
      <c r="BL25" s="31" t="n">
        <v>0.182700673107743</v>
      </c>
      <c r="BM25" s="31" t="n">
        <v>0.08748925172692133</v>
      </c>
      <c r="BN25" s="31" t="n">
        <v>0.02747378542973579</v>
      </c>
      <c r="BO25" s="31" t="n">
        <v>0.1703539209290781</v>
      </c>
      <c r="BP25" s="31" t="n">
        <v>0.009995623801605976</v>
      </c>
      <c r="BQ25" s="31" t="n">
        <v>0.1260723672422397</v>
      </c>
      <c r="BR25" s="31" t="n">
        <v>0</v>
      </c>
      <c r="BS25" s="31">
        <f>SUM(C25:BR25)</f>
        <v/>
      </c>
      <c r="BT25" s="31" t="n">
        <v>0</v>
      </c>
      <c r="BU25" s="31" t="n">
        <v>0</v>
      </c>
      <c r="BV25" s="31" t="n">
        <v>12418.03172976499</v>
      </c>
      <c r="BW25" s="31" t="n">
        <v>0</v>
      </c>
      <c r="BX25" s="31">
        <f>SUM(BT25:BW25)</f>
        <v/>
      </c>
      <c r="BY25" s="31">
        <f>BS25+BX25</f>
        <v/>
      </c>
    </row>
    <row r="26">
      <c r="A26" s="28" t="inlineStr">
        <is>
          <t>1300</t>
        </is>
      </c>
      <c r="B26" s="28" t="inlineStr">
        <is>
          <t>Fabricação de produtos têxteis</t>
        </is>
      </c>
      <c r="C26" s="29" t="n">
        <v>395.4835239329462</v>
      </c>
      <c r="D26" s="29" t="n">
        <v>8.655273184234927</v>
      </c>
      <c r="E26" s="29" t="n">
        <v>0.8164263708283019</v>
      </c>
      <c r="F26" s="29" t="n">
        <v>154.9289080587255</v>
      </c>
      <c r="G26" s="29" t="n">
        <v>54.84339173300091</v>
      </c>
      <c r="H26" s="29" t="n">
        <v>3.013110639027533</v>
      </c>
      <c r="I26" s="29" t="n">
        <v>3.209217134817889</v>
      </c>
      <c r="J26" s="29" t="n">
        <v>31.04388467272414</v>
      </c>
      <c r="K26" s="29" t="n">
        <v>84.97964177720385</v>
      </c>
      <c r="L26" s="29" t="n">
        <v>144.7534384094295</v>
      </c>
      <c r="M26" s="29" t="n">
        <v>12.76789362731529</v>
      </c>
      <c r="N26" s="29" t="n">
        <v>1.144375386457767</v>
      </c>
      <c r="O26" s="29" t="n">
        <v>8264.633224319346</v>
      </c>
      <c r="P26" s="29" t="n">
        <v>10943.10963036778</v>
      </c>
      <c r="Q26" s="29" t="n">
        <v>2315.903348462297</v>
      </c>
      <c r="R26" s="29" t="n">
        <v>4.783196973553642</v>
      </c>
      <c r="S26" s="29" t="n">
        <v>75.67571926656781</v>
      </c>
      <c r="T26" s="29" t="n">
        <v>4.765153029751013</v>
      </c>
      <c r="U26" s="29" t="n">
        <v>2.218193495074977</v>
      </c>
      <c r="V26" s="29" t="n">
        <v>1.638855923969918</v>
      </c>
      <c r="W26" s="29" t="n">
        <v>15.98595261601568</v>
      </c>
      <c r="X26" s="29" t="n">
        <v>33.23428458689434</v>
      </c>
      <c r="Y26" s="29" t="n">
        <v>9.33329659813878</v>
      </c>
      <c r="Z26" s="29" t="n">
        <v>80.26387936765947</v>
      </c>
      <c r="AA26" s="29" t="n">
        <v>431.0519102323801</v>
      </c>
      <c r="AB26" s="29" t="n">
        <v>27.29937232570384</v>
      </c>
      <c r="AC26" s="29" t="n">
        <v>7.817344231066675</v>
      </c>
      <c r="AD26" s="29" t="n">
        <v>2.530546391588822</v>
      </c>
      <c r="AE26" s="29" t="n">
        <v>45.43832429587795</v>
      </c>
      <c r="AF26" s="29" t="n">
        <v>10.23645541492759</v>
      </c>
      <c r="AG26" s="29" t="n">
        <v>29.59823449531065</v>
      </c>
      <c r="AH26" s="29" t="n">
        <v>36.20730018655437</v>
      </c>
      <c r="AI26" s="29" t="n">
        <v>174.2588440820733</v>
      </c>
      <c r="AJ26" s="29" t="n">
        <v>1331.846070906429</v>
      </c>
      <c r="AK26" s="29" t="n">
        <v>69.44274712630995</v>
      </c>
      <c r="AL26" s="29" t="n">
        <v>980.5897287969707</v>
      </c>
      <c r="AM26" s="29" t="n">
        <v>9.202385779964215</v>
      </c>
      <c r="AN26" s="29" t="n">
        <v>13.37137746075853</v>
      </c>
      <c r="AO26" s="29" t="n">
        <v>8.299216780044766</v>
      </c>
      <c r="AP26" s="29" t="n">
        <v>460.8773810789052</v>
      </c>
      <c r="AQ26" s="29" t="n">
        <v>50.8952833975972</v>
      </c>
      <c r="AR26" s="29" t="n">
        <v>138.9779777999678</v>
      </c>
      <c r="AS26" s="29" t="n">
        <v>62.38039889047908</v>
      </c>
      <c r="AT26" s="29" t="n">
        <v>8.456522194302918</v>
      </c>
      <c r="AU26" s="29" t="n">
        <v>2.899843143108335</v>
      </c>
      <c r="AV26" s="29" t="n">
        <v>4.702108968155829</v>
      </c>
      <c r="AW26" s="29" t="n">
        <v>180.2589868288256</v>
      </c>
      <c r="AX26" s="29" t="n">
        <v>119.8244182795901</v>
      </c>
      <c r="AY26" s="29" t="n">
        <v>3.318072678441659</v>
      </c>
      <c r="AZ26" s="29" t="n">
        <v>6.935681330588896</v>
      </c>
      <c r="BA26" s="29" t="n">
        <v>22.61442554705029</v>
      </c>
      <c r="BB26" s="29" t="n">
        <v>3.375734591361239</v>
      </c>
      <c r="BC26" s="29" t="n">
        <v>16.204619471792</v>
      </c>
      <c r="BD26" s="29" t="n">
        <v>4.121581100369312</v>
      </c>
      <c r="BE26" s="29" t="n">
        <v>9.439187398978424</v>
      </c>
      <c r="BF26" s="29" t="n">
        <v>9.738882827507869</v>
      </c>
      <c r="BG26" s="29" t="n">
        <v>3.199480785506241</v>
      </c>
      <c r="BH26" s="29" t="n">
        <v>4.624517564846081</v>
      </c>
      <c r="BI26" s="29" t="n">
        <v>16.12540117955053</v>
      </c>
      <c r="BJ26" s="29" t="n">
        <v>1.622829854960378</v>
      </c>
      <c r="BK26" s="29" t="n">
        <v>39.27335840632374</v>
      </c>
      <c r="BL26" s="29" t="n">
        <v>39.79703263250386</v>
      </c>
      <c r="BM26" s="29" t="n">
        <v>5.431590641438771</v>
      </c>
      <c r="BN26" s="29" t="n">
        <v>24.73444019885532</v>
      </c>
      <c r="BO26" s="29" t="n">
        <v>48.77341328514859</v>
      </c>
      <c r="BP26" s="29" t="n">
        <v>6.147296508056343</v>
      </c>
      <c r="BQ26" s="29" t="n">
        <v>388.9044940903443</v>
      </c>
      <c r="BR26" s="29" t="n">
        <v>0</v>
      </c>
      <c r="BS26" s="29">
        <f>SUM(C26:BR26)</f>
        <v/>
      </c>
      <c r="BT26" s="29" t="n">
        <v>0</v>
      </c>
      <c r="BU26" s="29" t="n">
        <v>0</v>
      </c>
      <c r="BV26" s="29" t="n">
        <v>15664.73262439935</v>
      </c>
      <c r="BW26" s="29" t="n">
        <v>0</v>
      </c>
      <c r="BX26" s="29">
        <f>SUM(BT26:BW26)</f>
        <v/>
      </c>
      <c r="BY26" s="29">
        <f>BS26+BX26</f>
        <v/>
      </c>
    </row>
    <row r="27">
      <c r="A27" s="30" t="inlineStr">
        <is>
          <t>1400</t>
        </is>
      </c>
      <c r="B27" s="30" t="inlineStr">
        <is>
          <t>Confecção de artefatos do vestuário e acessórios</t>
        </is>
      </c>
      <c r="C27" s="31" t="n">
        <v>5.399520428578525</v>
      </c>
      <c r="D27" s="31" t="n">
        <v>1.059341695667595</v>
      </c>
      <c r="E27" s="31" t="n">
        <v>8.614552658014947</v>
      </c>
      <c r="F27" s="31" t="n">
        <v>5.32043035714961</v>
      </c>
      <c r="G27" s="31" t="n">
        <v>51.0613644068324</v>
      </c>
      <c r="H27" s="31" t="n">
        <v>4.752969997573312</v>
      </c>
      <c r="I27" s="31" t="n">
        <v>0.8802198585862072</v>
      </c>
      <c r="J27" s="31" t="n">
        <v>28.20733925127352</v>
      </c>
      <c r="K27" s="31" t="n">
        <v>2.921728225186935</v>
      </c>
      <c r="L27" s="31" t="n">
        <v>22.01338182398994</v>
      </c>
      <c r="M27" s="31" t="n">
        <v>0.914289110326946</v>
      </c>
      <c r="N27" s="31" t="n">
        <v>1.162806785673126</v>
      </c>
      <c r="O27" s="31" t="n">
        <v>80.43831479296131</v>
      </c>
      <c r="P27" s="31" t="n">
        <v>1372.664197024212</v>
      </c>
      <c r="Q27" s="31" t="n">
        <v>57.40833719612978</v>
      </c>
      <c r="R27" s="31" t="n">
        <v>1.217107706133272</v>
      </c>
      <c r="S27" s="31" t="n">
        <v>8.248518044112835</v>
      </c>
      <c r="T27" s="31" t="n">
        <v>0.4176768978513903</v>
      </c>
      <c r="U27" s="31" t="n">
        <v>2.0582402010733</v>
      </c>
      <c r="V27" s="31" t="n">
        <v>1.442211751325215</v>
      </c>
      <c r="W27" s="31" t="n">
        <v>4.327146295248149</v>
      </c>
      <c r="X27" s="31" t="n">
        <v>8.963771370373975</v>
      </c>
      <c r="Y27" s="31" t="n">
        <v>0.4733460864820343</v>
      </c>
      <c r="Z27" s="31" t="n">
        <v>6.484663610149428</v>
      </c>
      <c r="AA27" s="31" t="n">
        <v>9.840646035654009</v>
      </c>
      <c r="AB27" s="31" t="n">
        <v>14.44655950764287</v>
      </c>
      <c r="AC27" s="31" t="n">
        <v>9.693926726984547</v>
      </c>
      <c r="AD27" s="31" t="n">
        <v>2.192233206076938</v>
      </c>
      <c r="AE27" s="31" t="n">
        <v>42.92959649327284</v>
      </c>
      <c r="AF27" s="31" t="n">
        <v>4.039598912714961</v>
      </c>
      <c r="AG27" s="31" t="n">
        <v>7.238672930819336</v>
      </c>
      <c r="AH27" s="31" t="n">
        <v>46.9537126092301</v>
      </c>
      <c r="AI27" s="31" t="n">
        <v>6.802764806295762</v>
      </c>
      <c r="AJ27" s="31" t="n">
        <v>26.37874880836199</v>
      </c>
      <c r="AK27" s="31" t="n">
        <v>2.980584007742008</v>
      </c>
      <c r="AL27" s="31" t="n">
        <v>19.89496671241648</v>
      </c>
      <c r="AM27" s="31" t="n">
        <v>14.32680596622142</v>
      </c>
      <c r="AN27" s="31" t="n">
        <v>58.07675028157383</v>
      </c>
      <c r="AO27" s="31" t="n">
        <v>78.0658582873574</v>
      </c>
      <c r="AP27" s="31" t="n">
        <v>42.69064829424488</v>
      </c>
      <c r="AQ27" s="31" t="n">
        <v>3.349743893090231</v>
      </c>
      <c r="AR27" s="31" t="n">
        <v>241.1913182766313</v>
      </c>
      <c r="AS27" s="31" t="n">
        <v>125.7546455854117</v>
      </c>
      <c r="AT27" s="31" t="n">
        <v>6.258000919781813</v>
      </c>
      <c r="AU27" s="31" t="n">
        <v>131.1915841485061</v>
      </c>
      <c r="AV27" s="31" t="n">
        <v>58.80798911821895</v>
      </c>
      <c r="AW27" s="31" t="n">
        <v>59.89689511626423</v>
      </c>
      <c r="AX27" s="31" t="n">
        <v>122.5837851661454</v>
      </c>
      <c r="AY27" s="31" t="n">
        <v>3.409858133603293</v>
      </c>
      <c r="AZ27" s="31" t="n">
        <v>80.35901381793182</v>
      </c>
      <c r="BA27" s="31" t="n">
        <v>59.58061638635361</v>
      </c>
      <c r="BB27" s="31" t="n">
        <v>2.135643018191189</v>
      </c>
      <c r="BC27" s="31" t="n">
        <v>587.526292026634</v>
      </c>
      <c r="BD27" s="31" t="n">
        <v>23.97111355238007</v>
      </c>
      <c r="BE27" s="31" t="n">
        <v>7.089002018713004</v>
      </c>
      <c r="BF27" s="31" t="n">
        <v>117.9026799293997</v>
      </c>
      <c r="BG27" s="31" t="n">
        <v>22.54457388542308</v>
      </c>
      <c r="BH27" s="31" t="n">
        <v>1.338345501798028</v>
      </c>
      <c r="BI27" s="31" t="n">
        <v>94.56590771360622</v>
      </c>
      <c r="BJ27" s="31" t="n">
        <v>135.2803546936756</v>
      </c>
      <c r="BK27" s="31" t="n">
        <v>384.2926072204795</v>
      </c>
      <c r="BL27" s="31" t="n">
        <v>415.7483485905477</v>
      </c>
      <c r="BM27" s="31" t="n">
        <v>1.865692317325025</v>
      </c>
      <c r="BN27" s="31" t="n">
        <v>28.89384877678537</v>
      </c>
      <c r="BO27" s="31" t="n">
        <v>32.48937077783659</v>
      </c>
      <c r="BP27" s="31" t="n">
        <v>67.7023507130594</v>
      </c>
      <c r="BQ27" s="31" t="n">
        <v>629.26725976625</v>
      </c>
      <c r="BR27" s="31" t="n">
        <v>0</v>
      </c>
      <c r="BS27" s="31">
        <f>SUM(C27:BR27)</f>
        <v/>
      </c>
      <c r="BT27" s="31" t="n">
        <v>0</v>
      </c>
      <c r="BU27" s="31" t="n">
        <v>0</v>
      </c>
      <c r="BV27" s="31" t="n">
        <v>48787.71229318909</v>
      </c>
      <c r="BW27" s="31" t="n">
        <v>0</v>
      </c>
      <c r="BX27" s="31">
        <f>SUM(BT27:BW27)</f>
        <v/>
      </c>
      <c r="BY27" s="31">
        <f>BS27+BX27</f>
        <v/>
      </c>
    </row>
    <row r="28">
      <c r="A28" s="28" t="inlineStr">
        <is>
          <t>1500</t>
        </is>
      </c>
      <c r="B28" s="28" t="inlineStr">
        <is>
          <t>Fabricação de calçados e de artefatos de couro</t>
        </is>
      </c>
      <c r="C28" s="29" t="n">
        <v>2.412788487535174</v>
      </c>
      <c r="D28" s="29" t="n">
        <v>3.657898438557678</v>
      </c>
      <c r="E28" s="29" t="n">
        <v>0.1034574330438692</v>
      </c>
      <c r="F28" s="29" t="n">
        <v>7.06887084003584</v>
      </c>
      <c r="G28" s="29" t="n">
        <v>5.277019740992801</v>
      </c>
      <c r="H28" s="29" t="n">
        <v>2.201226805626106</v>
      </c>
      <c r="I28" s="29" t="n">
        <v>0.5368950840161919</v>
      </c>
      <c r="J28" s="29" t="n">
        <v>19.15550296552655</v>
      </c>
      <c r="K28" s="29" t="n">
        <v>0.6983728303884249</v>
      </c>
      <c r="L28" s="29" t="n">
        <v>30.18301496242912</v>
      </c>
      <c r="M28" s="29" t="n">
        <v>4.44427207905284</v>
      </c>
      <c r="N28" s="29" t="n">
        <v>0.3243123400244864</v>
      </c>
      <c r="O28" s="29" t="n">
        <v>9.317157721751745</v>
      </c>
      <c r="P28" s="29" t="n">
        <v>16.27333093251156</v>
      </c>
      <c r="Q28" s="29" t="n">
        <v>3470.215476261936</v>
      </c>
      <c r="R28" s="29" t="n">
        <v>1.850604669603625</v>
      </c>
      <c r="S28" s="29" t="n">
        <v>55.25157460153305</v>
      </c>
      <c r="T28" s="29" t="n">
        <v>1.633363054584941</v>
      </c>
      <c r="U28" s="29" t="n">
        <v>1.324734092163735</v>
      </c>
      <c r="V28" s="29" t="n">
        <v>2.866440527810968</v>
      </c>
      <c r="W28" s="29" t="n">
        <v>9.992125537726727</v>
      </c>
      <c r="X28" s="29" t="n">
        <v>15.58297720410064</v>
      </c>
      <c r="Y28" s="29" t="n">
        <v>7.086910468733141</v>
      </c>
      <c r="Z28" s="29" t="n">
        <v>4.493910822683997</v>
      </c>
      <c r="AA28" s="29" t="n">
        <v>30.71259069489231</v>
      </c>
      <c r="AB28" s="29" t="n">
        <v>5.507943879032302</v>
      </c>
      <c r="AC28" s="29" t="n">
        <v>4.144409724954724</v>
      </c>
      <c r="AD28" s="29" t="n">
        <v>1.022422624239518</v>
      </c>
      <c r="AE28" s="29" t="n">
        <v>30.44649179763339</v>
      </c>
      <c r="AF28" s="29" t="n">
        <v>2.449699923382476</v>
      </c>
      <c r="AG28" s="29" t="n">
        <v>7.933177569596285</v>
      </c>
      <c r="AH28" s="29" t="n">
        <v>11.35874502510065</v>
      </c>
      <c r="AI28" s="29" t="n">
        <v>16.16859460421873</v>
      </c>
      <c r="AJ28" s="29" t="n">
        <v>12.44615002507754</v>
      </c>
      <c r="AK28" s="29" t="n">
        <v>2.96935654116723</v>
      </c>
      <c r="AL28" s="29" t="n">
        <v>27.68145021724262</v>
      </c>
      <c r="AM28" s="29" t="n">
        <v>3.765030442857213</v>
      </c>
      <c r="AN28" s="29" t="n">
        <v>73.69388560818209</v>
      </c>
      <c r="AO28" s="29" t="n">
        <v>1.584083078460384</v>
      </c>
      <c r="AP28" s="29" t="n">
        <v>49.84404375692673</v>
      </c>
      <c r="AQ28" s="29" t="n">
        <v>1.769292622890354</v>
      </c>
      <c r="AR28" s="29" t="n">
        <v>15.69206620429985</v>
      </c>
      <c r="AS28" s="29" t="n">
        <v>6.038896750813804</v>
      </c>
      <c r="AT28" s="29" t="n">
        <v>0.209674799662993</v>
      </c>
      <c r="AU28" s="29" t="n">
        <v>1.372823097374589</v>
      </c>
      <c r="AV28" s="29" t="n">
        <v>0.7087325580657164</v>
      </c>
      <c r="AW28" s="29" t="n">
        <v>1.247262758324265</v>
      </c>
      <c r="AX28" s="29" t="n">
        <v>11.43479556793993</v>
      </c>
      <c r="AY28" s="29" t="n">
        <v>0.6400424207225454</v>
      </c>
      <c r="AZ28" s="29" t="n">
        <v>21.85362395848053</v>
      </c>
      <c r="BA28" s="29" t="n">
        <v>4.53332439774921</v>
      </c>
      <c r="BB28" s="29" t="n">
        <v>2.278041926783589</v>
      </c>
      <c r="BC28" s="29" t="n">
        <v>2.990466493256124</v>
      </c>
      <c r="BD28" s="29" t="n">
        <v>0.6307012922960972</v>
      </c>
      <c r="BE28" s="29" t="n">
        <v>1.167546105952664</v>
      </c>
      <c r="BF28" s="29" t="n">
        <v>3.765575448835664</v>
      </c>
      <c r="BG28" s="29" t="n">
        <v>0.7559921448610387</v>
      </c>
      <c r="BH28" s="29" t="n">
        <v>1.265607314993627</v>
      </c>
      <c r="BI28" s="29" t="n">
        <v>4.716792881582966</v>
      </c>
      <c r="BJ28" s="29" t="n">
        <v>42.48219752861902</v>
      </c>
      <c r="BK28" s="29" t="n">
        <v>22.02726861719372</v>
      </c>
      <c r="BL28" s="29" t="n">
        <v>5.537946599982844</v>
      </c>
      <c r="BM28" s="29" t="n">
        <v>0.3907659470847402</v>
      </c>
      <c r="BN28" s="29" t="n">
        <v>6.64843587110192</v>
      </c>
      <c r="BO28" s="29" t="n">
        <v>15.58904216096028</v>
      </c>
      <c r="BP28" s="29" t="n">
        <v>0.7381701663394528</v>
      </c>
      <c r="BQ28" s="29" t="n">
        <v>2.939149856235817</v>
      </c>
      <c r="BR28" s="29" t="n">
        <v>0</v>
      </c>
      <c r="BS28" s="29">
        <f>SUM(C28:BR28)</f>
        <v/>
      </c>
      <c r="BT28" s="29" t="n">
        <v>0</v>
      </c>
      <c r="BU28" s="29" t="n">
        <v>0</v>
      </c>
      <c r="BV28" s="29" t="n">
        <v>28485.84131898198</v>
      </c>
      <c r="BW28" s="29" t="n">
        <v>0</v>
      </c>
      <c r="BX28" s="29">
        <f>SUM(BT28:BW28)</f>
        <v/>
      </c>
      <c r="BY28" s="29">
        <f>BS28+BX28</f>
        <v/>
      </c>
    </row>
    <row r="29">
      <c r="A29" s="30" t="inlineStr">
        <is>
          <t>1600</t>
        </is>
      </c>
      <c r="B29" s="30" t="inlineStr">
        <is>
          <t>Fabricação de produtos da madeira</t>
        </is>
      </c>
      <c r="C29" s="31" t="n">
        <v>339.2244250060827</v>
      </c>
      <c r="D29" s="31" t="n">
        <v>201.5778857390451</v>
      </c>
      <c r="E29" s="31" t="n">
        <v>10.60657287401759</v>
      </c>
      <c r="F29" s="31" t="n">
        <v>5.99907305966549</v>
      </c>
      <c r="G29" s="31" t="n">
        <v>4.917810484039058</v>
      </c>
      <c r="H29" s="31" t="n">
        <v>4.626591836313557</v>
      </c>
      <c r="I29" s="31" t="n">
        <v>0.8130573105507127</v>
      </c>
      <c r="J29" s="31" t="n">
        <v>38.85366480022035</v>
      </c>
      <c r="K29" s="31" t="n">
        <v>1.339234413048776</v>
      </c>
      <c r="L29" s="31" t="n">
        <v>241.3905383741508</v>
      </c>
      <c r="M29" s="31" t="n">
        <v>74.21399776389798</v>
      </c>
      <c r="N29" s="31" t="n">
        <v>0.5605633206657941</v>
      </c>
      <c r="O29" s="31" t="n">
        <v>23.82764135418386</v>
      </c>
      <c r="P29" s="31" t="n">
        <v>2.481110037941527</v>
      </c>
      <c r="Q29" s="31" t="n">
        <v>2.171099865258414</v>
      </c>
      <c r="R29" s="31" t="n">
        <v>2685.601359581501</v>
      </c>
      <c r="S29" s="31" t="n">
        <v>330.1342981595351</v>
      </c>
      <c r="T29" s="31" t="n">
        <v>1.469321582875859</v>
      </c>
      <c r="U29" s="31" t="n">
        <v>1.191072637381067</v>
      </c>
      <c r="V29" s="31" t="n">
        <v>0.8332881815707226</v>
      </c>
      <c r="W29" s="31" t="n">
        <v>17.03594296888443</v>
      </c>
      <c r="X29" s="31" t="n">
        <v>35.0602380833304</v>
      </c>
      <c r="Y29" s="31" t="n">
        <v>2.041303933668553</v>
      </c>
      <c r="Z29" s="31" t="n">
        <v>3.110597300321384</v>
      </c>
      <c r="AA29" s="31" t="n">
        <v>14.17321055691195</v>
      </c>
      <c r="AB29" s="31" t="n">
        <v>34.38882617709023</v>
      </c>
      <c r="AC29" s="31" t="n">
        <v>16.7533360230358</v>
      </c>
      <c r="AD29" s="31" t="n">
        <v>4.006757931642721</v>
      </c>
      <c r="AE29" s="31" t="n">
        <v>197.3755754227981</v>
      </c>
      <c r="AF29" s="31" t="n">
        <v>3.31194774006028</v>
      </c>
      <c r="AG29" s="31" t="n">
        <v>10.7661861624891</v>
      </c>
      <c r="AH29" s="31" t="n">
        <v>344.2536402779357</v>
      </c>
      <c r="AI29" s="31" t="n">
        <v>270.7950592508347</v>
      </c>
      <c r="AJ29" s="31" t="n">
        <v>75.61966144291772</v>
      </c>
      <c r="AK29" s="31" t="n">
        <v>160.9990866211958</v>
      </c>
      <c r="AL29" s="31" t="n">
        <v>4710.61009929647</v>
      </c>
      <c r="AM29" s="31" t="n">
        <v>15.05443724007833</v>
      </c>
      <c r="AN29" s="31" t="n">
        <v>292.0002830640004</v>
      </c>
      <c r="AO29" s="31" t="n">
        <v>8.020153424794666</v>
      </c>
      <c r="AP29" s="31" t="n">
        <v>4706.89889489402</v>
      </c>
      <c r="AQ29" s="31" t="n">
        <v>13.0674922075562</v>
      </c>
      <c r="AR29" s="31" t="n">
        <v>1588.242439259671</v>
      </c>
      <c r="AS29" s="31" t="n">
        <v>3.466437790297454</v>
      </c>
      <c r="AT29" s="31" t="n">
        <v>0.5460333616765741</v>
      </c>
      <c r="AU29" s="31" t="n">
        <v>0.370656893409851</v>
      </c>
      <c r="AV29" s="31" t="n">
        <v>62.83922630436728</v>
      </c>
      <c r="AW29" s="31" t="n">
        <v>3.014471780304492</v>
      </c>
      <c r="AX29" s="31" t="n">
        <v>13.38457958577855</v>
      </c>
      <c r="AY29" s="31" t="n">
        <v>2.268777195514089</v>
      </c>
      <c r="AZ29" s="31" t="n">
        <v>148.9377608430995</v>
      </c>
      <c r="BA29" s="31" t="n">
        <v>15.85087643145537</v>
      </c>
      <c r="BB29" s="31" t="n">
        <v>4.069405750896603</v>
      </c>
      <c r="BC29" s="31" t="n">
        <v>20.31799126754461</v>
      </c>
      <c r="BD29" s="31" t="n">
        <v>281.1583441063455</v>
      </c>
      <c r="BE29" s="31" t="n">
        <v>11.97948006862318</v>
      </c>
      <c r="BF29" s="31" t="n">
        <v>3.648273565788466</v>
      </c>
      <c r="BG29" s="31" t="n">
        <v>2.855891357120817</v>
      </c>
      <c r="BH29" s="31" t="n">
        <v>3.173119274790645</v>
      </c>
      <c r="BI29" s="31" t="n">
        <v>93.43841097805893</v>
      </c>
      <c r="BJ29" s="31" t="n">
        <v>0.789369788170647</v>
      </c>
      <c r="BK29" s="31" t="n">
        <v>60.94660503669554</v>
      </c>
      <c r="BL29" s="31" t="n">
        <v>20.6495875544167</v>
      </c>
      <c r="BM29" s="31" t="n">
        <v>9.926831662876966</v>
      </c>
      <c r="BN29" s="31" t="n">
        <v>3.895575100400761</v>
      </c>
      <c r="BO29" s="31" t="n">
        <v>7.759380778719815</v>
      </c>
      <c r="BP29" s="31" t="n">
        <v>9.515216015602952</v>
      </c>
      <c r="BQ29" s="31" t="n">
        <v>157.7501674210556</v>
      </c>
      <c r="BR29" s="31" t="n">
        <v>0</v>
      </c>
      <c r="BS29" s="31">
        <f>SUM(C29:BR29)</f>
        <v/>
      </c>
      <c r="BT29" s="31" t="n">
        <v>0</v>
      </c>
      <c r="BU29" s="31" t="n">
        <v>0</v>
      </c>
      <c r="BV29" s="31" t="n">
        <v>4771.932594227395</v>
      </c>
      <c r="BW29" s="31" t="n">
        <v>0</v>
      </c>
      <c r="BX29" s="31">
        <f>SUM(BT29:BW29)</f>
        <v/>
      </c>
      <c r="BY29" s="31">
        <f>BS29+BX29</f>
        <v/>
      </c>
    </row>
    <row r="30">
      <c r="A30" s="28" t="inlineStr">
        <is>
          <t>1700</t>
        </is>
      </c>
      <c r="B30" s="28" t="inlineStr">
        <is>
          <t>Fabricação de celulose, papel e produtos de papel</t>
        </is>
      </c>
      <c r="C30" s="29" t="n">
        <v>282.9395353853153</v>
      </c>
      <c r="D30" s="29" t="n">
        <v>95.66980369528324</v>
      </c>
      <c r="E30" s="29" t="n">
        <v>12.61001966964927</v>
      </c>
      <c r="F30" s="29" t="n">
        <v>8.884500828693994</v>
      </c>
      <c r="G30" s="29" t="n">
        <v>44.9183463176633</v>
      </c>
      <c r="H30" s="29" t="n">
        <v>82.40724504716258</v>
      </c>
      <c r="I30" s="29" t="n">
        <v>15.73728952251365</v>
      </c>
      <c r="J30" s="29" t="n">
        <v>1811.295513700307</v>
      </c>
      <c r="K30" s="29" t="n">
        <v>23.77931282530067</v>
      </c>
      <c r="L30" s="29" t="n">
        <v>2004.81916315228</v>
      </c>
      <c r="M30" s="29" t="n">
        <v>168.1094805754051</v>
      </c>
      <c r="N30" s="29" t="n">
        <v>613.8679386127487</v>
      </c>
      <c r="O30" s="29" t="n">
        <v>479.1933672912756</v>
      </c>
      <c r="P30" s="29" t="n">
        <v>361.6341948325494</v>
      </c>
      <c r="Q30" s="29" t="n">
        <v>459.3871391991111</v>
      </c>
      <c r="R30" s="29" t="n">
        <v>395.8983024972913</v>
      </c>
      <c r="S30" s="29" t="n">
        <v>8889.51172312734</v>
      </c>
      <c r="T30" s="29" t="n">
        <v>1034.916007355218</v>
      </c>
      <c r="U30" s="29" t="n">
        <v>90.08879868844897</v>
      </c>
      <c r="V30" s="29" t="n">
        <v>26.45904839935468</v>
      </c>
      <c r="W30" s="29" t="n">
        <v>85.0429620336177</v>
      </c>
      <c r="X30" s="29" t="n">
        <v>135.0296408155416</v>
      </c>
      <c r="Y30" s="29" t="n">
        <v>981.5034979660983</v>
      </c>
      <c r="Z30" s="29" t="n">
        <v>560.9664126796298</v>
      </c>
      <c r="AA30" s="29" t="n">
        <v>1318.146647711236</v>
      </c>
      <c r="AB30" s="29" t="n">
        <v>1270.700423546806</v>
      </c>
      <c r="AC30" s="29" t="n">
        <v>55.78118060701701</v>
      </c>
      <c r="AD30" s="29" t="n">
        <v>28.08112150134595</v>
      </c>
      <c r="AE30" s="29" t="n">
        <v>839.9171919230399</v>
      </c>
      <c r="AF30" s="29" t="n">
        <v>803.9061823527275</v>
      </c>
      <c r="AG30" s="29" t="n">
        <v>324.5755841870273</v>
      </c>
      <c r="AH30" s="29" t="n">
        <v>257.8722711405629</v>
      </c>
      <c r="AI30" s="29" t="n">
        <v>369.0719796252376</v>
      </c>
      <c r="AJ30" s="29" t="n">
        <v>605.8984213618226</v>
      </c>
      <c r="AK30" s="29" t="n">
        <v>61.471125481763</v>
      </c>
      <c r="AL30" s="29" t="n">
        <v>619.0151809597817</v>
      </c>
      <c r="AM30" s="29" t="n">
        <v>59.43422983894082</v>
      </c>
      <c r="AN30" s="29" t="n">
        <v>48.36015058915328</v>
      </c>
      <c r="AO30" s="29" t="n">
        <v>68.16530694112288</v>
      </c>
      <c r="AP30" s="29" t="n">
        <v>453.8471842232739</v>
      </c>
      <c r="AQ30" s="29" t="n">
        <v>551.3578861996917</v>
      </c>
      <c r="AR30" s="29" t="n">
        <v>3343.088630994887</v>
      </c>
      <c r="AS30" s="29" t="n">
        <v>131.1795773546413</v>
      </c>
      <c r="AT30" s="29" t="n">
        <v>45.33505793556527</v>
      </c>
      <c r="AU30" s="29" t="n">
        <v>18.05515205643765</v>
      </c>
      <c r="AV30" s="29" t="n">
        <v>194.5693332118783</v>
      </c>
      <c r="AW30" s="29" t="n">
        <v>134.6347487794164</v>
      </c>
      <c r="AX30" s="29" t="n">
        <v>789.6751940129573</v>
      </c>
      <c r="AY30" s="29" t="n">
        <v>1174.339342404495</v>
      </c>
      <c r="AZ30" s="29" t="n">
        <v>76.22433857977688</v>
      </c>
      <c r="BA30" s="29" t="n">
        <v>78.07787400534143</v>
      </c>
      <c r="BB30" s="29" t="n">
        <v>189.5257459472062</v>
      </c>
      <c r="BC30" s="29" t="n">
        <v>1311.59473145404</v>
      </c>
      <c r="BD30" s="29" t="n">
        <v>182.0881282334319</v>
      </c>
      <c r="BE30" s="29" t="n">
        <v>872.2484709998428</v>
      </c>
      <c r="BF30" s="29" t="n">
        <v>300.1938613389464</v>
      </c>
      <c r="BG30" s="29" t="n">
        <v>360.1659955766627</v>
      </c>
      <c r="BH30" s="29" t="n">
        <v>278.5980198231613</v>
      </c>
      <c r="BI30" s="29" t="n">
        <v>1346.466116857755</v>
      </c>
      <c r="BJ30" s="29" t="n">
        <v>31.60756426969848</v>
      </c>
      <c r="BK30" s="29" t="n">
        <v>661.8735249045486</v>
      </c>
      <c r="BL30" s="29" t="n">
        <v>532.5862349683266</v>
      </c>
      <c r="BM30" s="29" t="n">
        <v>261.4135667770426</v>
      </c>
      <c r="BN30" s="29" t="n">
        <v>96.87217747709542</v>
      </c>
      <c r="BO30" s="29" t="n">
        <v>512.2681323668704</v>
      </c>
      <c r="BP30" s="29" t="n">
        <v>49.9994699004356</v>
      </c>
      <c r="BQ30" s="29" t="n">
        <v>395.0054726708624</v>
      </c>
      <c r="BR30" s="29" t="n">
        <v>0</v>
      </c>
      <c r="BS30" s="29">
        <f>SUM(C30:BR30)</f>
        <v/>
      </c>
      <c r="BT30" s="29" t="n">
        <v>0</v>
      </c>
      <c r="BU30" s="29" t="n">
        <v>0</v>
      </c>
      <c r="BV30" s="29" t="n">
        <v>18741.92146844432</v>
      </c>
      <c r="BW30" s="29" t="n">
        <v>0</v>
      </c>
      <c r="BX30" s="29">
        <f>SUM(BT30:BW30)</f>
        <v/>
      </c>
      <c r="BY30" s="29">
        <f>BS30+BX30</f>
        <v/>
      </c>
    </row>
    <row r="31">
      <c r="A31" s="30" t="inlineStr">
        <is>
          <t>1800</t>
        </is>
      </c>
      <c r="B31" s="30" t="inlineStr">
        <is>
          <t>Impressão e reprodução de gravações</t>
        </is>
      </c>
      <c r="C31" s="31" t="n">
        <v>4.909515330004455</v>
      </c>
      <c r="D31" s="31" t="n">
        <v>0.6566111600762464</v>
      </c>
      <c r="E31" s="31" t="n">
        <v>2.585755745051339</v>
      </c>
      <c r="F31" s="31" t="n">
        <v>0.3669629790572679</v>
      </c>
      <c r="G31" s="31" t="n">
        <v>5.816851864888157</v>
      </c>
      <c r="H31" s="31" t="n">
        <v>11.35968041978432</v>
      </c>
      <c r="I31" s="31" t="n">
        <v>2.855564076844135</v>
      </c>
      <c r="J31" s="31" t="n">
        <v>51.90912606350371</v>
      </c>
      <c r="K31" s="31" t="n">
        <v>12.5198113805497</v>
      </c>
      <c r="L31" s="31" t="n">
        <v>63.73629712630262</v>
      </c>
      <c r="M31" s="31" t="n">
        <v>162.7180928946099</v>
      </c>
      <c r="N31" s="31" t="n">
        <v>3.758053741370478</v>
      </c>
      <c r="O31" s="31" t="n">
        <v>14.03633635993617</v>
      </c>
      <c r="P31" s="31" t="n">
        <v>19.34322199015403</v>
      </c>
      <c r="Q31" s="31" t="n">
        <v>10.23801755735852</v>
      </c>
      <c r="R31" s="31" t="n">
        <v>11.65237385807658</v>
      </c>
      <c r="S31" s="31" t="n">
        <v>117.9953083622051</v>
      </c>
      <c r="T31" s="31" t="n">
        <v>1148.093957605964</v>
      </c>
      <c r="U31" s="31" t="n">
        <v>4.906242666849553</v>
      </c>
      <c r="V31" s="31" t="n">
        <v>4.771905660324264</v>
      </c>
      <c r="W31" s="31" t="n">
        <v>4.599868822343224</v>
      </c>
      <c r="X31" s="31" t="n">
        <v>14.7020184824194</v>
      </c>
      <c r="Y31" s="31" t="n">
        <v>6.566442838547182</v>
      </c>
      <c r="Z31" s="31" t="n">
        <v>12.05952452086746</v>
      </c>
      <c r="AA31" s="31" t="n">
        <v>34.36266783450343</v>
      </c>
      <c r="AB31" s="31" t="n">
        <v>19.19389112066172</v>
      </c>
      <c r="AC31" s="31" t="n">
        <v>14.49405813051062</v>
      </c>
      <c r="AD31" s="31" t="n">
        <v>2.212375135291625</v>
      </c>
      <c r="AE31" s="31" t="n">
        <v>23.25045562315089</v>
      </c>
      <c r="AF31" s="31" t="n">
        <v>127.2207018896005</v>
      </c>
      <c r="AG31" s="31" t="n">
        <v>14.98194821641235</v>
      </c>
      <c r="AH31" s="31" t="n">
        <v>39.50103571802261</v>
      </c>
      <c r="AI31" s="31" t="n">
        <v>32.01670294178221</v>
      </c>
      <c r="AJ31" s="31" t="n">
        <v>20.50497938161167</v>
      </c>
      <c r="AK31" s="31" t="n">
        <v>6.401451738422861</v>
      </c>
      <c r="AL31" s="31" t="n">
        <v>28.23496940230983</v>
      </c>
      <c r="AM31" s="31" t="n">
        <v>6.551432154073072</v>
      </c>
      <c r="AN31" s="31" t="n">
        <v>16.39449218836976</v>
      </c>
      <c r="AO31" s="31" t="n">
        <v>8.538832341426639</v>
      </c>
      <c r="AP31" s="31" t="n">
        <v>56.22835433688405</v>
      </c>
      <c r="AQ31" s="31" t="n">
        <v>100.6065226230229</v>
      </c>
      <c r="AR31" s="31" t="n">
        <v>4360.263583711875</v>
      </c>
      <c r="AS31" s="31" t="n">
        <v>44.96252145698674</v>
      </c>
      <c r="AT31" s="31" t="n">
        <v>1.844402524657653</v>
      </c>
      <c r="AU31" s="31" t="n">
        <v>32.18803045297717</v>
      </c>
      <c r="AV31" s="31" t="n">
        <v>39.28145951815907</v>
      </c>
      <c r="AW31" s="31" t="n">
        <v>6.4533479229822</v>
      </c>
      <c r="AX31" s="31" t="n">
        <v>58.12202774638163</v>
      </c>
      <c r="AY31" s="31" t="n">
        <v>2058.415348739313</v>
      </c>
      <c r="AZ31" s="31" t="n">
        <v>297.9809000097617</v>
      </c>
      <c r="BA31" s="31" t="n">
        <v>671.6164756712074</v>
      </c>
      <c r="BB31" s="31" t="n">
        <v>727.2809209345579</v>
      </c>
      <c r="BC31" s="31" t="n">
        <v>1598.414695835094</v>
      </c>
      <c r="BD31" s="31" t="n">
        <v>205.5043369584514</v>
      </c>
      <c r="BE31" s="31" t="n">
        <v>356.4527368190908</v>
      </c>
      <c r="BF31" s="31" t="n">
        <v>217.064361416477</v>
      </c>
      <c r="BG31" s="31" t="n">
        <v>2479.764138452073</v>
      </c>
      <c r="BH31" s="31" t="n">
        <v>44.37327428042335</v>
      </c>
      <c r="BI31" s="31" t="n">
        <v>1177.941215253121</v>
      </c>
      <c r="BJ31" s="31" t="n">
        <v>2.519614373908762</v>
      </c>
      <c r="BK31" s="31" t="n">
        <v>800.548071164136</v>
      </c>
      <c r="BL31" s="31" t="n">
        <v>200.5625227345143</v>
      </c>
      <c r="BM31" s="31" t="n">
        <v>22.84160856827919</v>
      </c>
      <c r="BN31" s="31" t="n">
        <v>72.06545458110824</v>
      </c>
      <c r="BO31" s="31" t="n">
        <v>80.40043895780092</v>
      </c>
      <c r="BP31" s="31" t="n">
        <v>276.1420431918015</v>
      </c>
      <c r="BQ31" s="31" t="n">
        <v>372.463655502168</v>
      </c>
      <c r="BR31" s="31" t="n">
        <v>0</v>
      </c>
      <c r="BS31" s="31">
        <f>SUM(C31:BR31)</f>
        <v/>
      </c>
      <c r="BT31" s="31" t="n">
        <v>0</v>
      </c>
      <c r="BU31" s="31" t="n">
        <v>0</v>
      </c>
      <c r="BV31" s="31" t="n">
        <v>642.5554806850512</v>
      </c>
      <c r="BW31" s="31" t="n">
        <v>0</v>
      </c>
      <c r="BX31" s="31">
        <f>SUM(BT31:BW31)</f>
        <v/>
      </c>
      <c r="BY31" s="31">
        <f>BS31+BX31</f>
        <v/>
      </c>
    </row>
    <row r="32">
      <c r="A32" s="28" t="inlineStr">
        <is>
          <t>1991</t>
        </is>
      </c>
      <c r="B32" s="28" t="inlineStr">
        <is>
          <t>Refino de petróleo e coquerias</t>
        </is>
      </c>
      <c r="C32" s="29" t="n">
        <v>6219.215542625953</v>
      </c>
      <c r="D32" s="29" t="n">
        <v>2575.742698004393</v>
      </c>
      <c r="E32" s="29" t="n">
        <v>435.25596803928</v>
      </c>
      <c r="F32" s="29" t="n">
        <v>826.2236364929574</v>
      </c>
      <c r="G32" s="29" t="n">
        <v>1021.053076746757</v>
      </c>
      <c r="H32" s="29" t="n">
        <v>2054.933242898549</v>
      </c>
      <c r="I32" s="29" t="n">
        <v>692.0490106700091</v>
      </c>
      <c r="J32" s="29" t="n">
        <v>1570.86481004232</v>
      </c>
      <c r="K32" s="29" t="n">
        <v>960.1907694062787</v>
      </c>
      <c r="L32" s="29" t="n">
        <v>1834.645183466107</v>
      </c>
      <c r="M32" s="29" t="n">
        <v>434.0506096840132</v>
      </c>
      <c r="N32" s="29" t="n">
        <v>17.32209044348226</v>
      </c>
      <c r="O32" s="29" t="n">
        <v>195.4785315656933</v>
      </c>
      <c r="P32" s="29" t="n">
        <v>68.23868723877176</v>
      </c>
      <c r="Q32" s="29" t="n">
        <v>148.3688904817749</v>
      </c>
      <c r="R32" s="29" t="n">
        <v>133.9012563905295</v>
      </c>
      <c r="S32" s="29" t="n">
        <v>955.421733884205</v>
      </c>
      <c r="T32" s="29" t="n">
        <v>22.29526549547593</v>
      </c>
      <c r="U32" s="29" t="n">
        <v>62179.79354700855</v>
      </c>
      <c r="V32" s="29" t="n">
        <v>388.543110484301</v>
      </c>
      <c r="W32" s="29" t="n">
        <v>7708.293322580855</v>
      </c>
      <c r="X32" s="29" t="n">
        <v>808.5116599055284</v>
      </c>
      <c r="Y32" s="29" t="n">
        <v>320.6825887020722</v>
      </c>
      <c r="Z32" s="29" t="n">
        <v>122.8052197723928</v>
      </c>
      <c r="AA32" s="29" t="n">
        <v>1261.028687217349</v>
      </c>
      <c r="AB32" s="29" t="n">
        <v>2592.810028083302</v>
      </c>
      <c r="AC32" s="29" t="n">
        <v>1952.114523218795</v>
      </c>
      <c r="AD32" s="29" t="n">
        <v>1165.67588175528</v>
      </c>
      <c r="AE32" s="29" t="n">
        <v>296.6388386942872</v>
      </c>
      <c r="AF32" s="29" t="n">
        <v>117.4554088847833</v>
      </c>
      <c r="AG32" s="29" t="n">
        <v>539.9666448962269</v>
      </c>
      <c r="AH32" s="29" t="n">
        <v>401.319249614047</v>
      </c>
      <c r="AI32" s="29" t="n">
        <v>809.3241211304379</v>
      </c>
      <c r="AJ32" s="29" t="n">
        <v>333.6268308243575</v>
      </c>
      <c r="AK32" s="29" t="n">
        <v>101.9335605938765</v>
      </c>
      <c r="AL32" s="29" t="n">
        <v>186.742398152699</v>
      </c>
      <c r="AM32" s="29" t="n">
        <v>211.9522233362234</v>
      </c>
      <c r="AN32" s="29" t="n">
        <v>3235.922255277697</v>
      </c>
      <c r="AO32" s="29" t="n">
        <v>689.9377305853319</v>
      </c>
      <c r="AP32" s="29" t="n">
        <v>7182.324353463419</v>
      </c>
      <c r="AQ32" s="29" t="n">
        <v>716.0849195229184</v>
      </c>
      <c r="AR32" s="29" t="n">
        <v>8177.497620146246</v>
      </c>
      <c r="AS32" s="29" t="n">
        <v>41861.55024894649</v>
      </c>
      <c r="AT32" s="29" t="n">
        <v>1068.942697460463</v>
      </c>
      <c r="AU32" s="29" t="n">
        <v>4597.479090445025</v>
      </c>
      <c r="AV32" s="29" t="n">
        <v>1047.242759457115</v>
      </c>
      <c r="AW32" s="29" t="n">
        <v>57.20368638152345</v>
      </c>
      <c r="AX32" s="29" t="n">
        <v>946.9260289672294</v>
      </c>
      <c r="AY32" s="29" t="n">
        <v>38.0196187338118</v>
      </c>
      <c r="AZ32" s="29" t="n">
        <v>47.64503840097006</v>
      </c>
      <c r="BA32" s="29" t="n">
        <v>108.5578040176218</v>
      </c>
      <c r="BB32" s="29" t="n">
        <v>94.94908915852382</v>
      </c>
      <c r="BC32" s="29" t="n">
        <v>596.8978113258046</v>
      </c>
      <c r="BD32" s="29" t="n">
        <v>65.75610441499305</v>
      </c>
      <c r="BE32" s="29" t="n">
        <v>337.6875000651591</v>
      </c>
      <c r="BF32" s="29" t="n">
        <v>371.725516660652</v>
      </c>
      <c r="BG32" s="29" t="n">
        <v>82.65139567435912</v>
      </c>
      <c r="BH32" s="29" t="n">
        <v>453.4908875464361</v>
      </c>
      <c r="BI32" s="29" t="n">
        <v>387.1399380765488</v>
      </c>
      <c r="BJ32" s="29" t="n">
        <v>266.4452449062395</v>
      </c>
      <c r="BK32" s="29" t="n">
        <v>1661.300022879063</v>
      </c>
      <c r="BL32" s="29" t="n">
        <v>260.7817537387151</v>
      </c>
      <c r="BM32" s="29" t="n">
        <v>74.42130594142198</v>
      </c>
      <c r="BN32" s="29" t="n">
        <v>67.82561948753231</v>
      </c>
      <c r="BO32" s="29" t="n">
        <v>195.6423960587337</v>
      </c>
      <c r="BP32" s="29" t="n">
        <v>96.95257942365323</v>
      </c>
      <c r="BQ32" s="29" t="n">
        <v>390.6948984107908</v>
      </c>
      <c r="BR32" s="29" t="n">
        <v>0</v>
      </c>
      <c r="BS32" s="29">
        <f>SUM(C32:BR32)</f>
        <v/>
      </c>
      <c r="BT32" s="29" t="n">
        <v>0</v>
      </c>
      <c r="BU32" s="29" t="n">
        <v>0</v>
      </c>
      <c r="BV32" s="29" t="n">
        <v>76731.72558377023</v>
      </c>
      <c r="BW32" s="29" t="n">
        <v>0</v>
      </c>
      <c r="BX32" s="29">
        <f>SUM(BT32:BW32)</f>
        <v/>
      </c>
      <c r="BY32" s="29">
        <f>BS32+BX32</f>
        <v/>
      </c>
    </row>
    <row r="33">
      <c r="A33" s="30" t="inlineStr">
        <is>
          <t>1992</t>
        </is>
      </c>
      <c r="B33" s="30" t="inlineStr">
        <is>
          <t>Fabricação de biocombustíveis</t>
        </is>
      </c>
      <c r="C33" s="31" t="n">
        <v>54.38151637817533</v>
      </c>
      <c r="D33" s="31" t="n">
        <v>56.76785597184246</v>
      </c>
      <c r="E33" s="31" t="n">
        <v>2.566703800525261</v>
      </c>
      <c r="F33" s="31" t="n">
        <v>9.286362762079502</v>
      </c>
      <c r="G33" s="31" t="n">
        <v>152.3480148901014</v>
      </c>
      <c r="H33" s="31" t="n">
        <v>2.662058084753366</v>
      </c>
      <c r="I33" s="31" t="n">
        <v>0.7857834291297547</v>
      </c>
      <c r="J33" s="31" t="n">
        <v>102.2930908761027</v>
      </c>
      <c r="K33" s="31" t="n">
        <v>206.0736055425972</v>
      </c>
      <c r="L33" s="31" t="n">
        <v>533.6678531174309</v>
      </c>
      <c r="M33" s="31" t="n">
        <v>100.3057028430097</v>
      </c>
      <c r="N33" s="31" t="n">
        <v>0.4228210553719569</v>
      </c>
      <c r="O33" s="31" t="n">
        <v>4.207143830180635</v>
      </c>
      <c r="P33" s="31" t="n">
        <v>1.319996204092551</v>
      </c>
      <c r="Q33" s="31" t="n">
        <v>2.265129208952531</v>
      </c>
      <c r="R33" s="31" t="n">
        <v>1.883870135616912</v>
      </c>
      <c r="S33" s="31" t="n">
        <v>7.226725232607314</v>
      </c>
      <c r="T33" s="31" t="n">
        <v>1.113443972398442</v>
      </c>
      <c r="U33" s="31" t="n">
        <v>7165.312530123267</v>
      </c>
      <c r="V33" s="31" t="n">
        <v>153.3620939446049</v>
      </c>
      <c r="W33" s="31" t="n">
        <v>125.6640336809417</v>
      </c>
      <c r="X33" s="31" t="n">
        <v>177.2031484575184</v>
      </c>
      <c r="Y33" s="31" t="n">
        <v>424.9119806678307</v>
      </c>
      <c r="Z33" s="31" t="n">
        <v>274.7505598553288</v>
      </c>
      <c r="AA33" s="31" t="n">
        <v>10.3629908074921</v>
      </c>
      <c r="AB33" s="31" t="n">
        <v>6.859465193264029</v>
      </c>
      <c r="AC33" s="31" t="n">
        <v>7.081097907570626</v>
      </c>
      <c r="AD33" s="31" t="n">
        <v>4.266239593714088</v>
      </c>
      <c r="AE33" s="31" t="n">
        <v>18.09753736330888</v>
      </c>
      <c r="AF33" s="31" t="n">
        <v>1.508264652349819</v>
      </c>
      <c r="AG33" s="31" t="n">
        <v>5.324769271913276</v>
      </c>
      <c r="AH33" s="31" t="n">
        <v>9.881495498149249</v>
      </c>
      <c r="AI33" s="31" t="n">
        <v>6.689947605680361</v>
      </c>
      <c r="AJ33" s="31" t="n">
        <v>2.856475654633237</v>
      </c>
      <c r="AK33" s="31" t="n">
        <v>0.9659111402407228</v>
      </c>
      <c r="AL33" s="31" t="n">
        <v>3.867816619550644</v>
      </c>
      <c r="AM33" s="31" t="n">
        <v>2.68395284803925</v>
      </c>
      <c r="AN33" s="31" t="n">
        <v>58.53608575205413</v>
      </c>
      <c r="AO33" s="31" t="n">
        <v>5.676206850076799</v>
      </c>
      <c r="AP33" s="31" t="n">
        <v>147.0417291299753</v>
      </c>
      <c r="AQ33" s="31" t="n">
        <v>52.69447700194168</v>
      </c>
      <c r="AR33" s="31" t="n">
        <v>100.2242408123176</v>
      </c>
      <c r="AS33" s="31" t="n">
        <v>221.0577842676313</v>
      </c>
      <c r="AT33" s="31" t="n">
        <v>0.1461493694414331</v>
      </c>
      <c r="AU33" s="31" t="n">
        <v>0.108372411084042</v>
      </c>
      <c r="AV33" s="31" t="n">
        <v>18.4859768219343</v>
      </c>
      <c r="AW33" s="31" t="n">
        <v>2.464035695726329</v>
      </c>
      <c r="AX33" s="31" t="n">
        <v>115.5923507851682</v>
      </c>
      <c r="AY33" s="31" t="n">
        <v>1.331950742606981</v>
      </c>
      <c r="AZ33" s="31" t="n">
        <v>1.850652378669714</v>
      </c>
      <c r="BA33" s="31" t="n">
        <v>9.981671492642509</v>
      </c>
      <c r="BB33" s="31" t="n">
        <v>1.437998331941852</v>
      </c>
      <c r="BC33" s="31" t="n">
        <v>6.378811886160833</v>
      </c>
      <c r="BD33" s="31" t="n">
        <v>1.406675184723558</v>
      </c>
      <c r="BE33" s="31" t="n">
        <v>3.734955974007365</v>
      </c>
      <c r="BF33" s="31" t="n">
        <v>27.12164298163196</v>
      </c>
      <c r="BG33" s="31" t="n">
        <v>7.326663620600499</v>
      </c>
      <c r="BH33" s="31" t="n">
        <v>0.8814023989127795</v>
      </c>
      <c r="BI33" s="31" t="n">
        <v>10.46434619024431</v>
      </c>
      <c r="BJ33" s="31" t="n">
        <v>26.48157307344863</v>
      </c>
      <c r="BK33" s="31" t="n">
        <v>322.9004776377774</v>
      </c>
      <c r="BL33" s="31" t="n">
        <v>61.92490857882377</v>
      </c>
      <c r="BM33" s="31" t="n">
        <v>4.635803011726512</v>
      </c>
      <c r="BN33" s="31" t="n">
        <v>29.02072015824652</v>
      </c>
      <c r="BO33" s="31" t="n">
        <v>20.99293261919258</v>
      </c>
      <c r="BP33" s="31" t="n">
        <v>2.828507446264851</v>
      </c>
      <c r="BQ33" s="31" t="n">
        <v>42.09319248569314</v>
      </c>
      <c r="BR33" s="31" t="n">
        <v>0</v>
      </c>
      <c r="BS33" s="31">
        <f>SUM(C33:BR33)</f>
        <v/>
      </c>
      <c r="BT33" s="31" t="n">
        <v>0</v>
      </c>
      <c r="BU33" s="31" t="n">
        <v>0</v>
      </c>
      <c r="BV33" s="31" t="n">
        <v>12641.86782452213</v>
      </c>
      <c r="BW33" s="31" t="n">
        <v>0</v>
      </c>
      <c r="BX33" s="31">
        <f>SUM(BT33:BW33)</f>
        <v/>
      </c>
      <c r="BY33" s="31">
        <f>BS33+BX33</f>
        <v/>
      </c>
    </row>
    <row r="34">
      <c r="A34" s="28" t="inlineStr">
        <is>
          <t>2091</t>
        </is>
      </c>
      <c r="B34" s="28" t="inlineStr">
        <is>
          <t>Fabricação de químicos orgânicos e inorgânicos, resinas e elastômeros</t>
        </is>
      </c>
      <c r="C34" s="29" t="n">
        <v>22457.13749257272</v>
      </c>
      <c r="D34" s="29" t="n">
        <v>2327.50320826743</v>
      </c>
      <c r="E34" s="29" t="n">
        <v>295.7120931996529</v>
      </c>
      <c r="F34" s="29" t="n">
        <v>166.9445141041873</v>
      </c>
      <c r="G34" s="29" t="n">
        <v>1586.66204857601</v>
      </c>
      <c r="H34" s="29" t="n">
        <v>168.1555148365303</v>
      </c>
      <c r="I34" s="29" t="n">
        <v>72.09643918035275</v>
      </c>
      <c r="J34" s="29" t="n">
        <v>306.7801206612235</v>
      </c>
      <c r="K34" s="29" t="n">
        <v>211.2898469224545</v>
      </c>
      <c r="L34" s="29" t="n">
        <v>534.1914125543209</v>
      </c>
      <c r="M34" s="29" t="n">
        <v>72.28135321036417</v>
      </c>
      <c r="N34" s="29" t="n">
        <v>19.90624484395802</v>
      </c>
      <c r="O34" s="29" t="n">
        <v>3112.345732738418</v>
      </c>
      <c r="P34" s="29" t="n">
        <v>115.7507966701851</v>
      </c>
      <c r="Q34" s="29" t="n">
        <v>1113.210227884307</v>
      </c>
      <c r="R34" s="29" t="n">
        <v>315.31705710283</v>
      </c>
      <c r="S34" s="29" t="n">
        <v>2363.844191635223</v>
      </c>
      <c r="T34" s="29" t="n">
        <v>57.14779363466015</v>
      </c>
      <c r="U34" s="29" t="n">
        <v>751.0601083097959</v>
      </c>
      <c r="V34" s="29" t="n">
        <v>235.7670558546712</v>
      </c>
      <c r="W34" s="29" t="n">
        <v>21612.92044932767</v>
      </c>
      <c r="X34" s="29" t="n">
        <v>8465.288447668923</v>
      </c>
      <c r="Y34" s="29" t="n">
        <v>2604.109798385313</v>
      </c>
      <c r="Z34" s="29" t="n">
        <v>1111.520733462531</v>
      </c>
      <c r="AA34" s="29" t="n">
        <v>10720.8996694654</v>
      </c>
      <c r="AB34" s="29" t="n">
        <v>1705.033740808478</v>
      </c>
      <c r="AC34" s="29" t="n">
        <v>635.4534062926911</v>
      </c>
      <c r="AD34" s="29" t="n">
        <v>649.2855956886089</v>
      </c>
      <c r="AE34" s="29" t="n">
        <v>996.1563605471441</v>
      </c>
      <c r="AF34" s="29" t="n">
        <v>133.4265392695591</v>
      </c>
      <c r="AG34" s="29" t="n">
        <v>2268.58870123716</v>
      </c>
      <c r="AH34" s="29" t="n">
        <v>251.4514038812806</v>
      </c>
      <c r="AI34" s="29" t="n">
        <v>132.1545277252108</v>
      </c>
      <c r="AJ34" s="29" t="n">
        <v>1105.070396802535</v>
      </c>
      <c r="AK34" s="29" t="n">
        <v>307.7954120106264</v>
      </c>
      <c r="AL34" s="29" t="n">
        <v>1209.394688474816</v>
      </c>
      <c r="AM34" s="29" t="n">
        <v>125.5597333743709</v>
      </c>
      <c r="AN34" s="29" t="n">
        <v>82.26343086507481</v>
      </c>
      <c r="AO34" s="29" t="n">
        <v>488.7816297093459</v>
      </c>
      <c r="AP34" s="29" t="n">
        <v>245.2719190716813</v>
      </c>
      <c r="AQ34" s="29" t="n">
        <v>56.80774845326853</v>
      </c>
      <c r="AR34" s="29" t="n">
        <v>662.6615938067591</v>
      </c>
      <c r="AS34" s="29" t="n">
        <v>47.28722858330046</v>
      </c>
      <c r="AT34" s="29" t="n">
        <v>1.812389898183095</v>
      </c>
      <c r="AU34" s="29" t="n">
        <v>1.824732752159562</v>
      </c>
      <c r="AV34" s="29" t="n">
        <v>24.31918422050349</v>
      </c>
      <c r="AW34" s="29" t="n">
        <v>12.27880945439184</v>
      </c>
      <c r="AX34" s="29" t="n">
        <v>64.40603463884669</v>
      </c>
      <c r="AY34" s="29" t="n">
        <v>13.46635839694742</v>
      </c>
      <c r="AZ34" s="29" t="n">
        <v>13.2019342285197</v>
      </c>
      <c r="BA34" s="29" t="n">
        <v>88.04380654402971</v>
      </c>
      <c r="BB34" s="29" t="n">
        <v>15.74382592276879</v>
      </c>
      <c r="BC34" s="29" t="n">
        <v>67.80903999776564</v>
      </c>
      <c r="BD34" s="29" t="n">
        <v>23.44390597435178</v>
      </c>
      <c r="BE34" s="29" t="n">
        <v>43.3214923403153</v>
      </c>
      <c r="BF34" s="29" t="n">
        <v>58.28314165906644</v>
      </c>
      <c r="BG34" s="29" t="n">
        <v>14.52366139373625</v>
      </c>
      <c r="BH34" s="29" t="n">
        <v>12.62393644699826</v>
      </c>
      <c r="BI34" s="29" t="n">
        <v>59.15573201739674</v>
      </c>
      <c r="BJ34" s="29" t="n">
        <v>2.924139790665843</v>
      </c>
      <c r="BK34" s="29" t="n">
        <v>46.00240984005961</v>
      </c>
      <c r="BL34" s="29" t="n">
        <v>54.66689606214158</v>
      </c>
      <c r="BM34" s="29" t="n">
        <v>33.68770420987134</v>
      </c>
      <c r="BN34" s="29" t="n">
        <v>185.8934236205676</v>
      </c>
      <c r="BO34" s="29" t="n">
        <v>392.2112276041299</v>
      </c>
      <c r="BP34" s="29" t="n">
        <v>33.06800569183819</v>
      </c>
      <c r="BQ34" s="29" t="n">
        <v>167.3428296211372</v>
      </c>
      <c r="BR34" s="29" t="n">
        <v>0</v>
      </c>
      <c r="BS34" s="29">
        <f>SUM(C34:BR34)</f>
        <v/>
      </c>
      <c r="BT34" s="29" t="n">
        <v>0</v>
      </c>
      <c r="BU34" s="29" t="n">
        <v>0</v>
      </c>
      <c r="BV34" s="29" t="n">
        <v>12105.87336040207</v>
      </c>
      <c r="BW34" s="29" t="n">
        <v>0</v>
      </c>
      <c r="BX34" s="29">
        <f>SUM(BT34:BW34)</f>
        <v/>
      </c>
      <c r="BY34" s="29">
        <f>BS34+BX34</f>
        <v/>
      </c>
    </row>
    <row r="35">
      <c r="A35" s="30" t="inlineStr">
        <is>
          <t>2092</t>
        </is>
      </c>
      <c r="B35" s="30" t="inlineStr">
        <is>
          <t>Fabricação de defensivos, desinfestantes, tintas e químicos diversos</t>
        </is>
      </c>
      <c r="C35" s="31" t="n">
        <v>8892.817982399756</v>
      </c>
      <c r="D35" s="31" t="n">
        <v>722.8707856040601</v>
      </c>
      <c r="E35" s="31" t="n">
        <v>30.63154705256159</v>
      </c>
      <c r="F35" s="31" t="n">
        <v>1695.139972276482</v>
      </c>
      <c r="G35" s="31" t="n">
        <v>225.0861406942288</v>
      </c>
      <c r="H35" s="31" t="n">
        <v>191.5652917716174</v>
      </c>
      <c r="I35" s="31" t="n">
        <v>77.01592127421856</v>
      </c>
      <c r="J35" s="31" t="n">
        <v>610.9164951843717</v>
      </c>
      <c r="K35" s="31" t="n">
        <v>37.5837288073238</v>
      </c>
      <c r="L35" s="31" t="n">
        <v>1532.282930591299</v>
      </c>
      <c r="M35" s="31" t="n">
        <v>94.43326013940269</v>
      </c>
      <c r="N35" s="31" t="n">
        <v>9.777622439398138</v>
      </c>
      <c r="O35" s="31" t="n">
        <v>309.4288852142591</v>
      </c>
      <c r="P35" s="31" t="n">
        <v>49.71175375167517</v>
      </c>
      <c r="Q35" s="31" t="n">
        <v>209.1532632274958</v>
      </c>
      <c r="R35" s="31" t="n">
        <v>405.604247696427</v>
      </c>
      <c r="S35" s="31" t="n">
        <v>1295.986682496252</v>
      </c>
      <c r="T35" s="31" t="n">
        <v>927.7122156651361</v>
      </c>
      <c r="U35" s="31" t="n">
        <v>270.2791724920047</v>
      </c>
      <c r="V35" s="31" t="n">
        <v>81.99775653259245</v>
      </c>
      <c r="W35" s="31" t="n">
        <v>1204.891316609067</v>
      </c>
      <c r="X35" s="31" t="n">
        <v>4461.641777261333</v>
      </c>
      <c r="Y35" s="31" t="n">
        <v>1000.211653374507</v>
      </c>
      <c r="Z35" s="31" t="n">
        <v>615.6276096836647</v>
      </c>
      <c r="AA35" s="31" t="n">
        <v>2338.154522948594</v>
      </c>
      <c r="AB35" s="31" t="n">
        <v>910.2451876868503</v>
      </c>
      <c r="AC35" s="31" t="n">
        <v>397.2871143458079</v>
      </c>
      <c r="AD35" s="31" t="n">
        <v>68.68509295571791</v>
      </c>
      <c r="AE35" s="31" t="n">
        <v>602.8466726584891</v>
      </c>
      <c r="AF35" s="31" t="n">
        <v>310.9451313686295</v>
      </c>
      <c r="AG35" s="31" t="n">
        <v>214.3983258902871</v>
      </c>
      <c r="AH35" s="31" t="n">
        <v>239.2288902310345</v>
      </c>
      <c r="AI35" s="31" t="n">
        <v>686.6352102159194</v>
      </c>
      <c r="AJ35" s="31" t="n">
        <v>291.1257500688366</v>
      </c>
      <c r="AK35" s="31" t="n">
        <v>143.9343426383029</v>
      </c>
      <c r="AL35" s="31" t="n">
        <v>450.0834816658937</v>
      </c>
      <c r="AM35" s="31" t="n">
        <v>518.3080414464383</v>
      </c>
      <c r="AN35" s="31" t="n">
        <v>74.49557672745718</v>
      </c>
      <c r="AO35" s="31" t="n">
        <v>222.2725510652384</v>
      </c>
      <c r="AP35" s="31" t="n">
        <v>5592.494527389597</v>
      </c>
      <c r="AQ35" s="31" t="n">
        <v>974.0025164304955</v>
      </c>
      <c r="AR35" s="31" t="n">
        <v>1247.610267179313</v>
      </c>
      <c r="AS35" s="31" t="n">
        <v>236.3934491995223</v>
      </c>
      <c r="AT35" s="31" t="n">
        <v>2.135127618308711</v>
      </c>
      <c r="AU35" s="31" t="n">
        <v>8.287357495359972</v>
      </c>
      <c r="AV35" s="31" t="n">
        <v>35.84704293501157</v>
      </c>
      <c r="AW35" s="31" t="n">
        <v>14.88305861176321</v>
      </c>
      <c r="AX35" s="31" t="n">
        <v>27.74021650054891</v>
      </c>
      <c r="AY35" s="31" t="n">
        <v>209.8982979190866</v>
      </c>
      <c r="AZ35" s="31" t="n">
        <v>86.59335403850589</v>
      </c>
      <c r="BA35" s="31" t="n">
        <v>81.45587339397402</v>
      </c>
      <c r="BB35" s="31" t="n">
        <v>12.71286960352817</v>
      </c>
      <c r="BC35" s="31" t="n">
        <v>56.63214438936025</v>
      </c>
      <c r="BD35" s="31" t="n">
        <v>538.2830977535467</v>
      </c>
      <c r="BE35" s="31" t="n">
        <v>24.45429802777107</v>
      </c>
      <c r="BF35" s="31" t="n">
        <v>45.49080953446378</v>
      </c>
      <c r="BG35" s="31" t="n">
        <v>23.55084059721842</v>
      </c>
      <c r="BH35" s="31" t="n">
        <v>22.80763153392713</v>
      </c>
      <c r="BI35" s="31" t="n">
        <v>773.0115717152183</v>
      </c>
      <c r="BJ35" s="31" t="n">
        <v>2.811921373515808</v>
      </c>
      <c r="BK35" s="31" t="n">
        <v>188.175875427995</v>
      </c>
      <c r="BL35" s="31" t="n">
        <v>250.9670821391788</v>
      </c>
      <c r="BM35" s="31" t="n">
        <v>18.88603614434883</v>
      </c>
      <c r="BN35" s="31" t="n">
        <v>536.877739635859</v>
      </c>
      <c r="BO35" s="31" t="n">
        <v>32.61599942529334</v>
      </c>
      <c r="BP35" s="31" t="n">
        <v>27.69524390333924</v>
      </c>
      <c r="BQ35" s="31" t="n">
        <v>93.86009411959964</v>
      </c>
      <c r="BR35" s="31" t="n">
        <v>0</v>
      </c>
      <c r="BS35" s="31">
        <f>SUM(C35:BR35)</f>
        <v/>
      </c>
      <c r="BT35" s="31" t="n">
        <v>0</v>
      </c>
      <c r="BU35" s="31" t="n">
        <v>0</v>
      </c>
      <c r="BV35" s="31" t="n">
        <v>6764.030306219704</v>
      </c>
      <c r="BW35" s="31" t="n">
        <v>0</v>
      </c>
      <c r="BX35" s="31">
        <f>SUM(BT35:BW35)</f>
        <v/>
      </c>
      <c r="BY35" s="31">
        <f>BS35+BX35</f>
        <v/>
      </c>
    </row>
    <row r="36">
      <c r="A36" s="28" t="inlineStr">
        <is>
          <t>2093</t>
        </is>
      </c>
      <c r="B36" s="28" t="inlineStr">
        <is>
          <t>Fabricação de produtos de limpeza, cosméticos/perfumaria e higiene pessoal</t>
        </is>
      </c>
      <c r="C36" s="29" t="n">
        <v>276.0962377496531</v>
      </c>
      <c r="D36" s="29" t="n">
        <v>38.86659617358715</v>
      </c>
      <c r="E36" s="29" t="n">
        <v>1.174678798450881</v>
      </c>
      <c r="F36" s="29" t="n">
        <v>12.72318889077635</v>
      </c>
      <c r="G36" s="29" t="n">
        <v>38.08823966867889</v>
      </c>
      <c r="H36" s="29" t="n">
        <v>33.37673865022305</v>
      </c>
      <c r="I36" s="29" t="n">
        <v>6.063210998725876</v>
      </c>
      <c r="J36" s="29" t="n">
        <v>48.34065725609318</v>
      </c>
      <c r="K36" s="29" t="n">
        <v>9.9998580728388</v>
      </c>
      <c r="L36" s="29" t="n">
        <v>96.67416952617117</v>
      </c>
      <c r="M36" s="29" t="n">
        <v>21.39048437732365</v>
      </c>
      <c r="N36" s="29" t="n">
        <v>0.9620495560070021</v>
      </c>
      <c r="O36" s="29" t="n">
        <v>28.30621803704392</v>
      </c>
      <c r="P36" s="29" t="n">
        <v>20.66726137418808</v>
      </c>
      <c r="Q36" s="29" t="n">
        <v>7.542460502877436</v>
      </c>
      <c r="R36" s="29" t="n">
        <v>10.65593855111882</v>
      </c>
      <c r="S36" s="29" t="n">
        <v>30.72471876418837</v>
      </c>
      <c r="T36" s="29" t="n">
        <v>3.357171191080357</v>
      </c>
      <c r="U36" s="29" t="n">
        <v>72.80710381612812</v>
      </c>
      <c r="V36" s="29" t="n">
        <v>5.778062024675343</v>
      </c>
      <c r="W36" s="29" t="n">
        <v>131.1337181091208</v>
      </c>
      <c r="X36" s="29" t="n">
        <v>179.4511317562658</v>
      </c>
      <c r="Y36" s="29" t="n">
        <v>573.0821237120608</v>
      </c>
      <c r="Z36" s="29" t="n">
        <v>28.52831485893828</v>
      </c>
      <c r="AA36" s="29" t="n">
        <v>41.96141675694118</v>
      </c>
      <c r="AB36" s="29" t="n">
        <v>34.76971777147433</v>
      </c>
      <c r="AC36" s="29" t="n">
        <v>21.82711117099981</v>
      </c>
      <c r="AD36" s="29" t="n">
        <v>21.4130542994028</v>
      </c>
      <c r="AE36" s="29" t="n">
        <v>227.2904185848427</v>
      </c>
      <c r="AF36" s="29" t="n">
        <v>29.37747991087392</v>
      </c>
      <c r="AG36" s="29" t="n">
        <v>18.18255497311643</v>
      </c>
      <c r="AH36" s="29" t="n">
        <v>46.85826556590411</v>
      </c>
      <c r="AI36" s="29" t="n">
        <v>33.57626199776905</v>
      </c>
      <c r="AJ36" s="29" t="n">
        <v>26.87903442693077</v>
      </c>
      <c r="AK36" s="29" t="n">
        <v>9.151878173497773</v>
      </c>
      <c r="AL36" s="29" t="n">
        <v>13.58990696557686</v>
      </c>
      <c r="AM36" s="29" t="n">
        <v>11.69055471665516</v>
      </c>
      <c r="AN36" s="29" t="n">
        <v>12.45739021775599</v>
      </c>
      <c r="AO36" s="29" t="n">
        <v>28.52059738628357</v>
      </c>
      <c r="AP36" s="29" t="n">
        <v>142.8393855948306</v>
      </c>
      <c r="AQ36" s="29" t="n">
        <v>103.6620927324284</v>
      </c>
      <c r="AR36" s="29" t="n">
        <v>836.5381714449799</v>
      </c>
      <c r="AS36" s="29" t="n">
        <v>137.1147461790209</v>
      </c>
      <c r="AT36" s="29" t="n">
        <v>4.514395943932471</v>
      </c>
      <c r="AU36" s="29" t="n">
        <v>0.3740558243475187</v>
      </c>
      <c r="AV36" s="29" t="n">
        <v>41.92466882017584</v>
      </c>
      <c r="AW36" s="29" t="n">
        <v>35.83078906849067</v>
      </c>
      <c r="AX36" s="29" t="n">
        <v>42.15268458087844</v>
      </c>
      <c r="AY36" s="29" t="n">
        <v>7.949795899313107</v>
      </c>
      <c r="AZ36" s="29" t="n">
        <v>21.08453955414568</v>
      </c>
      <c r="BA36" s="29" t="n">
        <v>77.088582887595</v>
      </c>
      <c r="BB36" s="29" t="n">
        <v>5.046857493610864</v>
      </c>
      <c r="BC36" s="29" t="n">
        <v>12.39796967798742</v>
      </c>
      <c r="BD36" s="29" t="n">
        <v>1.881522708232642</v>
      </c>
      <c r="BE36" s="29" t="n">
        <v>103.8658395799675</v>
      </c>
      <c r="BF36" s="29" t="n">
        <v>69.37898982899796</v>
      </c>
      <c r="BG36" s="29" t="n">
        <v>107.1828876790001</v>
      </c>
      <c r="BH36" s="29" t="n">
        <v>48.04140602331005</v>
      </c>
      <c r="BI36" s="29" t="n">
        <v>713.7097511544788</v>
      </c>
      <c r="BJ36" s="29" t="n">
        <v>1.241362388355361</v>
      </c>
      <c r="BK36" s="29" t="n">
        <v>99.94257243647955</v>
      </c>
      <c r="BL36" s="29" t="n">
        <v>88.05381946425548</v>
      </c>
      <c r="BM36" s="29" t="n">
        <v>56.94329896067642</v>
      </c>
      <c r="BN36" s="29" t="n">
        <v>38.43124035739489</v>
      </c>
      <c r="BO36" s="29" t="n">
        <v>270.3881166299996</v>
      </c>
      <c r="BP36" s="29" t="n">
        <v>75.84037915075419</v>
      </c>
      <c r="BQ36" s="29" t="n">
        <v>459.0253838287264</v>
      </c>
      <c r="BR36" s="29" t="n">
        <v>0</v>
      </c>
      <c r="BS36" s="29">
        <f>SUM(C36:BR36)</f>
        <v/>
      </c>
      <c r="BT36" s="29" t="n">
        <v>0</v>
      </c>
      <c r="BU36" s="29" t="n">
        <v>0</v>
      </c>
      <c r="BV36" s="29" t="n">
        <v>21787.11184255567</v>
      </c>
      <c r="BW36" s="29" t="n">
        <v>0</v>
      </c>
      <c r="BX36" s="29">
        <f>SUM(BT36:BW36)</f>
        <v/>
      </c>
      <c r="BY36" s="29">
        <f>BS36+BX36</f>
        <v/>
      </c>
    </row>
    <row r="37">
      <c r="A37" s="30" t="inlineStr">
        <is>
          <t>2100</t>
        </is>
      </c>
      <c r="B37" s="30" t="inlineStr">
        <is>
          <t>Fabricação de produtos farmoquímicos e farmacêuticos</t>
        </is>
      </c>
      <c r="C37" s="31" t="n">
        <v>292.5910251702404</v>
      </c>
      <c r="D37" s="31" t="n">
        <v>1618.687065397487</v>
      </c>
      <c r="E37" s="31" t="n">
        <v>9.95691428111698</v>
      </c>
      <c r="F37" s="31" t="n">
        <v>1.014763804243651</v>
      </c>
      <c r="G37" s="31" t="n">
        <v>104.9138870394567</v>
      </c>
      <c r="H37" s="31" t="n">
        <v>3.569301205301815</v>
      </c>
      <c r="I37" s="31" t="n">
        <v>0.7605494170461652</v>
      </c>
      <c r="J37" s="31" t="n">
        <v>89.49488799396669</v>
      </c>
      <c r="K37" s="31" t="n">
        <v>6.546627972685109</v>
      </c>
      <c r="L37" s="31" t="n">
        <v>157.9392275840459</v>
      </c>
      <c r="M37" s="31" t="n">
        <v>6.071699533644417</v>
      </c>
      <c r="N37" s="31" t="n">
        <v>4.08967912702924</v>
      </c>
      <c r="O37" s="31" t="n">
        <v>19.59145123095956</v>
      </c>
      <c r="P37" s="31" t="n">
        <v>40.17957075024994</v>
      </c>
      <c r="Q37" s="31" t="n">
        <v>21.9963140689169</v>
      </c>
      <c r="R37" s="31" t="n">
        <v>3.797621246570453</v>
      </c>
      <c r="S37" s="31" t="n">
        <v>29.48175703522074</v>
      </c>
      <c r="T37" s="31" t="n">
        <v>2.58710731838419</v>
      </c>
      <c r="U37" s="31" t="n">
        <v>6.408150822521869</v>
      </c>
      <c r="V37" s="31" t="n">
        <v>5.162733798548722</v>
      </c>
      <c r="W37" s="31" t="n">
        <v>58.35677996528251</v>
      </c>
      <c r="X37" s="31" t="n">
        <v>168.8757082809822</v>
      </c>
      <c r="Y37" s="31" t="n">
        <v>18.51593457489575</v>
      </c>
      <c r="Z37" s="31" t="n">
        <v>1986.944849011114</v>
      </c>
      <c r="AA37" s="31" t="n">
        <v>35.58231380328063</v>
      </c>
      <c r="AB37" s="31" t="n">
        <v>18.96816029097127</v>
      </c>
      <c r="AC37" s="31" t="n">
        <v>22.1558973714033</v>
      </c>
      <c r="AD37" s="31" t="n">
        <v>8.422801040408416</v>
      </c>
      <c r="AE37" s="31" t="n">
        <v>24.17558459889967</v>
      </c>
      <c r="AF37" s="31" t="n">
        <v>13.96976649633115</v>
      </c>
      <c r="AG37" s="31" t="n">
        <v>18.92869039671909</v>
      </c>
      <c r="AH37" s="31" t="n">
        <v>42.46815704384891</v>
      </c>
      <c r="AI37" s="31" t="n">
        <v>13.78027412980062</v>
      </c>
      <c r="AJ37" s="31" t="n">
        <v>10.17680958995526</v>
      </c>
      <c r="AK37" s="31" t="n">
        <v>3.719544410262885</v>
      </c>
      <c r="AL37" s="31" t="n">
        <v>15.48306998693007</v>
      </c>
      <c r="AM37" s="31" t="n">
        <v>1.223730679047228</v>
      </c>
      <c r="AN37" s="31" t="n">
        <v>2.572722089344695</v>
      </c>
      <c r="AO37" s="31" t="n">
        <v>1.882209370840476</v>
      </c>
      <c r="AP37" s="31" t="n">
        <v>13.63541626208474</v>
      </c>
      <c r="AQ37" s="31" t="n">
        <v>7.487634080340638</v>
      </c>
      <c r="AR37" s="31" t="n">
        <v>236.5971749069391</v>
      </c>
      <c r="AS37" s="31" t="n">
        <v>5.424524355172806</v>
      </c>
      <c r="AT37" s="31" t="n">
        <v>0.4624251966528896</v>
      </c>
      <c r="AU37" s="31" t="n">
        <v>0.5753081791169029</v>
      </c>
      <c r="AV37" s="31" t="n">
        <v>3.788687632471482</v>
      </c>
      <c r="AW37" s="31" t="n">
        <v>2.178859707224318</v>
      </c>
      <c r="AX37" s="31" t="n">
        <v>12.64138163057459</v>
      </c>
      <c r="AY37" s="31" t="n">
        <v>10.90236158314339</v>
      </c>
      <c r="AZ37" s="31" t="n">
        <v>9.334388430355952</v>
      </c>
      <c r="BA37" s="31" t="n">
        <v>69.67734413798851</v>
      </c>
      <c r="BB37" s="31" t="n">
        <v>6.691161092131168</v>
      </c>
      <c r="BC37" s="31" t="n">
        <v>11.45186830138737</v>
      </c>
      <c r="BD37" s="31" t="n">
        <v>2.819906724135882</v>
      </c>
      <c r="BE37" s="31" t="n">
        <v>11.88283546956254</v>
      </c>
      <c r="BF37" s="31" t="n">
        <v>29.75238926826791</v>
      </c>
      <c r="BG37" s="31" t="n">
        <v>22.8831013979082</v>
      </c>
      <c r="BH37" s="31" t="n">
        <v>4.014786263754512</v>
      </c>
      <c r="BI37" s="31" t="n">
        <v>23.18417533276475</v>
      </c>
      <c r="BJ37" s="31" t="n">
        <v>1.046947106061648</v>
      </c>
      <c r="BK37" s="31" t="n">
        <v>304.2021105992471</v>
      </c>
      <c r="BL37" s="31" t="n">
        <v>255.5260664253531</v>
      </c>
      <c r="BM37" s="31" t="n">
        <v>78.03764409147124</v>
      </c>
      <c r="BN37" s="31" t="n">
        <v>2048.77149624714</v>
      </c>
      <c r="BO37" s="31" t="n">
        <v>3734.401848024385</v>
      </c>
      <c r="BP37" s="31" t="n">
        <v>9.000158944436956</v>
      </c>
      <c r="BQ37" s="31" t="n">
        <v>318.0859597689928</v>
      </c>
      <c r="BR37" s="31" t="n">
        <v>0</v>
      </c>
      <c r="BS37" s="31">
        <f>SUM(C37:BR37)</f>
        <v/>
      </c>
      <c r="BT37" s="31" t="n">
        <v>0</v>
      </c>
      <c r="BU37" s="31" t="n">
        <v>0</v>
      </c>
      <c r="BV37" s="31" t="n">
        <v>30663.6339751513</v>
      </c>
      <c r="BW37" s="31" t="n">
        <v>0</v>
      </c>
      <c r="BX37" s="31">
        <f>SUM(BT37:BW37)</f>
        <v/>
      </c>
      <c r="BY37" s="31">
        <f>BS37+BX37</f>
        <v/>
      </c>
    </row>
    <row r="38">
      <c r="A38" s="28" t="inlineStr">
        <is>
          <t>2200</t>
        </is>
      </c>
      <c r="B38" s="28" t="inlineStr">
        <is>
          <t>Fabricação de produtos de borracha e de material plástico</t>
        </is>
      </c>
      <c r="C38" s="29" t="n">
        <v>390.6191476220674</v>
      </c>
      <c r="D38" s="29" t="n">
        <v>123.7199093743668</v>
      </c>
      <c r="E38" s="29" t="n">
        <v>26.1222132308449</v>
      </c>
      <c r="F38" s="29" t="n">
        <v>148.0347232655608</v>
      </c>
      <c r="G38" s="29" t="n">
        <v>135.2015284564368</v>
      </c>
      <c r="H38" s="29" t="n">
        <v>361.0958457618942</v>
      </c>
      <c r="I38" s="29" t="n">
        <v>40.32096752265821</v>
      </c>
      <c r="J38" s="29" t="n">
        <v>1575.386647265063</v>
      </c>
      <c r="K38" s="29" t="n">
        <v>134.5058952005636</v>
      </c>
      <c r="L38" s="29" t="n">
        <v>4044.081440378396</v>
      </c>
      <c r="M38" s="29" t="n">
        <v>1961.135801252803</v>
      </c>
      <c r="N38" s="29" t="n">
        <v>6.673937210142634</v>
      </c>
      <c r="O38" s="29" t="n">
        <v>178.0104887993486</v>
      </c>
      <c r="P38" s="29" t="n">
        <v>119.8295642079783</v>
      </c>
      <c r="Q38" s="29" t="n">
        <v>554.4041877271269</v>
      </c>
      <c r="R38" s="29" t="n">
        <v>130.9957955090371</v>
      </c>
      <c r="S38" s="29" t="n">
        <v>511.3407595641669</v>
      </c>
      <c r="T38" s="29" t="n">
        <v>781.5572896412236</v>
      </c>
      <c r="U38" s="29" t="n">
        <v>62.65596677845768</v>
      </c>
      <c r="V38" s="29" t="n">
        <v>21.69694439274947</v>
      </c>
      <c r="W38" s="29" t="n">
        <v>908.7933370686598</v>
      </c>
      <c r="X38" s="29" t="n">
        <v>482.0989837715794</v>
      </c>
      <c r="Y38" s="29" t="n">
        <v>1052.325738230977</v>
      </c>
      <c r="Z38" s="29" t="n">
        <v>294.1263582093108</v>
      </c>
      <c r="AA38" s="29" t="n">
        <v>9733.66142098284</v>
      </c>
      <c r="AB38" s="29" t="n">
        <v>1442.219328931407</v>
      </c>
      <c r="AC38" s="29" t="n">
        <v>335.9353729000016</v>
      </c>
      <c r="AD38" s="29" t="n">
        <v>30.41276149558356</v>
      </c>
      <c r="AE38" s="29" t="n">
        <v>558.7041813500175</v>
      </c>
      <c r="AF38" s="29" t="n">
        <v>872.2664060717768</v>
      </c>
      <c r="AG38" s="29" t="n">
        <v>1566.049872281008</v>
      </c>
      <c r="AH38" s="29" t="n">
        <v>1708.12063503459</v>
      </c>
      <c r="AI38" s="29" t="n">
        <v>7616.750255591637</v>
      </c>
      <c r="AJ38" s="29" t="n">
        <v>3168.819069465485</v>
      </c>
      <c r="AK38" s="29" t="n">
        <v>655.1334487309701</v>
      </c>
      <c r="AL38" s="29" t="n">
        <v>1610.460550286425</v>
      </c>
      <c r="AM38" s="29" t="n">
        <v>736.9892054137027</v>
      </c>
      <c r="AN38" s="29" t="n">
        <v>109.5822700006827</v>
      </c>
      <c r="AO38" s="29" t="n">
        <v>234.2873681396437</v>
      </c>
      <c r="AP38" s="29" t="n">
        <v>8328.298180353531</v>
      </c>
      <c r="AQ38" s="29" t="n">
        <v>1073.413309633417</v>
      </c>
      <c r="AR38" s="29" t="n">
        <v>3309.456694064165</v>
      </c>
      <c r="AS38" s="29" t="n">
        <v>3583.987218130221</v>
      </c>
      <c r="AT38" s="29" t="n">
        <v>2.698346404062197</v>
      </c>
      <c r="AU38" s="29" t="n">
        <v>627.3380146261384</v>
      </c>
      <c r="AV38" s="29" t="n">
        <v>86.14821429137793</v>
      </c>
      <c r="AW38" s="29" t="n">
        <v>18.75625393433684</v>
      </c>
      <c r="AX38" s="29" t="n">
        <v>329.0276505313292</v>
      </c>
      <c r="AY38" s="29" t="n">
        <v>21.50365742979566</v>
      </c>
      <c r="AZ38" s="29" t="n">
        <v>9.604996136664004</v>
      </c>
      <c r="BA38" s="29" t="n">
        <v>53.01935335222177</v>
      </c>
      <c r="BB38" s="29" t="n">
        <v>17.17933461637962</v>
      </c>
      <c r="BC38" s="29" t="n">
        <v>90.49473793995321</v>
      </c>
      <c r="BD38" s="29" t="n">
        <v>53.95849368432421</v>
      </c>
      <c r="BE38" s="29" t="n">
        <v>307.9324723440175</v>
      </c>
      <c r="BF38" s="29" t="n">
        <v>32.02391458033706</v>
      </c>
      <c r="BG38" s="29" t="n">
        <v>19.90033531743564</v>
      </c>
      <c r="BH38" s="29" t="n">
        <v>215.8065170542698</v>
      </c>
      <c r="BI38" s="29" t="n">
        <v>399.9613332131377</v>
      </c>
      <c r="BJ38" s="29" t="n">
        <v>3.076601934166659</v>
      </c>
      <c r="BK38" s="29" t="n">
        <v>154.1188949902709</v>
      </c>
      <c r="BL38" s="29" t="n">
        <v>167.7890493149146</v>
      </c>
      <c r="BM38" s="29" t="n">
        <v>27.15523672145775</v>
      </c>
      <c r="BN38" s="29" t="n">
        <v>359.7798030213341</v>
      </c>
      <c r="BO38" s="29" t="n">
        <v>356.8034071113448</v>
      </c>
      <c r="BP38" s="29" t="n">
        <v>26.64140189643357</v>
      </c>
      <c r="BQ38" s="29" t="n">
        <v>102.7593241811184</v>
      </c>
      <c r="BR38" s="29" t="n">
        <v>0</v>
      </c>
      <c r="BS38" s="29">
        <f>SUM(C38:BR38)</f>
        <v/>
      </c>
      <c r="BT38" s="29" t="n">
        <v>0</v>
      </c>
      <c r="BU38" s="29" t="n">
        <v>0</v>
      </c>
      <c r="BV38" s="29" t="n">
        <v>15638.8738153253</v>
      </c>
      <c r="BW38" s="29" t="n">
        <v>0</v>
      </c>
      <c r="BX38" s="29">
        <f>SUM(BT38:BW38)</f>
        <v/>
      </c>
      <c r="BY38" s="29">
        <f>BS38+BX38</f>
        <v/>
      </c>
    </row>
    <row r="39">
      <c r="A39" s="30" t="inlineStr">
        <is>
          <t>2300</t>
        </is>
      </c>
      <c r="B39" s="30" t="inlineStr">
        <is>
          <t>Fabricação de produtos de minerais não-metálicos</t>
        </is>
      </c>
      <c r="C39" s="31" t="n">
        <v>1856.958444425039</v>
      </c>
      <c r="D39" s="31" t="n">
        <v>1357.544641757412</v>
      </c>
      <c r="E39" s="31" t="n">
        <v>45.47847891571968</v>
      </c>
      <c r="F39" s="31" t="n">
        <v>82.64677991857215</v>
      </c>
      <c r="G39" s="31" t="n">
        <v>149.6626262563851</v>
      </c>
      <c r="H39" s="31" t="n">
        <v>8.382970205363733</v>
      </c>
      <c r="I39" s="31" t="n">
        <v>6.545928009089356</v>
      </c>
      <c r="J39" s="31" t="n">
        <v>57.23812933046438</v>
      </c>
      <c r="K39" s="31" t="n">
        <v>103.9751295053837</v>
      </c>
      <c r="L39" s="31" t="n">
        <v>836.3270013096006</v>
      </c>
      <c r="M39" s="31" t="n">
        <v>1013.049934427901</v>
      </c>
      <c r="N39" s="31" t="n">
        <v>2.992615871225179</v>
      </c>
      <c r="O39" s="31" t="n">
        <v>19.73838715319756</v>
      </c>
      <c r="P39" s="31" t="n">
        <v>25.95572674783359</v>
      </c>
      <c r="Q39" s="31" t="n">
        <v>16.2412261790552</v>
      </c>
      <c r="R39" s="31" t="n">
        <v>8.283851223278969</v>
      </c>
      <c r="S39" s="31" t="n">
        <v>145.815224162331</v>
      </c>
      <c r="T39" s="31" t="n">
        <v>14.71971150837291</v>
      </c>
      <c r="U39" s="31" t="n">
        <v>78.62799225350878</v>
      </c>
      <c r="V39" s="31" t="n">
        <v>8.936675988321282</v>
      </c>
      <c r="W39" s="31" t="n">
        <v>455.8298640070069</v>
      </c>
      <c r="X39" s="31" t="n">
        <v>182.8356421883324</v>
      </c>
      <c r="Y39" s="31" t="n">
        <v>206.1915786696132</v>
      </c>
      <c r="Z39" s="31" t="n">
        <v>62.0061424422539</v>
      </c>
      <c r="AA39" s="31" t="n">
        <v>357.7658765276591</v>
      </c>
      <c r="AB39" s="31" t="n">
        <v>7011.915279583101</v>
      </c>
      <c r="AC39" s="31" t="n">
        <v>236.7112402179102</v>
      </c>
      <c r="AD39" s="31" t="n">
        <v>19.90509838511073</v>
      </c>
      <c r="AE39" s="31" t="n">
        <v>125.3984556941015</v>
      </c>
      <c r="AF39" s="31" t="n">
        <v>15.53000415991882</v>
      </c>
      <c r="AG39" s="31" t="n">
        <v>230.0206006432957</v>
      </c>
      <c r="AH39" s="31" t="n">
        <v>267.7874724078046</v>
      </c>
      <c r="AI39" s="31" t="n">
        <v>1676.010733321804</v>
      </c>
      <c r="AJ39" s="31" t="n">
        <v>104.6207995113943</v>
      </c>
      <c r="AK39" s="31" t="n">
        <v>99.01570223466953</v>
      </c>
      <c r="AL39" s="31" t="n">
        <v>316.7590922470776</v>
      </c>
      <c r="AM39" s="31" t="n">
        <v>129.3244344489995</v>
      </c>
      <c r="AN39" s="31" t="n">
        <v>997.8700560584849</v>
      </c>
      <c r="AO39" s="31" t="n">
        <v>614.0468563518514</v>
      </c>
      <c r="AP39" s="31" t="n">
        <v>43102.14595947518</v>
      </c>
      <c r="AQ39" s="31" t="n">
        <v>161.8994675983756</v>
      </c>
      <c r="AR39" s="31" t="n">
        <v>197.4190722684836</v>
      </c>
      <c r="AS39" s="31" t="n">
        <v>22.34758327778633</v>
      </c>
      <c r="AT39" s="31" t="n">
        <v>0.6909224456925462</v>
      </c>
      <c r="AU39" s="31" t="n">
        <v>0.5693832108195755</v>
      </c>
      <c r="AV39" s="31" t="n">
        <v>15.15418132576946</v>
      </c>
      <c r="AW39" s="31" t="n">
        <v>122.6271635474199</v>
      </c>
      <c r="AX39" s="31" t="n">
        <v>375.723892619209</v>
      </c>
      <c r="AY39" s="31" t="n">
        <v>9.984142711736816</v>
      </c>
      <c r="AZ39" s="31" t="n">
        <v>7.068335624862439</v>
      </c>
      <c r="BA39" s="31" t="n">
        <v>44.58725540196257</v>
      </c>
      <c r="BB39" s="31" t="n">
        <v>7.588795478396484</v>
      </c>
      <c r="BC39" s="31" t="n">
        <v>32.39761329861378</v>
      </c>
      <c r="BD39" s="31" t="n">
        <v>1280.282814373622</v>
      </c>
      <c r="BE39" s="31" t="n">
        <v>21.09424145859622</v>
      </c>
      <c r="BF39" s="31" t="n">
        <v>9.980981427394136</v>
      </c>
      <c r="BG39" s="31" t="n">
        <v>5.808985580141475</v>
      </c>
      <c r="BH39" s="31" t="n">
        <v>5.763397330771979</v>
      </c>
      <c r="BI39" s="31" t="n">
        <v>66.41068541436826</v>
      </c>
      <c r="BJ39" s="31" t="n">
        <v>1.433045588612282</v>
      </c>
      <c r="BK39" s="31" t="n">
        <v>304.4737462649549</v>
      </c>
      <c r="BL39" s="31" t="n">
        <v>118.0143943034088</v>
      </c>
      <c r="BM39" s="31" t="n">
        <v>15.12924587443167</v>
      </c>
      <c r="BN39" s="31" t="n">
        <v>99.83004111070493</v>
      </c>
      <c r="BO39" s="31" t="n">
        <v>69.95976498528938</v>
      </c>
      <c r="BP39" s="31" t="n">
        <v>14.89257407340526</v>
      </c>
      <c r="BQ39" s="31" t="n">
        <v>139.843389919864</v>
      </c>
      <c r="BR39" s="31" t="n">
        <v>0</v>
      </c>
      <c r="BS39" s="31">
        <f>SUM(C39:BR39)</f>
        <v/>
      </c>
      <c r="BT39" s="31" t="n">
        <v>0</v>
      </c>
      <c r="BU39" s="31" t="n">
        <v>0</v>
      </c>
      <c r="BV39" s="31" t="n">
        <v>7158.794730910531</v>
      </c>
      <c r="BW39" s="31" t="n">
        <v>0</v>
      </c>
      <c r="BX39" s="31">
        <f>SUM(BT39:BW39)</f>
        <v/>
      </c>
      <c r="BY39" s="31">
        <f>BS39+BX39</f>
        <v/>
      </c>
    </row>
    <row r="40">
      <c r="A40" s="28" t="inlineStr">
        <is>
          <t>2491</t>
        </is>
      </c>
      <c r="B40" s="28" t="inlineStr">
        <is>
          <t>Produção de ferro-gusa/ferroligas, siderurgia e tubos de aço sem costura</t>
        </is>
      </c>
      <c r="C40" s="29" t="n">
        <v>129.9772407943007</v>
      </c>
      <c r="D40" s="29" t="n">
        <v>216.7558756846227</v>
      </c>
      <c r="E40" s="29" t="n">
        <v>11.02263087624167</v>
      </c>
      <c r="F40" s="29" t="n">
        <v>89.67703703010859</v>
      </c>
      <c r="G40" s="29" t="n">
        <v>1842.399414368709</v>
      </c>
      <c r="H40" s="29" t="n">
        <v>19.0900696044486</v>
      </c>
      <c r="I40" s="29" t="n">
        <v>67.62179311338785</v>
      </c>
      <c r="J40" s="29" t="n">
        <v>217.7407530851375</v>
      </c>
      <c r="K40" s="29" t="n">
        <v>6.474213931584164</v>
      </c>
      <c r="L40" s="29" t="n">
        <v>141.6259081742238</v>
      </c>
      <c r="M40" s="29" t="n">
        <v>78.26995355102298</v>
      </c>
      <c r="N40" s="29" t="n">
        <v>1.416863881697848</v>
      </c>
      <c r="O40" s="29" t="n">
        <v>8.189980580942331</v>
      </c>
      <c r="P40" s="29" t="n">
        <v>6.570848898871829</v>
      </c>
      <c r="Q40" s="29" t="n">
        <v>9.737376500313912</v>
      </c>
      <c r="R40" s="29" t="n">
        <v>7.627338548709814</v>
      </c>
      <c r="S40" s="29" t="n">
        <v>120.4198917075904</v>
      </c>
      <c r="T40" s="29" t="n">
        <v>16.63266337326696</v>
      </c>
      <c r="U40" s="29" t="n">
        <v>87.52345839139001</v>
      </c>
      <c r="V40" s="29" t="n">
        <v>3.207239671781867</v>
      </c>
      <c r="W40" s="29" t="n">
        <v>59.56714733229364</v>
      </c>
      <c r="X40" s="29" t="n">
        <v>37.43921679624446</v>
      </c>
      <c r="Y40" s="29" t="n">
        <v>34.73137100363532</v>
      </c>
      <c r="Z40" s="29" t="n">
        <v>16.14695156591987</v>
      </c>
      <c r="AA40" s="29" t="n">
        <v>826.5079792468961</v>
      </c>
      <c r="AB40" s="29" t="n">
        <v>650.3134454215932</v>
      </c>
      <c r="AC40" s="29" t="n">
        <v>11086.7007338474</v>
      </c>
      <c r="AD40" s="29" t="n">
        <v>1108.991826386048</v>
      </c>
      <c r="AE40" s="29" t="n">
        <v>14957.83560674098</v>
      </c>
      <c r="AF40" s="29" t="n">
        <v>73.97735257764047</v>
      </c>
      <c r="AG40" s="29" t="n">
        <v>2587.746889210408</v>
      </c>
      <c r="AH40" s="29" t="n">
        <v>7516.407427165463</v>
      </c>
      <c r="AI40" s="29" t="n">
        <v>6617.885785802824</v>
      </c>
      <c r="AJ40" s="29" t="n">
        <v>7370.66880508845</v>
      </c>
      <c r="AK40" s="29" t="n">
        <v>892.9965338784369</v>
      </c>
      <c r="AL40" s="29" t="n">
        <v>1019.459673047044</v>
      </c>
      <c r="AM40" s="29" t="n">
        <v>655.0123649402357</v>
      </c>
      <c r="AN40" s="29" t="n">
        <v>160.8104842313529</v>
      </c>
      <c r="AO40" s="29" t="n">
        <v>83.40826430513538</v>
      </c>
      <c r="AP40" s="29" t="n">
        <v>15224.89324124825</v>
      </c>
      <c r="AQ40" s="29" t="n">
        <v>50.57844586243677</v>
      </c>
      <c r="AR40" s="29" t="n">
        <v>1022.875342817347</v>
      </c>
      <c r="AS40" s="29" t="n">
        <v>42.7863935999756</v>
      </c>
      <c r="AT40" s="29" t="n">
        <v>1.090705342594546</v>
      </c>
      <c r="AU40" s="29" t="n">
        <v>1.287943082412106</v>
      </c>
      <c r="AV40" s="29" t="n">
        <v>22.51707369926996</v>
      </c>
      <c r="AW40" s="29" t="n">
        <v>9.717333626251236</v>
      </c>
      <c r="AX40" s="29" t="n">
        <v>60.75719022766843</v>
      </c>
      <c r="AY40" s="29" t="n">
        <v>5.004951892308487</v>
      </c>
      <c r="AZ40" s="29" t="n">
        <v>5.957365554419187</v>
      </c>
      <c r="BA40" s="29" t="n">
        <v>38.10958294530255</v>
      </c>
      <c r="BB40" s="29" t="n">
        <v>20.56415537518547</v>
      </c>
      <c r="BC40" s="29" t="n">
        <v>54.70461278930672</v>
      </c>
      <c r="BD40" s="29" t="n">
        <v>18.60078373495874</v>
      </c>
      <c r="BE40" s="29" t="n">
        <v>35.8867355620289</v>
      </c>
      <c r="BF40" s="29" t="n">
        <v>42.41096025917908</v>
      </c>
      <c r="BG40" s="29" t="n">
        <v>7.218468497597773</v>
      </c>
      <c r="BH40" s="29" t="n">
        <v>168.8034543336249</v>
      </c>
      <c r="BI40" s="29" t="n">
        <v>35.63238727419076</v>
      </c>
      <c r="BJ40" s="29" t="n">
        <v>3.050134827991261</v>
      </c>
      <c r="BK40" s="29" t="n">
        <v>143.7607228974285</v>
      </c>
      <c r="BL40" s="29" t="n">
        <v>37.17411657361506</v>
      </c>
      <c r="BM40" s="29" t="n">
        <v>26.77830432871072</v>
      </c>
      <c r="BN40" s="29" t="n">
        <v>12.88436117130182</v>
      </c>
      <c r="BO40" s="29" t="n">
        <v>17.07661682107138</v>
      </c>
      <c r="BP40" s="29" t="n">
        <v>25.56058526309023</v>
      </c>
      <c r="BQ40" s="29" t="n">
        <v>22.85119996335451</v>
      </c>
      <c r="BR40" s="29" t="n">
        <v>0</v>
      </c>
      <c r="BS40" s="29">
        <f>SUM(C40:BR40)</f>
        <v/>
      </c>
      <c r="BT40" s="29" t="n">
        <v>0</v>
      </c>
      <c r="BU40" s="29" t="n">
        <v>0</v>
      </c>
      <c r="BV40" s="29" t="n">
        <v>20036.6854876797</v>
      </c>
      <c r="BW40" s="29" t="n">
        <v>0</v>
      </c>
      <c r="BX40" s="29">
        <f>SUM(BT40:BW40)</f>
        <v/>
      </c>
      <c r="BY40" s="29">
        <f>BS40+BX40</f>
        <v/>
      </c>
    </row>
    <row r="41">
      <c r="A41" s="30" t="inlineStr">
        <is>
          <t>2492</t>
        </is>
      </c>
      <c r="B41" s="30" t="inlineStr">
        <is>
          <t>Metalurgia de metais não-ferrosos e a fundição de metais</t>
        </is>
      </c>
      <c r="C41" s="31" t="n">
        <v>50.03696073496613</v>
      </c>
      <c r="D41" s="31" t="n">
        <v>16.5026081224169</v>
      </c>
      <c r="E41" s="31" t="n">
        <v>1.230663146035765</v>
      </c>
      <c r="F41" s="31" t="n">
        <v>4.537190856413711</v>
      </c>
      <c r="G41" s="31" t="n">
        <v>26.49346084973926</v>
      </c>
      <c r="H41" s="31" t="n">
        <v>12.52693669996696</v>
      </c>
      <c r="I41" s="31" t="n">
        <v>56.14716594674745</v>
      </c>
      <c r="J41" s="31" t="n">
        <v>192.1083851820923</v>
      </c>
      <c r="K41" s="31" t="n">
        <v>4.136052584513934</v>
      </c>
      <c r="L41" s="31" t="n">
        <v>268.0979479496849</v>
      </c>
      <c r="M41" s="31" t="n">
        <v>14.46091734915564</v>
      </c>
      <c r="N41" s="31" t="n">
        <v>0.7688113378287179</v>
      </c>
      <c r="O41" s="31" t="n">
        <v>6.88223826697097</v>
      </c>
      <c r="P41" s="31" t="n">
        <v>4.037039568004334</v>
      </c>
      <c r="Q41" s="31" t="n">
        <v>4.67608451396645</v>
      </c>
      <c r="R41" s="31" t="n">
        <v>2.39849605147734</v>
      </c>
      <c r="S41" s="31" t="n">
        <v>160.0817007837163</v>
      </c>
      <c r="T41" s="31" t="n">
        <v>190.3888606417296</v>
      </c>
      <c r="U41" s="31" t="n">
        <v>3.026977743126355</v>
      </c>
      <c r="V41" s="31" t="n">
        <v>1.769690820688702</v>
      </c>
      <c r="W41" s="31" t="n">
        <v>245.6810977848949</v>
      </c>
      <c r="X41" s="31" t="n">
        <v>176.1750410435349</v>
      </c>
      <c r="Y41" s="31" t="n">
        <v>16.20679513638929</v>
      </c>
      <c r="Z41" s="31" t="n">
        <v>11.93041628424445</v>
      </c>
      <c r="AA41" s="31" t="n">
        <v>60.94599112130159</v>
      </c>
      <c r="AB41" s="31" t="n">
        <v>78.90087823716132</v>
      </c>
      <c r="AC41" s="31" t="n">
        <v>989.1100902868112</v>
      </c>
      <c r="AD41" s="31" t="n">
        <v>5507.290152503014</v>
      </c>
      <c r="AE41" s="31" t="n">
        <v>1363.902118364976</v>
      </c>
      <c r="AF41" s="31" t="n">
        <v>132.1895757539166</v>
      </c>
      <c r="AG41" s="31" t="n">
        <v>6039.27081924154</v>
      </c>
      <c r="AH41" s="31" t="n">
        <v>1680.987135016968</v>
      </c>
      <c r="AI41" s="31" t="n">
        <v>573.6417517403713</v>
      </c>
      <c r="AJ41" s="31" t="n">
        <v>4357.803586150635</v>
      </c>
      <c r="AK41" s="31" t="n">
        <v>586.2697031739771</v>
      </c>
      <c r="AL41" s="31" t="n">
        <v>1447.91746482192</v>
      </c>
      <c r="AM41" s="31" t="n">
        <v>1106.907930242067</v>
      </c>
      <c r="AN41" s="31" t="n">
        <v>21.96369252368374</v>
      </c>
      <c r="AO41" s="31" t="n">
        <v>103.0206186402796</v>
      </c>
      <c r="AP41" s="31" t="n">
        <v>3001.671278549018</v>
      </c>
      <c r="AQ41" s="31" t="n">
        <v>389.5607388867853</v>
      </c>
      <c r="AR41" s="31" t="n">
        <v>299.8098422126662</v>
      </c>
      <c r="AS41" s="31" t="n">
        <v>25.83139334289057</v>
      </c>
      <c r="AT41" s="31" t="n">
        <v>1.240710654165486</v>
      </c>
      <c r="AU41" s="31" t="n">
        <v>1.151094466915616</v>
      </c>
      <c r="AV41" s="31" t="n">
        <v>20.4487531050132</v>
      </c>
      <c r="AW41" s="31" t="n">
        <v>9.874606889826788</v>
      </c>
      <c r="AX41" s="31" t="n">
        <v>46.13668261710662</v>
      </c>
      <c r="AY41" s="31" t="n">
        <v>4.157031481814246</v>
      </c>
      <c r="AZ41" s="31" t="n">
        <v>5.442169014954567</v>
      </c>
      <c r="BA41" s="31" t="n">
        <v>33.28466811522948</v>
      </c>
      <c r="BB41" s="31" t="n">
        <v>11.8121741431977</v>
      </c>
      <c r="BC41" s="31" t="n">
        <v>63.55667907846526</v>
      </c>
      <c r="BD41" s="31" t="n">
        <v>44.65379656256496</v>
      </c>
      <c r="BE41" s="31" t="n">
        <v>35.44155559928153</v>
      </c>
      <c r="BF41" s="31" t="n">
        <v>14.7811659203235</v>
      </c>
      <c r="BG41" s="31" t="n">
        <v>8.095334562399218</v>
      </c>
      <c r="BH41" s="31" t="n">
        <v>9.58625497598641</v>
      </c>
      <c r="BI41" s="31" t="n">
        <v>31.27397827423502</v>
      </c>
      <c r="BJ41" s="31" t="n">
        <v>2.562774519213787</v>
      </c>
      <c r="BK41" s="31" t="n">
        <v>35.19163686634833</v>
      </c>
      <c r="BL41" s="31" t="n">
        <v>8.302453893883381</v>
      </c>
      <c r="BM41" s="31" t="n">
        <v>31.35579159393157</v>
      </c>
      <c r="BN41" s="31" t="n">
        <v>7.374375263767242</v>
      </c>
      <c r="BO41" s="31" t="n">
        <v>21.72206680356881</v>
      </c>
      <c r="BP41" s="31" t="n">
        <v>29.94032457499544</v>
      </c>
      <c r="BQ41" s="31" t="n">
        <v>27.54421342005831</v>
      </c>
      <c r="BR41" s="31" t="n">
        <v>0</v>
      </c>
      <c r="BS41" s="31">
        <f>SUM(C41:BR41)</f>
        <v/>
      </c>
      <c r="BT41" s="31" t="n">
        <v>0</v>
      </c>
      <c r="BU41" s="31" t="n">
        <v>0</v>
      </c>
      <c r="BV41" s="31" t="n">
        <v>10288.6998432446</v>
      </c>
      <c r="BW41" s="31" t="n">
        <v>0</v>
      </c>
      <c r="BX41" s="31">
        <f>SUM(BT41:BW41)</f>
        <v/>
      </c>
      <c r="BY41" s="31">
        <f>BS41+BX41</f>
        <v/>
      </c>
    </row>
    <row r="42">
      <c r="A42" s="28" t="inlineStr">
        <is>
          <t>2500</t>
        </is>
      </c>
      <c r="B42" s="28" t="inlineStr">
        <is>
          <t>Fabricação de produtos de metal, exceto máquinas e equipamentos</t>
        </is>
      </c>
      <c r="C42" s="29" t="n">
        <v>245.2260232228986</v>
      </c>
      <c r="D42" s="29" t="n">
        <v>371.6259141679851</v>
      </c>
      <c r="E42" s="29" t="n">
        <v>31.71733259462258</v>
      </c>
      <c r="F42" s="29" t="n">
        <v>48.97735224502105</v>
      </c>
      <c r="G42" s="29" t="n">
        <v>882.2500872778431</v>
      </c>
      <c r="H42" s="29" t="n">
        <v>497.3503863643284</v>
      </c>
      <c r="I42" s="29" t="n">
        <v>126.1472145098736</v>
      </c>
      <c r="J42" s="29" t="n">
        <v>1281.079277412851</v>
      </c>
      <c r="K42" s="29" t="n">
        <v>74.22961806604422</v>
      </c>
      <c r="L42" s="29" t="n">
        <v>1192.640483796741</v>
      </c>
      <c r="M42" s="29" t="n">
        <v>2197.786501942203</v>
      </c>
      <c r="N42" s="29" t="n">
        <v>19.82295113159186</v>
      </c>
      <c r="O42" s="29" t="n">
        <v>65.36783361522647</v>
      </c>
      <c r="P42" s="29" t="n">
        <v>63.61132161046029</v>
      </c>
      <c r="Q42" s="29" t="n">
        <v>56.30449506564091</v>
      </c>
      <c r="R42" s="29" t="n">
        <v>242.1601506713109</v>
      </c>
      <c r="S42" s="29" t="n">
        <v>98.6020890863317</v>
      </c>
      <c r="T42" s="29" t="n">
        <v>29.78887617444067</v>
      </c>
      <c r="U42" s="29" t="n">
        <v>185.5232033210696</v>
      </c>
      <c r="V42" s="29" t="n">
        <v>34.02131990678363</v>
      </c>
      <c r="W42" s="29" t="n">
        <v>300.2208933731524</v>
      </c>
      <c r="X42" s="29" t="n">
        <v>549.2013001987475</v>
      </c>
      <c r="Y42" s="29" t="n">
        <v>525.5422724087762</v>
      </c>
      <c r="Z42" s="29" t="n">
        <v>103.8905448551078</v>
      </c>
      <c r="AA42" s="29" t="n">
        <v>172.0939291886687</v>
      </c>
      <c r="AB42" s="29" t="n">
        <v>164.1172080698682</v>
      </c>
      <c r="AC42" s="29" t="n">
        <v>1577.463907711487</v>
      </c>
      <c r="AD42" s="29" t="n">
        <v>155.3935705386922</v>
      </c>
      <c r="AE42" s="29" t="n">
        <v>5675.775851209324</v>
      </c>
      <c r="AF42" s="29" t="n">
        <v>654.9863680386981</v>
      </c>
      <c r="AG42" s="29" t="n">
        <v>1682.808278428669</v>
      </c>
      <c r="AH42" s="29" t="n">
        <v>4394.055123955783</v>
      </c>
      <c r="AI42" s="29" t="n">
        <v>3690.956076594072</v>
      </c>
      <c r="AJ42" s="29" t="n">
        <v>2118.509680957196</v>
      </c>
      <c r="AK42" s="29" t="n">
        <v>1554.437435231045</v>
      </c>
      <c r="AL42" s="29" t="n">
        <v>908.5732821244021</v>
      </c>
      <c r="AM42" s="29" t="n">
        <v>1894.848204264143</v>
      </c>
      <c r="AN42" s="29" t="n">
        <v>1312.77267391222</v>
      </c>
      <c r="AO42" s="29" t="n">
        <v>520.3013331459779</v>
      </c>
      <c r="AP42" s="29" t="n">
        <v>17510.46131781708</v>
      </c>
      <c r="AQ42" s="29" t="n">
        <v>269.2831307239703</v>
      </c>
      <c r="AR42" s="29" t="n">
        <v>1032.970634876303</v>
      </c>
      <c r="AS42" s="29" t="n">
        <v>121.1192113534245</v>
      </c>
      <c r="AT42" s="29" t="n">
        <v>5.210315822180745</v>
      </c>
      <c r="AU42" s="29" t="n">
        <v>4.395357913563554</v>
      </c>
      <c r="AV42" s="29" t="n">
        <v>32.3693382005652</v>
      </c>
      <c r="AW42" s="29" t="n">
        <v>96.54243047626314</v>
      </c>
      <c r="AX42" s="29" t="n">
        <v>1142.152813549523</v>
      </c>
      <c r="AY42" s="29" t="n">
        <v>10.84107157462882</v>
      </c>
      <c r="AZ42" s="29" t="n">
        <v>15.92083588779678</v>
      </c>
      <c r="BA42" s="29" t="n">
        <v>77.11450946350473</v>
      </c>
      <c r="BB42" s="29" t="n">
        <v>16.83638043580272</v>
      </c>
      <c r="BC42" s="29" t="n">
        <v>61.97132799179939</v>
      </c>
      <c r="BD42" s="29" t="n">
        <v>209.5247818759541</v>
      </c>
      <c r="BE42" s="29" t="n">
        <v>41.08626258537</v>
      </c>
      <c r="BF42" s="29" t="n">
        <v>37.94477528246573</v>
      </c>
      <c r="BG42" s="29" t="n">
        <v>11.68320354877181</v>
      </c>
      <c r="BH42" s="29" t="n">
        <v>16.06088728571913</v>
      </c>
      <c r="BI42" s="29" t="n">
        <v>175.2843091281912</v>
      </c>
      <c r="BJ42" s="29" t="n">
        <v>59.82031512423312</v>
      </c>
      <c r="BK42" s="29" t="n">
        <v>785.1759434377275</v>
      </c>
      <c r="BL42" s="29" t="n">
        <v>70.3301213950421</v>
      </c>
      <c r="BM42" s="29" t="n">
        <v>29.74232323724826</v>
      </c>
      <c r="BN42" s="29" t="n">
        <v>71.37114256395618</v>
      </c>
      <c r="BO42" s="29" t="n">
        <v>49.94285649254623</v>
      </c>
      <c r="BP42" s="29" t="n">
        <v>30.47556946227752</v>
      </c>
      <c r="BQ42" s="29" t="n">
        <v>93.26064500018265</v>
      </c>
      <c r="BR42" s="29" t="n">
        <v>0</v>
      </c>
      <c r="BS42" s="29">
        <f>SUM(C42:BR42)</f>
        <v/>
      </c>
      <c r="BT42" s="29" t="n">
        <v>0</v>
      </c>
      <c r="BU42" s="29" t="n">
        <v>0</v>
      </c>
      <c r="BV42" s="29" t="n">
        <v>23002.52530028457</v>
      </c>
      <c r="BW42" s="29" t="n">
        <v>0</v>
      </c>
      <c r="BX42" s="29">
        <f>SUM(BT42:BW42)</f>
        <v/>
      </c>
      <c r="BY42" s="29">
        <f>BS42+BX42</f>
        <v/>
      </c>
    </row>
    <row r="43">
      <c r="A43" s="30" t="inlineStr">
        <is>
          <t>2600</t>
        </is>
      </c>
      <c r="B43" s="30" t="inlineStr">
        <is>
          <t>Fabricação de equipamentos de informática, produtos eletrônicos e ópticos</t>
        </is>
      </c>
      <c r="C43" s="31" t="n">
        <v>1.94009025213781</v>
      </c>
      <c r="D43" s="31" t="n">
        <v>2.261711174719481</v>
      </c>
      <c r="E43" s="31" t="n">
        <v>0.8422162493642881</v>
      </c>
      <c r="F43" s="31" t="n">
        <v>9.21031634832929</v>
      </c>
      <c r="G43" s="31" t="n">
        <v>144.9323761919069</v>
      </c>
      <c r="H43" s="31" t="n">
        <v>24.79854321774902</v>
      </c>
      <c r="I43" s="31" t="n">
        <v>5.304871629998813</v>
      </c>
      <c r="J43" s="31" t="n">
        <v>41.73633220533369</v>
      </c>
      <c r="K43" s="31" t="n">
        <v>4.70201941544103</v>
      </c>
      <c r="L43" s="31" t="n">
        <v>29.37082905615236</v>
      </c>
      <c r="M43" s="31" t="n">
        <v>9.22485293024636</v>
      </c>
      <c r="N43" s="31" t="n">
        <v>1.623342057662487</v>
      </c>
      <c r="O43" s="31" t="n">
        <v>5.680379851353041</v>
      </c>
      <c r="P43" s="31" t="n">
        <v>6.763600830113496</v>
      </c>
      <c r="Q43" s="31" t="n">
        <v>6.314476226565351</v>
      </c>
      <c r="R43" s="31" t="n">
        <v>4.381421754973124</v>
      </c>
      <c r="S43" s="31" t="n">
        <v>17.33655602261613</v>
      </c>
      <c r="T43" s="31" t="n">
        <v>161.3914723081323</v>
      </c>
      <c r="U43" s="31" t="n">
        <v>4.640529965017618</v>
      </c>
      <c r="V43" s="31" t="n">
        <v>3.179887372433143</v>
      </c>
      <c r="W43" s="31" t="n">
        <v>12.91124601327965</v>
      </c>
      <c r="X43" s="31" t="n">
        <v>15.2342544442486</v>
      </c>
      <c r="Y43" s="31" t="n">
        <v>5.40661027602307</v>
      </c>
      <c r="Z43" s="31" t="n">
        <v>12.97844561771326</v>
      </c>
      <c r="AA43" s="31" t="n">
        <v>19.21695585421005</v>
      </c>
      <c r="AB43" s="31" t="n">
        <v>17.1043661951281</v>
      </c>
      <c r="AC43" s="31" t="n">
        <v>36.16093954761202</v>
      </c>
      <c r="AD43" s="31" t="n">
        <v>13.00954856060668</v>
      </c>
      <c r="AE43" s="31" t="n">
        <v>21.54398820482662</v>
      </c>
      <c r="AF43" s="31" t="n">
        <v>10936.32634660608</v>
      </c>
      <c r="AG43" s="31" t="n">
        <v>266.322799839453</v>
      </c>
      <c r="AH43" s="31" t="n">
        <v>447.9854179227618</v>
      </c>
      <c r="AI43" s="31" t="n">
        <v>269.2065373579551</v>
      </c>
      <c r="AJ43" s="31" t="n">
        <v>108.5919421774538</v>
      </c>
      <c r="AK43" s="31" t="n">
        <v>46.73798167233385</v>
      </c>
      <c r="AL43" s="31" t="n">
        <v>51.66762523152104</v>
      </c>
      <c r="AM43" s="31" t="n">
        <v>318.5814569936485</v>
      </c>
      <c r="AN43" s="31" t="n">
        <v>117.9779666822017</v>
      </c>
      <c r="AO43" s="31" t="n">
        <v>15.40381187856426</v>
      </c>
      <c r="AP43" s="31" t="n">
        <v>465.4979389513866</v>
      </c>
      <c r="AQ43" s="31" t="n">
        <v>22.73457109094851</v>
      </c>
      <c r="AR43" s="31" t="n">
        <v>231.3076434452028</v>
      </c>
      <c r="AS43" s="31" t="n">
        <v>35.58883284128878</v>
      </c>
      <c r="AT43" s="31" t="n">
        <v>4.120149252825667</v>
      </c>
      <c r="AU43" s="31" t="n">
        <v>7.309111368826833</v>
      </c>
      <c r="AV43" s="31" t="n">
        <v>93.73700954519002</v>
      </c>
      <c r="AW43" s="31" t="n">
        <v>2.548909783626688</v>
      </c>
      <c r="AX43" s="31" t="n">
        <v>7.489200572745204</v>
      </c>
      <c r="AY43" s="31" t="n">
        <v>13.72941479483148</v>
      </c>
      <c r="AZ43" s="31" t="n">
        <v>223.6823127395984</v>
      </c>
      <c r="BA43" s="31" t="n">
        <v>320.3967659108058</v>
      </c>
      <c r="BB43" s="31" t="n">
        <v>1099.669634900912</v>
      </c>
      <c r="BC43" s="31" t="n">
        <v>340.1729295078146</v>
      </c>
      <c r="BD43" s="31" t="n">
        <v>9.482703110975006</v>
      </c>
      <c r="BE43" s="31" t="n">
        <v>219.5390800589805</v>
      </c>
      <c r="BF43" s="31" t="n">
        <v>738.7841275158984</v>
      </c>
      <c r="BG43" s="31" t="n">
        <v>78.09010610433353</v>
      </c>
      <c r="BH43" s="31" t="n">
        <v>29.94538786741892</v>
      </c>
      <c r="BI43" s="31" t="n">
        <v>845.0424709776046</v>
      </c>
      <c r="BJ43" s="31" t="n">
        <v>87.30379577347824</v>
      </c>
      <c r="BK43" s="31" t="n">
        <v>279.0872942568681</v>
      </c>
      <c r="BL43" s="31" t="n">
        <v>561.2869101916871</v>
      </c>
      <c r="BM43" s="31" t="n">
        <v>76.16601953889742</v>
      </c>
      <c r="BN43" s="31" t="n">
        <v>187.6634175784765</v>
      </c>
      <c r="BO43" s="31" t="n">
        <v>132.5073775870938</v>
      </c>
      <c r="BP43" s="31" t="n">
        <v>52.0172912416305</v>
      </c>
      <c r="BQ43" s="31" t="n">
        <v>502.3517866287398</v>
      </c>
      <c r="BR43" s="31" t="n">
        <v>0</v>
      </c>
      <c r="BS43" s="31">
        <f>SUM(C43:BR43)</f>
        <v/>
      </c>
      <c r="BT43" s="31" t="n">
        <v>0</v>
      </c>
      <c r="BU43" s="31" t="n">
        <v>0</v>
      </c>
      <c r="BV43" s="31" t="n">
        <v>48619.44948412656</v>
      </c>
      <c r="BW43" s="31" t="n">
        <v>0</v>
      </c>
      <c r="BX43" s="31">
        <f>SUM(BT43:BW43)</f>
        <v/>
      </c>
      <c r="BY43" s="31">
        <f>BS43+BX43</f>
        <v/>
      </c>
    </row>
    <row r="44">
      <c r="A44" s="28" t="inlineStr">
        <is>
          <t>2700</t>
        </is>
      </c>
      <c r="B44" s="28" t="inlineStr">
        <is>
          <t>Fabricação de máquinas e equipamentos elétricos</t>
        </is>
      </c>
      <c r="C44" s="29" t="n">
        <v>35.14764423975789</v>
      </c>
      <c r="D44" s="29" t="n">
        <v>72.94698218520369</v>
      </c>
      <c r="E44" s="29" t="n">
        <v>4.388178101231447</v>
      </c>
      <c r="F44" s="29" t="n">
        <v>23.21396278800282</v>
      </c>
      <c r="G44" s="29" t="n">
        <v>166.4264668651912</v>
      </c>
      <c r="H44" s="29" t="n">
        <v>66.65064460035009</v>
      </c>
      <c r="I44" s="29" t="n">
        <v>17.76619112781392</v>
      </c>
      <c r="J44" s="29" t="n">
        <v>80.28642272431408</v>
      </c>
      <c r="K44" s="29" t="n">
        <v>23.27837590567924</v>
      </c>
      <c r="L44" s="29" t="n">
        <v>90.15792463260217</v>
      </c>
      <c r="M44" s="29" t="n">
        <v>51.13584799275844</v>
      </c>
      <c r="N44" s="29" t="n">
        <v>3.596589812559777</v>
      </c>
      <c r="O44" s="29" t="n">
        <v>39.5246319809393</v>
      </c>
      <c r="P44" s="29" t="n">
        <v>14.81265135708503</v>
      </c>
      <c r="Q44" s="29" t="n">
        <v>14.04733152004863</v>
      </c>
      <c r="R44" s="29" t="n">
        <v>19.9585863486536</v>
      </c>
      <c r="S44" s="29" t="n">
        <v>54.96819492548207</v>
      </c>
      <c r="T44" s="29" t="n">
        <v>16.84129761012894</v>
      </c>
      <c r="U44" s="29" t="n">
        <v>9.32332287166148</v>
      </c>
      <c r="V44" s="29" t="n">
        <v>6.912735085173638</v>
      </c>
      <c r="W44" s="29" t="n">
        <v>83.49833935226636</v>
      </c>
      <c r="X44" s="29" t="n">
        <v>29.43909808348165</v>
      </c>
      <c r="Y44" s="29" t="n">
        <v>19.0774080945031</v>
      </c>
      <c r="Z44" s="29" t="n">
        <v>18.30844801986866</v>
      </c>
      <c r="AA44" s="29" t="n">
        <v>93.97897670113552</v>
      </c>
      <c r="AB44" s="29" t="n">
        <v>108.8641608140162</v>
      </c>
      <c r="AC44" s="29" t="n">
        <v>80.58799457175193</v>
      </c>
      <c r="AD44" s="29" t="n">
        <v>84.31820289547161</v>
      </c>
      <c r="AE44" s="29" t="n">
        <v>134.0287496805277</v>
      </c>
      <c r="AF44" s="29" t="n">
        <v>1434.565669841336</v>
      </c>
      <c r="AG44" s="29" t="n">
        <v>5795.555586994689</v>
      </c>
      <c r="AH44" s="29" t="n">
        <v>2380.220813082781</v>
      </c>
      <c r="AI44" s="29" t="n">
        <v>996.2556276477904</v>
      </c>
      <c r="AJ44" s="29" t="n">
        <v>918.2216877772134</v>
      </c>
      <c r="AK44" s="29" t="n">
        <v>253.7215376086323</v>
      </c>
      <c r="AL44" s="29" t="n">
        <v>191.0532815660705</v>
      </c>
      <c r="AM44" s="29" t="n">
        <v>1488.297343495641</v>
      </c>
      <c r="AN44" s="29" t="n">
        <v>3220.200849999442</v>
      </c>
      <c r="AO44" s="29" t="n">
        <v>149.688161691871</v>
      </c>
      <c r="AP44" s="29" t="n">
        <v>7817.458409214455</v>
      </c>
      <c r="AQ44" s="29" t="n">
        <v>329.637687702237</v>
      </c>
      <c r="AR44" s="29" t="n">
        <v>671.4630287575543</v>
      </c>
      <c r="AS44" s="29" t="n">
        <v>780.4292354853787</v>
      </c>
      <c r="AT44" s="29" t="n">
        <v>17.88621743721127</v>
      </c>
      <c r="AU44" s="29" t="n">
        <v>2.469165156569261</v>
      </c>
      <c r="AV44" s="29" t="n">
        <v>65.37551299385557</v>
      </c>
      <c r="AW44" s="29" t="n">
        <v>26.66707617383703</v>
      </c>
      <c r="AX44" s="29" t="n">
        <v>47.23316850069478</v>
      </c>
      <c r="AY44" s="29" t="n">
        <v>12.52956163787225</v>
      </c>
      <c r="AZ44" s="29" t="n">
        <v>49.80198091039571</v>
      </c>
      <c r="BA44" s="29" t="n">
        <v>701.6363680198486</v>
      </c>
      <c r="BB44" s="29" t="n">
        <v>26.19604261616515</v>
      </c>
      <c r="BC44" s="29" t="n">
        <v>63.66069184149296</v>
      </c>
      <c r="BD44" s="29" t="n">
        <v>261.9159931695276</v>
      </c>
      <c r="BE44" s="29" t="n">
        <v>363.3755065492181</v>
      </c>
      <c r="BF44" s="29" t="n">
        <v>66.85859110900243</v>
      </c>
      <c r="BG44" s="29" t="n">
        <v>28.85525628068676</v>
      </c>
      <c r="BH44" s="29" t="n">
        <v>29.27208313013643</v>
      </c>
      <c r="BI44" s="29" t="n">
        <v>403.6313472643121</v>
      </c>
      <c r="BJ44" s="29" t="n">
        <v>4.814102367394931</v>
      </c>
      <c r="BK44" s="29" t="n">
        <v>100.8926091741648</v>
      </c>
      <c r="BL44" s="29" t="n">
        <v>55.61253896418761</v>
      </c>
      <c r="BM44" s="29" t="n">
        <v>14.28328139481131</v>
      </c>
      <c r="BN44" s="29" t="n">
        <v>24.16116422628897</v>
      </c>
      <c r="BO44" s="29" t="n">
        <v>45.71019007182117</v>
      </c>
      <c r="BP44" s="29" t="n">
        <v>56.09458791274979</v>
      </c>
      <c r="BQ44" s="29" t="n">
        <v>585.9050170608863</v>
      </c>
      <c r="BR44" s="29" t="n">
        <v>0</v>
      </c>
      <c r="BS44" s="29">
        <f>SUM(C44:BR44)</f>
        <v/>
      </c>
      <c r="BT44" s="29" t="n">
        <v>0</v>
      </c>
      <c r="BU44" s="29" t="n">
        <v>0</v>
      </c>
      <c r="BV44" s="29" t="n">
        <v>31663.60230366202</v>
      </c>
      <c r="BW44" s="29" t="n">
        <v>0</v>
      </c>
      <c r="BX44" s="29">
        <f>SUM(BT44:BW44)</f>
        <v/>
      </c>
      <c r="BY44" s="29">
        <f>BS44+BX44</f>
        <v/>
      </c>
    </row>
    <row r="45">
      <c r="A45" s="30" t="inlineStr">
        <is>
          <t>2800</t>
        </is>
      </c>
      <c r="B45" s="30" t="inlineStr">
        <is>
          <t>Fabricação de máquinas e equipamentos mecânicos</t>
        </is>
      </c>
      <c r="C45" s="31" t="n">
        <v>18.97439498336271</v>
      </c>
      <c r="D45" s="31" t="n">
        <v>29.44653995210508</v>
      </c>
      <c r="E45" s="31" t="n">
        <v>7.9893118620835</v>
      </c>
      <c r="F45" s="31" t="n">
        <v>126.4769510775528</v>
      </c>
      <c r="G45" s="31" t="n">
        <v>2518.970152100647</v>
      </c>
      <c r="H45" s="31" t="n">
        <v>2077.976566112311</v>
      </c>
      <c r="I45" s="31" t="n">
        <v>417.6036040263357</v>
      </c>
      <c r="J45" s="31" t="n">
        <v>233.2452347149974</v>
      </c>
      <c r="K45" s="31" t="n">
        <v>22.18590389415371</v>
      </c>
      <c r="L45" s="31" t="n">
        <v>188.107506080248</v>
      </c>
      <c r="M45" s="31" t="n">
        <v>84.46765834857987</v>
      </c>
      <c r="N45" s="31" t="n">
        <v>9.434376080155726</v>
      </c>
      <c r="O45" s="31" t="n">
        <v>32.91406642927045</v>
      </c>
      <c r="P45" s="31" t="n">
        <v>36.95495737250238</v>
      </c>
      <c r="Q45" s="31" t="n">
        <v>39.45380349737761</v>
      </c>
      <c r="R45" s="31" t="n">
        <v>55.74190031464894</v>
      </c>
      <c r="S45" s="31" t="n">
        <v>81.84253553384252</v>
      </c>
      <c r="T45" s="31" t="n">
        <v>23.44721390880684</v>
      </c>
      <c r="U45" s="31" t="n">
        <v>30.92698572105017</v>
      </c>
      <c r="V45" s="31" t="n">
        <v>14.72822493536779</v>
      </c>
      <c r="W45" s="31" t="n">
        <v>58.5016485888551</v>
      </c>
      <c r="X45" s="31" t="n">
        <v>65.01580094738028</v>
      </c>
      <c r="Y45" s="31" t="n">
        <v>27.6554738451823</v>
      </c>
      <c r="Z45" s="31" t="n">
        <v>53.65032823687647</v>
      </c>
      <c r="AA45" s="31" t="n">
        <v>174.4187539383826</v>
      </c>
      <c r="AB45" s="31" t="n">
        <v>77.34952807599423</v>
      </c>
      <c r="AC45" s="31" t="n">
        <v>174.9142478543521</v>
      </c>
      <c r="AD45" s="31" t="n">
        <v>59.88095797410961</v>
      </c>
      <c r="AE45" s="31" t="n">
        <v>286.5501509934391</v>
      </c>
      <c r="AF45" s="31" t="n">
        <v>175.741193904366</v>
      </c>
      <c r="AG45" s="31" t="n">
        <v>570.4042730372033</v>
      </c>
      <c r="AH45" s="31" t="n">
        <v>13184.43078489283</v>
      </c>
      <c r="AI45" s="31" t="n">
        <v>1744.790127228161</v>
      </c>
      <c r="AJ45" s="31" t="n">
        <v>295.174162518874</v>
      </c>
      <c r="AK45" s="31" t="n">
        <v>485.3387109463707</v>
      </c>
      <c r="AL45" s="31" t="n">
        <v>79.36788938368497</v>
      </c>
      <c r="AM45" s="31" t="n">
        <v>5447.37120547091</v>
      </c>
      <c r="AN45" s="31" t="n">
        <v>118.4195559747917</v>
      </c>
      <c r="AO45" s="31" t="n">
        <v>72.99546146507069</v>
      </c>
      <c r="AP45" s="31" t="n">
        <v>3270.376986795552</v>
      </c>
      <c r="AQ45" s="31" t="n">
        <v>351.5085858181772</v>
      </c>
      <c r="AR45" s="31" t="n">
        <v>552.5096446130511</v>
      </c>
      <c r="AS45" s="31" t="n">
        <v>168.1505601345226</v>
      </c>
      <c r="AT45" s="31" t="n">
        <v>99.26904617979331</v>
      </c>
      <c r="AU45" s="31" t="n">
        <v>5.178901786147418</v>
      </c>
      <c r="AV45" s="31" t="n">
        <v>138.8848897929148</v>
      </c>
      <c r="AW45" s="31" t="n">
        <v>8.692959493522345</v>
      </c>
      <c r="AX45" s="31" t="n">
        <v>39.62502448860615</v>
      </c>
      <c r="AY45" s="31" t="n">
        <v>30.80657900851153</v>
      </c>
      <c r="AZ45" s="31" t="n">
        <v>24.49348737702332</v>
      </c>
      <c r="BA45" s="31" t="n">
        <v>214.8722692573698</v>
      </c>
      <c r="BB45" s="31" t="n">
        <v>27.52245731603384</v>
      </c>
      <c r="BC45" s="31" t="n">
        <v>17.32366430319515</v>
      </c>
      <c r="BD45" s="31" t="n">
        <v>13.86222964875216</v>
      </c>
      <c r="BE45" s="31" t="n">
        <v>30.62989024555473</v>
      </c>
      <c r="BF45" s="31" t="n">
        <v>41.28613291620535</v>
      </c>
      <c r="BG45" s="31" t="n">
        <v>9.642708507396964</v>
      </c>
      <c r="BH45" s="31" t="n">
        <v>11.43141945906336</v>
      </c>
      <c r="BI45" s="31" t="n">
        <v>635.4726905309012</v>
      </c>
      <c r="BJ45" s="31" t="n">
        <v>5.189455840089659</v>
      </c>
      <c r="BK45" s="31" t="n">
        <v>90.19153644502433</v>
      </c>
      <c r="BL45" s="31" t="n">
        <v>22.23689089764148</v>
      </c>
      <c r="BM45" s="31" t="n">
        <v>4.815952594813187</v>
      </c>
      <c r="BN45" s="31" t="n">
        <v>81.35146184793726</v>
      </c>
      <c r="BO45" s="31" t="n">
        <v>12.73428653891685</v>
      </c>
      <c r="BP45" s="31" t="n">
        <v>10.21523372766962</v>
      </c>
      <c r="BQ45" s="31" t="n">
        <v>27.83647681981926</v>
      </c>
      <c r="BR45" s="31" t="n">
        <v>0</v>
      </c>
      <c r="BS45" s="31">
        <f>SUM(C45:BR45)</f>
        <v/>
      </c>
      <c r="BT45" s="31" t="n">
        <v>0</v>
      </c>
      <c r="BU45" s="31" t="n">
        <v>0</v>
      </c>
      <c r="BV45" s="31" t="n">
        <v>72847.93732712934</v>
      </c>
      <c r="BW45" s="31" t="n">
        <v>0</v>
      </c>
      <c r="BX45" s="31">
        <f>SUM(BT45:BW45)</f>
        <v/>
      </c>
      <c r="BY45" s="31">
        <f>BS45+BX45</f>
        <v/>
      </c>
    </row>
    <row r="46">
      <c r="A46" s="28" t="inlineStr">
        <is>
          <t>2991</t>
        </is>
      </c>
      <c r="B46" s="28" t="inlineStr">
        <is>
          <t>Fabricação de automóveis, caminhões e ônibus, exceto peças</t>
        </is>
      </c>
      <c r="C46" s="29" t="n">
        <v>3.020920609559017</v>
      </c>
      <c r="D46" s="29" t="n">
        <v>2.10913255041676</v>
      </c>
      <c r="E46" s="29" t="n">
        <v>0.4508614882168569</v>
      </c>
      <c r="F46" s="29" t="n">
        <v>1.48181280644507</v>
      </c>
      <c r="G46" s="29" t="n">
        <v>7.01644967245176</v>
      </c>
      <c r="H46" s="29" t="n">
        <v>17.50692359871151</v>
      </c>
      <c r="I46" s="29" t="n">
        <v>1.656513402452354</v>
      </c>
      <c r="J46" s="29" t="n">
        <v>4.641780236878005</v>
      </c>
      <c r="K46" s="29" t="n">
        <v>43.08974489004536</v>
      </c>
      <c r="L46" s="29" t="n">
        <v>3.725419532872793</v>
      </c>
      <c r="M46" s="29" t="n">
        <v>5.530210781244508</v>
      </c>
      <c r="N46" s="29" t="n">
        <v>0.8938564102129337</v>
      </c>
      <c r="O46" s="29" t="n">
        <v>3.567794093858162</v>
      </c>
      <c r="P46" s="29" t="n">
        <v>9.305645234194644</v>
      </c>
      <c r="Q46" s="29" t="n">
        <v>3.267561409242158</v>
      </c>
      <c r="R46" s="29" t="n">
        <v>0.9414467755164216</v>
      </c>
      <c r="S46" s="29" t="n">
        <v>2.086495892815055</v>
      </c>
      <c r="T46" s="29" t="n">
        <v>0.2752044969169546</v>
      </c>
      <c r="U46" s="29" t="n">
        <v>0.3025112065365204</v>
      </c>
      <c r="V46" s="29" t="n">
        <v>0.2102433947619906</v>
      </c>
      <c r="W46" s="29" t="n">
        <v>5.279647048175881</v>
      </c>
      <c r="X46" s="29" t="n">
        <v>17.42999326392705</v>
      </c>
      <c r="Y46" s="29" t="n">
        <v>3.09815142044153</v>
      </c>
      <c r="Z46" s="29" t="n">
        <v>8.569950930468218</v>
      </c>
      <c r="AA46" s="29" t="n">
        <v>4.977153334688319</v>
      </c>
      <c r="AB46" s="29" t="n">
        <v>6.35971789390457</v>
      </c>
      <c r="AC46" s="29" t="n">
        <v>3.55309775171016</v>
      </c>
      <c r="AD46" s="29" t="n">
        <v>5.04563900984286</v>
      </c>
      <c r="AE46" s="29" t="n">
        <v>6.007972534079572</v>
      </c>
      <c r="AF46" s="29" t="n">
        <v>31.88847625499273</v>
      </c>
      <c r="AG46" s="29" t="n">
        <v>106.950894757821</v>
      </c>
      <c r="AH46" s="29" t="n">
        <v>135.457410250487</v>
      </c>
      <c r="AI46" s="29" t="n">
        <v>6533.785830247235</v>
      </c>
      <c r="AJ46" s="29" t="n">
        <v>147.0668723936423</v>
      </c>
      <c r="AK46" s="29" t="n">
        <v>7.851334591825204</v>
      </c>
      <c r="AL46" s="29" t="n">
        <v>5.927765005466773</v>
      </c>
      <c r="AM46" s="29" t="n">
        <v>51.87538104847065</v>
      </c>
      <c r="AN46" s="29" t="n">
        <v>67.47798455335007</v>
      </c>
      <c r="AO46" s="29" t="n">
        <v>11.34932680872628</v>
      </c>
      <c r="AP46" s="29" t="n">
        <v>170.7481252985579</v>
      </c>
      <c r="AQ46" s="29" t="n">
        <v>369.054082787091</v>
      </c>
      <c r="AR46" s="29" t="n">
        <v>54.88133130538085</v>
      </c>
      <c r="AS46" s="29" t="n">
        <v>537.0359871805858</v>
      </c>
      <c r="AT46" s="29" t="n">
        <v>0.6121363997494094</v>
      </c>
      <c r="AU46" s="29" t="n">
        <v>0.0939049347490207</v>
      </c>
      <c r="AV46" s="29" t="n">
        <v>5.938532537944889</v>
      </c>
      <c r="AW46" s="29" t="n">
        <v>0.850248572861955</v>
      </c>
      <c r="AX46" s="29" t="n">
        <v>3.788503687947704</v>
      </c>
      <c r="AY46" s="29" t="n">
        <v>0.4838638624012597</v>
      </c>
      <c r="AZ46" s="29" t="n">
        <v>1.606339479032647</v>
      </c>
      <c r="BA46" s="29" t="n">
        <v>17.48074434530968</v>
      </c>
      <c r="BB46" s="29" t="n">
        <v>2.631682421995634</v>
      </c>
      <c r="BC46" s="29" t="n">
        <v>4.739366782897998</v>
      </c>
      <c r="BD46" s="29" t="n">
        <v>5.670153129231657</v>
      </c>
      <c r="BE46" s="29" t="n">
        <v>7.722774547090764</v>
      </c>
      <c r="BF46" s="29" t="n">
        <v>63.08846731018423</v>
      </c>
      <c r="BG46" s="29" t="n">
        <v>0.8954657057134148</v>
      </c>
      <c r="BH46" s="29" t="n">
        <v>11.62588543168506</v>
      </c>
      <c r="BI46" s="29" t="n">
        <v>10.94166288097084</v>
      </c>
      <c r="BJ46" s="29" t="n">
        <v>1.902203581890504</v>
      </c>
      <c r="BK46" s="29" t="n">
        <v>40.85215986868483</v>
      </c>
      <c r="BL46" s="29" t="n">
        <v>6.671653672435109</v>
      </c>
      <c r="BM46" s="29" t="n">
        <v>1.156001768507553</v>
      </c>
      <c r="BN46" s="29" t="n">
        <v>10.95624191498177</v>
      </c>
      <c r="BO46" s="29" t="n">
        <v>7.303951657075496</v>
      </c>
      <c r="BP46" s="29" t="n">
        <v>2.339970513708741</v>
      </c>
      <c r="BQ46" s="29" t="n">
        <v>8.804767084556717</v>
      </c>
      <c r="BR46" s="29" t="n">
        <v>0</v>
      </c>
      <c r="BS46" s="29">
        <f>SUM(C46:BR46)</f>
        <v/>
      </c>
      <c r="BT46" s="29" t="n">
        <v>0</v>
      </c>
      <c r="BU46" s="29" t="n">
        <v>0</v>
      </c>
      <c r="BV46" s="29" t="n">
        <v>156090.0906637542</v>
      </c>
      <c r="BW46" s="29" t="n">
        <v>0</v>
      </c>
      <c r="BX46" s="29">
        <f>SUM(BT46:BW46)</f>
        <v/>
      </c>
      <c r="BY46" s="29">
        <f>BS46+BX46</f>
        <v/>
      </c>
    </row>
    <row r="47">
      <c r="A47" s="30" t="inlineStr">
        <is>
          <t>2992</t>
        </is>
      </c>
      <c r="B47" s="30" t="inlineStr">
        <is>
          <t>Fabricação de peças e acessórios para veículos automotores</t>
        </is>
      </c>
      <c r="C47" s="31" t="n">
        <v>18.36690805581946</v>
      </c>
      <c r="D47" s="31" t="n">
        <v>17.0377274319859</v>
      </c>
      <c r="E47" s="31" t="n">
        <v>1.718982003855233</v>
      </c>
      <c r="F47" s="31" t="n">
        <v>11.46306830935318</v>
      </c>
      <c r="G47" s="31" t="n">
        <v>62.07889317457013</v>
      </c>
      <c r="H47" s="31" t="n">
        <v>61.46273699039021</v>
      </c>
      <c r="I47" s="31" t="n">
        <v>10.20992604620375</v>
      </c>
      <c r="J47" s="31" t="n">
        <v>35.59786954017358</v>
      </c>
      <c r="K47" s="31" t="n">
        <v>3.661716441345524</v>
      </c>
      <c r="L47" s="31" t="n">
        <v>47.11077870573136</v>
      </c>
      <c r="M47" s="31" t="n">
        <v>57.25737925997181</v>
      </c>
      <c r="N47" s="31" t="n">
        <v>0.815612035922022</v>
      </c>
      <c r="O47" s="31" t="n">
        <v>5.289838338612877</v>
      </c>
      <c r="P47" s="31" t="n">
        <v>3.340902712935373</v>
      </c>
      <c r="Q47" s="31" t="n">
        <v>4.136928456240919</v>
      </c>
      <c r="R47" s="31" t="n">
        <v>6.914074191899665</v>
      </c>
      <c r="S47" s="31" t="n">
        <v>6.370565969943829</v>
      </c>
      <c r="T47" s="31" t="n">
        <v>7.206076240049992</v>
      </c>
      <c r="U47" s="31" t="n">
        <v>4.868008541231442</v>
      </c>
      <c r="V47" s="31" t="n">
        <v>2.23372033037595</v>
      </c>
      <c r="W47" s="31" t="n">
        <v>33.13902479647537</v>
      </c>
      <c r="X47" s="31" t="n">
        <v>20.05646372627712</v>
      </c>
      <c r="Y47" s="31" t="n">
        <v>17.53684398207242</v>
      </c>
      <c r="Z47" s="31" t="n">
        <v>8.994646074743239</v>
      </c>
      <c r="AA47" s="31" t="n">
        <v>44.7183852708263</v>
      </c>
      <c r="AB47" s="31" t="n">
        <v>57.75851409028999</v>
      </c>
      <c r="AC47" s="31" t="n">
        <v>68.18698202431845</v>
      </c>
      <c r="AD47" s="31" t="n">
        <v>23.00691320261177</v>
      </c>
      <c r="AE47" s="31" t="n">
        <v>173.5887427385875</v>
      </c>
      <c r="AF47" s="31" t="n">
        <v>59.11997863315611</v>
      </c>
      <c r="AG47" s="31" t="n">
        <v>108.429208917947</v>
      </c>
      <c r="AH47" s="31" t="n">
        <v>465.9063129678522</v>
      </c>
      <c r="AI47" s="31" t="n">
        <v>36677.65745657688</v>
      </c>
      <c r="AJ47" s="31" t="n">
        <v>9750.007651026788</v>
      </c>
      <c r="AK47" s="31" t="n">
        <v>143.1468706116695</v>
      </c>
      <c r="AL47" s="31" t="n">
        <v>34.81681108306597</v>
      </c>
      <c r="AM47" s="31" t="n">
        <v>183.0531174430512</v>
      </c>
      <c r="AN47" s="31" t="n">
        <v>53.10639199501139</v>
      </c>
      <c r="AO47" s="31" t="n">
        <v>30.61569248042645</v>
      </c>
      <c r="AP47" s="31" t="n">
        <v>680.3878002710567</v>
      </c>
      <c r="AQ47" s="31" t="n">
        <v>10046.07669666852</v>
      </c>
      <c r="AR47" s="31" t="n">
        <v>183.6003059012406</v>
      </c>
      <c r="AS47" s="31" t="n">
        <v>7735.072573492455</v>
      </c>
      <c r="AT47" s="31" t="n">
        <v>2.772423674647901</v>
      </c>
      <c r="AU47" s="31" t="n">
        <v>2.360909862303741</v>
      </c>
      <c r="AV47" s="31" t="n">
        <v>17.40118194021269</v>
      </c>
      <c r="AW47" s="31" t="n">
        <v>5.904462615983183</v>
      </c>
      <c r="AX47" s="31" t="n">
        <v>40.46867034307852</v>
      </c>
      <c r="AY47" s="31" t="n">
        <v>1.4621730724071</v>
      </c>
      <c r="AZ47" s="31" t="n">
        <v>3.554607771939905</v>
      </c>
      <c r="BA47" s="31" t="n">
        <v>15.92704407141242</v>
      </c>
      <c r="BB47" s="31" t="n">
        <v>5.042179819923707</v>
      </c>
      <c r="BC47" s="31" t="n">
        <v>24.5110682781971</v>
      </c>
      <c r="BD47" s="31" t="n">
        <v>14.7298798194264</v>
      </c>
      <c r="BE47" s="31" t="n">
        <v>14.51743323006746</v>
      </c>
      <c r="BF47" s="31" t="n">
        <v>76.45647209316019</v>
      </c>
      <c r="BG47" s="31" t="n">
        <v>3.281756114454074</v>
      </c>
      <c r="BH47" s="31" t="n">
        <v>140.9005381898303</v>
      </c>
      <c r="BI47" s="31" t="n">
        <v>31.55797352624947</v>
      </c>
      <c r="BJ47" s="31" t="n">
        <v>4.934343223704893</v>
      </c>
      <c r="BK47" s="31" t="n">
        <v>854.0630646586482</v>
      </c>
      <c r="BL47" s="31" t="n">
        <v>247.4517974987058</v>
      </c>
      <c r="BM47" s="31" t="n">
        <v>10.52081137600046</v>
      </c>
      <c r="BN47" s="31" t="n">
        <v>122.5761606486551</v>
      </c>
      <c r="BO47" s="31" t="n">
        <v>21.52272589110828</v>
      </c>
      <c r="BP47" s="31" t="n">
        <v>11.24552463248446</v>
      </c>
      <c r="BQ47" s="31" t="n">
        <v>13.9945384676819</v>
      </c>
      <c r="BR47" s="31" t="n">
        <v>0</v>
      </c>
      <c r="BS47" s="31">
        <f>SUM(C47:BR47)</f>
        <v/>
      </c>
      <c r="BT47" s="31" t="n">
        <v>0</v>
      </c>
      <c r="BU47" s="31" t="n">
        <v>0</v>
      </c>
      <c r="BV47" s="31" t="n">
        <v>19352.71716242777</v>
      </c>
      <c r="BW47" s="31" t="n">
        <v>0</v>
      </c>
      <c r="BX47" s="31">
        <f>SUM(BT47:BW47)</f>
        <v/>
      </c>
      <c r="BY47" s="31">
        <f>BS47+BX47</f>
        <v/>
      </c>
    </row>
    <row r="48">
      <c r="A48" s="28" t="inlineStr">
        <is>
          <t>3000</t>
        </is>
      </c>
      <c r="B48" s="28" t="inlineStr">
        <is>
          <t>Fabricação de outros equipamentos de transporte, exceto veículos automotores</t>
        </is>
      </c>
      <c r="C48" s="29" t="n">
        <v>0.5180582603254391</v>
      </c>
      <c r="D48" s="29" t="n">
        <v>0.6287893213608382</v>
      </c>
      <c r="E48" s="29" t="n">
        <v>0.256314913685301</v>
      </c>
      <c r="F48" s="29" t="n">
        <v>1.664828507167977</v>
      </c>
      <c r="G48" s="29" t="n">
        <v>8.464449163705179</v>
      </c>
      <c r="H48" s="29" t="n">
        <v>7.020054854701868</v>
      </c>
      <c r="I48" s="29" t="n">
        <v>1.642938201516656</v>
      </c>
      <c r="J48" s="29" t="n">
        <v>15.93392597993623</v>
      </c>
      <c r="K48" s="29" t="n">
        <v>2.186429177720588</v>
      </c>
      <c r="L48" s="29" t="n">
        <v>11.3012878869085</v>
      </c>
      <c r="M48" s="29" t="n">
        <v>4.09178494091051</v>
      </c>
      <c r="N48" s="29" t="n">
        <v>0.8342959030054145</v>
      </c>
      <c r="O48" s="29" t="n">
        <v>2.31016676559495</v>
      </c>
      <c r="P48" s="29" t="n">
        <v>3.053702142450813</v>
      </c>
      <c r="Q48" s="29" t="n">
        <v>2.901233472406179</v>
      </c>
      <c r="R48" s="29" t="n">
        <v>1.566916017745781</v>
      </c>
      <c r="S48" s="29" t="n">
        <v>7.458344606680009</v>
      </c>
      <c r="T48" s="29" t="n">
        <v>2.312380746180262</v>
      </c>
      <c r="U48" s="29" t="n">
        <v>1.997167217996567</v>
      </c>
      <c r="V48" s="29" t="n">
        <v>1.444731555241142</v>
      </c>
      <c r="W48" s="29" t="n">
        <v>5.078158018353174</v>
      </c>
      <c r="X48" s="29" t="n">
        <v>4.387548369737586</v>
      </c>
      <c r="Y48" s="29" t="n">
        <v>1.760260402980061</v>
      </c>
      <c r="Z48" s="29" t="n">
        <v>5.902082018071222</v>
      </c>
      <c r="AA48" s="29" t="n">
        <v>6.645249619545239</v>
      </c>
      <c r="AB48" s="29" t="n">
        <v>7.159658564078123</v>
      </c>
      <c r="AC48" s="29" t="n">
        <v>19.78863324488572</v>
      </c>
      <c r="AD48" s="29" t="n">
        <v>4.352492869712316</v>
      </c>
      <c r="AE48" s="29" t="n">
        <v>17.96809158673331</v>
      </c>
      <c r="AF48" s="29" t="n">
        <v>4.522439797203005</v>
      </c>
      <c r="AG48" s="29" t="n">
        <v>13.52504612135593</v>
      </c>
      <c r="AH48" s="29" t="n">
        <v>43.67041751959388</v>
      </c>
      <c r="AI48" s="29" t="n">
        <v>38.81913256590264</v>
      </c>
      <c r="AJ48" s="29" t="n">
        <v>16.42437670468349</v>
      </c>
      <c r="AK48" s="29" t="n">
        <v>7550.770348249896</v>
      </c>
      <c r="AL48" s="29" t="n">
        <v>6.211907422347591</v>
      </c>
      <c r="AM48" s="29" t="n">
        <v>875.2889878215926</v>
      </c>
      <c r="AN48" s="29" t="n">
        <v>7.016090496195303</v>
      </c>
      <c r="AO48" s="29" t="n">
        <v>2.529171008245612</v>
      </c>
      <c r="AP48" s="29" t="n">
        <v>43.09996269503102</v>
      </c>
      <c r="AQ48" s="29" t="n">
        <v>95.29992464315721</v>
      </c>
      <c r="AR48" s="29" t="n">
        <v>40.95396377567751</v>
      </c>
      <c r="AS48" s="29" t="n">
        <v>762.0236772024816</v>
      </c>
      <c r="AT48" s="29" t="n">
        <v>1.41634252267358</v>
      </c>
      <c r="AU48" s="29" t="n">
        <v>0.7190652872540869</v>
      </c>
      <c r="AV48" s="29" t="n">
        <v>5.772531796147405</v>
      </c>
      <c r="AW48" s="29" t="n">
        <v>0.8553965432849089</v>
      </c>
      <c r="AX48" s="29" t="n">
        <v>4.579536740520591</v>
      </c>
      <c r="AY48" s="29" t="n">
        <v>3.067674207348195</v>
      </c>
      <c r="AZ48" s="29" t="n">
        <v>1.976571787366273</v>
      </c>
      <c r="BA48" s="29" t="n">
        <v>15.35713895816435</v>
      </c>
      <c r="BB48" s="29" t="n">
        <v>2.998151874493027</v>
      </c>
      <c r="BC48" s="29" t="n">
        <v>5.737246171437051</v>
      </c>
      <c r="BD48" s="29" t="n">
        <v>1.887310336782309</v>
      </c>
      <c r="BE48" s="29" t="n">
        <v>4.859256524338063</v>
      </c>
      <c r="BF48" s="29" t="n">
        <v>13.10796800138476</v>
      </c>
      <c r="BG48" s="29" t="n">
        <v>1.30415940225977</v>
      </c>
      <c r="BH48" s="29" t="n">
        <v>2.618221739747005</v>
      </c>
      <c r="BI48" s="29" t="n">
        <v>6.181767541918843</v>
      </c>
      <c r="BJ48" s="29" t="n">
        <v>0.6397385609111766</v>
      </c>
      <c r="BK48" s="29" t="n">
        <v>109.2592019454572</v>
      </c>
      <c r="BL48" s="29" t="n">
        <v>1.922093648775848</v>
      </c>
      <c r="BM48" s="29" t="n">
        <v>2.488412165921351</v>
      </c>
      <c r="BN48" s="29" t="n">
        <v>2.683616724729465</v>
      </c>
      <c r="BO48" s="29" t="n">
        <v>5.671047237949068</v>
      </c>
      <c r="BP48" s="29" t="n">
        <v>3.036499029310868</v>
      </c>
      <c r="BQ48" s="29" t="n">
        <v>43.84157181350199</v>
      </c>
      <c r="BR48" s="29" t="n">
        <v>0</v>
      </c>
      <c r="BS48" s="29">
        <f>SUM(C48:BR48)</f>
        <v/>
      </c>
      <c r="BT48" s="29" t="n">
        <v>0</v>
      </c>
      <c r="BU48" s="29" t="n">
        <v>0</v>
      </c>
      <c r="BV48" s="29" t="n">
        <v>27504.09109479437</v>
      </c>
      <c r="BW48" s="29" t="n">
        <v>0</v>
      </c>
      <c r="BX48" s="29">
        <f>SUM(BT48:BW48)</f>
        <v/>
      </c>
      <c r="BY48" s="29">
        <f>BS48+BX48</f>
        <v/>
      </c>
    </row>
    <row r="49">
      <c r="A49" s="30" t="inlineStr">
        <is>
          <t>3180</t>
        </is>
      </c>
      <c r="B49" s="30" t="inlineStr">
        <is>
          <t>Fabricação de móveis e de produtos de indústrias diversas</t>
        </is>
      </c>
      <c r="C49" s="31" t="n">
        <v>17.4612115608725</v>
      </c>
      <c r="D49" s="31" t="n">
        <v>11.3233514196853</v>
      </c>
      <c r="E49" s="31" t="n">
        <v>6.14665219298313</v>
      </c>
      <c r="F49" s="31" t="n">
        <v>5.424118970061846</v>
      </c>
      <c r="G49" s="31" t="n">
        <v>34.05189114670735</v>
      </c>
      <c r="H49" s="31" t="n">
        <v>24.31187296326627</v>
      </c>
      <c r="I49" s="31" t="n">
        <v>3.506062968413034</v>
      </c>
      <c r="J49" s="31" t="n">
        <v>59.99195687901169</v>
      </c>
      <c r="K49" s="31" t="n">
        <v>8.294711126156509</v>
      </c>
      <c r="L49" s="31" t="n">
        <v>75.4556726544628</v>
      </c>
      <c r="M49" s="31" t="n">
        <v>36.10532959185277</v>
      </c>
      <c r="N49" s="31" t="n">
        <v>2.677091834135002</v>
      </c>
      <c r="O49" s="31" t="n">
        <v>38.96530772444174</v>
      </c>
      <c r="P49" s="31" t="n">
        <v>624.4237355113635</v>
      </c>
      <c r="Q49" s="31" t="n">
        <v>145.1314484747779</v>
      </c>
      <c r="R49" s="31" t="n">
        <v>23.84607715415432</v>
      </c>
      <c r="S49" s="31" t="n">
        <v>29.10649541975905</v>
      </c>
      <c r="T49" s="31" t="n">
        <v>10.38665818858743</v>
      </c>
      <c r="U49" s="31" t="n">
        <v>10.61823922450982</v>
      </c>
      <c r="V49" s="31" t="n">
        <v>3.227543301297613</v>
      </c>
      <c r="W49" s="31" t="n">
        <v>64.02229951911097</v>
      </c>
      <c r="X49" s="31" t="n">
        <v>39.85668828272438</v>
      </c>
      <c r="Y49" s="31" t="n">
        <v>18.57533043345612</v>
      </c>
      <c r="Z49" s="31" t="n">
        <v>37.58683154521439</v>
      </c>
      <c r="AA49" s="31" t="n">
        <v>117.6251678307229</v>
      </c>
      <c r="AB49" s="31" t="n">
        <v>95.69046737483251</v>
      </c>
      <c r="AC49" s="31" t="n">
        <v>28.53067199387918</v>
      </c>
      <c r="AD49" s="31" t="n">
        <v>6.327944857406468</v>
      </c>
      <c r="AE49" s="31" t="n">
        <v>56.63813416922607</v>
      </c>
      <c r="AF49" s="31" t="n">
        <v>37.13821172744228</v>
      </c>
      <c r="AG49" s="31" t="n">
        <v>40.928041688384</v>
      </c>
      <c r="AH49" s="31" t="n">
        <v>368.3323311638969</v>
      </c>
      <c r="AI49" s="31" t="n">
        <v>247.562838060317</v>
      </c>
      <c r="AJ49" s="31" t="n">
        <v>388.5237437346594</v>
      </c>
      <c r="AK49" s="31" t="n">
        <v>32.85429654986152</v>
      </c>
      <c r="AL49" s="31" t="n">
        <v>1578.857792985355</v>
      </c>
      <c r="AM49" s="31" t="n">
        <v>81.86444468211099</v>
      </c>
      <c r="AN49" s="31" t="n">
        <v>35.98236396450473</v>
      </c>
      <c r="AO49" s="31" t="n">
        <v>24.41216570554615</v>
      </c>
      <c r="AP49" s="31" t="n">
        <v>679.6386370665715</v>
      </c>
      <c r="AQ49" s="31" t="n">
        <v>32.93470921418837</v>
      </c>
      <c r="AR49" s="31" t="n">
        <v>298.5232894041804</v>
      </c>
      <c r="AS49" s="31" t="n">
        <v>60.45217995263158</v>
      </c>
      <c r="AT49" s="31" t="n">
        <v>49.63853863404585</v>
      </c>
      <c r="AU49" s="31" t="n">
        <v>2.464771501587605</v>
      </c>
      <c r="AV49" s="31" t="n">
        <v>83.99282556904936</v>
      </c>
      <c r="AW49" s="31" t="n">
        <v>5.830449555727945</v>
      </c>
      <c r="AX49" s="31" t="n">
        <v>20.32037315480837</v>
      </c>
      <c r="AY49" s="31" t="n">
        <v>8.273258609816798</v>
      </c>
      <c r="AZ49" s="31" t="n">
        <v>33.04727886993178</v>
      </c>
      <c r="BA49" s="31" t="n">
        <v>33.6659780654023</v>
      </c>
      <c r="BB49" s="31" t="n">
        <v>41.2417143127814</v>
      </c>
      <c r="BC49" s="31" t="n">
        <v>148.2959118657872</v>
      </c>
      <c r="BD49" s="31" t="n">
        <v>59.58649158140756</v>
      </c>
      <c r="BE49" s="31" t="n">
        <v>115.8721857709785</v>
      </c>
      <c r="BF49" s="31" t="n">
        <v>201.8493643954804</v>
      </c>
      <c r="BG49" s="31" t="n">
        <v>137.8071260652139</v>
      </c>
      <c r="BH49" s="31" t="n">
        <v>247.7336021089654</v>
      </c>
      <c r="BI49" s="31" t="n">
        <v>107.2931814340121</v>
      </c>
      <c r="BJ49" s="31" t="n">
        <v>10.92509998851851</v>
      </c>
      <c r="BK49" s="31" t="n">
        <v>501.537965543655</v>
      </c>
      <c r="BL49" s="31" t="n">
        <v>528.7779038808142</v>
      </c>
      <c r="BM49" s="31" t="n">
        <v>16.6725845766983</v>
      </c>
      <c r="BN49" s="31" t="n">
        <v>1086.08346773267</v>
      </c>
      <c r="BO49" s="31" t="n">
        <v>4413.523503108205</v>
      </c>
      <c r="BP49" s="31" t="n">
        <v>85.3006777963885</v>
      </c>
      <c r="BQ49" s="31" t="n">
        <v>63.87218434260078</v>
      </c>
      <c r="BR49" s="31" t="n">
        <v>0</v>
      </c>
      <c r="BS49" s="31">
        <f>SUM(C49:BR49)</f>
        <v/>
      </c>
      <c r="BT49" s="31" t="n">
        <v>0</v>
      </c>
      <c r="BU49" s="31" t="n">
        <v>0</v>
      </c>
      <c r="BV49" s="31" t="n">
        <v>42177.69923854793</v>
      </c>
      <c r="BW49" s="31" t="n">
        <v>0</v>
      </c>
      <c r="BX49" s="31">
        <f>SUM(BT49:BW49)</f>
        <v/>
      </c>
      <c r="BY49" s="31">
        <f>BS49+BX49</f>
        <v/>
      </c>
    </row>
    <row r="50">
      <c r="A50" s="28" t="inlineStr">
        <is>
          <t>3300</t>
        </is>
      </c>
      <c r="B50" s="28" t="inlineStr">
        <is>
          <t>Manutenção, reparação e instalação de máquinas e equipamentos</t>
        </is>
      </c>
      <c r="C50" s="29" t="n">
        <v>56.83324162932915</v>
      </c>
      <c r="D50" s="29" t="n">
        <v>24.34019775744937</v>
      </c>
      <c r="E50" s="29" t="n">
        <v>90.74237060849823</v>
      </c>
      <c r="F50" s="29" t="n">
        <v>625.4108160068287</v>
      </c>
      <c r="G50" s="29" t="n">
        <v>1419.539060798924</v>
      </c>
      <c r="H50" s="29" t="n">
        <v>989.5776137721715</v>
      </c>
      <c r="I50" s="29" t="n">
        <v>391.7932025576931</v>
      </c>
      <c r="J50" s="29" t="n">
        <v>583.9173859947895</v>
      </c>
      <c r="K50" s="29" t="n">
        <v>430.980083263135</v>
      </c>
      <c r="L50" s="29" t="n">
        <v>329.8020996769001</v>
      </c>
      <c r="M50" s="29" t="n">
        <v>253.2947736452307</v>
      </c>
      <c r="N50" s="29" t="n">
        <v>11.47541301807147</v>
      </c>
      <c r="O50" s="29" t="n">
        <v>190.5373460249309</v>
      </c>
      <c r="P50" s="29" t="n">
        <v>280.9332172162919</v>
      </c>
      <c r="Q50" s="29" t="n">
        <v>111.2651188927081</v>
      </c>
      <c r="R50" s="29" t="n">
        <v>284.5053992195635</v>
      </c>
      <c r="S50" s="29" t="n">
        <v>1484.644565011306</v>
      </c>
      <c r="T50" s="29" t="n">
        <v>916.852358855069</v>
      </c>
      <c r="U50" s="29" t="n">
        <v>355.4948390822444</v>
      </c>
      <c r="V50" s="29" t="n">
        <v>305.599414493452</v>
      </c>
      <c r="W50" s="29" t="n">
        <v>742.2380458611881</v>
      </c>
      <c r="X50" s="29" t="n">
        <v>399.5747929284886</v>
      </c>
      <c r="Y50" s="29" t="n">
        <v>101.3484872044195</v>
      </c>
      <c r="Z50" s="29" t="n">
        <v>385.6711263955947</v>
      </c>
      <c r="AA50" s="29" t="n">
        <v>349.8339290985324</v>
      </c>
      <c r="AB50" s="29" t="n">
        <v>1654.116580396526</v>
      </c>
      <c r="AC50" s="29" t="n">
        <v>5221.787641895778</v>
      </c>
      <c r="AD50" s="29" t="n">
        <v>1069.641479597942</v>
      </c>
      <c r="AE50" s="29" t="n">
        <v>457.3596743991988</v>
      </c>
      <c r="AF50" s="29" t="n">
        <v>60.51864157760442</v>
      </c>
      <c r="AG50" s="29" t="n">
        <v>333.9917444477308</v>
      </c>
      <c r="AH50" s="29" t="n">
        <v>1131.063255300437</v>
      </c>
      <c r="AI50" s="29" t="n">
        <v>181.7006740595768</v>
      </c>
      <c r="AJ50" s="29" t="n">
        <v>522.6638486534378</v>
      </c>
      <c r="AK50" s="29" t="n">
        <v>270.1333849935661</v>
      </c>
      <c r="AL50" s="29" t="n">
        <v>429.392294922377</v>
      </c>
      <c r="AM50" s="29" t="n">
        <v>451.613306811028</v>
      </c>
      <c r="AN50" s="29" t="n">
        <v>747.8415830946774</v>
      </c>
      <c r="AO50" s="29" t="n">
        <v>678.1628771557164</v>
      </c>
      <c r="AP50" s="29" t="n">
        <v>1744.345543881337</v>
      </c>
      <c r="AQ50" s="29" t="n">
        <v>446.6939990983179</v>
      </c>
      <c r="AR50" s="29" t="n">
        <v>2409.400062607367</v>
      </c>
      <c r="AS50" s="29" t="n">
        <v>485.8517757533912</v>
      </c>
      <c r="AT50" s="29" t="n">
        <v>520.5842641763776</v>
      </c>
      <c r="AU50" s="29" t="n">
        <v>298.5284601227578</v>
      </c>
      <c r="AV50" s="29" t="n">
        <v>1830.270184051455</v>
      </c>
      <c r="AW50" s="29" t="n">
        <v>5.995862377775522</v>
      </c>
      <c r="AX50" s="29" t="n">
        <v>167.9955872156307</v>
      </c>
      <c r="AY50" s="29" t="n">
        <v>560.7126061291599</v>
      </c>
      <c r="AZ50" s="29" t="n">
        <v>91.41406471039799</v>
      </c>
      <c r="BA50" s="29" t="n">
        <v>568.8295731342221</v>
      </c>
      <c r="BB50" s="29" t="n">
        <v>434.2706475874859</v>
      </c>
      <c r="BC50" s="29" t="n">
        <v>221.1119801712642</v>
      </c>
      <c r="BD50" s="29" t="n">
        <v>63.15983712847822</v>
      </c>
      <c r="BE50" s="29" t="n">
        <v>474.1937298884344</v>
      </c>
      <c r="BF50" s="29" t="n">
        <v>150.1628278239244</v>
      </c>
      <c r="BG50" s="29" t="n">
        <v>88.06825328738751</v>
      </c>
      <c r="BH50" s="29" t="n">
        <v>578.5372694965043</v>
      </c>
      <c r="BI50" s="29" t="n">
        <v>613.1006966134635</v>
      </c>
      <c r="BJ50" s="29" t="n">
        <v>144.5356041677136</v>
      </c>
      <c r="BK50" s="29" t="n">
        <v>630.554824740072</v>
      </c>
      <c r="BL50" s="29" t="n">
        <v>83.23606395761419</v>
      </c>
      <c r="BM50" s="29" t="n">
        <v>2.012219833742417</v>
      </c>
      <c r="BN50" s="29" t="n">
        <v>549.1881232764753</v>
      </c>
      <c r="BO50" s="29" t="n">
        <v>304.3836876148079</v>
      </c>
      <c r="BP50" s="29" t="n">
        <v>270.9462730157431</v>
      </c>
      <c r="BQ50" s="29" t="n">
        <v>299.3581687637808</v>
      </c>
      <c r="BR50" s="29" t="n">
        <v>0</v>
      </c>
      <c r="BS50" s="29">
        <f>SUM(C50:BR50)</f>
        <v/>
      </c>
      <c r="BT50" s="29" t="n">
        <v>0</v>
      </c>
      <c r="BU50" s="29" t="n">
        <v>0</v>
      </c>
      <c r="BV50" s="29" t="n">
        <v>7082.189646697389</v>
      </c>
      <c r="BW50" s="29" t="n">
        <v>0</v>
      </c>
      <c r="BX50" s="29">
        <f>SUM(BT50:BW50)</f>
        <v/>
      </c>
      <c r="BY50" s="29">
        <f>BS50+BX50</f>
        <v/>
      </c>
    </row>
    <row r="51">
      <c r="A51" s="30" t="inlineStr">
        <is>
          <t>3500</t>
        </is>
      </c>
      <c r="B51" s="30" t="inlineStr">
        <is>
          <t>Energia elétrica, gás natural e outras utilidades</t>
        </is>
      </c>
      <c r="C51" s="31" t="n">
        <v>4536.397729282505</v>
      </c>
      <c r="D51" s="31" t="n">
        <v>2866.985851238785</v>
      </c>
      <c r="E51" s="31" t="n">
        <v>237.597418631095</v>
      </c>
      <c r="F51" s="31" t="n">
        <v>528.6995744935235</v>
      </c>
      <c r="G51" s="31" t="n">
        <v>155.1564663433631</v>
      </c>
      <c r="H51" s="31" t="n">
        <v>760.247188509283</v>
      </c>
      <c r="I51" s="31" t="n">
        <v>208.053293520198</v>
      </c>
      <c r="J51" s="31" t="n">
        <v>857.6500131952196</v>
      </c>
      <c r="K51" s="31" t="n">
        <v>52.24637714824809</v>
      </c>
      <c r="L51" s="31" t="n">
        <v>1630.12208631961</v>
      </c>
      <c r="M51" s="31" t="n">
        <v>424.1874005307498</v>
      </c>
      <c r="N51" s="31" t="n">
        <v>43.8955856991083</v>
      </c>
      <c r="O51" s="31" t="n">
        <v>1105.84570865885</v>
      </c>
      <c r="P51" s="31" t="n">
        <v>123.0208461221693</v>
      </c>
      <c r="Q51" s="31" t="n">
        <v>188.1870172544634</v>
      </c>
      <c r="R51" s="31" t="n">
        <v>475.3323329375382</v>
      </c>
      <c r="S51" s="31" t="n">
        <v>1460.029560647548</v>
      </c>
      <c r="T51" s="31" t="n">
        <v>112.185823279224</v>
      </c>
      <c r="U51" s="31" t="n">
        <v>76.53349767499245</v>
      </c>
      <c r="V51" s="31" t="n">
        <v>73.92170335353113</v>
      </c>
      <c r="W51" s="31" t="n">
        <v>3069.951798268047</v>
      </c>
      <c r="X51" s="31" t="n">
        <v>439.711504418563</v>
      </c>
      <c r="Y51" s="31" t="n">
        <v>128.7215671798509</v>
      </c>
      <c r="Z51" s="31" t="n">
        <v>176.8881743227163</v>
      </c>
      <c r="AA51" s="31" t="n">
        <v>1380.980875570556</v>
      </c>
      <c r="AB51" s="31" t="n">
        <v>2494.443672368623</v>
      </c>
      <c r="AC51" s="31" t="n">
        <v>2514.599476826779</v>
      </c>
      <c r="AD51" s="31" t="n">
        <v>1470.247524474944</v>
      </c>
      <c r="AE51" s="31" t="n">
        <v>823.4716149284321</v>
      </c>
      <c r="AF51" s="31" t="n">
        <v>105.954675555304</v>
      </c>
      <c r="AG51" s="31" t="n">
        <v>426.5356806164162</v>
      </c>
      <c r="AH51" s="31" t="n">
        <v>452.7216616128737</v>
      </c>
      <c r="AI51" s="31" t="n">
        <v>442.0090210158388</v>
      </c>
      <c r="AJ51" s="31" t="n">
        <v>1038.170764501453</v>
      </c>
      <c r="AK51" s="31" t="n">
        <v>196.2851596755943</v>
      </c>
      <c r="AL51" s="31" t="n">
        <v>239.1313645674355</v>
      </c>
      <c r="AM51" s="31" t="n">
        <v>122.7866843003443</v>
      </c>
      <c r="AN51" s="31" t="n">
        <v>41187.26619663282</v>
      </c>
      <c r="AO51" s="31" t="n">
        <v>2305.055134938827</v>
      </c>
      <c r="AP51" s="31" t="n">
        <v>439.0194834072114</v>
      </c>
      <c r="AQ51" s="31" t="n">
        <v>994.6578795737603</v>
      </c>
      <c r="AR51" s="31" t="n">
        <v>10501.95229191111</v>
      </c>
      <c r="AS51" s="31" t="n">
        <v>976.4841594736479</v>
      </c>
      <c r="AT51" s="31" t="n">
        <v>35.78937596076217</v>
      </c>
      <c r="AU51" s="31" t="n">
        <v>27.95393376936294</v>
      </c>
      <c r="AV51" s="31" t="n">
        <v>687.3338319779145</v>
      </c>
      <c r="AW51" s="31" t="n">
        <v>785.9837690164605</v>
      </c>
      <c r="AX51" s="31" t="n">
        <v>1021.167506057421</v>
      </c>
      <c r="AY51" s="31" t="n">
        <v>143.7896692746894</v>
      </c>
      <c r="AZ51" s="31" t="n">
        <v>264.7753117256854</v>
      </c>
      <c r="BA51" s="31" t="n">
        <v>1490.489917612957</v>
      </c>
      <c r="BB51" s="31" t="n">
        <v>293.6307948932059</v>
      </c>
      <c r="BC51" s="31" t="n">
        <v>1755.498659462615</v>
      </c>
      <c r="BD51" s="31" t="n">
        <v>293.2663982308203</v>
      </c>
      <c r="BE51" s="31" t="n">
        <v>608.7714839346345</v>
      </c>
      <c r="BF51" s="31" t="n">
        <v>201.5837575558017</v>
      </c>
      <c r="BG51" s="31" t="n">
        <v>127.3173955931036</v>
      </c>
      <c r="BH51" s="31" t="n">
        <v>98.14191587653357</v>
      </c>
      <c r="BI51" s="31" t="n">
        <v>3378.849090287049</v>
      </c>
      <c r="BJ51" s="31" t="n">
        <v>57.49031842783171</v>
      </c>
      <c r="BK51" s="31" t="n">
        <v>3839.69001863103</v>
      </c>
      <c r="BL51" s="31" t="n">
        <v>1141.435254304844</v>
      </c>
      <c r="BM51" s="31" t="n">
        <v>1276.933952074575</v>
      </c>
      <c r="BN51" s="31" t="n">
        <v>763.6147376195067</v>
      </c>
      <c r="BO51" s="31" t="n">
        <v>980.7312291989743</v>
      </c>
      <c r="BP51" s="31" t="n">
        <v>522.1520042492527</v>
      </c>
      <c r="BQ51" s="31" t="n">
        <v>2114.008959319098</v>
      </c>
      <c r="BR51" s="31" t="n">
        <v>0</v>
      </c>
      <c r="BS51" s="31">
        <f>SUM(C51:BR51)</f>
        <v/>
      </c>
      <c r="BT51" s="31" t="n">
        <v>0</v>
      </c>
      <c r="BU51" s="31" t="n">
        <v>0</v>
      </c>
      <c r="BV51" s="31" t="n">
        <v>54612.25887396472</v>
      </c>
      <c r="BW51" s="31" t="n">
        <v>0</v>
      </c>
      <c r="BX51" s="31">
        <f>SUM(BT51:BW51)</f>
        <v/>
      </c>
      <c r="BY51" s="31">
        <f>BS51+BX51</f>
        <v/>
      </c>
    </row>
    <row r="52">
      <c r="A52" s="28" t="inlineStr">
        <is>
          <t>3680</t>
        </is>
      </c>
      <c r="B52" s="28" t="inlineStr">
        <is>
          <t>Água, esgoto e gestão de resíduos</t>
        </is>
      </c>
      <c r="C52" s="29" t="n">
        <v>9.759653172531831</v>
      </c>
      <c r="D52" s="29" t="n">
        <v>2.300509070506814</v>
      </c>
      <c r="E52" s="29" t="n">
        <v>2.011631014761435</v>
      </c>
      <c r="F52" s="29" t="n">
        <v>27.8235430356047</v>
      </c>
      <c r="G52" s="29" t="n">
        <v>31.37411637979302</v>
      </c>
      <c r="H52" s="29" t="n">
        <v>140.7500430016362</v>
      </c>
      <c r="I52" s="29" t="n">
        <v>30.4005866161596</v>
      </c>
      <c r="J52" s="29" t="n">
        <v>114.8120538099192</v>
      </c>
      <c r="K52" s="29" t="n">
        <v>52.52093090424256</v>
      </c>
      <c r="L52" s="29" t="n">
        <v>190.8553483002894</v>
      </c>
      <c r="M52" s="29" t="n">
        <v>292.0102980468191</v>
      </c>
      <c r="N52" s="29" t="n">
        <v>1.276917643777201</v>
      </c>
      <c r="O52" s="29" t="n">
        <v>56.55148332901703</v>
      </c>
      <c r="P52" s="29" t="n">
        <v>20.60429316420876</v>
      </c>
      <c r="Q52" s="29" t="n">
        <v>19.58582746659436</v>
      </c>
      <c r="R52" s="29" t="n">
        <v>116.0941389160401</v>
      </c>
      <c r="S52" s="29" t="n">
        <v>241.3007756267043</v>
      </c>
      <c r="T52" s="29" t="n">
        <v>9.592175647749565</v>
      </c>
      <c r="U52" s="29" t="n">
        <v>207.6017542490044</v>
      </c>
      <c r="V52" s="29" t="n">
        <v>14.63874460928507</v>
      </c>
      <c r="W52" s="29" t="n">
        <v>397.7788893188451</v>
      </c>
      <c r="X52" s="29" t="n">
        <v>209.7247014240292</v>
      </c>
      <c r="Y52" s="29" t="n">
        <v>82.82204289021119</v>
      </c>
      <c r="Z52" s="29" t="n">
        <v>52.96967156780303</v>
      </c>
      <c r="AA52" s="29" t="n">
        <v>397.5693413796964</v>
      </c>
      <c r="AB52" s="29" t="n">
        <v>544.2467866354586</v>
      </c>
      <c r="AC52" s="29" t="n">
        <v>3194.972822849505</v>
      </c>
      <c r="AD52" s="29" t="n">
        <v>1388.419201374271</v>
      </c>
      <c r="AE52" s="29" t="n">
        <v>121.073585440156</v>
      </c>
      <c r="AF52" s="29" t="n">
        <v>23.06099765874495</v>
      </c>
      <c r="AG52" s="29" t="n">
        <v>49.9208775839608</v>
      </c>
      <c r="AH52" s="29" t="n">
        <v>80.97355778036584</v>
      </c>
      <c r="AI52" s="29" t="n">
        <v>101.3449367422347</v>
      </c>
      <c r="AJ52" s="29" t="n">
        <v>259.5280839137032</v>
      </c>
      <c r="AK52" s="29" t="n">
        <v>117.6153650979581</v>
      </c>
      <c r="AL52" s="29" t="n">
        <v>48.99119148446793</v>
      </c>
      <c r="AM52" s="29" t="n">
        <v>16.15231301775796</v>
      </c>
      <c r="AN52" s="29" t="n">
        <v>47.260625633023</v>
      </c>
      <c r="AO52" s="29" t="n">
        <v>462.2636404007207</v>
      </c>
      <c r="AP52" s="29" t="n">
        <v>235.8564222016046</v>
      </c>
      <c r="AQ52" s="29" t="n">
        <v>290.5637381301227</v>
      </c>
      <c r="AR52" s="29" t="n">
        <v>2199.461725517925</v>
      </c>
      <c r="AS52" s="29" t="n">
        <v>277.1075530238082</v>
      </c>
      <c r="AT52" s="29" t="n">
        <v>9.174944314850491</v>
      </c>
      <c r="AU52" s="29" t="n">
        <v>6.423429417449344</v>
      </c>
      <c r="AV52" s="29" t="n">
        <v>421.2037636143295</v>
      </c>
      <c r="AW52" s="29" t="n">
        <v>226.9005622363694</v>
      </c>
      <c r="AX52" s="29" t="n">
        <v>683.9609955602433</v>
      </c>
      <c r="AY52" s="29" t="n">
        <v>35.9998016392315</v>
      </c>
      <c r="AZ52" s="29" t="n">
        <v>39.56827705476023</v>
      </c>
      <c r="BA52" s="29" t="n">
        <v>38.25190518382739</v>
      </c>
      <c r="BB52" s="29" t="n">
        <v>58.40479212948524</v>
      </c>
      <c r="BC52" s="29" t="n">
        <v>323.0917368841399</v>
      </c>
      <c r="BD52" s="29" t="n">
        <v>184.0929830303765</v>
      </c>
      <c r="BE52" s="29" t="n">
        <v>295.8106349578647</v>
      </c>
      <c r="BF52" s="29" t="n">
        <v>53.75766937116206</v>
      </c>
      <c r="BG52" s="29" t="n">
        <v>21.61013050146705</v>
      </c>
      <c r="BH52" s="29" t="n">
        <v>34.7502970393848</v>
      </c>
      <c r="BI52" s="29" t="n">
        <v>2714.667189761094</v>
      </c>
      <c r="BJ52" s="29" t="n">
        <v>23.37513538508871</v>
      </c>
      <c r="BK52" s="29" t="n">
        <v>7565.379655998003</v>
      </c>
      <c r="BL52" s="29" t="n">
        <v>941.3031582939499</v>
      </c>
      <c r="BM52" s="29" t="n">
        <v>137.7648735209683</v>
      </c>
      <c r="BN52" s="29" t="n">
        <v>971.1588538901331</v>
      </c>
      <c r="BO52" s="29" t="n">
        <v>1004.543442205894</v>
      </c>
      <c r="BP52" s="29" t="n">
        <v>64.66610665288518</v>
      </c>
      <c r="BQ52" s="29" t="n">
        <v>1323.565943448011</v>
      </c>
      <c r="BR52" s="29" t="n">
        <v>0</v>
      </c>
      <c r="BS52" s="29">
        <f>SUM(C52:BR52)</f>
        <v/>
      </c>
      <c r="BT52" s="29" t="n">
        <v>0</v>
      </c>
      <c r="BU52" s="29" t="n">
        <v>0</v>
      </c>
      <c r="BV52" s="29" t="n">
        <v>17478.03082283801</v>
      </c>
      <c r="BW52" s="29" t="n">
        <v>0</v>
      </c>
      <c r="BX52" s="29">
        <f>SUM(BT52:BW52)</f>
        <v/>
      </c>
      <c r="BY52" s="29">
        <f>BS52+BX52</f>
        <v/>
      </c>
    </row>
    <row r="53">
      <c r="A53" s="30" t="inlineStr">
        <is>
          <t>4180</t>
        </is>
      </c>
      <c r="B53" s="30" t="inlineStr">
        <is>
          <t>Construção</t>
        </is>
      </c>
      <c r="C53" s="31" t="n">
        <v>52.77271462486156</v>
      </c>
      <c r="D53" s="31" t="n">
        <v>124.5731653204516</v>
      </c>
      <c r="E53" s="31" t="n">
        <v>7.16888013063558</v>
      </c>
      <c r="F53" s="31" t="n">
        <v>5.463852666568415</v>
      </c>
      <c r="G53" s="31" t="n">
        <v>2114.332940497439</v>
      </c>
      <c r="H53" s="31" t="n">
        <v>1030.4082288549</v>
      </c>
      <c r="I53" s="31" t="n">
        <v>185.5228630191187</v>
      </c>
      <c r="J53" s="31" t="n">
        <v>6.430048785256822</v>
      </c>
      <c r="K53" s="31" t="n">
        <v>8.27489895411964</v>
      </c>
      <c r="L53" s="31" t="n">
        <v>12.16851777718774</v>
      </c>
      <c r="M53" s="31" t="n">
        <v>2.178327540197471</v>
      </c>
      <c r="N53" s="31" t="n">
        <v>0.5376659803887334</v>
      </c>
      <c r="O53" s="31" t="n">
        <v>25.79816129237921</v>
      </c>
      <c r="P53" s="31" t="n">
        <v>3.771538231543298</v>
      </c>
      <c r="Q53" s="31" t="n">
        <v>1.294467722604045</v>
      </c>
      <c r="R53" s="31" t="n">
        <v>0.7095350697248969</v>
      </c>
      <c r="S53" s="31" t="n">
        <v>17.85947910784863</v>
      </c>
      <c r="T53" s="31" t="n">
        <v>17.11590168034878</v>
      </c>
      <c r="U53" s="31" t="n">
        <v>17.89069096146166</v>
      </c>
      <c r="V53" s="31" t="n">
        <v>18.4456636164388</v>
      </c>
      <c r="W53" s="31" t="n">
        <v>59.01535916369362</v>
      </c>
      <c r="X53" s="31" t="n">
        <v>4.630190749790192</v>
      </c>
      <c r="Y53" s="31" t="n">
        <v>1.881729170236244</v>
      </c>
      <c r="Z53" s="31" t="n">
        <v>3.118818775272385</v>
      </c>
      <c r="AA53" s="31" t="n">
        <v>5.826354881029454</v>
      </c>
      <c r="AB53" s="31" t="n">
        <v>22.99951788933103</v>
      </c>
      <c r="AC53" s="31" t="n">
        <v>95.92774364008814</v>
      </c>
      <c r="AD53" s="31" t="n">
        <v>896.6504716798659</v>
      </c>
      <c r="AE53" s="31" t="n">
        <v>49.09055311741875</v>
      </c>
      <c r="AF53" s="31" t="n">
        <v>58.80308379356971</v>
      </c>
      <c r="AG53" s="31" t="n">
        <v>11.61031084689343</v>
      </c>
      <c r="AH53" s="31" t="n">
        <v>84.53176148548889</v>
      </c>
      <c r="AI53" s="31" t="n">
        <v>245.4697787255853</v>
      </c>
      <c r="AJ53" s="31" t="n">
        <v>32.29986475709406</v>
      </c>
      <c r="AK53" s="31" t="n">
        <v>257.2433325348185</v>
      </c>
      <c r="AL53" s="31" t="n">
        <v>14.5114945947048</v>
      </c>
      <c r="AM53" s="31" t="n">
        <v>4.892703090595039</v>
      </c>
      <c r="AN53" s="31" t="n">
        <v>11.51142072629841</v>
      </c>
      <c r="AO53" s="31" t="n">
        <v>3284.590672976798</v>
      </c>
      <c r="AP53" s="31" t="n">
        <v>48406.87696755181</v>
      </c>
      <c r="AQ53" s="31" t="n">
        <v>553.1312387879594</v>
      </c>
      <c r="AR53" s="31" t="n">
        <v>809.8983572173155</v>
      </c>
      <c r="AS53" s="31" t="n">
        <v>340.9066567611447</v>
      </c>
      <c r="AT53" s="31" t="n">
        <v>9.280125787541468</v>
      </c>
      <c r="AU53" s="31" t="n">
        <v>14.26291813021345</v>
      </c>
      <c r="AV53" s="31" t="n">
        <v>946.6838380362085</v>
      </c>
      <c r="AW53" s="31" t="n">
        <v>233.345343085633</v>
      </c>
      <c r="AX53" s="31" t="n">
        <v>305.4966948162239</v>
      </c>
      <c r="AY53" s="31" t="n">
        <v>18.86960102807969</v>
      </c>
      <c r="AZ53" s="31" t="n">
        <v>221.428490618643</v>
      </c>
      <c r="BA53" s="31" t="n">
        <v>4096.421820874893</v>
      </c>
      <c r="BB53" s="31" t="n">
        <v>666.7528568433627</v>
      </c>
      <c r="BC53" s="31" t="n">
        <v>1334.032852228326</v>
      </c>
      <c r="BD53" s="31" t="n">
        <v>950.7872437897207</v>
      </c>
      <c r="BE53" s="31" t="n">
        <v>207.2835014980406</v>
      </c>
      <c r="BF53" s="31" t="n">
        <v>605.8611463811361</v>
      </c>
      <c r="BG53" s="31" t="n">
        <v>12.99576470622727</v>
      </c>
      <c r="BH53" s="31" t="n">
        <v>164.0098647648809</v>
      </c>
      <c r="BI53" s="31" t="n">
        <v>1838.189141981377</v>
      </c>
      <c r="BJ53" s="31" t="n">
        <v>10.32604615165713</v>
      </c>
      <c r="BK53" s="31" t="n">
        <v>9839.519858357224</v>
      </c>
      <c r="BL53" s="31" t="n">
        <v>851.1933268780169</v>
      </c>
      <c r="BM53" s="31" t="n">
        <v>321.7214336800258</v>
      </c>
      <c r="BN53" s="31" t="n">
        <v>2276.535979056593</v>
      </c>
      <c r="BO53" s="31" t="n">
        <v>18.96950195294155</v>
      </c>
      <c r="BP53" s="31" t="n">
        <v>96.0495667226001</v>
      </c>
      <c r="BQ53" s="31" t="n">
        <v>393.34677573942</v>
      </c>
      <c r="BR53" s="31" t="n">
        <v>0</v>
      </c>
      <c r="BS53" s="31">
        <f>SUM(C53:BR53)</f>
        <v/>
      </c>
      <c r="BT53" s="31" t="n">
        <v>0</v>
      </c>
      <c r="BU53" s="31" t="n">
        <v>0</v>
      </c>
      <c r="BV53" s="31" t="n">
        <v>423553.5003821407</v>
      </c>
      <c r="BW53" s="31" t="n">
        <v>0</v>
      </c>
      <c r="BX53" s="31">
        <f>SUM(BT53:BW53)</f>
        <v/>
      </c>
      <c r="BY53" s="31">
        <f>BS53+BX53</f>
        <v/>
      </c>
    </row>
    <row r="54">
      <c r="A54" s="28" t="inlineStr">
        <is>
          <t>4500</t>
        </is>
      </c>
      <c r="B54" s="28" t="inlineStr">
        <is>
          <t>Comércio e reparação de veículos automotores e motocicletas</t>
        </is>
      </c>
      <c r="C54" s="29" t="n">
        <v>344.544480489016</v>
      </c>
      <c r="D54" s="29" t="n">
        <v>84.28019555011799</v>
      </c>
      <c r="E54" s="29" t="n">
        <v>55.5757104679381</v>
      </c>
      <c r="F54" s="29" t="n">
        <v>127.2004508633574</v>
      </c>
      <c r="G54" s="29" t="n">
        <v>157.3049199376994</v>
      </c>
      <c r="H54" s="29" t="n">
        <v>1522.64984547721</v>
      </c>
      <c r="I54" s="29" t="n">
        <v>121.5572472253211</v>
      </c>
      <c r="J54" s="29" t="n">
        <v>23.47623218713271</v>
      </c>
      <c r="K54" s="29" t="n">
        <v>19.30170606062476</v>
      </c>
      <c r="L54" s="29" t="n">
        <v>41.49613847226654</v>
      </c>
      <c r="M54" s="29" t="n">
        <v>65.1662184049227</v>
      </c>
      <c r="N54" s="29" t="n">
        <v>0.4462794135454788</v>
      </c>
      <c r="O54" s="29" t="n">
        <v>10.73866616230033</v>
      </c>
      <c r="P54" s="29" t="n">
        <v>0.9660070152242798</v>
      </c>
      <c r="Q54" s="29" t="n">
        <v>8.190512762120633</v>
      </c>
      <c r="R54" s="29" t="n">
        <v>1.367001859090232</v>
      </c>
      <c r="S54" s="29" t="n">
        <v>7.309968984246204</v>
      </c>
      <c r="T54" s="29" t="n">
        <v>1.768146401642578</v>
      </c>
      <c r="U54" s="29" t="n">
        <v>4.942024174254568</v>
      </c>
      <c r="V54" s="29" t="n">
        <v>9.832234999448314</v>
      </c>
      <c r="W54" s="29" t="n">
        <v>6.353544677760853</v>
      </c>
      <c r="X54" s="29" t="n">
        <v>21.56778097561643</v>
      </c>
      <c r="Y54" s="29" t="n">
        <v>1.916997130567272</v>
      </c>
      <c r="Z54" s="29" t="n">
        <v>76.92097896270519</v>
      </c>
      <c r="AA54" s="29" t="n">
        <v>382.8957253083318</v>
      </c>
      <c r="AB54" s="29" t="n">
        <v>532.0992352271754</v>
      </c>
      <c r="AC54" s="29" t="n">
        <v>20.89164720879653</v>
      </c>
      <c r="AD54" s="29" t="n">
        <v>87.64251829953464</v>
      </c>
      <c r="AE54" s="29" t="n">
        <v>10.05746521322467</v>
      </c>
      <c r="AF54" s="29" t="n">
        <v>611.2279345319126</v>
      </c>
      <c r="AG54" s="29" t="n">
        <v>59.12927677834296</v>
      </c>
      <c r="AH54" s="29" t="n">
        <v>4521.630283492676</v>
      </c>
      <c r="AI54" s="29" t="n">
        <v>919.8494323873264</v>
      </c>
      <c r="AJ54" s="29" t="n">
        <v>30.72310557699551</v>
      </c>
      <c r="AK54" s="29" t="n">
        <v>4.960511430027274</v>
      </c>
      <c r="AL54" s="29" t="n">
        <v>63.96009291192144</v>
      </c>
      <c r="AM54" s="29" t="n">
        <v>81.13553197870783</v>
      </c>
      <c r="AN54" s="29" t="n">
        <v>459.7780328817125</v>
      </c>
      <c r="AO54" s="29" t="n">
        <v>1267.037944295485</v>
      </c>
      <c r="AP54" s="29" t="n">
        <v>1098.401227490404</v>
      </c>
      <c r="AQ54" s="29" t="n">
        <v>3093.442301170357</v>
      </c>
      <c r="AR54" s="29" t="n">
        <v>5006.203883237386</v>
      </c>
      <c r="AS54" s="29" t="n">
        <v>10577.15608542568</v>
      </c>
      <c r="AT54" s="29" t="n">
        <v>19.05079545966218</v>
      </c>
      <c r="AU54" s="29" t="n">
        <v>34.73455931881854</v>
      </c>
      <c r="AV54" s="29" t="n">
        <v>650.9457695686001</v>
      </c>
      <c r="AW54" s="29" t="n">
        <v>1.020348612869783</v>
      </c>
      <c r="AX54" s="29" t="n">
        <v>183.4375949737362</v>
      </c>
      <c r="AY54" s="29" t="n">
        <v>19.2779217367436</v>
      </c>
      <c r="AZ54" s="29" t="n">
        <v>103.9858847244086</v>
      </c>
      <c r="BA54" s="29" t="n">
        <v>88.99928353591859</v>
      </c>
      <c r="BB54" s="29" t="n">
        <v>15.08468458077449</v>
      </c>
      <c r="BC54" s="29" t="n">
        <v>254.729196356731</v>
      </c>
      <c r="BD54" s="29" t="n">
        <v>33.73873530925125</v>
      </c>
      <c r="BE54" s="29" t="n">
        <v>4.523092607747679</v>
      </c>
      <c r="BF54" s="29" t="n">
        <v>199.7141078478847</v>
      </c>
      <c r="BG54" s="29" t="n">
        <v>34.41558891444414</v>
      </c>
      <c r="BH54" s="29" t="n">
        <v>1404.98799215556</v>
      </c>
      <c r="BI54" s="29" t="n">
        <v>133.2164345258676</v>
      </c>
      <c r="BJ54" s="29" t="n">
        <v>280.1893599075996</v>
      </c>
      <c r="BK54" s="29" t="n">
        <v>3088.059679250744</v>
      </c>
      <c r="BL54" s="29" t="n">
        <v>539.8221735146802</v>
      </c>
      <c r="BM54" s="29" t="n">
        <v>11.42246618569678</v>
      </c>
      <c r="BN54" s="29" t="n">
        <v>1562.138119111033</v>
      </c>
      <c r="BO54" s="29" t="n">
        <v>1058.035486976893</v>
      </c>
      <c r="BP54" s="29" t="n">
        <v>79.70782868222899</v>
      </c>
      <c r="BQ54" s="29" t="n">
        <v>50.94813566296773</v>
      </c>
      <c r="BR54" s="29" t="n">
        <v>0</v>
      </c>
      <c r="BS54" s="29">
        <f>SUM(C54:BR54)</f>
        <v/>
      </c>
      <c r="BT54" s="29" t="n">
        <v>0</v>
      </c>
      <c r="BU54" s="29" t="n">
        <v>0</v>
      </c>
      <c r="BV54" s="29" t="n">
        <v>80612.71923697901</v>
      </c>
      <c r="BW54" s="29" t="n">
        <v>0</v>
      </c>
      <c r="BX54" s="29">
        <f>SUM(BT54:BW54)</f>
        <v/>
      </c>
      <c r="BY54" s="29">
        <f>BS54+BX54</f>
        <v/>
      </c>
    </row>
    <row r="55">
      <c r="A55" s="30" t="inlineStr">
        <is>
          <t>4680</t>
        </is>
      </c>
      <c r="B55" s="30" t="inlineStr">
        <is>
          <t>Comércio por atacado e a varejo, exceto veículos automotores</t>
        </is>
      </c>
      <c r="C55" s="31" t="n">
        <v>420.7134416502717</v>
      </c>
      <c r="D55" s="31" t="n">
        <v>427.988519757263</v>
      </c>
      <c r="E55" s="31" t="n">
        <v>30.82323396702935</v>
      </c>
      <c r="F55" s="31" t="n">
        <v>566.9868928305245</v>
      </c>
      <c r="G55" s="31" t="n">
        <v>1155.78097340057</v>
      </c>
      <c r="H55" s="31" t="n">
        <v>1204.62226943556</v>
      </c>
      <c r="I55" s="31" t="n">
        <v>508.1033048539555</v>
      </c>
      <c r="J55" s="31" t="n">
        <v>68530.65083216337</v>
      </c>
      <c r="K55" s="31" t="n">
        <v>5180.949594923098</v>
      </c>
      <c r="L55" s="31" t="n">
        <v>46884.1183296185</v>
      </c>
      <c r="M55" s="31" t="n">
        <v>2513.390200347988</v>
      </c>
      <c r="N55" s="31" t="n">
        <v>3114.460854680191</v>
      </c>
      <c r="O55" s="31" t="n">
        <v>8935.985044840972</v>
      </c>
      <c r="P55" s="31" t="n">
        <v>8351.29282000381</v>
      </c>
      <c r="Q55" s="31" t="n">
        <v>11927.73829415568</v>
      </c>
      <c r="R55" s="31" t="n">
        <v>2971.728003825522</v>
      </c>
      <c r="S55" s="31" t="n">
        <v>20873.59805770248</v>
      </c>
      <c r="T55" s="31" t="n">
        <v>1171.014618555165</v>
      </c>
      <c r="U55" s="31" t="n">
        <v>8278.45074283847</v>
      </c>
      <c r="V55" s="31" t="n">
        <v>3933.963390843664</v>
      </c>
      <c r="W55" s="31" t="n">
        <v>11309.30659612565</v>
      </c>
      <c r="X55" s="31" t="n">
        <v>14642.87017126515</v>
      </c>
      <c r="Y55" s="31" t="n">
        <v>1077.729615931644</v>
      </c>
      <c r="Z55" s="31" t="n">
        <v>15982.10055473653</v>
      </c>
      <c r="AA55" s="31" t="n">
        <v>19126.17345732554</v>
      </c>
      <c r="AB55" s="31" t="n">
        <v>13976.06003663346</v>
      </c>
      <c r="AC55" s="31" t="n">
        <v>18853.88079636559</v>
      </c>
      <c r="AD55" s="31" t="n">
        <v>5877.54919345528</v>
      </c>
      <c r="AE55" s="31" t="n">
        <v>17871.28659774915</v>
      </c>
      <c r="AF55" s="31" t="n">
        <v>10538.57155710972</v>
      </c>
      <c r="AG55" s="31" t="n">
        <v>13872.7552110994</v>
      </c>
      <c r="AH55" s="31" t="n">
        <v>33949.55191294365</v>
      </c>
      <c r="AI55" s="31" t="n">
        <v>2488.226741637551</v>
      </c>
      <c r="AJ55" s="31" t="n">
        <v>670.1105662614367</v>
      </c>
      <c r="AK55" s="31" t="n">
        <v>2313.281368942485</v>
      </c>
      <c r="AL55" s="31" t="n">
        <v>7887.693874443539</v>
      </c>
      <c r="AM55" s="31" t="n">
        <v>220.0953040501441</v>
      </c>
      <c r="AN55" s="31" t="n">
        <v>309.4554681431039</v>
      </c>
      <c r="AO55" s="31" t="n">
        <v>269.5533726524091</v>
      </c>
      <c r="AP55" s="31" t="n">
        <v>1508.42242103203</v>
      </c>
      <c r="AQ55" s="31" t="n">
        <v>203.5381451737951</v>
      </c>
      <c r="AR55" s="31" t="n">
        <v>64197.52538423653</v>
      </c>
      <c r="AS55" s="31" t="n">
        <v>641.5086857679303</v>
      </c>
      <c r="AT55" s="31" t="n">
        <v>119.3581417056756</v>
      </c>
      <c r="AU55" s="31" t="n">
        <v>176.4344571962134</v>
      </c>
      <c r="AV55" s="31" t="n">
        <v>355.8626081115895</v>
      </c>
      <c r="AW55" s="31" t="n">
        <v>67.94706762546129</v>
      </c>
      <c r="AX55" s="31" t="n">
        <v>1046.639144952741</v>
      </c>
      <c r="AY55" s="31" t="n">
        <v>8934.892158597786</v>
      </c>
      <c r="AZ55" s="31" t="n">
        <v>7592.530537082298</v>
      </c>
      <c r="BA55" s="31" t="n">
        <v>59775.90742711431</v>
      </c>
      <c r="BB55" s="31" t="n">
        <v>4116.878074972858</v>
      </c>
      <c r="BC55" s="31" t="n">
        <v>1395.334442282216</v>
      </c>
      <c r="BD55" s="31" t="n">
        <v>91.9011614576192</v>
      </c>
      <c r="BE55" s="31" t="n">
        <v>4311.427891747836</v>
      </c>
      <c r="BF55" s="31" t="n">
        <v>760.9651380803693</v>
      </c>
      <c r="BG55" s="31" t="n">
        <v>2118.679973031058</v>
      </c>
      <c r="BH55" s="31" t="n">
        <v>144.7947157318901</v>
      </c>
      <c r="BI55" s="31" t="n">
        <v>5268.605303357457</v>
      </c>
      <c r="BJ55" s="31" t="n">
        <v>598.0104145196096</v>
      </c>
      <c r="BK55" s="31" t="n">
        <v>828.7634679793488</v>
      </c>
      <c r="BL55" s="31" t="n">
        <v>320.570654180245</v>
      </c>
      <c r="BM55" s="31" t="n">
        <v>364.8038983675067</v>
      </c>
      <c r="BN55" s="31" t="n">
        <v>611.9070529049433</v>
      </c>
      <c r="BO55" s="31" t="n">
        <v>698.3607150308057</v>
      </c>
      <c r="BP55" s="31" t="n">
        <v>250.7645733128941</v>
      </c>
      <c r="BQ55" s="31" t="n">
        <v>448.1232067001811</v>
      </c>
      <c r="BR55" s="31" t="n">
        <v>0</v>
      </c>
      <c r="BS55" s="31">
        <f>SUM(C55:BR55)</f>
        <v/>
      </c>
      <c r="BT55" s="31" t="n">
        <v>0</v>
      </c>
      <c r="BU55" s="31" t="n">
        <v>0</v>
      </c>
      <c r="BV55" s="31" t="n">
        <v>66946.15504757065</v>
      </c>
      <c r="BW55" s="31" t="n">
        <v>0</v>
      </c>
      <c r="BX55" s="31">
        <f>SUM(BT55:BW55)</f>
        <v/>
      </c>
      <c r="BY55" s="31">
        <f>BS55+BX55</f>
        <v/>
      </c>
    </row>
    <row r="56">
      <c r="A56" s="28" t="inlineStr">
        <is>
          <t>4900</t>
        </is>
      </c>
      <c r="B56" s="28" t="inlineStr">
        <is>
          <t>Transporte terrestre</t>
        </is>
      </c>
      <c r="C56" s="29" t="n">
        <v>3815.059719586762</v>
      </c>
      <c r="D56" s="29" t="n">
        <v>713.2453859412312</v>
      </c>
      <c r="E56" s="29" t="n">
        <v>567.6814836031498</v>
      </c>
      <c r="F56" s="29" t="n">
        <v>934.6257445706381</v>
      </c>
      <c r="G56" s="29" t="n">
        <v>5241.142381526379</v>
      </c>
      <c r="H56" s="29" t="n">
        <v>3497.456391414324</v>
      </c>
      <c r="I56" s="29" t="n">
        <v>509.4413220589371</v>
      </c>
      <c r="J56" s="29" t="n">
        <v>7786.884371422178</v>
      </c>
      <c r="K56" s="29" t="n">
        <v>2136.340889574193</v>
      </c>
      <c r="L56" s="29" t="n">
        <v>9644.922559679771</v>
      </c>
      <c r="M56" s="29" t="n">
        <v>3060.515252108235</v>
      </c>
      <c r="N56" s="29" t="n">
        <v>220.3487677501081</v>
      </c>
      <c r="O56" s="29" t="n">
        <v>1004.062556693439</v>
      </c>
      <c r="P56" s="29" t="n">
        <v>563.4977548062798</v>
      </c>
      <c r="Q56" s="29" t="n">
        <v>904.423611808626</v>
      </c>
      <c r="R56" s="29" t="n">
        <v>792.9085321536375</v>
      </c>
      <c r="S56" s="29" t="n">
        <v>2364.128661995858</v>
      </c>
      <c r="T56" s="29" t="n">
        <v>326.2962364616318</v>
      </c>
      <c r="U56" s="29" t="n">
        <v>3237.859051064682</v>
      </c>
      <c r="V56" s="29" t="n">
        <v>634.8634669827626</v>
      </c>
      <c r="W56" s="29" t="n">
        <v>4638.78139163456</v>
      </c>
      <c r="X56" s="29" t="n">
        <v>1800.728180905549</v>
      </c>
      <c r="Y56" s="29" t="n">
        <v>1284.99624615118</v>
      </c>
      <c r="Z56" s="29" t="n">
        <v>2472.841963549744</v>
      </c>
      <c r="AA56" s="29" t="n">
        <v>2408.766696847888</v>
      </c>
      <c r="AB56" s="29" t="n">
        <v>2592.54360519889</v>
      </c>
      <c r="AC56" s="29" t="n">
        <v>4169.112897860017</v>
      </c>
      <c r="AD56" s="29" t="n">
        <v>467.4157051151903</v>
      </c>
      <c r="AE56" s="29" t="n">
        <v>2236.880958721968</v>
      </c>
      <c r="AF56" s="29" t="n">
        <v>1340.791933724215</v>
      </c>
      <c r="AG56" s="29" t="n">
        <v>1347.057611453749</v>
      </c>
      <c r="AH56" s="29" t="n">
        <v>2016.235317365154</v>
      </c>
      <c r="AI56" s="29" t="n">
        <v>5399.917592620435</v>
      </c>
      <c r="AJ56" s="29" t="n">
        <v>1783.139594260488</v>
      </c>
      <c r="AK56" s="29" t="n">
        <v>776.6582984621052</v>
      </c>
      <c r="AL56" s="29" t="n">
        <v>1261.448326565696</v>
      </c>
      <c r="AM56" s="29" t="n">
        <v>75.57381815539887</v>
      </c>
      <c r="AN56" s="29" t="n">
        <v>2696.038491830909</v>
      </c>
      <c r="AO56" s="29" t="n">
        <v>337.6069185117801</v>
      </c>
      <c r="AP56" s="29" t="n">
        <v>2423.504489597631</v>
      </c>
      <c r="AQ56" s="29" t="n">
        <v>1645.057014780161</v>
      </c>
      <c r="AR56" s="29" t="n">
        <v>31513.72050965275</v>
      </c>
      <c r="AS56" s="29" t="n">
        <v>31023.09699313203</v>
      </c>
      <c r="AT56" s="29" t="n">
        <v>231.5452147399863</v>
      </c>
      <c r="AU56" s="29" t="n">
        <v>166.5382475685497</v>
      </c>
      <c r="AV56" s="29" t="n">
        <v>4246.915462718114</v>
      </c>
      <c r="AW56" s="29" t="n">
        <v>69.82200088871441</v>
      </c>
      <c r="AX56" s="29" t="n">
        <v>860.7090962612035</v>
      </c>
      <c r="AY56" s="29" t="n">
        <v>678.4286828791734</v>
      </c>
      <c r="AZ56" s="29" t="n">
        <v>374.9249063684117</v>
      </c>
      <c r="BA56" s="29" t="n">
        <v>745.7984490488029</v>
      </c>
      <c r="BB56" s="29" t="n">
        <v>398.9147997023901</v>
      </c>
      <c r="BC56" s="29" t="n">
        <v>1952.971099207386</v>
      </c>
      <c r="BD56" s="29" t="n">
        <v>117.6391228277151</v>
      </c>
      <c r="BE56" s="29" t="n">
        <v>799.9011416778702</v>
      </c>
      <c r="BF56" s="29" t="n">
        <v>859.0569173832481</v>
      </c>
      <c r="BG56" s="29" t="n">
        <v>227.8027632702712</v>
      </c>
      <c r="BH56" s="29" t="n">
        <v>455.5414492577389</v>
      </c>
      <c r="BI56" s="29" t="n">
        <v>453.8736282311611</v>
      </c>
      <c r="BJ56" s="29" t="n">
        <v>107.7086127535389</v>
      </c>
      <c r="BK56" s="29" t="n">
        <v>2737.078396452155</v>
      </c>
      <c r="BL56" s="29" t="n">
        <v>1162.585646592264</v>
      </c>
      <c r="BM56" s="29" t="n">
        <v>806.385193481678</v>
      </c>
      <c r="BN56" s="29" t="n">
        <v>972.0482568969692</v>
      </c>
      <c r="BO56" s="29" t="n">
        <v>16.35393813206081</v>
      </c>
      <c r="BP56" s="29" t="n">
        <v>216.4703527485649</v>
      </c>
      <c r="BQ56" s="29" t="n">
        <v>1795.633611062042</v>
      </c>
      <c r="BR56" s="29" t="n">
        <v>0</v>
      </c>
      <c r="BS56" s="29">
        <f>SUM(C56:BR56)</f>
        <v/>
      </c>
      <c r="BT56" s="29" t="n">
        <v>0</v>
      </c>
      <c r="BU56" s="29" t="n">
        <v>0</v>
      </c>
      <c r="BV56" s="29" t="n">
        <v>62837.44144395304</v>
      </c>
      <c r="BW56" s="29" t="n">
        <v>0</v>
      </c>
      <c r="BX56" s="29">
        <f>SUM(BT56:BW56)</f>
        <v/>
      </c>
      <c r="BY56" s="29">
        <f>BS56+BX56</f>
        <v/>
      </c>
    </row>
    <row r="57">
      <c r="A57" s="30" t="inlineStr">
        <is>
          <t>5000</t>
        </is>
      </c>
      <c r="B57" s="30" t="inlineStr">
        <is>
          <t>Transporte aquaviário</t>
        </is>
      </c>
      <c r="C57" s="31" t="n">
        <v>0.01107768562961415</v>
      </c>
      <c r="D57" s="31" t="n">
        <v>0.00474757955554892</v>
      </c>
      <c r="E57" s="31" t="n">
        <v>0.01107768562961415</v>
      </c>
      <c r="F57" s="31" t="n">
        <v>0.03639810992587506</v>
      </c>
      <c r="G57" s="31" t="n">
        <v>2597.00581869779</v>
      </c>
      <c r="H57" s="31" t="n">
        <v>0.04114568948142398</v>
      </c>
      <c r="I57" s="31" t="n">
        <v>4.87536456464871</v>
      </c>
      <c r="J57" s="31" t="n">
        <v>612.3652527931476</v>
      </c>
      <c r="K57" s="31" t="n">
        <v>61.54020212724554</v>
      </c>
      <c r="L57" s="31" t="n">
        <v>229.27739060096</v>
      </c>
      <c r="M57" s="31" t="n">
        <v>1.29915436197688</v>
      </c>
      <c r="N57" s="31" t="n">
        <v>0.6479946544699238</v>
      </c>
      <c r="O57" s="31" t="n">
        <v>6.473616438625172</v>
      </c>
      <c r="P57" s="31" t="n">
        <v>8.321066284405449</v>
      </c>
      <c r="Q57" s="31" t="n">
        <v>3.160846946423804</v>
      </c>
      <c r="R57" s="31" t="n">
        <v>68.61349620666338</v>
      </c>
      <c r="S57" s="31" t="n">
        <v>598.5366525548087</v>
      </c>
      <c r="T57" s="31" t="n">
        <v>14.03823504717983</v>
      </c>
      <c r="U57" s="31" t="n">
        <v>28.10337304517443</v>
      </c>
      <c r="V57" s="31" t="n">
        <v>3.799346441782629</v>
      </c>
      <c r="W57" s="31" t="n">
        <v>446.2476303465471</v>
      </c>
      <c r="X57" s="31" t="n">
        <v>7.410372227861819</v>
      </c>
      <c r="Y57" s="31" t="n">
        <v>22.03646592180795</v>
      </c>
      <c r="Z57" s="31" t="n">
        <v>2.108566721335468</v>
      </c>
      <c r="AA57" s="31" t="n">
        <v>25.9734921707015</v>
      </c>
      <c r="AB57" s="31" t="n">
        <v>63.3765742873962</v>
      </c>
      <c r="AC57" s="31" t="n">
        <v>190.9050609465366</v>
      </c>
      <c r="AD57" s="31" t="n">
        <v>6.687998827021628</v>
      </c>
      <c r="AE57" s="31" t="n">
        <v>18.50614898817309</v>
      </c>
      <c r="AF57" s="31" t="n">
        <v>45.15686259907456</v>
      </c>
      <c r="AG57" s="31" t="n">
        <v>28.68331905934815</v>
      </c>
      <c r="AH57" s="31" t="n">
        <v>168.4057559729251</v>
      </c>
      <c r="AI57" s="31" t="n">
        <v>133.1119818859626</v>
      </c>
      <c r="AJ57" s="31" t="n">
        <v>56.75820662718929</v>
      </c>
      <c r="AK57" s="31" t="n">
        <v>110.4207820336016</v>
      </c>
      <c r="AL57" s="31" t="n">
        <v>0.9011988974325329</v>
      </c>
      <c r="AM57" s="31" t="n">
        <v>4.815745616706202</v>
      </c>
      <c r="AN57" s="31" t="n">
        <v>1.115681195553996</v>
      </c>
      <c r="AO57" s="31" t="n">
        <v>0.3908840500735277</v>
      </c>
      <c r="AP57" s="31" t="n">
        <v>6.26566406602779</v>
      </c>
      <c r="AQ57" s="31" t="n">
        <v>7.427457092135164</v>
      </c>
      <c r="AR57" s="31" t="n">
        <v>496.7562300505069</v>
      </c>
      <c r="AS57" s="31" t="n">
        <v>359.2512931892799</v>
      </c>
      <c r="AT57" s="31" t="n">
        <v>677.9420804302282</v>
      </c>
      <c r="AU57" s="31" t="n">
        <v>0.1709128639997611</v>
      </c>
      <c r="AV57" s="31" t="n">
        <v>32.04534669307355</v>
      </c>
      <c r="AW57" s="31" t="n">
        <v>1.395788389331382</v>
      </c>
      <c r="AX57" s="31" t="n">
        <v>15.09259734741172</v>
      </c>
      <c r="AY57" s="31" t="n">
        <v>0.4937482737770877</v>
      </c>
      <c r="AZ57" s="31" t="n">
        <v>2.520023616149707</v>
      </c>
      <c r="BA57" s="31" t="n">
        <v>4.010122197920322</v>
      </c>
      <c r="BB57" s="31" t="n">
        <v>9.557019495366685</v>
      </c>
      <c r="BC57" s="31" t="n">
        <v>9.431858050357187</v>
      </c>
      <c r="BD57" s="31" t="n">
        <v>2.505139478811313</v>
      </c>
      <c r="BE57" s="31" t="n">
        <v>5.795953419203469</v>
      </c>
      <c r="BF57" s="31" t="n">
        <v>3.03276220814899</v>
      </c>
      <c r="BG57" s="31" t="n">
        <v>1.167904570665034</v>
      </c>
      <c r="BH57" s="31" t="n">
        <v>1.386293230220285</v>
      </c>
      <c r="BI57" s="31" t="n">
        <v>129.4664402456511</v>
      </c>
      <c r="BJ57" s="31" t="n">
        <v>0.9360144808398916</v>
      </c>
      <c r="BK57" s="31" t="n">
        <v>3.330625574793659</v>
      </c>
      <c r="BL57" s="31" t="n">
        <v>0.7955542623155156</v>
      </c>
      <c r="BM57" s="31" t="n">
        <v>4.66212312354904</v>
      </c>
      <c r="BN57" s="31" t="n">
        <v>0.5127385919992834</v>
      </c>
      <c r="BO57" s="31" t="n">
        <v>2.050954367997134</v>
      </c>
      <c r="BP57" s="31" t="n">
        <v>5.053748482019321</v>
      </c>
      <c r="BQ57" s="31" t="n">
        <v>3.627510329458778</v>
      </c>
      <c r="BR57" s="31" t="n">
        <v>0</v>
      </c>
      <c r="BS57" s="31">
        <f>SUM(C57:BR57)</f>
        <v/>
      </c>
      <c r="BT57" s="31" t="n">
        <v>0</v>
      </c>
      <c r="BU57" s="31" t="n">
        <v>0</v>
      </c>
      <c r="BV57" s="31" t="n">
        <v>4799.141109987987</v>
      </c>
      <c r="BW57" s="31" t="n">
        <v>0</v>
      </c>
      <c r="BX57" s="31">
        <f>SUM(BT57:BW57)</f>
        <v/>
      </c>
      <c r="BY57" s="31">
        <f>BS57+BX57</f>
        <v/>
      </c>
    </row>
    <row r="58">
      <c r="A58" s="28" t="inlineStr">
        <is>
          <t>5100</t>
        </is>
      </c>
      <c r="B58" s="28" t="inlineStr">
        <is>
          <t>Transporte aéreo</t>
        </is>
      </c>
      <c r="C58" s="29" t="n">
        <v>0.8174871370140201</v>
      </c>
      <c r="D58" s="29" t="n">
        <v>0.009794769151512865</v>
      </c>
      <c r="E58" s="29" t="n">
        <v>4.000303230968365</v>
      </c>
      <c r="F58" s="29" t="n">
        <v>6.461373212575411</v>
      </c>
      <c r="G58" s="29" t="n">
        <v>880.7287503932804</v>
      </c>
      <c r="H58" s="29" t="n">
        <v>6.501555301942009</v>
      </c>
      <c r="I58" s="29" t="n">
        <v>15.19656450529526</v>
      </c>
      <c r="J58" s="29" t="n">
        <v>156.7768199896657</v>
      </c>
      <c r="K58" s="29" t="n">
        <v>7.890243996344735</v>
      </c>
      <c r="L58" s="29" t="n">
        <v>136.7662576767603</v>
      </c>
      <c r="M58" s="29" t="n">
        <v>32.14354721140896</v>
      </c>
      <c r="N58" s="29" t="n">
        <v>20.97791744043978</v>
      </c>
      <c r="O58" s="29" t="n">
        <v>26.70662997032552</v>
      </c>
      <c r="P58" s="29" t="n">
        <v>22.72741648139467</v>
      </c>
      <c r="Q58" s="29" t="n">
        <v>36.02328310029051</v>
      </c>
      <c r="R58" s="29" t="n">
        <v>24.15006657180405</v>
      </c>
      <c r="S58" s="29" t="n">
        <v>61.37711512651639</v>
      </c>
      <c r="T58" s="29" t="n">
        <v>19.3136635919652</v>
      </c>
      <c r="U58" s="29" t="n">
        <v>24.54735213713991</v>
      </c>
      <c r="V58" s="29" t="n">
        <v>3.681503213556926</v>
      </c>
      <c r="W58" s="29" t="n">
        <v>173.1204351572228</v>
      </c>
      <c r="X58" s="29" t="n">
        <v>154.089162567405</v>
      </c>
      <c r="Y58" s="29" t="n">
        <v>7.530628673067774</v>
      </c>
      <c r="Z58" s="29" t="n">
        <v>80.33653619984668</v>
      </c>
      <c r="AA58" s="29" t="n">
        <v>30.67772846117965</v>
      </c>
      <c r="AB58" s="29" t="n">
        <v>82.55575481563622</v>
      </c>
      <c r="AC58" s="29" t="n">
        <v>61.48545951116498</v>
      </c>
      <c r="AD58" s="29" t="n">
        <v>9.156270264039563</v>
      </c>
      <c r="AE58" s="29" t="n">
        <v>35.87530275914361</v>
      </c>
      <c r="AF58" s="29" t="n">
        <v>190.6509557419841</v>
      </c>
      <c r="AG58" s="29" t="n">
        <v>115.0574903932026</v>
      </c>
      <c r="AH58" s="29" t="n">
        <v>154.0264270309864</v>
      </c>
      <c r="AI58" s="29" t="n">
        <v>200.4162356678886</v>
      </c>
      <c r="AJ58" s="29" t="n">
        <v>78.60223120675137</v>
      </c>
      <c r="AK58" s="29" t="n">
        <v>24.97563900209512</v>
      </c>
      <c r="AL58" s="29" t="n">
        <v>25.66124656251101</v>
      </c>
      <c r="AM58" s="29" t="n">
        <v>28.78217506406365</v>
      </c>
      <c r="AN58" s="29" t="n">
        <v>261.437730842173</v>
      </c>
      <c r="AO58" s="29" t="n">
        <v>36.46829030315378</v>
      </c>
      <c r="AP58" s="29" t="n">
        <v>1072.181653446994</v>
      </c>
      <c r="AQ58" s="29" t="n">
        <v>174.2323213422881</v>
      </c>
      <c r="AR58" s="29" t="n">
        <v>1686.017093764734</v>
      </c>
      <c r="AS58" s="29" t="n">
        <v>159.3226480160229</v>
      </c>
      <c r="AT58" s="29" t="n">
        <v>63.87062060183365</v>
      </c>
      <c r="AU58" s="29" t="n">
        <v>9.03084857614769</v>
      </c>
      <c r="AV58" s="29" t="n">
        <v>444.2937381143729</v>
      </c>
      <c r="AW58" s="29" t="n">
        <v>45.20779255978383</v>
      </c>
      <c r="AX58" s="29" t="n">
        <v>42.8649897548861</v>
      </c>
      <c r="AY58" s="29" t="n">
        <v>19.67193238641</v>
      </c>
      <c r="AZ58" s="29" t="n">
        <v>111.5141923764878</v>
      </c>
      <c r="BA58" s="29" t="n">
        <v>161.4371250496448</v>
      </c>
      <c r="BB58" s="29" t="n">
        <v>366.1003292657646</v>
      </c>
      <c r="BC58" s="29" t="n">
        <v>1784.849910871997</v>
      </c>
      <c r="BD58" s="29" t="n">
        <v>38.18792462754529</v>
      </c>
      <c r="BE58" s="29" t="n">
        <v>473.6144991950146</v>
      </c>
      <c r="BF58" s="29" t="n">
        <v>228.9704644578692</v>
      </c>
      <c r="BG58" s="29" t="n">
        <v>344.4973780701358</v>
      </c>
      <c r="BH58" s="29" t="n">
        <v>54.75184496345138</v>
      </c>
      <c r="BI58" s="29" t="n">
        <v>242.1441083148929</v>
      </c>
      <c r="BJ58" s="29" t="n">
        <v>18.07804209998679</v>
      </c>
      <c r="BK58" s="29" t="n">
        <v>772.0115057533753</v>
      </c>
      <c r="BL58" s="29" t="n">
        <v>221.9006729011288</v>
      </c>
      <c r="BM58" s="29" t="n">
        <v>1142.458560732596</v>
      </c>
      <c r="BN58" s="29" t="n">
        <v>274.8291063580152</v>
      </c>
      <c r="BO58" s="29" t="n">
        <v>3.221546247844554</v>
      </c>
      <c r="BP58" s="29" t="n">
        <v>64.34930889786281</v>
      </c>
      <c r="BQ58" s="29" t="n">
        <v>6164.742159839461</v>
      </c>
      <c r="BR58" s="29" t="n">
        <v>0</v>
      </c>
      <c r="BS58" s="29">
        <f>SUM(C58:BR58)</f>
        <v/>
      </c>
      <c r="BT58" s="29" t="n">
        <v>0</v>
      </c>
      <c r="BU58" s="29" t="n">
        <v>0</v>
      </c>
      <c r="BV58" s="29" t="n">
        <v>9694.892980027469</v>
      </c>
      <c r="BW58" s="29" t="n">
        <v>0</v>
      </c>
      <c r="BX58" s="29">
        <f>SUM(BT58:BW58)</f>
        <v/>
      </c>
      <c r="BY58" s="29">
        <f>BS58+BX58</f>
        <v/>
      </c>
    </row>
    <row r="59">
      <c r="A59" s="30" t="inlineStr">
        <is>
          <t>5280</t>
        </is>
      </c>
      <c r="B59" s="30" t="inlineStr">
        <is>
          <t>Armazenamento, atividades auxiliares dos transportes e correio</t>
        </is>
      </c>
      <c r="C59" s="31" t="n">
        <v>462.7699062138984</v>
      </c>
      <c r="D59" s="31" t="n">
        <v>34.08311390705084</v>
      </c>
      <c r="E59" s="31" t="n">
        <v>89.91227901312965</v>
      </c>
      <c r="F59" s="31" t="n">
        <v>26.3018054361487</v>
      </c>
      <c r="G59" s="31" t="n">
        <v>2430.910116287615</v>
      </c>
      <c r="H59" s="31" t="n">
        <v>1841.689946565718</v>
      </c>
      <c r="I59" s="31" t="n">
        <v>367.1649055737865</v>
      </c>
      <c r="J59" s="31" t="n">
        <v>1748.168841365656</v>
      </c>
      <c r="K59" s="31" t="n">
        <v>1561.165519531361</v>
      </c>
      <c r="L59" s="31" t="n">
        <v>1962.923242564218</v>
      </c>
      <c r="M59" s="31" t="n">
        <v>1416.777889299818</v>
      </c>
      <c r="N59" s="31" t="n">
        <v>26.7073927575278</v>
      </c>
      <c r="O59" s="31" t="n">
        <v>154.5094005275696</v>
      </c>
      <c r="P59" s="31" t="n">
        <v>84.6932418379743</v>
      </c>
      <c r="Q59" s="31" t="n">
        <v>129.519986822913</v>
      </c>
      <c r="R59" s="31" t="n">
        <v>151.0482279724569</v>
      </c>
      <c r="S59" s="31" t="n">
        <v>860.3779446102103</v>
      </c>
      <c r="T59" s="31" t="n">
        <v>167.2687593131945</v>
      </c>
      <c r="U59" s="31" t="n">
        <v>433.9417920215425</v>
      </c>
      <c r="V59" s="31" t="n">
        <v>359.4105790184253</v>
      </c>
      <c r="W59" s="31" t="n">
        <v>801.4282689415562</v>
      </c>
      <c r="X59" s="31" t="n">
        <v>516.5528452928185</v>
      </c>
      <c r="Y59" s="31" t="n">
        <v>244.8941333093115</v>
      </c>
      <c r="Z59" s="31" t="n">
        <v>411.0756861743736</v>
      </c>
      <c r="AA59" s="31" t="n">
        <v>189.3663276444801</v>
      </c>
      <c r="AB59" s="31" t="n">
        <v>256.1524067754844</v>
      </c>
      <c r="AC59" s="31" t="n">
        <v>1797.679416848129</v>
      </c>
      <c r="AD59" s="31" t="n">
        <v>83.70862643381884</v>
      </c>
      <c r="AE59" s="31" t="n">
        <v>637.4198434910995</v>
      </c>
      <c r="AF59" s="31" t="n">
        <v>564.4441364081165</v>
      </c>
      <c r="AG59" s="31" t="n">
        <v>656.2901148962894</v>
      </c>
      <c r="AH59" s="31" t="n">
        <v>329.0978981581778</v>
      </c>
      <c r="AI59" s="31" t="n">
        <v>3005.84350849793</v>
      </c>
      <c r="AJ59" s="31" t="n">
        <v>593.7141434479101</v>
      </c>
      <c r="AK59" s="31" t="n">
        <v>295.4739035413891</v>
      </c>
      <c r="AL59" s="31" t="n">
        <v>223.1778475993694</v>
      </c>
      <c r="AM59" s="31" t="n">
        <v>87.1502724041467</v>
      </c>
      <c r="AN59" s="31" t="n">
        <v>370.8029764887943</v>
      </c>
      <c r="AO59" s="31" t="n">
        <v>20.70608022603805</v>
      </c>
      <c r="AP59" s="31" t="n">
        <v>567.1270080990726</v>
      </c>
      <c r="AQ59" s="31" t="n">
        <v>673.0233214176141</v>
      </c>
      <c r="AR59" s="31" t="n">
        <v>8079.514350328755</v>
      </c>
      <c r="AS59" s="31" t="n">
        <v>5160.772113647021</v>
      </c>
      <c r="AT59" s="31" t="n">
        <v>2250.880699353528</v>
      </c>
      <c r="AU59" s="31" t="n">
        <v>2657.946961491969</v>
      </c>
      <c r="AV59" s="31" t="n">
        <v>2706.173659395464</v>
      </c>
      <c r="AW59" s="31" t="n">
        <v>49.54359859778162</v>
      </c>
      <c r="AX59" s="31" t="n">
        <v>194.0225090569841</v>
      </c>
      <c r="AY59" s="31" t="n">
        <v>87.17964847553509</v>
      </c>
      <c r="AZ59" s="31" t="n">
        <v>68.0049943833026</v>
      </c>
      <c r="BA59" s="31" t="n">
        <v>568.5724540442935</v>
      </c>
      <c r="BB59" s="31" t="n">
        <v>105.2214426326379</v>
      </c>
      <c r="BC59" s="31" t="n">
        <v>4217.470163661679</v>
      </c>
      <c r="BD59" s="31" t="n">
        <v>139.9554783842587</v>
      </c>
      <c r="BE59" s="31" t="n">
        <v>386.1429025881549</v>
      </c>
      <c r="BF59" s="31" t="n">
        <v>198.632885674015</v>
      </c>
      <c r="BG59" s="31" t="n">
        <v>181.9462428236254</v>
      </c>
      <c r="BH59" s="31" t="n">
        <v>161.9201260601319</v>
      </c>
      <c r="BI59" s="31" t="n">
        <v>608.8200122981738</v>
      </c>
      <c r="BJ59" s="31" t="n">
        <v>56.47569402308086</v>
      </c>
      <c r="BK59" s="31" t="n">
        <v>2670.144783637767</v>
      </c>
      <c r="BL59" s="31" t="n">
        <v>219.021732977981</v>
      </c>
      <c r="BM59" s="31" t="n">
        <v>308.6610760184795</v>
      </c>
      <c r="BN59" s="31" t="n">
        <v>277.4102596032653</v>
      </c>
      <c r="BO59" s="31" t="n">
        <v>183.2559656414178</v>
      </c>
      <c r="BP59" s="31" t="n">
        <v>63.61875666604351</v>
      </c>
      <c r="BQ59" s="31" t="n">
        <v>1159.907170740163</v>
      </c>
      <c r="BR59" s="31" t="n">
        <v>0</v>
      </c>
      <c r="BS59" s="31">
        <f>SUM(C59:BR59)</f>
        <v/>
      </c>
      <c r="BT59" s="31" t="n">
        <v>0</v>
      </c>
      <c r="BU59" s="31" t="n">
        <v>0</v>
      </c>
      <c r="BV59" s="31" t="n">
        <v>21610.31066105836</v>
      </c>
      <c r="BW59" s="31" t="n">
        <v>0</v>
      </c>
      <c r="BX59" s="31">
        <f>SUM(BT59:BW59)</f>
        <v/>
      </c>
      <c r="BY59" s="31">
        <f>BS59+BX59</f>
        <v/>
      </c>
    </row>
    <row r="60">
      <c r="A60" s="28" t="inlineStr">
        <is>
          <t>5500</t>
        </is>
      </c>
      <c r="B60" s="28" t="inlineStr">
        <is>
          <t>Alojamento</t>
        </is>
      </c>
      <c r="C60" s="29" t="n">
        <v>2.229850148008903</v>
      </c>
      <c r="D60" s="29" t="n">
        <v>0.5613367397635262</v>
      </c>
      <c r="E60" s="29" t="n">
        <v>2.224448659696243</v>
      </c>
      <c r="F60" s="29" t="n">
        <v>5.616878807631064</v>
      </c>
      <c r="G60" s="29" t="n">
        <v>87.25584799992426</v>
      </c>
      <c r="H60" s="29" t="n">
        <v>35.57850335585748</v>
      </c>
      <c r="I60" s="29" t="n">
        <v>6.154128303615049</v>
      </c>
      <c r="J60" s="29" t="n">
        <v>120.8390140013859</v>
      </c>
      <c r="K60" s="29" t="n">
        <v>18.43631515165109</v>
      </c>
      <c r="L60" s="29" t="n">
        <v>116.8409093733007</v>
      </c>
      <c r="M60" s="29" t="n">
        <v>25.77180164775659</v>
      </c>
      <c r="N60" s="29" t="n">
        <v>17.51426997121482</v>
      </c>
      <c r="O60" s="29" t="n">
        <v>17.84073026774593</v>
      </c>
      <c r="P60" s="29" t="n">
        <v>11.71116397844172</v>
      </c>
      <c r="Q60" s="29" t="n">
        <v>16.25129523498052</v>
      </c>
      <c r="R60" s="29" t="n">
        <v>4.202826562292782</v>
      </c>
      <c r="S60" s="29" t="n">
        <v>38.2225841847573</v>
      </c>
      <c r="T60" s="29" t="n">
        <v>6.818541232382323</v>
      </c>
      <c r="U60" s="29" t="n">
        <v>14.54609411706796</v>
      </c>
      <c r="V60" s="29" t="n">
        <v>6.04818278087873</v>
      </c>
      <c r="W60" s="29" t="n">
        <v>63.87367787685373</v>
      </c>
      <c r="X60" s="29" t="n">
        <v>66.3591894678536</v>
      </c>
      <c r="Y60" s="29" t="n">
        <v>17.42210434866569</v>
      </c>
      <c r="Z60" s="29" t="n">
        <v>90.42609160077008</v>
      </c>
      <c r="AA60" s="29" t="n">
        <v>51.59716155096468</v>
      </c>
      <c r="AB60" s="29" t="n">
        <v>40.35582862166035</v>
      </c>
      <c r="AC60" s="29" t="n">
        <v>85.19252144325287</v>
      </c>
      <c r="AD60" s="29" t="n">
        <v>13.32485011472343</v>
      </c>
      <c r="AE60" s="29" t="n">
        <v>81.77131021711863</v>
      </c>
      <c r="AF60" s="29" t="n">
        <v>71.57807805804767</v>
      </c>
      <c r="AG60" s="29" t="n">
        <v>64.64572637974725</v>
      </c>
      <c r="AH60" s="29" t="n">
        <v>169.7809538580406</v>
      </c>
      <c r="AI60" s="29" t="n">
        <v>91.22152856211915</v>
      </c>
      <c r="AJ60" s="29" t="n">
        <v>52.92880288805607</v>
      </c>
      <c r="AK60" s="29" t="n">
        <v>27.9866566147197</v>
      </c>
      <c r="AL60" s="29" t="n">
        <v>49.75724854569473</v>
      </c>
      <c r="AM60" s="29" t="n">
        <v>20.55300564661706</v>
      </c>
      <c r="AN60" s="29" t="n">
        <v>77.34550319910444</v>
      </c>
      <c r="AO60" s="29" t="n">
        <v>8.641010639229462</v>
      </c>
      <c r="AP60" s="29" t="n">
        <v>719.9872313448412</v>
      </c>
      <c r="AQ60" s="29" t="n">
        <v>208.2770097228166</v>
      </c>
      <c r="AR60" s="29" t="n">
        <v>1117.235928227156</v>
      </c>
      <c r="AS60" s="29" t="n">
        <v>98.17395804215596</v>
      </c>
      <c r="AT60" s="29" t="n">
        <v>2.844529980282688</v>
      </c>
      <c r="AU60" s="29" t="n">
        <v>40.0166962846456</v>
      </c>
      <c r="AV60" s="29" t="n">
        <v>87.13120006499898</v>
      </c>
      <c r="AW60" s="29" t="n">
        <v>1.145599904451229</v>
      </c>
      <c r="AX60" s="29" t="n">
        <v>18.7621869377593</v>
      </c>
      <c r="AY60" s="29" t="n">
        <v>61.10571842596778</v>
      </c>
      <c r="AZ60" s="29" t="n">
        <v>74.98551254279351</v>
      </c>
      <c r="BA60" s="29" t="n">
        <v>68.38752355213866</v>
      </c>
      <c r="BB60" s="29" t="n">
        <v>194.4741305115832</v>
      </c>
      <c r="BC60" s="29" t="n">
        <v>509.0160859384115</v>
      </c>
      <c r="BD60" s="29" t="n">
        <v>26.42502761051757</v>
      </c>
      <c r="BE60" s="29" t="n">
        <v>127.0589445711241</v>
      </c>
      <c r="BF60" s="29" t="n">
        <v>146.1638059009838</v>
      </c>
      <c r="BG60" s="29" t="n">
        <v>60.97844785922583</v>
      </c>
      <c r="BH60" s="29" t="n">
        <v>66.49082631821614</v>
      </c>
      <c r="BI60" s="29" t="n">
        <v>75.63686373192614</v>
      </c>
      <c r="BJ60" s="29" t="n">
        <v>22.47954549865841</v>
      </c>
      <c r="BK60" s="29" t="n">
        <v>1108.025604709099</v>
      </c>
      <c r="BL60" s="29" t="n">
        <v>181.7574325863042</v>
      </c>
      <c r="BM60" s="29" t="n">
        <v>145.0680460738888</v>
      </c>
      <c r="BN60" s="29" t="n">
        <v>185.4031084643306</v>
      </c>
      <c r="BO60" s="29" t="n">
        <v>1.683330471846704</v>
      </c>
      <c r="BP60" s="29" t="n">
        <v>70.68055527759786</v>
      </c>
      <c r="BQ60" s="29" t="n">
        <v>4141.766925681035</v>
      </c>
      <c r="BR60" s="29" t="n">
        <v>0</v>
      </c>
      <c r="BS60" s="29">
        <f>SUM(C60:BR60)</f>
        <v/>
      </c>
      <c r="BT60" s="29" t="n">
        <v>0</v>
      </c>
      <c r="BU60" s="29" t="n">
        <v>0</v>
      </c>
      <c r="BV60" s="29" t="n">
        <v>6000.33313545247</v>
      </c>
      <c r="BW60" s="29" t="n">
        <v>0</v>
      </c>
      <c r="BX60" s="29">
        <f>SUM(BT60:BW60)</f>
        <v/>
      </c>
      <c r="BY60" s="29">
        <f>BS60+BX60</f>
        <v/>
      </c>
    </row>
    <row r="61">
      <c r="A61" s="30" t="inlineStr">
        <is>
          <t>5600</t>
        </is>
      </c>
      <c r="B61" s="30" t="inlineStr">
        <is>
          <t>Alimentação</t>
        </is>
      </c>
      <c r="C61" s="31" t="n">
        <v>3.12389077559367</v>
      </c>
      <c r="D61" s="31" t="n">
        <v>0.4499118099713784</v>
      </c>
      <c r="E61" s="31" t="n">
        <v>2.68174523971366</v>
      </c>
      <c r="F61" s="31" t="n">
        <v>2.692177198512071</v>
      </c>
      <c r="G61" s="31" t="n">
        <v>136.9906717476221</v>
      </c>
      <c r="H61" s="31" t="n">
        <v>8.370013331465787</v>
      </c>
      <c r="I61" s="31" t="n">
        <v>4.775735919803339</v>
      </c>
      <c r="J61" s="31" t="n">
        <v>13.55251689401407</v>
      </c>
      <c r="K61" s="31" t="n">
        <v>4.187438449095069</v>
      </c>
      <c r="L61" s="31" t="n">
        <v>65.8491850137011</v>
      </c>
      <c r="M61" s="31" t="n">
        <v>3.878837648155208</v>
      </c>
      <c r="N61" s="31" t="n">
        <v>0.8197995402540214</v>
      </c>
      <c r="O61" s="31" t="n">
        <v>7.695227617125975</v>
      </c>
      <c r="P61" s="31" t="n">
        <v>4.466861960783285</v>
      </c>
      <c r="Q61" s="31" t="n">
        <v>2.236123354617388</v>
      </c>
      <c r="R61" s="31" t="n">
        <v>1.145136417172862</v>
      </c>
      <c r="S61" s="31" t="n">
        <v>10.45400470050554</v>
      </c>
      <c r="T61" s="31" t="n">
        <v>9.154145722002527</v>
      </c>
      <c r="U61" s="31" t="n">
        <v>3.81522035889828</v>
      </c>
      <c r="V61" s="31" t="n">
        <v>2.055592595058787</v>
      </c>
      <c r="W61" s="31" t="n">
        <v>51.40753797548225</v>
      </c>
      <c r="X61" s="31" t="n">
        <v>67.39141515837453</v>
      </c>
      <c r="Y61" s="31" t="n">
        <v>2.03666743029722</v>
      </c>
      <c r="Z61" s="31" t="n">
        <v>133.3915833574157</v>
      </c>
      <c r="AA61" s="31" t="n">
        <v>13.01360290443047</v>
      </c>
      <c r="AB61" s="31" t="n">
        <v>4.586359976794339</v>
      </c>
      <c r="AC61" s="31" t="n">
        <v>22.3310502021162</v>
      </c>
      <c r="AD61" s="31" t="n">
        <v>29.1452843570782</v>
      </c>
      <c r="AE61" s="31" t="n">
        <v>22.70803799339193</v>
      </c>
      <c r="AF61" s="31" t="n">
        <v>6.220959850221624</v>
      </c>
      <c r="AG61" s="31" t="n">
        <v>3.571124826009763</v>
      </c>
      <c r="AH61" s="31" t="n">
        <v>64.76599003333415</v>
      </c>
      <c r="AI61" s="31" t="n">
        <v>260.0060037407275</v>
      </c>
      <c r="AJ61" s="31" t="n">
        <v>10.97546578644226</v>
      </c>
      <c r="AK61" s="31" t="n">
        <v>4.536575334321374</v>
      </c>
      <c r="AL61" s="31" t="n">
        <v>3.241749769379483</v>
      </c>
      <c r="AM61" s="31" t="n">
        <v>30.99377355592825</v>
      </c>
      <c r="AN61" s="31" t="n">
        <v>113.3710112489355</v>
      </c>
      <c r="AO61" s="31" t="n">
        <v>12.16434720495132</v>
      </c>
      <c r="AP61" s="31" t="n">
        <v>38.76190495445409</v>
      </c>
      <c r="AQ61" s="31" t="n">
        <v>117.6287856923376</v>
      </c>
      <c r="AR61" s="31" t="n">
        <v>406.0919167849437</v>
      </c>
      <c r="AS61" s="31" t="n">
        <v>36.66444263018005</v>
      </c>
      <c r="AT61" s="31" t="n">
        <v>7.043769147731838</v>
      </c>
      <c r="AU61" s="31" t="n">
        <v>639.0917502639726</v>
      </c>
      <c r="AV61" s="31" t="n">
        <v>30.07566326063011</v>
      </c>
      <c r="AW61" s="31" t="n">
        <v>121.7143965664616</v>
      </c>
      <c r="AX61" s="31" t="n">
        <v>22.9282904545913</v>
      </c>
      <c r="AY61" s="31" t="n">
        <v>7.137995234140561</v>
      </c>
      <c r="AZ61" s="31" t="n">
        <v>230.2416146446818</v>
      </c>
      <c r="BA61" s="31" t="n">
        <v>88.01553391403327</v>
      </c>
      <c r="BB61" s="31" t="n">
        <v>19.16391514495179</v>
      </c>
      <c r="BC61" s="31" t="n">
        <v>2091.125356820584</v>
      </c>
      <c r="BD61" s="31" t="n">
        <v>42.78234651138106</v>
      </c>
      <c r="BE61" s="31" t="n">
        <v>626.3216080228094</v>
      </c>
      <c r="BF61" s="31" t="n">
        <v>11.86494945001202</v>
      </c>
      <c r="BG61" s="31" t="n">
        <v>127.0472333539111</v>
      </c>
      <c r="BH61" s="31" t="n">
        <v>13.6869872833157</v>
      </c>
      <c r="BI61" s="31" t="n">
        <v>660.8071640469146</v>
      </c>
      <c r="BJ61" s="31" t="n">
        <v>6.499364787429176</v>
      </c>
      <c r="BK61" s="31" t="n">
        <v>6683.476107773803</v>
      </c>
      <c r="BL61" s="31" t="n">
        <v>1344.291558084656</v>
      </c>
      <c r="BM61" s="31" t="n">
        <v>128.1666630633427</v>
      </c>
      <c r="BN61" s="31" t="n">
        <v>2922.001488128162</v>
      </c>
      <c r="BO61" s="31" t="n">
        <v>1681.71177835943</v>
      </c>
      <c r="BP61" s="31" t="n">
        <v>37.9406253732416</v>
      </c>
      <c r="BQ61" s="31" t="n">
        <v>6003.448546694445</v>
      </c>
      <c r="BR61" s="31" t="n">
        <v>0</v>
      </c>
      <c r="BS61" s="31">
        <f>SUM(C61:BR61)</f>
        <v/>
      </c>
      <c r="BT61" s="31" t="n">
        <v>0</v>
      </c>
      <c r="BU61" s="31" t="n">
        <v>0</v>
      </c>
      <c r="BV61" s="31" t="n">
        <v>126372.9210823615</v>
      </c>
      <c r="BW61" s="31" t="n">
        <v>0</v>
      </c>
      <c r="BX61" s="31">
        <f>SUM(BT61:BW61)</f>
        <v/>
      </c>
      <c r="BY61" s="31">
        <f>BS61+BX61</f>
        <v/>
      </c>
    </row>
    <row r="62">
      <c r="A62" s="28" t="inlineStr">
        <is>
          <t>5800</t>
        </is>
      </c>
      <c r="B62" s="28" t="inlineStr">
        <is>
          <t>Edição e edição integrada à impressão</t>
        </is>
      </c>
      <c r="C62" s="29" t="n">
        <v>0.2324696689033232</v>
      </c>
      <c r="D62" s="29" t="n">
        <v>0.06639269532947434</v>
      </c>
      <c r="E62" s="29" t="n">
        <v>0.1966269075864026</v>
      </c>
      <c r="F62" s="29" t="n">
        <v>0.05003064184256287</v>
      </c>
      <c r="G62" s="29" t="n">
        <v>0.5452928469100594</v>
      </c>
      <c r="H62" s="29" t="n">
        <v>0.7572143619564072</v>
      </c>
      <c r="I62" s="29" t="n">
        <v>0.2038782963469118</v>
      </c>
      <c r="J62" s="29" t="n">
        <v>4.654933740041761</v>
      </c>
      <c r="K62" s="29" t="n">
        <v>1.154420288172127</v>
      </c>
      <c r="L62" s="29" t="n">
        <v>5.04332899735804</v>
      </c>
      <c r="M62" s="29" t="n">
        <v>12.69708161756809</v>
      </c>
      <c r="N62" s="29" t="n">
        <v>0.1903964999593976</v>
      </c>
      <c r="O62" s="29" t="n">
        <v>1.18548438340612</v>
      </c>
      <c r="P62" s="29" t="n">
        <v>1.110402152117224</v>
      </c>
      <c r="Q62" s="29" t="n">
        <v>0.8099692781062313</v>
      </c>
      <c r="R62" s="29" t="n">
        <v>0.7719861435808109</v>
      </c>
      <c r="S62" s="29" t="n">
        <v>7.304778281676642</v>
      </c>
      <c r="T62" s="29" t="n">
        <v>84.20584714118638</v>
      </c>
      <c r="U62" s="29" t="n">
        <v>0.5323560923283551</v>
      </c>
      <c r="V62" s="29" t="n">
        <v>0.496616132608303</v>
      </c>
      <c r="W62" s="29" t="n">
        <v>101.5940995910436</v>
      </c>
      <c r="X62" s="29" t="n">
        <v>1.345034513875221</v>
      </c>
      <c r="Y62" s="29" t="n">
        <v>0.3965488757572569</v>
      </c>
      <c r="Z62" s="29" t="n">
        <v>1.401507616455253</v>
      </c>
      <c r="AA62" s="29" t="n">
        <v>2.109554574207305</v>
      </c>
      <c r="AB62" s="29" t="n">
        <v>1.183582214244937</v>
      </c>
      <c r="AC62" s="29" t="n">
        <v>1.532510333101955</v>
      </c>
      <c r="AD62" s="29" t="n">
        <v>0.2796311529625565</v>
      </c>
      <c r="AE62" s="29" t="n">
        <v>1.823345191329884</v>
      </c>
      <c r="AF62" s="29" t="n">
        <v>9.373664352359928</v>
      </c>
      <c r="AG62" s="29" t="n">
        <v>1.305964875979052</v>
      </c>
      <c r="AH62" s="29" t="n">
        <v>2.364917694056026</v>
      </c>
      <c r="AI62" s="29" t="n">
        <v>2.937813042895526</v>
      </c>
      <c r="AJ62" s="29" t="n">
        <v>3.371051279519441</v>
      </c>
      <c r="AK62" s="29" t="n">
        <v>0.5494103257634219</v>
      </c>
      <c r="AL62" s="29" t="n">
        <v>1.827485119792517</v>
      </c>
      <c r="AM62" s="29" t="n">
        <v>7.191430878300662</v>
      </c>
      <c r="AN62" s="29" t="n">
        <v>60.53721463782916</v>
      </c>
      <c r="AO62" s="29" t="n">
        <v>4.083166674419118</v>
      </c>
      <c r="AP62" s="29" t="n">
        <v>4.307646066850316</v>
      </c>
      <c r="AQ62" s="29" t="n">
        <v>11.00410684637531</v>
      </c>
      <c r="AR62" s="29" t="n">
        <v>485.9228736640104</v>
      </c>
      <c r="AS62" s="29" t="n">
        <v>4.254105006289874</v>
      </c>
      <c r="AT62" s="29" t="n">
        <v>0.1257968568958735</v>
      </c>
      <c r="AU62" s="29" t="n">
        <v>2.508369231070064</v>
      </c>
      <c r="AV62" s="29" t="n">
        <v>4.70230184222301</v>
      </c>
      <c r="AW62" s="29" t="n">
        <v>42.77910777299665</v>
      </c>
      <c r="AX62" s="29" t="n">
        <v>7.757128207390584</v>
      </c>
      <c r="AY62" s="29" t="n">
        <v>172.5485609041904</v>
      </c>
      <c r="AZ62" s="29" t="n">
        <v>24.697935858615</v>
      </c>
      <c r="BA62" s="29" t="n">
        <v>161.6361248034908</v>
      </c>
      <c r="BB62" s="29" t="n">
        <v>55.46775988776845</v>
      </c>
      <c r="BC62" s="29" t="n">
        <v>1585.594036318522</v>
      </c>
      <c r="BD62" s="29" t="n">
        <v>44.53627191338223</v>
      </c>
      <c r="BE62" s="29" t="n">
        <v>196.7694119248697</v>
      </c>
      <c r="BF62" s="29" t="n">
        <v>129.7104611684364</v>
      </c>
      <c r="BG62" s="29" t="n">
        <v>2247.656062654256</v>
      </c>
      <c r="BH62" s="29" t="n">
        <v>18.18425541160421</v>
      </c>
      <c r="BI62" s="29" t="n">
        <v>91.36047894534153</v>
      </c>
      <c r="BJ62" s="29" t="n">
        <v>0.4002013466451158</v>
      </c>
      <c r="BK62" s="29" t="n">
        <v>926.8595343969831</v>
      </c>
      <c r="BL62" s="29" t="n">
        <v>2060.196925733463</v>
      </c>
      <c r="BM62" s="29" t="n">
        <v>1136.371583143242</v>
      </c>
      <c r="BN62" s="29" t="n">
        <v>44.83211399629775</v>
      </c>
      <c r="BO62" s="29" t="n">
        <v>86.17035847941924</v>
      </c>
      <c r="BP62" s="29" t="n">
        <v>23.20750356569969</v>
      </c>
      <c r="BQ62" s="29" t="n">
        <v>174.1252751202336</v>
      </c>
      <c r="BR62" s="29" t="n">
        <v>0</v>
      </c>
      <c r="BS62" s="29">
        <f>SUM(C62:BR62)</f>
        <v/>
      </c>
      <c r="BT62" s="29" t="n">
        <v>0</v>
      </c>
      <c r="BU62" s="29" t="n">
        <v>0</v>
      </c>
      <c r="BV62" s="29" t="n">
        <v>12494.87683778297</v>
      </c>
      <c r="BW62" s="29" t="n">
        <v>0</v>
      </c>
      <c r="BX62" s="29">
        <f>SUM(BT62:BW62)</f>
        <v/>
      </c>
      <c r="BY62" s="29">
        <f>BS62+BX62</f>
        <v/>
      </c>
    </row>
    <row r="63">
      <c r="A63" s="30" t="inlineStr">
        <is>
          <t>5980</t>
        </is>
      </c>
      <c r="B63" s="30" t="inlineStr">
        <is>
          <t>Atividades de televisão, rádio, cinema e  gravação/edição de som e imagem</t>
        </is>
      </c>
      <c r="C63" s="31" t="n">
        <v>0.005560920215615031</v>
      </c>
      <c r="D63" s="31" t="n">
        <v>0.003421131480804084</v>
      </c>
      <c r="E63" s="31" t="n">
        <v>0.001201824384344931</v>
      </c>
      <c r="F63" s="31" t="n">
        <v>0.04318071402999281</v>
      </c>
      <c r="G63" s="31" t="n">
        <v>0.07894628057752753</v>
      </c>
      <c r="H63" s="31" t="n">
        <v>0.08438067604847108</v>
      </c>
      <c r="I63" s="31" t="n">
        <v>0.03855775816484379</v>
      </c>
      <c r="J63" s="31" t="n">
        <v>5.52644800152782</v>
      </c>
      <c r="K63" s="31" t="n">
        <v>0.4381632441320252</v>
      </c>
      <c r="L63" s="31" t="n">
        <v>3.732815600491958</v>
      </c>
      <c r="M63" s="31" t="n">
        <v>0.1909002096488198</v>
      </c>
      <c r="N63" s="31" t="n">
        <v>0.2558384454117617</v>
      </c>
      <c r="O63" s="31" t="n">
        <v>0.7646562787307949</v>
      </c>
      <c r="P63" s="31" t="n">
        <v>0.7196249409488042</v>
      </c>
      <c r="Q63" s="31" t="n">
        <v>0.9770953145317768</v>
      </c>
      <c r="R63" s="31" t="n">
        <v>0.2411364367764311</v>
      </c>
      <c r="S63" s="31" t="n">
        <v>1.692355714204535</v>
      </c>
      <c r="T63" s="31" t="n">
        <v>0.09448503376758691</v>
      </c>
      <c r="U63" s="31" t="n">
        <v>0.4606996934921438</v>
      </c>
      <c r="V63" s="31" t="n">
        <v>0.3237586599090198</v>
      </c>
      <c r="W63" s="31" t="n">
        <v>0.922604814883478</v>
      </c>
      <c r="X63" s="31" t="n">
        <v>1.187956635574262</v>
      </c>
      <c r="Y63" s="31" t="n">
        <v>0.09906642869448917</v>
      </c>
      <c r="Z63" s="31" t="n">
        <v>1.302650384780081</v>
      </c>
      <c r="AA63" s="31" t="n">
        <v>1.591469412151758</v>
      </c>
      <c r="AB63" s="31" t="n">
        <v>1.134429405225363</v>
      </c>
      <c r="AC63" s="31" t="n">
        <v>1.511832771268331</v>
      </c>
      <c r="AD63" s="31" t="n">
        <v>0.4663437355842524</v>
      </c>
      <c r="AE63" s="31" t="n">
        <v>1.462404380231669</v>
      </c>
      <c r="AF63" s="31" t="n">
        <v>0.8626202609067452</v>
      </c>
      <c r="AG63" s="31" t="n">
        <v>1.127628703202002</v>
      </c>
      <c r="AH63" s="31" t="n">
        <v>2.757914288107707</v>
      </c>
      <c r="AI63" s="31" t="n">
        <v>0.1988232176948779</v>
      </c>
      <c r="AJ63" s="31" t="n">
        <v>0.0755378015711906</v>
      </c>
      <c r="AK63" s="31" t="n">
        <v>0.1896188669028267</v>
      </c>
      <c r="AL63" s="31" t="n">
        <v>0.6596439904869168</v>
      </c>
      <c r="AM63" s="31" t="n">
        <v>0.01413272762932596</v>
      </c>
      <c r="AN63" s="31" t="n">
        <v>0.1210408844233109</v>
      </c>
      <c r="AO63" s="31" t="n">
        <v>0.0525784554538966</v>
      </c>
      <c r="AP63" s="31" t="n">
        <v>0.2203567590922977</v>
      </c>
      <c r="AQ63" s="31" t="n">
        <v>0.5900957727133612</v>
      </c>
      <c r="AR63" s="31" t="n">
        <v>9.358379447447801</v>
      </c>
      <c r="AS63" s="31" t="n">
        <v>1.072800509981791</v>
      </c>
      <c r="AT63" s="31" t="n">
        <v>0.009957973470286572</v>
      </c>
      <c r="AU63" s="31" t="n">
        <v>0.01854243335846465</v>
      </c>
      <c r="AV63" s="31" t="n">
        <v>0.316423191478244</v>
      </c>
      <c r="AW63" s="31" t="n">
        <v>3.780598365778331</v>
      </c>
      <c r="AX63" s="31" t="n">
        <v>0.6498436135350806</v>
      </c>
      <c r="AY63" s="31" t="n">
        <v>12.56325634942085</v>
      </c>
      <c r="AZ63" s="31" t="n">
        <v>3195.257367218061</v>
      </c>
      <c r="BA63" s="31" t="n">
        <v>3439.245023790109</v>
      </c>
      <c r="BB63" s="31" t="n">
        <v>1.386124086250635</v>
      </c>
      <c r="BC63" s="31" t="n">
        <v>2.878536759771449</v>
      </c>
      <c r="BD63" s="31" t="n">
        <v>0.271784000059718</v>
      </c>
      <c r="BE63" s="31" t="n">
        <v>0.8869950029244625</v>
      </c>
      <c r="BF63" s="31" t="n">
        <v>0.1823700435183727</v>
      </c>
      <c r="BG63" s="31" t="n">
        <v>22944.80285935707</v>
      </c>
      <c r="BH63" s="31" t="n">
        <v>0.15039973724088</v>
      </c>
      <c r="BI63" s="31" t="n">
        <v>15.32072859940374</v>
      </c>
      <c r="BJ63" s="31" t="n">
        <v>2.802631713404431</v>
      </c>
      <c r="BK63" s="31" t="n">
        <v>0.338742787187507</v>
      </c>
      <c r="BL63" s="31" t="n">
        <v>0.08618797727730791</v>
      </c>
      <c r="BM63" s="31" t="n">
        <v>0.5159676002177493</v>
      </c>
      <c r="BN63" s="31" t="n">
        <v>0.05562730007539395</v>
      </c>
      <c r="BO63" s="31" t="n">
        <v>0.2225092003015758</v>
      </c>
      <c r="BP63" s="31" t="n">
        <v>53.11846708679703</v>
      </c>
      <c r="BQ63" s="31" t="n">
        <v>0.3978327796819518</v>
      </c>
      <c r="BR63" s="31" t="n">
        <v>0</v>
      </c>
      <c r="BS63" s="31">
        <f>SUM(C63:BR63)</f>
        <v/>
      </c>
      <c r="BT63" s="31" t="n">
        <v>0</v>
      </c>
      <c r="BU63" s="31" t="n">
        <v>0</v>
      </c>
      <c r="BV63" s="31" t="n">
        <v>1394.024218371046</v>
      </c>
      <c r="BW63" s="31" t="n">
        <v>0</v>
      </c>
      <c r="BX63" s="31">
        <f>SUM(BT63:BW63)</f>
        <v/>
      </c>
      <c r="BY63" s="31">
        <f>BS63+BX63</f>
        <v/>
      </c>
    </row>
    <row r="64">
      <c r="A64" s="28" t="inlineStr">
        <is>
          <t>6100</t>
        </is>
      </c>
      <c r="B64" s="28" t="inlineStr">
        <is>
          <t>Telecomunicações</t>
        </is>
      </c>
      <c r="C64" s="29" t="n">
        <v>5.651975445145464</v>
      </c>
      <c r="D64" s="29" t="n">
        <v>3.229565888909717</v>
      </c>
      <c r="E64" s="29" t="n">
        <v>7.266556841411644</v>
      </c>
      <c r="F64" s="29" t="n">
        <v>29.88809067756329</v>
      </c>
      <c r="G64" s="29" t="n">
        <v>395.5978371569876</v>
      </c>
      <c r="H64" s="29" t="n">
        <v>73.63530056298563</v>
      </c>
      <c r="I64" s="29" t="n">
        <v>18.56943280802962</v>
      </c>
      <c r="J64" s="29" t="n">
        <v>498.9015031229104</v>
      </c>
      <c r="K64" s="29" t="n">
        <v>180.9914117286069</v>
      </c>
      <c r="L64" s="29" t="n">
        <v>881.2382968432029</v>
      </c>
      <c r="M64" s="29" t="n">
        <v>301.1273508175008</v>
      </c>
      <c r="N64" s="29" t="n">
        <v>19.60713687331965</v>
      </c>
      <c r="O64" s="29" t="n">
        <v>207.5081069777386</v>
      </c>
      <c r="P64" s="29" t="n">
        <v>427.2611499346156</v>
      </c>
      <c r="Q64" s="29" t="n">
        <v>143.1908471867917</v>
      </c>
      <c r="R64" s="29" t="n">
        <v>64.67808163360053</v>
      </c>
      <c r="S64" s="29" t="n">
        <v>273.9920218819598</v>
      </c>
      <c r="T64" s="29" t="n">
        <v>341.5060623897913</v>
      </c>
      <c r="U64" s="29" t="n">
        <v>163.8960012106524</v>
      </c>
      <c r="V64" s="29" t="n">
        <v>76.70605286855547</v>
      </c>
      <c r="W64" s="29" t="n">
        <v>227.857714182529</v>
      </c>
      <c r="X64" s="29" t="n">
        <v>209.3888187991642</v>
      </c>
      <c r="Y64" s="29" t="n">
        <v>24.11355394951908</v>
      </c>
      <c r="Z64" s="29" t="n">
        <v>188.6428275333951</v>
      </c>
      <c r="AA64" s="29" t="n">
        <v>285.3807332228317</v>
      </c>
      <c r="AB64" s="29" t="n">
        <v>396.7223050776838</v>
      </c>
      <c r="AC64" s="29" t="n">
        <v>153.7202193297143</v>
      </c>
      <c r="AD64" s="29" t="n">
        <v>50.1757184156242</v>
      </c>
      <c r="AE64" s="29" t="n">
        <v>328.6995546649547</v>
      </c>
      <c r="AF64" s="29" t="n">
        <v>593.1823798153978</v>
      </c>
      <c r="AG64" s="29" t="n">
        <v>397.7806821983868</v>
      </c>
      <c r="AH64" s="29" t="n">
        <v>445.408084934858</v>
      </c>
      <c r="AI64" s="29" t="n">
        <v>1400.182867513227</v>
      </c>
      <c r="AJ64" s="29" t="n">
        <v>1258.625292817979</v>
      </c>
      <c r="AK64" s="29" t="n">
        <v>193.3614668631991</v>
      </c>
      <c r="AL64" s="29" t="n">
        <v>361.9656246784465</v>
      </c>
      <c r="AM64" s="29" t="n">
        <v>67.02574700449047</v>
      </c>
      <c r="AN64" s="29" t="n">
        <v>285.1147420919634</v>
      </c>
      <c r="AO64" s="29" t="n">
        <v>143.8223991825678</v>
      </c>
      <c r="AP64" s="29" t="n">
        <v>1204.938681955452</v>
      </c>
      <c r="AQ64" s="29" t="n">
        <v>1028.950163504549</v>
      </c>
      <c r="AR64" s="29" t="n">
        <v>4619.057098305392</v>
      </c>
      <c r="AS64" s="29" t="n">
        <v>738.8005170943683</v>
      </c>
      <c r="AT64" s="29" t="n">
        <v>30.68483972568633</v>
      </c>
      <c r="AU64" s="29" t="n">
        <v>63.79047662209899</v>
      </c>
      <c r="AV64" s="29" t="n">
        <v>586.3406823857802</v>
      </c>
      <c r="AW64" s="29" t="n">
        <v>188.2172429999532</v>
      </c>
      <c r="AX64" s="29" t="n">
        <v>503.4506781996815</v>
      </c>
      <c r="AY64" s="29" t="n">
        <v>193.0148877592121</v>
      </c>
      <c r="AZ64" s="29" t="n">
        <v>285.8402966720445</v>
      </c>
      <c r="BA64" s="29" t="n">
        <v>22285.75331312721</v>
      </c>
      <c r="BB64" s="29" t="n">
        <v>993.6579797764643</v>
      </c>
      <c r="BC64" s="29" t="n">
        <v>8628.423220172237</v>
      </c>
      <c r="BD64" s="29" t="n">
        <v>458.7538170613809</v>
      </c>
      <c r="BE64" s="29" t="n">
        <v>1828.146724913768</v>
      </c>
      <c r="BF64" s="29" t="n">
        <v>357.7128491975396</v>
      </c>
      <c r="BG64" s="29" t="n">
        <v>1554.941046313161</v>
      </c>
      <c r="BH64" s="29" t="n">
        <v>103.7558023248085</v>
      </c>
      <c r="BI64" s="29" t="n">
        <v>1417.182929784468</v>
      </c>
      <c r="BJ64" s="29" t="n">
        <v>236.5641225684921</v>
      </c>
      <c r="BK64" s="29" t="n">
        <v>3712.187733066789</v>
      </c>
      <c r="BL64" s="29" t="n">
        <v>741.9676030447874</v>
      </c>
      <c r="BM64" s="29" t="n">
        <v>902.1547948983061</v>
      </c>
      <c r="BN64" s="29" t="n">
        <v>309.2358717937281</v>
      </c>
      <c r="BO64" s="29" t="n">
        <v>785.7594535649905</v>
      </c>
      <c r="BP64" s="29" t="n">
        <v>201.3929507752646</v>
      </c>
      <c r="BQ64" s="29" t="n">
        <v>1483.294125464372</v>
      </c>
      <c r="BR64" s="29" t="n">
        <v>0</v>
      </c>
      <c r="BS64" s="29">
        <f>SUM(C64:BR64)</f>
        <v/>
      </c>
      <c r="BT64" s="29" t="n">
        <v>0</v>
      </c>
      <c r="BU64" s="29" t="n">
        <v>0</v>
      </c>
      <c r="BV64" s="29" t="n">
        <v>77313.41658180181</v>
      </c>
      <c r="BW64" s="29" t="n">
        <v>0</v>
      </c>
      <c r="BX64" s="29">
        <f>SUM(BT64:BW64)</f>
        <v/>
      </c>
      <c r="BY64" s="29">
        <f>BS64+BX64</f>
        <v/>
      </c>
    </row>
    <row r="65">
      <c r="A65" s="30" t="inlineStr">
        <is>
          <t>6280</t>
        </is>
      </c>
      <c r="B65" s="30" t="inlineStr">
        <is>
          <t>Desenvolvimento de sistemas e outros serviços de informação</t>
        </is>
      </c>
      <c r="C65" s="31" t="n">
        <v>11.14595480528516</v>
      </c>
      <c r="D65" s="31" t="n">
        <v>6.859544370923033</v>
      </c>
      <c r="E65" s="31" t="n">
        <v>0.856974162548403</v>
      </c>
      <c r="F65" s="31" t="n">
        <v>0.9830910139093058</v>
      </c>
      <c r="G65" s="31" t="n">
        <v>31.82613688019433</v>
      </c>
      <c r="H65" s="31" t="n">
        <v>148.8594316153815</v>
      </c>
      <c r="I65" s="31" t="n">
        <v>16.3698937265463</v>
      </c>
      <c r="J65" s="31" t="n">
        <v>281.020738798704</v>
      </c>
      <c r="K65" s="31" t="n">
        <v>10.71113774837611</v>
      </c>
      <c r="L65" s="31" t="n">
        <v>435.1862352879299</v>
      </c>
      <c r="M65" s="31" t="n">
        <v>46.12748419458293</v>
      </c>
      <c r="N65" s="31" t="n">
        <v>29.24462513459377</v>
      </c>
      <c r="O65" s="31" t="n">
        <v>33.61925200622003</v>
      </c>
      <c r="P65" s="31" t="n">
        <v>33.72294959500447</v>
      </c>
      <c r="Q65" s="31" t="n">
        <v>12.3785210856333</v>
      </c>
      <c r="R65" s="31" t="n">
        <v>7.606867872353051</v>
      </c>
      <c r="S65" s="31" t="n">
        <v>97.35849168145538</v>
      </c>
      <c r="T65" s="31" t="n">
        <v>4.534305853416529</v>
      </c>
      <c r="U65" s="31" t="n">
        <v>27.72655269128948</v>
      </c>
      <c r="V65" s="31" t="n">
        <v>2.533497318930247</v>
      </c>
      <c r="W65" s="31" t="n">
        <v>219.57805446314</v>
      </c>
      <c r="X65" s="31" t="n">
        <v>138.8357709189232</v>
      </c>
      <c r="Y65" s="31" t="n">
        <v>12.29020296152902</v>
      </c>
      <c r="Z65" s="31" t="n">
        <v>231.5545340531822</v>
      </c>
      <c r="AA65" s="31" t="n">
        <v>91.96299085206027</v>
      </c>
      <c r="AB65" s="31" t="n">
        <v>64.19152072235521</v>
      </c>
      <c r="AC65" s="31" t="n">
        <v>114.8240818453587</v>
      </c>
      <c r="AD65" s="31" t="n">
        <v>16.21024409521908</v>
      </c>
      <c r="AE65" s="31" t="n">
        <v>73.32490877531292</v>
      </c>
      <c r="AF65" s="31" t="n">
        <v>142.6641945190811</v>
      </c>
      <c r="AG65" s="31" t="n">
        <v>225.8157784297251</v>
      </c>
      <c r="AH65" s="31" t="n">
        <v>142.7252349797009</v>
      </c>
      <c r="AI65" s="31" t="n">
        <v>693.9267656434209</v>
      </c>
      <c r="AJ65" s="31" t="n">
        <v>94.87409202095645</v>
      </c>
      <c r="AK65" s="31" t="n">
        <v>51.57617455333175</v>
      </c>
      <c r="AL65" s="31" t="n">
        <v>74.85277840497369</v>
      </c>
      <c r="AM65" s="31" t="n">
        <v>37.7269988647876</v>
      </c>
      <c r="AN65" s="31" t="n">
        <v>554.4892546769502</v>
      </c>
      <c r="AO65" s="31" t="n">
        <v>161.1835568767363</v>
      </c>
      <c r="AP65" s="31" t="n">
        <v>355.0665867531432</v>
      </c>
      <c r="AQ65" s="31" t="n">
        <v>312.8614084051355</v>
      </c>
      <c r="AR65" s="31" t="n">
        <v>4113.302867938306</v>
      </c>
      <c r="AS65" s="31" t="n">
        <v>555.0526165424905</v>
      </c>
      <c r="AT65" s="31" t="n">
        <v>0.8607811838901167</v>
      </c>
      <c r="AU65" s="31" t="n">
        <v>525.8693628748805</v>
      </c>
      <c r="AV65" s="31" t="n">
        <v>597.084361555189</v>
      </c>
      <c r="AW65" s="31" t="n">
        <v>45.45777547595978</v>
      </c>
      <c r="AX65" s="31" t="n">
        <v>50.81318688377262</v>
      </c>
      <c r="AY65" s="31" t="n">
        <v>498.702998232875</v>
      </c>
      <c r="AZ65" s="31" t="n">
        <v>622.5674162398075</v>
      </c>
      <c r="BA65" s="31" t="n">
        <v>2223.639167481846</v>
      </c>
      <c r="BB65" s="31" t="n">
        <v>3922.455668382427</v>
      </c>
      <c r="BC65" s="31" t="n">
        <v>9813.921690682924</v>
      </c>
      <c r="BD65" s="31" t="n">
        <v>197.9584935344533</v>
      </c>
      <c r="BE65" s="31" t="n">
        <v>1262.657394005284</v>
      </c>
      <c r="BF65" s="31" t="n">
        <v>47.82622928374702</v>
      </c>
      <c r="BG65" s="31" t="n">
        <v>1869.271868000179</v>
      </c>
      <c r="BH65" s="31" t="n">
        <v>225.7296253244651</v>
      </c>
      <c r="BI65" s="31" t="n">
        <v>582.8207731022121</v>
      </c>
      <c r="BJ65" s="31" t="n">
        <v>95.20112212419313</v>
      </c>
      <c r="BK65" s="31" t="n">
        <v>6612.810316303898</v>
      </c>
      <c r="BL65" s="31" t="n">
        <v>859.0584581316044</v>
      </c>
      <c r="BM65" s="31" t="n">
        <v>219.5193774245854</v>
      </c>
      <c r="BN65" s="31" t="n">
        <v>1318.959696302012</v>
      </c>
      <c r="BO65" s="31" t="n">
        <v>0.2219797475114617</v>
      </c>
      <c r="BP65" s="31" t="n">
        <v>82.46379915183397</v>
      </c>
      <c r="BQ65" s="31" t="n">
        <v>877.2084375697085</v>
      </c>
      <c r="BR65" s="31" t="n">
        <v>0</v>
      </c>
      <c r="BS65" s="31">
        <f>SUM(C65:BR65)</f>
        <v/>
      </c>
      <c r="BT65" s="31" t="n">
        <v>0</v>
      </c>
      <c r="BU65" s="31" t="n">
        <v>0</v>
      </c>
      <c r="BV65" s="31" t="n">
        <v>38517.18838151666</v>
      </c>
      <c r="BW65" s="31" t="n">
        <v>0</v>
      </c>
      <c r="BX65" s="31">
        <f>SUM(BT65:BW65)</f>
        <v/>
      </c>
      <c r="BY65" s="31">
        <f>BS65+BX65</f>
        <v/>
      </c>
    </row>
    <row r="66">
      <c r="A66" s="28" t="inlineStr">
        <is>
          <t>6480</t>
        </is>
      </c>
      <c r="B66" s="28" t="inlineStr">
        <is>
          <t>Intermediação financeira, seguros e previdência complementar</t>
        </is>
      </c>
      <c r="C66" s="29" t="n">
        <v>3407.935318945023</v>
      </c>
      <c r="D66" s="29" t="n">
        <v>1320.700650562445</v>
      </c>
      <c r="E66" s="29" t="n">
        <v>288.5568444965949</v>
      </c>
      <c r="F66" s="29" t="n">
        <v>490.822454581606</v>
      </c>
      <c r="G66" s="29" t="n">
        <v>2947.019347843341</v>
      </c>
      <c r="H66" s="29" t="n">
        <v>1835.256293782207</v>
      </c>
      <c r="I66" s="29" t="n">
        <v>288.5704306660589</v>
      </c>
      <c r="J66" s="29" t="n">
        <v>3427.719312133812</v>
      </c>
      <c r="K66" s="29" t="n">
        <v>1459.657351031307</v>
      </c>
      <c r="L66" s="29" t="n">
        <v>3101.357538132002</v>
      </c>
      <c r="M66" s="29" t="n">
        <v>1104.009159882706</v>
      </c>
      <c r="N66" s="29" t="n">
        <v>264.0793917524018</v>
      </c>
      <c r="O66" s="29" t="n">
        <v>744.6552699977556</v>
      </c>
      <c r="P66" s="29" t="n">
        <v>839.3907040049965</v>
      </c>
      <c r="Q66" s="29" t="n">
        <v>587.9213370923168</v>
      </c>
      <c r="R66" s="29" t="n">
        <v>388.2568514916286</v>
      </c>
      <c r="S66" s="29" t="n">
        <v>1465.316236040572</v>
      </c>
      <c r="T66" s="29" t="n">
        <v>336.926752140665</v>
      </c>
      <c r="U66" s="29" t="n">
        <v>2160.772724970181</v>
      </c>
      <c r="V66" s="29" t="n">
        <v>586.3414492008881</v>
      </c>
      <c r="W66" s="29" t="n">
        <v>2515.232113114434</v>
      </c>
      <c r="X66" s="29" t="n">
        <v>972.2932617379827</v>
      </c>
      <c r="Y66" s="29" t="n">
        <v>535.2843126908588</v>
      </c>
      <c r="Z66" s="29" t="n">
        <v>679.257041697271</v>
      </c>
      <c r="AA66" s="29" t="n">
        <v>1440.489830091588</v>
      </c>
      <c r="AB66" s="29" t="n">
        <v>1615.289466315335</v>
      </c>
      <c r="AC66" s="29" t="n">
        <v>2392.378483646014</v>
      </c>
      <c r="AD66" s="29" t="n">
        <v>834.8727387269339</v>
      </c>
      <c r="AE66" s="29" t="n">
        <v>1376.21886782531</v>
      </c>
      <c r="AF66" s="29" t="n">
        <v>1146.569885947785</v>
      </c>
      <c r="AG66" s="29" t="n">
        <v>1210.779828955667</v>
      </c>
      <c r="AH66" s="29" t="n">
        <v>1908.002493260199</v>
      </c>
      <c r="AI66" s="29" t="n">
        <v>2905.95384128677</v>
      </c>
      <c r="AJ66" s="29" t="n">
        <v>1287.118860710517</v>
      </c>
      <c r="AK66" s="29" t="n">
        <v>748.2914346138812</v>
      </c>
      <c r="AL66" s="29" t="n">
        <v>769.988843874465</v>
      </c>
      <c r="AM66" s="29" t="n">
        <v>433.6450963178227</v>
      </c>
      <c r="AN66" s="29" t="n">
        <v>3897.753360910298</v>
      </c>
      <c r="AO66" s="29" t="n">
        <v>792.2756566533914</v>
      </c>
      <c r="AP66" s="29" t="n">
        <v>7393.911049007036</v>
      </c>
      <c r="AQ66" s="29" t="n">
        <v>2415.2015532594</v>
      </c>
      <c r="AR66" s="29" t="n">
        <v>17502.12578743169</v>
      </c>
      <c r="AS66" s="29" t="n">
        <v>5732.988962595413</v>
      </c>
      <c r="AT66" s="29" t="n">
        <v>330.5338022421176</v>
      </c>
      <c r="AU66" s="29" t="n">
        <v>880.9145149442985</v>
      </c>
      <c r="AV66" s="29" t="n">
        <v>2207.378294731652</v>
      </c>
      <c r="AW66" s="29" t="n">
        <v>439.7604208130468</v>
      </c>
      <c r="AX66" s="29" t="n">
        <v>2175.351325685389</v>
      </c>
      <c r="AY66" s="29" t="n">
        <v>497.8608522782073</v>
      </c>
      <c r="AZ66" s="29" t="n">
        <v>724.4246122502148</v>
      </c>
      <c r="BA66" s="29" t="n">
        <v>4623.584629090106</v>
      </c>
      <c r="BB66" s="29" t="n">
        <v>1459.691482365914</v>
      </c>
      <c r="BC66" s="29" t="n">
        <v>44354.29731464267</v>
      </c>
      <c r="BD66" s="29" t="n">
        <v>13993.70617667611</v>
      </c>
      <c r="BE66" s="29" t="n">
        <v>2859.015477138711</v>
      </c>
      <c r="BF66" s="29" t="n">
        <v>1123.750361699407</v>
      </c>
      <c r="BG66" s="29" t="n">
        <v>569.4662986681118</v>
      </c>
      <c r="BH66" s="29" t="n">
        <v>905.513805672708</v>
      </c>
      <c r="BI66" s="29" t="n">
        <v>2915.068112761777</v>
      </c>
      <c r="BJ66" s="29" t="n">
        <v>588.3615707194676</v>
      </c>
      <c r="BK66" s="29" t="n">
        <v>32665.40585939429</v>
      </c>
      <c r="BL66" s="29" t="n">
        <v>259.1576018729716</v>
      </c>
      <c r="BM66" s="29" t="n">
        <v>1090.250797485493</v>
      </c>
      <c r="BN66" s="29" t="n">
        <v>259.1767712930604</v>
      </c>
      <c r="BO66" s="29" t="n">
        <v>2792.234920075213</v>
      </c>
      <c r="BP66" s="29" t="n">
        <v>788.059898167706</v>
      </c>
      <c r="BQ66" s="29" t="n">
        <v>1908.325412252321</v>
      </c>
      <c r="BR66" s="29" t="n">
        <v>0</v>
      </c>
      <c r="BS66" s="29">
        <f>SUM(C66:BR66)</f>
        <v/>
      </c>
      <c r="BT66" s="29" t="n">
        <v>0</v>
      </c>
      <c r="BU66" s="29" t="n">
        <v>0</v>
      </c>
      <c r="BV66" s="29" t="n">
        <v>190069.5214976605</v>
      </c>
      <c r="BW66" s="29" t="n">
        <v>0</v>
      </c>
      <c r="BX66" s="29">
        <f>SUM(BT66:BW66)</f>
        <v/>
      </c>
      <c r="BY66" s="29">
        <f>BS66+BX66</f>
        <v/>
      </c>
    </row>
    <row r="67">
      <c r="A67" s="30" t="inlineStr">
        <is>
          <t>6800</t>
        </is>
      </c>
      <c r="B67" s="30" t="inlineStr">
        <is>
          <t>Atividades imobiliárias</t>
        </is>
      </c>
      <c r="C67" s="31" t="n">
        <v>4.737487216619514</v>
      </c>
      <c r="D67" s="31" t="n">
        <v>2.030351664265506</v>
      </c>
      <c r="E67" s="31" t="n">
        <v>4.737487216619514</v>
      </c>
      <c r="F67" s="31" t="n">
        <v>15.56602942603555</v>
      </c>
      <c r="G67" s="31" t="n">
        <v>127.9121548487269</v>
      </c>
      <c r="H67" s="31" t="n">
        <v>17.59638109030105</v>
      </c>
      <c r="I67" s="31" t="n">
        <v>8.798190545150527</v>
      </c>
      <c r="J67" s="31" t="n">
        <v>282.8956652209939</v>
      </c>
      <c r="K67" s="31" t="n">
        <v>106.2550704298948</v>
      </c>
      <c r="L67" s="31" t="n">
        <v>211.8333569717011</v>
      </c>
      <c r="M67" s="31" t="n">
        <v>36.54632995677911</v>
      </c>
      <c r="N67" s="31" t="n">
        <v>17.59638109030105</v>
      </c>
      <c r="O67" s="31" t="n">
        <v>173.2566753506565</v>
      </c>
      <c r="P67" s="31" t="n">
        <v>184.7620014481611</v>
      </c>
      <c r="Q67" s="31" t="n">
        <v>54.14271104708016</v>
      </c>
      <c r="R67" s="31" t="n">
        <v>16.91959720221255</v>
      </c>
      <c r="S67" s="31" t="n">
        <v>78.50693101826624</v>
      </c>
      <c r="T67" s="31" t="n">
        <v>34.5159782925136</v>
      </c>
      <c r="U67" s="31" t="n">
        <v>80.53728268253174</v>
      </c>
      <c r="V67" s="31" t="n">
        <v>67.6783888088502</v>
      </c>
      <c r="W67" s="31" t="n">
        <v>91.36582489194778</v>
      </c>
      <c r="X67" s="31" t="n">
        <v>54.81949493516866</v>
      </c>
      <c r="Y67" s="31" t="n">
        <v>81.21406657062025</v>
      </c>
      <c r="Z67" s="31" t="n">
        <v>123.1746676321074</v>
      </c>
      <c r="AA67" s="31" t="n">
        <v>207.7726536431701</v>
      </c>
      <c r="AB67" s="31" t="n">
        <v>113.0229093107798</v>
      </c>
      <c r="AC67" s="31" t="n">
        <v>151.5995909318245</v>
      </c>
      <c r="AD67" s="31" t="n">
        <v>5.414271104708017</v>
      </c>
      <c r="AE67" s="31" t="n">
        <v>128.5889387368154</v>
      </c>
      <c r="AF67" s="31" t="n">
        <v>106.9318543179833</v>
      </c>
      <c r="AG67" s="31" t="n">
        <v>69.0319565850272</v>
      </c>
      <c r="AH67" s="31" t="n">
        <v>131.9728581772579</v>
      </c>
      <c r="AI67" s="31" t="n">
        <v>90.68904100385929</v>
      </c>
      <c r="AJ67" s="31" t="n">
        <v>137.3871292819659</v>
      </c>
      <c r="AK67" s="31" t="n">
        <v>37.22311384486761</v>
      </c>
      <c r="AL67" s="31" t="n">
        <v>125.8818031844614</v>
      </c>
      <c r="AM67" s="31" t="n">
        <v>27.07135552354008</v>
      </c>
      <c r="AN67" s="31" t="n">
        <v>477.132641102394</v>
      </c>
      <c r="AO67" s="31" t="n">
        <v>167.16562035786</v>
      </c>
      <c r="AP67" s="31" t="n">
        <v>862.8994573128401</v>
      </c>
      <c r="AQ67" s="31" t="n">
        <v>2326.106223360182</v>
      </c>
      <c r="AR67" s="31" t="n">
        <v>17020.43800153774</v>
      </c>
      <c r="AS67" s="31" t="n">
        <v>652.419668117316</v>
      </c>
      <c r="AT67" s="31" t="n">
        <v>39.25346550913312</v>
      </c>
      <c r="AU67" s="31" t="n">
        <v>73.09265991355822</v>
      </c>
      <c r="AV67" s="31" t="n">
        <v>1247.312705747109</v>
      </c>
      <c r="AW67" s="31" t="n">
        <v>596.9233892940588</v>
      </c>
      <c r="AX67" s="31" t="n">
        <v>2561.62701641498</v>
      </c>
      <c r="AY67" s="31" t="n">
        <v>211.1565730836126</v>
      </c>
      <c r="AZ67" s="31" t="n">
        <v>299.1384785351179</v>
      </c>
      <c r="BA67" s="31" t="n">
        <v>1714.970372416264</v>
      </c>
      <c r="BB67" s="31" t="n">
        <v>713.3302180452812</v>
      </c>
      <c r="BC67" s="31" t="n">
        <v>4033.631973007472</v>
      </c>
      <c r="BD67" s="31" t="n">
        <v>1071.348894844099</v>
      </c>
      <c r="BE67" s="31" t="n">
        <v>2219.174369042198</v>
      </c>
      <c r="BF67" s="31" t="n">
        <v>518.4164582757926</v>
      </c>
      <c r="BG67" s="31" t="n">
        <v>499.4665094093145</v>
      </c>
      <c r="BH67" s="31" t="n">
        <v>592.8626859655278</v>
      </c>
      <c r="BI67" s="31" t="n">
        <v>1645.938415831237</v>
      </c>
      <c r="BJ67" s="31" t="n">
        <v>140.7710487224084</v>
      </c>
      <c r="BK67" s="31" t="n">
        <v>1335.294611198614</v>
      </c>
      <c r="BL67" s="31" t="n">
        <v>339.745511820428</v>
      </c>
      <c r="BM67" s="31" t="n">
        <v>1993.805334308727</v>
      </c>
      <c r="BN67" s="31" t="n">
        <v>219.2779797406747</v>
      </c>
      <c r="BO67" s="31" t="n">
        <v>877.1119189626986</v>
      </c>
      <c r="BP67" s="31" t="n">
        <v>1901.762725528691</v>
      </c>
      <c r="BQ67" s="31" t="n">
        <v>1516.672693206333</v>
      </c>
      <c r="BR67" s="31" t="n">
        <v>0</v>
      </c>
      <c r="BS67" s="31">
        <f>SUM(C67:BR67)</f>
        <v/>
      </c>
      <c r="BT67" s="31" t="n">
        <v>0</v>
      </c>
      <c r="BU67" s="31" t="n">
        <v>0</v>
      </c>
      <c r="BV67" s="31" t="n">
        <v>289280.7663981846</v>
      </c>
      <c r="BW67" s="31" t="n">
        <v>0</v>
      </c>
      <c r="BX67" s="31">
        <f>SUM(BT67:BW67)</f>
        <v/>
      </c>
      <c r="BY67" s="31">
        <f>BS67+BX67</f>
        <v/>
      </c>
    </row>
    <row r="68">
      <c r="A68" s="28" t="inlineStr">
        <is>
          <t>6980</t>
        </is>
      </c>
      <c r="B68" s="28" t="inlineStr">
        <is>
          <t>Atividades jurídicas, contábeis, consultoria e sedes de empresas</t>
        </is>
      </c>
      <c r="C68" s="29" t="n">
        <v>13.42911656146495</v>
      </c>
      <c r="D68" s="29" t="n">
        <v>7.162034385713307</v>
      </c>
      <c r="E68" s="29" t="n">
        <v>38.49247508380334</v>
      </c>
      <c r="F68" s="29" t="n">
        <v>399.2315418542978</v>
      </c>
      <c r="G68" s="29" t="n">
        <v>4338.715177716366</v>
      </c>
      <c r="H68" s="29" t="n">
        <v>827.9964781999155</v>
      </c>
      <c r="I68" s="29" t="n">
        <v>119.9505300421025</v>
      </c>
      <c r="J68" s="29" t="n">
        <v>2730.254519126792</v>
      </c>
      <c r="K68" s="29" t="n">
        <v>755.5328776273076</v>
      </c>
      <c r="L68" s="29" t="n">
        <v>4133.771224759664</v>
      </c>
      <c r="M68" s="29" t="n">
        <v>1070.58255803286</v>
      </c>
      <c r="N68" s="29" t="n">
        <v>582.7323935833625</v>
      </c>
      <c r="O68" s="29" t="n">
        <v>264.1429924631889</v>
      </c>
      <c r="P68" s="29" t="n">
        <v>170.160699517101</v>
      </c>
      <c r="Q68" s="29" t="n">
        <v>145.9304710874107</v>
      </c>
      <c r="R68" s="29" t="n">
        <v>120.8494170452513</v>
      </c>
      <c r="S68" s="29" t="n">
        <v>990.9366797757968</v>
      </c>
      <c r="T68" s="29" t="n">
        <v>92.21387701746272</v>
      </c>
      <c r="U68" s="29" t="n">
        <v>3529.501977829749</v>
      </c>
      <c r="V68" s="29" t="n">
        <v>246.1905525127438</v>
      </c>
      <c r="W68" s="29" t="n">
        <v>2384.647013879627</v>
      </c>
      <c r="X68" s="29" t="n">
        <v>2364.041684441157</v>
      </c>
      <c r="Y68" s="29" t="n">
        <v>683.9112871742975</v>
      </c>
      <c r="Z68" s="29" t="n">
        <v>2653.198324274513</v>
      </c>
      <c r="AA68" s="29" t="n">
        <v>978.4662601977086</v>
      </c>
      <c r="AB68" s="29" t="n">
        <v>1320.357720751537</v>
      </c>
      <c r="AC68" s="29" t="n">
        <v>1100.176194467163</v>
      </c>
      <c r="AD68" s="29" t="n">
        <v>409.9682152415004</v>
      </c>
      <c r="AE68" s="29" t="n">
        <v>572.043684806333</v>
      </c>
      <c r="AF68" s="29" t="n">
        <v>1822.518137856762</v>
      </c>
      <c r="AG68" s="29" t="n">
        <v>1962.138915410233</v>
      </c>
      <c r="AH68" s="29" t="n">
        <v>1102.852374377548</v>
      </c>
      <c r="AI68" s="29" t="n">
        <v>2039.130484918575</v>
      </c>
      <c r="AJ68" s="29" t="n">
        <v>819.9964579687754</v>
      </c>
      <c r="AK68" s="29" t="n">
        <v>219.3233312321253</v>
      </c>
      <c r="AL68" s="29" t="n">
        <v>333.0449043790038</v>
      </c>
      <c r="AM68" s="29" t="n">
        <v>206.7858886547845</v>
      </c>
      <c r="AN68" s="29" t="n">
        <v>470.1650422107885</v>
      </c>
      <c r="AO68" s="29" t="n">
        <v>813.7446588580092</v>
      </c>
      <c r="AP68" s="29" t="n">
        <v>3492.357276135535</v>
      </c>
      <c r="AQ68" s="29" t="n">
        <v>4332.597601015938</v>
      </c>
      <c r="AR68" s="29" t="n">
        <v>12657.93003321807</v>
      </c>
      <c r="AS68" s="29" t="n">
        <v>1470.993996342939</v>
      </c>
      <c r="AT68" s="29" t="n">
        <v>96.69174828042425</v>
      </c>
      <c r="AU68" s="29" t="n">
        <v>343.7613005760192</v>
      </c>
      <c r="AV68" s="29" t="n">
        <v>1045.199081025962</v>
      </c>
      <c r="AW68" s="29" t="n">
        <v>142.6081148808517</v>
      </c>
      <c r="AX68" s="29" t="n">
        <v>491.7414661863174</v>
      </c>
      <c r="AY68" s="29" t="n">
        <v>443.1852975148828</v>
      </c>
      <c r="AZ68" s="29" t="n">
        <v>1502.156403060736</v>
      </c>
      <c r="BA68" s="29" t="n">
        <v>2230.560851641596</v>
      </c>
      <c r="BB68" s="29" t="n">
        <v>1562.3275675419</v>
      </c>
      <c r="BC68" s="29" t="n">
        <v>11973.26831046136</v>
      </c>
      <c r="BD68" s="29" t="n">
        <v>1145.369417961541</v>
      </c>
      <c r="BE68" s="29" t="n">
        <v>8957.63763538021</v>
      </c>
      <c r="BF68" s="29" t="n">
        <v>3098.261617287822</v>
      </c>
      <c r="BG68" s="29" t="n">
        <v>214.1709069970556</v>
      </c>
      <c r="BH68" s="29" t="n">
        <v>561.5228470912164</v>
      </c>
      <c r="BI68" s="29" t="n">
        <v>2369.27662668876</v>
      </c>
      <c r="BJ68" s="29" t="n">
        <v>732.2760907562806</v>
      </c>
      <c r="BK68" s="29" t="n">
        <v>2752.246011292203</v>
      </c>
      <c r="BL68" s="29" t="n">
        <v>115.6342158830535</v>
      </c>
      <c r="BM68" s="29" t="n">
        <v>1075.092343993734</v>
      </c>
      <c r="BN68" s="29" t="n">
        <v>220.3078155205995</v>
      </c>
      <c r="BO68" s="29" t="n">
        <v>963.5666492910066</v>
      </c>
      <c r="BP68" s="29" t="n">
        <v>615.8504054769178</v>
      </c>
      <c r="BQ68" s="29" t="n">
        <v>2364.736013952688</v>
      </c>
      <c r="BR68" s="29" t="n">
        <v>0</v>
      </c>
      <c r="BS68" s="29">
        <f>SUM(C68:BR68)</f>
        <v/>
      </c>
      <c r="BT68" s="29" t="n">
        <v>0</v>
      </c>
      <c r="BU68" s="29" t="n">
        <v>0</v>
      </c>
      <c r="BV68" s="29" t="n">
        <v>14821.38417922158</v>
      </c>
      <c r="BW68" s="29" t="n">
        <v>0</v>
      </c>
      <c r="BX68" s="29">
        <f>SUM(BT68:BW68)</f>
        <v/>
      </c>
      <c r="BY68" s="29">
        <f>BS68+BX68</f>
        <v/>
      </c>
    </row>
    <row r="69">
      <c r="A69" s="30" t="inlineStr">
        <is>
          <t>7180</t>
        </is>
      </c>
      <c r="B69" s="30" t="inlineStr">
        <is>
          <t>Serviços de arquitetura, engenharia, testes/análises técnicas e P &amp; D</t>
        </is>
      </c>
      <c r="C69" s="31" t="n">
        <v>428.0173571575555</v>
      </c>
      <c r="D69" s="31" t="n">
        <v>17.31409578482863</v>
      </c>
      <c r="E69" s="31" t="n">
        <v>0.07455339199062497</v>
      </c>
      <c r="F69" s="31" t="n">
        <v>61.7776127340185</v>
      </c>
      <c r="G69" s="31" t="n">
        <v>1862.811970706539</v>
      </c>
      <c r="H69" s="31" t="n">
        <v>344.4980418512936</v>
      </c>
      <c r="I69" s="31" t="n">
        <v>90.85499214279625</v>
      </c>
      <c r="J69" s="31" t="n">
        <v>884.3371618834312</v>
      </c>
      <c r="K69" s="31" t="n">
        <v>328.6806653831467</v>
      </c>
      <c r="L69" s="31" t="n">
        <v>774.4670324726635</v>
      </c>
      <c r="M69" s="31" t="n">
        <v>204.4432478327973</v>
      </c>
      <c r="N69" s="31" t="n">
        <v>129.6825556325317</v>
      </c>
      <c r="O69" s="31" t="n">
        <v>152.7099418340584</v>
      </c>
      <c r="P69" s="31" t="n">
        <v>134.7023635818865</v>
      </c>
      <c r="Q69" s="31" t="n">
        <v>109.5264013390063</v>
      </c>
      <c r="R69" s="31" t="n">
        <v>37.46968696955943</v>
      </c>
      <c r="S69" s="31" t="n">
        <v>411.5036643233412</v>
      </c>
      <c r="T69" s="31" t="n">
        <v>41.87471768332387</v>
      </c>
      <c r="U69" s="31" t="n">
        <v>186.7826898667319</v>
      </c>
      <c r="V69" s="31" t="n">
        <v>155.8282747534162</v>
      </c>
      <c r="W69" s="31" t="n">
        <v>658.1499226610051</v>
      </c>
      <c r="X69" s="31" t="n">
        <v>515.8136144794125</v>
      </c>
      <c r="Y69" s="31" t="n">
        <v>344.6482350144442</v>
      </c>
      <c r="Z69" s="31" t="n">
        <v>786.6666469875237</v>
      </c>
      <c r="AA69" s="31" t="n">
        <v>774.3908255226429</v>
      </c>
      <c r="AB69" s="31" t="n">
        <v>546.4264311459619</v>
      </c>
      <c r="AC69" s="31" t="n">
        <v>365.3915962521873</v>
      </c>
      <c r="AD69" s="31" t="n">
        <v>213.533538462207</v>
      </c>
      <c r="AE69" s="31" t="n">
        <v>417.7254791440166</v>
      </c>
      <c r="AF69" s="31" t="n">
        <v>610.3218609615332</v>
      </c>
      <c r="AG69" s="31" t="n">
        <v>377.0018305610797</v>
      </c>
      <c r="AH69" s="31" t="n">
        <v>1505.569849643865</v>
      </c>
      <c r="AI69" s="31" t="n">
        <v>2112.543577721299</v>
      </c>
      <c r="AJ69" s="31" t="n">
        <v>771.1269810699107</v>
      </c>
      <c r="AK69" s="31" t="n">
        <v>157.7282790991511</v>
      </c>
      <c r="AL69" s="31" t="n">
        <v>225.8024877088751</v>
      </c>
      <c r="AM69" s="31" t="n">
        <v>117.8752724599494</v>
      </c>
      <c r="AN69" s="31" t="n">
        <v>2422.570259296308</v>
      </c>
      <c r="AO69" s="31" t="n">
        <v>441.6086328296356</v>
      </c>
      <c r="AP69" s="31" t="n">
        <v>4558.019491651001</v>
      </c>
      <c r="AQ69" s="31" t="n">
        <v>124.4236026718211</v>
      </c>
      <c r="AR69" s="31" t="n">
        <v>1284.339475263974</v>
      </c>
      <c r="AS69" s="31" t="n">
        <v>431.6667914309342</v>
      </c>
      <c r="AT69" s="31" t="n">
        <v>13.33379748897494</v>
      </c>
      <c r="AU69" s="31" t="n">
        <v>0.6198799867005806</v>
      </c>
      <c r="AV69" s="31" t="n">
        <v>3678.736241850816</v>
      </c>
      <c r="AW69" s="31" t="n">
        <v>9.162160073030918</v>
      </c>
      <c r="AX69" s="31" t="n">
        <v>22.57601952580685</v>
      </c>
      <c r="AY69" s="31" t="n">
        <v>2.023692871148944</v>
      </c>
      <c r="AZ69" s="31" t="n">
        <v>2.53527998299642</v>
      </c>
      <c r="BA69" s="31" t="n">
        <v>28.48994691447897</v>
      </c>
      <c r="BB69" s="31" t="n">
        <v>278.7249137325313</v>
      </c>
      <c r="BC69" s="31" t="n">
        <v>823.2323363851468</v>
      </c>
      <c r="BD69" s="31" t="n">
        <v>24.57699087080466</v>
      </c>
      <c r="BE69" s="31" t="n">
        <v>18.85010420852174</v>
      </c>
      <c r="BF69" s="31" t="n">
        <v>2791.389064715547</v>
      </c>
      <c r="BG69" s="31" t="n">
        <v>4.226017823076563</v>
      </c>
      <c r="BH69" s="31" t="n">
        <v>71.25907390687051</v>
      </c>
      <c r="BI69" s="31" t="n">
        <v>34.4186556271386</v>
      </c>
      <c r="BJ69" s="31" t="n">
        <v>1.233455160990533</v>
      </c>
      <c r="BK69" s="31" t="n">
        <v>3852.211266691794</v>
      </c>
      <c r="BL69" s="31" t="n">
        <v>1009.521937046361</v>
      </c>
      <c r="BM69" s="31" t="n">
        <v>101.0680157545843</v>
      </c>
      <c r="BN69" s="31" t="n">
        <v>1023.951910021178</v>
      </c>
      <c r="BO69" s="31" t="n">
        <v>8.203587712574919</v>
      </c>
      <c r="BP69" s="31" t="n">
        <v>16.09011491293875</v>
      </c>
      <c r="BQ69" s="31" t="n">
        <v>12.89300565053601</v>
      </c>
      <c r="BR69" s="31" t="n">
        <v>0</v>
      </c>
      <c r="BS69" s="31">
        <f>SUM(C69:BR69)</f>
        <v/>
      </c>
      <c r="BT69" s="31" t="n">
        <v>0</v>
      </c>
      <c r="BU69" s="31" t="n">
        <v>0</v>
      </c>
      <c r="BV69" s="31" t="n">
        <v>16152.9708217218</v>
      </c>
      <c r="BW69" s="31" t="n">
        <v>0</v>
      </c>
      <c r="BX69" s="31">
        <f>SUM(BT69:BW69)</f>
        <v/>
      </c>
      <c r="BY69" s="31">
        <f>BS69+BX69</f>
        <v/>
      </c>
    </row>
    <row r="70">
      <c r="A70" s="28" t="inlineStr">
        <is>
          <t>7380</t>
        </is>
      </c>
      <c r="B70" s="28" t="inlineStr">
        <is>
          <t>Outras atividades profissionais, científicas e técnicas</t>
        </is>
      </c>
      <c r="C70" s="29" t="n">
        <v>9.775784778703018</v>
      </c>
      <c r="D70" s="29" t="n">
        <v>255.5637290827606</v>
      </c>
      <c r="E70" s="29" t="n">
        <v>48.85896866615052</v>
      </c>
      <c r="F70" s="29" t="n">
        <v>31.59870440508893</v>
      </c>
      <c r="G70" s="29" t="n">
        <v>273.6743100804083</v>
      </c>
      <c r="H70" s="29" t="n">
        <v>5.31641066701553</v>
      </c>
      <c r="I70" s="29" t="n">
        <v>0.7768674070696687</v>
      </c>
      <c r="J70" s="29" t="n">
        <v>1302.272527482795</v>
      </c>
      <c r="K70" s="29" t="n">
        <v>120.551918054504</v>
      </c>
      <c r="L70" s="29" t="n">
        <v>1942.324703910838</v>
      </c>
      <c r="M70" s="29" t="n">
        <v>3350.982349344481</v>
      </c>
      <c r="N70" s="29" t="n">
        <v>294.806302059971</v>
      </c>
      <c r="O70" s="29" t="n">
        <v>77.16821357736308</v>
      </c>
      <c r="P70" s="29" t="n">
        <v>253.7810057525706</v>
      </c>
      <c r="Q70" s="29" t="n">
        <v>571.8600473313836</v>
      </c>
      <c r="R70" s="29" t="n">
        <v>19.69305646218821</v>
      </c>
      <c r="S70" s="29" t="n">
        <v>358.0798062240127</v>
      </c>
      <c r="T70" s="29" t="n">
        <v>56.43816899381022</v>
      </c>
      <c r="U70" s="29" t="n">
        <v>100.2659606643861</v>
      </c>
      <c r="V70" s="29" t="n">
        <v>40.79964571737682</v>
      </c>
      <c r="W70" s="29" t="n">
        <v>74.9931457949872</v>
      </c>
      <c r="X70" s="29" t="n">
        <v>332.9636042673169</v>
      </c>
      <c r="Y70" s="29" t="n">
        <v>786.3030744601568</v>
      </c>
      <c r="Z70" s="29" t="n">
        <v>1236.531149816183</v>
      </c>
      <c r="AA70" s="29" t="n">
        <v>355.7891088242353</v>
      </c>
      <c r="AB70" s="29" t="n">
        <v>192.3838939472259</v>
      </c>
      <c r="AC70" s="29" t="n">
        <v>142.2606785710653</v>
      </c>
      <c r="AD70" s="29" t="n">
        <v>12.31134778951929</v>
      </c>
      <c r="AE70" s="29" t="n">
        <v>343.6684152801632</v>
      </c>
      <c r="AF70" s="29" t="n">
        <v>970.9273777508797</v>
      </c>
      <c r="AG70" s="29" t="n">
        <v>504.3060679193005</v>
      </c>
      <c r="AH70" s="29" t="n">
        <v>356.4840698173089</v>
      </c>
      <c r="AI70" s="29" t="n">
        <v>3548.682059681444</v>
      </c>
      <c r="AJ70" s="29" t="n">
        <v>132.3637817969467</v>
      </c>
      <c r="AK70" s="29" t="n">
        <v>229.3762787664297</v>
      </c>
      <c r="AL70" s="29" t="n">
        <v>273.2757244389315</v>
      </c>
      <c r="AM70" s="29" t="n">
        <v>48.87127371088537</v>
      </c>
      <c r="AN70" s="29" t="n">
        <v>1536.54246892531</v>
      </c>
      <c r="AO70" s="29" t="n">
        <v>139.8722257864756</v>
      </c>
      <c r="AP70" s="29" t="n">
        <v>1472.037548772131</v>
      </c>
      <c r="AQ70" s="29" t="n">
        <v>2158.810209451052</v>
      </c>
      <c r="AR70" s="29" t="n">
        <v>9845.928486666628</v>
      </c>
      <c r="AS70" s="29" t="n">
        <v>423.4096258422036</v>
      </c>
      <c r="AT70" s="29" t="n">
        <v>27.07328036033449</v>
      </c>
      <c r="AU70" s="29" t="n">
        <v>163.134003615798</v>
      </c>
      <c r="AV70" s="29" t="n">
        <v>645.356555589159</v>
      </c>
      <c r="AW70" s="29" t="n">
        <v>198.6464741559305</v>
      </c>
      <c r="AX70" s="29" t="n">
        <v>484.9671915734194</v>
      </c>
      <c r="AY70" s="29" t="n">
        <v>925.7917113459606</v>
      </c>
      <c r="AZ70" s="29" t="n">
        <v>1387.269970467558</v>
      </c>
      <c r="BA70" s="29" t="n">
        <v>3185.960950632349</v>
      </c>
      <c r="BB70" s="29" t="n">
        <v>1079.803512804454</v>
      </c>
      <c r="BC70" s="29" t="n">
        <v>8593.567779986084</v>
      </c>
      <c r="BD70" s="29" t="n">
        <v>533.298492152113</v>
      </c>
      <c r="BE70" s="29" t="n">
        <v>2519.762044826404</v>
      </c>
      <c r="BF70" s="29" t="n">
        <v>258.7817782181816</v>
      </c>
      <c r="BG70" s="29" t="n">
        <v>1027.031993796394</v>
      </c>
      <c r="BH70" s="29" t="n">
        <v>615.0595377814932</v>
      </c>
      <c r="BI70" s="29" t="n">
        <v>1033.584285614517</v>
      </c>
      <c r="BJ70" s="29" t="n">
        <v>118.0862659086397</v>
      </c>
      <c r="BK70" s="29" t="n">
        <v>2704.910571734886</v>
      </c>
      <c r="BL70" s="29" t="n">
        <v>530.0336687332822</v>
      </c>
      <c r="BM70" s="29" t="n">
        <v>1517.541053468964</v>
      </c>
      <c r="BN70" s="29" t="n">
        <v>690.8444028288199</v>
      </c>
      <c r="BO70" s="29" t="n">
        <v>22.1074487919204</v>
      </c>
      <c r="BP70" s="29" t="n">
        <v>915.4381120000692</v>
      </c>
      <c r="BQ70" s="29" t="n">
        <v>1139.294107345306</v>
      </c>
      <c r="BR70" s="29" t="n">
        <v>0</v>
      </c>
      <c r="BS70" s="29">
        <f>SUM(C70:BR70)</f>
        <v/>
      </c>
      <c r="BT70" s="29" t="n">
        <v>0</v>
      </c>
      <c r="BU70" s="29" t="n">
        <v>0</v>
      </c>
      <c r="BV70" s="29" t="n">
        <v>1876.935843449124</v>
      </c>
      <c r="BW70" s="29" t="n">
        <v>0</v>
      </c>
      <c r="BX70" s="29">
        <f>SUM(BT70:BW70)</f>
        <v/>
      </c>
      <c r="BY70" s="29">
        <f>BS70+BX70</f>
        <v/>
      </c>
    </row>
    <row r="71">
      <c r="A71" s="30" t="inlineStr">
        <is>
          <t>7700</t>
        </is>
      </c>
      <c r="B71" s="30" t="inlineStr">
        <is>
          <t>Aluguéis não-imobiliários e gestão de ativos de propriedade intelectual</t>
        </is>
      </c>
      <c r="C71" s="31" t="n">
        <v>126.8616712300023</v>
      </c>
      <c r="D71" s="31" t="n">
        <v>25.15017230106902</v>
      </c>
      <c r="E71" s="31" t="n">
        <v>56.7179814591061</v>
      </c>
      <c r="F71" s="31" t="n">
        <v>124.0362551580992</v>
      </c>
      <c r="G71" s="31" t="n">
        <v>3392.101997804553</v>
      </c>
      <c r="H71" s="31" t="n">
        <v>499.611487655068</v>
      </c>
      <c r="I71" s="31" t="n">
        <v>88.73986921964627</v>
      </c>
      <c r="J71" s="31" t="n">
        <v>144.6733949123351</v>
      </c>
      <c r="K71" s="31" t="n">
        <v>180.9115188784554</v>
      </c>
      <c r="L71" s="31" t="n">
        <v>363.0150362545617</v>
      </c>
      <c r="M71" s="31" t="n">
        <v>152.2022473318466</v>
      </c>
      <c r="N71" s="31" t="n">
        <v>19.33963744681071</v>
      </c>
      <c r="O71" s="31" t="n">
        <v>33.91270456424184</v>
      </c>
      <c r="P71" s="31" t="n">
        <v>45.11508546659869</v>
      </c>
      <c r="Q71" s="31" t="n">
        <v>33.24650712022338</v>
      </c>
      <c r="R71" s="31" t="n">
        <v>52.24435413307451</v>
      </c>
      <c r="S71" s="31" t="n">
        <v>300.6447585813768</v>
      </c>
      <c r="T71" s="31" t="n">
        <v>107.9036940011477</v>
      </c>
      <c r="U71" s="31" t="n">
        <v>163.2227822003535</v>
      </c>
      <c r="V71" s="31" t="n">
        <v>32.28360295114555</v>
      </c>
      <c r="W71" s="31" t="n">
        <v>180.7609524951185</v>
      </c>
      <c r="X71" s="31" t="n">
        <v>190.2107285623752</v>
      </c>
      <c r="Y71" s="31" t="n">
        <v>34.58205349054181</v>
      </c>
      <c r="Z71" s="31" t="n">
        <v>81.53169638101042</v>
      </c>
      <c r="AA71" s="31" t="n">
        <v>210.4277758198772</v>
      </c>
      <c r="AB71" s="31" t="n">
        <v>206.6237715145668</v>
      </c>
      <c r="AC71" s="31" t="n">
        <v>424.6317265476482</v>
      </c>
      <c r="AD71" s="31" t="n">
        <v>116.8477377870411</v>
      </c>
      <c r="AE71" s="31" t="n">
        <v>267.4615914090421</v>
      </c>
      <c r="AF71" s="31" t="n">
        <v>193.9392960883427</v>
      </c>
      <c r="AG71" s="31" t="n">
        <v>99.52843063774526</v>
      </c>
      <c r="AH71" s="31" t="n">
        <v>307.8338975876618</v>
      </c>
      <c r="AI71" s="31" t="n">
        <v>622.7370423203051</v>
      </c>
      <c r="AJ71" s="31" t="n">
        <v>248.8737782597759</v>
      </c>
      <c r="AK71" s="31" t="n">
        <v>233.7795042322727</v>
      </c>
      <c r="AL71" s="31" t="n">
        <v>104.6253151871193</v>
      </c>
      <c r="AM71" s="31" t="n">
        <v>120.8924220227465</v>
      </c>
      <c r="AN71" s="31" t="n">
        <v>283.2557471573058</v>
      </c>
      <c r="AO71" s="31" t="n">
        <v>597.1318374116522</v>
      </c>
      <c r="AP71" s="31" t="n">
        <v>1909.655272617682</v>
      </c>
      <c r="AQ71" s="31" t="n">
        <v>344.7997023022501</v>
      </c>
      <c r="AR71" s="31" t="n">
        <v>2233.835145999101</v>
      </c>
      <c r="AS71" s="31" t="n">
        <v>1442.622103718037</v>
      </c>
      <c r="AT71" s="31" t="n">
        <v>400.2210830808483</v>
      </c>
      <c r="AU71" s="31" t="n">
        <v>1093.247523616403</v>
      </c>
      <c r="AV71" s="31" t="n">
        <v>681.3552316266447</v>
      </c>
      <c r="AW71" s="31" t="n">
        <v>51.30363466603634</v>
      </c>
      <c r="AX71" s="31" t="n">
        <v>332.7866204235681</v>
      </c>
      <c r="AY71" s="31" t="n">
        <v>287.2955440183773</v>
      </c>
      <c r="AZ71" s="31" t="n">
        <v>317.6231430288386</v>
      </c>
      <c r="BA71" s="31" t="n">
        <v>2045.275189508739</v>
      </c>
      <c r="BB71" s="31" t="n">
        <v>605.2147578569658</v>
      </c>
      <c r="BC71" s="31" t="n">
        <v>706.0749078002353</v>
      </c>
      <c r="BD71" s="31" t="n">
        <v>88.13353823348584</v>
      </c>
      <c r="BE71" s="31" t="n">
        <v>241.4796318115095</v>
      </c>
      <c r="BF71" s="31" t="n">
        <v>421.9232383278423</v>
      </c>
      <c r="BG71" s="31" t="n">
        <v>89.6715486982916</v>
      </c>
      <c r="BH71" s="31" t="n">
        <v>567.806708435236</v>
      </c>
      <c r="BI71" s="31" t="n">
        <v>427.8438389760634</v>
      </c>
      <c r="BJ71" s="31" t="n">
        <v>122.6171895704236</v>
      </c>
      <c r="BK71" s="31" t="n">
        <v>1470.026524926709</v>
      </c>
      <c r="BL71" s="31" t="n">
        <v>562.0610487443124</v>
      </c>
      <c r="BM71" s="31" t="n">
        <v>645.7848557031652</v>
      </c>
      <c r="BN71" s="31" t="n">
        <v>641.4452584131939</v>
      </c>
      <c r="BO71" s="31" t="n">
        <v>268.021422056366</v>
      </c>
      <c r="BP71" s="31" t="n">
        <v>183.9796101815301</v>
      </c>
      <c r="BQ71" s="31" t="n">
        <v>89.45011975453853</v>
      </c>
      <c r="BR71" s="31" t="n">
        <v>0</v>
      </c>
      <c r="BS71" s="31">
        <f>SUM(C71:BR71)</f>
        <v/>
      </c>
      <c r="BT71" s="31" t="n">
        <v>0</v>
      </c>
      <c r="BU71" s="31" t="n">
        <v>0</v>
      </c>
      <c r="BV71" s="31" t="n">
        <v>2618.705070055937</v>
      </c>
      <c r="BW71" s="31" t="n">
        <v>0</v>
      </c>
      <c r="BX71" s="31">
        <f>SUM(BT71:BW71)</f>
        <v/>
      </c>
      <c r="BY71" s="31">
        <f>BS71+BX71</f>
        <v/>
      </c>
    </row>
    <row r="72">
      <c r="A72" s="28" t="inlineStr">
        <is>
          <t>7880</t>
        </is>
      </c>
      <c r="B72" s="28" t="inlineStr">
        <is>
          <t>Outras atividades administrativas e serviços complementares</t>
        </is>
      </c>
      <c r="C72" s="29" t="n">
        <v>21.18781217033142</v>
      </c>
      <c r="D72" s="29" t="n">
        <v>11.60199976841366</v>
      </c>
      <c r="E72" s="29" t="n">
        <v>23.25702339484404</v>
      </c>
      <c r="F72" s="29" t="n">
        <v>425.3415646113656</v>
      </c>
      <c r="G72" s="29" t="n">
        <v>360.3519669589989</v>
      </c>
      <c r="H72" s="29" t="n">
        <v>300.7471862279809</v>
      </c>
      <c r="I72" s="29" t="n">
        <v>78.76545473161553</v>
      </c>
      <c r="J72" s="29" t="n">
        <v>409.4756447242233</v>
      </c>
      <c r="K72" s="29" t="n">
        <v>366.5585589300699</v>
      </c>
      <c r="L72" s="29" t="n">
        <v>670.8072453037975</v>
      </c>
      <c r="M72" s="29" t="n">
        <v>630.7427390694317</v>
      </c>
      <c r="N72" s="29" t="n">
        <v>102.8009663410733</v>
      </c>
      <c r="O72" s="29" t="n">
        <v>151.7887070095977</v>
      </c>
      <c r="P72" s="29" t="n">
        <v>95.69585155070533</v>
      </c>
      <c r="Q72" s="29" t="n">
        <v>144.9569816699289</v>
      </c>
      <c r="R72" s="29" t="n">
        <v>28.26527973515427</v>
      </c>
      <c r="S72" s="29" t="n">
        <v>394.1631977480392</v>
      </c>
      <c r="T72" s="29" t="n">
        <v>33.67556369925916</v>
      </c>
      <c r="U72" s="29" t="n">
        <v>145.1109795596522</v>
      </c>
      <c r="V72" s="29" t="n">
        <v>199.6278789864727</v>
      </c>
      <c r="W72" s="29" t="n">
        <v>339.3513391485855</v>
      </c>
      <c r="X72" s="29" t="n">
        <v>537.9412378028713</v>
      </c>
      <c r="Y72" s="29" t="n">
        <v>218.9178119508724</v>
      </c>
      <c r="Z72" s="29" t="n">
        <v>674.9262268224691</v>
      </c>
      <c r="AA72" s="29" t="n">
        <v>436.6304236778043</v>
      </c>
      <c r="AB72" s="29" t="n">
        <v>551.3276814998605</v>
      </c>
      <c r="AC72" s="29" t="n">
        <v>337.0985473090871</v>
      </c>
      <c r="AD72" s="29" t="n">
        <v>260.1894671477393</v>
      </c>
      <c r="AE72" s="29" t="n">
        <v>448.7030213409031</v>
      </c>
      <c r="AF72" s="29" t="n">
        <v>570.1133619190134</v>
      </c>
      <c r="AG72" s="29" t="n">
        <v>460.8507437102576</v>
      </c>
      <c r="AH72" s="29" t="n">
        <v>1209.015688099269</v>
      </c>
      <c r="AI72" s="29" t="n">
        <v>1224.105337334397</v>
      </c>
      <c r="AJ72" s="29" t="n">
        <v>319.5519912265187</v>
      </c>
      <c r="AK72" s="29" t="n">
        <v>130.0876306622131</v>
      </c>
      <c r="AL72" s="29" t="n">
        <v>175.7623496841563</v>
      </c>
      <c r="AM72" s="29" t="n">
        <v>162.7946298246932</v>
      </c>
      <c r="AN72" s="29" t="n">
        <v>1535.447093607137</v>
      </c>
      <c r="AO72" s="29" t="n">
        <v>268.5616901183361</v>
      </c>
      <c r="AP72" s="29" t="n">
        <v>1846.228108715983</v>
      </c>
      <c r="AQ72" s="29" t="n">
        <v>1388.053534333834</v>
      </c>
      <c r="AR72" s="29" t="n">
        <v>15277.7182050457</v>
      </c>
      <c r="AS72" s="29" t="n">
        <v>1327.117156751227</v>
      </c>
      <c r="AT72" s="29" t="n">
        <v>79.50245690040971</v>
      </c>
      <c r="AU72" s="29" t="n">
        <v>695.0523541291707</v>
      </c>
      <c r="AV72" s="29" t="n">
        <v>1857.729532911182</v>
      </c>
      <c r="AW72" s="29" t="n">
        <v>578.9587318307472</v>
      </c>
      <c r="AX72" s="29" t="n">
        <v>1164.389073864467</v>
      </c>
      <c r="AY72" s="29" t="n">
        <v>282.8711905432784</v>
      </c>
      <c r="AZ72" s="29" t="n">
        <v>606.8641520557653</v>
      </c>
      <c r="BA72" s="29" t="n">
        <v>11394.59156646115</v>
      </c>
      <c r="BB72" s="29" t="n">
        <v>3182.514389558946</v>
      </c>
      <c r="BC72" s="29" t="n">
        <v>16145.69460177769</v>
      </c>
      <c r="BD72" s="29" t="n">
        <v>754.0685046823999</v>
      </c>
      <c r="BE72" s="29" t="n">
        <v>2032.290214795727</v>
      </c>
      <c r="BF72" s="29" t="n">
        <v>450.73537922954</v>
      </c>
      <c r="BG72" s="29" t="n">
        <v>404.5653721502465</v>
      </c>
      <c r="BH72" s="29" t="n">
        <v>386.6319494596642</v>
      </c>
      <c r="BI72" s="29" t="n">
        <v>3571.345234498021</v>
      </c>
      <c r="BJ72" s="29" t="n">
        <v>255.2783781358704</v>
      </c>
      <c r="BK72" s="29" t="n">
        <v>14315.8516706271</v>
      </c>
      <c r="BL72" s="29" t="n">
        <v>6936.259365944756</v>
      </c>
      <c r="BM72" s="29" t="n">
        <v>1945.570545278232</v>
      </c>
      <c r="BN72" s="29" t="n">
        <v>6326.10765343306</v>
      </c>
      <c r="BO72" s="29" t="n">
        <v>1813.094690930954</v>
      </c>
      <c r="BP72" s="29" t="n">
        <v>561.1083127548233</v>
      </c>
      <c r="BQ72" s="29" t="n">
        <v>3780.870360401624</v>
      </c>
      <c r="BR72" s="29" t="n">
        <v>0</v>
      </c>
      <c r="BS72" s="29">
        <f>SUM(C72:BR72)</f>
        <v/>
      </c>
      <c r="BT72" s="29" t="n">
        <v>0</v>
      </c>
      <c r="BU72" s="29" t="n">
        <v>0</v>
      </c>
      <c r="BV72" s="29" t="n">
        <v>29264.46632537065</v>
      </c>
      <c r="BW72" s="29" t="n">
        <v>0</v>
      </c>
      <c r="BX72" s="29">
        <f>SUM(BT72:BW72)</f>
        <v/>
      </c>
      <c r="BY72" s="29">
        <f>BS72+BX72</f>
        <v/>
      </c>
    </row>
    <row r="73">
      <c r="A73" s="30" t="inlineStr">
        <is>
          <t>8000</t>
        </is>
      </c>
      <c r="B73" s="30" t="inlineStr">
        <is>
          <t>Atividades de vigilância, segurança e investigação</t>
        </is>
      </c>
      <c r="C73" s="31" t="n">
        <v>0.9672306572171971</v>
      </c>
      <c r="D73" s="31" t="n">
        <v>0.007152481720706721</v>
      </c>
      <c r="E73" s="31" t="n">
        <v>2.869408762187936</v>
      </c>
      <c r="F73" s="31" t="n">
        <v>6.785279125249246</v>
      </c>
      <c r="G73" s="31" t="n">
        <v>52.72272540456217</v>
      </c>
      <c r="H73" s="31" t="n">
        <v>43.20648020442503</v>
      </c>
      <c r="I73" s="31" t="n">
        <v>7.73278478547565</v>
      </c>
      <c r="J73" s="31" t="n">
        <v>178.7603615419681</v>
      </c>
      <c r="K73" s="31" t="n">
        <v>92.73776454226697</v>
      </c>
      <c r="L73" s="31" t="n">
        <v>166.1214208622742</v>
      </c>
      <c r="M73" s="31" t="n">
        <v>72.12237442070946</v>
      </c>
      <c r="N73" s="31" t="n">
        <v>99.99911069289051</v>
      </c>
      <c r="O73" s="31" t="n">
        <v>27.49155435046318</v>
      </c>
      <c r="P73" s="31" t="n">
        <v>19.73831114262461</v>
      </c>
      <c r="Q73" s="31" t="n">
        <v>29.91804343864449</v>
      </c>
      <c r="R73" s="31" t="n">
        <v>29.2208277259619</v>
      </c>
      <c r="S73" s="31" t="n">
        <v>219.8634619322467</v>
      </c>
      <c r="T73" s="31" t="n">
        <v>15.49998769826541</v>
      </c>
      <c r="U73" s="31" t="n">
        <v>66.02762335654411</v>
      </c>
      <c r="V73" s="31" t="n">
        <v>1.668584482602621</v>
      </c>
      <c r="W73" s="31" t="n">
        <v>156.9343974996342</v>
      </c>
      <c r="X73" s="31" t="n">
        <v>119.3041348195699</v>
      </c>
      <c r="Y73" s="31" t="n">
        <v>20.27703750736513</v>
      </c>
      <c r="Z73" s="31" t="n">
        <v>131.9720574373729</v>
      </c>
      <c r="AA73" s="31" t="n">
        <v>131.6447624300607</v>
      </c>
      <c r="AB73" s="31" t="n">
        <v>289.3374027916515</v>
      </c>
      <c r="AC73" s="31" t="n">
        <v>53.08745176324162</v>
      </c>
      <c r="AD73" s="31" t="n">
        <v>36.42540855443381</v>
      </c>
      <c r="AE73" s="31" t="n">
        <v>136.1557546202187</v>
      </c>
      <c r="AF73" s="31" t="n">
        <v>102.3013629440988</v>
      </c>
      <c r="AG73" s="31" t="n">
        <v>68.49477900128761</v>
      </c>
      <c r="AH73" s="31" t="n">
        <v>191.6646830570254</v>
      </c>
      <c r="AI73" s="31" t="n">
        <v>427.7629827177491</v>
      </c>
      <c r="AJ73" s="31" t="n">
        <v>206.6309950013754</v>
      </c>
      <c r="AK73" s="31" t="n">
        <v>68.29521648431644</v>
      </c>
      <c r="AL73" s="31" t="n">
        <v>36.82788836520289</v>
      </c>
      <c r="AM73" s="31" t="n">
        <v>76.50552699883359</v>
      </c>
      <c r="AN73" s="31" t="n">
        <v>153.0995049912717</v>
      </c>
      <c r="AO73" s="31" t="n">
        <v>297.3921362163071</v>
      </c>
      <c r="AP73" s="31" t="n">
        <v>533.7080746297494</v>
      </c>
      <c r="AQ73" s="31" t="n">
        <v>514.0480466666756</v>
      </c>
      <c r="AR73" s="31" t="n">
        <v>2573.621812956349</v>
      </c>
      <c r="AS73" s="31" t="n">
        <v>916.0511199774196</v>
      </c>
      <c r="AT73" s="31" t="n">
        <v>14.35150773008153</v>
      </c>
      <c r="AU73" s="31" t="n">
        <v>151.071603724957</v>
      </c>
      <c r="AV73" s="31" t="n">
        <v>1534.764541065859</v>
      </c>
      <c r="AW73" s="31" t="n">
        <v>62.31226878711251</v>
      </c>
      <c r="AX73" s="31" t="n">
        <v>339.1645268399478</v>
      </c>
      <c r="AY73" s="31" t="n">
        <v>42.78555017690086</v>
      </c>
      <c r="AZ73" s="31" t="n">
        <v>187.8789397039365</v>
      </c>
      <c r="BA73" s="31" t="n">
        <v>510.1795984092175</v>
      </c>
      <c r="BB73" s="31" t="n">
        <v>238.9261774474484</v>
      </c>
      <c r="BC73" s="31" t="n">
        <v>4498.351399810448</v>
      </c>
      <c r="BD73" s="31" t="n">
        <v>108.3371241288391</v>
      </c>
      <c r="BE73" s="31" t="n">
        <v>438.2686242011656</v>
      </c>
      <c r="BF73" s="31" t="n">
        <v>12.69186440366918</v>
      </c>
      <c r="BG73" s="31" t="n">
        <v>106.6355933588466</v>
      </c>
      <c r="BH73" s="31" t="n">
        <v>71.87127154680442</v>
      </c>
      <c r="BI73" s="31" t="n">
        <v>421.9932111591608</v>
      </c>
      <c r="BJ73" s="31" t="n">
        <v>30.73474317546478</v>
      </c>
      <c r="BK73" s="31" t="n">
        <v>4051.025794834043</v>
      </c>
      <c r="BL73" s="31" t="n">
        <v>1667.390600090238</v>
      </c>
      <c r="BM73" s="31" t="n">
        <v>749.155862111367</v>
      </c>
      <c r="BN73" s="31" t="n">
        <v>863.3459866433546</v>
      </c>
      <c r="BO73" s="31" t="n">
        <v>0.2515321394713466</v>
      </c>
      <c r="BP73" s="31" t="n">
        <v>92.35254620960129</v>
      </c>
      <c r="BQ73" s="31" t="n">
        <v>3.332557210560842</v>
      </c>
      <c r="BR73" s="31" t="n">
        <v>0</v>
      </c>
      <c r="BS73" s="31">
        <f>SUM(C73:BR73)</f>
        <v/>
      </c>
      <c r="BT73" s="31" t="n">
        <v>0</v>
      </c>
      <c r="BU73" s="31" t="n">
        <v>0</v>
      </c>
      <c r="BV73" s="31" t="n">
        <v>249.679197757909</v>
      </c>
      <c r="BW73" s="31" t="n">
        <v>0</v>
      </c>
      <c r="BX73" s="31">
        <f>SUM(BT73:BW73)</f>
        <v/>
      </c>
      <c r="BY73" s="31">
        <f>BS73+BX73</f>
        <v/>
      </c>
    </row>
    <row r="74">
      <c r="A74" s="28" t="inlineStr">
        <is>
          <t>8400</t>
        </is>
      </c>
      <c r="B74" s="28" t="inlineStr">
        <is>
          <t>Administração pública, defesa e seguridade social</t>
        </is>
      </c>
      <c r="C74" s="29" t="n">
        <v>128.1531833829646</v>
      </c>
      <c r="D74" s="29" t="n">
        <v>120.0965053340516</v>
      </c>
      <c r="E74" s="29" t="n">
        <v>12.40499809897105</v>
      </c>
      <c r="F74" s="29" t="n">
        <v>26.76616594772253</v>
      </c>
      <c r="G74" s="29" t="n">
        <v>294.5732375309672</v>
      </c>
      <c r="H74" s="29" t="n">
        <v>137.5668353033936</v>
      </c>
      <c r="I74" s="29" t="n">
        <v>24.82476576574474</v>
      </c>
      <c r="J74" s="29" t="n">
        <v>347.5422127306268</v>
      </c>
      <c r="K74" s="29" t="n">
        <v>107.1774222064385</v>
      </c>
      <c r="L74" s="29" t="n">
        <v>1224.012859308976</v>
      </c>
      <c r="M74" s="29" t="n">
        <v>422.242303433001</v>
      </c>
      <c r="N74" s="29" t="n">
        <v>79.93271374648172</v>
      </c>
      <c r="O74" s="29" t="n">
        <v>35.59030467571323</v>
      </c>
      <c r="P74" s="29" t="n">
        <v>43.65643093602522</v>
      </c>
      <c r="Q74" s="29" t="n">
        <v>71.67114570756547</v>
      </c>
      <c r="R74" s="29" t="n">
        <v>30.2969935724019</v>
      </c>
      <c r="S74" s="29" t="n">
        <v>139.4903716086385</v>
      </c>
      <c r="T74" s="29" t="n">
        <v>15.8665853176154</v>
      </c>
      <c r="U74" s="29" t="n">
        <v>151.4828972694655</v>
      </c>
      <c r="V74" s="29" t="n">
        <v>32.89437003542313</v>
      </c>
      <c r="W74" s="29" t="n">
        <v>361.5543207133938</v>
      </c>
      <c r="X74" s="29" t="n">
        <v>183.0138316300124</v>
      </c>
      <c r="Y74" s="29" t="n">
        <v>130.6479944904499</v>
      </c>
      <c r="Z74" s="29" t="n">
        <v>275.1872257677924</v>
      </c>
      <c r="AA74" s="29" t="n">
        <v>125.4483479806285</v>
      </c>
      <c r="AB74" s="29" t="n">
        <v>135.1095000359457</v>
      </c>
      <c r="AC74" s="29" t="n">
        <v>259.2177006400176</v>
      </c>
      <c r="AD74" s="29" t="n">
        <v>93.65337878250087</v>
      </c>
      <c r="AE74" s="29" t="n">
        <v>113.8548445840885</v>
      </c>
      <c r="AF74" s="29" t="n">
        <v>189.7499922563473</v>
      </c>
      <c r="AG74" s="29" t="n">
        <v>171.0758865581082</v>
      </c>
      <c r="AH74" s="29" t="n">
        <v>183.4256574785239</v>
      </c>
      <c r="AI74" s="29" t="n">
        <v>594.1125889555093</v>
      </c>
      <c r="AJ74" s="29" t="n">
        <v>117.0075493136011</v>
      </c>
      <c r="AK74" s="29" t="n">
        <v>53.97568112320142</v>
      </c>
      <c r="AL74" s="29" t="n">
        <v>59.46178409573005</v>
      </c>
      <c r="AM74" s="29" t="n">
        <v>30.93778755350264</v>
      </c>
      <c r="AN74" s="29" t="n">
        <v>342.3635435147821</v>
      </c>
      <c r="AO74" s="29" t="n">
        <v>83.85826922385908</v>
      </c>
      <c r="AP74" s="29" t="n">
        <v>423.7569153415145</v>
      </c>
      <c r="AQ74" s="29" t="n">
        <v>390.4575186658028</v>
      </c>
      <c r="AR74" s="29" t="n">
        <v>1995.4316046652</v>
      </c>
      <c r="AS74" s="29" t="n">
        <v>328.7411524808162</v>
      </c>
      <c r="AT74" s="29" t="n">
        <v>84.36159449167685</v>
      </c>
      <c r="AU74" s="29" t="n">
        <v>132.8348725929674</v>
      </c>
      <c r="AV74" s="29" t="n">
        <v>279.8963100507336</v>
      </c>
      <c r="AW74" s="29" t="n">
        <v>43.71002381872164</v>
      </c>
      <c r="AX74" s="29" t="n">
        <v>136.6221795156461</v>
      </c>
      <c r="AY74" s="29" t="n">
        <v>111.2535805037331</v>
      </c>
      <c r="AZ74" s="29" t="n">
        <v>220.9654476457467</v>
      </c>
      <c r="BA74" s="29" t="n">
        <v>494.6582157021274</v>
      </c>
      <c r="BB74" s="29" t="n">
        <v>233.2417917158766</v>
      </c>
      <c r="BC74" s="29" t="n">
        <v>1534.013191848792</v>
      </c>
      <c r="BD74" s="29" t="n">
        <v>138.2981399036374</v>
      </c>
      <c r="BE74" s="29" t="n">
        <v>600.6949338551063</v>
      </c>
      <c r="BF74" s="29" t="n">
        <v>376.7291758908751</v>
      </c>
      <c r="BG74" s="29" t="n">
        <v>190.3021040389823</v>
      </c>
      <c r="BH74" s="29" t="n">
        <v>93.97518490222585</v>
      </c>
      <c r="BI74" s="29" t="n">
        <v>338.6988878878187</v>
      </c>
      <c r="BJ74" s="29" t="n">
        <v>43.11507359766574</v>
      </c>
      <c r="BK74" s="29" t="n">
        <v>1041.755784566009</v>
      </c>
      <c r="BL74" s="29" t="n">
        <v>213.2433491940438</v>
      </c>
      <c r="BM74" s="29" t="n">
        <v>241.7082352145778</v>
      </c>
      <c r="BN74" s="29" t="n">
        <v>210.3625044172657</v>
      </c>
      <c r="BO74" s="29" t="n">
        <v>145.7978842971451</v>
      </c>
      <c r="BP74" s="29" t="n">
        <v>141.4154533256676</v>
      </c>
      <c r="BQ74" s="29" t="n">
        <v>445.0237658862272</v>
      </c>
      <c r="BR74" s="29" t="n">
        <v>0</v>
      </c>
      <c r="BS74" s="29">
        <f>SUM(C74:BR74)</f>
        <v/>
      </c>
      <c r="BT74" s="29" t="n">
        <v>0</v>
      </c>
      <c r="BU74" s="29" t="n">
        <v>0</v>
      </c>
      <c r="BV74" s="29" t="n">
        <v>504803.7884848671</v>
      </c>
      <c r="BW74" s="29" t="n">
        <v>0</v>
      </c>
      <c r="BX74" s="29">
        <f>SUM(BT74:BW74)</f>
        <v/>
      </c>
      <c r="BY74" s="29">
        <f>BS74+BX74</f>
        <v/>
      </c>
    </row>
    <row r="75">
      <c r="A75" s="30" t="inlineStr">
        <is>
          <t>8591</t>
        </is>
      </c>
      <c r="B75" s="30" t="inlineStr">
        <is>
          <t>Educação pública</t>
        </is>
      </c>
      <c r="C75" s="31" t="n">
        <v>0.7485606057871167</v>
      </c>
      <c r="D75" s="31" t="n">
        <v>0.2781910515197991</v>
      </c>
      <c r="E75" s="31" t="n">
        <v>0.1153132123888955</v>
      </c>
      <c r="F75" s="31" t="n">
        <v>2.168282887530903</v>
      </c>
      <c r="G75" s="31" t="n">
        <v>9.971057420314196</v>
      </c>
      <c r="H75" s="31" t="n">
        <v>23.24292881104196</v>
      </c>
      <c r="I75" s="31" t="n">
        <v>0.5931461520488542</v>
      </c>
      <c r="J75" s="31" t="n">
        <v>26.37969465893563</v>
      </c>
      <c r="K75" s="31" t="n">
        <v>4.933578526150877</v>
      </c>
      <c r="L75" s="31" t="n">
        <v>19.09329818048055</v>
      </c>
      <c r="M75" s="31" t="n">
        <v>20.72489848719325</v>
      </c>
      <c r="N75" s="31" t="n">
        <v>6.310186883337726</v>
      </c>
      <c r="O75" s="31" t="n">
        <v>1.177551862333416</v>
      </c>
      <c r="P75" s="31" t="n">
        <v>4.422017924794903</v>
      </c>
      <c r="Q75" s="31" t="n">
        <v>6.945487156438129</v>
      </c>
      <c r="R75" s="31" t="n">
        <v>2.209603663823835</v>
      </c>
      <c r="S75" s="31" t="n">
        <v>9.148231428751261</v>
      </c>
      <c r="T75" s="31" t="n">
        <v>0.6030934805147055</v>
      </c>
      <c r="U75" s="31" t="n">
        <v>6.063226213636145</v>
      </c>
      <c r="V75" s="31" t="n">
        <v>0.7391841622263681</v>
      </c>
      <c r="W75" s="31" t="n">
        <v>25.8754892218554</v>
      </c>
      <c r="X75" s="31" t="n">
        <v>11.25941025132335</v>
      </c>
      <c r="Y75" s="31" t="n">
        <v>16.25556887314994</v>
      </c>
      <c r="Z75" s="31" t="n">
        <v>50.96471061452299</v>
      </c>
      <c r="AA75" s="31" t="n">
        <v>10.77956441217554</v>
      </c>
      <c r="AB75" s="31" t="n">
        <v>10.84566000955775</v>
      </c>
      <c r="AC75" s="31" t="n">
        <v>10.71719723500517</v>
      </c>
      <c r="AD75" s="31" t="n">
        <v>21.13145502425157</v>
      </c>
      <c r="AE75" s="31" t="n">
        <v>5.3054652110174</v>
      </c>
      <c r="AF75" s="31" t="n">
        <v>17.89170616945126</v>
      </c>
      <c r="AG75" s="31" t="n">
        <v>33.40245869939182</v>
      </c>
      <c r="AH75" s="31" t="n">
        <v>35.26022600874371</v>
      </c>
      <c r="AI75" s="31" t="n">
        <v>81.95192915337603</v>
      </c>
      <c r="AJ75" s="31" t="n">
        <v>36.90822130504782</v>
      </c>
      <c r="AK75" s="31" t="n">
        <v>9.268287511627873</v>
      </c>
      <c r="AL75" s="31" t="n">
        <v>6.974604969646268</v>
      </c>
      <c r="AM75" s="31" t="n">
        <v>1.234647486655858</v>
      </c>
      <c r="AN75" s="31" t="n">
        <v>25.67167742053984</v>
      </c>
      <c r="AO75" s="31" t="n">
        <v>4.089593410090517</v>
      </c>
      <c r="AP75" s="31" t="n">
        <v>21.08061067382503</v>
      </c>
      <c r="AQ75" s="31" t="n">
        <v>12.11766620811644</v>
      </c>
      <c r="AR75" s="31" t="n">
        <v>98.28258724823526</v>
      </c>
      <c r="AS75" s="31" t="n">
        <v>11.47245797161635</v>
      </c>
      <c r="AT75" s="31" t="n">
        <v>0.893089581450651</v>
      </c>
      <c r="AU75" s="31" t="n">
        <v>1.7570251859856</v>
      </c>
      <c r="AV75" s="31" t="n">
        <v>11.24743265060769</v>
      </c>
      <c r="AW75" s="31" t="n">
        <v>2.001813686294092</v>
      </c>
      <c r="AX75" s="31" t="n">
        <v>4.689348894553616</v>
      </c>
      <c r="AY75" s="31" t="n">
        <v>2.365527110808509</v>
      </c>
      <c r="AZ75" s="31" t="n">
        <v>3.535569504660004</v>
      </c>
      <c r="BA75" s="31" t="n">
        <v>53.94935114295661</v>
      </c>
      <c r="BB75" s="31" t="n">
        <v>21.51328343170949</v>
      </c>
      <c r="BC75" s="31" t="n">
        <v>75.8842284050456</v>
      </c>
      <c r="BD75" s="31" t="n">
        <v>3.548225101913039</v>
      </c>
      <c r="BE75" s="31" t="n">
        <v>33.03428091584569</v>
      </c>
      <c r="BF75" s="31" t="n">
        <v>277.2650720456173</v>
      </c>
      <c r="BG75" s="31" t="n">
        <v>5.232206682785423</v>
      </c>
      <c r="BH75" s="31" t="n">
        <v>9.082415751388401</v>
      </c>
      <c r="BI75" s="31" t="n">
        <v>21.56039159238182</v>
      </c>
      <c r="BJ75" s="31" t="n">
        <v>2.800195238623985</v>
      </c>
      <c r="BK75" s="31" t="n">
        <v>43.82954227187023</v>
      </c>
      <c r="BL75" s="31" t="n">
        <v>19.6668598991592</v>
      </c>
      <c r="BM75" s="31" t="n">
        <v>7.071613796358897</v>
      </c>
      <c r="BN75" s="31" t="n">
        <v>17.91507312871969</v>
      </c>
      <c r="BO75" s="31" t="n">
        <v>11.1508605697178</v>
      </c>
      <c r="BP75" s="31" t="n">
        <v>3.770277681948514</v>
      </c>
      <c r="BQ75" s="31" t="n">
        <v>19.60699118661988</v>
      </c>
      <c r="BR75" s="31" t="n">
        <v>0</v>
      </c>
      <c r="BS75" s="31">
        <f>SUM(C75:BR75)</f>
        <v/>
      </c>
      <c r="BT75" s="31" t="n">
        <v>0</v>
      </c>
      <c r="BU75" s="31" t="n">
        <v>0</v>
      </c>
      <c r="BV75" s="31" t="n">
        <v>191723.0108806647</v>
      </c>
      <c r="BW75" s="31" t="n">
        <v>0</v>
      </c>
      <c r="BX75" s="31">
        <f>SUM(BT75:BW75)</f>
        <v/>
      </c>
      <c r="BY75" s="31">
        <f>BS75+BX75</f>
        <v/>
      </c>
    </row>
    <row r="76">
      <c r="A76" s="28" t="inlineStr">
        <is>
          <t>8592</t>
        </is>
      </c>
      <c r="B76" s="28" t="inlineStr">
        <is>
          <t>Educação privada</t>
        </is>
      </c>
      <c r="C76" s="29" t="n">
        <v>1.902519361452421</v>
      </c>
      <c r="D76" s="29" t="n">
        <v>0.9517290745736954</v>
      </c>
      <c r="E76" s="29" t="n">
        <v>0.007322351347993377</v>
      </c>
      <c r="F76" s="29" t="n">
        <v>1.042085913610612</v>
      </c>
      <c r="G76" s="29" t="n">
        <v>20.09852961376903</v>
      </c>
      <c r="H76" s="29" t="n">
        <v>84.79376450454778</v>
      </c>
      <c r="I76" s="29" t="n">
        <v>11.39743037129686</v>
      </c>
      <c r="J76" s="29" t="n">
        <v>11.31272005099838</v>
      </c>
      <c r="K76" s="29" t="n">
        <v>0.8963051417340007</v>
      </c>
      <c r="L76" s="29" t="n">
        <v>16.04783254632001</v>
      </c>
      <c r="M76" s="29" t="n">
        <v>1.544195634319628</v>
      </c>
      <c r="N76" s="29" t="n">
        <v>0.7003726446115749</v>
      </c>
      <c r="O76" s="29" t="n">
        <v>2.121079784865358</v>
      </c>
      <c r="P76" s="29" t="n">
        <v>1.394807783879253</v>
      </c>
      <c r="Q76" s="29" t="n">
        <v>1.74952730367142</v>
      </c>
      <c r="R76" s="29" t="n">
        <v>0.4672564584374862</v>
      </c>
      <c r="S76" s="29" t="n">
        <v>25.38089653935144</v>
      </c>
      <c r="T76" s="29" t="n">
        <v>0.1851412718880366</v>
      </c>
      <c r="U76" s="29" t="n">
        <v>5.403632493471096</v>
      </c>
      <c r="V76" s="29" t="n">
        <v>0.4911382277085706</v>
      </c>
      <c r="W76" s="29" t="n">
        <v>9.432906921019438</v>
      </c>
      <c r="X76" s="29" t="n">
        <v>17.13349945202608</v>
      </c>
      <c r="Y76" s="29" t="n">
        <v>1.293091704325622</v>
      </c>
      <c r="Z76" s="29" t="n">
        <v>5.118279474755816</v>
      </c>
      <c r="AA76" s="29" t="n">
        <v>4.720671678683423</v>
      </c>
      <c r="AB76" s="29" t="n">
        <v>2.067505999260917</v>
      </c>
      <c r="AC76" s="29" t="n">
        <v>121.615430280648</v>
      </c>
      <c r="AD76" s="29" t="n">
        <v>37.94694171699956</v>
      </c>
      <c r="AE76" s="29" t="n">
        <v>43.74019593613637</v>
      </c>
      <c r="AF76" s="29" t="n">
        <v>3.113599383278997</v>
      </c>
      <c r="AG76" s="29" t="n">
        <v>3.667571805331857</v>
      </c>
      <c r="AH76" s="29" t="n">
        <v>24.67322742880389</v>
      </c>
      <c r="AI76" s="29" t="n">
        <v>102.2689716608969</v>
      </c>
      <c r="AJ76" s="29" t="n">
        <v>5.663011369001698</v>
      </c>
      <c r="AK76" s="29" t="n">
        <v>0.926835653139742</v>
      </c>
      <c r="AL76" s="29" t="n">
        <v>1.41337382455576</v>
      </c>
      <c r="AM76" s="29" t="n">
        <v>3.854031772399534</v>
      </c>
      <c r="AN76" s="29" t="n">
        <v>57.81172370577692</v>
      </c>
      <c r="AO76" s="29" t="n">
        <v>1.358285435741704</v>
      </c>
      <c r="AP76" s="29" t="n">
        <v>3.754540016533555</v>
      </c>
      <c r="AQ76" s="29" t="n">
        <v>23.43511119757341</v>
      </c>
      <c r="AR76" s="29" t="n">
        <v>404.8889364529253</v>
      </c>
      <c r="AS76" s="29" t="n">
        <v>614.2019726101307</v>
      </c>
      <c r="AT76" s="29" t="n">
        <v>47.30211518290741</v>
      </c>
      <c r="AU76" s="29" t="n">
        <v>9.561170721216909</v>
      </c>
      <c r="AV76" s="29" t="n">
        <v>144.5961401312792</v>
      </c>
      <c r="AW76" s="29" t="n">
        <v>1.867276938489325</v>
      </c>
      <c r="AX76" s="29" t="n">
        <v>3.955569821517882</v>
      </c>
      <c r="AY76" s="29" t="n">
        <v>1.274990292167595</v>
      </c>
      <c r="AZ76" s="29" t="n">
        <v>1.226673604911268</v>
      </c>
      <c r="BA76" s="29" t="n">
        <v>53.54440169107552</v>
      </c>
      <c r="BB76" s="29" t="n">
        <v>2.334439241939735</v>
      </c>
      <c r="BC76" s="29" t="n">
        <v>1268.739891873011</v>
      </c>
      <c r="BD76" s="29" t="n">
        <v>1.655334235570372</v>
      </c>
      <c r="BE76" s="29" t="n">
        <v>1328.48668318487</v>
      </c>
      <c r="BF76" s="29" t="n">
        <v>134.3372210107941</v>
      </c>
      <c r="BG76" s="29" t="n">
        <v>326.0015264756485</v>
      </c>
      <c r="BH76" s="29" t="n">
        <v>38.23936614685476</v>
      </c>
      <c r="BI76" s="29" t="n">
        <v>1007.48258686107</v>
      </c>
      <c r="BJ76" s="29" t="n">
        <v>90.97781768531094</v>
      </c>
      <c r="BK76" s="29" t="n">
        <v>356.3824916012338</v>
      </c>
      <c r="BL76" s="29" t="n">
        <v>538.1351304448034</v>
      </c>
      <c r="BM76" s="29" t="n">
        <v>3.116349261459051</v>
      </c>
      <c r="BN76" s="29" t="n">
        <v>367.8812938997859</v>
      </c>
      <c r="BO76" s="29" t="n">
        <v>1.496904017216192</v>
      </c>
      <c r="BP76" s="29" t="n">
        <v>2.953141206047491</v>
      </c>
      <c r="BQ76" s="29" t="n">
        <v>237.6220736895983</v>
      </c>
      <c r="BR76" s="29" t="n">
        <v>0</v>
      </c>
      <c r="BS76" s="29">
        <f>SUM(C76:BR76)</f>
        <v/>
      </c>
      <c r="BT76" s="29" t="n">
        <v>0</v>
      </c>
      <c r="BU76" s="29" t="n">
        <v>0</v>
      </c>
      <c r="BV76" s="29" t="n">
        <v>55620.76090406541</v>
      </c>
      <c r="BW76" s="29" t="n">
        <v>0</v>
      </c>
      <c r="BX76" s="29">
        <f>SUM(BT76:BW76)</f>
        <v/>
      </c>
      <c r="BY76" s="29">
        <f>BS76+BX76</f>
        <v/>
      </c>
    </row>
    <row r="77">
      <c r="A77" s="30" t="inlineStr">
        <is>
          <t>8691</t>
        </is>
      </c>
      <c r="B77" s="30" t="inlineStr">
        <is>
          <t>Saúde pública</t>
        </is>
      </c>
      <c r="C77" s="31" t="n">
        <v>0.03083016071020653</v>
      </c>
      <c r="D77" s="31" t="n">
        <v>0.04478677336479462</v>
      </c>
      <c r="E77" s="31" t="n">
        <v>0.001264572333229954</v>
      </c>
      <c r="F77" s="31" t="n">
        <v>0.03660644065462047</v>
      </c>
      <c r="G77" s="31" t="n">
        <v>0.1519361792885848</v>
      </c>
      <c r="H77" s="31" t="n">
        <v>1.900403948892754</v>
      </c>
      <c r="I77" s="31" t="n">
        <v>0.006351398228271479</v>
      </c>
      <c r="J77" s="31" t="n">
        <v>1.528026059328711</v>
      </c>
      <c r="K77" s="31" t="n">
        <v>0.290769482580833</v>
      </c>
      <c r="L77" s="31" t="n">
        <v>0.9593733562572411</v>
      </c>
      <c r="M77" s="31" t="n">
        <v>1.622404192448266</v>
      </c>
      <c r="N77" s="31" t="n">
        <v>0.4558639302274254</v>
      </c>
      <c r="O77" s="31" t="n">
        <v>0.01225293046709735</v>
      </c>
      <c r="P77" s="31" t="n">
        <v>0.3350592049145747</v>
      </c>
      <c r="Q77" s="31" t="n">
        <v>0.5723868397500791</v>
      </c>
      <c r="R77" s="31" t="n">
        <v>0.179089373267236</v>
      </c>
      <c r="S77" s="31" t="n">
        <v>0.6231273089987289</v>
      </c>
      <c r="T77" s="31" t="n">
        <v>0.03331546513808776</v>
      </c>
      <c r="U77" s="31" t="n">
        <v>0.04087918415605067</v>
      </c>
      <c r="V77" s="31" t="n">
        <v>0.01180565713137436</v>
      </c>
      <c r="W77" s="31" t="n">
        <v>1.961876321210681</v>
      </c>
      <c r="X77" s="31" t="n">
        <v>0.6134743858544054</v>
      </c>
      <c r="Y77" s="31" t="n">
        <v>1.354887914261503</v>
      </c>
      <c r="Z77" s="31" t="n">
        <v>4.233298778418876</v>
      </c>
      <c r="AA77" s="31" t="n">
        <v>0.7614194725213477</v>
      </c>
      <c r="AB77" s="31" t="n">
        <v>0.6605270359106548</v>
      </c>
      <c r="AC77" s="31" t="n">
        <v>0.6179207246962237</v>
      </c>
      <c r="AD77" s="31" t="n">
        <v>1.801636458934934</v>
      </c>
      <c r="AE77" s="31" t="n">
        <v>0.2391353711125502</v>
      </c>
      <c r="AF77" s="31" t="n">
        <v>1.236210721469076</v>
      </c>
      <c r="AG77" s="31" t="n">
        <v>2.709186482320914</v>
      </c>
      <c r="AH77" s="31" t="n">
        <v>2.737265012616714</v>
      </c>
      <c r="AI77" s="31" t="n">
        <v>7.015004420096139</v>
      </c>
      <c r="AJ77" s="31" t="n">
        <v>3.215377052388539</v>
      </c>
      <c r="AK77" s="31" t="n">
        <v>0.8047787091533982</v>
      </c>
      <c r="AL77" s="31" t="n">
        <v>0.5469324342786744</v>
      </c>
      <c r="AM77" s="31" t="n">
        <v>0.03839490633463122</v>
      </c>
      <c r="AN77" s="31" t="n">
        <v>1.809626713544947</v>
      </c>
      <c r="AO77" s="31" t="n">
        <v>0.2103723625877778</v>
      </c>
      <c r="AP77" s="31" t="n">
        <v>0.8755793631468131</v>
      </c>
      <c r="AQ77" s="31" t="n">
        <v>0.07347741037130817</v>
      </c>
      <c r="AR77" s="31" t="n">
        <v>2.632576499075727</v>
      </c>
      <c r="AS77" s="31" t="n">
        <v>0.04348328151889822</v>
      </c>
      <c r="AT77" s="31" t="n">
        <v>0.001951882030354684</v>
      </c>
      <c r="AU77" s="31" t="n">
        <v>0.005216687409915133</v>
      </c>
      <c r="AV77" s="31" t="n">
        <v>0.2359305287355841</v>
      </c>
      <c r="AW77" s="31" t="n">
        <v>0.004372439914238777</v>
      </c>
      <c r="AX77" s="31" t="n">
        <v>0.01123107856187692</v>
      </c>
      <c r="AY77" s="31" t="n">
        <v>0.07605325158984622</v>
      </c>
      <c r="AZ77" s="31" t="n">
        <v>0.03295219040021172</v>
      </c>
      <c r="BA77" s="31" t="n">
        <v>1.910711077868531</v>
      </c>
      <c r="BB77" s="31" t="n">
        <v>1.098727730382823</v>
      </c>
      <c r="BC77" s="31" t="n">
        <v>0.4773081804610976</v>
      </c>
      <c r="BD77" s="31" t="n">
        <v>0.01813165742719615</v>
      </c>
      <c r="BE77" s="31" t="n">
        <v>0.1098448322229965</v>
      </c>
      <c r="BF77" s="31" t="n">
        <v>24.9572081244986</v>
      </c>
      <c r="BG77" s="31" t="n">
        <v>0.01761699314290807</v>
      </c>
      <c r="BH77" s="31" t="n">
        <v>0.6031103336086081</v>
      </c>
      <c r="BI77" s="31" t="n">
        <v>0.1528347124128193</v>
      </c>
      <c r="BJ77" s="31" t="n">
        <v>0.007655411350509937</v>
      </c>
      <c r="BK77" s="31" t="n">
        <v>1.338994293247699</v>
      </c>
      <c r="BL77" s="31" t="n">
        <v>0.1127254666129278</v>
      </c>
      <c r="BM77" s="31" t="n">
        <v>0.0675532178008575</v>
      </c>
      <c r="BN77" s="31" t="n">
        <v>0.3318037075699147</v>
      </c>
      <c r="BO77" s="31" t="n">
        <v>225.3599687943112</v>
      </c>
      <c r="BP77" s="31" t="n">
        <v>0.01879919446947861</v>
      </c>
      <c r="BQ77" s="31" t="n">
        <v>0.04379466487402955</v>
      </c>
      <c r="BR77" s="31" t="n">
        <v>0</v>
      </c>
      <c r="BS77" s="31">
        <f>SUM(C77:BR77)</f>
        <v/>
      </c>
      <c r="BT77" s="31" t="n">
        <v>0</v>
      </c>
      <c r="BU77" s="31" t="n">
        <v>0</v>
      </c>
      <c r="BV77" s="31" t="n">
        <v>114491.9765292591</v>
      </c>
      <c r="BW77" s="31" t="n">
        <v>0</v>
      </c>
      <c r="BX77" s="31">
        <f>SUM(BT77:BW77)</f>
        <v/>
      </c>
      <c r="BY77" s="31">
        <f>BS77+BX77</f>
        <v/>
      </c>
    </row>
    <row r="78">
      <c r="A78" s="28" t="inlineStr">
        <is>
          <t>8692</t>
        </is>
      </c>
      <c r="B78" s="28" t="inlineStr">
        <is>
          <t>Saúde privada</t>
        </is>
      </c>
      <c r="C78" s="29" t="n">
        <v>0.02539507177354941</v>
      </c>
      <c r="D78" s="29" t="n">
        <v>0.01088360218866403</v>
      </c>
      <c r="E78" s="29" t="n">
        <v>0.02539507177354941</v>
      </c>
      <c r="F78" s="29" t="n">
        <v>0.0840971677754417</v>
      </c>
      <c r="G78" s="29" t="n">
        <v>0.6856669378858342</v>
      </c>
      <c r="H78" s="29" t="n">
        <v>0.1363224826922045</v>
      </c>
      <c r="I78" s="29" t="n">
        <v>0.04716227615087748</v>
      </c>
      <c r="J78" s="29" t="n">
        <v>1.54860323707571</v>
      </c>
      <c r="K78" s="29" t="n">
        <v>0.5754811401679081</v>
      </c>
      <c r="L78" s="29" t="n">
        <v>1.154552807225453</v>
      </c>
      <c r="M78" s="29" t="n">
        <v>0.2306843755005436</v>
      </c>
      <c r="N78" s="29" t="n">
        <v>0.1041678172370166</v>
      </c>
      <c r="O78" s="29" t="n">
        <v>0.9287340534326642</v>
      </c>
      <c r="P78" s="29" t="n">
        <v>0.9976261934542856</v>
      </c>
      <c r="Q78" s="29" t="n">
        <v>0.3026975272823723</v>
      </c>
      <c r="R78" s="29" t="n">
        <v>0.09463399087963827</v>
      </c>
      <c r="S78" s="29" t="n">
        <v>0.4339569712086915</v>
      </c>
      <c r="T78" s="29" t="n">
        <v>0.1856774548696394</v>
      </c>
      <c r="U78" s="29" t="n">
        <v>0.4317162201503401</v>
      </c>
      <c r="V78" s="29" t="n">
        <v>0.3627867396221345</v>
      </c>
      <c r="W78" s="29" t="n">
        <v>0.5324162465426818</v>
      </c>
      <c r="X78" s="29" t="n">
        <v>0.3063253946785936</v>
      </c>
      <c r="Y78" s="29" t="n">
        <v>0.4648738823523462</v>
      </c>
      <c r="Z78" s="29" t="n">
        <v>0.7521423388413931</v>
      </c>
      <c r="AA78" s="29" t="n">
        <v>1.129504514536371</v>
      </c>
      <c r="AB78" s="29" t="n">
        <v>0.6196344260783309</v>
      </c>
      <c r="AC78" s="29" t="n">
        <v>0.8257666500005967</v>
      </c>
      <c r="AD78" s="29" t="n">
        <v>0.06905221657316794</v>
      </c>
      <c r="AE78" s="29" t="n">
        <v>0.6938883289185109</v>
      </c>
      <c r="AF78" s="29" t="n">
        <v>0.5994517550970035</v>
      </c>
      <c r="AG78" s="29" t="n">
        <v>0.4297582816884976</v>
      </c>
      <c r="AH78" s="29" t="n">
        <v>0.7664937318747319</v>
      </c>
      <c r="AI78" s="29" t="n">
        <v>0.6390329464213905</v>
      </c>
      <c r="AJ78" s="29" t="n">
        <v>0.8073285889668166</v>
      </c>
      <c r="AK78" s="29" t="n">
        <v>0.2172505836756449</v>
      </c>
      <c r="AL78" s="29" t="n">
        <v>0.686595253619484</v>
      </c>
      <c r="AM78" s="29" t="n">
        <v>0.1457709135112046</v>
      </c>
      <c r="AN78" s="29" t="n">
        <v>2.594394703427692</v>
      </c>
      <c r="AO78" s="29" t="n">
        <v>0.9000205528407768</v>
      </c>
      <c r="AP78" s="29" t="n">
        <v>4.63799906576688</v>
      </c>
      <c r="AQ78" s="29" t="n">
        <v>12.46898024081276</v>
      </c>
      <c r="AR78" s="29" t="n">
        <v>91.2890783428963</v>
      </c>
      <c r="AS78" s="29" t="n">
        <v>3.497264169957376</v>
      </c>
      <c r="AT78" s="29" t="n">
        <v>0.210416308980838</v>
      </c>
      <c r="AU78" s="29" t="n">
        <v>0.3918096787919052</v>
      </c>
      <c r="AV78" s="29" t="n">
        <v>6.686159611235938</v>
      </c>
      <c r="AW78" s="29" t="n">
        <v>3.199779043467226</v>
      </c>
      <c r="AX78" s="29" t="n">
        <v>13.73147809469779</v>
      </c>
      <c r="AY78" s="29" t="n">
        <v>1.133207062945761</v>
      </c>
      <c r="AZ78" s="29" t="n">
        <v>1.603517389129834</v>
      </c>
      <c r="BA78" s="29" t="n">
        <v>9.234357694752987</v>
      </c>
      <c r="BB78" s="29" t="n">
        <v>3.847396071461925</v>
      </c>
      <c r="BC78" s="29" t="n">
        <v>21.62668320511567</v>
      </c>
      <c r="BD78" s="29" t="n">
        <v>5.742914088218389</v>
      </c>
      <c r="BE78" s="29" t="n">
        <v>11.89577719220979</v>
      </c>
      <c r="BF78" s="29" t="n">
        <v>3.334106567854304</v>
      </c>
      <c r="BG78" s="29" t="n">
        <v>2.677366138411352</v>
      </c>
      <c r="BH78" s="29" t="n">
        <v>3.191136192336914</v>
      </c>
      <c r="BI78" s="29" t="n">
        <v>8.825598378259714</v>
      </c>
      <c r="BJ78" s="29" t="n">
        <v>0.7545964184140397</v>
      </c>
      <c r="BK78" s="29" t="n">
        <v>59.36128559619686</v>
      </c>
      <c r="BL78" s="29" t="n">
        <v>3.719498641028647</v>
      </c>
      <c r="BM78" s="29" t="n">
        <v>10.68835356693043</v>
      </c>
      <c r="BN78" s="29" t="n">
        <v>11.61612968106614</v>
      </c>
      <c r="BO78" s="29" t="n">
        <v>11294.89966877808</v>
      </c>
      <c r="BP78" s="29" t="n">
        <v>10.19430738338198</v>
      </c>
      <c r="BQ78" s="29" t="n">
        <v>8.130050834932034</v>
      </c>
      <c r="BR78" s="29" t="n">
        <v>0</v>
      </c>
      <c r="BS78" s="29">
        <f>SUM(C78:BR78)</f>
        <v/>
      </c>
      <c r="BT78" s="29" t="n">
        <v>0</v>
      </c>
      <c r="BU78" s="29" t="n">
        <v>0</v>
      </c>
      <c r="BV78" s="29" t="n">
        <v>113729.8651421147</v>
      </c>
      <c r="BW78" s="29" t="n">
        <v>0</v>
      </c>
      <c r="BX78" s="29">
        <f>SUM(BT78:BW78)</f>
        <v/>
      </c>
      <c r="BY78" s="29">
        <f>BS78+BX78</f>
        <v/>
      </c>
    </row>
    <row r="79">
      <c r="A79" s="30" t="inlineStr">
        <is>
          <t>9080</t>
        </is>
      </c>
      <c r="B79" s="30" t="inlineStr">
        <is>
          <t>Atividades artísticas, criativas e de espetáculos</t>
        </is>
      </c>
      <c r="C79" s="31" t="n">
        <v>0.2459608487937863</v>
      </c>
      <c r="D79" s="31" t="n">
        <v>5.905939150639197</v>
      </c>
      <c r="E79" s="31" t="n">
        <v>1.140607600883439</v>
      </c>
      <c r="F79" s="31" t="n">
        <v>0.8358428373835314</v>
      </c>
      <c r="G79" s="31" t="n">
        <v>6.751820897733268</v>
      </c>
      <c r="H79" s="31" t="n">
        <v>0.3002065520046304</v>
      </c>
      <c r="I79" s="31" t="n">
        <v>0.100910560066682</v>
      </c>
      <c r="J79" s="31" t="n">
        <v>39.54590075454306</v>
      </c>
      <c r="K79" s="31" t="n">
        <v>3.739383655736889</v>
      </c>
      <c r="L79" s="31" t="n">
        <v>51.27716781373323</v>
      </c>
      <c r="M79" s="31" t="n">
        <v>77.69652544185163</v>
      </c>
      <c r="N79" s="31" t="n">
        <v>7.251775998597684</v>
      </c>
      <c r="O79" s="31" t="n">
        <v>3.422974994721675</v>
      </c>
      <c r="P79" s="31" t="n">
        <v>7.453511283256476</v>
      </c>
      <c r="Q79" s="31" t="n">
        <v>14.88251905884631</v>
      </c>
      <c r="R79" s="31" t="n">
        <v>0.880174092618488</v>
      </c>
      <c r="S79" s="31" t="n">
        <v>11.15102755972035</v>
      </c>
      <c r="T79" s="31" t="n">
        <v>1.536983552093122</v>
      </c>
      <c r="U79" s="31" t="n">
        <v>3.244496126493092</v>
      </c>
      <c r="V79" s="31" t="n">
        <v>1.622884959138325</v>
      </c>
      <c r="W79" s="31" t="n">
        <v>3.424529263993762</v>
      </c>
      <c r="X79" s="31" t="n">
        <v>9.709395058386683</v>
      </c>
      <c r="Y79" s="31" t="n">
        <v>18.49545042585351</v>
      </c>
      <c r="Z79" s="31" t="n">
        <v>30.90347641268408</v>
      </c>
      <c r="AA79" s="31" t="n">
        <v>11.25323363683127</v>
      </c>
      <c r="AB79" s="31" t="n">
        <v>6.523297761168507</v>
      </c>
      <c r="AC79" s="31" t="n">
        <v>6.063130619339746</v>
      </c>
      <c r="AD79" s="31" t="n">
        <v>1.040896135081159</v>
      </c>
      <c r="AE79" s="31" t="n">
        <v>10.57428432036278</v>
      </c>
      <c r="AF79" s="31" t="n">
        <v>24.03495081772088</v>
      </c>
      <c r="AG79" s="31" t="n">
        <v>13.60057527626723</v>
      </c>
      <c r="AH79" s="31" t="n">
        <v>12.94408494975201</v>
      </c>
      <c r="AI79" s="31" t="n">
        <v>82.40215992372758</v>
      </c>
      <c r="AJ79" s="31" t="n">
        <v>3.509693289990448</v>
      </c>
      <c r="AK79" s="31" t="n">
        <v>5.684761678703912</v>
      </c>
      <c r="AL79" s="31" t="n">
        <v>7.663675656700573</v>
      </c>
      <c r="AM79" s="31" t="n">
        <v>1.216096230573881</v>
      </c>
      <c r="AN79" s="31" t="n">
        <v>36.8051684282435</v>
      </c>
      <c r="AO79" s="31" t="n">
        <v>3.719070347568834</v>
      </c>
      <c r="AP79" s="31" t="n">
        <v>36.41832100409195</v>
      </c>
      <c r="AQ79" s="31" t="n">
        <v>56.42698371279928</v>
      </c>
      <c r="AR79" s="31" t="n">
        <v>284.3848897579849</v>
      </c>
      <c r="AS79" s="31" t="n">
        <v>11.62596326872281</v>
      </c>
      <c r="AT79" s="31" t="n">
        <v>0.7363610477218262</v>
      </c>
      <c r="AU79" s="31" t="n">
        <v>3.971497167709471</v>
      </c>
      <c r="AV79" s="31" t="n">
        <v>18.44057726155996</v>
      </c>
      <c r="AW79" s="31" t="n">
        <v>14.31826264698687</v>
      </c>
      <c r="AX79" s="31" t="n">
        <v>18.48450670109524</v>
      </c>
      <c r="AY79" s="31" t="n">
        <v>23.09830238125961</v>
      </c>
      <c r="AZ79" s="31" t="n">
        <v>1323.863960183407</v>
      </c>
      <c r="BA79" s="31" t="n">
        <v>351.0582316632972</v>
      </c>
      <c r="BB79" s="31" t="n">
        <v>27.41662218118409</v>
      </c>
      <c r="BC79" s="31" t="n">
        <v>209.7973027272809</v>
      </c>
      <c r="BD79" s="31" t="n">
        <v>15.35430071912372</v>
      </c>
      <c r="BE79" s="31" t="n">
        <v>64.96577882009028</v>
      </c>
      <c r="BF79" s="31" t="n">
        <v>7.527595647009806</v>
      </c>
      <c r="BG79" s="31" t="n">
        <v>57.52069871822464</v>
      </c>
      <c r="BH79" s="31" t="n">
        <v>15.87742479047168</v>
      </c>
      <c r="BI79" s="31" t="n">
        <v>42.29713435765294</v>
      </c>
      <c r="BJ79" s="31" t="n">
        <v>3.196920192937104</v>
      </c>
      <c r="BK79" s="31" t="n">
        <v>482.5810022712593</v>
      </c>
      <c r="BL79" s="31" t="n">
        <v>59.94624914074922</v>
      </c>
      <c r="BM79" s="31" t="n">
        <v>40.7033826381675</v>
      </c>
      <c r="BN79" s="31" t="n">
        <v>47.97252022265597</v>
      </c>
      <c r="BO79" s="31" t="n">
        <v>3.008495487568875</v>
      </c>
      <c r="BP79" s="31" t="n">
        <v>492.6079163592936</v>
      </c>
      <c r="BQ79" s="31" t="n">
        <v>712.1692084904796</v>
      </c>
      <c r="BR79" s="31" t="n">
        <v>0</v>
      </c>
      <c r="BS79" s="31">
        <f>SUM(C79:BR79)</f>
        <v/>
      </c>
      <c r="BT79" s="31" t="n">
        <v>0</v>
      </c>
      <c r="BU79" s="31" t="n">
        <v>0</v>
      </c>
      <c r="BV79" s="31" t="n">
        <v>19747.57233425816</v>
      </c>
      <c r="BW79" s="31" t="n">
        <v>0</v>
      </c>
      <c r="BX79" s="31">
        <f>SUM(BT79:BW79)</f>
        <v/>
      </c>
      <c r="BY79" s="31">
        <f>BS79+BX79</f>
        <v/>
      </c>
    </row>
    <row r="80">
      <c r="A80" s="28" t="inlineStr">
        <is>
          <t>9480</t>
        </is>
      </c>
      <c r="B80" s="28" t="inlineStr">
        <is>
          <t>Organizações associativas e outros serviços pessoais</t>
        </is>
      </c>
      <c r="C80" s="29" t="n">
        <v>83.07749315662589</v>
      </c>
      <c r="D80" s="29" t="n">
        <v>24.04858297586502</v>
      </c>
      <c r="E80" s="29" t="n">
        <v>15.72523664446302</v>
      </c>
      <c r="F80" s="29" t="n">
        <v>34.55916785810455</v>
      </c>
      <c r="G80" s="29" t="n">
        <v>255.3182687861374</v>
      </c>
      <c r="H80" s="29" t="n">
        <v>156.2152990259334</v>
      </c>
      <c r="I80" s="29" t="n">
        <v>28.75401252158609</v>
      </c>
      <c r="J80" s="29" t="n">
        <v>184.4351533973496</v>
      </c>
      <c r="K80" s="29" t="n">
        <v>66.72756428424039</v>
      </c>
      <c r="L80" s="29" t="n">
        <v>170.002489247651</v>
      </c>
      <c r="M80" s="29" t="n">
        <v>83.53578798860939</v>
      </c>
      <c r="N80" s="29" t="n">
        <v>16.40695648890573</v>
      </c>
      <c r="O80" s="29" t="n">
        <v>56.82736531161265</v>
      </c>
      <c r="P80" s="29" t="n">
        <v>74.40843548114404</v>
      </c>
      <c r="Q80" s="29" t="n">
        <v>53.95115906195817</v>
      </c>
      <c r="R80" s="29" t="n">
        <v>37.19595720724926</v>
      </c>
      <c r="S80" s="29" t="n">
        <v>102.5046805523208</v>
      </c>
      <c r="T80" s="29" t="n">
        <v>42.12744300427016</v>
      </c>
      <c r="U80" s="29" t="n">
        <v>87.06665175702111</v>
      </c>
      <c r="V80" s="29" t="n">
        <v>27.23926309858458</v>
      </c>
      <c r="W80" s="29" t="n">
        <v>89.34315155050892</v>
      </c>
      <c r="X80" s="29" t="n">
        <v>57.85046325406063</v>
      </c>
      <c r="Y80" s="29" t="n">
        <v>30.24307593120147</v>
      </c>
      <c r="Z80" s="29" t="n">
        <v>81.37386245114418</v>
      </c>
      <c r="AA80" s="29" t="n">
        <v>136.0259954970389</v>
      </c>
      <c r="AB80" s="29" t="n">
        <v>123.2604331323163</v>
      </c>
      <c r="AC80" s="29" t="n">
        <v>106.1818715834475</v>
      </c>
      <c r="AD80" s="29" t="n">
        <v>40.06587642249158</v>
      </c>
      <c r="AE80" s="29" t="n">
        <v>179.4682482930341</v>
      </c>
      <c r="AF80" s="29" t="n">
        <v>253.6235095523408</v>
      </c>
      <c r="AG80" s="29" t="n">
        <v>119.6620676950724</v>
      </c>
      <c r="AH80" s="29" t="n">
        <v>208.4165967221449</v>
      </c>
      <c r="AI80" s="29" t="n">
        <v>225.3075551437451</v>
      </c>
      <c r="AJ80" s="29" t="n">
        <v>120.9335753973248</v>
      </c>
      <c r="AK80" s="29" t="n">
        <v>40.52255234013271</v>
      </c>
      <c r="AL80" s="29" t="n">
        <v>82.1773656249035</v>
      </c>
      <c r="AM80" s="29" t="n">
        <v>1.426402304700305</v>
      </c>
      <c r="AN80" s="29" t="n">
        <v>257.1468193909704</v>
      </c>
      <c r="AO80" s="29" t="n">
        <v>0.6490676960341003</v>
      </c>
      <c r="AP80" s="29" t="n">
        <v>86.48489617178397</v>
      </c>
      <c r="AQ80" s="29" t="n">
        <v>54.73983325090575</v>
      </c>
      <c r="AR80" s="29" t="n">
        <v>1411.902205508902</v>
      </c>
      <c r="AS80" s="29" t="n">
        <v>253.3794481685253</v>
      </c>
      <c r="AT80" s="29" t="n">
        <v>3.949594703573244</v>
      </c>
      <c r="AU80" s="29" t="n">
        <v>6.185870358170659</v>
      </c>
      <c r="AV80" s="29" t="n">
        <v>727.2671933408451</v>
      </c>
      <c r="AW80" s="29" t="n">
        <v>81.07381516673561</v>
      </c>
      <c r="AX80" s="29" t="n">
        <v>101.9003359819422</v>
      </c>
      <c r="AY80" s="29" t="n">
        <v>49.80176674991078</v>
      </c>
      <c r="AZ80" s="29" t="n">
        <v>113.542980910902</v>
      </c>
      <c r="BA80" s="29" t="n">
        <v>2859.165898979356</v>
      </c>
      <c r="BB80" s="29" t="n">
        <v>577.0378968948211</v>
      </c>
      <c r="BC80" s="29" t="n">
        <v>1490.153937157863</v>
      </c>
      <c r="BD80" s="29" t="n">
        <v>64.74556505392086</v>
      </c>
      <c r="BE80" s="29" t="n">
        <v>228.7189528764195</v>
      </c>
      <c r="BF80" s="29" t="n">
        <v>49.38695373702894</v>
      </c>
      <c r="BG80" s="29" t="n">
        <v>234.5022441017108</v>
      </c>
      <c r="BH80" s="29" t="n">
        <v>53.55349071036709</v>
      </c>
      <c r="BI80" s="29" t="n">
        <v>708.226814709622</v>
      </c>
      <c r="BJ80" s="29" t="n">
        <v>23.04728790515325</v>
      </c>
      <c r="BK80" s="29" t="n">
        <v>366.5650610857597</v>
      </c>
      <c r="BL80" s="29" t="n">
        <v>69.69936941237211</v>
      </c>
      <c r="BM80" s="29" t="n">
        <v>236.4567531557419</v>
      </c>
      <c r="BN80" s="29" t="n">
        <v>926.9041083145626</v>
      </c>
      <c r="BO80" s="29" t="n">
        <v>1171.395998884799</v>
      </c>
      <c r="BP80" s="29" t="n">
        <v>14.60622482304282</v>
      </c>
      <c r="BQ80" s="29" t="n">
        <v>209.7057338225987</v>
      </c>
      <c r="BR80" s="29" t="n">
        <v>0</v>
      </c>
      <c r="BS80" s="29">
        <f>SUM(C80:BR80)</f>
        <v/>
      </c>
      <c r="BT80" s="29" t="n">
        <v>0</v>
      </c>
      <c r="BU80" s="29" t="n">
        <v>0</v>
      </c>
      <c r="BV80" s="29" t="n">
        <v>94614.24485249985</v>
      </c>
      <c r="BW80" s="29" t="n">
        <v>0</v>
      </c>
      <c r="BX80" s="29">
        <f>SUM(BT80:BW80)</f>
        <v/>
      </c>
      <c r="BY80" s="29">
        <f>BS80+BX80</f>
        <v/>
      </c>
    </row>
    <row r="81">
      <c r="A81" s="30" t="inlineStr">
        <is>
          <t>9700</t>
        </is>
      </c>
      <c r="B81" s="30" t="inlineStr">
        <is>
          <t>Serviços domésticos</t>
        </is>
      </c>
      <c r="C81" s="31" t="n">
        <v>0</v>
      </c>
      <c r="D81" s="31" t="n">
        <v>0</v>
      </c>
      <c r="E81" s="31" t="n">
        <v>0</v>
      </c>
      <c r="F81" s="31" t="n">
        <v>0</v>
      </c>
      <c r="G81" s="31" t="n">
        <v>0</v>
      </c>
      <c r="H81" s="31" t="n">
        <v>0</v>
      </c>
      <c r="I81" s="31" t="n">
        <v>0</v>
      </c>
      <c r="J81" s="31" t="n">
        <v>0</v>
      </c>
      <c r="K81" s="31" t="n">
        <v>0</v>
      </c>
      <c r="L81" s="31" t="n">
        <v>0</v>
      </c>
      <c r="M81" s="31" t="n">
        <v>0</v>
      </c>
      <c r="N81" s="31" t="n">
        <v>0</v>
      </c>
      <c r="O81" s="31" t="n">
        <v>0</v>
      </c>
      <c r="P81" s="31" t="n">
        <v>0</v>
      </c>
      <c r="Q81" s="31" t="n">
        <v>0</v>
      </c>
      <c r="R81" s="31" t="n">
        <v>0</v>
      </c>
      <c r="S81" s="31" t="n">
        <v>0</v>
      </c>
      <c r="T81" s="31" t="n">
        <v>0</v>
      </c>
      <c r="U81" s="31" t="n">
        <v>0</v>
      </c>
      <c r="V81" s="31" t="n">
        <v>0</v>
      </c>
      <c r="W81" s="31" t="n">
        <v>0</v>
      </c>
      <c r="X81" s="31" t="n">
        <v>0</v>
      </c>
      <c r="Y81" s="31" t="n">
        <v>0</v>
      </c>
      <c r="Z81" s="31" t="n">
        <v>0</v>
      </c>
      <c r="AA81" s="31" t="n">
        <v>0</v>
      </c>
      <c r="AB81" s="31" t="n">
        <v>0</v>
      </c>
      <c r="AC81" s="31" t="n">
        <v>0</v>
      </c>
      <c r="AD81" s="31" t="n">
        <v>0</v>
      </c>
      <c r="AE81" s="31" t="n">
        <v>0</v>
      </c>
      <c r="AF81" s="31" t="n">
        <v>0</v>
      </c>
      <c r="AG81" s="31" t="n">
        <v>0</v>
      </c>
      <c r="AH81" s="31" t="n">
        <v>0</v>
      </c>
      <c r="AI81" s="31" t="n">
        <v>0</v>
      </c>
      <c r="AJ81" s="31" t="n">
        <v>0</v>
      </c>
      <c r="AK81" s="31" t="n">
        <v>0</v>
      </c>
      <c r="AL81" s="31" t="n">
        <v>0</v>
      </c>
      <c r="AM81" s="31" t="n">
        <v>0</v>
      </c>
      <c r="AN81" s="31" t="n">
        <v>0</v>
      </c>
      <c r="AO81" s="31" t="n">
        <v>0</v>
      </c>
      <c r="AP81" s="31" t="n">
        <v>0</v>
      </c>
      <c r="AQ81" s="31" t="n">
        <v>0</v>
      </c>
      <c r="AR81" s="31" t="n">
        <v>0</v>
      </c>
      <c r="AS81" s="31" t="n">
        <v>0</v>
      </c>
      <c r="AT81" s="31" t="n">
        <v>0</v>
      </c>
      <c r="AU81" s="31" t="n">
        <v>0</v>
      </c>
      <c r="AV81" s="31" t="n">
        <v>0</v>
      </c>
      <c r="AW81" s="31" t="n">
        <v>0</v>
      </c>
      <c r="AX81" s="31" t="n">
        <v>0</v>
      </c>
      <c r="AY81" s="31" t="n">
        <v>0</v>
      </c>
      <c r="AZ81" s="31" t="n">
        <v>0</v>
      </c>
      <c r="BA81" s="31" t="n">
        <v>0</v>
      </c>
      <c r="BB81" s="31" t="n">
        <v>0</v>
      </c>
      <c r="BC81" s="31" t="n">
        <v>0</v>
      </c>
      <c r="BD81" s="31" t="n">
        <v>0</v>
      </c>
      <c r="BE81" s="31" t="n">
        <v>0</v>
      </c>
      <c r="BF81" s="31" t="n">
        <v>0</v>
      </c>
      <c r="BG81" s="31" t="n">
        <v>0</v>
      </c>
      <c r="BH81" s="31" t="n">
        <v>0</v>
      </c>
      <c r="BI81" s="31" t="n">
        <v>0</v>
      </c>
      <c r="BJ81" s="31" t="n">
        <v>0</v>
      </c>
      <c r="BK81" s="31" t="n">
        <v>0</v>
      </c>
      <c r="BL81" s="31" t="n">
        <v>0</v>
      </c>
      <c r="BM81" s="31" t="n">
        <v>0</v>
      </c>
      <c r="BN81" s="31" t="n">
        <v>0</v>
      </c>
      <c r="BO81" s="31" t="n">
        <v>0</v>
      </c>
      <c r="BP81" s="31" t="n">
        <v>0</v>
      </c>
      <c r="BQ81" s="31" t="n">
        <v>0</v>
      </c>
      <c r="BR81" s="31" t="n">
        <v>0</v>
      </c>
      <c r="BS81" s="31">
        <f>SUM(C81:BR81)</f>
        <v/>
      </c>
      <c r="BT81" s="31" t="n">
        <v>0</v>
      </c>
      <c r="BU81" s="31" t="n">
        <v>0</v>
      </c>
      <c r="BV81" s="31" t="n">
        <v>44434</v>
      </c>
      <c r="BW81" s="31" t="n">
        <v>0</v>
      </c>
      <c r="BX81" s="31">
        <f>SUM(BT81:BW81)</f>
        <v/>
      </c>
      <c r="BY81" s="31">
        <f>BS81+BX81</f>
        <v/>
      </c>
    </row>
    <row r="82">
      <c r="B82" s="32" t="inlineStr">
        <is>
          <t>Total consumo intermedio</t>
        </is>
      </c>
      <c r="C82" s="33">
        <f>SUM(C14:C81)</f>
        <v/>
      </c>
      <c r="D82" s="33">
        <f>SUM(D14:D81)</f>
        <v/>
      </c>
      <c r="E82" s="33">
        <f>SUM(E14:E81)</f>
        <v/>
      </c>
      <c r="F82" s="33">
        <f>SUM(F14:F81)</f>
        <v/>
      </c>
      <c r="G82" s="33">
        <f>SUM(G14:G81)</f>
        <v/>
      </c>
      <c r="H82" s="33">
        <f>SUM(H14:H81)</f>
        <v/>
      </c>
      <c r="I82" s="33">
        <f>SUM(I14:I81)</f>
        <v/>
      </c>
      <c r="J82" s="33">
        <f>SUM(J14:J81)</f>
        <v/>
      </c>
      <c r="K82" s="33">
        <f>SUM(K14:K81)</f>
        <v/>
      </c>
      <c r="L82" s="33">
        <f>SUM(L14:L81)</f>
        <v/>
      </c>
      <c r="M82" s="33">
        <f>SUM(M14:M81)</f>
        <v/>
      </c>
      <c r="N82" s="33">
        <f>SUM(N14:N81)</f>
        <v/>
      </c>
      <c r="O82" s="33">
        <f>SUM(O14:O81)</f>
        <v/>
      </c>
      <c r="P82" s="33">
        <f>SUM(P14:P81)</f>
        <v/>
      </c>
      <c r="Q82" s="33">
        <f>SUM(Q14:Q81)</f>
        <v/>
      </c>
      <c r="R82" s="33">
        <f>SUM(R14:R81)</f>
        <v/>
      </c>
      <c r="S82" s="33">
        <f>SUM(S14:S81)</f>
        <v/>
      </c>
      <c r="T82" s="33">
        <f>SUM(T14:T81)</f>
        <v/>
      </c>
      <c r="U82" s="33">
        <f>SUM(U14:U81)</f>
        <v/>
      </c>
      <c r="V82" s="33">
        <f>SUM(V14:V81)</f>
        <v/>
      </c>
      <c r="W82" s="33">
        <f>SUM(W14:W81)</f>
        <v/>
      </c>
      <c r="X82" s="33">
        <f>SUM(X14:X81)</f>
        <v/>
      </c>
      <c r="Y82" s="33">
        <f>SUM(Y14:Y81)</f>
        <v/>
      </c>
      <c r="Z82" s="33">
        <f>SUM(Z14:Z81)</f>
        <v/>
      </c>
      <c r="AA82" s="33">
        <f>SUM(AA14:AA81)</f>
        <v/>
      </c>
      <c r="AB82" s="33">
        <f>SUM(AB14:AB81)</f>
        <v/>
      </c>
      <c r="AC82" s="33">
        <f>SUM(AC14:AC81)</f>
        <v/>
      </c>
      <c r="AD82" s="33">
        <f>SUM(AD14:AD81)</f>
        <v/>
      </c>
      <c r="AE82" s="33">
        <f>SUM(AE14:AE81)</f>
        <v/>
      </c>
      <c r="AF82" s="33">
        <f>SUM(AF14:AF81)</f>
        <v/>
      </c>
      <c r="AG82" s="33">
        <f>SUM(AG14:AG81)</f>
        <v/>
      </c>
      <c r="AH82" s="33">
        <f>SUM(AH14:AH81)</f>
        <v/>
      </c>
      <c r="AI82" s="33">
        <f>SUM(AI14:AI81)</f>
        <v/>
      </c>
      <c r="AJ82" s="33">
        <f>SUM(AJ14:AJ81)</f>
        <v/>
      </c>
      <c r="AK82" s="33">
        <f>SUM(AK14:AK81)</f>
        <v/>
      </c>
      <c r="AL82" s="33">
        <f>SUM(AL14:AL81)</f>
        <v/>
      </c>
      <c r="AM82" s="33">
        <f>SUM(AM14:AM81)</f>
        <v/>
      </c>
      <c r="AN82" s="33">
        <f>SUM(AN14:AN81)</f>
        <v/>
      </c>
      <c r="AO82" s="33">
        <f>SUM(AO14:AO81)</f>
        <v/>
      </c>
      <c r="AP82" s="33">
        <f>SUM(AP14:AP81)</f>
        <v/>
      </c>
      <c r="AQ82" s="33">
        <f>SUM(AQ14:AQ81)</f>
        <v/>
      </c>
      <c r="AR82" s="33">
        <f>SUM(AR14:AR81)</f>
        <v/>
      </c>
      <c r="AS82" s="33">
        <f>SUM(AS14:AS81)</f>
        <v/>
      </c>
      <c r="AT82" s="33">
        <f>SUM(AT14:AT81)</f>
        <v/>
      </c>
      <c r="AU82" s="33">
        <f>SUM(AU14:AU81)</f>
        <v/>
      </c>
      <c r="AV82" s="33">
        <f>SUM(AV14:AV81)</f>
        <v/>
      </c>
      <c r="AW82" s="33">
        <f>SUM(AW14:AW81)</f>
        <v/>
      </c>
      <c r="AX82" s="33">
        <f>SUM(AX14:AX81)</f>
        <v/>
      </c>
      <c r="AY82" s="33">
        <f>SUM(AY14:AY81)</f>
        <v/>
      </c>
      <c r="AZ82" s="33">
        <f>SUM(AZ14:AZ81)</f>
        <v/>
      </c>
      <c r="BA82" s="33">
        <f>SUM(BA14:BA81)</f>
        <v/>
      </c>
      <c r="BB82" s="33">
        <f>SUM(BB14:BB81)</f>
        <v/>
      </c>
      <c r="BC82" s="33">
        <f>SUM(BC14:BC81)</f>
        <v/>
      </c>
      <c r="BD82" s="33">
        <f>SUM(BD14:BD81)</f>
        <v/>
      </c>
      <c r="BE82" s="33">
        <f>SUM(BE14:BE81)</f>
        <v/>
      </c>
      <c r="BF82" s="33">
        <f>SUM(BF14:BF81)</f>
        <v/>
      </c>
      <c r="BG82" s="33">
        <f>SUM(BG14:BG81)</f>
        <v/>
      </c>
      <c r="BH82" s="33">
        <f>SUM(BH14:BH81)</f>
        <v/>
      </c>
      <c r="BI82" s="33">
        <f>SUM(BI14:BI81)</f>
        <v/>
      </c>
      <c r="BJ82" s="33">
        <f>SUM(BJ14:BJ81)</f>
        <v/>
      </c>
      <c r="BK82" s="33">
        <f>SUM(BK14:BK81)</f>
        <v/>
      </c>
      <c r="BL82" s="33">
        <f>SUM(BL14:BL81)</f>
        <v/>
      </c>
      <c r="BM82" s="33">
        <f>SUM(BM14:BM81)</f>
        <v/>
      </c>
      <c r="BN82" s="33">
        <f>SUM(BN14:BN81)</f>
        <v/>
      </c>
      <c r="BO82" s="33">
        <f>SUM(BO14:BO81)</f>
        <v/>
      </c>
      <c r="BP82" s="33">
        <f>SUM(BP14:BP81)</f>
        <v/>
      </c>
      <c r="BQ82" s="33">
        <f>SUM(BQ14:BQ81)</f>
        <v/>
      </c>
      <c r="BR82" s="33">
        <f>SUM(BR14:BR81)</f>
        <v/>
      </c>
      <c r="BS82" s="33">
        <f>SUM(BS14:BS81)</f>
        <v/>
      </c>
      <c r="BT82" s="33">
        <f>SUM(BT14:BT81)</f>
        <v/>
      </c>
      <c r="BU82" s="33">
        <f>SUM(BU14:BU81)</f>
        <v/>
      </c>
      <c r="BV82" s="33">
        <f>SUM(BV14:BV81)</f>
        <v/>
      </c>
      <c r="BW82" s="33">
        <f>SUM(BW14:BW81)</f>
        <v/>
      </c>
      <c r="BX82" s="33">
        <f>SUM(BX14:BX81)</f>
        <v/>
      </c>
      <c r="BY82" s="33">
        <f>SUM(BY14:BY81)</f>
        <v/>
      </c>
    </row>
    <row r="83"/>
    <row r="84">
      <c r="B84" s="32" t="inlineStr">
        <is>
          <t>Ajuste intermedio no asignado a matriz</t>
        </is>
      </c>
      <c r="C84" s="33" t="n">
        <v>20707.76946041972</v>
      </c>
      <c r="D84" s="33" t="n">
        <v>11951.89602789172</v>
      </c>
      <c r="E84" s="33" t="n">
        <v>1297.027931987819</v>
      </c>
      <c r="F84" s="33" t="n">
        <v>1483.469674602465</v>
      </c>
      <c r="G84" s="33" t="n">
        <v>13381.14981136891</v>
      </c>
      <c r="H84" s="33" t="n">
        <v>2432.1012179963</v>
      </c>
      <c r="I84" s="33" t="n">
        <v>858.9484216009915</v>
      </c>
      <c r="J84" s="34" t="n">
        <v>-45280.53271581482</v>
      </c>
      <c r="K84" s="34" t="n">
        <v>-1538.300434477333</v>
      </c>
      <c r="L84" s="34" t="n">
        <v>-18603.51527494333</v>
      </c>
      <c r="M84" s="33" t="n">
        <v>6173.918021885732</v>
      </c>
      <c r="N84" s="34" t="n">
        <v>-745.4080822859084</v>
      </c>
      <c r="O84" s="33" t="n">
        <v>824.8400256172872</v>
      </c>
      <c r="P84" s="33" t="n">
        <v>2125.374480535573</v>
      </c>
      <c r="Q84" s="34" t="n">
        <v>-4793.489205466134</v>
      </c>
      <c r="R84" s="33" t="n">
        <v>409.5834828814575</v>
      </c>
      <c r="S84" s="34" t="n">
        <v>-10335.99197466156</v>
      </c>
      <c r="T84" s="33" t="n">
        <v>1942.216366891528</v>
      </c>
      <c r="U84" s="33" t="n">
        <v>70467.2683949566</v>
      </c>
      <c r="V84" s="34" t="n">
        <v>-1697.884251292332</v>
      </c>
      <c r="W84" s="33" t="n">
        <v>23816.25068882432</v>
      </c>
      <c r="X84" s="34" t="n">
        <v>-1724.338831752155</v>
      </c>
      <c r="Y84" s="33" t="n">
        <v>4992.871855616683</v>
      </c>
      <c r="Z84" s="34" t="n">
        <v>-10068.19777513788</v>
      </c>
      <c r="AA84" s="34" t="n">
        <v>-2056.742036740705</v>
      </c>
      <c r="AB84" s="34" t="n">
        <v>-2018.017522037682</v>
      </c>
      <c r="AC84" s="34" t="n">
        <v>-400.2854014072345</v>
      </c>
      <c r="AD84" s="33" t="n">
        <v>3422.806465921217</v>
      </c>
      <c r="AE84" s="34" t="n">
        <v>-5761.703487775392</v>
      </c>
      <c r="AF84" s="33" t="n">
        <v>16344.90560900732</v>
      </c>
      <c r="AG84" s="33" t="n">
        <v>1031.821469773191</v>
      </c>
      <c r="AH84" s="34" t="n">
        <v>-12255.54589783868</v>
      </c>
      <c r="AI84" s="33" t="n">
        <v>33134.81503013894</v>
      </c>
      <c r="AJ84" s="33" t="n">
        <v>16184.76151761425</v>
      </c>
      <c r="AK84" s="33" t="n">
        <v>6715.719798283896</v>
      </c>
      <c r="AL84" s="33" t="n">
        <v>1130.44056007061</v>
      </c>
      <c r="AM84" s="33" t="n">
        <v>10197.0680943869</v>
      </c>
      <c r="AN84" s="33" t="n">
        <v>17115.57980876791</v>
      </c>
      <c r="AO84" s="33" t="n">
        <v>3151.300502022731</v>
      </c>
      <c r="AP84" s="33" t="n">
        <v>64939.77967100858</v>
      </c>
      <c r="AQ84" s="33" t="n">
        <v>8168.099433336176</v>
      </c>
      <c r="AR84" s="34" t="n">
        <v>-39943.03161585752</v>
      </c>
      <c r="AS84" s="33" t="n">
        <v>7760.80238419208</v>
      </c>
      <c r="AT84" s="33" t="n">
        <v>1679.039421560831</v>
      </c>
      <c r="AU84" s="33" t="n">
        <v>8911.481542213669</v>
      </c>
      <c r="AV84" s="33" t="n">
        <v>3157.991965612437</v>
      </c>
      <c r="AW84" s="33" t="n">
        <v>1601.785958441449</v>
      </c>
      <c r="AX84" s="33" t="n">
        <v>23930.54970734095</v>
      </c>
      <c r="AY84" s="34" t="n">
        <v>-5874.648296287258</v>
      </c>
      <c r="AZ84" s="34" t="n">
        <v>-4541.491596965966</v>
      </c>
      <c r="BA84" s="34" t="n">
        <v>-42685.54263190883</v>
      </c>
      <c r="BB84" s="33" t="n">
        <v>1621.944161156211</v>
      </c>
      <c r="BC84" s="33" t="n">
        <v>21460.33158304686</v>
      </c>
      <c r="BD84" s="33" t="n">
        <v>4803.597453850209</v>
      </c>
      <c r="BE84" s="33" t="n">
        <v>1141.480191431405</v>
      </c>
      <c r="BF84" s="33" t="n">
        <v>4040.106367330463</v>
      </c>
      <c r="BG84" s="33" t="n">
        <v>4902.978786663652</v>
      </c>
      <c r="BH84" s="33" t="n">
        <v>1672.861886046247</v>
      </c>
      <c r="BI84" s="33" t="n">
        <v>4681.665298002283</v>
      </c>
      <c r="BJ84" s="33" t="n">
        <v>250.3491379342949</v>
      </c>
      <c r="BK84" s="33" t="n">
        <v>23204.67077383406</v>
      </c>
      <c r="BL84" s="33" t="n">
        <v>8637.639032125096</v>
      </c>
      <c r="BM84" s="33" t="n">
        <v>3583.930459057182</v>
      </c>
      <c r="BN84" s="33" t="n">
        <v>9239.4872192247</v>
      </c>
      <c r="BO84" s="33" t="n">
        <v>16890.84953620307</v>
      </c>
      <c r="BP84" s="33" t="n">
        <v>1483.135975899346</v>
      </c>
      <c r="BQ84" s="33" t="n">
        <v>13264.80484734476</v>
      </c>
      <c r="BR84" s="33" t="n">
        <v>0</v>
      </c>
      <c r="BY84" s="33">
        <f>SUM(C84:BR84)</f>
        <v/>
      </c>
    </row>
    <row r="85"/>
    <row r="86">
      <c r="B86" s="32" t="inlineStr">
        <is>
          <t>Valor agregado</t>
        </is>
      </c>
      <c r="C86" s="33" t="n">
        <v>124400</v>
      </c>
      <c r="D86" s="33" t="n">
        <v>48345</v>
      </c>
      <c r="E86" s="33" t="n">
        <v>17279</v>
      </c>
      <c r="F86" s="33" t="n">
        <v>7399</v>
      </c>
      <c r="G86" s="33" t="n">
        <v>98959</v>
      </c>
      <c r="H86" s="33" t="n">
        <v>51912</v>
      </c>
      <c r="I86" s="33" t="n">
        <v>4297</v>
      </c>
      <c r="J86" s="33" t="n">
        <v>25582</v>
      </c>
      <c r="K86" s="33" t="n">
        <v>13186</v>
      </c>
      <c r="L86" s="33" t="n">
        <v>31559</v>
      </c>
      <c r="M86" s="33" t="n">
        <v>18886</v>
      </c>
      <c r="N86" s="33" t="n">
        <v>3796</v>
      </c>
      <c r="O86" s="33" t="n">
        <v>11756</v>
      </c>
      <c r="P86" s="33" t="n">
        <v>25870</v>
      </c>
      <c r="Q86" s="33" t="n">
        <v>11413</v>
      </c>
      <c r="R86" s="33" t="n">
        <v>8866</v>
      </c>
      <c r="S86" s="33" t="n">
        <v>16861</v>
      </c>
      <c r="T86" s="33" t="n">
        <v>8685</v>
      </c>
      <c r="U86" s="34" t="n">
        <v>-10202</v>
      </c>
      <c r="V86" s="33" t="n">
        <v>4699</v>
      </c>
      <c r="W86" s="33" t="n">
        <v>14719</v>
      </c>
      <c r="X86" s="33" t="n">
        <v>10413</v>
      </c>
      <c r="Y86" s="33" t="n">
        <v>7185</v>
      </c>
      <c r="Z86" s="33" t="n">
        <v>19812</v>
      </c>
      <c r="AA86" s="33" t="n">
        <v>22858</v>
      </c>
      <c r="AB86" s="33" t="n">
        <v>25581</v>
      </c>
      <c r="AC86" s="33" t="n">
        <v>20702</v>
      </c>
      <c r="AD86" s="33" t="n">
        <v>7995</v>
      </c>
      <c r="AE86" s="33" t="n">
        <v>32518</v>
      </c>
      <c r="AF86" s="33" t="n">
        <v>15709</v>
      </c>
      <c r="AG86" s="33" t="n">
        <v>16216</v>
      </c>
      <c r="AH86" s="33" t="n">
        <v>34534</v>
      </c>
      <c r="AI86" s="33" t="n">
        <v>32552</v>
      </c>
      <c r="AJ86" s="33" t="n">
        <v>28311</v>
      </c>
      <c r="AK86" s="33" t="n">
        <v>10881</v>
      </c>
      <c r="AL86" s="33" t="n">
        <v>26051</v>
      </c>
      <c r="AM86" s="33" t="n">
        <v>18710</v>
      </c>
      <c r="AN86" s="33" t="n">
        <v>72152</v>
      </c>
      <c r="AO86" s="33" t="n">
        <v>27067</v>
      </c>
      <c r="AP86" s="33" t="n">
        <v>233544</v>
      </c>
      <c r="AQ86" s="33" t="n">
        <v>73946</v>
      </c>
      <c r="AR86" s="33" t="n">
        <v>404296</v>
      </c>
      <c r="AS86" s="33" t="n">
        <v>107085</v>
      </c>
      <c r="AT86" s="33" t="n">
        <v>4030</v>
      </c>
      <c r="AU86" s="33" t="n">
        <v>6507</v>
      </c>
      <c r="AV86" s="33" t="n">
        <v>47935</v>
      </c>
      <c r="AW86" s="33" t="n">
        <v>9600</v>
      </c>
      <c r="AX86" s="33" t="n">
        <v>72754</v>
      </c>
      <c r="AY86" s="33" t="n">
        <v>10395</v>
      </c>
      <c r="AZ86" s="33" t="n">
        <v>14397</v>
      </c>
      <c r="BA86" s="33" t="n">
        <v>57074</v>
      </c>
      <c r="BB86" s="33" t="n">
        <v>55140</v>
      </c>
      <c r="BC86" s="33" t="n">
        <v>239426</v>
      </c>
      <c r="BD86" s="33" t="n">
        <v>311380</v>
      </c>
      <c r="BE86" s="33" t="n">
        <v>87258</v>
      </c>
      <c r="BF86" s="33" t="n">
        <v>35632</v>
      </c>
      <c r="BG86" s="33" t="n">
        <v>22340</v>
      </c>
      <c r="BH86" s="33" t="n">
        <v>20396</v>
      </c>
      <c r="BI86" s="33" t="n">
        <v>98016</v>
      </c>
      <c r="BJ86" s="33" t="n">
        <v>20022</v>
      </c>
      <c r="BK86" s="33" t="n">
        <v>369696</v>
      </c>
      <c r="BL86" s="33" t="n">
        <v>154661</v>
      </c>
      <c r="BM86" s="33" t="n">
        <v>42023</v>
      </c>
      <c r="BN86" s="33" t="n">
        <v>73702</v>
      </c>
      <c r="BO86" s="33" t="n">
        <v>70520</v>
      </c>
      <c r="BP86" s="33" t="n">
        <v>14303</v>
      </c>
      <c r="BQ86" s="33" t="n">
        <v>52435</v>
      </c>
      <c r="BR86" s="33" t="n">
        <v>44434</v>
      </c>
      <c r="BY86" s="33">
        <f>SUM(C86:BR86)</f>
        <v/>
      </c>
    </row>
    <row r="87"/>
    <row r="88">
      <c r="B88" s="32" t="inlineStr">
        <is>
          <t>Produccion total</t>
        </is>
      </c>
      <c r="C88" s="33">
        <f>C82+C84+C86</f>
        <v/>
      </c>
      <c r="D88" s="33">
        <f>D82+D84+D86</f>
        <v/>
      </c>
      <c r="E88" s="33">
        <f>E82+E84+E86</f>
        <v/>
      </c>
      <c r="F88" s="33">
        <f>F82+F84+F86</f>
        <v/>
      </c>
      <c r="G88" s="33">
        <f>G82+G84+G86</f>
        <v/>
      </c>
      <c r="H88" s="33">
        <f>H82+H84+H86</f>
        <v/>
      </c>
      <c r="I88" s="33">
        <f>I82+I84+I86</f>
        <v/>
      </c>
      <c r="J88" s="33">
        <f>J82+J84+J86</f>
        <v/>
      </c>
      <c r="K88" s="33">
        <f>K82+K84+K86</f>
        <v/>
      </c>
      <c r="L88" s="33">
        <f>L82+L84+L86</f>
        <v/>
      </c>
      <c r="M88" s="33">
        <f>M82+M84+M86</f>
        <v/>
      </c>
      <c r="N88" s="33">
        <f>N82+N84+N86</f>
        <v/>
      </c>
      <c r="O88" s="33">
        <f>O82+O84+O86</f>
        <v/>
      </c>
      <c r="P88" s="33">
        <f>P82+P84+P86</f>
        <v/>
      </c>
      <c r="Q88" s="33">
        <f>Q82+Q84+Q86</f>
        <v/>
      </c>
      <c r="R88" s="33">
        <f>R82+R84+R86</f>
        <v/>
      </c>
      <c r="S88" s="33">
        <f>S82+S84+S86</f>
        <v/>
      </c>
      <c r="T88" s="33">
        <f>T82+T84+T86</f>
        <v/>
      </c>
      <c r="U88" s="33">
        <f>U82+U84+U86</f>
        <v/>
      </c>
      <c r="V88" s="33">
        <f>V82+V84+V86</f>
        <v/>
      </c>
      <c r="W88" s="33">
        <f>W82+W84+W86</f>
        <v/>
      </c>
      <c r="X88" s="33">
        <f>X82+X84+X86</f>
        <v/>
      </c>
      <c r="Y88" s="33">
        <f>Y82+Y84+Y86</f>
        <v/>
      </c>
      <c r="Z88" s="33">
        <f>Z82+Z84+Z86</f>
        <v/>
      </c>
      <c r="AA88" s="33">
        <f>AA82+AA84+AA86</f>
        <v/>
      </c>
      <c r="AB88" s="33">
        <f>AB82+AB84+AB86</f>
        <v/>
      </c>
      <c r="AC88" s="33">
        <f>AC82+AC84+AC86</f>
        <v/>
      </c>
      <c r="AD88" s="33">
        <f>AD82+AD84+AD86</f>
        <v/>
      </c>
      <c r="AE88" s="33">
        <f>AE82+AE84+AE86</f>
        <v/>
      </c>
      <c r="AF88" s="33">
        <f>AF82+AF84+AF86</f>
        <v/>
      </c>
      <c r="AG88" s="33">
        <f>AG82+AG84+AG86</f>
        <v/>
      </c>
      <c r="AH88" s="33">
        <f>AH82+AH84+AH86</f>
        <v/>
      </c>
      <c r="AI88" s="33">
        <f>AI82+AI84+AI86</f>
        <v/>
      </c>
      <c r="AJ88" s="33">
        <f>AJ82+AJ84+AJ86</f>
        <v/>
      </c>
      <c r="AK88" s="33">
        <f>AK82+AK84+AK86</f>
        <v/>
      </c>
      <c r="AL88" s="33">
        <f>AL82+AL84+AL86</f>
        <v/>
      </c>
      <c r="AM88" s="33">
        <f>AM82+AM84+AM86</f>
        <v/>
      </c>
      <c r="AN88" s="33">
        <f>AN82+AN84+AN86</f>
        <v/>
      </c>
      <c r="AO88" s="33">
        <f>AO82+AO84+AO86</f>
        <v/>
      </c>
      <c r="AP88" s="33">
        <f>AP82+AP84+AP86</f>
        <v/>
      </c>
      <c r="AQ88" s="33">
        <f>AQ82+AQ84+AQ86</f>
        <v/>
      </c>
      <c r="AR88" s="33">
        <f>AR82+AR84+AR86</f>
        <v/>
      </c>
      <c r="AS88" s="33">
        <f>AS82+AS84+AS86</f>
        <v/>
      </c>
      <c r="AT88" s="33">
        <f>AT82+AT84+AT86</f>
        <v/>
      </c>
      <c r="AU88" s="33">
        <f>AU82+AU84+AU86</f>
        <v/>
      </c>
      <c r="AV88" s="33">
        <f>AV82+AV84+AV86</f>
        <v/>
      </c>
      <c r="AW88" s="33">
        <f>AW82+AW84+AW86</f>
        <v/>
      </c>
      <c r="AX88" s="33">
        <f>AX82+AX84+AX86</f>
        <v/>
      </c>
      <c r="AY88" s="33">
        <f>AY82+AY84+AY86</f>
        <v/>
      </c>
      <c r="AZ88" s="33">
        <f>AZ82+AZ84+AZ86</f>
        <v/>
      </c>
      <c r="BA88" s="33">
        <f>BA82+BA84+BA86</f>
        <v/>
      </c>
      <c r="BB88" s="33">
        <f>BB82+BB84+BB86</f>
        <v/>
      </c>
      <c r="BC88" s="33">
        <f>BC82+BC84+BC86</f>
        <v/>
      </c>
      <c r="BD88" s="33">
        <f>BD82+BD84+BD86</f>
        <v/>
      </c>
      <c r="BE88" s="33">
        <f>BE82+BE84+BE86</f>
        <v/>
      </c>
      <c r="BF88" s="33">
        <f>BF82+BF84+BF86</f>
        <v/>
      </c>
      <c r="BG88" s="33">
        <f>BG82+BG84+BG86</f>
        <v/>
      </c>
      <c r="BH88" s="33">
        <f>BH82+BH84+BH86</f>
        <v/>
      </c>
      <c r="BI88" s="33">
        <f>BI82+BI84+BI86</f>
        <v/>
      </c>
      <c r="BJ88" s="33">
        <f>BJ82+BJ84+BJ86</f>
        <v/>
      </c>
      <c r="BK88" s="33">
        <f>BK82+BK84+BK86</f>
        <v/>
      </c>
      <c r="BL88" s="33">
        <f>BL82+BL84+BL86</f>
        <v/>
      </c>
      <c r="BM88" s="33">
        <f>BM82+BM84+BM86</f>
        <v/>
      </c>
      <c r="BN88" s="33">
        <f>BN82+BN84+BN86</f>
        <v/>
      </c>
      <c r="BO88" s="33">
        <f>BO82+BO84+BO86</f>
        <v/>
      </c>
      <c r="BP88" s="33">
        <f>BP82+BP84+BP86</f>
        <v/>
      </c>
      <c r="BQ88" s="33">
        <f>BQ82+BQ84+BQ86</f>
        <v/>
      </c>
      <c r="BR88" s="33">
        <f>BR82+BR84+BR86</f>
        <v/>
      </c>
      <c r="BY88" s="33">
        <f>SUM(C88:BR88)</f>
        <v/>
      </c>
    </row>
    <row r="89">
      <c r="B89" s="32" t="inlineStr">
        <is>
          <t>Produccion fuente</t>
        </is>
      </c>
      <c r="C89" s="33" t="n">
        <v>209241</v>
      </c>
      <c r="D89" s="33" t="n">
        <v>94213</v>
      </c>
      <c r="E89" s="33" t="n">
        <v>23693</v>
      </c>
      <c r="F89" s="33" t="n">
        <v>17265</v>
      </c>
      <c r="G89" s="33" t="n">
        <v>159027</v>
      </c>
      <c r="H89" s="33" t="n">
        <v>77063</v>
      </c>
      <c r="I89" s="33" t="n">
        <v>10533</v>
      </c>
      <c r="J89" s="33" t="n">
        <v>164010</v>
      </c>
      <c r="K89" s="33" t="n">
        <v>55818</v>
      </c>
      <c r="L89" s="33" t="n">
        <v>171317</v>
      </c>
      <c r="M89" s="33" t="n">
        <v>56908</v>
      </c>
      <c r="N89" s="33" t="n">
        <v>13087</v>
      </c>
      <c r="O89" s="33" t="n">
        <v>43173</v>
      </c>
      <c r="P89" s="33" t="n">
        <v>54296</v>
      </c>
      <c r="Q89" s="33" t="n">
        <v>32619</v>
      </c>
      <c r="R89" s="33" t="n">
        <v>22210</v>
      </c>
      <c r="S89" s="33" t="n">
        <v>58510</v>
      </c>
      <c r="T89" s="33" t="n">
        <v>19091</v>
      </c>
      <c r="U89" s="33" t="n">
        <v>253576</v>
      </c>
      <c r="V89" s="33" t="n">
        <v>23588</v>
      </c>
      <c r="W89" s="33" t="n">
        <v>105437</v>
      </c>
      <c r="X89" s="33" t="n">
        <v>50352</v>
      </c>
      <c r="Y89" s="33" t="n">
        <v>27643</v>
      </c>
      <c r="Z89" s="33" t="n">
        <v>42790</v>
      </c>
      <c r="AA89" s="33" t="n">
        <v>79842</v>
      </c>
      <c r="AB89" s="33" t="n">
        <v>72361</v>
      </c>
      <c r="AC89" s="33" t="n">
        <v>96034</v>
      </c>
      <c r="AD89" s="33" t="n">
        <v>40031</v>
      </c>
      <c r="AE89" s="33" t="n">
        <v>80782</v>
      </c>
      <c r="AF89" s="33" t="n">
        <v>68505</v>
      </c>
      <c r="AG89" s="33" t="n">
        <v>62609</v>
      </c>
      <c r="AH89" s="33" t="n">
        <v>107999</v>
      </c>
      <c r="AI89" s="33" t="n">
        <v>164711</v>
      </c>
      <c r="AJ89" s="33" t="n">
        <v>88005</v>
      </c>
      <c r="AK89" s="33" t="n">
        <v>37397</v>
      </c>
      <c r="AL89" s="33" t="n">
        <v>55725</v>
      </c>
      <c r="AM89" s="33" t="n">
        <v>45446</v>
      </c>
      <c r="AN89" s="33" t="n">
        <v>164366</v>
      </c>
      <c r="AO89" s="33" t="n">
        <v>46839</v>
      </c>
      <c r="AP89" s="33" t="n">
        <v>507895</v>
      </c>
      <c r="AQ89" s="33" t="n">
        <v>122008</v>
      </c>
      <c r="AR89" s="33" t="n">
        <v>622903</v>
      </c>
      <c r="AS89" s="33" t="n">
        <v>236960</v>
      </c>
      <c r="AT89" s="33" t="n">
        <v>12157</v>
      </c>
      <c r="AU89" s="33" t="n">
        <v>29117</v>
      </c>
      <c r="AV89" s="33" t="n">
        <v>81006</v>
      </c>
      <c r="AW89" s="33" t="n">
        <v>17261</v>
      </c>
      <c r="AX89" s="33" t="n">
        <v>151663</v>
      </c>
      <c r="AY89" s="33" t="n">
        <v>22566</v>
      </c>
      <c r="AZ89" s="33" t="n">
        <v>31112</v>
      </c>
      <c r="BA89" s="33" t="n">
        <v>143883</v>
      </c>
      <c r="BB89" s="33" t="n">
        <v>80788</v>
      </c>
      <c r="BC89" s="33" t="n">
        <v>398032</v>
      </c>
      <c r="BD89" s="33" t="n">
        <v>340359</v>
      </c>
      <c r="BE89" s="33" t="n">
        <v>124627</v>
      </c>
      <c r="BF89" s="33" t="n">
        <v>56103</v>
      </c>
      <c r="BG89" s="33" t="n">
        <v>66427</v>
      </c>
      <c r="BH89" s="33" t="n">
        <v>31358</v>
      </c>
      <c r="BI89" s="33" t="n">
        <v>143082</v>
      </c>
      <c r="BJ89" s="33" t="n">
        <v>24822</v>
      </c>
      <c r="BK89" s="33" t="n">
        <v>522385</v>
      </c>
      <c r="BL89" s="33" t="n">
        <v>193081</v>
      </c>
      <c r="BM89" s="33" t="n">
        <v>63272</v>
      </c>
      <c r="BN89" s="33" t="n">
        <v>114794</v>
      </c>
      <c r="BO89" s="33" t="n">
        <v>125360</v>
      </c>
      <c r="BP89" s="33" t="n">
        <v>24702</v>
      </c>
      <c r="BQ89" s="33" t="n">
        <v>110543</v>
      </c>
      <c r="BR89" s="33" t="n">
        <v>44434</v>
      </c>
      <c r="BY89" s="33">
        <f>SUM(C89:BR89)</f>
        <v/>
      </c>
    </row>
    <row r="90">
      <c r="B90" s="35" t="inlineStr">
        <is>
          <t>Check produccion total - fuente</t>
        </is>
      </c>
      <c r="C90" s="36">
        <f>C88-C89</f>
        <v/>
      </c>
      <c r="D90" s="36">
        <f>D88-D89</f>
        <v/>
      </c>
      <c r="E90" s="36">
        <f>E88-E89</f>
        <v/>
      </c>
      <c r="F90" s="36">
        <f>F88-F89</f>
        <v/>
      </c>
      <c r="G90" s="36">
        <f>G88-G89</f>
        <v/>
      </c>
      <c r="H90" s="36">
        <f>H88-H89</f>
        <v/>
      </c>
      <c r="I90" s="36">
        <f>I88-I89</f>
        <v/>
      </c>
      <c r="J90" s="36">
        <f>J88-J89</f>
        <v/>
      </c>
      <c r="K90" s="36">
        <f>K88-K89</f>
        <v/>
      </c>
      <c r="L90" s="36">
        <f>L88-L89</f>
        <v/>
      </c>
      <c r="M90" s="36">
        <f>M88-M89</f>
        <v/>
      </c>
      <c r="N90" s="36">
        <f>N88-N89</f>
        <v/>
      </c>
      <c r="O90" s="36">
        <f>O88-O89</f>
        <v/>
      </c>
      <c r="P90" s="36">
        <f>P88-P89</f>
        <v/>
      </c>
      <c r="Q90" s="36">
        <f>Q88-Q89</f>
        <v/>
      </c>
      <c r="R90" s="36">
        <f>R88-R89</f>
        <v/>
      </c>
      <c r="S90" s="36">
        <f>S88-S89</f>
        <v/>
      </c>
      <c r="T90" s="36">
        <f>T88-T89</f>
        <v/>
      </c>
      <c r="U90" s="36">
        <f>U88-U89</f>
        <v/>
      </c>
      <c r="V90" s="36">
        <f>V88-V89</f>
        <v/>
      </c>
      <c r="W90" s="36">
        <f>W88-W89</f>
        <v/>
      </c>
      <c r="X90" s="36">
        <f>X88-X89</f>
        <v/>
      </c>
      <c r="Y90" s="36">
        <f>Y88-Y89</f>
        <v/>
      </c>
      <c r="Z90" s="36">
        <f>Z88-Z89</f>
        <v/>
      </c>
      <c r="AA90" s="36">
        <f>AA88-AA89</f>
        <v/>
      </c>
      <c r="AB90" s="36">
        <f>AB88-AB89</f>
        <v/>
      </c>
      <c r="AC90" s="36">
        <f>AC88-AC89</f>
        <v/>
      </c>
      <c r="AD90" s="36">
        <f>AD88-AD89</f>
        <v/>
      </c>
      <c r="AE90" s="36">
        <f>AE88-AE89</f>
        <v/>
      </c>
      <c r="AF90" s="36">
        <f>AF88-AF89</f>
        <v/>
      </c>
      <c r="AG90" s="36">
        <f>AG88-AG89</f>
        <v/>
      </c>
      <c r="AH90" s="36">
        <f>AH88-AH89</f>
        <v/>
      </c>
      <c r="AI90" s="36">
        <f>AI88-AI89</f>
        <v/>
      </c>
      <c r="AJ90" s="36">
        <f>AJ88-AJ89</f>
        <v/>
      </c>
      <c r="AK90" s="36">
        <f>AK88-AK89</f>
        <v/>
      </c>
      <c r="AL90" s="36">
        <f>AL88-AL89</f>
        <v/>
      </c>
      <c r="AM90" s="36">
        <f>AM88-AM89</f>
        <v/>
      </c>
      <c r="AN90" s="36">
        <f>AN88-AN89</f>
        <v/>
      </c>
      <c r="AO90" s="36">
        <f>AO88-AO89</f>
        <v/>
      </c>
      <c r="AP90" s="36">
        <f>AP88-AP89</f>
        <v/>
      </c>
      <c r="AQ90" s="36">
        <f>AQ88-AQ89</f>
        <v/>
      </c>
      <c r="AR90" s="36">
        <f>AR88-AR89</f>
        <v/>
      </c>
      <c r="AS90" s="36">
        <f>AS88-AS89</f>
        <v/>
      </c>
      <c r="AT90" s="36">
        <f>AT88-AT89</f>
        <v/>
      </c>
      <c r="AU90" s="36">
        <f>AU88-AU89</f>
        <v/>
      </c>
      <c r="AV90" s="36">
        <f>AV88-AV89</f>
        <v/>
      </c>
      <c r="AW90" s="36">
        <f>AW88-AW89</f>
        <v/>
      </c>
      <c r="AX90" s="36">
        <f>AX88-AX89</f>
        <v/>
      </c>
      <c r="AY90" s="36">
        <f>AY88-AY89</f>
        <v/>
      </c>
      <c r="AZ90" s="36">
        <f>AZ88-AZ89</f>
        <v/>
      </c>
      <c r="BA90" s="36">
        <f>BA88-BA89</f>
        <v/>
      </c>
      <c r="BB90" s="36">
        <f>BB88-BB89</f>
        <v/>
      </c>
      <c r="BC90" s="36">
        <f>BC88-BC89</f>
        <v/>
      </c>
      <c r="BD90" s="36">
        <f>BD88-BD89</f>
        <v/>
      </c>
      <c r="BE90" s="36">
        <f>BE88-BE89</f>
        <v/>
      </c>
      <c r="BF90" s="36">
        <f>BF88-BF89</f>
        <v/>
      </c>
      <c r="BG90" s="36">
        <f>BG88-BG89</f>
        <v/>
      </c>
      <c r="BH90" s="36">
        <f>BH88-BH89</f>
        <v/>
      </c>
      <c r="BI90" s="36">
        <f>BI88-BI89</f>
        <v/>
      </c>
      <c r="BJ90" s="36">
        <f>BJ88-BJ89</f>
        <v/>
      </c>
      <c r="BK90" s="36">
        <f>BK88-BK89</f>
        <v/>
      </c>
      <c r="BL90" s="36">
        <f>BL88-BL89</f>
        <v/>
      </c>
      <c r="BM90" s="36">
        <f>BM88-BM89</f>
        <v/>
      </c>
      <c r="BN90" s="36">
        <f>BN88-BN89</f>
        <v/>
      </c>
      <c r="BO90" s="36">
        <f>BO88-BO89</f>
        <v/>
      </c>
      <c r="BP90" s="36">
        <f>BP88-BP89</f>
        <v/>
      </c>
      <c r="BQ90" s="36">
        <f>BQ88-BQ89</f>
        <v/>
      </c>
      <c r="BR90" s="36">
        <f>BR88-BR89</f>
        <v/>
      </c>
      <c r="BY90" s="36">
        <f>SUM(C90:BR90)</f>
        <v/>
      </c>
    </row>
    <row r="91"/>
    <row r="92">
      <c r="B92" s="28" t="inlineStr">
        <is>
          <t>Nota</t>
        </is>
      </c>
      <c r="C92" s="28" t="inlineStr">
        <is>
          <t>Z contiene consumo intermedio nacional/domestico. El ajuste intermedio fuera de Z queda visible antes del valor agregado.</t>
        </is>
      </c>
    </row>
  </sheetData>
  <mergeCells count="9">
    <mergeCell ref="BY10:BY12"/>
    <mergeCell ref="BX10:BX12"/>
    <mergeCell ref="A3:H4"/>
    <mergeCell ref="B10:B12"/>
    <mergeCell ref="A10:A12"/>
    <mergeCell ref="A1:H1"/>
    <mergeCell ref="C10:BR10"/>
    <mergeCell ref="BS10:BS12"/>
    <mergeCell ref="BT10:BW10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Y92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</cols>
  <sheetData>
    <row r="1" ht="44" customHeight="1"/>
    <row r="2"/>
    <row r="3" ht="16" customHeight="1">
      <c r="A3" s="20" t="inlineStr">
        <is>
          <t>Matriz insumo producto, actividad por actividad - Importada / ajuste</t>
        </is>
      </c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  <c r="AE3" s="20" t="n"/>
      <c r="AF3" s="20" t="n"/>
      <c r="AG3" s="20" t="n"/>
      <c r="AH3" s="20" t="n"/>
      <c r="AI3" s="20" t="n"/>
      <c r="AJ3" s="20" t="n"/>
      <c r="AK3" s="20" t="n"/>
      <c r="AL3" s="20" t="n"/>
      <c r="AM3" s="20" t="n"/>
      <c r="AN3" s="20" t="n"/>
      <c r="AO3" s="20" t="n"/>
      <c r="AP3" s="20" t="n"/>
      <c r="AQ3" s="20" t="n"/>
      <c r="AR3" s="20" t="n"/>
      <c r="AS3" s="20" t="n"/>
      <c r="AT3" s="20" t="n"/>
      <c r="AU3" s="20" t="n"/>
      <c r="AV3" s="20" t="n"/>
      <c r="AW3" s="20" t="n"/>
      <c r="AX3" s="20" t="n"/>
      <c r="AY3" s="20" t="n"/>
      <c r="AZ3" s="20" t="n"/>
      <c r="BA3" s="20" t="n"/>
      <c r="BB3" s="20" t="n"/>
      <c r="BC3" s="20" t="n"/>
      <c r="BD3" s="20" t="n"/>
      <c r="BE3" s="20" t="n"/>
      <c r="BF3" s="20" t="n"/>
      <c r="BG3" s="20" t="n"/>
      <c r="BH3" s="20" t="n"/>
      <c r="BI3" s="20" t="n"/>
      <c r="BJ3" s="20" t="n"/>
      <c r="BK3" s="20" t="n"/>
      <c r="BL3" s="20" t="n"/>
      <c r="BM3" s="20" t="n"/>
      <c r="BN3" s="20" t="n"/>
      <c r="BO3" s="20" t="n"/>
      <c r="BP3" s="20" t="n"/>
      <c r="BQ3" s="20" t="n"/>
      <c r="BR3" s="20" t="n"/>
      <c r="BS3" s="20" t="n"/>
      <c r="BT3" s="20" t="n"/>
      <c r="BU3" s="20" t="n"/>
      <c r="BV3" s="20" t="n"/>
      <c r="BW3" s="20" t="n"/>
      <c r="BX3" s="20" t="n"/>
      <c r="BY3" s="20" t="n"/>
    </row>
    <row r="4" ht="16" customHeight="1"/>
    <row r="5">
      <c r="A5" s="21" t="inlineStr">
        <is>
          <t>Valores a precios corrientes</t>
        </is>
      </c>
    </row>
    <row r="6" ht="16.5" customHeight="1">
      <c r="A6" s="21" t="inlineStr">
        <is>
          <t>Ano 2011</t>
        </is>
      </c>
      <c r="J6" s="22" t="inlineStr">
        <is>
          <t>Indice</t>
        </is>
      </c>
    </row>
    <row r="7">
      <c r="A7" s="21" t="inlineStr">
        <is>
          <t>Base / fuente original</t>
        </is>
      </c>
    </row>
    <row r="8">
      <c r="A8" s="21" t="inlineStr">
        <is>
          <t>Unidades monetarias de la fuente</t>
        </is>
      </c>
    </row>
    <row r="9"/>
    <row r="10" ht="16" customHeight="1">
      <c r="A10" s="23" t="inlineStr">
        <is>
          <t>Codigo</t>
        </is>
      </c>
      <c r="B10" s="23" t="inlineStr">
        <is>
          <t>Actividad economica</t>
        </is>
      </c>
      <c r="C10" s="23" t="inlineStr">
        <is>
          <t>Consumo intermedio por actividades economicas</t>
        </is>
      </c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  <c r="AA10" s="24" t="n"/>
      <c r="AB10" s="24" t="n"/>
      <c r="AC10" s="24" t="n"/>
      <c r="AD10" s="24" t="n"/>
      <c r="AE10" s="24" t="n"/>
      <c r="AF10" s="24" t="n"/>
      <c r="AG10" s="24" t="n"/>
      <c r="AH10" s="24" t="n"/>
      <c r="AI10" s="24" t="n"/>
      <c r="AJ10" s="24" t="n"/>
      <c r="AK10" s="24" t="n"/>
      <c r="AL10" s="24" t="n"/>
      <c r="AM10" s="24" t="n"/>
      <c r="AN10" s="24" t="n"/>
      <c r="AO10" s="24" t="n"/>
      <c r="AP10" s="24" t="n"/>
      <c r="AQ10" s="24" t="n"/>
      <c r="AR10" s="24" t="n"/>
      <c r="AS10" s="24" t="n"/>
      <c r="AT10" s="24" t="n"/>
      <c r="AU10" s="24" t="n"/>
      <c r="AV10" s="24" t="n"/>
      <c r="AW10" s="24" t="n"/>
      <c r="AX10" s="24" t="n"/>
      <c r="AY10" s="24" t="n"/>
      <c r="AZ10" s="24" t="n"/>
      <c r="BA10" s="24" t="n"/>
      <c r="BB10" s="24" t="n"/>
      <c r="BC10" s="24" t="n"/>
      <c r="BD10" s="24" t="n"/>
      <c r="BE10" s="24" t="n"/>
      <c r="BF10" s="24" t="n"/>
      <c r="BG10" s="24" t="n"/>
      <c r="BH10" s="24" t="n"/>
      <c r="BI10" s="24" t="n"/>
      <c r="BJ10" s="24" t="n"/>
      <c r="BK10" s="24" t="n"/>
      <c r="BL10" s="24" t="n"/>
      <c r="BM10" s="24" t="n"/>
      <c r="BN10" s="24" t="n"/>
      <c r="BO10" s="24" t="n"/>
      <c r="BP10" s="24" t="n"/>
      <c r="BQ10" s="24" t="n"/>
      <c r="BR10" s="24" t="n"/>
      <c r="BS10" s="23" t="inlineStr">
        <is>
          <t>Total consumo intermedio</t>
        </is>
      </c>
      <c r="BT10" s="23" t="inlineStr">
        <is>
          <t>Demanda final</t>
        </is>
      </c>
      <c r="BU10" s="24" t="n"/>
      <c r="BV10" s="24" t="n"/>
      <c r="BW10" s="24" t="n"/>
      <c r="BX10" s="23" t="inlineStr">
        <is>
          <t>Total demanda final</t>
        </is>
      </c>
      <c r="BY10" s="23" t="inlineStr">
        <is>
          <t>Total</t>
        </is>
      </c>
    </row>
    <row r="11" ht="15" customHeight="1">
      <c r="C11" s="25" t="inlineStr">
        <is>
          <t>0191</t>
        </is>
      </c>
      <c r="D11" s="25" t="inlineStr">
        <is>
          <t>0192</t>
        </is>
      </c>
      <c r="E11" s="25" t="inlineStr">
        <is>
          <t>0280</t>
        </is>
      </c>
      <c r="F11" s="25" t="inlineStr">
        <is>
          <t>0580</t>
        </is>
      </c>
      <c r="G11" s="25" t="inlineStr">
        <is>
          <t>0680</t>
        </is>
      </c>
      <c r="H11" s="25" t="inlineStr">
        <is>
          <t>0791</t>
        </is>
      </c>
      <c r="I11" s="25" t="inlineStr">
        <is>
          <t>0792</t>
        </is>
      </c>
      <c r="J11" s="25" t="inlineStr">
        <is>
          <t>1091</t>
        </is>
      </c>
      <c r="K11" s="25" t="inlineStr">
        <is>
          <t>1092</t>
        </is>
      </c>
      <c r="L11" s="25" t="inlineStr">
        <is>
          <t>1093</t>
        </is>
      </c>
      <c r="M11" s="25" t="inlineStr">
        <is>
          <t>1100</t>
        </is>
      </c>
      <c r="N11" s="25" t="inlineStr">
        <is>
          <t>1200</t>
        </is>
      </c>
      <c r="O11" s="25" t="inlineStr">
        <is>
          <t>1300</t>
        </is>
      </c>
      <c r="P11" s="25" t="inlineStr">
        <is>
          <t>1400</t>
        </is>
      </c>
      <c r="Q11" s="25" t="inlineStr">
        <is>
          <t>1500</t>
        </is>
      </c>
      <c r="R11" s="25" t="inlineStr">
        <is>
          <t>1600</t>
        </is>
      </c>
      <c r="S11" s="25" t="inlineStr">
        <is>
          <t>1700</t>
        </is>
      </c>
      <c r="T11" s="25" t="inlineStr">
        <is>
          <t>1800</t>
        </is>
      </c>
      <c r="U11" s="25" t="inlineStr">
        <is>
          <t>1991</t>
        </is>
      </c>
      <c r="V11" s="25" t="inlineStr">
        <is>
          <t>1992</t>
        </is>
      </c>
      <c r="W11" s="25" t="inlineStr">
        <is>
          <t>2091</t>
        </is>
      </c>
      <c r="X11" s="25" t="inlineStr">
        <is>
          <t>2092</t>
        </is>
      </c>
      <c r="Y11" s="25" t="inlineStr">
        <is>
          <t>2093</t>
        </is>
      </c>
      <c r="Z11" s="25" t="inlineStr">
        <is>
          <t>2100</t>
        </is>
      </c>
      <c r="AA11" s="25" t="inlineStr">
        <is>
          <t>2200</t>
        </is>
      </c>
      <c r="AB11" s="25" t="inlineStr">
        <is>
          <t>2300</t>
        </is>
      </c>
      <c r="AC11" s="25" t="inlineStr">
        <is>
          <t>2491</t>
        </is>
      </c>
      <c r="AD11" s="25" t="inlineStr">
        <is>
          <t>2492</t>
        </is>
      </c>
      <c r="AE11" s="25" t="inlineStr">
        <is>
          <t>2500</t>
        </is>
      </c>
      <c r="AF11" s="25" t="inlineStr">
        <is>
          <t>2600</t>
        </is>
      </c>
      <c r="AG11" s="25" t="inlineStr">
        <is>
          <t>2700</t>
        </is>
      </c>
      <c r="AH11" s="25" t="inlineStr">
        <is>
          <t>2800</t>
        </is>
      </c>
      <c r="AI11" s="25" t="inlineStr">
        <is>
          <t>2991</t>
        </is>
      </c>
      <c r="AJ11" s="25" t="inlineStr">
        <is>
          <t>2992</t>
        </is>
      </c>
      <c r="AK11" s="25" t="inlineStr">
        <is>
          <t>3000</t>
        </is>
      </c>
      <c r="AL11" s="25" t="inlineStr">
        <is>
          <t>3180</t>
        </is>
      </c>
      <c r="AM11" s="25" t="inlineStr">
        <is>
          <t>3300</t>
        </is>
      </c>
      <c r="AN11" s="25" t="inlineStr">
        <is>
          <t>3500</t>
        </is>
      </c>
      <c r="AO11" s="25" t="inlineStr">
        <is>
          <t>3680</t>
        </is>
      </c>
      <c r="AP11" s="25" t="inlineStr">
        <is>
          <t>4180</t>
        </is>
      </c>
      <c r="AQ11" s="25" t="inlineStr">
        <is>
          <t>4500</t>
        </is>
      </c>
      <c r="AR11" s="25" t="inlineStr">
        <is>
          <t>4680</t>
        </is>
      </c>
      <c r="AS11" s="25" t="inlineStr">
        <is>
          <t>4900</t>
        </is>
      </c>
      <c r="AT11" s="25" t="inlineStr">
        <is>
          <t>5000</t>
        </is>
      </c>
      <c r="AU11" s="25" t="inlineStr">
        <is>
          <t>5100</t>
        </is>
      </c>
      <c r="AV11" s="25" t="inlineStr">
        <is>
          <t>5280</t>
        </is>
      </c>
      <c r="AW11" s="25" t="inlineStr">
        <is>
          <t>5500</t>
        </is>
      </c>
      <c r="AX11" s="25" t="inlineStr">
        <is>
          <t>5600</t>
        </is>
      </c>
      <c r="AY11" s="25" t="inlineStr">
        <is>
          <t>5800</t>
        </is>
      </c>
      <c r="AZ11" s="25" t="inlineStr">
        <is>
          <t>5980</t>
        </is>
      </c>
      <c r="BA11" s="25" t="inlineStr">
        <is>
          <t>6100</t>
        </is>
      </c>
      <c r="BB11" s="25" t="inlineStr">
        <is>
          <t>6280</t>
        </is>
      </c>
      <c r="BC11" s="25" t="inlineStr">
        <is>
          <t>6480</t>
        </is>
      </c>
      <c r="BD11" s="25" t="inlineStr">
        <is>
          <t>6800</t>
        </is>
      </c>
      <c r="BE11" s="25" t="inlineStr">
        <is>
          <t>6980</t>
        </is>
      </c>
      <c r="BF11" s="25" t="inlineStr">
        <is>
          <t>7180</t>
        </is>
      </c>
      <c r="BG11" s="25" t="inlineStr">
        <is>
          <t>7380</t>
        </is>
      </c>
      <c r="BH11" s="25" t="inlineStr">
        <is>
          <t>7700</t>
        </is>
      </c>
      <c r="BI11" s="25" t="inlineStr">
        <is>
          <t>7880</t>
        </is>
      </c>
      <c r="BJ11" s="25" t="inlineStr">
        <is>
          <t>8000</t>
        </is>
      </c>
      <c r="BK11" s="25" t="inlineStr">
        <is>
          <t>8400</t>
        </is>
      </c>
      <c r="BL11" s="25" t="inlineStr">
        <is>
          <t>8591</t>
        </is>
      </c>
      <c r="BM11" s="25" t="inlineStr">
        <is>
          <t>8592</t>
        </is>
      </c>
      <c r="BN11" s="25" t="inlineStr">
        <is>
          <t>8691</t>
        </is>
      </c>
      <c r="BO11" s="25" t="inlineStr">
        <is>
          <t>8692</t>
        </is>
      </c>
      <c r="BP11" s="25" t="inlineStr">
        <is>
          <t>9080</t>
        </is>
      </c>
      <c r="BQ11" s="25" t="inlineStr">
        <is>
          <t>9480</t>
        </is>
      </c>
      <c r="BR11" s="25" t="inlineStr">
        <is>
          <t>9700</t>
        </is>
      </c>
      <c r="BT11" s="25" t="inlineStr"/>
      <c r="BU11" s="25" t="inlineStr"/>
      <c r="BV11" s="25" t="inlineStr"/>
      <c r="BW11" s="25" t="inlineStr"/>
    </row>
    <row r="12" ht="90" customHeight="1">
      <c r="A12" s="26" t="n"/>
      <c r="B12" s="26" t="n"/>
      <c r="C12" s="27" t="inlineStr">
        <is>
          <t>Agricultura, inclusive o apoio à agricultura e a pós-colheita</t>
        </is>
      </c>
      <c r="D12" s="27" t="inlineStr">
        <is>
          <t>Pecuária, inclusive o apoio à pecuária</t>
        </is>
      </c>
      <c r="E12" s="27" t="inlineStr">
        <is>
          <t>Produção florestal; pesca e aquicultura</t>
        </is>
      </c>
      <c r="F12" s="27" t="inlineStr">
        <is>
          <t>Extração de carvão mineral e de minerais não-metálicos</t>
        </is>
      </c>
      <c r="G12" s="27" t="inlineStr">
        <is>
          <t>Extração de petróleo e gás, inclusive as atividades de apoio</t>
        </is>
      </c>
      <c r="H12" s="27" t="inlineStr">
        <is>
          <t>Extração de minério de ferro, inclusive beneficiamentos e a aglomeração</t>
        </is>
      </c>
      <c r="I12" s="27" t="inlineStr">
        <is>
          <t>Extração de minerais metálicos não-ferrosos, inclusive beneficiamentos</t>
        </is>
      </c>
      <c r="J12" s="27" t="inlineStr">
        <is>
          <t>Abate e produtos de carne, inclusive os produtos do laticínio e da pesca</t>
        </is>
      </c>
      <c r="K12" s="27" t="inlineStr">
        <is>
          <t>Fabricação e refino de açúcar</t>
        </is>
      </c>
      <c r="L12" s="27" t="inlineStr">
        <is>
          <t>Outros produtos alimentares</t>
        </is>
      </c>
      <c r="M12" s="27" t="inlineStr">
        <is>
          <t>Fabricação de bebidas</t>
        </is>
      </c>
      <c r="N12" s="27" t="inlineStr">
        <is>
          <t>Fabricação de produtos do fumo</t>
        </is>
      </c>
      <c r="O12" s="27" t="inlineStr">
        <is>
          <t>Fabricação de produtos têxteis</t>
        </is>
      </c>
      <c r="P12" s="27" t="inlineStr">
        <is>
          <t>Confecção de artefatos do vestuário e acessórios</t>
        </is>
      </c>
      <c r="Q12" s="27" t="inlineStr">
        <is>
          <t>Fabricação de calçados e de artefatos de couro</t>
        </is>
      </c>
      <c r="R12" s="27" t="inlineStr">
        <is>
          <t>Fabricação de produtos da madeira</t>
        </is>
      </c>
      <c r="S12" s="27" t="inlineStr">
        <is>
          <t>Fabricação de celulose, papel e produtos de papel</t>
        </is>
      </c>
      <c r="T12" s="27" t="inlineStr">
        <is>
          <t>Impressão e reprodução de gravações</t>
        </is>
      </c>
      <c r="U12" s="27" t="inlineStr">
        <is>
          <t>Refino de petróleo e coquerias</t>
        </is>
      </c>
      <c r="V12" s="27" t="inlineStr">
        <is>
          <t>Fabricação de biocombustíveis</t>
        </is>
      </c>
      <c r="W12" s="27" t="inlineStr">
        <is>
          <t>Fabricação de químicos orgânicos e inorgânicos, resinas e elastômeros</t>
        </is>
      </c>
      <c r="X12" s="27" t="inlineStr">
        <is>
          <t>Fabricação de defensivos, desinfestantes, tintas e químicos diversos</t>
        </is>
      </c>
      <c r="Y12" s="27" t="inlineStr">
        <is>
          <t>Fabricação de produtos de limpeza, cosméticos/perfumaria e higiene pessoal</t>
        </is>
      </c>
      <c r="Z12" s="27" t="inlineStr">
        <is>
          <t>Fabricação de produtos farmoquímicos e farmacêuticos</t>
        </is>
      </c>
      <c r="AA12" s="27" t="inlineStr">
        <is>
          <t>Fabricação de produtos de borracha e de material plástico</t>
        </is>
      </c>
      <c r="AB12" s="27" t="inlineStr">
        <is>
          <t>Fabricação de produtos de minerais não-metálicos</t>
        </is>
      </c>
      <c r="AC12" s="27" t="inlineStr">
        <is>
          <t>Produção de ferro-gusa/ferroligas, siderurgia e tubos de aço sem costura</t>
        </is>
      </c>
      <c r="AD12" s="27" t="inlineStr">
        <is>
          <t>Metalurgia de metais não-ferrosos e a fundição de metais</t>
        </is>
      </c>
      <c r="AE12" s="27" t="inlineStr">
        <is>
          <t>Fabricação de produtos de metal, exceto máquinas e equipamentos</t>
        </is>
      </c>
      <c r="AF12" s="27" t="inlineStr">
        <is>
          <t>Fabricação de equipamentos de informática, produtos eletrônicos e ópticos</t>
        </is>
      </c>
      <c r="AG12" s="27" t="inlineStr">
        <is>
          <t>Fabricação de máquinas e equipamentos elétricos</t>
        </is>
      </c>
      <c r="AH12" s="27" t="inlineStr">
        <is>
          <t>Fabricação de máquinas e equipamentos mecânicos</t>
        </is>
      </c>
      <c r="AI12" s="27" t="inlineStr">
        <is>
          <t>Fabricação de automóveis, caminhões e ônibus, exceto peças</t>
        </is>
      </c>
      <c r="AJ12" s="27" t="inlineStr">
        <is>
          <t>Fabricação de peças e acessórios para veículos automotores</t>
        </is>
      </c>
      <c r="AK12" s="27" t="inlineStr">
        <is>
          <t>Fabricação de outros equipamentos de transporte, exceto veículos automotores</t>
        </is>
      </c>
      <c r="AL12" s="27" t="inlineStr">
        <is>
          <t>Fabricação de móveis e de produtos de indústrias diversas</t>
        </is>
      </c>
      <c r="AM12" s="27" t="inlineStr">
        <is>
          <t>Manutenção, reparação e instalação de máquinas e equipamentos</t>
        </is>
      </c>
      <c r="AN12" s="27" t="inlineStr">
        <is>
          <t>Energia elétrica, gás natural e outras utilidades</t>
        </is>
      </c>
      <c r="AO12" s="27" t="inlineStr">
        <is>
          <t>Água, esgoto e gestão de resíduos</t>
        </is>
      </c>
      <c r="AP12" s="27" t="inlineStr">
        <is>
          <t>Construção</t>
        </is>
      </c>
      <c r="AQ12" s="27" t="inlineStr">
        <is>
          <t>Comércio e reparação de veículos automotores e motocicletas</t>
        </is>
      </c>
      <c r="AR12" s="27" t="inlineStr">
        <is>
          <t>Comércio por atacado e a varejo, exceto veículos automotores</t>
        </is>
      </c>
      <c r="AS12" s="27" t="inlineStr">
        <is>
          <t>Transporte terrestre</t>
        </is>
      </c>
      <c r="AT12" s="27" t="inlineStr">
        <is>
          <t>Transporte aquaviário</t>
        </is>
      </c>
      <c r="AU12" s="27" t="inlineStr">
        <is>
          <t>Transporte aéreo</t>
        </is>
      </c>
      <c r="AV12" s="27" t="inlineStr">
        <is>
          <t>Armazenamento, atividades auxiliares dos transportes e correio</t>
        </is>
      </c>
      <c r="AW12" s="27" t="inlineStr">
        <is>
          <t>Alojamento</t>
        </is>
      </c>
      <c r="AX12" s="27" t="inlineStr">
        <is>
          <t>Alimentação</t>
        </is>
      </c>
      <c r="AY12" s="27" t="inlineStr">
        <is>
          <t>Edição e edição integrada à impressão</t>
        </is>
      </c>
      <c r="AZ12" s="27" t="inlineStr">
        <is>
          <t>Atividades de televisão, rádio, cinema e  gravação/edição de som e imagem</t>
        </is>
      </c>
      <c r="BA12" s="27" t="inlineStr">
        <is>
          <t>Telecomunicações</t>
        </is>
      </c>
      <c r="BB12" s="27" t="inlineStr">
        <is>
          <t>Desenvolvimento de sistemas e outros serviços de informação</t>
        </is>
      </c>
      <c r="BC12" s="27" t="inlineStr">
        <is>
          <t>Intermediação financeira, seguros e previdência complementar</t>
        </is>
      </c>
      <c r="BD12" s="27" t="inlineStr">
        <is>
          <t>Atividades imobiliárias</t>
        </is>
      </c>
      <c r="BE12" s="27" t="inlineStr">
        <is>
          <t>Atividades jurídicas, contábeis, consultoria e sedes de empresas</t>
        </is>
      </c>
      <c r="BF12" s="27" t="inlineStr">
        <is>
          <t>Serviços de arquitetura, engenharia, testes/análises técnicas e P &amp; D</t>
        </is>
      </c>
      <c r="BG12" s="27" t="inlineStr">
        <is>
          <t>Outras atividades profissionais, científicas e técnicas</t>
        </is>
      </c>
      <c r="BH12" s="27" t="inlineStr">
        <is>
          <t>Aluguéis não-imobiliários e gestão de ativos de propriedade intelectual</t>
        </is>
      </c>
      <c r="BI12" s="27" t="inlineStr">
        <is>
          <t>Outras atividades administrativas e serviços complementares</t>
        </is>
      </c>
      <c r="BJ12" s="27" t="inlineStr">
        <is>
          <t>Atividades de vigilância, segurança e investigação</t>
        </is>
      </c>
      <c r="BK12" s="27" t="inlineStr">
        <is>
          <t>Administração pública, defesa e seguridade social</t>
        </is>
      </c>
      <c r="BL12" s="27" t="inlineStr">
        <is>
          <t>Educação pública</t>
        </is>
      </c>
      <c r="BM12" s="27" t="inlineStr">
        <is>
          <t>Educação privada</t>
        </is>
      </c>
      <c r="BN12" s="27" t="inlineStr">
        <is>
          <t>Saúde pública</t>
        </is>
      </c>
      <c r="BO12" s="27" t="inlineStr">
        <is>
          <t>Saúde privada</t>
        </is>
      </c>
      <c r="BP12" s="27" t="inlineStr">
        <is>
          <t>Atividades artísticas, criativas e de espetáculos</t>
        </is>
      </c>
      <c r="BQ12" s="27" t="inlineStr">
        <is>
          <t>Organizações associativas e outros serviços pessoais</t>
        </is>
      </c>
      <c r="BR12" s="27" t="inlineStr">
        <is>
          <t>Serviços domésticos</t>
        </is>
      </c>
      <c r="BS12" s="26" t="n"/>
      <c r="BT12" s="27" t="inlineStr">
        <is>
          <t>Gasto de consumo final</t>
        </is>
      </c>
      <c r="BU12" s="27" t="inlineStr">
        <is>
          <t>Formacion bruta de capital</t>
        </is>
      </c>
      <c r="BV12" s="27" t="inlineStr">
        <is>
          <t>Exportaciones netas</t>
        </is>
      </c>
      <c r="BW12" s="27" t="inlineStr">
        <is>
          <t>Sin desglose fuente</t>
        </is>
      </c>
      <c r="BX12" s="26" t="n"/>
      <c r="BY12" s="26" t="n"/>
    </row>
    <row r="13"/>
    <row r="14">
      <c r="A14" s="28" t="inlineStr">
        <is>
          <t>0191</t>
        </is>
      </c>
      <c r="B14" s="28" t="inlineStr">
        <is>
          <t>Agricultura, inclusive o apoio à agricultura e a pós-colheita</t>
        </is>
      </c>
      <c r="C14" s="29" t="n">
        <v>1143.139056001869</v>
      </c>
      <c r="D14" s="29" t="n">
        <v>821.2634458703604</v>
      </c>
      <c r="E14" s="29" t="n">
        <v>51.54633073354197</v>
      </c>
      <c r="F14" s="29" t="n">
        <v>1.069854867049586</v>
      </c>
      <c r="G14" s="29" t="n">
        <v>0.7754740834112264</v>
      </c>
      <c r="H14" s="29" t="n">
        <v>0.1152757163526785</v>
      </c>
      <c r="I14" s="29" t="n">
        <v>0.03794829989869109</v>
      </c>
      <c r="J14" s="29" t="n">
        <v>700.6000119114954</v>
      </c>
      <c r="K14" s="29" t="n">
        <v>1870.023158789541</v>
      </c>
      <c r="L14" s="29" t="n">
        <v>10821.2075226831</v>
      </c>
      <c r="M14" s="29" t="n">
        <v>250.4682608711031</v>
      </c>
      <c r="N14" s="29" t="n">
        <v>1077.805837633249</v>
      </c>
      <c r="O14" s="29" t="n">
        <v>887.6816492398174</v>
      </c>
      <c r="P14" s="29" t="n">
        <v>199.8635482314303</v>
      </c>
      <c r="Q14" s="29" t="n">
        <v>3.174666573206814</v>
      </c>
      <c r="R14" s="29" t="n">
        <v>40.03223544703535</v>
      </c>
      <c r="S14" s="29" t="n">
        <v>47.33010354961434</v>
      </c>
      <c r="T14" s="29" t="n">
        <v>0.01305944105024825</v>
      </c>
      <c r="U14" s="29" t="n">
        <v>2.742769447185418</v>
      </c>
      <c r="V14" s="29" t="n">
        <v>783.5619368948413</v>
      </c>
      <c r="W14" s="29" t="n">
        <v>6.671145179172154</v>
      </c>
      <c r="X14" s="29" t="n">
        <v>6.493863634329661</v>
      </c>
      <c r="Y14" s="29" t="n">
        <v>0.4332591735505489</v>
      </c>
      <c r="Z14" s="29" t="n">
        <v>5.042717070169477</v>
      </c>
      <c r="AA14" s="29" t="n">
        <v>21.50004840353538</v>
      </c>
      <c r="AB14" s="29" t="n">
        <v>8.240005050860173</v>
      </c>
      <c r="AC14" s="29" t="n">
        <v>7.030303665140045</v>
      </c>
      <c r="AD14" s="29" t="n">
        <v>0.6813634167671371</v>
      </c>
      <c r="AE14" s="29" t="n">
        <v>1.087920385200574</v>
      </c>
      <c r="AF14" s="29" t="n">
        <v>0.07299869707124737</v>
      </c>
      <c r="AG14" s="29" t="n">
        <v>0.1298515806733385</v>
      </c>
      <c r="AH14" s="29" t="n">
        <v>0.3457331727499155</v>
      </c>
      <c r="AI14" s="29" t="n">
        <v>0.2531589540335769</v>
      </c>
      <c r="AJ14" s="29" t="n">
        <v>0.1410274425676899</v>
      </c>
      <c r="AK14" s="29" t="n">
        <v>0.1750753079489616</v>
      </c>
      <c r="AL14" s="29" t="n">
        <v>6.15081864761853</v>
      </c>
      <c r="AM14" s="29" t="n">
        <v>0.02026302011502168</v>
      </c>
      <c r="AN14" s="29" t="n">
        <v>0.2387892332944378</v>
      </c>
      <c r="AO14" s="29" t="n">
        <v>5.379737034907953</v>
      </c>
      <c r="AP14" s="29" t="n">
        <v>29.65013236699317</v>
      </c>
      <c r="AQ14" s="29" t="n">
        <v>0.4489831350340501</v>
      </c>
      <c r="AR14" s="29" t="n">
        <v>916.358597551536</v>
      </c>
      <c r="AS14" s="29" t="n">
        <v>0.2011114744432047</v>
      </c>
      <c r="AT14" s="29" t="n">
        <v>0.003092648034264823</v>
      </c>
      <c r="AU14" s="29" t="n">
        <v>0.1191061353420182</v>
      </c>
      <c r="AV14" s="29" t="n">
        <v>0.3362881834528803</v>
      </c>
      <c r="AW14" s="29" t="n">
        <v>71.05889934816345</v>
      </c>
      <c r="AX14" s="29" t="n">
        <v>791.7955053438031</v>
      </c>
      <c r="AY14" s="29" t="n">
        <v>0.06013344160517899</v>
      </c>
      <c r="AZ14" s="29" t="n">
        <v>0.1687967092193119</v>
      </c>
      <c r="BA14" s="29" t="n">
        <v>1.373678092774112</v>
      </c>
      <c r="BB14" s="29" t="n">
        <v>0.2317831114445041</v>
      </c>
      <c r="BC14" s="29" t="n">
        <v>1.510804573574778</v>
      </c>
      <c r="BD14" s="29" t="n">
        <v>0.8382652442106693</v>
      </c>
      <c r="BE14" s="29" t="n">
        <v>0.6628226161998297</v>
      </c>
      <c r="BF14" s="29" t="n">
        <v>1.459189984519708</v>
      </c>
      <c r="BG14" s="29" t="n">
        <v>0.09978401732346197</v>
      </c>
      <c r="BH14" s="29" t="n">
        <v>0.07531488443416985</v>
      </c>
      <c r="BI14" s="29" t="n">
        <v>16.32051619722947</v>
      </c>
      <c r="BJ14" s="29" t="n">
        <v>0.03470908381099857</v>
      </c>
      <c r="BK14" s="29" t="n">
        <v>328.496563184858</v>
      </c>
      <c r="BL14" s="29" t="n">
        <v>102.8624561503028</v>
      </c>
      <c r="BM14" s="29" t="n">
        <v>9.160163417213074</v>
      </c>
      <c r="BN14" s="29" t="n">
        <v>51.06976112579782</v>
      </c>
      <c r="BO14" s="29" t="n">
        <v>34.71580802205333</v>
      </c>
      <c r="BP14" s="29" t="n">
        <v>0.3588480182103864</v>
      </c>
      <c r="BQ14" s="29" t="n">
        <v>39.03610898016399</v>
      </c>
      <c r="BR14" s="29" t="n">
        <v>0</v>
      </c>
      <c r="BS14" s="29">
        <f>SUM(C14:BR14)</f>
        <v/>
      </c>
      <c r="BT14" s="29" t="n">
        <v>0</v>
      </c>
      <c r="BU14" s="29" t="n">
        <v>0</v>
      </c>
      <c r="BV14" s="29" t="n">
        <v>0</v>
      </c>
      <c r="BW14" s="29" t="n">
        <v>0</v>
      </c>
      <c r="BX14" s="29">
        <f>SUM(BT14:BW14)</f>
        <v/>
      </c>
      <c r="BY14" s="29">
        <f>BS14+BX14</f>
        <v/>
      </c>
    </row>
    <row r="15">
      <c r="A15" s="30" t="inlineStr">
        <is>
          <t>0192</t>
        </is>
      </c>
      <c r="B15" s="30" t="inlineStr">
        <is>
          <t>Pecuária, inclusive o apoio à pecuária</t>
        </is>
      </c>
      <c r="C15" s="31" t="n">
        <v>110.5304695951682</v>
      </c>
      <c r="D15" s="31" t="n">
        <v>532.225431518416</v>
      </c>
      <c r="E15" s="31" t="n">
        <v>37.00663638468549</v>
      </c>
      <c r="F15" s="31" t="n">
        <v>3.001870189986579</v>
      </c>
      <c r="G15" s="31" t="n">
        <v>3.103175333473705</v>
      </c>
      <c r="H15" s="31" t="n">
        <v>0.1817138314770309</v>
      </c>
      <c r="I15" s="31" t="n">
        <v>0.0855955712995991</v>
      </c>
      <c r="J15" s="31" t="n">
        <v>6981.581376175611</v>
      </c>
      <c r="K15" s="31" t="n">
        <v>11.08994903751027</v>
      </c>
      <c r="L15" s="31" t="n">
        <v>549.755743213097</v>
      </c>
      <c r="M15" s="31" t="n">
        <v>26.52049190125533</v>
      </c>
      <c r="N15" s="31" t="n">
        <v>51.80823687823616</v>
      </c>
      <c r="O15" s="31" t="n">
        <v>77.30256572782537</v>
      </c>
      <c r="P15" s="31" t="n">
        <v>44.572825010575</v>
      </c>
      <c r="Q15" s="31" t="n">
        <v>2.970971332553134</v>
      </c>
      <c r="R15" s="31" t="n">
        <v>43.85128289336539</v>
      </c>
      <c r="S15" s="31" t="n">
        <v>46.44611656110791</v>
      </c>
      <c r="T15" s="31" t="n">
        <v>0.03605498995153675</v>
      </c>
      <c r="U15" s="31" t="n">
        <v>0.06019473277116251</v>
      </c>
      <c r="V15" s="31" t="n">
        <v>8.818131209254586</v>
      </c>
      <c r="W15" s="31" t="n">
        <v>24.74366739238471</v>
      </c>
      <c r="X15" s="31" t="n">
        <v>3.304225136878371</v>
      </c>
      <c r="Y15" s="31" t="n">
        <v>0.8748184111890095</v>
      </c>
      <c r="Z15" s="31" t="n">
        <v>1.401549977128909</v>
      </c>
      <c r="AA15" s="31" t="n">
        <v>21.6719688494672</v>
      </c>
      <c r="AB15" s="31" t="n">
        <v>36.72588630884992</v>
      </c>
      <c r="AC15" s="31" t="n">
        <v>10.33429372948122</v>
      </c>
      <c r="AD15" s="31" t="n">
        <v>2.298339537901807</v>
      </c>
      <c r="AE15" s="31" t="n">
        <v>0.7039594756000421</v>
      </c>
      <c r="AF15" s="31" t="n">
        <v>0.2495934843733435</v>
      </c>
      <c r="AG15" s="31" t="n">
        <v>0.5292087744004369</v>
      </c>
      <c r="AH15" s="31" t="n">
        <v>0.6705757609589446</v>
      </c>
      <c r="AI15" s="31" t="n">
        <v>0.4058720447045464</v>
      </c>
      <c r="AJ15" s="31" t="n">
        <v>0.4289030391662801</v>
      </c>
      <c r="AK15" s="31" t="n">
        <v>0.1743171079462353</v>
      </c>
      <c r="AL15" s="31" t="n">
        <v>2.293585428566908</v>
      </c>
      <c r="AM15" s="31" t="n">
        <v>0.07078992368389113</v>
      </c>
      <c r="AN15" s="31" t="n">
        <v>0.3346272527221031</v>
      </c>
      <c r="AO15" s="31" t="n">
        <v>2.785785016948576</v>
      </c>
      <c r="AP15" s="31" t="n">
        <v>78.04680859224509</v>
      </c>
      <c r="AQ15" s="31" t="n">
        <v>0.866666954232186</v>
      </c>
      <c r="AR15" s="31" t="n">
        <v>53.5510944051259</v>
      </c>
      <c r="AS15" s="31" t="n">
        <v>0.3580261946105577</v>
      </c>
      <c r="AT15" s="31" t="n">
        <v>0.01017052858152214</v>
      </c>
      <c r="AU15" s="31" t="n">
        <v>0.1840358480187854</v>
      </c>
      <c r="AV15" s="31" t="n">
        <v>0.7564250963413696</v>
      </c>
      <c r="AW15" s="31" t="n">
        <v>24.41135599267745</v>
      </c>
      <c r="AX15" s="31" t="n">
        <v>186.5651412948897</v>
      </c>
      <c r="AY15" s="31" t="n">
        <v>0.2082408165419746</v>
      </c>
      <c r="AZ15" s="31" t="n">
        <v>0.3158812932797815</v>
      </c>
      <c r="BA15" s="31" t="n">
        <v>2.865947678580164</v>
      </c>
      <c r="BB15" s="31" t="n">
        <v>0.7441890029236967</v>
      </c>
      <c r="BC15" s="31" t="n">
        <v>2.966398296903143</v>
      </c>
      <c r="BD15" s="31" t="n">
        <v>2.424143036117597</v>
      </c>
      <c r="BE15" s="31" t="n">
        <v>0.5675292830131419</v>
      </c>
      <c r="BF15" s="31" t="n">
        <v>1.052067479571485</v>
      </c>
      <c r="BG15" s="31" t="n">
        <v>0.6845273477097414</v>
      </c>
      <c r="BH15" s="31" t="n">
        <v>0.2453243806824629</v>
      </c>
      <c r="BI15" s="31" t="n">
        <v>1.5944092754987</v>
      </c>
      <c r="BJ15" s="31" t="n">
        <v>0.08202291193800387</v>
      </c>
      <c r="BK15" s="31" t="n">
        <v>39.02834755704323</v>
      </c>
      <c r="BL15" s="31" t="n">
        <v>17.43702978846967</v>
      </c>
      <c r="BM15" s="31" t="n">
        <v>1.947416345141443</v>
      </c>
      <c r="BN15" s="31" t="n">
        <v>8.276335309528601</v>
      </c>
      <c r="BO15" s="31" t="n">
        <v>10.63881578979631</v>
      </c>
      <c r="BP15" s="31" t="n">
        <v>0.3380970279298711</v>
      </c>
      <c r="BQ15" s="31" t="n">
        <v>18.06403747307323</v>
      </c>
      <c r="BR15" s="31" t="n">
        <v>0</v>
      </c>
      <c r="BS15" s="31">
        <f>SUM(C15:BR15)</f>
        <v/>
      </c>
      <c r="BT15" s="31" t="n">
        <v>0</v>
      </c>
      <c r="BU15" s="31" t="n">
        <v>0</v>
      </c>
      <c r="BV15" s="31" t="n">
        <v>0</v>
      </c>
      <c r="BW15" s="31" t="n">
        <v>0</v>
      </c>
      <c r="BX15" s="31">
        <f>SUM(BT15:BW15)</f>
        <v/>
      </c>
      <c r="BY15" s="31">
        <f>BS15+BX15</f>
        <v/>
      </c>
    </row>
    <row r="16">
      <c r="A16" s="28" t="inlineStr">
        <is>
          <t>0280</t>
        </is>
      </c>
      <c r="B16" s="28" t="inlineStr">
        <is>
          <t>Produção florestal; pesca e aquicultura</t>
        </is>
      </c>
      <c r="C16" s="29" t="n">
        <v>287.6475170797228</v>
      </c>
      <c r="D16" s="29" t="n">
        <v>328.5452964506771</v>
      </c>
      <c r="E16" s="29" t="n">
        <v>606.4744922942338</v>
      </c>
      <c r="F16" s="29" t="n">
        <v>0.7047985997501911</v>
      </c>
      <c r="G16" s="29" t="n">
        <v>0.1877104362756067</v>
      </c>
      <c r="H16" s="29" t="n">
        <v>0.02038721998275829</v>
      </c>
      <c r="I16" s="29" t="n">
        <v>0.004999218145206954</v>
      </c>
      <c r="J16" s="29" t="n">
        <v>305.6606555243962</v>
      </c>
      <c r="K16" s="29" t="n">
        <v>0.05662198166234644</v>
      </c>
      <c r="L16" s="29" t="n">
        <v>83.55832289038543</v>
      </c>
      <c r="M16" s="29" t="n">
        <v>3.957628120408113</v>
      </c>
      <c r="N16" s="29" t="n">
        <v>5.158076784908496</v>
      </c>
      <c r="O16" s="29" t="n">
        <v>25.75949828020592</v>
      </c>
      <c r="P16" s="29" t="n">
        <v>8.701481896286937</v>
      </c>
      <c r="Q16" s="29" t="n">
        <v>5.965961288207821</v>
      </c>
      <c r="R16" s="29" t="n">
        <v>847.2798766192793</v>
      </c>
      <c r="S16" s="29" t="n">
        <v>840.8318223459179</v>
      </c>
      <c r="T16" s="29" t="n">
        <v>0.002536635518989575</v>
      </c>
      <c r="U16" s="29" t="n">
        <v>0.004525923248078953</v>
      </c>
      <c r="V16" s="29" t="n">
        <v>0.4261851064619037</v>
      </c>
      <c r="W16" s="29" t="n">
        <v>43.96029971518506</v>
      </c>
      <c r="X16" s="29" t="n">
        <v>0.8944608789656775</v>
      </c>
      <c r="Y16" s="29" t="n">
        <v>0.01381202814386939</v>
      </c>
      <c r="Z16" s="29" t="n">
        <v>0.1495705196090832</v>
      </c>
      <c r="AA16" s="29" t="n">
        <v>409.5971917248407</v>
      </c>
      <c r="AB16" s="29" t="n">
        <v>19.77995284320177</v>
      </c>
      <c r="AC16" s="29" t="n">
        <v>139.3691233831146</v>
      </c>
      <c r="AD16" s="29" t="n">
        <v>0.1315818356742105</v>
      </c>
      <c r="AE16" s="29" t="n">
        <v>3.338773041286494</v>
      </c>
      <c r="AF16" s="29" t="n">
        <v>0.01947690218914996</v>
      </c>
      <c r="AG16" s="29" t="n">
        <v>0.03543382210811722</v>
      </c>
      <c r="AH16" s="29" t="n">
        <v>0.04616451268009233</v>
      </c>
      <c r="AI16" s="29" t="n">
        <v>0.02607971583475467</v>
      </c>
      <c r="AJ16" s="29" t="n">
        <v>0.02797160732816605</v>
      </c>
      <c r="AK16" s="29" t="n">
        <v>0.01019871323360543</v>
      </c>
      <c r="AL16" s="29" t="n">
        <v>0.8188653376415985</v>
      </c>
      <c r="AM16" s="29" t="n">
        <v>0.005568052399099467</v>
      </c>
      <c r="AN16" s="29" t="n">
        <v>0.02151851876246188</v>
      </c>
      <c r="AO16" s="29" t="n">
        <v>0.1641649896304703</v>
      </c>
      <c r="AP16" s="29" t="n">
        <v>133.5881955612996</v>
      </c>
      <c r="AQ16" s="29" t="n">
        <v>0.06308630604769541</v>
      </c>
      <c r="AR16" s="29" t="n">
        <v>79.0794757016151</v>
      </c>
      <c r="AS16" s="29" t="n">
        <v>0.02977999178378692</v>
      </c>
      <c r="AT16" s="29" t="n">
        <v>0.0008525701877652653</v>
      </c>
      <c r="AU16" s="29" t="n">
        <v>0.01095906404831912</v>
      </c>
      <c r="AV16" s="29" t="n">
        <v>0.04875210104459871</v>
      </c>
      <c r="AW16" s="29" t="n">
        <v>10.56372838632272</v>
      </c>
      <c r="AX16" s="29" t="n">
        <v>107.7350370058439</v>
      </c>
      <c r="AY16" s="29" t="n">
        <v>0.01659209337998411</v>
      </c>
      <c r="AZ16" s="29" t="n">
        <v>0.02172510208487586</v>
      </c>
      <c r="BA16" s="29" t="n">
        <v>0.1574175810931038</v>
      </c>
      <c r="BB16" s="29" t="n">
        <v>0.05726542278676465</v>
      </c>
      <c r="BC16" s="29" t="n">
        <v>0.1848363907351321</v>
      </c>
      <c r="BD16" s="29" t="n">
        <v>0.1380948920238144</v>
      </c>
      <c r="BE16" s="29" t="n">
        <v>0.04414064891092961</v>
      </c>
      <c r="BF16" s="29" t="n">
        <v>1.488471883776307</v>
      </c>
      <c r="BG16" s="29" t="n">
        <v>0.01912467587428388</v>
      </c>
      <c r="BH16" s="29" t="n">
        <v>0.01974370293278663</v>
      </c>
      <c r="BI16" s="29" t="n">
        <v>0.09410624606896249</v>
      </c>
      <c r="BJ16" s="29" t="n">
        <v>0.006521935168833359</v>
      </c>
      <c r="BK16" s="29" t="n">
        <v>29.6782909509437</v>
      </c>
      <c r="BL16" s="29" t="n">
        <v>19.8023472652141</v>
      </c>
      <c r="BM16" s="29" t="n">
        <v>1.640425492998152</v>
      </c>
      <c r="BN16" s="29" t="n">
        <v>9.241343775036912</v>
      </c>
      <c r="BO16" s="29" t="n">
        <v>4.627087530100156</v>
      </c>
      <c r="BP16" s="29" t="n">
        <v>0.02501198714580937</v>
      </c>
      <c r="BQ16" s="29" t="n">
        <v>1.303672868229367</v>
      </c>
      <c r="BR16" s="29" t="n">
        <v>0</v>
      </c>
      <c r="BS16" s="29">
        <f>SUM(C16:BR16)</f>
        <v/>
      </c>
      <c r="BT16" s="29" t="n">
        <v>0</v>
      </c>
      <c r="BU16" s="29" t="n">
        <v>0</v>
      </c>
      <c r="BV16" s="29" t="n">
        <v>0</v>
      </c>
      <c r="BW16" s="29" t="n">
        <v>0</v>
      </c>
      <c r="BX16" s="29">
        <f>SUM(BT16:BW16)</f>
        <v/>
      </c>
      <c r="BY16" s="29">
        <f>BS16+BX16</f>
        <v/>
      </c>
    </row>
    <row r="17">
      <c r="A17" s="30" t="inlineStr">
        <is>
          <t>0580</t>
        </is>
      </c>
      <c r="B17" s="30" t="inlineStr">
        <is>
          <t>Extração de carvão mineral e de minerais não-metálicos</t>
        </is>
      </c>
      <c r="C17" s="31" t="n">
        <v>163.0724917540533</v>
      </c>
      <c r="D17" s="31" t="n">
        <v>175.1406952237774</v>
      </c>
      <c r="E17" s="31" t="n">
        <v>6.558990819479093</v>
      </c>
      <c r="F17" s="31" t="n">
        <v>168.5594606211716</v>
      </c>
      <c r="G17" s="31" t="n">
        <v>186.7403974976428</v>
      </c>
      <c r="H17" s="31" t="n">
        <v>0.06779445354596199</v>
      </c>
      <c r="I17" s="31" t="n">
        <v>5.348085566428103</v>
      </c>
      <c r="J17" s="31" t="n">
        <v>23.63343521465375</v>
      </c>
      <c r="K17" s="31" t="n">
        <v>10.05760532517025</v>
      </c>
      <c r="L17" s="31" t="n">
        <v>115.636220806419</v>
      </c>
      <c r="M17" s="31" t="n">
        <v>8.089591024855025</v>
      </c>
      <c r="N17" s="31" t="n">
        <v>-0.1564183935414261</v>
      </c>
      <c r="O17" s="31" t="n">
        <v>6.670463992780121</v>
      </c>
      <c r="P17" s="31" t="n">
        <v>-0.4301018171677515</v>
      </c>
      <c r="Q17" s="31" t="n">
        <v>5.728201947783653</v>
      </c>
      <c r="R17" s="31" t="n">
        <v>0.008622608815738049</v>
      </c>
      <c r="S17" s="31" t="n">
        <v>60.50885018266172</v>
      </c>
      <c r="T17" s="31" t="n">
        <v>0.3081723131325516</v>
      </c>
      <c r="U17" s="31" t="n">
        <v>34.57671158737636</v>
      </c>
      <c r="V17" s="31" t="n">
        <v>58.88884359126646</v>
      </c>
      <c r="W17" s="31" t="n">
        <v>2022.83609292588</v>
      </c>
      <c r="X17" s="31" t="n">
        <v>141.4463036892023</v>
      </c>
      <c r="Y17" s="31" t="n">
        <v>30.23675389602968</v>
      </c>
      <c r="Z17" s="31" t="n">
        <v>4.642742849472688</v>
      </c>
      <c r="AA17" s="31" t="n">
        <v>19.58433204369732</v>
      </c>
      <c r="AB17" s="31" t="n">
        <v>2197.95073428261</v>
      </c>
      <c r="AC17" s="31" t="n">
        <v>6663.07190177773</v>
      </c>
      <c r="AD17" s="31" t="n">
        <v>518.4964380642365</v>
      </c>
      <c r="AE17" s="31" t="n">
        <v>11.08378663165817</v>
      </c>
      <c r="AF17" s="31" t="n">
        <v>-0.4835555981471825</v>
      </c>
      <c r="AG17" s="31" t="n">
        <v>25.21477379790839</v>
      </c>
      <c r="AH17" s="31" t="n">
        <v>0.5456165879192139</v>
      </c>
      <c r="AI17" s="31" t="n">
        <v>8.311038931639009</v>
      </c>
      <c r="AJ17" s="31" t="n">
        <v>83.32894163595444</v>
      </c>
      <c r="AK17" s="31" t="n">
        <v>5.480435963018619</v>
      </c>
      <c r="AL17" s="31" t="n">
        <v>18.59223880027244</v>
      </c>
      <c r="AM17" s="31" t="n">
        <v>6.246365048196303</v>
      </c>
      <c r="AN17" s="31" t="n">
        <v>968.5783558237877</v>
      </c>
      <c r="AO17" s="31" t="n">
        <v>177.6437110671182</v>
      </c>
      <c r="AP17" s="31" t="n">
        <v>3088.437664285723</v>
      </c>
      <c r="AQ17" s="31" t="n">
        <v>0.6543506923980141</v>
      </c>
      <c r="AR17" s="31" t="n">
        <v>29.74227026847831</v>
      </c>
      <c r="AS17" s="31" t="n">
        <v>0.05695995915338688</v>
      </c>
      <c r="AT17" s="31" t="n">
        <v>0.02246005238410142</v>
      </c>
      <c r="AU17" s="31" t="n">
        <v>0.01140237282162619</v>
      </c>
      <c r="AV17" s="31" t="n">
        <v>2.101379047360488</v>
      </c>
      <c r="AW17" s="31" t="n">
        <v>1.048703309223223</v>
      </c>
      <c r="AX17" s="31" t="n">
        <v>9.437013147732747</v>
      </c>
      <c r="AY17" s="31" t="n">
        <v>-0.4476245883368544</v>
      </c>
      <c r="AZ17" s="31" t="n">
        <v>-0.3906579562961444</v>
      </c>
      <c r="BA17" s="31" t="n">
        <v>-3.005980175821027</v>
      </c>
      <c r="BB17" s="31" t="n">
        <v>-0.169667703925871</v>
      </c>
      <c r="BC17" s="31" t="n">
        <v>0.05003288480643923</v>
      </c>
      <c r="BD17" s="31" t="n">
        <v>104.0118267774406</v>
      </c>
      <c r="BE17" s="31" t="n">
        <v>-0.1254346699992598</v>
      </c>
      <c r="BF17" s="31" t="n">
        <v>9.290061367567294</v>
      </c>
      <c r="BG17" s="31" t="n">
        <v>0.00521737415768569</v>
      </c>
      <c r="BH17" s="31" t="n">
        <v>0.02930556927569282</v>
      </c>
      <c r="BI17" s="31" t="n">
        <v>0.03958265984019942</v>
      </c>
      <c r="BJ17" s="31" t="n">
        <v>-0.02242965398239817</v>
      </c>
      <c r="BK17" s="31" t="n">
        <v>27.84155954268285</v>
      </c>
      <c r="BL17" s="31" t="n">
        <v>10.36574922057888</v>
      </c>
      <c r="BM17" s="31" t="n">
        <v>0.2200071211254357</v>
      </c>
      <c r="BN17" s="31" t="n">
        <v>10.05842989732342</v>
      </c>
      <c r="BO17" s="31" t="n">
        <v>22.94121824054188</v>
      </c>
      <c r="BP17" s="31" t="n">
        <v>0.0511133758046817</v>
      </c>
      <c r="BQ17" s="31" t="n">
        <v>8.99487269175256</v>
      </c>
      <c r="BR17" s="31" t="n">
        <v>0</v>
      </c>
      <c r="BS17" s="31">
        <f>SUM(C17:BR17)</f>
        <v/>
      </c>
      <c r="BT17" s="31" t="n">
        <v>0</v>
      </c>
      <c r="BU17" s="31" t="n">
        <v>0</v>
      </c>
      <c r="BV17" s="31" t="n">
        <v>0</v>
      </c>
      <c r="BW17" s="31" t="n">
        <v>0</v>
      </c>
      <c r="BX17" s="31">
        <f>SUM(BT17:BW17)</f>
        <v/>
      </c>
      <c r="BY17" s="31">
        <f>BS17+BX17</f>
        <v/>
      </c>
    </row>
    <row r="18">
      <c r="A18" s="28" t="inlineStr">
        <is>
          <t>0680</t>
        </is>
      </c>
      <c r="B18" s="28" t="inlineStr">
        <is>
          <t>Extração de petróleo e gás, inclusive as atividades de apoio</t>
        </is>
      </c>
      <c r="C18" s="29" t="n">
        <v>5.930010904063526</v>
      </c>
      <c r="D18" s="29" t="n">
        <v>4.875992646301975</v>
      </c>
      <c r="E18" s="29" t="n">
        <v>0.3591997138014095</v>
      </c>
      <c r="F18" s="29" t="n">
        <v>0.4844332315399876</v>
      </c>
      <c r="G18" s="29" t="n">
        <v>1294.047728587771</v>
      </c>
      <c r="H18" s="29" t="n">
        <v>49.300843390819</v>
      </c>
      <c r="I18" s="29" t="n">
        <v>3.939405302610662</v>
      </c>
      <c r="J18" s="29" t="n">
        <v>11.9970536396181</v>
      </c>
      <c r="K18" s="29" t="n">
        <v>0.05341380152500175</v>
      </c>
      <c r="L18" s="29" t="n">
        <v>87.00818015657863</v>
      </c>
      <c r="M18" s="29" t="n">
        <v>24.00994793772339</v>
      </c>
      <c r="N18" s="29" t="n">
        <v>0.02751000697308762</v>
      </c>
      <c r="O18" s="29" t="n">
        <v>27.73124199903808</v>
      </c>
      <c r="P18" s="29" t="n">
        <v>0.04025359213596977</v>
      </c>
      <c r="Q18" s="29" t="n">
        <v>0.7156791406993155</v>
      </c>
      <c r="R18" s="29" t="n">
        <v>5.892161758959158</v>
      </c>
      <c r="S18" s="29" t="n">
        <v>87.7049566084349</v>
      </c>
      <c r="T18" s="29" t="n">
        <v>0.06819401003723131</v>
      </c>
      <c r="U18" s="29" t="n">
        <v>20781.70170853569</v>
      </c>
      <c r="V18" s="29" t="n">
        <v>0.03048567434837244</v>
      </c>
      <c r="W18" s="29" t="n">
        <v>225.97930153316</v>
      </c>
      <c r="X18" s="29" t="n">
        <v>18.7596045620921</v>
      </c>
      <c r="Y18" s="29" t="n">
        <v>5.426905978295714</v>
      </c>
      <c r="Z18" s="29" t="n">
        <v>5.011372890309691</v>
      </c>
      <c r="AA18" s="29" t="n">
        <v>24.37586579716538</v>
      </c>
      <c r="AB18" s="29" t="n">
        <v>69.17713306205026</v>
      </c>
      <c r="AC18" s="29" t="n">
        <v>70.56141099936728</v>
      </c>
      <c r="AD18" s="29" t="n">
        <v>42.88538538387036</v>
      </c>
      <c r="AE18" s="29" t="n">
        <v>54.30296944605482</v>
      </c>
      <c r="AF18" s="29" t="n">
        <v>0.3231796592191975</v>
      </c>
      <c r="AG18" s="29" t="n">
        <v>9.934495816338831</v>
      </c>
      <c r="AH18" s="29" t="n">
        <v>66.13067911719526</v>
      </c>
      <c r="AI18" s="29" t="n">
        <v>23.52968938006603</v>
      </c>
      <c r="AJ18" s="29" t="n">
        <v>34.97849414016318</v>
      </c>
      <c r="AK18" s="29" t="n">
        <v>2.351038721443274</v>
      </c>
      <c r="AL18" s="29" t="n">
        <v>0.5795996107009481</v>
      </c>
      <c r="AM18" s="29" t="n">
        <v>26.42573837250603</v>
      </c>
      <c r="AN18" s="29" t="n">
        <v>1256.635600760088</v>
      </c>
      <c r="AO18" s="29" t="n">
        <v>13.29213460980805</v>
      </c>
      <c r="AP18" s="29" t="n">
        <v>63.84550095908816</v>
      </c>
      <c r="AQ18" s="29" t="n">
        <v>1.45489611378396</v>
      </c>
      <c r="AR18" s="29" t="n">
        <v>27.16083032879608</v>
      </c>
      <c r="AS18" s="29" t="n">
        <v>22.46981596723806</v>
      </c>
      <c r="AT18" s="29" t="n">
        <v>0.95975974415298</v>
      </c>
      <c r="AU18" s="29" t="n">
        <v>0.02584566064712142</v>
      </c>
      <c r="AV18" s="29" t="n">
        <v>2.278237932329308</v>
      </c>
      <c r="AW18" s="29" t="n">
        <v>0.1760515093256934</v>
      </c>
      <c r="AX18" s="29" t="n">
        <v>9.182332379269386</v>
      </c>
      <c r="AY18" s="29" t="n">
        <v>0.05387579202265152</v>
      </c>
      <c r="AZ18" s="29" t="n">
        <v>0.05177894656941751</v>
      </c>
      <c r="BA18" s="29" t="n">
        <v>3.402290753854228</v>
      </c>
      <c r="BB18" s="29" t="n">
        <v>0.08244817750233417</v>
      </c>
      <c r="BC18" s="29" t="n">
        <v>0.3253389488219978</v>
      </c>
      <c r="BD18" s="29" t="n">
        <v>0.129489005553061</v>
      </c>
      <c r="BE18" s="29" t="n">
        <v>0.1955026009817422</v>
      </c>
      <c r="BF18" s="29" t="n">
        <v>13.69535769950829</v>
      </c>
      <c r="BG18" s="29" t="n">
        <v>0.1503499541008644</v>
      </c>
      <c r="BH18" s="29" t="n">
        <v>1.02519793070925</v>
      </c>
      <c r="BI18" s="29" t="n">
        <v>3.885598595857332</v>
      </c>
      <c r="BJ18" s="29" t="n">
        <v>0.0290582419295837</v>
      </c>
      <c r="BK18" s="29" t="n">
        <v>25.60155027252089</v>
      </c>
      <c r="BL18" s="29" t="n">
        <v>0.7681296066693275</v>
      </c>
      <c r="BM18" s="29" t="n">
        <v>0.1466549940106295</v>
      </c>
      <c r="BN18" s="29" t="n">
        <v>0.5628091120319311</v>
      </c>
      <c r="BO18" s="29" t="n">
        <v>0.2385339695896372</v>
      </c>
      <c r="BP18" s="29" t="n">
        <v>0.1891233153728346</v>
      </c>
      <c r="BQ18" s="29" t="n">
        <v>1.311513147473881</v>
      </c>
      <c r="BR18" s="29" t="n">
        <v>0</v>
      </c>
      <c r="BS18" s="29">
        <f>SUM(C18:BR18)</f>
        <v/>
      </c>
      <c r="BT18" s="29" t="n">
        <v>0</v>
      </c>
      <c r="BU18" s="29" t="n">
        <v>0</v>
      </c>
      <c r="BV18" s="29" t="n">
        <v>0</v>
      </c>
      <c r="BW18" s="29" t="n">
        <v>0</v>
      </c>
      <c r="BX18" s="29">
        <f>SUM(BT18:BW18)</f>
        <v/>
      </c>
      <c r="BY18" s="29">
        <f>BS18+BX18</f>
        <v/>
      </c>
    </row>
    <row r="19">
      <c r="A19" s="30" t="inlineStr">
        <is>
          <t>0791</t>
        </is>
      </c>
      <c r="B19" s="30" t="inlineStr">
        <is>
          <t>Extração de minério de ferro, inclusive beneficiamentos e a aglomeração</t>
        </is>
      </c>
      <c r="C19" s="31" t="n">
        <v>0</v>
      </c>
      <c r="D19" s="31" t="n">
        <v>0</v>
      </c>
      <c r="E19" s="31" t="n">
        <v>0</v>
      </c>
      <c r="F19" s="31" t="n">
        <v>5.945072488261164e-06</v>
      </c>
      <c r="G19" s="31" t="n">
        <v>0.01467163368160086</v>
      </c>
      <c r="H19" s="31" t="n">
        <v>140.7550965194085</v>
      </c>
      <c r="I19" s="31" t="n">
        <v>2.885400928358084</v>
      </c>
      <c r="J19" s="31" t="n">
        <v>0.0002913085519248055</v>
      </c>
      <c r="K19" s="31" t="n">
        <v>5.350565239434765e-05</v>
      </c>
      <c r="L19" s="31" t="n">
        <v>0.0001724071021595709</v>
      </c>
      <c r="M19" s="31" t="n">
        <v>0.0003150888418778389</v>
      </c>
      <c r="N19" s="31" t="n">
        <v>8.917608732392026e-05</v>
      </c>
      <c r="O19" s="31" t="n">
        <v>0</v>
      </c>
      <c r="P19" s="31" t="n">
        <v>6.539579737087566e-05</v>
      </c>
      <c r="Q19" s="31" t="n">
        <v>0.0001129563772769649</v>
      </c>
      <c r="R19" s="31" t="n">
        <v>3.567043492956699e-05</v>
      </c>
      <c r="S19" s="31" t="n">
        <v>0.000118901449765212</v>
      </c>
      <c r="T19" s="31" t="n">
        <v>5.945072488261164e-06</v>
      </c>
      <c r="U19" s="31" t="n">
        <v>0</v>
      </c>
      <c r="V19" s="31" t="n">
        <v>0</v>
      </c>
      <c r="W19" s="31" t="n">
        <v>0.0003864297117369389</v>
      </c>
      <c r="X19" s="31" t="n">
        <v>0.0001129563772769649</v>
      </c>
      <c r="Y19" s="31" t="n">
        <v>0.0002675282619717722</v>
      </c>
      <c r="Z19" s="31" t="n">
        <v>0.0008323101483564836</v>
      </c>
      <c r="AA19" s="31" t="n">
        <v>0.0001426817397182679</v>
      </c>
      <c r="AB19" s="31" t="n">
        <v>20.72375611738816</v>
      </c>
      <c r="AC19" s="31" t="n">
        <v>1538.307940531874</v>
      </c>
      <c r="AD19" s="31" t="n">
        <v>2.820505801872106</v>
      </c>
      <c r="AE19" s="31" t="n">
        <v>4.161550741783098e-05</v>
      </c>
      <c r="AF19" s="31" t="n">
        <v>0.000237802899530424</v>
      </c>
      <c r="AG19" s="31" t="n">
        <v>0.0005410015964317687</v>
      </c>
      <c r="AH19" s="31" t="n">
        <v>0.0005350565239435444</v>
      </c>
      <c r="AI19" s="31" t="n">
        <v>0.001385201889764883</v>
      </c>
      <c r="AJ19" s="31" t="n">
        <v>0.005107347644871607</v>
      </c>
      <c r="AK19" s="31" t="n">
        <v>0.0001605169571830543</v>
      </c>
      <c r="AL19" s="31" t="n">
        <v>0.0001070113047886953</v>
      </c>
      <c r="AM19" s="31" t="n">
        <v>5.945072488261164e-06</v>
      </c>
      <c r="AN19" s="31" t="n">
        <v>0.0003329240593426478</v>
      </c>
      <c r="AO19" s="31" t="n">
        <v>3.567043492956699e-05</v>
      </c>
      <c r="AP19" s="31" t="n">
        <v>0.0001129563772769649</v>
      </c>
      <c r="AQ19" s="31" t="n">
        <v>0</v>
      </c>
      <c r="AR19" s="31" t="n">
        <v>0.0004696607265726235</v>
      </c>
      <c r="AS19" s="31" t="n">
        <v>0</v>
      </c>
      <c r="AT19" s="31" t="n">
        <v>0</v>
      </c>
      <c r="AU19" s="31" t="n">
        <v>0</v>
      </c>
      <c r="AV19" s="31" t="n">
        <v>0</v>
      </c>
      <c r="AW19" s="31" t="n">
        <v>0</v>
      </c>
      <c r="AX19" s="31" t="n">
        <v>0</v>
      </c>
      <c r="AY19" s="31" t="n">
        <v>1.189014497652232e-05</v>
      </c>
      <c r="AZ19" s="31" t="n">
        <v>0</v>
      </c>
      <c r="BA19" s="31" t="n">
        <v>0.0003745395667604449</v>
      </c>
      <c r="BB19" s="31" t="n">
        <v>0.0002140226095773906</v>
      </c>
      <c r="BC19" s="31" t="n">
        <v>4.161550741783098e-05</v>
      </c>
      <c r="BD19" s="31" t="n">
        <v>0</v>
      </c>
      <c r="BE19" s="31" t="n">
        <v>0</v>
      </c>
      <c r="BF19" s="31" t="n">
        <v>0.8728463322666391</v>
      </c>
      <c r="BG19" s="31" t="n">
        <v>0</v>
      </c>
      <c r="BH19" s="31" t="n">
        <v>0.000118901449765212</v>
      </c>
      <c r="BI19" s="31" t="n">
        <v>2.378028995304466e-05</v>
      </c>
      <c r="BJ19" s="31" t="n">
        <v>0</v>
      </c>
      <c r="BK19" s="31" t="n">
        <v>0</v>
      </c>
      <c r="BL19" s="31" t="n">
        <v>0</v>
      </c>
      <c r="BM19" s="31" t="n">
        <v>5.945072488261164e-06</v>
      </c>
      <c r="BN19" s="31" t="n">
        <v>0</v>
      </c>
      <c r="BO19" s="31" t="n">
        <v>3.567043492956699e-05</v>
      </c>
      <c r="BP19" s="31" t="n">
        <v>0</v>
      </c>
      <c r="BQ19" s="31" t="n">
        <v>0</v>
      </c>
      <c r="BR19" s="31" t="n">
        <v>0</v>
      </c>
      <c r="BS19" s="31">
        <f>SUM(C19:BR19)</f>
        <v/>
      </c>
      <c r="BT19" s="31" t="n">
        <v>0</v>
      </c>
      <c r="BU19" s="31" t="n">
        <v>0</v>
      </c>
      <c r="BV19" s="31" t="n">
        <v>0</v>
      </c>
      <c r="BW19" s="31" t="n">
        <v>0</v>
      </c>
      <c r="BX19" s="31">
        <f>SUM(BT19:BW19)</f>
        <v/>
      </c>
      <c r="BY19" s="31">
        <f>BS19+BX19</f>
        <v/>
      </c>
    </row>
    <row r="20">
      <c r="A20" s="28" t="inlineStr">
        <is>
          <t>0792</t>
        </is>
      </c>
      <c r="B20" s="28" t="inlineStr">
        <is>
          <t>Extração de minerais metálicos não-ferrosos, inclusive beneficiamentos</t>
        </is>
      </c>
      <c r="C20" s="29" t="n">
        <v>0.6606998916359313</v>
      </c>
      <c r="D20" s="29" t="n">
        <v>0.8504085819470631</v>
      </c>
      <c r="E20" s="29" t="n">
        <v>0.0242883093377927</v>
      </c>
      <c r="F20" s="29" t="n">
        <v>0.610440450819989</v>
      </c>
      <c r="G20" s="29" t="n">
        <v>15.84127985810041</v>
      </c>
      <c r="H20" s="29" t="n">
        <v>3.320030184762517</v>
      </c>
      <c r="I20" s="29" t="n">
        <v>294.4530659699846</v>
      </c>
      <c r="J20" s="29" t="n">
        <v>0.1721555268456319</v>
      </c>
      <c r="K20" s="29" t="n">
        <v>0.05439967120358978</v>
      </c>
      <c r="L20" s="29" t="n">
        <v>0.7346572248285267</v>
      </c>
      <c r="M20" s="29" t="n">
        <v>0.3459680527129327</v>
      </c>
      <c r="N20" s="29" t="n">
        <v>0</v>
      </c>
      <c r="O20" s="29" t="n">
        <v>0</v>
      </c>
      <c r="P20" s="29" t="n">
        <v>0</v>
      </c>
      <c r="Q20" s="29" t="n">
        <v>0</v>
      </c>
      <c r="R20" s="29" t="n">
        <v>0</v>
      </c>
      <c r="S20" s="29" t="n">
        <v>0.1308219745852505</v>
      </c>
      <c r="T20" s="29" t="n">
        <v>0.1264565927221999</v>
      </c>
      <c r="U20" s="29" t="n">
        <v>0</v>
      </c>
      <c r="V20" s="29" t="n">
        <v>0.2123277654872537</v>
      </c>
      <c r="W20" s="29" t="n">
        <v>4.909358153610548</v>
      </c>
      <c r="X20" s="29" t="n">
        <v>0.2587607571395178</v>
      </c>
      <c r="Y20" s="29" t="n">
        <v>0.0636928632609583</v>
      </c>
      <c r="Z20" s="29" t="n">
        <v>0.0148404004824219</v>
      </c>
      <c r="AA20" s="29" t="n">
        <v>0.1307985201929192</v>
      </c>
      <c r="AB20" s="29" t="n">
        <v>21.01870080860666</v>
      </c>
      <c r="AC20" s="29" t="n">
        <v>697.0492716249329</v>
      </c>
      <c r="AD20" s="29" t="n">
        <v>2939.134286529029</v>
      </c>
      <c r="AE20" s="29" t="n">
        <v>0.9207239506108653</v>
      </c>
      <c r="AF20" s="29" t="n">
        <v>0.08396903970760734</v>
      </c>
      <c r="AG20" s="29" t="n">
        <v>3.518301672980244</v>
      </c>
      <c r="AH20" s="29" t="n">
        <v>0.7043029197820125</v>
      </c>
      <c r="AI20" s="29" t="n">
        <v>0.9026083635844118</v>
      </c>
      <c r="AJ20" s="29" t="n">
        <v>6.244384269430353</v>
      </c>
      <c r="AK20" s="29" t="n">
        <v>0.3975981683042745</v>
      </c>
      <c r="AL20" s="29" t="n">
        <v>1.104346109623082</v>
      </c>
      <c r="AM20" s="29" t="n">
        <v>0.1899236656576652</v>
      </c>
      <c r="AN20" s="29" t="n">
        <v>0.02724112393483351</v>
      </c>
      <c r="AO20" s="29" t="n">
        <v>0.6147418642775397</v>
      </c>
      <c r="AP20" s="29" t="n">
        <v>18.08584589877738</v>
      </c>
      <c r="AQ20" s="29" t="n">
        <v>0.04053182207515529</v>
      </c>
      <c r="AR20" s="29" t="n">
        <v>0.08611522985192474</v>
      </c>
      <c r="AS20" s="29" t="n">
        <v>0.006099192575025714</v>
      </c>
      <c r="AT20" s="29" t="n">
        <v>0</v>
      </c>
      <c r="AU20" s="29" t="n">
        <v>0</v>
      </c>
      <c r="AV20" s="29" t="n">
        <v>0.007157115690581586</v>
      </c>
      <c r="AW20" s="29" t="n">
        <v>0.04053182207515529</v>
      </c>
      <c r="AX20" s="29" t="n">
        <v>0.1218022612360534</v>
      </c>
      <c r="AY20" s="29" t="n">
        <v>0</v>
      </c>
      <c r="AZ20" s="29" t="n">
        <v>0</v>
      </c>
      <c r="BA20" s="29" t="n">
        <v>0</v>
      </c>
      <c r="BB20" s="29" t="n">
        <v>0</v>
      </c>
      <c r="BC20" s="29" t="n">
        <v>0</v>
      </c>
      <c r="BD20" s="29" t="n">
        <v>0.5248610772663029</v>
      </c>
      <c r="BE20" s="29" t="n">
        <v>0</v>
      </c>
      <c r="BF20" s="29" t="n">
        <v>0.3337115001244872</v>
      </c>
      <c r="BG20" s="29" t="n">
        <v>0</v>
      </c>
      <c r="BH20" s="29" t="n">
        <v>0</v>
      </c>
      <c r="BI20" s="29" t="n">
        <v>0.01509603577288947</v>
      </c>
      <c r="BJ20" s="29" t="n">
        <v>0</v>
      </c>
      <c r="BK20" s="29" t="n">
        <v>0.1605446894802073</v>
      </c>
      <c r="BL20" s="29" t="n">
        <v>0.05666860998840715</v>
      </c>
      <c r="BM20" s="29" t="n">
        <v>0</v>
      </c>
      <c r="BN20" s="29" t="n">
        <v>0.02926905660657238</v>
      </c>
      <c r="BO20" s="29" t="n">
        <v>0.01608209337739887</v>
      </c>
      <c r="BP20" s="29" t="n">
        <v>0.000206795010587527</v>
      </c>
      <c r="BQ20" s="29" t="n">
        <v>0.01240770063525162</v>
      </c>
      <c r="BR20" s="29" t="n">
        <v>0</v>
      </c>
      <c r="BS20" s="29">
        <f>SUM(C20:BR20)</f>
        <v/>
      </c>
      <c r="BT20" s="29" t="n">
        <v>0</v>
      </c>
      <c r="BU20" s="29" t="n">
        <v>0</v>
      </c>
      <c r="BV20" s="29" t="n">
        <v>0</v>
      </c>
      <c r="BW20" s="29" t="n">
        <v>0</v>
      </c>
      <c r="BX20" s="29">
        <f>SUM(BT20:BW20)</f>
        <v/>
      </c>
      <c r="BY20" s="29">
        <f>BS20+BX20</f>
        <v/>
      </c>
    </row>
    <row r="21">
      <c r="A21" s="30" t="inlineStr">
        <is>
          <t>1091</t>
        </is>
      </c>
      <c r="B21" s="30" t="inlineStr">
        <is>
          <t>Abate e produtos de carne, inclusive os produtos do laticínio e da pesca</t>
        </is>
      </c>
      <c r="C21" s="31" t="n">
        <v>50.64094800452403</v>
      </c>
      <c r="D21" s="31" t="n">
        <v>759.7061360726486</v>
      </c>
      <c r="E21" s="31" t="n">
        <v>31.55793984464666</v>
      </c>
      <c r="F21" s="31" t="n">
        <v>-2.130496291029503</v>
      </c>
      <c r="G21" s="31" t="n">
        <v>-0.4264438572815673</v>
      </c>
      <c r="H21" s="31" t="n">
        <v>-1.993527272637216</v>
      </c>
      <c r="I21" s="31" t="n">
        <v>-1.634339022557212</v>
      </c>
      <c r="J21" s="31" t="n">
        <v>3861.228880560022</v>
      </c>
      <c r="K21" s="31" t="n">
        <v>-22.93973415700247</v>
      </c>
      <c r="L21" s="31" t="n">
        <v>283.5976032112328</v>
      </c>
      <c r="M21" s="31" t="n">
        <v>-3.745157779868155</v>
      </c>
      <c r="N21" s="31" t="n">
        <v>-14.052303977303</v>
      </c>
      <c r="O21" s="31" t="n">
        <v>-40.28354039927847</v>
      </c>
      <c r="P21" s="31" t="n">
        <v>-37.60362380798751</v>
      </c>
      <c r="Q21" s="31" t="n">
        <v>529.1119517630109</v>
      </c>
      <c r="R21" s="31" t="n">
        <v>-13.16052634009516</v>
      </c>
      <c r="S21" s="31" t="n">
        <v>-93.40232602580382</v>
      </c>
      <c r="T21" s="31" t="n">
        <v>-4.736649504337984</v>
      </c>
      <c r="U21" s="31" t="n">
        <v>-24.60744756313841</v>
      </c>
      <c r="V21" s="31" t="n">
        <v>74.91229443799655</v>
      </c>
      <c r="W21" s="31" t="n">
        <v>-49.92305480267932</v>
      </c>
      <c r="X21" s="31" t="n">
        <v>-62.62468904235896</v>
      </c>
      <c r="Y21" s="31" t="n">
        <v>218.5761033698167</v>
      </c>
      <c r="Z21" s="31" t="n">
        <v>-70.39757543811011</v>
      </c>
      <c r="AA21" s="31" t="n">
        <v>-85.31564271724172</v>
      </c>
      <c r="AB21" s="31" t="n">
        <v>-61.71335456799906</v>
      </c>
      <c r="AC21" s="31" t="n">
        <v>-82.35189427331024</v>
      </c>
      <c r="AD21" s="31" t="n">
        <v>-25.97702876556064</v>
      </c>
      <c r="AE21" s="31" t="n">
        <v>-71.36003459808779</v>
      </c>
      <c r="AF21" s="31" t="n">
        <v>-46.57729163210757</v>
      </c>
      <c r="AG21" s="31" t="n">
        <v>-61.32905406699186</v>
      </c>
      <c r="AH21" s="31" t="n">
        <v>-132.9645206332399</v>
      </c>
      <c r="AI21" s="31" t="n">
        <v>-7.55352710220728</v>
      </c>
      <c r="AJ21" s="31" t="n">
        <v>-2.093760107787682</v>
      </c>
      <c r="AK21" s="31" t="n">
        <v>-9.418404193617727</v>
      </c>
      <c r="AL21" s="31" t="n">
        <v>-34.73539079141422</v>
      </c>
      <c r="AM21" s="31" t="n">
        <v>7.67307872392195</v>
      </c>
      <c r="AN21" s="31" t="n">
        <v>0.05287264851026505</v>
      </c>
      <c r="AO21" s="31" t="n">
        <v>-0.4609834836886916</v>
      </c>
      <c r="AP21" s="31" t="n">
        <v>5.4282737736553</v>
      </c>
      <c r="AQ21" s="31" t="n">
        <v>0.4484047717914599</v>
      </c>
      <c r="AR21" s="31" t="n">
        <v>-236.3463323377811</v>
      </c>
      <c r="AS21" s="31" t="n">
        <v>0.1187171416657081</v>
      </c>
      <c r="AT21" s="31" t="n">
        <v>0.1836069335974238</v>
      </c>
      <c r="AU21" s="31" t="n">
        <v>0.004576690044293004</v>
      </c>
      <c r="AV21" s="31" t="n">
        <v>0.3184472948348535</v>
      </c>
      <c r="AW21" s="31" t="n">
        <v>97.152301151513</v>
      </c>
      <c r="AX21" s="31" t="n">
        <v>2793.97708658059</v>
      </c>
      <c r="AY21" s="31" t="n">
        <v>-39.96245186994114</v>
      </c>
      <c r="AZ21" s="31" t="n">
        <v>-33.86217562735096</v>
      </c>
      <c r="BA21" s="31" t="n">
        <v>-263.0451201683078</v>
      </c>
      <c r="BB21" s="31" t="n">
        <v>-16.64430193384835</v>
      </c>
      <c r="BC21" s="31" t="n">
        <v>-2.152016680722754</v>
      </c>
      <c r="BD21" s="31" t="n">
        <v>0.01251600029737164</v>
      </c>
      <c r="BE21" s="31" t="n">
        <v>-17.96619707747059</v>
      </c>
      <c r="BF21" s="31" t="n">
        <v>-2.466223665931517</v>
      </c>
      <c r="BG21" s="31" t="n">
        <v>-8.546928952874987</v>
      </c>
      <c r="BH21" s="31" t="n">
        <v>0.005611349783009908</v>
      </c>
      <c r="BI21" s="31" t="n">
        <v>-20.38953186106115</v>
      </c>
      <c r="BJ21" s="31" t="n">
        <v>-2.502119037071765</v>
      </c>
      <c r="BK21" s="31" t="n">
        <v>572.8126704590716</v>
      </c>
      <c r="BL21" s="31" t="n">
        <v>405.7194286096436</v>
      </c>
      <c r="BM21" s="31" t="n">
        <v>36.95385133084069</v>
      </c>
      <c r="BN21" s="31" t="n">
        <v>206.2080072351034</v>
      </c>
      <c r="BO21" s="31" t="n">
        <v>121.6623889400378</v>
      </c>
      <c r="BP21" s="31" t="n">
        <v>1.204613995760168</v>
      </c>
      <c r="BQ21" s="31" t="n">
        <v>78.57485399693685</v>
      </c>
      <c r="BR21" s="31" t="n">
        <v>0</v>
      </c>
      <c r="BS21" s="31">
        <f>SUM(C21:BR21)</f>
        <v/>
      </c>
      <c r="BT21" s="31" t="n">
        <v>0</v>
      </c>
      <c r="BU21" s="31" t="n">
        <v>0</v>
      </c>
      <c r="BV21" s="31" t="n">
        <v>0</v>
      </c>
      <c r="BW21" s="31" t="n">
        <v>0</v>
      </c>
      <c r="BX21" s="31">
        <f>SUM(BT21:BW21)</f>
        <v/>
      </c>
      <c r="BY21" s="31">
        <f>BS21+BX21</f>
        <v/>
      </c>
    </row>
    <row r="22">
      <c r="A22" s="28" t="inlineStr">
        <is>
          <t>1092</t>
        </is>
      </c>
      <c r="B22" s="28" t="inlineStr">
        <is>
          <t>Fabricação e refino de açúcar</t>
        </is>
      </c>
      <c r="C22" s="29" t="n">
        <v>23.27182849119944</v>
      </c>
      <c r="D22" s="29" t="n">
        <v>30.75512519381479</v>
      </c>
      <c r="E22" s="29" t="n">
        <v>1.213995080588307</v>
      </c>
      <c r="F22" s="29" t="n">
        <v>1.253928461376812</v>
      </c>
      <c r="G22" s="29" t="n">
        <v>62.99767215567673</v>
      </c>
      <c r="H22" s="29" t="n">
        <v>9.709742807195447</v>
      </c>
      <c r="I22" s="29" t="n">
        <v>1.578446636495174</v>
      </c>
      <c r="J22" s="29" t="n">
        <v>62.93170432021386</v>
      </c>
      <c r="K22" s="29" t="n">
        <v>394.4336261324653</v>
      </c>
      <c r="L22" s="29" t="n">
        <v>875.7497749224699</v>
      </c>
      <c r="M22" s="29" t="n">
        <v>209.4322353084663</v>
      </c>
      <c r="N22" s="29" t="n">
        <v>-0.7389587602905625</v>
      </c>
      <c r="O22" s="29" t="n">
        <v>-0.9024952609676857</v>
      </c>
      <c r="P22" s="29" t="n">
        <v>-1.94324318857518</v>
      </c>
      <c r="Q22" s="29" t="n">
        <v>-2.707969656454035</v>
      </c>
      <c r="R22" s="29" t="n">
        <v>0.02319871589556558</v>
      </c>
      <c r="S22" s="29" t="n">
        <v>-3.338611491333316</v>
      </c>
      <c r="T22" s="29" t="n">
        <v>-0.1509094635197309</v>
      </c>
      <c r="U22" s="29" t="n">
        <v>2614.570750117164</v>
      </c>
      <c r="V22" s="29" t="n">
        <v>134.8062360725511</v>
      </c>
      <c r="W22" s="29" t="n">
        <v>42.17145050438404</v>
      </c>
      <c r="X22" s="29" t="n">
        <v>149.2041616509558</v>
      </c>
      <c r="Y22" s="29" t="n">
        <v>150.2748569926178</v>
      </c>
      <c r="Z22" s="29" t="n">
        <v>95.21516659448719</v>
      </c>
      <c r="AA22" s="29" t="n">
        <v>-2.709255100091501</v>
      </c>
      <c r="AB22" s="29" t="n">
        <v>-0.8771090773404953</v>
      </c>
      <c r="AC22" s="29" t="n">
        <v>-1.855329496345567</v>
      </c>
      <c r="AD22" s="29" t="n">
        <v>0.1601159197052068</v>
      </c>
      <c r="AE22" s="29" t="n">
        <v>1.693241555221934</v>
      </c>
      <c r="AF22" s="29" t="n">
        <v>-2.218145152532061</v>
      </c>
      <c r="AG22" s="29" t="n">
        <v>-0.2357924483040376</v>
      </c>
      <c r="AH22" s="29" t="n">
        <v>63.2826752757038</v>
      </c>
      <c r="AI22" s="29" t="n">
        <v>9.725992839382549</v>
      </c>
      <c r="AJ22" s="29" t="n">
        <v>1.297648591934828</v>
      </c>
      <c r="AK22" s="29" t="n">
        <v>2.088752465322116</v>
      </c>
      <c r="AL22" s="29" t="n">
        <v>-1.244288306311963</v>
      </c>
      <c r="AM22" s="29" t="n">
        <v>29.84185350216013</v>
      </c>
      <c r="AN22" s="29" t="n">
        <v>42.94442222306277</v>
      </c>
      <c r="AO22" s="29" t="n">
        <v>3.235888969181271</v>
      </c>
      <c r="AP22" s="29" t="n">
        <v>71.33449002817743</v>
      </c>
      <c r="AQ22" s="29" t="n">
        <v>20.22339087797657</v>
      </c>
      <c r="AR22" s="29" t="n">
        <v>18.35923668903009</v>
      </c>
      <c r="AS22" s="29" t="n">
        <v>80.99339698479524</v>
      </c>
      <c r="AT22" s="29" t="n">
        <v>0.7121181115994063</v>
      </c>
      <c r="AU22" s="29" t="n">
        <v>0.03190207278294341</v>
      </c>
      <c r="AV22" s="29" t="n">
        <v>7.43083687249566</v>
      </c>
      <c r="AW22" s="29" t="n">
        <v>1.369738573254476</v>
      </c>
      <c r="AX22" s="29" t="n">
        <v>167.3524611573314</v>
      </c>
      <c r="AY22" s="29" t="n">
        <v>-2.081403476815973</v>
      </c>
      <c r="AZ22" s="29" t="n">
        <v>-1.486955785784642</v>
      </c>
      <c r="BA22" s="29" t="n">
        <v>-12.87209476541463</v>
      </c>
      <c r="BB22" s="29" t="n">
        <v>-0.6147786287217967</v>
      </c>
      <c r="BC22" s="29" t="n">
        <v>2.12159721139671</v>
      </c>
      <c r="BD22" s="29" t="n">
        <v>0.333778780225159</v>
      </c>
      <c r="BE22" s="29" t="n">
        <v>-0.3339613541659964</v>
      </c>
      <c r="BF22" s="29" t="n">
        <v>9.843760624191678</v>
      </c>
      <c r="BG22" s="29" t="n">
        <v>1.804223274791476</v>
      </c>
      <c r="BH22" s="29" t="n">
        <v>0.1126328341584908</v>
      </c>
      <c r="BI22" s="29" t="n">
        <v>6.785188090894428</v>
      </c>
      <c r="BJ22" s="29" t="n">
        <v>9.496502916420544</v>
      </c>
      <c r="BK22" s="29" t="n">
        <v>132.5962946068439</v>
      </c>
      <c r="BL22" s="29" t="n">
        <v>33.23873286538935</v>
      </c>
      <c r="BM22" s="29" t="n">
        <v>2.78953438468957</v>
      </c>
      <c r="BN22" s="29" t="n">
        <v>15.65104034003166</v>
      </c>
      <c r="BO22" s="29" t="n">
        <v>11.19433043501733</v>
      </c>
      <c r="BP22" s="29" t="n">
        <v>0.5589775022867743</v>
      </c>
      <c r="BQ22" s="29" t="n">
        <v>16.4021780911412</v>
      </c>
      <c r="BR22" s="29" t="n">
        <v>0</v>
      </c>
      <c r="BS22" s="29">
        <f>SUM(C22:BR22)</f>
        <v/>
      </c>
      <c r="BT22" s="29" t="n">
        <v>0</v>
      </c>
      <c r="BU22" s="29" t="n">
        <v>0</v>
      </c>
      <c r="BV22" s="29" t="n">
        <v>0</v>
      </c>
      <c r="BW22" s="29" t="n">
        <v>0</v>
      </c>
      <c r="BX22" s="29">
        <f>SUM(BT22:BW22)</f>
        <v/>
      </c>
      <c r="BY22" s="29">
        <f>BS22+BX22</f>
        <v/>
      </c>
    </row>
    <row r="23">
      <c r="A23" s="30" t="inlineStr">
        <is>
          <t>1093</t>
        </is>
      </c>
      <c r="B23" s="30" t="inlineStr">
        <is>
          <t>Outros produtos alimentares</t>
        </is>
      </c>
      <c r="C23" s="31" t="n">
        <v>426.8301232456926</v>
      </c>
      <c r="D23" s="31" t="n">
        <v>2417.733975645044</v>
      </c>
      <c r="E23" s="31" t="n">
        <v>151.7551485618848</v>
      </c>
      <c r="F23" s="31" t="n">
        <v>49.65517928666095</v>
      </c>
      <c r="G23" s="31" t="n">
        <v>13.90782939069705</v>
      </c>
      <c r="H23" s="31" t="n">
        <v>5.857917979413594</v>
      </c>
      <c r="I23" s="31" t="n">
        <v>1.40440288925881</v>
      </c>
      <c r="J23" s="31" t="n">
        <v>3392.972792911733</v>
      </c>
      <c r="K23" s="31" t="n">
        <v>-7.283268493360775</v>
      </c>
      <c r="L23" s="31" t="n">
        <v>5137.164512429998</v>
      </c>
      <c r="M23" s="31" t="n">
        <v>641.8812356530819</v>
      </c>
      <c r="N23" s="31" t="n">
        <v>-6.457360992054855</v>
      </c>
      <c r="O23" s="31" t="n">
        <v>-12.62924654496745</v>
      </c>
      <c r="P23" s="31" t="n">
        <v>-18.61825698708363</v>
      </c>
      <c r="Q23" s="31" t="n">
        <v>-11.07822034577687</v>
      </c>
      <c r="R23" s="31" t="n">
        <v>-1.622639184250317</v>
      </c>
      <c r="S23" s="31" t="n">
        <v>109.3153985604455</v>
      </c>
      <c r="T23" s="31" t="n">
        <v>2.49665777853207</v>
      </c>
      <c r="U23" s="31" t="n">
        <v>199.8953287845486</v>
      </c>
      <c r="V23" s="31" t="n">
        <v>284.0970860846614</v>
      </c>
      <c r="W23" s="31" t="n">
        <v>86.84443464385105</v>
      </c>
      <c r="X23" s="31" t="n">
        <v>179.6910879503382</v>
      </c>
      <c r="Y23" s="31" t="n">
        <v>153.7866012770477</v>
      </c>
      <c r="Z23" s="31" t="n">
        <v>-3.297760976531022</v>
      </c>
      <c r="AA23" s="31" t="n">
        <v>-15.89719792447572</v>
      </c>
      <c r="AB23" s="31" t="n">
        <v>-22.07542895615656</v>
      </c>
      <c r="AC23" s="31" t="n">
        <v>-32.87909103669182</v>
      </c>
      <c r="AD23" s="31" t="n">
        <v>-11.43484940185759</v>
      </c>
      <c r="AE23" s="31" t="n">
        <v>-32.96488340890044</v>
      </c>
      <c r="AF23" s="31" t="n">
        <v>-23.54647584315202</v>
      </c>
      <c r="AG23" s="31" t="n">
        <v>-28.4494325501102</v>
      </c>
      <c r="AH23" s="31" t="n">
        <v>-63.7517503840056</v>
      </c>
      <c r="AI23" s="31" t="n">
        <v>-0.8176068960888344</v>
      </c>
      <c r="AJ23" s="31" t="n">
        <v>0.4801532863944135</v>
      </c>
      <c r="AK23" s="31" t="n">
        <v>-3.793407017864108</v>
      </c>
      <c r="AL23" s="31" t="n">
        <v>-10.62874964496974</v>
      </c>
      <c r="AM23" s="31" t="n">
        <v>7.887069294600158</v>
      </c>
      <c r="AN23" s="31" t="n">
        <v>1.016425150598817</v>
      </c>
      <c r="AO23" s="31" t="n">
        <v>4.3431836987312</v>
      </c>
      <c r="AP23" s="31" t="n">
        <v>28.98146971516533</v>
      </c>
      <c r="AQ23" s="31" t="n">
        <v>31.44749785520659</v>
      </c>
      <c r="AR23" s="31" t="n">
        <v>515.1135086440601</v>
      </c>
      <c r="AS23" s="31" t="n">
        <v>10.96556117090156</v>
      </c>
      <c r="AT23" s="31" t="n">
        <v>0.1039532542882942</v>
      </c>
      <c r="AU23" s="31" t="n">
        <v>10.51680586277125</v>
      </c>
      <c r="AV23" s="31" t="n">
        <v>4.778898543298258</v>
      </c>
      <c r="AW23" s="31" t="n">
        <v>84.43889619029983</v>
      </c>
      <c r="AX23" s="31" t="n">
        <v>3092.950888591579</v>
      </c>
      <c r="AY23" s="31" t="n">
        <v>-20.51960292799631</v>
      </c>
      <c r="AZ23" s="31" t="n">
        <v>-17.32570849582518</v>
      </c>
      <c r="BA23" s="31" t="n">
        <v>-129.5833079107085</v>
      </c>
      <c r="BB23" s="31" t="n">
        <v>-8.42429103589477</v>
      </c>
      <c r="BC23" s="31" t="n">
        <v>66.97789838598484</v>
      </c>
      <c r="BD23" s="31" t="n">
        <v>4.443909617160435</v>
      </c>
      <c r="BE23" s="31" t="n">
        <v>-1.014216113916324</v>
      </c>
      <c r="BF23" s="31" t="n">
        <v>3.422348951692663</v>
      </c>
      <c r="BG23" s="31" t="n">
        <v>1.695097208954457</v>
      </c>
      <c r="BH23" s="31" t="n">
        <v>0.2050947256159025</v>
      </c>
      <c r="BI23" s="31" t="n">
        <v>-7.000063640116925</v>
      </c>
      <c r="BJ23" s="31" t="n">
        <v>-0.4698258871469488</v>
      </c>
      <c r="BK23" s="31" t="n">
        <v>586.4683027458933</v>
      </c>
      <c r="BL23" s="31" t="n">
        <v>524.07067322156</v>
      </c>
      <c r="BM23" s="31" t="n">
        <v>44.8985454190454</v>
      </c>
      <c r="BN23" s="31" t="n">
        <v>496.9331756799937</v>
      </c>
      <c r="BO23" s="31" t="n">
        <v>177.6887604978442</v>
      </c>
      <c r="BP23" s="31" t="n">
        <v>6.706393823291779</v>
      </c>
      <c r="BQ23" s="31" t="n">
        <v>170.5562380443417</v>
      </c>
      <c r="BR23" s="31" t="n">
        <v>0</v>
      </c>
      <c r="BS23" s="31">
        <f>SUM(C23:BR23)</f>
        <v/>
      </c>
      <c r="BT23" s="31" t="n">
        <v>0</v>
      </c>
      <c r="BU23" s="31" t="n">
        <v>0</v>
      </c>
      <c r="BV23" s="31" t="n">
        <v>0</v>
      </c>
      <c r="BW23" s="31" t="n">
        <v>0</v>
      </c>
      <c r="BX23" s="31">
        <f>SUM(BT23:BW23)</f>
        <v/>
      </c>
      <c r="BY23" s="31">
        <f>BS23+BX23</f>
        <v/>
      </c>
    </row>
    <row r="24">
      <c r="A24" s="28" t="inlineStr">
        <is>
          <t>1100</t>
        </is>
      </c>
      <c r="B24" s="28" t="inlineStr">
        <is>
          <t>Fabricação de bebidas</t>
        </is>
      </c>
      <c r="C24" s="29" t="n">
        <v>0.3260708266985582</v>
      </c>
      <c r="D24" s="29" t="n">
        <v>0.5418434422122809</v>
      </c>
      <c r="E24" s="29" t="n">
        <v>0.04201084850346528</v>
      </c>
      <c r="F24" s="29" t="n">
        <v>-0.04031969476362039</v>
      </c>
      <c r="G24" s="29" t="n">
        <v>1.85887239113474</v>
      </c>
      <c r="H24" s="29" t="n">
        <v>1.192308500192781</v>
      </c>
      <c r="I24" s="29" t="n">
        <v>0.1677246784829318</v>
      </c>
      <c r="J24" s="29" t="n">
        <v>157.735818142558</v>
      </c>
      <c r="K24" s="29" t="n">
        <v>-0.9619990637697804</v>
      </c>
      <c r="L24" s="29" t="n">
        <v>3.997145692472067</v>
      </c>
      <c r="M24" s="29" t="n">
        <v>3627.652077243882</v>
      </c>
      <c r="N24" s="29" t="n">
        <v>-0.6795911021481835</v>
      </c>
      <c r="O24" s="29" t="n">
        <v>-1.939216757172748</v>
      </c>
      <c r="P24" s="29" t="n">
        <v>-1.810365807754394</v>
      </c>
      <c r="Q24" s="29" t="n">
        <v>-2.631100348480827</v>
      </c>
      <c r="R24" s="29" t="n">
        <v>-0.407195040480604</v>
      </c>
      <c r="S24" s="29" t="n">
        <v>-4.462304997488343</v>
      </c>
      <c r="T24" s="29" t="n">
        <v>-0.2193002572491944</v>
      </c>
      <c r="U24" s="29" t="n">
        <v>15.43402356211942</v>
      </c>
      <c r="V24" s="29" t="n">
        <v>-0.6144429050395674</v>
      </c>
      <c r="W24" s="29" t="n">
        <v>-1.977735077016305</v>
      </c>
      <c r="X24" s="29" t="n">
        <v>-2.408941131861926</v>
      </c>
      <c r="Y24" s="29" t="n">
        <v>1.219260939045095</v>
      </c>
      <c r="Z24" s="29" t="n">
        <v>-2.8139938563678</v>
      </c>
      <c r="AA24" s="29" t="n">
        <v>-4.130002022124822</v>
      </c>
      <c r="AB24" s="29" t="n">
        <v>-2.936997743817822</v>
      </c>
      <c r="AC24" s="29" t="n">
        <v>-2.675786539906684</v>
      </c>
      <c r="AD24" s="29" t="n">
        <v>-1.181668753390955</v>
      </c>
      <c r="AE24" s="29" t="n">
        <v>1.348902248685647</v>
      </c>
      <c r="AF24" s="29" t="n">
        <v>-1.689672199441133</v>
      </c>
      <c r="AG24" s="29" t="n">
        <v>-1.33380215885457</v>
      </c>
      <c r="AH24" s="29" t="n">
        <v>3.906800028408739</v>
      </c>
      <c r="AI24" s="29" t="n">
        <v>3.632366561206001</v>
      </c>
      <c r="AJ24" s="29" t="n">
        <v>1.776155835381812</v>
      </c>
      <c r="AK24" s="29" t="n">
        <v>1.1921083994537</v>
      </c>
      <c r="AL24" s="29" t="n">
        <v>-0.9169956978160529</v>
      </c>
      <c r="AM24" s="29" t="n">
        <v>4.847139084848525</v>
      </c>
      <c r="AN24" s="29" t="n">
        <v>1.256995720360782</v>
      </c>
      <c r="AO24" s="29" t="n">
        <v>0.5045291624547563</v>
      </c>
      <c r="AP24" s="29" t="n">
        <v>18.66040185256447</v>
      </c>
      <c r="AQ24" s="29" t="n">
        <v>0.9359284514379138</v>
      </c>
      <c r="AR24" s="29" t="n">
        <v>-6.580718326495601</v>
      </c>
      <c r="AS24" s="29" t="n">
        <v>3.460667978875974</v>
      </c>
      <c r="AT24" s="29" t="n">
        <v>0.07397727237326741</v>
      </c>
      <c r="AU24" s="29" t="n">
        <v>3.998766255642476</v>
      </c>
      <c r="AV24" s="29" t="n">
        <v>0.187743975068929</v>
      </c>
      <c r="AW24" s="29" t="n">
        <v>233.5815642982753</v>
      </c>
      <c r="AX24" s="29" t="n">
        <v>12825.63796571489</v>
      </c>
      <c r="AY24" s="29" t="n">
        <v>-1.97445781724698</v>
      </c>
      <c r="AZ24" s="29" t="n">
        <v>-1.661625058203938</v>
      </c>
      <c r="BA24" s="29" t="n">
        <v>-12.93857154733316</v>
      </c>
      <c r="BB24" s="29" t="n">
        <v>-0.7939902370943551</v>
      </c>
      <c r="BC24" s="29" t="n">
        <v>73.58281926518107</v>
      </c>
      <c r="BD24" s="29" t="n">
        <v>0.2273737818798607</v>
      </c>
      <c r="BE24" s="29" t="n">
        <v>0.004603560794159076</v>
      </c>
      <c r="BF24" s="29" t="n">
        <v>-0.02209099681533667</v>
      </c>
      <c r="BG24" s="29" t="n">
        <v>-0.4182559522209998</v>
      </c>
      <c r="BH24" s="29" t="n">
        <v>0.02550261263633902</v>
      </c>
      <c r="BI24" s="29" t="n">
        <v>-0.02171132856894933</v>
      </c>
      <c r="BJ24" s="29" t="n">
        <v>-0.004450081778250943</v>
      </c>
      <c r="BK24" s="29" t="n">
        <v>49.40697740785561</v>
      </c>
      <c r="BL24" s="29" t="n">
        <v>39.64711572901272</v>
      </c>
      <c r="BM24" s="29" t="n">
        <v>3.462178815015679</v>
      </c>
      <c r="BN24" s="29" t="n">
        <v>19.709909168798</v>
      </c>
      <c r="BO24" s="29" t="n">
        <v>65.82225702781017</v>
      </c>
      <c r="BP24" s="29" t="n">
        <v>13.63591311840233</v>
      </c>
      <c r="BQ24" s="29" t="n">
        <v>7.433034971934841</v>
      </c>
      <c r="BR24" s="29" t="n">
        <v>0</v>
      </c>
      <c r="BS24" s="29">
        <f>SUM(C24:BR24)</f>
        <v/>
      </c>
      <c r="BT24" s="29" t="n">
        <v>0</v>
      </c>
      <c r="BU24" s="29" t="n">
        <v>0</v>
      </c>
      <c r="BV24" s="29" t="n">
        <v>0</v>
      </c>
      <c r="BW24" s="29" t="n">
        <v>0</v>
      </c>
      <c r="BX24" s="29">
        <f>SUM(BT24:BW24)</f>
        <v/>
      </c>
      <c r="BY24" s="29">
        <f>BS24+BX24</f>
        <v/>
      </c>
    </row>
    <row r="25">
      <c r="A25" s="30" t="inlineStr">
        <is>
          <t>1200</t>
        </is>
      </c>
      <c r="B25" s="30" t="inlineStr">
        <is>
          <t>Fabricação de produtos do fumo</t>
        </is>
      </c>
      <c r="C25" s="31" t="n">
        <v>0.04876355607137235</v>
      </c>
      <c r="D25" s="31" t="n">
        <v>0.01549681354619235</v>
      </c>
      <c r="E25" s="31" t="n">
        <v>0.002107018548337195</v>
      </c>
      <c r="F25" s="31" t="n">
        <v>-0.008282974371334666</v>
      </c>
      <c r="G25" s="31" t="n">
        <v>-0.006649057851666831</v>
      </c>
      <c r="H25" s="31" t="n">
        <v>-0.006988559351063551</v>
      </c>
      <c r="I25" s="31" t="n">
        <v>-0.006222479592591709</v>
      </c>
      <c r="J25" s="31" t="n">
        <v>-0.9113338696039562</v>
      </c>
      <c r="K25" s="31" t="n">
        <v>-0.08967663779218672</v>
      </c>
      <c r="L25" s="31" t="n">
        <v>-0.4779768699743259</v>
      </c>
      <c r="M25" s="31" t="n">
        <v>-0.01442784512094175</v>
      </c>
      <c r="N25" s="31" t="n">
        <v>588.5348692897422</v>
      </c>
      <c r="O25" s="31" t="n">
        <v>-0.07795175899981761</v>
      </c>
      <c r="P25" s="31" t="n">
        <v>-0.08840265944612438</v>
      </c>
      <c r="Q25" s="31" t="n">
        <v>-0.1363001541875612</v>
      </c>
      <c r="R25" s="31" t="n">
        <v>0.01341832573194891</v>
      </c>
      <c r="S25" s="31" t="n">
        <v>0.4966866496874206</v>
      </c>
      <c r="T25" s="31" t="n">
        <v>0.1614722429072292</v>
      </c>
      <c r="U25" s="31" t="n">
        <v>-0.08408332229103853</v>
      </c>
      <c r="V25" s="31" t="n">
        <v>-0.06509896962676746</v>
      </c>
      <c r="W25" s="31" t="n">
        <v>-0.1948353061443746</v>
      </c>
      <c r="X25" s="31" t="n">
        <v>-0.2435141174895752</v>
      </c>
      <c r="Y25" s="31" t="n">
        <v>0.1536850491771787</v>
      </c>
      <c r="Z25" s="31" t="n">
        <v>-0.1881233851615375</v>
      </c>
      <c r="AA25" s="31" t="n">
        <v>-0.1235702955851107</v>
      </c>
      <c r="AB25" s="31" t="n">
        <v>-0.02521330464013038</v>
      </c>
      <c r="AC25" s="31" t="n">
        <v>-0.329327227157064</v>
      </c>
      <c r="AD25" s="31" t="n">
        <v>-0.1035255620342527</v>
      </c>
      <c r="AE25" s="31" t="n">
        <v>-0.1758592007585568</v>
      </c>
      <c r="AF25" s="31" t="n">
        <v>-0.04602993770509348</v>
      </c>
      <c r="AG25" s="31" t="n">
        <v>-0.1979552954509939</v>
      </c>
      <c r="AH25" s="31" t="n">
        <v>-0.5937032598520035</v>
      </c>
      <c r="AI25" s="31" t="n">
        <v>0.01964020045848957</v>
      </c>
      <c r="AJ25" s="31" t="n">
        <v>0.09546099118369197</v>
      </c>
      <c r="AK25" s="31" t="n">
        <v>-0.03145439121425885</v>
      </c>
      <c r="AL25" s="31" t="n">
        <v>-0.04063581076089988</v>
      </c>
      <c r="AM25" s="31" t="n">
        <v>-0.0003536862869013157</v>
      </c>
      <c r="AN25" s="31" t="n">
        <v>0.006504168592011002</v>
      </c>
      <c r="AO25" s="31" t="n">
        <v>0.008359743159577793</v>
      </c>
      <c r="AP25" s="31" t="n">
        <v>0.05365700047205797</v>
      </c>
      <c r="AQ25" s="31" t="n">
        <v>0.09224058978276167</v>
      </c>
      <c r="AR25" s="31" t="n">
        <v>-0.6003025683049534</v>
      </c>
      <c r="AS25" s="31" t="n">
        <v>0.01978256303716589</v>
      </c>
      <c r="AT25" s="31" t="n">
        <v>0.007374564919180181</v>
      </c>
      <c r="AU25" s="31" t="n">
        <v>0.002575244892412128</v>
      </c>
      <c r="AV25" s="31" t="n">
        <v>0.03020059919283313</v>
      </c>
      <c r="AW25" s="31" t="n">
        <v>0.02282603427365294</v>
      </c>
      <c r="AX25" s="31" t="n">
        <v>0.1361368095397866</v>
      </c>
      <c r="AY25" s="31" t="n">
        <v>0.04205996902771264</v>
      </c>
      <c r="AZ25" s="31" t="n">
        <v>-0.1255119797060658</v>
      </c>
      <c r="BA25" s="31" t="n">
        <v>-1.058850837057534</v>
      </c>
      <c r="BB25" s="31" t="n">
        <v>-0.03756718309801765</v>
      </c>
      <c r="BC25" s="31" t="n">
        <v>0.2139201754553284</v>
      </c>
      <c r="BD25" s="31" t="n">
        <v>0.02949825967672073</v>
      </c>
      <c r="BE25" s="31" t="n">
        <v>0.07704567777825451</v>
      </c>
      <c r="BF25" s="31" t="n">
        <v>0.04065423279527029</v>
      </c>
      <c r="BG25" s="31" t="n">
        <v>0.01686552242230178</v>
      </c>
      <c r="BH25" s="31" t="n">
        <v>0.04789973523915492</v>
      </c>
      <c r="BI25" s="31" t="n">
        <v>0.1406505697317464</v>
      </c>
      <c r="BJ25" s="31" t="n">
        <v>-0.004915881157245626</v>
      </c>
      <c r="BK25" s="31" t="n">
        <v>0.1121402094059463</v>
      </c>
      <c r="BL25" s="31" t="n">
        <v>0.093411155642949</v>
      </c>
      <c r="BM25" s="31" t="n">
        <v>0.0405444064253561</v>
      </c>
      <c r="BN25" s="31" t="n">
        <v>0.01404679032224797</v>
      </c>
      <c r="BO25" s="31" t="n">
        <v>0.08323431012656714</v>
      </c>
      <c r="BP25" s="31" t="n">
        <v>0.0005552186207943285</v>
      </c>
      <c r="BQ25" s="31" t="n">
        <v>0.05990290773229198</v>
      </c>
      <c r="BR25" s="31" t="n">
        <v>0</v>
      </c>
      <c r="BS25" s="31">
        <f>SUM(C25:BR25)</f>
        <v/>
      </c>
      <c r="BT25" s="31" t="n">
        <v>0</v>
      </c>
      <c r="BU25" s="31" t="n">
        <v>0</v>
      </c>
      <c r="BV25" s="31" t="n">
        <v>0</v>
      </c>
      <c r="BW25" s="31" t="n">
        <v>0</v>
      </c>
      <c r="BX25" s="31">
        <f>SUM(BT25:BW25)</f>
        <v/>
      </c>
      <c r="BY25" s="31">
        <f>BS25+BX25</f>
        <v/>
      </c>
    </row>
    <row r="26">
      <c r="A26" s="28" t="inlineStr">
        <is>
          <t>1300</t>
        </is>
      </c>
      <c r="B26" s="28" t="inlineStr">
        <is>
          <t>Fabricação de produtos têxteis</t>
        </is>
      </c>
      <c r="C26" s="29" t="n">
        <v>274.1152030738982</v>
      </c>
      <c r="D26" s="29" t="n">
        <v>6.053590657029901</v>
      </c>
      <c r="E26" s="29" t="n">
        <v>0.6389489428386947</v>
      </c>
      <c r="F26" s="29" t="n">
        <v>108.7681577371383</v>
      </c>
      <c r="G26" s="29" t="n">
        <v>43.8557757161326</v>
      </c>
      <c r="H26" s="29" t="n">
        <v>1.816536833491242</v>
      </c>
      <c r="I26" s="29" t="n">
        <v>2.229191979423685</v>
      </c>
      <c r="J26" s="29" t="n">
        <v>-15.44157296359286</v>
      </c>
      <c r="K26" s="29" t="n">
        <v>60.08134840682634</v>
      </c>
      <c r="L26" s="29" t="n">
        <v>72.48588052969318</v>
      </c>
      <c r="M26" s="29" t="n">
        <v>4.119119212905748</v>
      </c>
      <c r="N26" s="29" t="n">
        <v>-0.7999728617041465</v>
      </c>
      <c r="O26" s="29" t="n">
        <v>5046.884126610396</v>
      </c>
      <c r="P26" s="29" t="n">
        <v>6580.801080617953</v>
      </c>
      <c r="Q26" s="29" t="n">
        <v>1524.313168338838</v>
      </c>
      <c r="R26" s="29" t="n">
        <v>1.235361685308586</v>
      </c>
      <c r="S26" s="29" t="n">
        <v>48.40698750117735</v>
      </c>
      <c r="T26" s="29" t="n">
        <v>1.674916532853002</v>
      </c>
      <c r="U26" s="29" t="n">
        <v>-1.391529452080015</v>
      </c>
      <c r="V26" s="29" t="n">
        <v>-0.9760745138849038</v>
      </c>
      <c r="W26" s="29" t="n">
        <v>4.273963800703361</v>
      </c>
      <c r="X26" s="29" t="n">
        <v>16.08897404741312</v>
      </c>
      <c r="Y26" s="29" t="n">
        <v>4.051079045233595</v>
      </c>
      <c r="Z26" s="29" t="n">
        <v>36.35650269256683</v>
      </c>
      <c r="AA26" s="29" t="n">
        <v>300.9962286639009</v>
      </c>
      <c r="AB26" s="29" t="n">
        <v>10.44424738012558</v>
      </c>
      <c r="AC26" s="29" t="n">
        <v>-4.283660418095794</v>
      </c>
      <c r="AD26" s="29" t="n">
        <v>-1.163785987223871</v>
      </c>
      <c r="AE26" s="29" t="n">
        <v>18.3089166421558</v>
      </c>
      <c r="AF26" s="29" t="n">
        <v>2.070302867291257</v>
      </c>
      <c r="AG26" s="29" t="n">
        <v>11.37995838619659</v>
      </c>
      <c r="AH26" s="29" t="n">
        <v>11.62604011265537</v>
      </c>
      <c r="AI26" s="29" t="n">
        <v>87.98022248303781</v>
      </c>
      <c r="AJ26" s="29" t="n">
        <v>816.1620455911343</v>
      </c>
      <c r="AK26" s="29" t="n">
        <v>47.41328287054969</v>
      </c>
      <c r="AL26" s="29" t="n">
        <v>635.5626260440678</v>
      </c>
      <c r="AM26" s="29" t="n">
        <v>7.045642424562013</v>
      </c>
      <c r="AN26" s="29" t="n">
        <v>9.633613195340553</v>
      </c>
      <c r="AO26" s="29" t="n">
        <v>6.029527956089891</v>
      </c>
      <c r="AP26" s="29" t="n">
        <v>352.1785605949975</v>
      </c>
      <c r="AQ26" s="29" t="n">
        <v>22.5853508907025</v>
      </c>
      <c r="AR26" s="29" t="n">
        <v>38.20173564332516</v>
      </c>
      <c r="AS26" s="29" t="n">
        <v>38.38465448799479</v>
      </c>
      <c r="AT26" s="29" t="n">
        <v>7.136887788457488</v>
      </c>
      <c r="AU26" s="29" t="n">
        <v>2.083596870647692</v>
      </c>
      <c r="AV26" s="29" t="n">
        <v>1.62104948088905</v>
      </c>
      <c r="AW26" s="29" t="n">
        <v>145.0780101280645</v>
      </c>
      <c r="AX26" s="29" t="n">
        <v>90.98444217765859</v>
      </c>
      <c r="AY26" s="29" t="n">
        <v>-2.459893169581877</v>
      </c>
      <c r="AZ26" s="29" t="n">
        <v>0.7749974216694477</v>
      </c>
      <c r="BA26" s="29" t="n">
        <v>-16.11386224014498</v>
      </c>
      <c r="BB26" s="29" t="n">
        <v>-0.4610407805401027</v>
      </c>
      <c r="BC26" s="29" t="n">
        <v>6.45044015875335</v>
      </c>
      <c r="BD26" s="29" t="n">
        <v>1.312738477487403</v>
      </c>
      <c r="BE26" s="29" t="n">
        <v>1.081825705886525</v>
      </c>
      <c r="BF26" s="29" t="n">
        <v>7.563848515118665</v>
      </c>
      <c r="BG26" s="29" t="n">
        <v>1.440983999874546</v>
      </c>
      <c r="BH26" s="29" t="n">
        <v>3.945632718263322</v>
      </c>
      <c r="BI26" s="29" t="n">
        <v>7.134452735774279</v>
      </c>
      <c r="BJ26" s="29" t="n">
        <v>1.022068425458151</v>
      </c>
      <c r="BK26" s="29" t="n">
        <v>30.65768215477001</v>
      </c>
      <c r="BL26" s="29" t="n">
        <v>35.03808569172809</v>
      </c>
      <c r="BM26" s="29" t="n">
        <v>0.3202447186069191</v>
      </c>
      <c r="BN26" s="29" t="n">
        <v>26.579050926434</v>
      </c>
      <c r="BO26" s="29" t="n">
        <v>68.15104916664814</v>
      </c>
      <c r="BP26" s="29" t="n">
        <v>1.622287683951267</v>
      </c>
      <c r="BQ26" s="29" t="n">
        <v>309.2201162124663</v>
      </c>
      <c r="BR26" s="29" t="n">
        <v>0</v>
      </c>
      <c r="BS26" s="29">
        <f>SUM(C26:BR26)</f>
        <v/>
      </c>
      <c r="BT26" s="29" t="n">
        <v>0</v>
      </c>
      <c r="BU26" s="29" t="n">
        <v>0</v>
      </c>
      <c r="BV26" s="29" t="n">
        <v>0</v>
      </c>
      <c r="BW26" s="29" t="n">
        <v>0</v>
      </c>
      <c r="BX26" s="29">
        <f>SUM(BT26:BW26)</f>
        <v/>
      </c>
      <c r="BY26" s="29">
        <f>BS26+BX26</f>
        <v/>
      </c>
    </row>
    <row r="27">
      <c r="A27" s="30" t="inlineStr">
        <is>
          <t>1400</t>
        </is>
      </c>
      <c r="B27" s="30" t="inlineStr">
        <is>
          <t>Confecção de artefatos do vestuário e acessórios</t>
        </is>
      </c>
      <c r="C27" s="31" t="n">
        <v>3.967506550547561</v>
      </c>
      <c r="D27" s="31" t="n">
        <v>1.075716309065264</v>
      </c>
      <c r="E27" s="31" t="n">
        <v>9.125753051740936</v>
      </c>
      <c r="F27" s="31" t="n">
        <v>4.383417683333975</v>
      </c>
      <c r="G27" s="31" t="n">
        <v>52.94481390043172</v>
      </c>
      <c r="H27" s="31" t="n">
        <v>3.593089513324454</v>
      </c>
      <c r="I27" s="31" t="n">
        <v>0.4869077830739288</v>
      </c>
      <c r="J27" s="31" t="n">
        <v>-19.63961204710582</v>
      </c>
      <c r="K27" s="31" t="n">
        <v>-1.067369852492695</v>
      </c>
      <c r="L27" s="31" t="n">
        <v>-10.63168116068468</v>
      </c>
      <c r="M27" s="31" t="n">
        <v>-0.7581389670719028</v>
      </c>
      <c r="N27" s="31" t="n">
        <v>-1.068949825570497</v>
      </c>
      <c r="O27" s="31" t="n">
        <v>48.23566621610532</v>
      </c>
      <c r="P27" s="31" t="n">
        <v>1371.504711995236</v>
      </c>
      <c r="Q27" s="31" t="n">
        <v>31.41413884540141</v>
      </c>
      <c r="R27" s="31" t="n">
        <v>-0.8811370919553865</v>
      </c>
      <c r="S27" s="31" t="n">
        <v>-6.613426714688622</v>
      </c>
      <c r="T27" s="31" t="n">
        <v>-0.3637904844729211</v>
      </c>
      <c r="U27" s="31" t="n">
        <v>-1.862430497221488</v>
      </c>
      <c r="V27" s="31" t="n">
        <v>-1.299132002197006</v>
      </c>
      <c r="W27" s="31" t="n">
        <v>-3.60901424774215</v>
      </c>
      <c r="X27" s="31" t="n">
        <v>-1.218979240132147</v>
      </c>
      <c r="Y27" s="31" t="n">
        <v>-0.3315793047927738</v>
      </c>
      <c r="Z27" s="31" t="n">
        <v>-5.044076178914865</v>
      </c>
      <c r="AA27" s="31" t="n">
        <v>-4.459361703738691</v>
      </c>
      <c r="AB27" s="31" t="n">
        <v>5.272572067843997</v>
      </c>
      <c r="AC27" s="31" t="n">
        <v>-3.195548764485339</v>
      </c>
      <c r="AD27" s="31" t="n">
        <v>-1.950326153157078</v>
      </c>
      <c r="AE27" s="31" t="n">
        <v>32.19570115323322</v>
      </c>
      <c r="AF27" s="31" t="n">
        <v>-3.400116627698633</v>
      </c>
      <c r="AG27" s="31" t="n">
        <v>-2.695767749723201</v>
      </c>
      <c r="AH27" s="31" t="n">
        <v>20.53360469022685</v>
      </c>
      <c r="AI27" s="31" t="n">
        <v>4.395500433332573</v>
      </c>
      <c r="AJ27" s="31" t="n">
        <v>15.94627384816424</v>
      </c>
      <c r="AK27" s="31" t="n">
        <v>0.9018565286724932</v>
      </c>
      <c r="AL27" s="31" t="n">
        <v>8.937361518053136</v>
      </c>
      <c r="AM27" s="31" t="n">
        <v>13.13001528972169</v>
      </c>
      <c r="AN27" s="31" t="n">
        <v>60.93991744955306</v>
      </c>
      <c r="AO27" s="31" t="n">
        <v>82.4289317712948</v>
      </c>
      <c r="AP27" s="31" t="n">
        <v>43.09792975646904</v>
      </c>
      <c r="AQ27" s="31" t="n">
        <v>1.283179970156344</v>
      </c>
      <c r="AR27" s="31" t="n">
        <v>194.2333333661681</v>
      </c>
      <c r="AS27" s="31" t="n">
        <v>132.1950800633712</v>
      </c>
      <c r="AT27" s="31" t="n">
        <v>6.621036840956297</v>
      </c>
      <c r="AU27" s="31" t="n">
        <v>138.8064775451465</v>
      </c>
      <c r="AV27" s="31" t="n">
        <v>61.18873049471851</v>
      </c>
      <c r="AW27" s="31" t="n">
        <v>62.57975410896682</v>
      </c>
      <c r="AX27" s="31" t="n">
        <v>127.2930675483613</v>
      </c>
      <c r="AY27" s="31" t="n">
        <v>-3.032328687928944</v>
      </c>
      <c r="AZ27" s="31" t="n">
        <v>79.36639211652476</v>
      </c>
      <c r="BA27" s="31" t="n">
        <v>18.96082816136256</v>
      </c>
      <c r="BB27" s="31" t="n">
        <v>-1.058435575569832</v>
      </c>
      <c r="BC27" s="31" t="n">
        <v>618.4312439499053</v>
      </c>
      <c r="BD27" s="31" t="n">
        <v>24.49777184907412</v>
      </c>
      <c r="BE27" s="31" t="n">
        <v>2.736322138256513</v>
      </c>
      <c r="BF27" s="31" t="n">
        <v>123.3288982345937</v>
      </c>
      <c r="BG27" s="31" t="n">
        <v>22.1657225154792</v>
      </c>
      <c r="BH27" s="31" t="n">
        <v>1.267892947578382</v>
      </c>
      <c r="BI27" s="31" t="n">
        <v>95.00513793121149</v>
      </c>
      <c r="BJ27" s="31" t="n">
        <v>142.7091848206488</v>
      </c>
      <c r="BK27" s="31" t="n">
        <v>406.421876944159</v>
      </c>
      <c r="BL27" s="31" t="n">
        <v>440.8167231774791</v>
      </c>
      <c r="BM27" s="31" t="n">
        <v>0.07146229146451899</v>
      </c>
      <c r="BN27" s="31" t="n">
        <v>32.25690304898951</v>
      </c>
      <c r="BO27" s="31" t="n">
        <v>41.51728110745847</v>
      </c>
      <c r="BP27" s="31" t="n">
        <v>69.97497675868416</v>
      </c>
      <c r="BQ27" s="31" t="n">
        <v>664.2370059384602</v>
      </c>
      <c r="BR27" s="31" t="n">
        <v>0</v>
      </c>
      <c r="BS27" s="31">
        <f>SUM(C27:BR27)</f>
        <v/>
      </c>
      <c r="BT27" s="31" t="n">
        <v>0</v>
      </c>
      <c r="BU27" s="31" t="n">
        <v>0</v>
      </c>
      <c r="BV27" s="31" t="n">
        <v>0</v>
      </c>
      <c r="BW27" s="31" t="n">
        <v>0</v>
      </c>
      <c r="BX27" s="31">
        <f>SUM(BT27:BW27)</f>
        <v/>
      </c>
      <c r="BY27" s="31">
        <f>BS27+BX27</f>
        <v/>
      </c>
    </row>
    <row r="28">
      <c r="A28" s="28" t="inlineStr">
        <is>
          <t>1500</t>
        </is>
      </c>
      <c r="B28" s="28" t="inlineStr">
        <is>
          <t>Fabricação de calçados e de artefatos de couro</t>
        </is>
      </c>
      <c r="C28" s="29" t="n">
        <v>1.443278776890586</v>
      </c>
      <c r="D28" s="29" t="n">
        <v>1.391275977226785</v>
      </c>
      <c r="E28" s="29" t="n">
        <v>0.08329648303107516</v>
      </c>
      <c r="F28" s="29" t="n">
        <v>3.282220919687243</v>
      </c>
      <c r="G28" s="29" t="n">
        <v>3.503403185634058</v>
      </c>
      <c r="H28" s="29" t="n">
        <v>1.065259376124967</v>
      </c>
      <c r="I28" s="29" t="n">
        <v>0.2349793449624974</v>
      </c>
      <c r="J28" s="29" t="n">
        <v>1.674411720652092</v>
      </c>
      <c r="K28" s="29" t="n">
        <v>-0.1645672063901147</v>
      </c>
      <c r="L28" s="29" t="n">
        <v>8.138947130927743</v>
      </c>
      <c r="M28" s="29" t="n">
        <v>1.563388262272125</v>
      </c>
      <c r="N28" s="29" t="n">
        <v>-0.1659629608386697</v>
      </c>
      <c r="O28" s="29" t="n">
        <v>5.315319386243632</v>
      </c>
      <c r="P28" s="29" t="n">
        <v>13.02979475539565</v>
      </c>
      <c r="Q28" s="29" t="n">
        <v>2564.820892207235</v>
      </c>
      <c r="R28" s="29" t="n">
        <v>0.6838427895926282</v>
      </c>
      <c r="S28" s="29" t="n">
        <v>37.86848316666027</v>
      </c>
      <c r="T28" s="29" t="n">
        <v>0.6043893418979596</v>
      </c>
      <c r="U28" s="29" t="n">
        <v>0.08338912707824357</v>
      </c>
      <c r="V28" s="29" t="n">
        <v>0.5534869688160813</v>
      </c>
      <c r="W28" s="29" t="n">
        <v>5.052798074712976</v>
      </c>
      <c r="X28" s="29" t="n">
        <v>7.317033369380414</v>
      </c>
      <c r="Y28" s="29" t="n">
        <v>3.12951967041288</v>
      </c>
      <c r="Z28" s="29" t="n">
        <v>0.5483061110035674</v>
      </c>
      <c r="AA28" s="29" t="n">
        <v>15.75527378747056</v>
      </c>
      <c r="AB28" s="29" t="n">
        <v>1.748532102433534</v>
      </c>
      <c r="AC28" s="29" t="n">
        <v>0.1467482564539143</v>
      </c>
      <c r="AD28" s="29" t="n">
        <v>-0.1107297473805695</v>
      </c>
      <c r="AE28" s="29" t="n">
        <v>18.60766180468566</v>
      </c>
      <c r="AF28" s="29" t="n">
        <v>0.07814778429669988</v>
      </c>
      <c r="AG28" s="29" t="n">
        <v>2.902859917405414</v>
      </c>
      <c r="AH28" s="29" t="n">
        <v>3.702699276383247</v>
      </c>
      <c r="AI28" s="29" t="n">
        <v>9.105555438122302</v>
      </c>
      <c r="AJ28" s="29" t="n">
        <v>7.259044099806039</v>
      </c>
      <c r="AK28" s="29" t="n">
        <v>1.298616488355477</v>
      </c>
      <c r="AL28" s="29" t="n">
        <v>19.25654434601048</v>
      </c>
      <c r="AM28" s="29" t="n">
        <v>2.198168374083243</v>
      </c>
      <c r="AN28" s="29" t="n">
        <v>54.08939524245098</v>
      </c>
      <c r="AO28" s="29" t="n">
        <v>0.9096434429692256</v>
      </c>
      <c r="AP28" s="29" t="n">
        <v>30.111098725989</v>
      </c>
      <c r="AQ28" s="29" t="n">
        <v>0.7894396064978253</v>
      </c>
      <c r="AR28" s="29" t="n">
        <v>0.9959762540788958</v>
      </c>
      <c r="AS28" s="29" t="n">
        <v>4.013772499496501</v>
      </c>
      <c r="AT28" s="29" t="n">
        <v>0.3135741519333036</v>
      </c>
      <c r="AU28" s="29" t="n">
        <v>1.03035491515049</v>
      </c>
      <c r="AV28" s="29" t="n">
        <v>0.6147767739520655</v>
      </c>
      <c r="AW28" s="29" t="n">
        <v>0.837152639433033</v>
      </c>
      <c r="AX28" s="29" t="n">
        <v>3.88177541464965</v>
      </c>
      <c r="AY28" s="29" t="n">
        <v>-0.5683871853250074</v>
      </c>
      <c r="AZ28" s="29" t="n">
        <v>15.4391200617046</v>
      </c>
      <c r="BA28" s="29" t="n">
        <v>-3.625179848829734</v>
      </c>
      <c r="BB28" s="29" t="n">
        <v>1.233383381932176</v>
      </c>
      <c r="BC28" s="29" t="n">
        <v>2.788417935692846</v>
      </c>
      <c r="BD28" s="29" t="n">
        <v>0.485673557458689</v>
      </c>
      <c r="BE28" s="29" t="n">
        <v>0.4542039830863668</v>
      </c>
      <c r="BF28" s="29" t="n">
        <v>1.492257267203438</v>
      </c>
      <c r="BG28" s="29" t="n">
        <v>0.7118402072206479</v>
      </c>
      <c r="BH28" s="29" t="n">
        <v>1.574292684450922</v>
      </c>
      <c r="BI28" s="29" t="n">
        <v>2.964334629142309</v>
      </c>
      <c r="BJ28" s="29" t="n">
        <v>31.50476279040805</v>
      </c>
      <c r="BK28" s="29" t="n">
        <v>17.05274128146588</v>
      </c>
      <c r="BL28" s="29" t="n">
        <v>5.27463676824792</v>
      </c>
      <c r="BM28" s="29" t="n">
        <v>0.0986388609275403</v>
      </c>
      <c r="BN28" s="29" t="n">
        <v>7.355088718721217</v>
      </c>
      <c r="BO28" s="29" t="n">
        <v>25.05015921743002</v>
      </c>
      <c r="BP28" s="29" t="n">
        <v>0.6596659783766596</v>
      </c>
      <c r="BQ28" s="29" t="n">
        <v>2.748771401305207</v>
      </c>
      <c r="BR28" s="29" t="n">
        <v>0</v>
      </c>
      <c r="BS28" s="29">
        <f>SUM(C28:BR28)</f>
        <v/>
      </c>
      <c r="BT28" s="29" t="n">
        <v>0</v>
      </c>
      <c r="BU28" s="29" t="n">
        <v>0</v>
      </c>
      <c r="BV28" s="29" t="n">
        <v>0</v>
      </c>
      <c r="BW28" s="29" t="n">
        <v>0</v>
      </c>
      <c r="BX28" s="29">
        <f>SUM(BT28:BW28)</f>
        <v/>
      </c>
      <c r="BY28" s="29">
        <f>BS28+BX28</f>
        <v/>
      </c>
    </row>
    <row r="29">
      <c r="A29" s="30" t="inlineStr">
        <is>
          <t>1600</t>
        </is>
      </c>
      <c r="B29" s="30" t="inlineStr">
        <is>
          <t>Fabricação de produtos da madeira</t>
        </is>
      </c>
      <c r="C29" s="31" t="n">
        <v>134.5427983062881</v>
      </c>
      <c r="D29" s="31" t="n">
        <v>79.96600210624112</v>
      </c>
      <c r="E29" s="31" t="n">
        <v>4.212718783495299</v>
      </c>
      <c r="F29" s="31" t="n">
        <v>2.313628859392079</v>
      </c>
      <c r="G29" s="31" t="n">
        <v>3.53065693002878</v>
      </c>
      <c r="H29" s="31" t="n">
        <v>3.809740681485944</v>
      </c>
      <c r="I29" s="31" t="n">
        <v>0.5831946633917039</v>
      </c>
      <c r="J29" s="31" t="n">
        <v>3.76600652243568</v>
      </c>
      <c r="K29" s="31" t="n">
        <v>-0.5038444491322664</v>
      </c>
      <c r="L29" s="31" t="n">
        <v>87.83479803998775</v>
      </c>
      <c r="M29" s="31" t="n">
        <v>28.96684159933755</v>
      </c>
      <c r="N29" s="31" t="n">
        <v>-0.320239384431576</v>
      </c>
      <c r="O29" s="31" t="n">
        <v>7.674997441841343</v>
      </c>
      <c r="P29" s="31" t="n">
        <v>-0.1905346871626591</v>
      </c>
      <c r="Q29" s="31" t="n">
        <v>-1.09860832888188</v>
      </c>
      <c r="R29" s="31" t="n">
        <v>1064.817665012915</v>
      </c>
      <c r="S29" s="31" t="n">
        <v>127.4559557257753</v>
      </c>
      <c r="T29" s="31" t="n">
        <v>0.3641394752105754</v>
      </c>
      <c r="U29" s="31" t="n">
        <v>-0.5698185386044802</v>
      </c>
      <c r="V29" s="31" t="n">
        <v>-0.4176160523845729</v>
      </c>
      <c r="W29" s="31" t="n">
        <v>4.75698649209948</v>
      </c>
      <c r="X29" s="31" t="n">
        <v>11.42941208040272</v>
      </c>
      <c r="Y29" s="31" t="n">
        <v>0.4834494718120617</v>
      </c>
      <c r="Z29" s="31" t="n">
        <v>-1.616071604277517</v>
      </c>
      <c r="AA29" s="31" t="n">
        <v>2.030288955195931</v>
      </c>
      <c r="AB29" s="31" t="n">
        <v>11.2185420987989</v>
      </c>
      <c r="AC29" s="31" t="n">
        <v>3.383810634012532</v>
      </c>
      <c r="AD29" s="31" t="n">
        <v>1.159369160804432</v>
      </c>
      <c r="AE29" s="31" t="n">
        <v>75.20739088156805</v>
      </c>
      <c r="AF29" s="31" t="n">
        <v>-0.5216852237876289</v>
      </c>
      <c r="AG29" s="31" t="n">
        <v>2.882312994715322</v>
      </c>
      <c r="AH29" s="31" t="n">
        <v>147.9522869975654</v>
      </c>
      <c r="AI29" s="31" t="n">
        <v>108.7949346773315</v>
      </c>
      <c r="AJ29" s="31" t="n">
        <v>30.27152303919926</v>
      </c>
      <c r="AK29" s="31" t="n">
        <v>64.03958187459068</v>
      </c>
      <c r="AL29" s="31" t="n">
        <v>1869.067502042026</v>
      </c>
      <c r="AM29" s="31" t="n">
        <v>13.05766564310792</v>
      </c>
      <c r="AN29" s="31" t="n">
        <v>114.9452106861552</v>
      </c>
      <c r="AO29" s="31" t="n">
        <v>2.930425718797422</v>
      </c>
      <c r="AP29" s="31" t="n">
        <v>1869.092526957289</v>
      </c>
      <c r="AQ29" s="31" t="n">
        <v>1.313809041727774</v>
      </c>
      <c r="AR29" s="31" t="n">
        <v>589.4211933214705</v>
      </c>
      <c r="AS29" s="31" t="n">
        <v>0.2823341005272651</v>
      </c>
      <c r="AT29" s="31" t="n">
        <v>0.3497222714214778</v>
      </c>
      <c r="AU29" s="31" t="n">
        <v>0.01505543403326635</v>
      </c>
      <c r="AV29" s="31" t="n">
        <v>22.93837885155964</v>
      </c>
      <c r="AW29" s="31" t="n">
        <v>0.1235311175397537</v>
      </c>
      <c r="AX29" s="31" t="n">
        <v>0.6760448795097146</v>
      </c>
      <c r="AY29" s="31" t="n">
        <v>-0.9282653504048681</v>
      </c>
      <c r="AZ29" s="31" t="n">
        <v>57.32163611937118</v>
      </c>
      <c r="BA29" s="31" t="n">
        <v>-6.40208514252101</v>
      </c>
      <c r="BB29" s="31" t="n">
        <v>-0.267966734900586</v>
      </c>
      <c r="BC29" s="31" t="n">
        <v>0.791575735419588</v>
      </c>
      <c r="BD29" s="31" t="n">
        <v>109.6066272789018</v>
      </c>
      <c r="BE29" s="31" t="n">
        <v>0.1609738170216833</v>
      </c>
      <c r="BF29" s="31" t="n">
        <v>0.2570589418025024</v>
      </c>
      <c r="BG29" s="31" t="n">
        <v>0.01026565238749053</v>
      </c>
      <c r="BH29" s="31" t="n">
        <v>0.3908415581742796</v>
      </c>
      <c r="BI29" s="31" t="n">
        <v>34.40876720779644</v>
      </c>
      <c r="BJ29" s="31" t="n">
        <v>-0.02520069794435579</v>
      </c>
      <c r="BK29" s="31" t="n">
        <v>22.29685715434109</v>
      </c>
      <c r="BL29" s="31" t="n">
        <v>8.071183211833153</v>
      </c>
      <c r="BM29" s="31" t="n">
        <v>0.3116630782235447</v>
      </c>
      <c r="BN29" s="31" t="n">
        <v>2.203444204724508</v>
      </c>
      <c r="BO29" s="31" t="n">
        <v>5.331772768700179</v>
      </c>
      <c r="BP29" s="31" t="n">
        <v>0.3735164716069282</v>
      </c>
      <c r="BQ29" s="31" t="n">
        <v>59.83602322545791</v>
      </c>
      <c r="BR29" s="31" t="n">
        <v>0</v>
      </c>
      <c r="BS29" s="31">
        <f>SUM(C29:BR29)</f>
        <v/>
      </c>
      <c r="BT29" s="31" t="n">
        <v>0</v>
      </c>
      <c r="BU29" s="31" t="n">
        <v>0</v>
      </c>
      <c r="BV29" s="31" t="n">
        <v>0</v>
      </c>
      <c r="BW29" s="31" t="n">
        <v>0</v>
      </c>
      <c r="BX29" s="31">
        <f>SUM(BT29:BW29)</f>
        <v/>
      </c>
      <c r="BY29" s="31">
        <f>BS29+BX29</f>
        <v/>
      </c>
    </row>
    <row r="30">
      <c r="A30" s="28" t="inlineStr">
        <is>
          <t>1700</t>
        </is>
      </c>
      <c r="B30" s="28" t="inlineStr">
        <is>
          <t>Fabricação de celulose, papel e produtos de papel</t>
        </is>
      </c>
      <c r="C30" s="29" t="n">
        <v>145.1345813829568</v>
      </c>
      <c r="D30" s="29" t="n">
        <v>51.23329581471594</v>
      </c>
      <c r="E30" s="29" t="n">
        <v>6.330228134792819</v>
      </c>
      <c r="F30" s="29" t="n">
        <v>3.353987522094762</v>
      </c>
      <c r="G30" s="29" t="n">
        <v>26.46476553447812</v>
      </c>
      <c r="H30" s="29" t="n">
        <v>47.12885411907953</v>
      </c>
      <c r="I30" s="29" t="n">
        <v>8.406430170598375</v>
      </c>
      <c r="J30" s="29" t="n">
        <v>908.1075157588687</v>
      </c>
      <c r="K30" s="29" t="n">
        <v>10.06322302690219</v>
      </c>
      <c r="L30" s="29" t="n">
        <v>1012.124151305715</v>
      </c>
      <c r="M30" s="29" t="n">
        <v>83.57594244988159</v>
      </c>
      <c r="N30" s="29" t="n">
        <v>313.030063537472</v>
      </c>
      <c r="O30" s="29" t="n">
        <v>243.3709493189324</v>
      </c>
      <c r="P30" s="29" t="n">
        <v>185.9273098318343</v>
      </c>
      <c r="Q30" s="29" t="n">
        <v>232.9570684227702</v>
      </c>
      <c r="R30" s="29" t="n">
        <v>199.2401269510541</v>
      </c>
      <c r="S30" s="29" t="n">
        <v>3251.563914414958</v>
      </c>
      <c r="T30" s="29" t="n">
        <v>526.7688225430765</v>
      </c>
      <c r="U30" s="29" t="n">
        <v>44.4404038591866</v>
      </c>
      <c r="V30" s="29" t="n">
        <v>11.85045433433496</v>
      </c>
      <c r="W30" s="29" t="n">
        <v>38.64931052512634</v>
      </c>
      <c r="X30" s="29" t="n">
        <v>67.8942553800335</v>
      </c>
      <c r="Y30" s="29" t="n">
        <v>525.3700529616152</v>
      </c>
      <c r="Z30" s="29" t="n">
        <v>284.3157230686866</v>
      </c>
      <c r="AA30" s="29" t="n">
        <v>662.4795285111441</v>
      </c>
      <c r="AB30" s="29" t="n">
        <v>644.136566903347</v>
      </c>
      <c r="AC30" s="29" t="n">
        <v>15.75218556868992</v>
      </c>
      <c r="AD30" s="29" t="n">
        <v>12.86814454738131</v>
      </c>
      <c r="AE30" s="29" t="n">
        <v>433.1361862877692</v>
      </c>
      <c r="AF30" s="29" t="n">
        <v>408.5948416513315</v>
      </c>
      <c r="AG30" s="29" t="n">
        <v>163.166234518638</v>
      </c>
      <c r="AH30" s="29" t="n">
        <v>167.1231854753267</v>
      </c>
      <c r="AI30" s="29" t="n">
        <v>192.283110496946</v>
      </c>
      <c r="AJ30" s="29" t="n">
        <v>307.5595045655547</v>
      </c>
      <c r="AK30" s="29" t="n">
        <v>31.77389471430624</v>
      </c>
      <c r="AL30" s="29" t="n">
        <v>309.953280410309</v>
      </c>
      <c r="AM30" s="29" t="n">
        <v>47.86899429648909</v>
      </c>
      <c r="AN30" s="29" t="n">
        <v>21.09830413280977</v>
      </c>
      <c r="AO30" s="29" t="n">
        <v>34.23437492757808</v>
      </c>
      <c r="AP30" s="29" t="n">
        <v>229.9383521075578</v>
      </c>
      <c r="AQ30" s="29" t="n">
        <v>274.2324148377421</v>
      </c>
      <c r="AR30" s="29" t="n">
        <v>1639.771793041617</v>
      </c>
      <c r="AS30" s="29" t="n">
        <v>70.05933877335772</v>
      </c>
      <c r="AT30" s="29" t="n">
        <v>23.03641423350447</v>
      </c>
      <c r="AU30" s="29" t="n">
        <v>8.483820391217691</v>
      </c>
      <c r="AV30" s="29" t="n">
        <v>92.72327316150998</v>
      </c>
      <c r="AW30" s="29" t="n">
        <v>67.43580108565968</v>
      </c>
      <c r="AX30" s="29" t="n">
        <v>392.0341814063631</v>
      </c>
      <c r="AY30" s="29" t="n">
        <v>597.0834667595976</v>
      </c>
      <c r="AZ30" s="29" t="n">
        <v>36.60663936662561</v>
      </c>
      <c r="BA30" s="29" t="n">
        <v>20.47082347659127</v>
      </c>
      <c r="BB30" s="29" t="n">
        <v>92.11877219454726</v>
      </c>
      <c r="BC30" s="29" t="n">
        <v>650.74796863502</v>
      </c>
      <c r="BD30" s="29" t="n">
        <v>87.51299681253569</v>
      </c>
      <c r="BE30" s="29" t="n">
        <v>437.9892505655752</v>
      </c>
      <c r="BF30" s="29" t="n">
        <v>152.3672939285842</v>
      </c>
      <c r="BG30" s="29" t="n">
        <v>187.0968309733994</v>
      </c>
      <c r="BH30" s="29" t="n">
        <v>142.0190114777772</v>
      </c>
      <c r="BI30" s="29" t="n">
        <v>713.1708706199901</v>
      </c>
      <c r="BJ30" s="29" t="n">
        <v>15.16852751975595</v>
      </c>
      <c r="BK30" s="29" t="n">
        <v>337.6515906935417</v>
      </c>
      <c r="BL30" s="29" t="n">
        <v>277.1983889748085</v>
      </c>
      <c r="BM30" s="29" t="n">
        <v>126.0658067772119</v>
      </c>
      <c r="BN30" s="29" t="n">
        <v>57.21282160739469</v>
      </c>
      <c r="BO30" s="29" t="n">
        <v>297.8857104397126</v>
      </c>
      <c r="BP30" s="29" t="n">
        <v>19.22388498285819</v>
      </c>
      <c r="BQ30" s="29" t="n">
        <v>215.4712046582679</v>
      </c>
      <c r="BR30" s="29" t="n">
        <v>0</v>
      </c>
      <c r="BS30" s="29">
        <f>SUM(C30:BR30)</f>
        <v/>
      </c>
      <c r="BT30" s="29" t="n">
        <v>0</v>
      </c>
      <c r="BU30" s="29" t="n">
        <v>0</v>
      </c>
      <c r="BV30" s="29" t="n">
        <v>0</v>
      </c>
      <c r="BW30" s="29" t="n">
        <v>0</v>
      </c>
      <c r="BX30" s="29">
        <f>SUM(BT30:BW30)</f>
        <v/>
      </c>
      <c r="BY30" s="29">
        <f>BS30+BX30</f>
        <v/>
      </c>
    </row>
    <row r="31">
      <c r="A31" s="30" t="inlineStr">
        <is>
          <t>1800</t>
        </is>
      </c>
      <c r="B31" s="30" t="inlineStr">
        <is>
          <t>Impressão e reprodução de gravações</t>
        </is>
      </c>
      <c r="C31" s="31" t="n">
        <v>2.514148662923311</v>
      </c>
      <c r="D31" s="31" t="n">
        <v>0.3220889101496295</v>
      </c>
      <c r="E31" s="31" t="n">
        <v>1.412722222867786</v>
      </c>
      <c r="F31" s="31" t="n">
        <v>0.03192368610807168</v>
      </c>
      <c r="G31" s="31" t="n">
        <v>3.298953853310227</v>
      </c>
      <c r="H31" s="31" t="n">
        <v>6.454530713649372</v>
      </c>
      <c r="I31" s="31" t="n">
        <v>1.470658681789412</v>
      </c>
      <c r="J31" s="31" t="n">
        <v>10.21668504700008</v>
      </c>
      <c r="K31" s="31" t="n">
        <v>5.023126648602778</v>
      </c>
      <c r="L31" s="31" t="n">
        <v>21.40433046074545</v>
      </c>
      <c r="M31" s="31" t="n">
        <v>83.72082238091208</v>
      </c>
      <c r="N31" s="31" t="n">
        <v>1.148691605925516</v>
      </c>
      <c r="O31" s="31" t="n">
        <v>4.893812383322539</v>
      </c>
      <c r="P31" s="31" t="n">
        <v>17.05913156433525</v>
      </c>
      <c r="Q31" s="31" t="n">
        <v>4.359490906575191</v>
      </c>
      <c r="R31" s="31" t="n">
        <v>5.361331087781929</v>
      </c>
      <c r="S31" s="31" t="n">
        <v>56.04152359824757</v>
      </c>
      <c r="T31" s="31" t="n">
        <v>596.3848805519818</v>
      </c>
      <c r="U31" s="31" t="n">
        <v>1.043502471877946</v>
      </c>
      <c r="V31" s="31" t="n">
        <v>1.391445627051915</v>
      </c>
      <c r="W31" s="31" t="n">
        <v>0.07736066168829019</v>
      </c>
      <c r="X31" s="31" t="n">
        <v>4.308446269755743</v>
      </c>
      <c r="Y31" s="31" t="n">
        <v>2.748006063120672</v>
      </c>
      <c r="Z31" s="31" t="n">
        <v>2.513571756077062</v>
      </c>
      <c r="AA31" s="31" t="n">
        <v>11.69230182111086</v>
      </c>
      <c r="AB31" s="31" t="n">
        <v>7.200723251667643</v>
      </c>
      <c r="AC31" s="31" t="n">
        <v>2.8446311710379</v>
      </c>
      <c r="AD31" s="31" t="n">
        <v>-0.1948000519532846</v>
      </c>
      <c r="AE31" s="31" t="n">
        <v>7.463812641260446</v>
      </c>
      <c r="AF31" s="31" t="n">
        <v>65.37279891223019</v>
      </c>
      <c r="AG31" s="31" t="n">
        <v>4.344700428402819</v>
      </c>
      <c r="AH31" s="31" t="n">
        <v>21.17447145966925</v>
      </c>
      <c r="AI31" s="31" t="n">
        <v>18.95309499925521</v>
      </c>
      <c r="AJ31" s="31" t="n">
        <v>10.05890366775515</v>
      </c>
      <c r="AK31" s="31" t="n">
        <v>2.857709770225591</v>
      </c>
      <c r="AL31" s="31" t="n">
        <v>16.64746111869927</v>
      </c>
      <c r="AM31" s="31" t="n">
        <v>5.972612174800608</v>
      </c>
      <c r="AN31" s="31" t="n">
        <v>7.328061659452874</v>
      </c>
      <c r="AO31" s="31" t="n">
        <v>4.135986343483959</v>
      </c>
      <c r="AP31" s="31" t="n">
        <v>32.69341894906965</v>
      </c>
      <c r="AQ31" s="31" t="n">
        <v>44.98953951003347</v>
      </c>
      <c r="AR31" s="31" t="n">
        <v>2199.537188179053</v>
      </c>
      <c r="AS31" s="31" t="n">
        <v>22.03732160348548</v>
      </c>
      <c r="AT31" s="31" t="n">
        <v>1.63556144681627</v>
      </c>
      <c r="AU31" s="31" t="n">
        <v>16.51074285495369</v>
      </c>
      <c r="AV31" s="31" t="n">
        <v>17.36961548937903</v>
      </c>
      <c r="AW31" s="31" t="n">
        <v>1.470069981204918</v>
      </c>
      <c r="AX31" s="31" t="n">
        <v>21.95721329534713</v>
      </c>
      <c r="AY31" s="31" t="n">
        <v>1067.38534996108</v>
      </c>
      <c r="AZ31" s="31" t="n">
        <v>152.6612657331401</v>
      </c>
      <c r="BA31" s="31" t="n">
        <v>330.2325617095129</v>
      </c>
      <c r="BB31" s="31" t="n">
        <v>375.5297157824528</v>
      </c>
      <c r="BC31" s="31" t="n">
        <v>820.0061869344486</v>
      </c>
      <c r="BD31" s="31" t="n">
        <v>104.1998335934521</v>
      </c>
      <c r="BE31" s="31" t="n">
        <v>178.8492123488701</v>
      </c>
      <c r="BF31" s="31" t="n">
        <v>114.0027509435879</v>
      </c>
      <c r="BG31" s="31" t="n">
        <v>1289.194540750765</v>
      </c>
      <c r="BH31" s="31" t="n">
        <v>24.96381360399478</v>
      </c>
      <c r="BI31" s="31" t="n">
        <v>607.7925694478143</v>
      </c>
      <c r="BJ31" s="31" t="n">
        <v>0.9001237803637556</v>
      </c>
      <c r="BK31" s="31" t="n">
        <v>418.3531131852376</v>
      </c>
      <c r="BL31" s="31" t="n">
        <v>110.4881219611905</v>
      </c>
      <c r="BM31" s="31" t="n">
        <v>5.619001442254145</v>
      </c>
      <c r="BN31" s="31" t="n">
        <v>53.20798567007514</v>
      </c>
      <c r="BO31" s="31" t="n">
        <v>107.1546343042897</v>
      </c>
      <c r="BP31" s="31" t="n">
        <v>138.6019612902581</v>
      </c>
      <c r="BQ31" s="31" t="n">
        <v>189.6108595053096</v>
      </c>
      <c r="BR31" s="31" t="n">
        <v>0</v>
      </c>
      <c r="BS31" s="31">
        <f>SUM(C31:BR31)</f>
        <v/>
      </c>
      <c r="BT31" s="31" t="n">
        <v>0</v>
      </c>
      <c r="BU31" s="31" t="n">
        <v>0</v>
      </c>
      <c r="BV31" s="31" t="n">
        <v>0</v>
      </c>
      <c r="BW31" s="31" t="n">
        <v>0</v>
      </c>
      <c r="BX31" s="31">
        <f>SUM(BT31:BW31)</f>
        <v/>
      </c>
      <c r="BY31" s="31">
        <f>BS31+BX31</f>
        <v/>
      </c>
    </row>
    <row r="32">
      <c r="A32" s="28" t="inlineStr">
        <is>
          <t>1991</t>
        </is>
      </c>
      <c r="B32" s="28" t="inlineStr">
        <is>
          <t>Refino de petróleo e coquerias</t>
        </is>
      </c>
      <c r="C32" s="29" t="n">
        <v>1791.847376255429</v>
      </c>
      <c r="D32" s="29" t="n">
        <v>973.3521982437297</v>
      </c>
      <c r="E32" s="29" t="n">
        <v>131.3671649336103</v>
      </c>
      <c r="F32" s="29" t="n">
        <v>206.6070577173114</v>
      </c>
      <c r="G32" s="29" t="n">
        <v>991.8147378077016</v>
      </c>
      <c r="H32" s="29" t="n">
        <v>572.9824495180872</v>
      </c>
      <c r="I32" s="29" t="n">
        <v>186.8999702148839</v>
      </c>
      <c r="J32" s="29" t="n">
        <v>497.0934995496329</v>
      </c>
      <c r="K32" s="29" t="n">
        <v>201.5129585863152</v>
      </c>
      <c r="L32" s="29" t="n">
        <v>537.462281146038</v>
      </c>
      <c r="M32" s="29" t="n">
        <v>141.5769011342319</v>
      </c>
      <c r="N32" s="29" t="n">
        <v>4.58730556839468</v>
      </c>
      <c r="O32" s="29" t="n">
        <v>71.5076035879882</v>
      </c>
      <c r="P32" s="29" t="n">
        <v>13.30882260170502</v>
      </c>
      <c r="Q32" s="29" t="n">
        <v>66.3502516924101</v>
      </c>
      <c r="R32" s="29" t="n">
        <v>72.35329433321033</v>
      </c>
      <c r="S32" s="29" t="n">
        <v>360.1315199991084</v>
      </c>
      <c r="T32" s="29" t="n">
        <v>4.825184695223912</v>
      </c>
      <c r="U32" s="29" t="n">
        <v>46316.22455943833</v>
      </c>
      <c r="V32" s="29" t="n">
        <v>82.57376457743</v>
      </c>
      <c r="W32" s="29" t="n">
        <v>8522.814670943093</v>
      </c>
      <c r="X32" s="29" t="n">
        <v>460.8782247457303</v>
      </c>
      <c r="Y32" s="29" t="n">
        <v>161.2876967295255</v>
      </c>
      <c r="Z32" s="29" t="n">
        <v>32.8106699447974</v>
      </c>
      <c r="AA32" s="29" t="n">
        <v>713.2964326285056</v>
      </c>
      <c r="AB32" s="29" t="n">
        <v>1413.743600224881</v>
      </c>
      <c r="AC32" s="29" t="n">
        <v>1115.929692567248</v>
      </c>
      <c r="AD32" s="29" t="n">
        <v>358.285369220247</v>
      </c>
      <c r="AE32" s="29" t="n">
        <v>102.7432884098068</v>
      </c>
      <c r="AF32" s="29" t="n">
        <v>23.27770508016925</v>
      </c>
      <c r="AG32" s="29" t="n">
        <v>314.9920167641749</v>
      </c>
      <c r="AH32" s="29" t="n">
        <v>172.9852163213398</v>
      </c>
      <c r="AI32" s="29" t="n">
        <v>237.2090407096583</v>
      </c>
      <c r="AJ32" s="29" t="n">
        <v>169.0685491526353</v>
      </c>
      <c r="AK32" s="29" t="n">
        <v>27.01865570979249</v>
      </c>
      <c r="AL32" s="29" t="n">
        <v>61.84048953076104</v>
      </c>
      <c r="AM32" s="29" t="n">
        <v>97.70447958412709</v>
      </c>
      <c r="AN32" s="29" t="n">
        <v>804.6697430372062</v>
      </c>
      <c r="AO32" s="29" t="n">
        <v>237.6180854221713</v>
      </c>
      <c r="AP32" s="29" t="n">
        <v>2763.830911523229</v>
      </c>
      <c r="AQ32" s="29" t="n">
        <v>468.3897108511783</v>
      </c>
      <c r="AR32" s="29" t="n">
        <v>3411.440041155153</v>
      </c>
      <c r="AS32" s="29" t="n">
        <v>10337.36568454728</v>
      </c>
      <c r="AT32" s="29" t="n">
        <v>301.8081393553516</v>
      </c>
      <c r="AU32" s="29" t="n">
        <v>6006.886338387864</v>
      </c>
      <c r="AV32" s="29" t="n">
        <v>291.8610765535771</v>
      </c>
      <c r="AW32" s="29" t="n">
        <v>34.78557663684965</v>
      </c>
      <c r="AX32" s="29" t="n">
        <v>691.3182126384195</v>
      </c>
      <c r="AY32" s="29" t="n">
        <v>25.10308182071312</v>
      </c>
      <c r="AZ32" s="29" t="n">
        <v>29.6534501795602</v>
      </c>
      <c r="BA32" s="29" t="n">
        <v>61.63059941432414</v>
      </c>
      <c r="BB32" s="29" t="n">
        <v>68.6508962383419</v>
      </c>
      <c r="BC32" s="29" t="n">
        <v>438.4950844476509</v>
      </c>
      <c r="BD32" s="29" t="n">
        <v>44.56576913687146</v>
      </c>
      <c r="BE32" s="29" t="n">
        <v>247.4377010424636</v>
      </c>
      <c r="BF32" s="29" t="n">
        <v>270.3260720935151</v>
      </c>
      <c r="BG32" s="29" t="n">
        <v>59.80991392620783</v>
      </c>
      <c r="BH32" s="29" t="n">
        <v>310.9377916514294</v>
      </c>
      <c r="BI32" s="29" t="n">
        <v>281.1891516923241</v>
      </c>
      <c r="BJ32" s="29" t="n">
        <v>97.26851340707336</v>
      </c>
      <c r="BK32" s="29" t="n">
        <v>1215.683214120713</v>
      </c>
      <c r="BL32" s="29" t="n">
        <v>147.9450359446113</v>
      </c>
      <c r="BM32" s="29" t="n">
        <v>23.54773405330052</v>
      </c>
      <c r="BN32" s="29" t="n">
        <v>38.6072665970756</v>
      </c>
      <c r="BO32" s="29" t="n">
        <v>131.9573884681265</v>
      </c>
      <c r="BP32" s="29" t="n">
        <v>50.43957208777096</v>
      </c>
      <c r="BQ32" s="29" t="n">
        <v>189.3040318805355</v>
      </c>
      <c r="BR32" s="29" t="n">
        <v>0</v>
      </c>
      <c r="BS32" s="29">
        <f>SUM(C32:BR32)</f>
        <v/>
      </c>
      <c r="BT32" s="29" t="n">
        <v>0</v>
      </c>
      <c r="BU32" s="29" t="n">
        <v>0</v>
      </c>
      <c r="BV32" s="29" t="n">
        <v>0</v>
      </c>
      <c r="BW32" s="29" t="n">
        <v>0</v>
      </c>
      <c r="BX32" s="29">
        <f>SUM(BT32:BW32)</f>
        <v/>
      </c>
      <c r="BY32" s="29">
        <f>BS32+BX32</f>
        <v/>
      </c>
    </row>
    <row r="33">
      <c r="A33" s="30" t="inlineStr">
        <is>
          <t>1992</t>
        </is>
      </c>
      <c r="B33" s="30" t="inlineStr">
        <is>
          <t>Fabricação de biocombustíveis</t>
        </is>
      </c>
      <c r="C33" s="31" t="n">
        <v>19.99074139704051</v>
      </c>
      <c r="D33" s="31" t="n">
        <v>18.38448587498908</v>
      </c>
      <c r="E33" s="31" t="n">
        <v>0.9220916550550599</v>
      </c>
      <c r="F33" s="31" t="n">
        <v>3.938273911101894</v>
      </c>
      <c r="G33" s="31" t="n">
        <v>58.45880224369583</v>
      </c>
      <c r="H33" s="31" t="n">
        <v>1.244144343361608</v>
      </c>
      <c r="I33" s="31" t="n">
        <v>0.3068469434373734</v>
      </c>
      <c r="J33" s="31" t="n">
        <v>18.23360649706902</v>
      </c>
      <c r="K33" s="31" t="n">
        <v>50.78538341235402</v>
      </c>
      <c r="L33" s="31" t="n">
        <v>120.7137762311131</v>
      </c>
      <c r="M33" s="31" t="n">
        <v>24.40853258758887</v>
      </c>
      <c r="N33" s="31" t="n">
        <v>-0.2795700723665536</v>
      </c>
      <c r="O33" s="31" t="n">
        <v>0.5876666887009808</v>
      </c>
      <c r="P33" s="31" t="n">
        <v>-0.6242903193971737</v>
      </c>
      <c r="Q33" s="31" t="n">
        <v>-0.637139640807321</v>
      </c>
      <c r="R33" s="31" t="n">
        <v>0.3374820506812826</v>
      </c>
      <c r="S33" s="31" t="n">
        <v>0.3966525746668794</v>
      </c>
      <c r="T33" s="31" t="n">
        <v>0.3206382861652251</v>
      </c>
      <c r="U33" s="31" t="n">
        <v>2714.667579523693</v>
      </c>
      <c r="V33" s="31" t="n">
        <v>47.93506619952208</v>
      </c>
      <c r="W33" s="31" t="n">
        <v>52.87034812357307</v>
      </c>
      <c r="X33" s="31" t="n">
        <v>60.44635621069499</v>
      </c>
      <c r="Y33" s="31" t="n">
        <v>163.8885380257269</v>
      </c>
      <c r="Z33" s="31" t="n">
        <v>102.3615691817476</v>
      </c>
      <c r="AA33" s="31" t="n">
        <v>2.388308625420103</v>
      </c>
      <c r="AB33" s="31" t="n">
        <v>0.759146844813714</v>
      </c>
      <c r="AC33" s="31" t="n">
        <v>-0.06841167257464591</v>
      </c>
      <c r="AD33" s="31" t="n">
        <v>1.007197543709623</v>
      </c>
      <c r="AE33" s="31" t="n">
        <v>5.627977691528361</v>
      </c>
      <c r="AF33" s="31" t="n">
        <v>-0.7450335040676311</v>
      </c>
      <c r="AG33" s="31" t="n">
        <v>0.5730894357668825</v>
      </c>
      <c r="AH33" s="31" t="n">
        <v>1.526006868714821</v>
      </c>
      <c r="AI33" s="31" t="n">
        <v>2.478509899736016</v>
      </c>
      <c r="AJ33" s="31" t="n">
        <v>1.000572690002725</v>
      </c>
      <c r="AK33" s="31" t="n">
        <v>0.1724380507747206</v>
      </c>
      <c r="AL33" s="31" t="n">
        <v>0.5928803310413334</v>
      </c>
      <c r="AM33" s="31" t="n">
        <v>2.053515802482048</v>
      </c>
      <c r="AN33" s="31" t="n">
        <v>12.32050070605636</v>
      </c>
      <c r="AO33" s="31" t="n">
        <v>1.949166814621661</v>
      </c>
      <c r="AP33" s="31" t="n">
        <v>56.53622127063971</v>
      </c>
      <c r="AQ33" s="31" t="n">
        <v>19.64800603648518</v>
      </c>
      <c r="AR33" s="31" t="n">
        <v>26.37587720519814</v>
      </c>
      <c r="AS33" s="31" t="n">
        <v>84.13000497109103</v>
      </c>
      <c r="AT33" s="31" t="n">
        <v>0.08137563022494151</v>
      </c>
      <c r="AU33" s="31" t="n">
        <v>0.01468749902874957</v>
      </c>
      <c r="AV33" s="31" t="n">
        <v>6.730146265635217</v>
      </c>
      <c r="AW33" s="31" t="n">
        <v>0.8690565004524402</v>
      </c>
      <c r="AX33" s="31" t="n">
        <v>33.02131764225484</v>
      </c>
      <c r="AY33" s="31" t="n">
        <v>-0.7733902429784261</v>
      </c>
      <c r="AZ33" s="31" t="n">
        <v>-0.3690954754074821</v>
      </c>
      <c r="BA33" s="31" t="n">
        <v>-4.696955249743336</v>
      </c>
      <c r="BB33" s="31" t="n">
        <v>-0.2333978191074793</v>
      </c>
      <c r="BC33" s="31" t="n">
        <v>0.734870536814888</v>
      </c>
      <c r="BD33" s="31" t="n">
        <v>0.1334376543484967</v>
      </c>
      <c r="BE33" s="31" t="n">
        <v>0.6267739156616883</v>
      </c>
      <c r="BF33" s="31" t="n">
        <v>10.2760594962636</v>
      </c>
      <c r="BG33" s="31" t="n">
        <v>2.932714330094482</v>
      </c>
      <c r="BH33" s="31" t="n">
        <v>0.3943219350759842</v>
      </c>
      <c r="BI33" s="31" t="n">
        <v>6.204221428001111</v>
      </c>
      <c r="BJ33" s="31" t="n">
        <v>9.905324599000549</v>
      </c>
      <c r="BK33" s="31" t="n">
        <v>120.5938983988698</v>
      </c>
      <c r="BL33" s="31" t="n">
        <v>22.92446128823538</v>
      </c>
      <c r="BM33" s="31" t="n">
        <v>1.058772914708731</v>
      </c>
      <c r="BN33" s="31" t="n">
        <v>11.0574467187616</v>
      </c>
      <c r="BO33" s="31" t="n">
        <v>8.784392168198389</v>
      </c>
      <c r="BP33" s="31" t="n">
        <v>0.7764220090116872</v>
      </c>
      <c r="BQ33" s="31" t="n">
        <v>17.5614417221159</v>
      </c>
      <c r="BR33" s="31" t="n">
        <v>0</v>
      </c>
      <c r="BS33" s="31">
        <f>SUM(C33:BR33)</f>
        <v/>
      </c>
      <c r="BT33" s="31" t="n">
        <v>0</v>
      </c>
      <c r="BU33" s="31" t="n">
        <v>0</v>
      </c>
      <c r="BV33" s="31" t="n">
        <v>0</v>
      </c>
      <c r="BW33" s="31" t="n">
        <v>0</v>
      </c>
      <c r="BX33" s="31">
        <f>SUM(BT33:BW33)</f>
        <v/>
      </c>
      <c r="BY33" s="31">
        <f>BS33+BX33</f>
        <v/>
      </c>
    </row>
    <row r="34">
      <c r="A34" s="28" t="inlineStr">
        <is>
          <t>2091</t>
        </is>
      </c>
      <c r="B34" s="28" t="inlineStr">
        <is>
          <t>Fabricação de químicos orgânicos e inorgânicos, resinas e elastômeros</t>
        </is>
      </c>
      <c r="C34" s="29" t="n">
        <v>8399.535742159689</v>
      </c>
      <c r="D34" s="29" t="n">
        <v>1239.888770857387</v>
      </c>
      <c r="E34" s="29" t="n">
        <v>122.2445214315825</v>
      </c>
      <c r="F34" s="29" t="n">
        <v>109.5430179873636</v>
      </c>
      <c r="G34" s="29" t="n">
        <v>1357.912330454296</v>
      </c>
      <c r="H34" s="29" t="n">
        <v>118.3055146329428</v>
      </c>
      <c r="I34" s="29" t="n">
        <v>63.76489898470181</v>
      </c>
      <c r="J34" s="29" t="n">
        <v>90.56136265149995</v>
      </c>
      <c r="K34" s="29" t="n">
        <v>114.9318537879947</v>
      </c>
      <c r="L34" s="29" t="n">
        <v>381.3957800966064</v>
      </c>
      <c r="M34" s="29" t="n">
        <v>64.02240250844963</v>
      </c>
      <c r="N34" s="29" t="n">
        <v>8.302737174295556</v>
      </c>
      <c r="O34" s="29" t="n">
        <v>2197.103147139046</v>
      </c>
      <c r="P34" s="29" t="n">
        <v>65.55550989572605</v>
      </c>
      <c r="Q34" s="29" t="n">
        <v>806.7598343183922</v>
      </c>
      <c r="R34" s="29" t="n">
        <v>209.1960444440369</v>
      </c>
      <c r="S34" s="29" t="n">
        <v>2099.172352100549</v>
      </c>
      <c r="T34" s="29" t="n">
        <v>34.60119678359607</v>
      </c>
      <c r="U34" s="29" t="n">
        <v>533.4011916984855</v>
      </c>
      <c r="V34" s="29" t="n">
        <v>163.7208601145997</v>
      </c>
      <c r="W34" s="29" t="n">
        <v>19947.21848933322</v>
      </c>
      <c r="X34" s="29" t="n">
        <v>6830.164356590455</v>
      </c>
      <c r="Y34" s="29" t="n">
        <v>2085.983250148462</v>
      </c>
      <c r="Z34" s="29" t="n">
        <v>807.2310675517764</v>
      </c>
      <c r="AA34" s="29" t="n">
        <v>7494.98227587447</v>
      </c>
      <c r="AB34" s="29" t="n">
        <v>1509.744754716999</v>
      </c>
      <c r="AC34" s="29" t="n">
        <v>590.1134781117902</v>
      </c>
      <c r="AD34" s="29" t="n">
        <v>609.0821351018195</v>
      </c>
      <c r="AE34" s="29" t="n">
        <v>751.2702887028091</v>
      </c>
      <c r="AF34" s="29" t="n">
        <v>72.5516151439552</v>
      </c>
      <c r="AG34" s="29" t="n">
        <v>1577.720158947081</v>
      </c>
      <c r="AH34" s="29" t="n">
        <v>130.8531138970042</v>
      </c>
      <c r="AI34" s="29" t="n">
        <v>79.68762427155134</v>
      </c>
      <c r="AJ34" s="29" t="n">
        <v>754.3409957268891</v>
      </c>
      <c r="AK34" s="29" t="n">
        <v>248.0400390914659</v>
      </c>
      <c r="AL34" s="29" t="n">
        <v>864.1999269080292</v>
      </c>
      <c r="AM34" s="29" t="n">
        <v>133.2355200628988</v>
      </c>
      <c r="AN34" s="29" t="n">
        <v>86.93511292397511</v>
      </c>
      <c r="AO34" s="29" t="n">
        <v>552.7038654217354</v>
      </c>
      <c r="AP34" s="29" t="n">
        <v>130.5694256145338</v>
      </c>
      <c r="AQ34" s="29" t="n">
        <v>12.95986596073189</v>
      </c>
      <c r="AR34" s="29" t="n">
        <v>262.2891588360467</v>
      </c>
      <c r="AS34" s="29" t="n">
        <v>28.11068425341408</v>
      </c>
      <c r="AT34" s="29" t="n">
        <v>1.161565965305703</v>
      </c>
      <c r="AU34" s="29" t="n">
        <v>0.4372200325491459</v>
      </c>
      <c r="AV34" s="29" t="n">
        <v>4.089923941928252</v>
      </c>
      <c r="AW34" s="29" t="n">
        <v>2.833492176092526</v>
      </c>
      <c r="AX34" s="29" t="n">
        <v>14.75133936029783</v>
      </c>
      <c r="AY34" s="29" t="n">
        <v>-7.478418328258178</v>
      </c>
      <c r="AZ34" s="29" t="n">
        <v>-5.938495502496954</v>
      </c>
      <c r="BA34" s="29" t="n">
        <v>-51.43377615723179</v>
      </c>
      <c r="BB34" s="29" t="n">
        <v>-2.843568486535359</v>
      </c>
      <c r="BC34" s="29" t="n">
        <v>3.087925959522284</v>
      </c>
      <c r="BD34" s="29" t="n">
        <v>3.785044943445164</v>
      </c>
      <c r="BE34" s="29" t="n">
        <v>1.474164390373288</v>
      </c>
      <c r="BF34" s="29" t="n">
        <v>32.70894294224414</v>
      </c>
      <c r="BG34" s="29" t="n">
        <v>4.111855348475586</v>
      </c>
      <c r="BH34" s="29" t="n">
        <v>3.641796183520376</v>
      </c>
      <c r="BI34" s="29" t="n">
        <v>27.1231505633518</v>
      </c>
      <c r="BJ34" s="29" t="n">
        <v>-0.3694276215808065</v>
      </c>
      <c r="BK34" s="29" t="n">
        <v>19.91460288182113</v>
      </c>
      <c r="BL34" s="29" t="n">
        <v>39.86170339268592</v>
      </c>
      <c r="BM34" s="29" t="n">
        <v>2.872937081893773</v>
      </c>
      <c r="BN34" s="29" t="n">
        <v>173.1924258864598</v>
      </c>
      <c r="BO34" s="29" t="n">
        <v>456.1015926674015</v>
      </c>
      <c r="BP34" s="29" t="n">
        <v>3.726086770153564</v>
      </c>
      <c r="BQ34" s="29" t="n">
        <v>178.0660417696308</v>
      </c>
      <c r="BR34" s="29" t="n">
        <v>0</v>
      </c>
      <c r="BS34" s="29">
        <f>SUM(C34:BR34)</f>
        <v/>
      </c>
      <c r="BT34" s="29" t="n">
        <v>0</v>
      </c>
      <c r="BU34" s="29" t="n">
        <v>0</v>
      </c>
      <c r="BV34" s="29" t="n">
        <v>0</v>
      </c>
      <c r="BW34" s="29" t="n">
        <v>0</v>
      </c>
      <c r="BX34" s="29">
        <f>SUM(BT34:BW34)</f>
        <v/>
      </c>
      <c r="BY34" s="29">
        <f>BS34+BX34</f>
        <v/>
      </c>
    </row>
    <row r="35">
      <c r="A35" s="30" t="inlineStr">
        <is>
          <t>2092</t>
        </is>
      </c>
      <c r="B35" s="30" t="inlineStr">
        <is>
          <t>Fabricação de defensivos, desinfestantes, tintas e químicos diversos</t>
        </is>
      </c>
      <c r="C35" s="31" t="n">
        <v>5091.271887548273</v>
      </c>
      <c r="D35" s="31" t="n">
        <v>415.7122700095367</v>
      </c>
      <c r="E35" s="31" t="n">
        <v>17.64829823139325</v>
      </c>
      <c r="F35" s="31" t="n">
        <v>791.2864873528616</v>
      </c>
      <c r="G35" s="31" t="n">
        <v>133.1306334840413</v>
      </c>
      <c r="H35" s="31" t="n">
        <v>91.83456570362513</v>
      </c>
      <c r="I35" s="31" t="n">
        <v>36.43995515323154</v>
      </c>
      <c r="J35" s="31" t="n">
        <v>192.0412852257195</v>
      </c>
      <c r="K35" s="31" t="n">
        <v>13.2730984960684</v>
      </c>
      <c r="L35" s="31" t="n">
        <v>655.8778134167438</v>
      </c>
      <c r="M35" s="31" t="n">
        <v>41.57509531116855</v>
      </c>
      <c r="N35" s="31" t="n">
        <v>0.3085007327703416</v>
      </c>
      <c r="O35" s="31" t="n">
        <v>165.7668155289901</v>
      </c>
      <c r="P35" s="31" t="n">
        <v>13.98247537995052</v>
      </c>
      <c r="Q35" s="31" t="n">
        <v>95.71504365908511</v>
      </c>
      <c r="R35" s="31" t="n">
        <v>190.3335742245521</v>
      </c>
      <c r="S35" s="31" t="n">
        <v>612.0646770910153</v>
      </c>
      <c r="T35" s="31" t="n">
        <v>439.3642732848738</v>
      </c>
      <c r="U35" s="31" t="n">
        <v>141.0097735233572</v>
      </c>
      <c r="V35" s="31" t="n">
        <v>35.74004168369311</v>
      </c>
      <c r="W35" s="31" t="n">
        <v>795.3110127246792</v>
      </c>
      <c r="X35" s="31" t="n">
        <v>2388.119040604061</v>
      </c>
      <c r="Y35" s="31" t="n">
        <v>535.5819704921047</v>
      </c>
      <c r="Z35" s="31" t="n">
        <v>281.0567738317691</v>
      </c>
      <c r="AA35" s="31" t="n">
        <v>1185.97561999187</v>
      </c>
      <c r="AB35" s="31" t="n">
        <v>429.7141318712495</v>
      </c>
      <c r="AC35" s="31" t="n">
        <v>130.9995500227643</v>
      </c>
      <c r="AD35" s="31" t="n">
        <v>24.35997980977395</v>
      </c>
      <c r="AE35" s="31" t="n">
        <v>277.1841545617222</v>
      </c>
      <c r="AF35" s="31" t="n">
        <v>135.0442652319167</v>
      </c>
      <c r="AG35" s="31" t="n">
        <v>102.8670000879126</v>
      </c>
      <c r="AH35" s="31" t="n">
        <v>67.78003170000947</v>
      </c>
      <c r="AI35" s="31" t="n">
        <v>329.3218761885292</v>
      </c>
      <c r="AJ35" s="31" t="n">
        <v>148.4942089983696</v>
      </c>
      <c r="AK35" s="31" t="n">
        <v>68.99389643489461</v>
      </c>
      <c r="AL35" s="31" t="n">
        <v>213.4127285279321</v>
      </c>
      <c r="AM35" s="31" t="n">
        <v>247.2670888466404</v>
      </c>
      <c r="AN35" s="31" t="n">
        <v>35.17324293544213</v>
      </c>
      <c r="AO35" s="31" t="n">
        <v>111.2491616740319</v>
      </c>
      <c r="AP35" s="31" t="n">
        <v>2673.039362289764</v>
      </c>
      <c r="AQ35" s="31" t="n">
        <v>459.6446834642035</v>
      </c>
      <c r="AR35" s="31" t="n">
        <v>462.6286412552414</v>
      </c>
      <c r="AS35" s="31" t="n">
        <v>120.397256895948</v>
      </c>
      <c r="AT35" s="31" t="n">
        <v>2.205497592037318</v>
      </c>
      <c r="AU35" s="31" t="n">
        <v>7.39673854375366</v>
      </c>
      <c r="AV35" s="31" t="n">
        <v>15.31658722042845</v>
      </c>
      <c r="AW35" s="31" t="n">
        <v>6.296685822953101</v>
      </c>
      <c r="AX35" s="31" t="n">
        <v>6.404150423862899</v>
      </c>
      <c r="AY35" s="31" t="n">
        <v>87.90386459264484</v>
      </c>
      <c r="AZ35" s="31" t="n">
        <v>31.11960506216335</v>
      </c>
      <c r="BA35" s="31" t="n">
        <v>-42.01525748837143</v>
      </c>
      <c r="BB35" s="31" t="n">
        <v>0.1716240944048937</v>
      </c>
      <c r="BC35" s="31" t="n">
        <v>15.15711737665148</v>
      </c>
      <c r="BD35" s="31" t="n">
        <v>253.6890447664856</v>
      </c>
      <c r="BE35" s="31" t="n">
        <v>1.199580867181406</v>
      </c>
      <c r="BF35" s="31" t="n">
        <v>18.02843821104532</v>
      </c>
      <c r="BG35" s="31" t="n">
        <v>9.58414847043225</v>
      </c>
      <c r="BH35" s="31" t="n">
        <v>11.884988219741</v>
      </c>
      <c r="BI35" s="31" t="n">
        <v>415.5310136900346</v>
      </c>
      <c r="BJ35" s="31" t="n">
        <v>0.4766929403667114</v>
      </c>
      <c r="BK35" s="31" t="n">
        <v>92.29780093478537</v>
      </c>
      <c r="BL35" s="31" t="n">
        <v>121.4149771294523</v>
      </c>
      <c r="BM35" s="31" t="n">
        <v>5.213043183435097</v>
      </c>
      <c r="BN35" s="31" t="n">
        <v>258.5764449868421</v>
      </c>
      <c r="BO35" s="31" t="n">
        <v>34.9596987699034</v>
      </c>
      <c r="BP35" s="31" t="n">
        <v>8.776572516517</v>
      </c>
      <c r="BQ35" s="31" t="n">
        <v>49.49848326109531</v>
      </c>
      <c r="BR35" s="31" t="n">
        <v>0</v>
      </c>
      <c r="BS35" s="31">
        <f>SUM(C35:BR35)</f>
        <v/>
      </c>
      <c r="BT35" s="31" t="n">
        <v>0</v>
      </c>
      <c r="BU35" s="31" t="n">
        <v>0</v>
      </c>
      <c r="BV35" s="31" t="n">
        <v>0</v>
      </c>
      <c r="BW35" s="31" t="n">
        <v>0</v>
      </c>
      <c r="BX35" s="31">
        <f>SUM(BT35:BW35)</f>
        <v/>
      </c>
      <c r="BY35" s="31">
        <f>BS35+BX35</f>
        <v/>
      </c>
    </row>
    <row r="36">
      <c r="A36" s="28" t="inlineStr">
        <is>
          <t>2093</t>
        </is>
      </c>
      <c r="B36" s="28" t="inlineStr">
        <is>
          <t>Fabricação de produtos de limpeza, cosméticos/perfumaria e higiene pessoal</t>
        </is>
      </c>
      <c r="C36" s="29" t="n">
        <v>163.3480402289057</v>
      </c>
      <c r="D36" s="29" t="n">
        <v>35.11011323075313</v>
      </c>
      <c r="E36" s="29" t="n">
        <v>0.775657292787842</v>
      </c>
      <c r="F36" s="29" t="n">
        <v>5.937402542977551</v>
      </c>
      <c r="G36" s="29" t="n">
        <v>49.42246136946002</v>
      </c>
      <c r="H36" s="29" t="n">
        <v>46.15944200235363</v>
      </c>
      <c r="I36" s="29" t="n">
        <v>8.037364564631746</v>
      </c>
      <c r="J36" s="29" t="n">
        <v>30.62958669625942</v>
      </c>
      <c r="K36" s="29" t="n">
        <v>12.46235867267308</v>
      </c>
      <c r="L36" s="29" t="n">
        <v>96.35007660732613</v>
      </c>
      <c r="M36" s="29" t="n">
        <v>19.03945290196142</v>
      </c>
      <c r="N36" s="29" t="n">
        <v>-0.2693554840791855</v>
      </c>
      <c r="O36" s="29" t="n">
        <v>35.37131964109333</v>
      </c>
      <c r="P36" s="29" t="n">
        <v>29.13526135154225</v>
      </c>
      <c r="Q36" s="29" t="n">
        <v>3.168243529082364</v>
      </c>
      <c r="R36" s="29" t="n">
        <v>12.65251110980615</v>
      </c>
      <c r="S36" s="29" t="n">
        <v>30.93587239467617</v>
      </c>
      <c r="T36" s="29" t="n">
        <v>1.731094137238786</v>
      </c>
      <c r="U36" s="29" t="n">
        <v>48.90799714966673</v>
      </c>
      <c r="V36" s="29" t="n">
        <v>2.273783325978287</v>
      </c>
      <c r="W36" s="29" t="n">
        <v>125.1062597476763</v>
      </c>
      <c r="X36" s="29" t="n">
        <v>161.0208556965906</v>
      </c>
      <c r="Y36" s="29" t="n">
        <v>885.1462682842844</v>
      </c>
      <c r="Z36" s="29" t="n">
        <v>21.8027613234526</v>
      </c>
      <c r="AA36" s="29" t="n">
        <v>33.8064741646868</v>
      </c>
      <c r="AB36" s="29" t="n">
        <v>43.93113533096104</v>
      </c>
      <c r="AC36" s="29" t="n">
        <v>16.68352462041225</v>
      </c>
      <c r="AD36" s="29" t="n">
        <v>28.66015541506868</v>
      </c>
      <c r="AE36" s="29" t="n">
        <v>327.3903286304141</v>
      </c>
      <c r="AF36" s="29" t="n">
        <v>38.09881491812742</v>
      </c>
      <c r="AG36" s="29" t="n">
        <v>10.9037054743958</v>
      </c>
      <c r="AH36" s="29" t="n">
        <v>35.63118447217256</v>
      </c>
      <c r="AI36" s="29" t="n">
        <v>26.7706583754003</v>
      </c>
      <c r="AJ36" s="29" t="n">
        <v>27.89501803761837</v>
      </c>
      <c r="AK36" s="29" t="n">
        <v>5.257803733827076</v>
      </c>
      <c r="AL36" s="29" t="n">
        <v>10.05861785839745</v>
      </c>
      <c r="AM36" s="29" t="n">
        <v>6.685359482972602</v>
      </c>
      <c r="AN36" s="29" t="n">
        <v>11.71650541987768</v>
      </c>
      <c r="AO36" s="29" t="n">
        <v>40.72623149285677</v>
      </c>
      <c r="AP36" s="29" t="n">
        <v>129.372407865488</v>
      </c>
      <c r="AQ36" s="29" t="n">
        <v>162.3147285548072</v>
      </c>
      <c r="AR36" s="29" t="n">
        <v>1294.111260067458</v>
      </c>
      <c r="AS36" s="29" t="n">
        <v>216.9810643515972</v>
      </c>
      <c r="AT36" s="29" t="n">
        <v>7.179203258333192</v>
      </c>
      <c r="AU36" s="29" t="n">
        <v>0.5651257903502699</v>
      </c>
      <c r="AV36" s="29" t="n">
        <v>66.29193298819179</v>
      </c>
      <c r="AW36" s="29" t="n">
        <v>56.44499346544482</v>
      </c>
      <c r="AX36" s="29" t="n">
        <v>53.35759139324935</v>
      </c>
      <c r="AY36" s="29" t="n">
        <v>9.083472045465202</v>
      </c>
      <c r="AZ36" s="29" t="n">
        <v>30.99185956083915</v>
      </c>
      <c r="BA36" s="29" t="n">
        <v>100.8870766455009</v>
      </c>
      <c r="BB36" s="29" t="n">
        <v>5.457746167184935</v>
      </c>
      <c r="BC36" s="29" t="n">
        <v>17.55946490856115</v>
      </c>
      <c r="BD36" s="29" t="n">
        <v>1.097661831935405</v>
      </c>
      <c r="BE36" s="29" t="n">
        <v>163.883552635782</v>
      </c>
      <c r="BF36" s="29" t="n">
        <v>85.01495743674913</v>
      </c>
      <c r="BG36" s="29" t="n">
        <v>170.5513655173071</v>
      </c>
      <c r="BH36" s="29" t="n">
        <v>76.18274871817832</v>
      </c>
      <c r="BI36" s="29" t="n">
        <v>1124.449653617703</v>
      </c>
      <c r="BJ36" s="29" t="n">
        <v>1.288600229822271</v>
      </c>
      <c r="BK36" s="29" t="n">
        <v>152.2281799363075</v>
      </c>
      <c r="BL36" s="29" t="n">
        <v>137.5130836168066</v>
      </c>
      <c r="BM36" s="29" t="n">
        <v>90.28596241324082</v>
      </c>
      <c r="BN36" s="29" t="n">
        <v>54.36842888781725</v>
      </c>
      <c r="BO36" s="29" t="n">
        <v>430.6055272344754</v>
      </c>
      <c r="BP36" s="29" t="n">
        <v>120.6918802516872</v>
      </c>
      <c r="BQ36" s="29" t="n">
        <v>733.8291272896732</v>
      </c>
      <c r="BR36" s="29" t="n">
        <v>0</v>
      </c>
      <c r="BS36" s="29">
        <f>SUM(C36:BR36)</f>
        <v/>
      </c>
      <c r="BT36" s="29" t="n">
        <v>0</v>
      </c>
      <c r="BU36" s="29" t="n">
        <v>0</v>
      </c>
      <c r="BV36" s="29" t="n">
        <v>0</v>
      </c>
      <c r="BW36" s="29" t="n">
        <v>0</v>
      </c>
      <c r="BX36" s="29">
        <f>SUM(BT36:BW36)</f>
        <v/>
      </c>
      <c r="BY36" s="29">
        <f>BS36+BX36</f>
        <v/>
      </c>
    </row>
    <row r="37">
      <c r="A37" s="30" t="inlineStr">
        <is>
          <t>2100</t>
        </is>
      </c>
      <c r="B37" s="30" t="inlineStr">
        <is>
          <t>Fabricação de produtos farmoquímicos e farmacêuticos</t>
        </is>
      </c>
      <c r="C37" s="31" t="n">
        <v>307.7695327534874</v>
      </c>
      <c r="D37" s="31" t="n">
        <v>1998.861135581026</v>
      </c>
      <c r="E37" s="31" t="n">
        <v>11.49648956610378</v>
      </c>
      <c r="F37" s="31" t="n">
        <v>-0.2417760154873054</v>
      </c>
      <c r="G37" s="31" t="n">
        <v>127.6980362787123</v>
      </c>
      <c r="H37" s="31" t="n">
        <v>0.167555048194551</v>
      </c>
      <c r="I37" s="31" t="n">
        <v>-0.2210500227172208</v>
      </c>
      <c r="J37" s="31" t="n">
        <v>-63.30792432841142</v>
      </c>
      <c r="K37" s="31" t="n">
        <v>-4.80857892238505</v>
      </c>
      <c r="L37" s="31" t="n">
        <v>77.83126544616043</v>
      </c>
      <c r="M37" s="31" t="n">
        <v>-1.109909784981703</v>
      </c>
      <c r="N37" s="31" t="n">
        <v>-3.040021525914361</v>
      </c>
      <c r="O37" s="31" t="n">
        <v>-2.885291061135983</v>
      </c>
      <c r="P37" s="31" t="n">
        <v>14.49641168872336</v>
      </c>
      <c r="Q37" s="31" t="n">
        <v>-6.296630774818459</v>
      </c>
      <c r="R37" s="31" t="n">
        <v>-2.707720616329953</v>
      </c>
      <c r="S37" s="31" t="n">
        <v>-17.06274777233161</v>
      </c>
      <c r="T37" s="31" t="n">
        <v>-0.505906534533459</v>
      </c>
      <c r="U37" s="31" t="n">
        <v>-5.322135611555478</v>
      </c>
      <c r="V37" s="31" t="n">
        <v>-3.317201907821969</v>
      </c>
      <c r="W37" s="31" t="n">
        <v>25.75198560248571</v>
      </c>
      <c r="X37" s="31" t="n">
        <v>151.709825088869</v>
      </c>
      <c r="Y37" s="31" t="n">
        <v>15.70425056040637</v>
      </c>
      <c r="Z37" s="31" t="n">
        <v>2427.447114965098</v>
      </c>
      <c r="AA37" s="31" t="n">
        <v>-12.55409393639173</v>
      </c>
      <c r="AB37" s="31" t="n">
        <v>-11.44355672730383</v>
      </c>
      <c r="AC37" s="31" t="n">
        <v>-17.61373243820825</v>
      </c>
      <c r="AD37" s="31" t="n">
        <v>-4.988908765572655</v>
      </c>
      <c r="AE37" s="31" t="n">
        <v>-13.30802767784411</v>
      </c>
      <c r="AF37" s="31" t="n">
        <v>-9.599251931532198</v>
      </c>
      <c r="AG37" s="31" t="n">
        <v>-13.23888263131051</v>
      </c>
      <c r="AH37" s="31" t="n">
        <v>-30.90233592340135</v>
      </c>
      <c r="AI37" s="31" t="n">
        <v>2.636656085769779</v>
      </c>
      <c r="AJ37" s="31" t="n">
        <v>3.708289171515244</v>
      </c>
      <c r="AK37" s="31" t="n">
        <v>-1.864487002409628</v>
      </c>
      <c r="AL37" s="31" t="n">
        <v>-2.566777664185662</v>
      </c>
      <c r="AM37" s="31" t="n">
        <v>0.8483429743782949</v>
      </c>
      <c r="AN37" s="31" t="n">
        <v>0.5147866279426279</v>
      </c>
      <c r="AO37" s="31" t="n">
        <v>1.230786411679335</v>
      </c>
      <c r="AP37" s="31" t="n">
        <v>8.367015317998975</v>
      </c>
      <c r="AQ37" s="31" t="n">
        <v>2.664002465676446</v>
      </c>
      <c r="AR37" s="31" t="n">
        <v>97.06958844011878</v>
      </c>
      <c r="AS37" s="31" t="n">
        <v>4.366562664219085</v>
      </c>
      <c r="AT37" s="31" t="n">
        <v>0.5958078391752585</v>
      </c>
      <c r="AU37" s="31" t="n">
        <v>0.2854789195803068</v>
      </c>
      <c r="AV37" s="31" t="n">
        <v>1.555563731839968</v>
      </c>
      <c r="AW37" s="31" t="n">
        <v>0.9738730542846171</v>
      </c>
      <c r="AX37" s="31" t="n">
        <v>4.486066471949323</v>
      </c>
      <c r="AY37" s="31" t="n">
        <v>-8.689845262762057</v>
      </c>
      <c r="AZ37" s="31" t="n">
        <v>-7.038966863955581</v>
      </c>
      <c r="BA37" s="31" t="n">
        <v>-58.86716555589057</v>
      </c>
      <c r="BB37" s="31" t="n">
        <v>-3.272322851916224</v>
      </c>
      <c r="BC37" s="31" t="n">
        <v>1.893158129027502</v>
      </c>
      <c r="BD37" s="31" t="n">
        <v>0.6767337397554052</v>
      </c>
      <c r="BE37" s="31" t="n">
        <v>-0.654469786199592</v>
      </c>
      <c r="BF37" s="31" t="n">
        <v>13.54833705716787</v>
      </c>
      <c r="BG37" s="31" t="n">
        <v>22.81451294573255</v>
      </c>
      <c r="BH37" s="31" t="n">
        <v>3.558180547110898</v>
      </c>
      <c r="BI37" s="31" t="n">
        <v>12.20218422139608</v>
      </c>
      <c r="BJ37" s="31" t="n">
        <v>-0.4025805295513552</v>
      </c>
      <c r="BK37" s="31" t="n">
        <v>374.7991582322164</v>
      </c>
      <c r="BL37" s="31" t="n">
        <v>316.9789080576728</v>
      </c>
      <c r="BM37" s="31" t="n">
        <v>91.46561321077942</v>
      </c>
      <c r="BN37" s="31" t="n">
        <v>2548.556416439889</v>
      </c>
      <c r="BO37" s="31" t="n">
        <v>4653.272432359896</v>
      </c>
      <c r="BP37" s="31" t="n">
        <v>6.17079396015846</v>
      </c>
      <c r="BQ37" s="31" t="n">
        <v>392.2536816886409</v>
      </c>
      <c r="BR37" s="31" t="n">
        <v>0</v>
      </c>
      <c r="BS37" s="31">
        <f>SUM(C37:BR37)</f>
        <v/>
      </c>
      <c r="BT37" s="31" t="n">
        <v>0</v>
      </c>
      <c r="BU37" s="31" t="n">
        <v>0</v>
      </c>
      <c r="BV37" s="31" t="n">
        <v>0</v>
      </c>
      <c r="BW37" s="31" t="n">
        <v>0</v>
      </c>
      <c r="BX37" s="31">
        <f>SUM(BT37:BW37)</f>
        <v/>
      </c>
      <c r="BY37" s="31">
        <f>BS37+BX37</f>
        <v/>
      </c>
    </row>
    <row r="38">
      <c r="A38" s="28" t="inlineStr">
        <is>
          <t>2200</t>
        </is>
      </c>
      <c r="B38" s="28" t="inlineStr">
        <is>
          <t>Fabricação de produtos de borracha e de material plástico</t>
        </is>
      </c>
      <c r="C38" s="29" t="n">
        <v>153.4399883937853</v>
      </c>
      <c r="D38" s="29" t="n">
        <v>48.56927163740455</v>
      </c>
      <c r="E38" s="29" t="n">
        <v>10.17593269245871</v>
      </c>
      <c r="F38" s="29" t="n">
        <v>60.73585640953444</v>
      </c>
      <c r="G38" s="29" t="n">
        <v>70.8990675813445</v>
      </c>
      <c r="H38" s="29" t="n">
        <v>224.5214835440071</v>
      </c>
      <c r="I38" s="29" t="n">
        <v>24.81934565175398</v>
      </c>
      <c r="J38" s="29" t="n">
        <v>561.3329085676277</v>
      </c>
      <c r="K38" s="29" t="n">
        <v>48.50304462097659</v>
      </c>
      <c r="L38" s="29" t="n">
        <v>1520.171603348992</v>
      </c>
      <c r="M38" s="29" t="n">
        <v>748.229496566471</v>
      </c>
      <c r="N38" s="29" t="n">
        <v>1.173981782947742</v>
      </c>
      <c r="O38" s="29" t="n">
        <v>99.01291597776506</v>
      </c>
      <c r="P38" s="29" t="n">
        <v>69.22428658770754</v>
      </c>
      <c r="Q38" s="29" t="n">
        <v>288.4889810175826</v>
      </c>
      <c r="R38" s="29" t="n">
        <v>50.2313550825693</v>
      </c>
      <c r="S38" s="29" t="n">
        <v>192.4808989926191</v>
      </c>
      <c r="T38" s="29" t="n">
        <v>299.9589735168439</v>
      </c>
      <c r="U38" s="29" t="n">
        <v>20.52251197191052</v>
      </c>
      <c r="V38" s="29" t="n">
        <v>5.965278567759809</v>
      </c>
      <c r="W38" s="29" t="n">
        <v>362.5217062805825</v>
      </c>
      <c r="X38" s="29" t="n">
        <v>189.5342521086306</v>
      </c>
      <c r="Y38" s="29" t="n">
        <v>406.6426009042574</v>
      </c>
      <c r="Z38" s="29" t="n">
        <v>105.110271304816</v>
      </c>
      <c r="AA38" s="29" t="n">
        <v>3992.287526442916</v>
      </c>
      <c r="AB38" s="29" t="n">
        <v>559.582978181401</v>
      </c>
      <c r="AC38" s="29" t="n">
        <v>149.9988375394372</v>
      </c>
      <c r="AD38" s="29" t="n">
        <v>13.75128429729808</v>
      </c>
      <c r="AE38" s="29" t="n">
        <v>207.9867799536917</v>
      </c>
      <c r="AF38" s="29" t="n">
        <v>335.587670310511</v>
      </c>
      <c r="AG38" s="29" t="n">
        <v>625.0833746792055</v>
      </c>
      <c r="AH38" s="29" t="n">
        <v>856.728583938925</v>
      </c>
      <c r="AI38" s="29" t="n">
        <v>4207.944359449807</v>
      </c>
      <c r="AJ38" s="29" t="n">
        <v>1494.826615830907</v>
      </c>
      <c r="AK38" s="29" t="n">
        <v>366.113346535904</v>
      </c>
      <c r="AL38" s="29" t="n">
        <v>633.991909223621</v>
      </c>
      <c r="AM38" s="29" t="n">
        <v>370.8785709459409</v>
      </c>
      <c r="AN38" s="29" t="n">
        <v>42.85606864077008</v>
      </c>
      <c r="AO38" s="29" t="n">
        <v>91.89949952094396</v>
      </c>
      <c r="AP38" s="29" t="n">
        <v>3217.391809150357</v>
      </c>
      <c r="AQ38" s="29" t="n">
        <v>493.2659283618287</v>
      </c>
      <c r="AR38" s="29" t="n">
        <v>1201.112250976808</v>
      </c>
      <c r="AS38" s="29" t="n">
        <v>2196.367122616961</v>
      </c>
      <c r="AT38" s="29" t="n">
        <v>2.595148622209698</v>
      </c>
      <c r="AU38" s="29" t="n">
        <v>385.8496704031105</v>
      </c>
      <c r="AV38" s="29" t="n">
        <v>29.7101385736208</v>
      </c>
      <c r="AW38" s="29" t="n">
        <v>6.625963475453815</v>
      </c>
      <c r="AX38" s="29" t="n">
        <v>116.6608288593196</v>
      </c>
      <c r="AY38" s="29" t="n">
        <v>3.787063112344453</v>
      </c>
      <c r="AZ38" s="29" t="n">
        <v>-1.18657137805176</v>
      </c>
      <c r="BA38" s="29" t="n">
        <v>-22.46694393311575</v>
      </c>
      <c r="BB38" s="29" t="n">
        <v>2.470965042702389</v>
      </c>
      <c r="BC38" s="29" t="n">
        <v>22.05650446619731</v>
      </c>
      <c r="BD38" s="29" t="n">
        <v>17.65780489823824</v>
      </c>
      <c r="BE38" s="29" t="n">
        <v>109.1730110213136</v>
      </c>
      <c r="BF38" s="29" t="n">
        <v>15.79876974999345</v>
      </c>
      <c r="BG38" s="29" t="n">
        <v>8.897467393234395</v>
      </c>
      <c r="BH38" s="29" t="n">
        <v>133.5553104717923</v>
      </c>
      <c r="BI38" s="29" t="n">
        <v>149.9229099963525</v>
      </c>
      <c r="BJ38" s="29" t="n">
        <v>0.6700602207749778</v>
      </c>
      <c r="BK38" s="29" t="n">
        <v>66.23685211125816</v>
      </c>
      <c r="BL38" s="29" t="n">
        <v>77.00414255419993</v>
      </c>
      <c r="BM38" s="29" t="n">
        <v>2.067606617655927</v>
      </c>
      <c r="BN38" s="29" t="n">
        <v>166.820736201406</v>
      </c>
      <c r="BO38" s="29" t="n">
        <v>244.9361743177242</v>
      </c>
      <c r="BP38" s="29" t="n">
        <v>3.828864096382482</v>
      </c>
      <c r="BQ38" s="29" t="n">
        <v>41.97065264858938</v>
      </c>
      <c r="BR38" s="29" t="n">
        <v>0</v>
      </c>
      <c r="BS38" s="29">
        <f>SUM(C38:BR38)</f>
        <v/>
      </c>
      <c r="BT38" s="29" t="n">
        <v>0</v>
      </c>
      <c r="BU38" s="29" t="n">
        <v>0</v>
      </c>
      <c r="BV38" s="29" t="n">
        <v>0</v>
      </c>
      <c r="BW38" s="29" t="n">
        <v>0</v>
      </c>
      <c r="BX38" s="29">
        <f>SUM(BT38:BW38)</f>
        <v/>
      </c>
      <c r="BY38" s="29">
        <f>BS38+BX38</f>
        <v/>
      </c>
    </row>
    <row r="39">
      <c r="A39" s="30" t="inlineStr">
        <is>
          <t>2300</t>
        </is>
      </c>
      <c r="B39" s="30" t="inlineStr">
        <is>
          <t>Fabricação de produtos de minerais não-metálicos</t>
        </is>
      </c>
      <c r="C39" s="31" t="n">
        <v>1052.567336342113</v>
      </c>
      <c r="D39" s="31" t="n">
        <v>727.9266205649463</v>
      </c>
      <c r="E39" s="31" t="n">
        <v>22.76217688582344</v>
      </c>
      <c r="F39" s="31" t="n">
        <v>43.99721941572026</v>
      </c>
      <c r="G39" s="31" t="n">
        <v>55.42401249648845</v>
      </c>
      <c r="H39" s="31" t="n">
        <v>4.346786191441628</v>
      </c>
      <c r="I39" s="31" t="n">
        <v>3.466906508252116</v>
      </c>
      <c r="J39" s="31" t="n">
        <v>-24.52605293985183</v>
      </c>
      <c r="K39" s="31" t="n">
        <v>55.96753886218374</v>
      </c>
      <c r="L39" s="31" t="n">
        <v>443.5478847101165</v>
      </c>
      <c r="M39" s="31" t="n">
        <v>584.8766162477227</v>
      </c>
      <c r="N39" s="31" t="n">
        <v>-0.9484800824504979</v>
      </c>
      <c r="O39" s="31" t="n">
        <v>4.765356593708585</v>
      </c>
      <c r="P39" s="31" t="n">
        <v>9.632599524821785</v>
      </c>
      <c r="Q39" s="31" t="n">
        <v>0.2490367306310484</v>
      </c>
      <c r="R39" s="31" t="n">
        <v>1.705807480840094</v>
      </c>
      <c r="S39" s="31" t="n">
        <v>68.49476919018835</v>
      </c>
      <c r="T39" s="31" t="n">
        <v>5.987041262819835</v>
      </c>
      <c r="U39" s="31" t="n">
        <v>51.89105910635356</v>
      </c>
      <c r="V39" s="31" t="n">
        <v>1.706562122416991</v>
      </c>
      <c r="W39" s="31" t="n">
        <v>285.380235438466</v>
      </c>
      <c r="X39" s="31" t="n">
        <v>96.49370103100172</v>
      </c>
      <c r="Y39" s="31" t="n">
        <v>118.7919583280467</v>
      </c>
      <c r="Z39" s="31" t="n">
        <v>24.72939781033263</v>
      </c>
      <c r="AA39" s="31" t="n">
        <v>186.2465821928538</v>
      </c>
      <c r="AB39" s="31" t="n">
        <v>2577.830747328571</v>
      </c>
      <c r="AC39" s="31" t="n">
        <v>122.5014285160806</v>
      </c>
      <c r="AD39" s="31" t="n">
        <v>7.735695312126486</v>
      </c>
      <c r="AE39" s="31" t="n">
        <v>57.25775077282636</v>
      </c>
      <c r="AF39" s="31" t="n">
        <v>-0.2806580595712641</v>
      </c>
      <c r="AG39" s="31" t="n">
        <v>123.4778866578824</v>
      </c>
      <c r="AH39" s="31" t="n">
        <v>133.1928892303883</v>
      </c>
      <c r="AI39" s="31" t="n">
        <v>964.4581822778671</v>
      </c>
      <c r="AJ39" s="31" t="n">
        <v>57.27637476616086</v>
      </c>
      <c r="AK39" s="31" t="n">
        <v>55.64007650651688</v>
      </c>
      <c r="AL39" s="31" t="n">
        <v>176.9076038186717</v>
      </c>
      <c r="AM39" s="31" t="n">
        <v>76.95076585547655</v>
      </c>
      <c r="AN39" s="31" t="n">
        <v>299.2779348822258</v>
      </c>
      <c r="AO39" s="31" t="n">
        <v>188.3153654609123</v>
      </c>
      <c r="AP39" s="31" t="n">
        <v>16986.9786059252</v>
      </c>
      <c r="AQ39" s="31" t="n">
        <v>82.22818067966557</v>
      </c>
      <c r="AR39" s="31" t="n">
        <v>-5.290683789809101</v>
      </c>
      <c r="AS39" s="31" t="n">
        <v>9.812255735647016</v>
      </c>
      <c r="AT39" s="31" t="n">
        <v>0.4155412060968272</v>
      </c>
      <c r="AU39" s="31" t="n">
        <v>0.03697218024032184</v>
      </c>
      <c r="AV39" s="31" t="n">
        <v>2.573809663070229</v>
      </c>
      <c r="AW39" s="31" t="n">
        <v>68.89648981009664</v>
      </c>
      <c r="AX39" s="31" t="n">
        <v>207.8117645355395</v>
      </c>
      <c r="AY39" s="31" t="n">
        <v>-2.500869032352925</v>
      </c>
      <c r="AZ39" s="31" t="n">
        <v>-3.133204424872539</v>
      </c>
      <c r="BA39" s="31" t="n">
        <v>-27.82101792638547</v>
      </c>
      <c r="BB39" s="31" t="n">
        <v>-1.396055273651777</v>
      </c>
      <c r="BC39" s="31" t="n">
        <v>2.438787631792579</v>
      </c>
      <c r="BD39" s="31" t="n">
        <v>482.5863277020418</v>
      </c>
      <c r="BE39" s="31" t="n">
        <v>0.3257217197118065</v>
      </c>
      <c r="BF39" s="31" t="n">
        <v>2.493800354022571</v>
      </c>
      <c r="BG39" s="31" t="n">
        <v>0.07041908820303189</v>
      </c>
      <c r="BH39" s="31" t="n">
        <v>1.481509373316109</v>
      </c>
      <c r="BI39" s="31" t="n">
        <v>28.5552180187009</v>
      </c>
      <c r="BJ39" s="31" t="n">
        <v>-0.167119083246999</v>
      </c>
      <c r="BK39" s="31" t="n">
        <v>143.838960429145</v>
      </c>
      <c r="BL39" s="31" t="n">
        <v>62.15559868662324</v>
      </c>
      <c r="BM39" s="31" t="n">
        <v>0.8807210527328883</v>
      </c>
      <c r="BN39" s="31" t="n">
        <v>60.83988064393495</v>
      </c>
      <c r="BO39" s="31" t="n">
        <v>53.2550786575863</v>
      </c>
      <c r="BP39" s="31" t="n">
        <v>1.152642756805013</v>
      </c>
      <c r="BQ39" s="31" t="n">
        <v>50.08609803316253</v>
      </c>
      <c r="BR39" s="31" t="n">
        <v>0</v>
      </c>
      <c r="BS39" s="31">
        <f>SUM(C39:BR39)</f>
        <v/>
      </c>
      <c r="BT39" s="31" t="n">
        <v>0</v>
      </c>
      <c r="BU39" s="31" t="n">
        <v>0</v>
      </c>
      <c r="BV39" s="31" t="n">
        <v>0</v>
      </c>
      <c r="BW39" s="31" t="n">
        <v>0</v>
      </c>
      <c r="BX39" s="31">
        <f>SUM(BT39:BW39)</f>
        <v/>
      </c>
      <c r="BY39" s="31">
        <f>BS39+BX39</f>
        <v/>
      </c>
    </row>
    <row r="40">
      <c r="A40" s="28" t="inlineStr">
        <is>
          <t>2491</t>
        </is>
      </c>
      <c r="B40" s="28" t="inlineStr">
        <is>
          <t>Produção de ferro-gusa/ferroligas, siderurgia e tubos de aço sem costura</t>
        </is>
      </c>
      <c r="C40" s="29" t="n">
        <v>42.69952402545013</v>
      </c>
      <c r="D40" s="29" t="n">
        <v>67.17665580510982</v>
      </c>
      <c r="E40" s="29" t="n">
        <v>3.488840172941194</v>
      </c>
      <c r="F40" s="29" t="n">
        <v>27.2629519999629</v>
      </c>
      <c r="G40" s="29" t="n">
        <v>562.0231690553087</v>
      </c>
      <c r="H40" s="29" t="n">
        <v>11.54515949003358</v>
      </c>
      <c r="I40" s="29" t="n">
        <v>26.3789752725826</v>
      </c>
      <c r="J40" s="29" t="n">
        <v>49.45601388963063</v>
      </c>
      <c r="K40" s="29" t="n">
        <v>0.4191870305980524</v>
      </c>
      <c r="L40" s="29" t="n">
        <v>37.54865768566493</v>
      </c>
      <c r="M40" s="29" t="n">
        <v>30.80152522169836</v>
      </c>
      <c r="N40" s="29" t="n">
        <v>-0.5699318731299371</v>
      </c>
      <c r="O40" s="29" t="n">
        <v>0.05955683936625969</v>
      </c>
      <c r="P40" s="29" t="n">
        <v>-0.9841802607531752</v>
      </c>
      <c r="Q40" s="29" t="n">
        <v>-0.02678402241957151</v>
      </c>
      <c r="R40" s="29" t="n">
        <v>2.172534242837002</v>
      </c>
      <c r="S40" s="29" t="n">
        <v>32.31093873322706</v>
      </c>
      <c r="T40" s="29" t="n">
        <v>6.025410121333993</v>
      </c>
      <c r="U40" s="29" t="n">
        <v>60.3512237829966</v>
      </c>
      <c r="V40" s="29" t="n">
        <v>-0.1243158541561681</v>
      </c>
      <c r="W40" s="29" t="n">
        <v>35.95235263953694</v>
      </c>
      <c r="X40" s="29" t="n">
        <v>15.86859629083018</v>
      </c>
      <c r="Y40" s="29" t="n">
        <v>14.61041580067019</v>
      </c>
      <c r="Z40" s="29" t="n">
        <v>0.9698639081231029</v>
      </c>
      <c r="AA40" s="29" t="n">
        <v>257.6229212182929</v>
      </c>
      <c r="AB40" s="29" t="n">
        <v>188.2620104229112</v>
      </c>
      <c r="AC40" s="29" t="n">
        <v>2432.281983209204</v>
      </c>
      <c r="AD40" s="29" t="n">
        <v>228.4276645349458</v>
      </c>
      <c r="AE40" s="29" t="n">
        <v>4510.403764565817</v>
      </c>
      <c r="AF40" s="29" t="n">
        <v>21.68591435186754</v>
      </c>
      <c r="AG40" s="29" t="n">
        <v>787.7096490697015</v>
      </c>
      <c r="AH40" s="29" t="n">
        <v>2294.786628352197</v>
      </c>
      <c r="AI40" s="29" t="n">
        <v>2002.734912799813</v>
      </c>
      <c r="AJ40" s="29" t="n">
        <v>2228.33320108318</v>
      </c>
      <c r="AK40" s="29" t="n">
        <v>273.481786206678</v>
      </c>
      <c r="AL40" s="29" t="n">
        <v>310.2553310582815</v>
      </c>
      <c r="AM40" s="29" t="n">
        <v>216.4920491017126</v>
      </c>
      <c r="AN40" s="29" t="n">
        <v>49.83172695503151</v>
      </c>
      <c r="AO40" s="29" t="n">
        <v>26.77013205441435</v>
      </c>
      <c r="AP40" s="29" t="n">
        <v>4642.666282219942</v>
      </c>
      <c r="AQ40" s="29" t="n">
        <v>9.336935083257325</v>
      </c>
      <c r="AR40" s="29" t="n">
        <v>235.3373531577825</v>
      </c>
      <c r="AS40" s="29" t="n">
        <v>12.66721129455601</v>
      </c>
      <c r="AT40" s="29" t="n">
        <v>0.5174369774115767</v>
      </c>
      <c r="AU40" s="29" t="n">
        <v>0.1953066162850037</v>
      </c>
      <c r="AV40" s="29" t="n">
        <v>2.765641231643766</v>
      </c>
      <c r="AW40" s="29" t="n">
        <v>0.9868648450403786</v>
      </c>
      <c r="AX40" s="29" t="n">
        <v>12.45836181712992</v>
      </c>
      <c r="AY40" s="29" t="n">
        <v>-1.956828814103859</v>
      </c>
      <c r="AZ40" s="29" t="n">
        <v>-1.559915873463648</v>
      </c>
      <c r="BA40" s="29" t="n">
        <v>-12.45692125161693</v>
      </c>
      <c r="BB40" s="29" t="n">
        <v>2.414716918595208</v>
      </c>
      <c r="BC40" s="29" t="n">
        <v>1.689865507018322</v>
      </c>
      <c r="BD40" s="29" t="n">
        <v>2.23678322992108</v>
      </c>
      <c r="BE40" s="29" t="n">
        <v>1.936573694144166</v>
      </c>
      <c r="BF40" s="29" t="n">
        <v>8.510021524020585</v>
      </c>
      <c r="BG40" s="29" t="n">
        <v>-0.2554925935251905</v>
      </c>
      <c r="BH40" s="29" t="n">
        <v>48.67745667233449</v>
      </c>
      <c r="BI40" s="29" t="n">
        <v>6.124141238999608</v>
      </c>
      <c r="BJ40" s="29" t="n">
        <v>0.3688882861390079</v>
      </c>
      <c r="BK40" s="29" t="n">
        <v>40.69176273025118</v>
      </c>
      <c r="BL40" s="29" t="n">
        <v>10.40339372570992</v>
      </c>
      <c r="BM40" s="29" t="n">
        <v>0.7778806094440378</v>
      </c>
      <c r="BN40" s="29" t="n">
        <v>4.066146743272424</v>
      </c>
      <c r="BO40" s="29" t="n">
        <v>2.718536585949217</v>
      </c>
      <c r="BP40" s="29" t="n">
        <v>0.7450141689583074</v>
      </c>
      <c r="BQ40" s="29" t="n">
        <v>1.736809526556194</v>
      </c>
      <c r="BR40" s="29" t="n">
        <v>0</v>
      </c>
      <c r="BS40" s="29">
        <f>SUM(C40:BR40)</f>
        <v/>
      </c>
      <c r="BT40" s="29" t="n">
        <v>0</v>
      </c>
      <c r="BU40" s="29" t="n">
        <v>0</v>
      </c>
      <c r="BV40" s="29" t="n">
        <v>0</v>
      </c>
      <c r="BW40" s="29" t="n">
        <v>0</v>
      </c>
      <c r="BX40" s="29">
        <f>SUM(BT40:BW40)</f>
        <v/>
      </c>
      <c r="BY40" s="29">
        <f>BS40+BX40</f>
        <v/>
      </c>
    </row>
    <row r="41">
      <c r="A41" s="30" t="inlineStr">
        <is>
          <t>2492</t>
        </is>
      </c>
      <c r="B41" s="30" t="inlineStr">
        <is>
          <t>Metalurgia de metais não-ferrosos e a fundição de metais</t>
        </is>
      </c>
      <c r="C41" s="31" t="n">
        <v>60.81924047997803</v>
      </c>
      <c r="D41" s="31" t="n">
        <v>18.71740231556944</v>
      </c>
      <c r="E41" s="31" t="n">
        <v>1.281522256214986</v>
      </c>
      <c r="F41" s="31" t="n">
        <v>2.792708306509835</v>
      </c>
      <c r="G41" s="31" t="n">
        <v>22.93068577626411</v>
      </c>
      <c r="H41" s="31" t="n">
        <v>9.132064991056573</v>
      </c>
      <c r="I41" s="31" t="n">
        <v>23.60556641643385</v>
      </c>
      <c r="J41" s="31" t="n">
        <v>95.85375261708697</v>
      </c>
      <c r="K41" s="31" t="n">
        <v>1.65707540913141</v>
      </c>
      <c r="L41" s="31" t="n">
        <v>145.9412250973114</v>
      </c>
      <c r="M41" s="31" t="n">
        <v>6.305999486916032</v>
      </c>
      <c r="N41" s="31" t="n">
        <v>-0.2210203447231385</v>
      </c>
      <c r="O41" s="31" t="n">
        <v>2.44839805575424</v>
      </c>
      <c r="P41" s="31" t="n">
        <v>-0.5236491502416404</v>
      </c>
      <c r="Q41" s="31" t="n">
        <v>1.852114091616649</v>
      </c>
      <c r="R41" s="31" t="n">
        <v>0.6574162999914489</v>
      </c>
      <c r="S41" s="31" t="n">
        <v>101.504262108785</v>
      </c>
      <c r="T41" s="31" t="n">
        <v>107.5822385667042</v>
      </c>
      <c r="U41" s="31" t="n">
        <v>0.1071031192628289</v>
      </c>
      <c r="V41" s="31" t="n">
        <v>-0.07636904007465641</v>
      </c>
      <c r="W41" s="31" t="n">
        <v>289.359816644558</v>
      </c>
      <c r="X41" s="31" t="n">
        <v>122.1758929801702</v>
      </c>
      <c r="Y41" s="31" t="n">
        <v>14.75229335451058</v>
      </c>
      <c r="Z41" s="31" t="n">
        <v>4.095146044369983</v>
      </c>
      <c r="AA41" s="31" t="n">
        <v>32.76397916906487</v>
      </c>
      <c r="AB41" s="31" t="n">
        <v>52.37158368829732</v>
      </c>
      <c r="AC41" s="31" t="n">
        <v>541.9995867185754</v>
      </c>
      <c r="AD41" s="31" t="n">
        <v>3077.576264041586</v>
      </c>
      <c r="AE41" s="31" t="n">
        <v>767.7769745258764</v>
      </c>
      <c r="AF41" s="31" t="n">
        <v>72.11940847847828</v>
      </c>
      <c r="AG41" s="31" t="n">
        <v>3255.490956549857</v>
      </c>
      <c r="AH41" s="31" t="n">
        <v>852.9939227182832</v>
      </c>
      <c r="AI41" s="31" t="n">
        <v>321.0778793234123</v>
      </c>
      <c r="AJ41" s="31" t="n">
        <v>2106.586708995619</v>
      </c>
      <c r="AK41" s="31" t="n">
        <v>331.2053761954407</v>
      </c>
      <c r="AL41" s="31" t="n">
        <v>820.0593497403642</v>
      </c>
      <c r="AM41" s="31" t="n">
        <v>489.7715792671553</v>
      </c>
      <c r="AN41" s="31" t="n">
        <v>8.503064293461216</v>
      </c>
      <c r="AO41" s="31" t="n">
        <v>63.14564021579707</v>
      </c>
      <c r="AP41" s="31" t="n">
        <v>1638.653844214507</v>
      </c>
      <c r="AQ41" s="31" t="n">
        <v>140.6124555501044</v>
      </c>
      <c r="AR41" s="31" t="n">
        <v>19.71369898077205</v>
      </c>
      <c r="AS41" s="31" t="n">
        <v>8.948689604804317</v>
      </c>
      <c r="AT41" s="31" t="n">
        <v>0.5852095329653177</v>
      </c>
      <c r="AU41" s="31" t="n">
        <v>0.03558023432454039</v>
      </c>
      <c r="AV41" s="31" t="n">
        <v>1.320691078628653</v>
      </c>
      <c r="AW41" s="31" t="n">
        <v>0.5107878034032837</v>
      </c>
      <c r="AX41" s="31" t="n">
        <v>3.733406169765777</v>
      </c>
      <c r="AY41" s="31" t="n">
        <v>-0.6776963905670276</v>
      </c>
      <c r="AZ41" s="31" t="n">
        <v>-0.4966964169293912</v>
      </c>
      <c r="BA41" s="31" t="n">
        <v>-3.940874088929342</v>
      </c>
      <c r="BB41" s="31" t="n">
        <v>0.02131322216975086</v>
      </c>
      <c r="BC41" s="31" t="n">
        <v>1.907009988318148</v>
      </c>
      <c r="BD41" s="31" t="n">
        <v>16.16296173757488</v>
      </c>
      <c r="BE41" s="31" t="n">
        <v>0.8017664210927138</v>
      </c>
      <c r="BF41" s="31" t="n">
        <v>0.7869743056449812</v>
      </c>
      <c r="BG41" s="31" t="n">
        <v>0.1085114513293203</v>
      </c>
      <c r="BH41" s="31" t="n">
        <v>0.3376386931744408</v>
      </c>
      <c r="BI41" s="31" t="n">
        <v>4.410830894367447</v>
      </c>
      <c r="BJ41" s="31" t="n">
        <v>0.1459282345335361</v>
      </c>
      <c r="BK41" s="31" t="n">
        <v>8.255677272287581</v>
      </c>
      <c r="BL41" s="31" t="n">
        <v>1.943952150072795</v>
      </c>
      <c r="BM41" s="31" t="n">
        <v>0.9345501238893758</v>
      </c>
      <c r="BN41" s="31" t="n">
        <v>3.820964371326827</v>
      </c>
      <c r="BO41" s="31" t="n">
        <v>10.13220311398325</v>
      </c>
      <c r="BP41" s="31" t="n">
        <v>0.9131750145321582</v>
      </c>
      <c r="BQ41" s="31" t="n">
        <v>4.916766811467888</v>
      </c>
      <c r="BR41" s="31" t="n">
        <v>0</v>
      </c>
      <c r="BS41" s="31">
        <f>SUM(C41:BR41)</f>
        <v/>
      </c>
      <c r="BT41" s="31" t="n">
        <v>0</v>
      </c>
      <c r="BU41" s="31" t="n">
        <v>0</v>
      </c>
      <c r="BV41" s="31" t="n">
        <v>0</v>
      </c>
      <c r="BW41" s="31" t="n">
        <v>0</v>
      </c>
      <c r="BX41" s="31">
        <f>SUM(BT41:BW41)</f>
        <v/>
      </c>
      <c r="BY41" s="31">
        <f>BS41+BX41</f>
        <v/>
      </c>
    </row>
    <row r="42">
      <c r="A42" s="28" t="inlineStr">
        <is>
          <t>2500</t>
        </is>
      </c>
      <c r="B42" s="28" t="inlineStr">
        <is>
          <t>Fabricação de produtos de metal, exceto máquinas e equipamentos</t>
        </is>
      </c>
      <c r="C42" s="29" t="n">
        <v>105.3802694190071</v>
      </c>
      <c r="D42" s="29" t="n">
        <v>159.7296215601759</v>
      </c>
      <c r="E42" s="29" t="n">
        <v>13.58129865326013</v>
      </c>
      <c r="F42" s="29" t="n">
        <v>20.33204772820289</v>
      </c>
      <c r="G42" s="29" t="n">
        <v>386.1872330447692</v>
      </c>
      <c r="H42" s="29" t="n">
        <v>222.6166777935943</v>
      </c>
      <c r="I42" s="29" t="n">
        <v>55.22002453946887</v>
      </c>
      <c r="J42" s="29" t="n">
        <v>500.9605916027497</v>
      </c>
      <c r="K42" s="29" t="n">
        <v>27.37040791102192</v>
      </c>
      <c r="L42" s="29" t="n">
        <v>479.4419852233777</v>
      </c>
      <c r="M42" s="29" t="n">
        <v>941.5956346083863</v>
      </c>
      <c r="N42" s="29" t="n">
        <v>6.203891593785779</v>
      </c>
      <c r="O42" s="29" t="n">
        <v>21.33316844505176</v>
      </c>
      <c r="P42" s="29" t="n">
        <v>25.7716331416562</v>
      </c>
      <c r="Q42" s="29" t="n">
        <v>18.07815089349547</v>
      </c>
      <c r="R42" s="29" t="n">
        <v>101.7204131885463</v>
      </c>
      <c r="S42" s="29" t="n">
        <v>26.02510694658726</v>
      </c>
      <c r="T42" s="29" t="n">
        <v>12.44524427301489</v>
      </c>
      <c r="U42" s="29" t="n">
        <v>75.18476510140893</v>
      </c>
      <c r="V42" s="29" t="n">
        <v>11.2645058043232</v>
      </c>
      <c r="W42" s="29" t="n">
        <v>120.363957049739</v>
      </c>
      <c r="X42" s="29" t="n">
        <v>225.8058951161385</v>
      </c>
      <c r="Y42" s="29" t="n">
        <v>229.6397113889495</v>
      </c>
      <c r="Z42" s="29" t="n">
        <v>32.56732992438052</v>
      </c>
      <c r="AA42" s="29" t="n">
        <v>57.45803955668807</v>
      </c>
      <c r="AB42" s="29" t="n">
        <v>58.890821842329</v>
      </c>
      <c r="AC42" s="29" t="n">
        <v>651.3589921464845</v>
      </c>
      <c r="AD42" s="29" t="n">
        <v>66.81097198327409</v>
      </c>
      <c r="AE42" s="29" t="n">
        <v>2408.76599148671</v>
      </c>
      <c r="AF42" s="29" t="n">
        <v>289.966920858076</v>
      </c>
      <c r="AG42" s="29" t="n">
        <v>725.9468313955493</v>
      </c>
      <c r="AH42" s="29" t="n">
        <v>1934.297734863265</v>
      </c>
      <c r="AI42" s="29" t="n">
        <v>1596.461968655879</v>
      </c>
      <c r="AJ42" s="29" t="n">
        <v>904.9844340223145</v>
      </c>
      <c r="AK42" s="29" t="n">
        <v>674.6179180634498</v>
      </c>
      <c r="AL42" s="29" t="n">
        <v>388.2976082861216</v>
      </c>
      <c r="AM42" s="29" t="n">
        <v>847.0058973511708</v>
      </c>
      <c r="AN42" s="29" t="n">
        <v>564.9350716702535</v>
      </c>
      <c r="AO42" s="29" t="n">
        <v>222.4652467960406</v>
      </c>
      <c r="AP42" s="29" t="n">
        <v>7529.397784257447</v>
      </c>
      <c r="AQ42" s="29" t="n">
        <v>106.6779434513755</v>
      </c>
      <c r="AR42" s="29" t="n">
        <v>309.7642725390361</v>
      </c>
      <c r="AS42" s="29" t="n">
        <v>55.09397542539421</v>
      </c>
      <c r="AT42" s="29" t="n">
        <v>2.639102413132512</v>
      </c>
      <c r="AU42" s="29" t="n">
        <v>1.552957778137222</v>
      </c>
      <c r="AV42" s="29" t="n">
        <v>6.769265787762155</v>
      </c>
      <c r="AW42" s="29" t="n">
        <v>38.50777072743137</v>
      </c>
      <c r="AX42" s="29" t="n">
        <v>476.3512116593257</v>
      </c>
      <c r="AY42" s="29" t="n">
        <v>-3.189146196326167</v>
      </c>
      <c r="AZ42" s="29" t="n">
        <v>0.5425284434519084</v>
      </c>
      <c r="BA42" s="29" t="n">
        <v>-16.29081834093135</v>
      </c>
      <c r="BB42" s="29" t="n">
        <v>0.5010936179191929</v>
      </c>
      <c r="BC42" s="29" t="n">
        <v>4.046138357251963</v>
      </c>
      <c r="BD42" s="29" t="n">
        <v>84.5010525471906</v>
      </c>
      <c r="BE42" s="29" t="n">
        <v>3.906154580280555</v>
      </c>
      <c r="BF42" s="29" t="n">
        <v>21.07348836434991</v>
      </c>
      <c r="BG42" s="29" t="n">
        <v>2.995080344844216</v>
      </c>
      <c r="BH42" s="29" t="n">
        <v>5.459642586766884</v>
      </c>
      <c r="BI42" s="29" t="n">
        <v>74.55428355932425</v>
      </c>
      <c r="BJ42" s="29" t="n">
        <v>24.48142788802823</v>
      </c>
      <c r="BK42" s="29" t="n">
        <v>334.53081796725</v>
      </c>
      <c r="BL42" s="29" t="n">
        <v>34.22039787607076</v>
      </c>
      <c r="BM42" s="29" t="n">
        <v>1.780155634957034</v>
      </c>
      <c r="BN42" s="29" t="n">
        <v>40.82923959937744</v>
      </c>
      <c r="BO42" s="29" t="n">
        <v>58.38058396572751</v>
      </c>
      <c r="BP42" s="29" t="n">
        <v>3.186199762842142</v>
      </c>
      <c r="BQ42" s="29" t="n">
        <v>37.62138580555734</v>
      </c>
      <c r="BR42" s="29" t="n">
        <v>0</v>
      </c>
      <c r="BS42" s="29">
        <f>SUM(C42:BR42)</f>
        <v/>
      </c>
      <c r="BT42" s="29" t="n">
        <v>0</v>
      </c>
      <c r="BU42" s="29" t="n">
        <v>0</v>
      </c>
      <c r="BV42" s="29" t="n">
        <v>0</v>
      </c>
      <c r="BW42" s="29" t="n">
        <v>0</v>
      </c>
      <c r="BX42" s="29">
        <f>SUM(BT42:BW42)</f>
        <v/>
      </c>
      <c r="BY42" s="29">
        <f>BS42+BX42</f>
        <v/>
      </c>
    </row>
    <row r="43">
      <c r="A43" s="30" t="inlineStr">
        <is>
          <t>2600</t>
        </is>
      </c>
      <c r="B43" s="30" t="inlineStr">
        <is>
          <t>Fabricação de equipamentos de informática, produtos eletrônicos e ópticos</t>
        </is>
      </c>
      <c r="C43" s="31" t="n">
        <v>1.290933926949348</v>
      </c>
      <c r="D43" s="31" t="n">
        <v>1.401519874497423</v>
      </c>
      <c r="E43" s="31" t="n">
        <v>0.263226148644391</v>
      </c>
      <c r="F43" s="31" t="n">
        <v>3.473970598889232</v>
      </c>
      <c r="G43" s="31" t="n">
        <v>237.1006133402179</v>
      </c>
      <c r="H43" s="31" t="n">
        <v>16.71007941872797</v>
      </c>
      <c r="I43" s="31" t="n">
        <v>2.946832174820264</v>
      </c>
      <c r="J43" s="31" t="n">
        <v>-5.979241409071269</v>
      </c>
      <c r="K43" s="31" t="n">
        <v>-1.053346758119146</v>
      </c>
      <c r="L43" s="31" t="n">
        <v>-11.07293616214756</v>
      </c>
      <c r="M43" s="31" t="n">
        <v>2.098920536658742</v>
      </c>
      <c r="N43" s="31" t="n">
        <v>-1.042805704838631</v>
      </c>
      <c r="O43" s="31" t="n">
        <v>-2.288399886255712</v>
      </c>
      <c r="P43" s="31" t="n">
        <v>0.5466874951956671</v>
      </c>
      <c r="Q43" s="31" t="n">
        <v>-3.185797488138207</v>
      </c>
      <c r="R43" s="31" t="n">
        <v>0.3505366483629355</v>
      </c>
      <c r="S43" s="31" t="n">
        <v>-4.729525275427971</v>
      </c>
      <c r="T43" s="31" t="n">
        <v>405.2396580198567</v>
      </c>
      <c r="U43" s="31" t="n">
        <v>-1.151312125441602</v>
      </c>
      <c r="V43" s="31" t="n">
        <v>-0.8959242693535291</v>
      </c>
      <c r="W43" s="31" t="n">
        <v>-1.01975554737837</v>
      </c>
      <c r="X43" s="31" t="n">
        <v>-1.163772773185605</v>
      </c>
      <c r="Y43" s="31" t="n">
        <v>1.37648626192923</v>
      </c>
      <c r="Z43" s="31" t="n">
        <v>-4.079514915934021</v>
      </c>
      <c r="AA43" s="31" t="n">
        <v>-1.788821855089643</v>
      </c>
      <c r="AB43" s="31" t="n">
        <v>-1.000349671346653</v>
      </c>
      <c r="AC43" s="31" t="n">
        <v>0.2111602199589042</v>
      </c>
      <c r="AD43" s="31" t="n">
        <v>1.625772337963796</v>
      </c>
      <c r="AE43" s="31" t="n">
        <v>-0.2536175581263324</v>
      </c>
      <c r="AF43" s="31" t="n">
        <v>22306.8978178274</v>
      </c>
      <c r="AG43" s="31" t="n">
        <v>564.843366739969</v>
      </c>
      <c r="AH43" s="31" t="n">
        <v>674.0786764152652</v>
      </c>
      <c r="AI43" s="31" t="n">
        <v>371.8156866659111</v>
      </c>
      <c r="AJ43" s="31" t="n">
        <v>288.4629692877295</v>
      </c>
      <c r="AK43" s="31" t="n">
        <v>62.07371792883665</v>
      </c>
      <c r="AL43" s="31" t="n">
        <v>80.76761057671142</v>
      </c>
      <c r="AM43" s="31" t="n">
        <v>648.0693941168586</v>
      </c>
      <c r="AN43" s="31" t="n">
        <v>164.2327192322637</v>
      </c>
      <c r="AO43" s="31" t="n">
        <v>14.17731074824262</v>
      </c>
      <c r="AP43" s="31" t="n">
        <v>642.7606525053413</v>
      </c>
      <c r="AQ43" s="31" t="n">
        <v>12.59095841902293</v>
      </c>
      <c r="AR43" s="31" t="n">
        <v>163.0849335781334</v>
      </c>
      <c r="AS43" s="31" t="n">
        <v>17.09230933644275</v>
      </c>
      <c r="AT43" s="31" t="n">
        <v>2.00717911115457</v>
      </c>
      <c r="AU43" s="31" t="n">
        <v>8.286135973521425</v>
      </c>
      <c r="AV43" s="31" t="n">
        <v>207.1655148921652</v>
      </c>
      <c r="AW43" s="31" t="n">
        <v>1.046091019428865</v>
      </c>
      <c r="AX43" s="31" t="n">
        <v>1.465632939549085</v>
      </c>
      <c r="AY43" s="31" t="n">
        <v>0.590424634467158</v>
      </c>
      <c r="AZ43" s="31" t="n">
        <v>292.7940600166672</v>
      </c>
      <c r="BA43" s="31" t="n">
        <v>185.7132383079822</v>
      </c>
      <c r="BB43" s="31" t="n">
        <v>1590.63736675906</v>
      </c>
      <c r="BC43" s="31" t="n">
        <v>378.5271587450641</v>
      </c>
      <c r="BD43" s="31" t="n">
        <v>4.890776213948526</v>
      </c>
      <c r="BE43" s="31" t="n">
        <v>267.445302476162</v>
      </c>
      <c r="BF43" s="31" t="n">
        <v>1274.36800908189</v>
      </c>
      <c r="BG43" s="31" t="n">
        <v>92.00845421200336</v>
      </c>
      <c r="BH43" s="31" t="n">
        <v>32.47392095876629</v>
      </c>
      <c r="BI43" s="31" t="n">
        <v>1084.942686589839</v>
      </c>
      <c r="BJ43" s="31" t="n">
        <v>117.2632743957735</v>
      </c>
      <c r="BK43" s="31" t="n">
        <v>385.9542396448033</v>
      </c>
      <c r="BL43" s="31" t="n">
        <v>773.6210760295064</v>
      </c>
      <c r="BM43" s="31" t="n">
        <v>82.80040692547441</v>
      </c>
      <c r="BN43" s="31" t="n">
        <v>308.7050482750741</v>
      </c>
      <c r="BO43" s="31" t="n">
        <v>196.7083664883359</v>
      </c>
      <c r="BP43" s="31" t="n">
        <v>73.25346447499679</v>
      </c>
      <c r="BQ43" s="31" t="n">
        <v>727.6801664891501</v>
      </c>
      <c r="BR43" s="31" t="n">
        <v>0</v>
      </c>
      <c r="BS43" s="31">
        <f>SUM(C43:BR43)</f>
        <v/>
      </c>
      <c r="BT43" s="31" t="n">
        <v>0</v>
      </c>
      <c r="BU43" s="31" t="n">
        <v>0</v>
      </c>
      <c r="BV43" s="31" t="n">
        <v>0</v>
      </c>
      <c r="BW43" s="31" t="n">
        <v>0</v>
      </c>
      <c r="BX43" s="31">
        <f>SUM(BT43:BW43)</f>
        <v/>
      </c>
      <c r="BY43" s="31">
        <f>BS43+BX43</f>
        <v/>
      </c>
    </row>
    <row r="44">
      <c r="A44" s="28" t="inlineStr">
        <is>
          <t>2700</t>
        </is>
      </c>
      <c r="B44" s="28" t="inlineStr">
        <is>
          <t>Fabricação de máquinas e equipamentos elétricos</t>
        </is>
      </c>
      <c r="C44" s="29" t="n">
        <v>24.12167573341851</v>
      </c>
      <c r="D44" s="29" t="n">
        <v>52.61699213079201</v>
      </c>
      <c r="E44" s="29" t="n">
        <v>2.936828360144172</v>
      </c>
      <c r="F44" s="29" t="n">
        <v>15.1930183392818</v>
      </c>
      <c r="G44" s="29" t="n">
        <v>123.8497121458881</v>
      </c>
      <c r="H44" s="29" t="n">
        <v>50.13199005380881</v>
      </c>
      <c r="I44" s="29" t="n">
        <v>12.38254906044092</v>
      </c>
      <c r="J44" s="29" t="n">
        <v>5.740702583442902</v>
      </c>
      <c r="K44" s="29" t="n">
        <v>12.01302209537375</v>
      </c>
      <c r="L44" s="29" t="n">
        <v>25.46028596290526</v>
      </c>
      <c r="M44" s="29" t="n">
        <v>24.03923501218154</v>
      </c>
      <c r="N44" s="29" t="n">
        <v>0.2778433767817569</v>
      </c>
      <c r="O44" s="29" t="n">
        <v>22.21639471613639</v>
      </c>
      <c r="P44" s="29" t="n">
        <v>7.996940121987528</v>
      </c>
      <c r="Q44" s="29" t="n">
        <v>2.419525395887722</v>
      </c>
      <c r="R44" s="29" t="n">
        <v>11.29317560708594</v>
      </c>
      <c r="S44" s="29" t="n">
        <v>21.93007422469617</v>
      </c>
      <c r="T44" s="29" t="n">
        <v>17.87266985368855</v>
      </c>
      <c r="U44" s="29" t="n">
        <v>1.383845530646481</v>
      </c>
      <c r="V44" s="29" t="n">
        <v>1.473355954988852</v>
      </c>
      <c r="W44" s="29" t="n">
        <v>50.41547593614592</v>
      </c>
      <c r="X44" s="29" t="n">
        <v>8.383176443523846</v>
      </c>
      <c r="Y44" s="29" t="n">
        <v>10.05890905590921</v>
      </c>
      <c r="Z44" s="29" t="n">
        <v>-0.1265317818392669</v>
      </c>
      <c r="AA44" s="29" t="n">
        <v>43.90774236234926</v>
      </c>
      <c r="AB44" s="29" t="n">
        <v>64.84315987763298</v>
      </c>
      <c r="AC44" s="29" t="n">
        <v>23.07870431453571</v>
      </c>
      <c r="AD44" s="29" t="n">
        <v>50.25226072558028</v>
      </c>
      <c r="AE44" s="29" t="n">
        <v>53.36907222473405</v>
      </c>
      <c r="AF44" s="29" t="n">
        <v>1493.645534536621</v>
      </c>
      <c r="AG44" s="29" t="n">
        <v>4511.096301154374</v>
      </c>
      <c r="AH44" s="29" t="n">
        <v>1794.999522605882</v>
      </c>
      <c r="AI44" s="29" t="n">
        <v>706.5342825951495</v>
      </c>
      <c r="AJ44" s="29" t="n">
        <v>668.0289986541911</v>
      </c>
      <c r="AK44" s="29" t="n">
        <v>182.0814064246658</v>
      </c>
      <c r="AL44" s="29" t="n">
        <v>132.8773958547506</v>
      </c>
      <c r="AM44" s="29" t="n">
        <v>1139.404972270643</v>
      </c>
      <c r="AN44" s="29" t="n">
        <v>2411.458563152633</v>
      </c>
      <c r="AO44" s="29" t="n">
        <v>107.6784543124313</v>
      </c>
      <c r="AP44" s="29" t="n">
        <v>5786.395811059311</v>
      </c>
      <c r="AQ44" s="29" t="n">
        <v>226.2941667598825</v>
      </c>
      <c r="AR44" s="29" t="n">
        <v>369.8941651110199</v>
      </c>
      <c r="AS44" s="29" t="n">
        <v>575.7788005821108</v>
      </c>
      <c r="AT44" s="29" t="n">
        <v>12.71146299341499</v>
      </c>
      <c r="AU44" s="29" t="n">
        <v>0.8023036943504153</v>
      </c>
      <c r="AV44" s="29" t="n">
        <v>44.24273187236139</v>
      </c>
      <c r="AW44" s="29" t="n">
        <v>17.19381699274394</v>
      </c>
      <c r="AX44" s="29" t="n">
        <v>17.51964935056509</v>
      </c>
      <c r="AY44" s="29" t="n">
        <v>1.072675672960562</v>
      </c>
      <c r="AZ44" s="29" t="n">
        <v>32.48888321135065</v>
      </c>
      <c r="BA44" s="29" t="n">
        <v>479.5769357460114</v>
      </c>
      <c r="BB44" s="29" t="n">
        <v>25.80697256377521</v>
      </c>
      <c r="BC44" s="29" t="n">
        <v>29.22759138924227</v>
      </c>
      <c r="BD44" s="29" t="n">
        <v>190.6302418544002</v>
      </c>
      <c r="BE44" s="29" t="n">
        <v>259.5002850866655</v>
      </c>
      <c r="BF44" s="29" t="n">
        <v>56.01369012769962</v>
      </c>
      <c r="BG44" s="29" t="n">
        <v>19.17806921031874</v>
      </c>
      <c r="BH44" s="29" t="n">
        <v>19.00624966975402</v>
      </c>
      <c r="BI44" s="29" t="n">
        <v>298.7133145672145</v>
      </c>
      <c r="BJ44" s="29" t="n">
        <v>2.746904584782528</v>
      </c>
      <c r="BK44" s="29" t="n">
        <v>70.15654024993675</v>
      </c>
      <c r="BL44" s="29" t="n">
        <v>46.56390092759938</v>
      </c>
      <c r="BM44" s="29" t="n">
        <v>1.103393732032868</v>
      </c>
      <c r="BN44" s="29" t="n">
        <v>26.48035273770063</v>
      </c>
      <c r="BO44" s="29" t="n">
        <v>61.78041807646208</v>
      </c>
      <c r="BP44" s="29" t="n">
        <v>33.23355227139508</v>
      </c>
      <c r="BQ44" s="29" t="n">
        <v>505.8123411336471</v>
      </c>
      <c r="BR44" s="29" t="n">
        <v>0</v>
      </c>
      <c r="BS44" s="29">
        <f>SUM(C44:BR44)</f>
        <v/>
      </c>
      <c r="BT44" s="29" t="n">
        <v>0</v>
      </c>
      <c r="BU44" s="29" t="n">
        <v>0</v>
      </c>
      <c r="BV44" s="29" t="n">
        <v>0</v>
      </c>
      <c r="BW44" s="29" t="n">
        <v>0</v>
      </c>
      <c r="BX44" s="29">
        <f>SUM(BT44:BW44)</f>
        <v/>
      </c>
      <c r="BY44" s="29">
        <f>BS44+BX44</f>
        <v/>
      </c>
    </row>
    <row r="45">
      <c r="A45" s="30" t="inlineStr">
        <is>
          <t>2800</t>
        </is>
      </c>
      <c r="B45" s="30" t="inlineStr">
        <is>
          <t>Fabricação de máquinas e equipamentos mecânicos</t>
        </is>
      </c>
      <c r="C45" s="31" t="n">
        <v>10.77644814025006</v>
      </c>
      <c r="D45" s="31" t="n">
        <v>20.05161462415431</v>
      </c>
      <c r="E45" s="31" t="n">
        <v>5.990123996104792</v>
      </c>
      <c r="F45" s="31" t="n">
        <v>81.50314234320865</v>
      </c>
      <c r="G45" s="31" t="n">
        <v>1888.110602753846</v>
      </c>
      <c r="H45" s="31" t="n">
        <v>1652.457971354364</v>
      </c>
      <c r="I45" s="31" t="n">
        <v>315.558373988932</v>
      </c>
      <c r="J45" s="31" t="n">
        <v>-147.632479257179</v>
      </c>
      <c r="K45" s="31" t="n">
        <v>-10.23714489092339</v>
      </c>
      <c r="L45" s="31" t="n">
        <v>-86.99208704795592</v>
      </c>
      <c r="M45" s="31" t="n">
        <v>26.70275646726391</v>
      </c>
      <c r="N45" s="31" t="n">
        <v>-7.378200335239258</v>
      </c>
      <c r="O45" s="31" t="n">
        <v>-17.89763389362579</v>
      </c>
      <c r="P45" s="31" t="n">
        <v>-13.14410114808615</v>
      </c>
      <c r="Q45" s="31" t="n">
        <v>-26.19687499111678</v>
      </c>
      <c r="R45" s="31" t="n">
        <v>29.91068567399704</v>
      </c>
      <c r="S45" s="31" t="n">
        <v>-43.97830088625127</v>
      </c>
      <c r="T45" s="31" t="n">
        <v>9.413024072911359</v>
      </c>
      <c r="U45" s="31" t="n">
        <v>-9.058556663890993</v>
      </c>
      <c r="V45" s="31" t="n">
        <v>-8.333879915081514</v>
      </c>
      <c r="W45" s="31" t="n">
        <v>-16.56435255737194</v>
      </c>
      <c r="X45" s="31" t="n">
        <v>-25.48515371086661</v>
      </c>
      <c r="Y45" s="31" t="n">
        <v>7.804123283955775</v>
      </c>
      <c r="Z45" s="31" t="n">
        <v>-36.1759275586672</v>
      </c>
      <c r="AA45" s="31" t="n">
        <v>24.55430136692842</v>
      </c>
      <c r="AB45" s="31" t="n">
        <v>-20.35400111849138</v>
      </c>
      <c r="AC45" s="31" t="n">
        <v>-8.080296520478868</v>
      </c>
      <c r="AD45" s="31" t="n">
        <v>7.848128572131213</v>
      </c>
      <c r="AE45" s="31" t="n">
        <v>65.31973612084431</v>
      </c>
      <c r="AF45" s="31" t="n">
        <v>182.7011520221503</v>
      </c>
      <c r="AG45" s="31" t="n">
        <v>396.7890551784769</v>
      </c>
      <c r="AH45" s="31" t="n">
        <v>10560.26533363565</v>
      </c>
      <c r="AI45" s="31" t="n">
        <v>1290.950360662509</v>
      </c>
      <c r="AJ45" s="31" t="n">
        <v>141.5512395652669</v>
      </c>
      <c r="AK45" s="31" t="n">
        <v>385.1072446904715</v>
      </c>
      <c r="AL45" s="31" t="n">
        <v>9.265592003971507</v>
      </c>
      <c r="AM45" s="31" t="n">
        <v>4447.337023897416</v>
      </c>
      <c r="AN45" s="31" t="n">
        <v>73.09335476584165</v>
      </c>
      <c r="AO45" s="31" t="n">
        <v>51.92863514691214</v>
      </c>
      <c r="AP45" s="31" t="n">
        <v>2654.261723827689</v>
      </c>
      <c r="AQ45" s="31" t="n">
        <v>250.0742695246989</v>
      </c>
      <c r="AR45" s="31" t="n">
        <v>126.0277150952767</v>
      </c>
      <c r="AS45" s="31" t="n">
        <v>98.12741288921292</v>
      </c>
      <c r="AT45" s="31" t="n">
        <v>86.15356082469623</v>
      </c>
      <c r="AU45" s="31" t="n">
        <v>1.670932988876316</v>
      </c>
      <c r="AV45" s="31" t="n">
        <v>110.3024760563616</v>
      </c>
      <c r="AW45" s="31" t="n">
        <v>5.616934504949951</v>
      </c>
      <c r="AX45" s="31" t="n">
        <v>14.764514273345</v>
      </c>
      <c r="AY45" s="31" t="n">
        <v>-20.60341804931774</v>
      </c>
      <c r="AZ45" s="31" t="n">
        <v>-14.8898903348674</v>
      </c>
      <c r="BA45" s="31" t="n">
        <v>-101.2039375498795</v>
      </c>
      <c r="BB45" s="31" t="n">
        <v>7.289814631164754</v>
      </c>
      <c r="BC45" s="31" t="n">
        <v>5.354572742547697</v>
      </c>
      <c r="BD45" s="31" t="n">
        <v>6.713967864807388</v>
      </c>
      <c r="BE45" s="31" t="n">
        <v>-0.8877778522656664</v>
      </c>
      <c r="BF45" s="31" t="n">
        <v>36.13516959709299</v>
      </c>
      <c r="BG45" s="31" t="n">
        <v>-2.56724254154638</v>
      </c>
      <c r="BH45" s="31" t="n">
        <v>3.451016348908983</v>
      </c>
      <c r="BI45" s="31" t="n">
        <v>544.870029538042</v>
      </c>
      <c r="BJ45" s="31" t="n">
        <v>-0.07221326362699203</v>
      </c>
      <c r="BK45" s="31" t="n">
        <v>61.41575527128605</v>
      </c>
      <c r="BL45" s="31" t="n">
        <v>19.9917932084474</v>
      </c>
      <c r="BM45" s="31" t="n">
        <v>0.6887065807083375</v>
      </c>
      <c r="BN45" s="31" t="n">
        <v>71.24045664895736</v>
      </c>
      <c r="BO45" s="31" t="n">
        <v>11.12743909269918</v>
      </c>
      <c r="BP45" s="31" t="n">
        <v>3.178473794912003</v>
      </c>
      <c r="BQ45" s="31" t="n">
        <v>20.72018252635899</v>
      </c>
      <c r="BR45" s="31" t="n">
        <v>0</v>
      </c>
      <c r="BS45" s="31">
        <f>SUM(C45:BR45)</f>
        <v/>
      </c>
      <c r="BT45" s="31" t="n">
        <v>0</v>
      </c>
      <c r="BU45" s="31" t="n">
        <v>0</v>
      </c>
      <c r="BV45" s="31" t="n">
        <v>0</v>
      </c>
      <c r="BW45" s="31" t="n">
        <v>0</v>
      </c>
      <c r="BX45" s="31">
        <f>SUM(BT45:BW45)</f>
        <v/>
      </c>
      <c r="BY45" s="31">
        <f>BS45+BX45</f>
        <v/>
      </c>
    </row>
    <row r="46">
      <c r="A46" s="28" t="inlineStr">
        <is>
          <t>2991</t>
        </is>
      </c>
      <c r="B46" s="28" t="inlineStr">
        <is>
          <t>Fabricação de automóveis, caminhões e ônibus, exceto peças</t>
        </is>
      </c>
      <c r="C46" s="29" t="n">
        <v>-0.6204973167180378</v>
      </c>
      <c r="D46" s="29" t="n">
        <v>0.7928471794082825</v>
      </c>
      <c r="E46" s="29" t="n">
        <v>-0.1227626213159098</v>
      </c>
      <c r="F46" s="29" t="n">
        <v>-0.02678887110245378</v>
      </c>
      <c r="G46" s="29" t="n">
        <v>4.667052433021652</v>
      </c>
      <c r="H46" s="29" t="n">
        <v>-1.525671458596816</v>
      </c>
      <c r="I46" s="29" t="n">
        <v>0.3019682680977713</v>
      </c>
      <c r="J46" s="29" t="n">
        <v>0.8247558186379685</v>
      </c>
      <c r="K46" s="29" t="n">
        <v>14.37831109674406</v>
      </c>
      <c r="L46" s="29" t="n">
        <v>0.939868179141342</v>
      </c>
      <c r="M46" s="29" t="n">
        <v>0.8256178517844193</v>
      </c>
      <c r="N46" s="29" t="n">
        <v>0.03074856286218703</v>
      </c>
      <c r="O46" s="29" t="n">
        <v>2.248313590401213</v>
      </c>
      <c r="P46" s="29" t="n">
        <v>5.31460579715722</v>
      </c>
      <c r="Q46" s="29" t="n">
        <v>1.326458237307455</v>
      </c>
      <c r="R46" s="29" t="n">
        <v>0.3786574179266979</v>
      </c>
      <c r="S46" s="29" t="n">
        <v>0.5658166279870454</v>
      </c>
      <c r="T46" s="29" t="n">
        <v>0.07610911508401938</v>
      </c>
      <c r="U46" s="29" t="n">
        <v>0.1169393027852177</v>
      </c>
      <c r="V46" s="29" t="n">
        <v>0.03832181020210845</v>
      </c>
      <c r="W46" s="29" t="n">
        <v>1.070976822658537</v>
      </c>
      <c r="X46" s="29" t="n">
        <v>5.518844221881274</v>
      </c>
      <c r="Y46" s="29" t="n">
        <v>0.2562760324716041</v>
      </c>
      <c r="Z46" s="29" t="n">
        <v>-0.1353973923427383</v>
      </c>
      <c r="AA46" s="29" t="n">
        <v>-0.5044009425769407</v>
      </c>
      <c r="AB46" s="29" t="n">
        <v>-0.675022018590707</v>
      </c>
      <c r="AC46" s="29" t="n">
        <v>0.8880975382798741</v>
      </c>
      <c r="AD46" s="29" t="n">
        <v>0.4163008238926098</v>
      </c>
      <c r="AE46" s="29" t="n">
        <v>2.53633572726235</v>
      </c>
      <c r="AF46" s="29" t="n">
        <v>18.90527645108569</v>
      </c>
      <c r="AG46" s="29" t="n">
        <v>75.71290037313686</v>
      </c>
      <c r="AH46" s="29" t="n">
        <v>54.04485587381456</v>
      </c>
      <c r="AI46" s="29" t="n">
        <v>2812.2270813205</v>
      </c>
      <c r="AJ46" s="29" t="n">
        <v>68.75628290938795</v>
      </c>
      <c r="AK46" s="29" t="n">
        <v>4.411067838648787</v>
      </c>
      <c r="AL46" s="29" t="n">
        <v>2.770968910997117</v>
      </c>
      <c r="AM46" s="29" t="n">
        <v>35.81686902373772</v>
      </c>
      <c r="AN46" s="29" t="n">
        <v>43.96070245505249</v>
      </c>
      <c r="AO46" s="29" t="n">
        <v>-2.342164712080362</v>
      </c>
      <c r="AP46" s="29" t="n">
        <v>114.4608243112916</v>
      </c>
      <c r="AQ46" s="29" t="n">
        <v>170.7273115642967</v>
      </c>
      <c r="AR46" s="29" t="n">
        <v>-9.797051580508844</v>
      </c>
      <c r="AS46" s="29" t="n">
        <v>137.3853486252194</v>
      </c>
      <c r="AT46" s="29" t="n">
        <v>0.4505013691013005</v>
      </c>
      <c r="AU46" s="29" t="n">
        <v>0.02068588587434889</v>
      </c>
      <c r="AV46" s="29" t="n">
        <v>-1.312066183099946</v>
      </c>
      <c r="AW46" s="29" t="n">
        <v>0.3814957765021251</v>
      </c>
      <c r="AX46" s="29" t="n">
        <v>0.03793398930903307</v>
      </c>
      <c r="AY46" s="29" t="n">
        <v>0.03138263762228378</v>
      </c>
      <c r="AZ46" s="29" t="n">
        <v>0.2859336207196929</v>
      </c>
      <c r="BA46" s="29" t="n">
        <v>9.379298608685502</v>
      </c>
      <c r="BB46" s="29" t="n">
        <v>0.1125711182464144</v>
      </c>
      <c r="BC46" s="29" t="n">
        <v>-0.3181978318541978</v>
      </c>
      <c r="BD46" s="29" t="n">
        <v>3.508670468038969</v>
      </c>
      <c r="BE46" s="29" t="n">
        <v>4.900923347824419</v>
      </c>
      <c r="BF46" s="29" t="n">
        <v>12.20591320359375</v>
      </c>
      <c r="BG46" s="29" t="n">
        <v>0.2042665538851161</v>
      </c>
      <c r="BH46" s="29" t="n">
        <v>-4.219463939520819</v>
      </c>
      <c r="BI46" s="29" t="n">
        <v>6.764315672855929</v>
      </c>
      <c r="BJ46" s="29" t="n">
        <v>-0.9247321823251087</v>
      </c>
      <c r="BK46" s="29" t="n">
        <v>4.365073556918877</v>
      </c>
      <c r="BL46" s="29" t="n">
        <v>-0.1382777706274589</v>
      </c>
      <c r="BM46" s="29" t="n">
        <v>0.03415154920137142</v>
      </c>
      <c r="BN46" s="29" t="n">
        <v>-4.926879910362687</v>
      </c>
      <c r="BO46" s="29" t="n">
        <v>-3.803924726578839</v>
      </c>
      <c r="BP46" s="29" t="n">
        <v>0.3671734996963821</v>
      </c>
      <c r="BQ46" s="29" t="n">
        <v>5.688391016459737</v>
      </c>
      <c r="BR46" s="29" t="n">
        <v>0</v>
      </c>
      <c r="BS46" s="29">
        <f>SUM(C46:BR46)</f>
        <v/>
      </c>
      <c r="BT46" s="29" t="n">
        <v>0</v>
      </c>
      <c r="BU46" s="29" t="n">
        <v>0</v>
      </c>
      <c r="BV46" s="29" t="n">
        <v>0</v>
      </c>
      <c r="BW46" s="29" t="n">
        <v>0</v>
      </c>
      <c r="BX46" s="29">
        <f>SUM(BT46:BW46)</f>
        <v/>
      </c>
      <c r="BY46" s="29">
        <f>BS46+BX46</f>
        <v/>
      </c>
    </row>
    <row r="47">
      <c r="A47" s="30" t="inlineStr">
        <is>
          <t>2992</t>
        </is>
      </c>
      <c r="B47" s="30" t="inlineStr">
        <is>
          <t>Fabricação de peças e acessórios para veículos automotores</t>
        </is>
      </c>
      <c r="C47" s="31" t="n">
        <v>5.472304551990026</v>
      </c>
      <c r="D47" s="31" t="n">
        <v>7.585011034219166</v>
      </c>
      <c r="E47" s="31" t="n">
        <v>0.2389064112448614</v>
      </c>
      <c r="F47" s="31" t="n">
        <v>4.392249910416318</v>
      </c>
      <c r="G47" s="31" t="n">
        <v>43.57784714961034</v>
      </c>
      <c r="H47" s="31" t="n">
        <v>25.13566283083784</v>
      </c>
      <c r="I47" s="31" t="n">
        <v>5.578720986850231</v>
      </c>
      <c r="J47" s="31" t="n">
        <v>14.34113624277907</v>
      </c>
      <c r="K47" s="31" t="n">
        <v>1.253088777799836</v>
      </c>
      <c r="L47" s="31" t="n">
        <v>19.63119412799367</v>
      </c>
      <c r="M47" s="31" t="n">
        <v>23.81228507621405</v>
      </c>
      <c r="N47" s="31" t="n">
        <v>0.1735137211112464</v>
      </c>
      <c r="O47" s="31" t="n">
        <v>2.773182300705658</v>
      </c>
      <c r="P47" s="31" t="n">
        <v>1.626474526638294</v>
      </c>
      <c r="Q47" s="31" t="n">
        <v>1.89546442055991</v>
      </c>
      <c r="R47" s="31" t="n">
        <v>3.324271814507995</v>
      </c>
      <c r="S47" s="31" t="n">
        <v>2.425332505132801</v>
      </c>
      <c r="T47" s="31" t="n">
        <v>7.775355550620723</v>
      </c>
      <c r="U47" s="31" t="n">
        <v>1.919280622156107</v>
      </c>
      <c r="V47" s="31" t="n">
        <v>0.8513155103626133</v>
      </c>
      <c r="W47" s="31" t="n">
        <v>16.36015156691768</v>
      </c>
      <c r="X47" s="31" t="n">
        <v>8.476572928195193</v>
      </c>
      <c r="Y47" s="31" t="n">
        <v>6.968635488245201</v>
      </c>
      <c r="Z47" s="31" t="n">
        <v>1.523997812250609</v>
      </c>
      <c r="AA47" s="31" t="n">
        <v>14.46991833033899</v>
      </c>
      <c r="AB47" s="31" t="n">
        <v>24.00977416124351</v>
      </c>
      <c r="AC47" s="31" t="n">
        <v>25.0158602580792</v>
      </c>
      <c r="AD47" s="31" t="n">
        <v>10.05985395049369</v>
      </c>
      <c r="AE47" s="31" t="n">
        <v>68.07800769591454</v>
      </c>
      <c r="AF47" s="31" t="n">
        <v>62.82598224110895</v>
      </c>
      <c r="AG47" s="31" t="n">
        <v>59.09118486341708</v>
      </c>
      <c r="AH47" s="31" t="n">
        <v>280.7266920506831</v>
      </c>
      <c r="AI47" s="31" t="n">
        <v>17783.15790008846</v>
      </c>
      <c r="AJ47" s="31" t="n">
        <v>4717.784352125222</v>
      </c>
      <c r="AK47" s="31" t="n">
        <v>87.7593113202625</v>
      </c>
      <c r="AL47" s="31" t="n">
        <v>15.27723490407933</v>
      </c>
      <c r="AM47" s="31" t="n">
        <v>135.8798430790841</v>
      </c>
      <c r="AN47" s="31" t="n">
        <v>21.90331159639691</v>
      </c>
      <c r="AO47" s="31" t="n">
        <v>0.2937742666781284</v>
      </c>
      <c r="AP47" s="31" t="n">
        <v>343.5523174450409</v>
      </c>
      <c r="AQ47" s="31" t="n">
        <v>4832.349147465087</v>
      </c>
      <c r="AR47" s="31" t="n">
        <v>-5.643403585508381</v>
      </c>
      <c r="AS47" s="31" t="n">
        <v>3632.518791516127</v>
      </c>
      <c r="AT47" s="31" t="n">
        <v>2.266622292120499</v>
      </c>
      <c r="AU47" s="31" t="n">
        <v>1.210830759852873</v>
      </c>
      <c r="AV47" s="31" t="n">
        <v>-0.0500141987460232</v>
      </c>
      <c r="AW47" s="31" t="n">
        <v>1.541397823714704</v>
      </c>
      <c r="AX47" s="31" t="n">
        <v>10.3522141432265</v>
      </c>
      <c r="AY47" s="31" t="n">
        <v>-0.01593645551816353</v>
      </c>
      <c r="AZ47" s="31" t="n">
        <v>0.7799878028964566</v>
      </c>
      <c r="BA47" s="31" t="n">
        <v>3.686164320421391</v>
      </c>
      <c r="BB47" s="31" t="n">
        <v>0.6000767478346201</v>
      </c>
      <c r="BC47" s="31" t="n">
        <v>-0.3514325900410736</v>
      </c>
      <c r="BD47" s="31" t="n">
        <v>4.677291901886723</v>
      </c>
      <c r="BE47" s="31" t="n">
        <v>2.212338816896981</v>
      </c>
      <c r="BF47" s="31" t="n">
        <v>47.77190670510439</v>
      </c>
      <c r="BG47" s="31" t="n">
        <v>0.2424619951151238</v>
      </c>
      <c r="BH47" s="31" t="n">
        <v>50.92906925380662</v>
      </c>
      <c r="BI47" s="31" t="n">
        <v>16.96693090208512</v>
      </c>
      <c r="BJ47" s="31" t="n">
        <v>-1.117738367678021</v>
      </c>
      <c r="BK47" s="31" t="n">
        <v>377.3550958455152</v>
      </c>
      <c r="BL47" s="31" t="n">
        <v>115.7225185542265</v>
      </c>
      <c r="BM47" s="31" t="n">
        <v>0.3310578714567503</v>
      </c>
      <c r="BN47" s="31" t="n">
        <v>47.86093181673373</v>
      </c>
      <c r="BO47" s="31" t="n">
        <v>2.4185585801782</v>
      </c>
      <c r="BP47" s="31" t="n">
        <v>0.1888428216040896</v>
      </c>
      <c r="BQ47" s="31" t="n">
        <v>4.315455894567684</v>
      </c>
      <c r="BR47" s="31" t="n">
        <v>0</v>
      </c>
      <c r="BS47" s="31">
        <f>SUM(C47:BR47)</f>
        <v/>
      </c>
      <c r="BT47" s="31" t="n">
        <v>0</v>
      </c>
      <c r="BU47" s="31" t="n">
        <v>0</v>
      </c>
      <c r="BV47" s="31" t="n">
        <v>0</v>
      </c>
      <c r="BW47" s="31" t="n">
        <v>0</v>
      </c>
      <c r="BX47" s="31">
        <f>SUM(BT47:BW47)</f>
        <v/>
      </c>
      <c r="BY47" s="31">
        <f>BS47+BX47</f>
        <v/>
      </c>
    </row>
    <row r="48">
      <c r="A48" s="28" t="inlineStr">
        <is>
          <t>3000</t>
        </is>
      </c>
      <c r="B48" s="28" t="inlineStr">
        <is>
          <t>Fabricação de outros equipamentos de transporte, exceto veículos automotores</t>
        </is>
      </c>
      <c r="C48" s="29" t="n">
        <v>0.1834004479332574</v>
      </c>
      <c r="D48" s="29" t="n">
        <v>0.2685389580560122</v>
      </c>
      <c r="E48" s="29" t="n">
        <v>0.07448182730367808</v>
      </c>
      <c r="F48" s="29" t="n">
        <v>0.3025627044955811</v>
      </c>
      <c r="G48" s="29" t="n">
        <v>4.04074107952809</v>
      </c>
      <c r="H48" s="29" t="n">
        <v>3.420772359066181</v>
      </c>
      <c r="I48" s="29" t="n">
        <v>0.6448202485833657</v>
      </c>
      <c r="J48" s="29" t="n">
        <v>-10.67464438647365</v>
      </c>
      <c r="K48" s="29" t="n">
        <v>-0.6428998536970854</v>
      </c>
      <c r="L48" s="29" t="n">
        <v>-6.921595139999874</v>
      </c>
      <c r="M48" s="29" t="n">
        <v>0.7321311233847719</v>
      </c>
      <c r="N48" s="29" t="n">
        <v>-0.5186823928085741</v>
      </c>
      <c r="O48" s="29" t="n">
        <v>-1.392022718032078</v>
      </c>
      <c r="P48" s="29" t="n">
        <v>-0.3939438475779616</v>
      </c>
      <c r="Q48" s="29" t="n">
        <v>-1.777229461830699</v>
      </c>
      <c r="R48" s="29" t="n">
        <v>-0.1955058884767075</v>
      </c>
      <c r="S48" s="29" t="n">
        <v>-2.850794658402118</v>
      </c>
      <c r="T48" s="29" t="n">
        <v>0.2390602065762963</v>
      </c>
      <c r="U48" s="29" t="n">
        <v>-0.7099734258052789</v>
      </c>
      <c r="V48" s="29" t="n">
        <v>-0.5088203679293662</v>
      </c>
      <c r="W48" s="29" t="n">
        <v>-1.334650422072015</v>
      </c>
      <c r="X48" s="29" t="n">
        <v>-2.0507542156768</v>
      </c>
      <c r="Y48" s="29" t="n">
        <v>0.1522248326795754</v>
      </c>
      <c r="Z48" s="29" t="n">
        <v>-2.4444208571879</v>
      </c>
      <c r="AA48" s="29" t="n">
        <v>-2.346067753284929</v>
      </c>
      <c r="AB48" s="29" t="n">
        <v>-1.301958411321982</v>
      </c>
      <c r="AC48" s="29" t="n">
        <v>0.6790419542090063</v>
      </c>
      <c r="AD48" s="29" t="n">
        <v>-0.45152943169677</v>
      </c>
      <c r="AE48" s="29" t="n">
        <v>1.973943779547965</v>
      </c>
      <c r="AF48" s="29" t="n">
        <v>-0.5754683697765437</v>
      </c>
      <c r="AG48" s="29" t="n">
        <v>3.752293631278627</v>
      </c>
      <c r="AH48" s="29" t="n">
        <v>20.87022166498566</v>
      </c>
      <c r="AI48" s="29" t="n">
        <v>17.03418928291918</v>
      </c>
      <c r="AJ48" s="29" t="n">
        <v>6.22853765581986</v>
      </c>
      <c r="AK48" s="29" t="n">
        <v>5285.051959985552</v>
      </c>
      <c r="AL48" s="29" t="n">
        <v>1.336582460813614</v>
      </c>
      <c r="AM48" s="29" t="n">
        <v>613.8365640344063</v>
      </c>
      <c r="AN48" s="29" t="n">
        <v>2.986851878741763</v>
      </c>
      <c r="AO48" s="29" t="n">
        <v>0.6990067181295273</v>
      </c>
      <c r="AP48" s="29" t="n">
        <v>21.36314050595066</v>
      </c>
      <c r="AQ48" s="29" t="n">
        <v>62.98915307383456</v>
      </c>
      <c r="AR48" s="29" t="n">
        <v>-7.365855117599893</v>
      </c>
      <c r="AS48" s="29" t="n">
        <v>531.4720548035659</v>
      </c>
      <c r="AT48" s="29" t="n">
        <v>0.4883809037066613</v>
      </c>
      <c r="AU48" s="29" t="n">
        <v>0.1233242146228472</v>
      </c>
      <c r="AV48" s="29" t="n">
        <v>1.161183927775315</v>
      </c>
      <c r="AW48" s="29" t="n">
        <v>0.08630907986640397</v>
      </c>
      <c r="AX48" s="29" t="n">
        <v>0.6372755251453522</v>
      </c>
      <c r="AY48" s="29" t="n">
        <v>-1.278568084751328</v>
      </c>
      <c r="AZ48" s="29" t="n">
        <v>-1.166689749429718</v>
      </c>
      <c r="BA48" s="29" t="n">
        <v>-9.16943912743173</v>
      </c>
      <c r="BB48" s="29" t="n">
        <v>-0.3700022688622257</v>
      </c>
      <c r="BC48" s="29" t="n">
        <v>0.3729879553457588</v>
      </c>
      <c r="BD48" s="29" t="n">
        <v>0.3820139022149408</v>
      </c>
      <c r="BE48" s="29" t="n">
        <v>-0.02638332605702191</v>
      </c>
      <c r="BF48" s="29" t="n">
        <v>0.3136890250145423</v>
      </c>
      <c r="BG48" s="29" t="n">
        <v>-0.08609018977757982</v>
      </c>
      <c r="BH48" s="29" t="n">
        <v>0.6857834876651577</v>
      </c>
      <c r="BI48" s="29" t="n">
        <v>1.203582851316203</v>
      </c>
      <c r="BJ48" s="29" t="n">
        <v>0.00505700547429914</v>
      </c>
      <c r="BK48" s="29" t="n">
        <v>74.78775452970284</v>
      </c>
      <c r="BL48" s="29" t="n">
        <v>1.332712276427624</v>
      </c>
      <c r="BM48" s="29" t="n">
        <v>0.06995002164173822</v>
      </c>
      <c r="BN48" s="29" t="n">
        <v>1.994729217346857</v>
      </c>
      <c r="BO48" s="29" t="n">
        <v>6.548490408104167</v>
      </c>
      <c r="BP48" s="29" t="n">
        <v>0.2964173400984373</v>
      </c>
      <c r="BQ48" s="29" t="n">
        <v>29.23836777358341</v>
      </c>
      <c r="BR48" s="29" t="n">
        <v>0</v>
      </c>
      <c r="BS48" s="29">
        <f>SUM(C48:BR48)</f>
        <v/>
      </c>
      <c r="BT48" s="29" t="n">
        <v>0</v>
      </c>
      <c r="BU48" s="29" t="n">
        <v>0</v>
      </c>
      <c r="BV48" s="29" t="n">
        <v>0</v>
      </c>
      <c r="BW48" s="29" t="n">
        <v>0</v>
      </c>
      <c r="BX48" s="29">
        <f>SUM(BT48:BW48)</f>
        <v/>
      </c>
      <c r="BY48" s="29">
        <f>BS48+BX48</f>
        <v/>
      </c>
    </row>
    <row r="49">
      <c r="A49" s="30" t="inlineStr">
        <is>
          <t>3180</t>
        </is>
      </c>
      <c r="B49" s="30" t="inlineStr">
        <is>
          <t>Fabricação de móveis e de produtos de indústrias diversas</t>
        </is>
      </c>
      <c r="C49" s="31" t="n">
        <v>11.81154132512691</v>
      </c>
      <c r="D49" s="31" t="n">
        <v>7.858249863905429</v>
      </c>
      <c r="E49" s="31" t="n">
        <v>9.421880636210808</v>
      </c>
      <c r="F49" s="31" t="n">
        <v>2.334428281248922</v>
      </c>
      <c r="G49" s="31" t="n">
        <v>41.85323087544672</v>
      </c>
      <c r="H49" s="31" t="n">
        <v>30.24895796122951</v>
      </c>
      <c r="I49" s="31" t="n">
        <v>3.252436724162652</v>
      </c>
      <c r="J49" s="31" t="n">
        <v>-14.19085056893975</v>
      </c>
      <c r="K49" s="31" t="n">
        <v>4.123068720592984</v>
      </c>
      <c r="L49" s="31" t="n">
        <v>9.988943163583876</v>
      </c>
      <c r="M49" s="31" t="n">
        <v>17.22988920766122</v>
      </c>
      <c r="N49" s="31" t="n">
        <v>-0.8423535412761102</v>
      </c>
      <c r="O49" s="31" t="n">
        <v>26.22250116129484</v>
      </c>
      <c r="P49" s="31" t="n">
        <v>1023.537691406762</v>
      </c>
      <c r="Q49" s="31" t="n">
        <v>214.5267637979327</v>
      </c>
      <c r="R49" s="31" t="n">
        <v>12.40028901824949</v>
      </c>
      <c r="S49" s="31" t="n">
        <v>0.9863568816747593</v>
      </c>
      <c r="T49" s="31" t="n">
        <v>5.361675148316686</v>
      </c>
      <c r="U49" s="31" t="n">
        <v>4.273247594538988</v>
      </c>
      <c r="V49" s="31" t="n">
        <v>-0.3623301481957486</v>
      </c>
      <c r="W49" s="31" t="n">
        <v>74.77276702339115</v>
      </c>
      <c r="X49" s="31" t="n">
        <v>30.55498322244602</v>
      </c>
      <c r="Y49" s="31" t="n">
        <v>10.16820809987831</v>
      </c>
      <c r="Z49" s="31" t="n">
        <v>35.30449592641101</v>
      </c>
      <c r="AA49" s="31" t="n">
        <v>46.49847842663282</v>
      </c>
      <c r="AB49" s="31" t="n">
        <v>112.1391266883129</v>
      </c>
      <c r="AC49" s="31" t="n">
        <v>4.161904026072906</v>
      </c>
      <c r="AD49" s="31" t="n">
        <v>-0.4504721478224744</v>
      </c>
      <c r="AE49" s="31" t="n">
        <v>15.82208613879061</v>
      </c>
      <c r="AF49" s="31" t="n">
        <v>36.36921718044232</v>
      </c>
      <c r="AG49" s="31" t="n">
        <v>12.48458014570372</v>
      </c>
      <c r="AH49" s="31" t="n">
        <v>493.6861640498966</v>
      </c>
      <c r="AI49" s="31" t="n">
        <v>336.1469921295922</v>
      </c>
      <c r="AJ49" s="31" t="n">
        <v>340.8198983425163</v>
      </c>
      <c r="AK49" s="31" t="n">
        <v>20.56084451243951</v>
      </c>
      <c r="AL49" s="31" t="n">
        <v>1593.647651269152</v>
      </c>
      <c r="AM49" s="31" t="n">
        <v>103.0741790673689</v>
      </c>
      <c r="AN49" s="31" t="n">
        <v>43.98657227246222</v>
      </c>
      <c r="AO49" s="31" t="n">
        <v>32.44867275700177</v>
      </c>
      <c r="AP49" s="31" t="n">
        <v>799.3917536943045</v>
      </c>
      <c r="AQ49" s="31" t="n">
        <v>30.34755632540856</v>
      </c>
      <c r="AR49" s="31" t="n">
        <v>275.2266755729958</v>
      </c>
      <c r="AS49" s="31" t="n">
        <v>87.97149855075146</v>
      </c>
      <c r="AT49" s="31" t="n">
        <v>81.80935777004103</v>
      </c>
      <c r="AU49" s="31" t="n">
        <v>2.241557310708474</v>
      </c>
      <c r="AV49" s="31" t="n">
        <v>117.4836033275083</v>
      </c>
      <c r="AW49" s="31" t="n">
        <v>4.816141032901911</v>
      </c>
      <c r="AX49" s="31" t="n">
        <v>11.20100735045071</v>
      </c>
      <c r="AY49" s="31" t="n">
        <v>-1.422991243321972</v>
      </c>
      <c r="AZ49" s="31" t="n">
        <v>43.29021302593441</v>
      </c>
      <c r="BA49" s="31" t="n">
        <v>-23.679367931349</v>
      </c>
      <c r="BB49" s="31" t="n">
        <v>60.85308393998535</v>
      </c>
      <c r="BC49" s="31" t="n">
        <v>230.0093492543825</v>
      </c>
      <c r="BD49" s="31" t="n">
        <v>90.01628676498167</v>
      </c>
      <c r="BE49" s="31" t="n">
        <v>176.7898247915418</v>
      </c>
      <c r="BF49" s="31" t="n">
        <v>332.0472679712769</v>
      </c>
      <c r="BG49" s="31" t="n">
        <v>223.5943535058311</v>
      </c>
      <c r="BH49" s="31" t="n">
        <v>409.618705495549</v>
      </c>
      <c r="BI49" s="31" t="n">
        <v>157.3116731982108</v>
      </c>
      <c r="BJ49" s="31" t="n">
        <v>16.26881105495666</v>
      </c>
      <c r="BK49" s="31" t="n">
        <v>764.4596839097486</v>
      </c>
      <c r="BL49" s="31" t="n">
        <v>836.6330374969192</v>
      </c>
      <c r="BM49" s="31" t="n">
        <v>21.17173577404404</v>
      </c>
      <c r="BN49" s="31" t="n">
        <v>1788.743478037413</v>
      </c>
      <c r="BO49" s="31" t="n">
        <v>7336.378096582942</v>
      </c>
      <c r="BP49" s="31" t="n">
        <v>131.4101866113538</v>
      </c>
      <c r="BQ49" s="31" t="n">
        <v>93.84584785234289</v>
      </c>
      <c r="BR49" s="31" t="n">
        <v>0</v>
      </c>
      <c r="BS49" s="31">
        <f>SUM(C49:BR49)</f>
        <v/>
      </c>
      <c r="BT49" s="31" t="n">
        <v>0</v>
      </c>
      <c r="BU49" s="31" t="n">
        <v>0</v>
      </c>
      <c r="BV49" s="31" t="n">
        <v>0</v>
      </c>
      <c r="BW49" s="31" t="n">
        <v>0</v>
      </c>
      <c r="BX49" s="31">
        <f>SUM(BT49:BW49)</f>
        <v/>
      </c>
      <c r="BY49" s="31">
        <f>BS49+BX49</f>
        <v/>
      </c>
    </row>
    <row r="50">
      <c r="A50" s="28" t="inlineStr">
        <is>
          <t>3300</t>
        </is>
      </c>
      <c r="B50" s="28" t="inlineStr">
        <is>
          <t>Manutenção, reparação e instalação de máquinas e equipamentos</t>
        </is>
      </c>
      <c r="C50" s="29" t="n">
        <v>11.10990277465115</v>
      </c>
      <c r="D50" s="29" t="n">
        <v>5.049986943818208</v>
      </c>
      <c r="E50" s="29" t="n">
        <v>17.25152610187654</v>
      </c>
      <c r="F50" s="29" t="n">
        <v>118.623951249202</v>
      </c>
      <c r="G50" s="29" t="n">
        <v>274.8106502816719</v>
      </c>
      <c r="H50" s="29" t="n">
        <v>192.7069403419037</v>
      </c>
      <c r="I50" s="29" t="n">
        <v>75.04838494136408</v>
      </c>
      <c r="J50" s="29" t="n">
        <v>94.63183414881732</v>
      </c>
      <c r="K50" s="29" t="n">
        <v>80.48628520096477</v>
      </c>
      <c r="L50" s="29" t="n">
        <v>52.09950307172177</v>
      </c>
      <c r="M50" s="29" t="n">
        <v>49.18072208006541</v>
      </c>
      <c r="N50" s="29" t="n">
        <v>1.399413350049825</v>
      </c>
      <c r="O50" s="29" t="n">
        <v>34.87955680119235</v>
      </c>
      <c r="P50" s="29" t="n">
        <v>53.23469833601039</v>
      </c>
      <c r="Q50" s="29" t="n">
        <v>18.72709533691201</v>
      </c>
      <c r="R50" s="29" t="n">
        <v>53.59969163825144</v>
      </c>
      <c r="S50" s="29" t="n">
        <v>276.3063723555575</v>
      </c>
      <c r="T50" s="29" t="n">
        <v>174.329079210908</v>
      </c>
      <c r="U50" s="29" t="n">
        <v>66.29678083014906</v>
      </c>
      <c r="V50" s="29" t="n">
        <v>56.98076738652905</v>
      </c>
      <c r="W50" s="29" t="n">
        <v>138.2086397106017</v>
      </c>
      <c r="X50" s="29" t="n">
        <v>72.48971469172673</v>
      </c>
      <c r="Y50" s="29" t="n">
        <v>19.39056997872878</v>
      </c>
      <c r="Z50" s="29" t="n">
        <v>69.18147311299299</v>
      </c>
      <c r="AA50" s="29" t="n">
        <v>62.50947350879393</v>
      </c>
      <c r="AB50" s="29" t="n">
        <v>310.3548536956005</v>
      </c>
      <c r="AC50" s="29" t="n">
        <v>986.2657941941105</v>
      </c>
      <c r="AD50" s="29" t="n">
        <v>201.4630012001962</v>
      </c>
      <c r="AE50" s="29" t="n">
        <v>86.46168785683398</v>
      </c>
      <c r="AF50" s="29" t="n">
        <v>18.10446006296938</v>
      </c>
      <c r="AG50" s="29" t="n">
        <v>70.38458513956787</v>
      </c>
      <c r="AH50" s="29" t="n">
        <v>252.8838286977109</v>
      </c>
      <c r="AI50" s="29" t="n">
        <v>44.81422703346644</v>
      </c>
      <c r="AJ50" s="29" t="n">
        <v>102.8917305501507</v>
      </c>
      <c r="AK50" s="29" t="n">
        <v>73.08773783190311</v>
      </c>
      <c r="AL50" s="29" t="n">
        <v>81.70986984131996</v>
      </c>
      <c r="AM50" s="29" t="n">
        <v>108.2174692854253</v>
      </c>
      <c r="AN50" s="29" t="n">
        <v>147.5438271294827</v>
      </c>
      <c r="AO50" s="29" t="n">
        <v>129.2926017297602</v>
      </c>
      <c r="AP50" s="29" t="n">
        <v>367.5403185703962</v>
      </c>
      <c r="AQ50" s="29" t="n">
        <v>86.28830867465182</v>
      </c>
      <c r="AR50" s="29" t="n">
        <v>441.1207990613281</v>
      </c>
      <c r="AS50" s="29" t="n">
        <v>96.19702072750937</v>
      </c>
      <c r="AT50" s="29" t="n">
        <v>99.05493117767392</v>
      </c>
      <c r="AU50" s="29" t="n">
        <v>56.69883514881498</v>
      </c>
      <c r="AV50" s="29" t="n">
        <v>347.3422067896019</v>
      </c>
      <c r="AW50" s="29" t="n">
        <v>1.198145023769587</v>
      </c>
      <c r="AX50" s="29" t="n">
        <v>32.31966185775338</v>
      </c>
      <c r="AY50" s="29" t="n">
        <v>104.0132524719086</v>
      </c>
      <c r="AZ50" s="29" t="n">
        <v>15.64884508938935</v>
      </c>
      <c r="BA50" s="29" t="n">
        <v>93.94400242655649</v>
      </c>
      <c r="BB50" s="29" t="n">
        <v>81.79491403880954</v>
      </c>
      <c r="BC50" s="29" t="n">
        <v>41.30969347501733</v>
      </c>
      <c r="BD50" s="29" t="n">
        <v>12.34778635015332</v>
      </c>
      <c r="BE50" s="29" t="n">
        <v>89.11350102377229</v>
      </c>
      <c r="BF50" s="29" t="n">
        <v>32.05793982787684</v>
      </c>
      <c r="BG50" s="29" t="n">
        <v>16.17429747154948</v>
      </c>
      <c r="BH50" s="29" t="n">
        <v>109.6492492674898</v>
      </c>
      <c r="BI50" s="29" t="n">
        <v>117.8558966439017</v>
      </c>
      <c r="BJ50" s="29" t="n">
        <v>27.28404181328388</v>
      </c>
      <c r="BK50" s="29" t="n">
        <v>120.7530286834734</v>
      </c>
      <c r="BL50" s="29" t="n">
        <v>16.50925861895248</v>
      </c>
      <c r="BM50" s="29" t="n">
        <v>0.06713271028864463</v>
      </c>
      <c r="BN50" s="29" t="n">
        <v>105.2924707270762</v>
      </c>
      <c r="BO50" s="29" t="n">
        <v>58.06978837805356</v>
      </c>
      <c r="BP50" s="29" t="n">
        <v>51.09215453187125</v>
      </c>
      <c r="BQ50" s="29" t="n">
        <v>57.49127038962232</v>
      </c>
      <c r="BR50" s="29" t="n">
        <v>0</v>
      </c>
      <c r="BS50" s="29">
        <f>SUM(C50:BR50)</f>
        <v/>
      </c>
      <c r="BT50" s="29" t="n">
        <v>0</v>
      </c>
      <c r="BU50" s="29" t="n">
        <v>0</v>
      </c>
      <c r="BV50" s="29" t="n">
        <v>0</v>
      </c>
      <c r="BW50" s="29" t="n">
        <v>0</v>
      </c>
      <c r="BX50" s="29">
        <f>SUM(BT50:BW50)</f>
        <v/>
      </c>
      <c r="BY50" s="29">
        <f>BS50+BX50</f>
        <v/>
      </c>
    </row>
    <row r="51">
      <c r="A51" s="30" t="inlineStr">
        <is>
          <t>3500</t>
        </is>
      </c>
      <c r="B51" s="30" t="inlineStr">
        <is>
          <t>Energia elétrica, gás natural e outras utilidades</t>
        </is>
      </c>
      <c r="C51" s="31" t="n">
        <v>934.8896610625973</v>
      </c>
      <c r="D51" s="31" t="n">
        <v>590.8485805735957</v>
      </c>
      <c r="E51" s="31" t="n">
        <v>48.95662216106066</v>
      </c>
      <c r="F51" s="31" t="n">
        <v>108.9259787096889</v>
      </c>
      <c r="G51" s="31" t="n">
        <v>31.72057190999456</v>
      </c>
      <c r="H51" s="31" t="n">
        <v>156.5270382233551</v>
      </c>
      <c r="I51" s="31" t="n">
        <v>42.85981222267311</v>
      </c>
      <c r="J51" s="31" t="n">
        <v>176.0981373930417</v>
      </c>
      <c r="K51" s="31" t="n">
        <v>10.53892128069255</v>
      </c>
      <c r="L51" s="31" t="n">
        <v>335.4738240129996</v>
      </c>
      <c r="M51" s="31" t="n">
        <v>87.25110221966054</v>
      </c>
      <c r="N51" s="31" t="n">
        <v>8.98405678622454</v>
      </c>
      <c r="O51" s="31" t="n">
        <v>227.5561001809054</v>
      </c>
      <c r="P51" s="31" t="n">
        <v>24.9643542024194</v>
      </c>
      <c r="Q51" s="31" t="n">
        <v>38.64063715894891</v>
      </c>
      <c r="R51" s="31" t="n">
        <v>97.91584350268307</v>
      </c>
      <c r="S51" s="31" t="n">
        <v>300.7022231821141</v>
      </c>
      <c r="T51" s="31" t="n">
        <v>23.04947620799356</v>
      </c>
      <c r="U51" s="31" t="n">
        <v>15.61187300106967</v>
      </c>
      <c r="V51" s="31" t="n">
        <v>15.09928569286996</v>
      </c>
      <c r="W51" s="31" t="n">
        <v>632.381356254764</v>
      </c>
      <c r="X51" s="31" t="n">
        <v>90.47557447080072</v>
      </c>
      <c r="Y51" s="31" t="n">
        <v>26.28432749121906</v>
      </c>
      <c r="Z51" s="31" t="n">
        <v>35.9549669618443</v>
      </c>
      <c r="AA51" s="31" t="n">
        <v>284.1458698769414</v>
      </c>
      <c r="AB51" s="31" t="n">
        <v>513.8122863208009</v>
      </c>
      <c r="AC51" s="31" t="n">
        <v>517.8909569259307</v>
      </c>
      <c r="AD51" s="31" t="n">
        <v>302.8796569212182</v>
      </c>
      <c r="AE51" s="31" t="n">
        <v>169.4385595112348</v>
      </c>
      <c r="AF51" s="31" t="n">
        <v>21.55004909722033</v>
      </c>
      <c r="AG51" s="31" t="n">
        <v>87.60133060674616</v>
      </c>
      <c r="AH51" s="31" t="n">
        <v>92.87410672018245</v>
      </c>
      <c r="AI51" s="31" t="n">
        <v>90.4896260993137</v>
      </c>
      <c r="AJ51" s="31" t="n">
        <v>213.4849669330007</v>
      </c>
      <c r="AK51" s="31" t="n">
        <v>40.32885320788102</v>
      </c>
      <c r="AL51" s="31" t="n">
        <v>48.99826035642677</v>
      </c>
      <c r="AM51" s="31" t="n">
        <v>25.24905458226851</v>
      </c>
      <c r="AN51" s="31" t="n">
        <v>8487.16523145967</v>
      </c>
      <c r="AO51" s="31" t="n">
        <v>474.7005844503863</v>
      </c>
      <c r="AP51" s="31" t="n">
        <v>88.71959256796529</v>
      </c>
      <c r="AQ51" s="31" t="n">
        <v>200.3433229042718</v>
      </c>
      <c r="AR51" s="31" t="n">
        <v>2130.20577507187</v>
      </c>
      <c r="AS51" s="31" t="n">
        <v>199.9395123218953</v>
      </c>
      <c r="AT51" s="31" t="n">
        <v>7.297405435070842</v>
      </c>
      <c r="AU51" s="31" t="n">
        <v>5.615050074979292</v>
      </c>
      <c r="AV51" s="31" t="n">
        <v>139.1612450980513</v>
      </c>
      <c r="AW51" s="31" t="n">
        <v>160.7903850886902</v>
      </c>
      <c r="AX51" s="31" t="n">
        <v>205.336423601035</v>
      </c>
      <c r="AY51" s="31" t="n">
        <v>29.20818107830832</v>
      </c>
      <c r="AZ51" s="31" t="n">
        <v>53.96988817885277</v>
      </c>
      <c r="BA51" s="31" t="n">
        <v>303.6345575635516</v>
      </c>
      <c r="BB51" s="31" t="n">
        <v>59.02447744822479</v>
      </c>
      <c r="BC51" s="31" t="n">
        <v>353.7219801930052</v>
      </c>
      <c r="BD51" s="31" t="n">
        <v>58.29982230534323</v>
      </c>
      <c r="BE51" s="31" t="n">
        <v>121.0300923746262</v>
      </c>
      <c r="BF51" s="31" t="n">
        <v>38.97586491301043</v>
      </c>
      <c r="BG51" s="31" t="n">
        <v>25.2414380015486</v>
      </c>
      <c r="BH51" s="31" t="n">
        <v>19.00599440105066</v>
      </c>
      <c r="BI51" s="31" t="n">
        <v>693.0482975965381</v>
      </c>
      <c r="BJ51" s="31" t="n">
        <v>11.56703479257526</v>
      </c>
      <c r="BK51" s="31" t="n">
        <v>788.6497464313987</v>
      </c>
      <c r="BL51" s="31" t="n">
        <v>234.5582923272125</v>
      </c>
      <c r="BM51" s="31" t="n">
        <v>259.1787975311836</v>
      </c>
      <c r="BN51" s="31" t="n">
        <v>156.9343707166341</v>
      </c>
      <c r="BO51" s="31" t="n">
        <v>200.3553035085054</v>
      </c>
      <c r="BP51" s="31" t="n">
        <v>103.8125443562965</v>
      </c>
      <c r="BQ51" s="31" t="n">
        <v>432.6447047059147</v>
      </c>
      <c r="BR51" s="31" t="n">
        <v>0</v>
      </c>
      <c r="BS51" s="31">
        <f>SUM(C51:BR51)</f>
        <v/>
      </c>
      <c r="BT51" s="31" t="n">
        <v>0</v>
      </c>
      <c r="BU51" s="31" t="n">
        <v>0</v>
      </c>
      <c r="BV51" s="31" t="n">
        <v>0</v>
      </c>
      <c r="BW51" s="31" t="n">
        <v>0</v>
      </c>
      <c r="BX51" s="31">
        <f>SUM(BT51:BW51)</f>
        <v/>
      </c>
      <c r="BY51" s="31">
        <f>BS51+BX51</f>
        <v/>
      </c>
    </row>
    <row r="52">
      <c r="A52" s="28" t="inlineStr">
        <is>
          <t>3680</t>
        </is>
      </c>
      <c r="B52" s="28" t="inlineStr">
        <is>
          <t>Água, esgoto e gestão de resíduos</t>
        </is>
      </c>
      <c r="C52" s="29" t="n">
        <v>-2.246639550435085</v>
      </c>
      <c r="D52" s="29" t="n">
        <v>-0.3473916906340177</v>
      </c>
      <c r="E52" s="29" t="n">
        <v>-0.2603691382584561</v>
      </c>
      <c r="F52" s="29" t="n">
        <v>1.62361376081085</v>
      </c>
      <c r="G52" s="29" t="n">
        <v>-1.162652377930897</v>
      </c>
      <c r="H52" s="29" t="n">
        <v>9.354500153796433</v>
      </c>
      <c r="I52" s="29" t="n">
        <v>2.226286896895766</v>
      </c>
      <c r="J52" s="29" t="n">
        <v>3.728373375073626</v>
      </c>
      <c r="K52" s="29" t="n">
        <v>2.813470967885447</v>
      </c>
      <c r="L52" s="29" t="n">
        <v>8.758111821938838</v>
      </c>
      <c r="M52" s="29" t="n">
        <v>22.77444439331327</v>
      </c>
      <c r="N52" s="29" t="n">
        <v>-0.03695208440184078</v>
      </c>
      <c r="O52" s="29" t="n">
        <v>4.014900984840437</v>
      </c>
      <c r="P52" s="29" t="n">
        <v>1.391917990545209</v>
      </c>
      <c r="Q52" s="29" t="n">
        <v>1.004382854590387</v>
      </c>
      <c r="R52" s="29" t="n">
        <v>9.52836407696485</v>
      </c>
      <c r="S52" s="29" t="n">
        <v>18.73043627815765</v>
      </c>
      <c r="T52" s="29" t="n">
        <v>0.5618703308480917</v>
      </c>
      <c r="U52" s="29" t="n">
        <v>15.08235031745576</v>
      </c>
      <c r="V52" s="29" t="n">
        <v>0.767966592549749</v>
      </c>
      <c r="W52" s="29" t="n">
        <v>30.24264810806281</v>
      </c>
      <c r="X52" s="29" t="n">
        <v>16.51241265832032</v>
      </c>
      <c r="Y52" s="29" t="n">
        <v>6.106350317864143</v>
      </c>
      <c r="Z52" s="29" t="n">
        <v>2.695180262701618</v>
      </c>
      <c r="AA52" s="29" t="n">
        <v>32.02872849248872</v>
      </c>
      <c r="AB52" s="29" t="n">
        <v>44.41121199785063</v>
      </c>
      <c r="AC52" s="29" t="n">
        <v>268.6900463381305</v>
      </c>
      <c r="AD52" s="29" t="n">
        <v>117.8149577790713</v>
      </c>
      <c r="AE52" s="29" t="n">
        <v>8.724573409336584</v>
      </c>
      <c r="AF52" s="29" t="n">
        <v>0.9975728192068455</v>
      </c>
      <c r="AG52" s="29" t="n">
        <v>3.259426160274918</v>
      </c>
      <c r="AH52" s="29" t="n">
        <v>5.636379801464376</v>
      </c>
      <c r="AI52" s="29" t="n">
        <v>4.692435282100671</v>
      </c>
      <c r="AJ52" s="29" t="n">
        <v>20.84129722524982</v>
      </c>
      <c r="AK52" s="29" t="n">
        <v>9.418765781258688</v>
      </c>
      <c r="AL52" s="29" t="n">
        <v>3.188113267393695</v>
      </c>
      <c r="AM52" s="29" t="n">
        <v>1.344741379598761</v>
      </c>
      <c r="AN52" s="29" t="n">
        <v>2.005805503778952</v>
      </c>
      <c r="AO52" s="29" t="n">
        <v>39.09584292622259</v>
      </c>
      <c r="AP52" s="29" t="n">
        <v>18.3349933218256</v>
      </c>
      <c r="AQ52" s="29" t="n">
        <v>23.64805412274568</v>
      </c>
      <c r="AR52" s="29" t="n">
        <v>162.9943411295994</v>
      </c>
      <c r="AS52" s="29" t="n">
        <v>-1.322569493847159</v>
      </c>
      <c r="AT52" s="29" t="n">
        <v>0.6874728296080185</v>
      </c>
      <c r="AU52" s="29" t="n">
        <v>0.4829381133469975</v>
      </c>
      <c r="AV52" s="29" t="n">
        <v>32.5422684360917</v>
      </c>
      <c r="AW52" s="29" t="n">
        <v>19.29230233487011</v>
      </c>
      <c r="AX52" s="29" t="n">
        <v>57.61934783554743</v>
      </c>
      <c r="AY52" s="29" t="n">
        <v>2.618495030539124</v>
      </c>
      <c r="AZ52" s="29" t="n">
        <v>3.271529929070531</v>
      </c>
      <c r="BA52" s="29" t="n">
        <v>3.048068961908351</v>
      </c>
      <c r="BB52" s="29" t="n">
        <v>4.863763823812299</v>
      </c>
      <c r="BC52" s="29" t="n">
        <v>27.03256024689193</v>
      </c>
      <c r="BD52" s="29" t="n">
        <v>15.65080066349409</v>
      </c>
      <c r="BE52" s="29" t="n">
        <v>24.82163214219423</v>
      </c>
      <c r="BF52" s="29" t="n">
        <v>4.284413020860967</v>
      </c>
      <c r="BG52" s="29" t="n">
        <v>1.79095155877526</v>
      </c>
      <c r="BH52" s="29" t="n">
        <v>2.668715729510894</v>
      </c>
      <c r="BI52" s="29" t="n">
        <v>230.9583466514831</v>
      </c>
      <c r="BJ52" s="29" t="n">
        <v>1.933440764036874</v>
      </c>
      <c r="BK52" s="29" t="n">
        <v>643.4913521489112</v>
      </c>
      <c r="BL52" s="29" t="n">
        <v>80.03548082890183</v>
      </c>
      <c r="BM52" s="29" t="n">
        <v>11.70978972715982</v>
      </c>
      <c r="BN52" s="29" t="n">
        <v>82.42002544622545</v>
      </c>
      <c r="BO52" s="29" t="n">
        <v>85.50073134931219</v>
      </c>
      <c r="BP52" s="29" t="n">
        <v>5.439948747756384</v>
      </c>
      <c r="BQ52" s="29" t="n">
        <v>112.5734052337433</v>
      </c>
      <c r="BR52" s="29" t="n">
        <v>0</v>
      </c>
      <c r="BS52" s="29">
        <f>SUM(C52:BR52)</f>
        <v/>
      </c>
      <c r="BT52" s="29" t="n">
        <v>0</v>
      </c>
      <c r="BU52" s="29" t="n">
        <v>0</v>
      </c>
      <c r="BV52" s="29" t="n">
        <v>0</v>
      </c>
      <c r="BW52" s="29" t="n">
        <v>0</v>
      </c>
      <c r="BX52" s="29">
        <f>SUM(BT52:BW52)</f>
        <v/>
      </c>
      <c r="BY52" s="29">
        <f>BS52+BX52</f>
        <v/>
      </c>
    </row>
    <row r="53">
      <c r="A53" s="30" t="inlineStr">
        <is>
          <t>4180</t>
        </is>
      </c>
      <c r="B53" s="30" t="inlineStr">
        <is>
          <t>Construção</t>
        </is>
      </c>
      <c r="C53" s="31" t="n">
        <v>3.780106250490265</v>
      </c>
      <c r="D53" s="31" t="n">
        <v>5.781610688902219</v>
      </c>
      <c r="E53" s="31" t="n">
        <v>0.9237269597410735</v>
      </c>
      <c r="F53" s="31" t="n">
        <v>1.594252984588267</v>
      </c>
      <c r="G53" s="31" t="n">
        <v>161.9346035706178</v>
      </c>
      <c r="H53" s="31" t="n">
        <v>66.93203590562189</v>
      </c>
      <c r="I53" s="31" t="n">
        <v>10.92426629909476</v>
      </c>
      <c r="J53" s="31" t="n">
        <v>1.401925597230927</v>
      </c>
      <c r="K53" s="31" t="n">
        <v>2.149436100063235</v>
      </c>
      <c r="L53" s="31" t="n">
        <v>4.414427822724642</v>
      </c>
      <c r="M53" s="31" t="n">
        <v>1.684674088437898</v>
      </c>
      <c r="N53" s="31" t="n">
        <v>0.2282716159509019</v>
      </c>
      <c r="O53" s="31" t="n">
        <v>1.250219343762117</v>
      </c>
      <c r="P53" s="31" t="n">
        <v>0.4489232576548405</v>
      </c>
      <c r="Q53" s="31" t="n">
        <v>0.3265611665554966</v>
      </c>
      <c r="R53" s="31" t="n">
        <v>0.4607301579415088</v>
      </c>
      <c r="S53" s="31" t="n">
        <v>3.402621718085466</v>
      </c>
      <c r="T53" s="31" t="n">
        <v>1.416413761458353</v>
      </c>
      <c r="U53" s="31" t="n">
        <v>2.398405776516543</v>
      </c>
      <c r="V53" s="31" t="n">
        <v>1.156638872798254</v>
      </c>
      <c r="W53" s="31" t="n">
        <v>4.779375019900103</v>
      </c>
      <c r="X53" s="31" t="n">
        <v>2.121260809237653</v>
      </c>
      <c r="Y53" s="31" t="n">
        <v>0.3904167502813388</v>
      </c>
      <c r="Z53" s="31" t="n">
        <v>0.7781106993104269</v>
      </c>
      <c r="AA53" s="31" t="n">
        <v>2.34903910763919</v>
      </c>
      <c r="AB53" s="31" t="n">
        <v>2.374504157375219</v>
      </c>
      <c r="AC53" s="31" t="n">
        <v>7.087143906108059</v>
      </c>
      <c r="AD53" s="31" t="n">
        <v>38.44884941009831</v>
      </c>
      <c r="AE53" s="31" t="n">
        <v>5.181747043757103</v>
      </c>
      <c r="AF53" s="31" t="n">
        <v>5.299521075816886</v>
      </c>
      <c r="AG53" s="31" t="n">
        <v>1.433011783491696</v>
      </c>
      <c r="AH53" s="31" t="n">
        <v>11.62294545519674</v>
      </c>
      <c r="AI53" s="31" t="n">
        <v>20.22716827754291</v>
      </c>
      <c r="AJ53" s="31" t="n">
        <v>4.127563370559015</v>
      </c>
      <c r="AK53" s="31" t="n">
        <v>16.49785381472015</v>
      </c>
      <c r="AL53" s="31" t="n">
        <v>1.619124526593184</v>
      </c>
      <c r="AM53" s="31" t="n">
        <v>3.342048062991074</v>
      </c>
      <c r="AN53" s="31" t="n">
        <v>3.195110354142185</v>
      </c>
      <c r="AO53" s="31" t="n">
        <v>198.9066790329081</v>
      </c>
      <c r="AP53" s="31" t="n">
        <v>2443.846205219401</v>
      </c>
      <c r="AQ53" s="31" t="n">
        <v>32.35158527307826</v>
      </c>
      <c r="AR53" s="31" t="n">
        <v>58.9887423647493</v>
      </c>
      <c r="AS53" s="31" t="n">
        <v>35.4685872675009</v>
      </c>
      <c r="AT53" s="31" t="n">
        <v>4.771090816276314</v>
      </c>
      <c r="AU53" s="31" t="n">
        <v>13.08682366921446</v>
      </c>
      <c r="AV53" s="31" t="n">
        <v>52.43148482251975</v>
      </c>
      <c r="AW53" s="31" t="n">
        <v>12.56661946240345</v>
      </c>
      <c r="AX53" s="31" t="n">
        <v>15.69717875033822</v>
      </c>
      <c r="AY53" s="31" t="n">
        <v>3.872286212655603</v>
      </c>
      <c r="AZ53" s="31" t="n">
        <v>15.44886068161764</v>
      </c>
      <c r="BA53" s="31" t="n">
        <v>206.4213694059728</v>
      </c>
      <c r="BB53" s="31" t="n">
        <v>42.53557490166068</v>
      </c>
      <c r="BC53" s="31" t="n">
        <v>66.74517474044849</v>
      </c>
      <c r="BD53" s="31" t="n">
        <v>43.55169629890664</v>
      </c>
      <c r="BE53" s="31" t="n">
        <v>11.00756899956833</v>
      </c>
      <c r="BF53" s="31" t="n">
        <v>31.39749834484189</v>
      </c>
      <c r="BG53" s="31" t="n">
        <v>1.38759520321182</v>
      </c>
      <c r="BH53" s="31" t="n">
        <v>14.73843149131846</v>
      </c>
      <c r="BI53" s="31" t="n">
        <v>96.88063422108073</v>
      </c>
      <c r="BJ53" s="31" t="n">
        <v>1.722040881144018</v>
      </c>
      <c r="BK53" s="31" t="n">
        <v>560.7841413177315</v>
      </c>
      <c r="BL53" s="31" t="n">
        <v>50.29925478632119</v>
      </c>
      <c r="BM53" s="31" t="n">
        <v>23.85554708764442</v>
      </c>
      <c r="BN53" s="31" t="n">
        <v>115.1945862253646</v>
      </c>
      <c r="BO53" s="31" t="n">
        <v>3.464879369327919</v>
      </c>
      <c r="BP53" s="31" t="n">
        <v>5.509334310842998</v>
      </c>
      <c r="BQ53" s="31" t="n">
        <v>21.71479966149057</v>
      </c>
      <c r="BR53" s="31" t="n">
        <v>0</v>
      </c>
      <c r="BS53" s="31">
        <f>SUM(C53:BR53)</f>
        <v/>
      </c>
      <c r="BT53" s="31" t="n">
        <v>0</v>
      </c>
      <c r="BU53" s="31" t="n">
        <v>0</v>
      </c>
      <c r="BV53" s="31" t="n">
        <v>0</v>
      </c>
      <c r="BW53" s="31" t="n">
        <v>0</v>
      </c>
      <c r="BX53" s="31">
        <f>SUM(BT53:BW53)</f>
        <v/>
      </c>
      <c r="BY53" s="31">
        <f>BS53+BX53</f>
        <v/>
      </c>
    </row>
    <row r="54">
      <c r="A54" s="28" t="inlineStr">
        <is>
          <t>4500</t>
        </is>
      </c>
      <c r="B54" s="28" t="inlineStr">
        <is>
          <t>Comércio e reparação de veículos automotores e motocicletas</t>
        </is>
      </c>
      <c r="C54" s="29" t="n">
        <v>-201.2529009923667</v>
      </c>
      <c r="D54" s="29" t="n">
        <v>-49.77350953946089</v>
      </c>
      <c r="E54" s="29" t="n">
        <v>-31.4215600653382</v>
      </c>
      <c r="F54" s="29" t="n">
        <v>-73.55588418276069</v>
      </c>
      <c r="G54" s="29" t="n">
        <v>12.53469131257895</v>
      </c>
      <c r="H54" s="29" t="n">
        <v>-893.0702415478322</v>
      </c>
      <c r="I54" s="29" t="n">
        <v>-69.31739690279267</v>
      </c>
      <c r="J54" s="29" t="n">
        <v>-4.196418513849403</v>
      </c>
      <c r="K54" s="29" t="n">
        <v>-0.1725874432606783</v>
      </c>
      <c r="L54" s="29" t="n">
        <v>-6.72427089117325</v>
      </c>
      <c r="M54" s="29" t="n">
        <v>-28.71857459972973</v>
      </c>
      <c r="N54" s="29" t="n">
        <v>0.3774755453651625</v>
      </c>
      <c r="O54" s="29" t="n">
        <v>-5.468149498705397</v>
      </c>
      <c r="P54" s="29" t="n">
        <v>1.229386521989311</v>
      </c>
      <c r="Q54" s="29" t="n">
        <v>-3.77474670117191</v>
      </c>
      <c r="R54" s="29" t="n">
        <v>0.8395778747443382</v>
      </c>
      <c r="S54" s="29" t="n">
        <v>4.858807913169167</v>
      </c>
      <c r="T54" s="29" t="n">
        <v>1.314741073282857</v>
      </c>
      <c r="U54" s="29" t="n">
        <v>3.175993633218692</v>
      </c>
      <c r="V54" s="29" t="n">
        <v>-3.851385780868541</v>
      </c>
      <c r="W54" s="29" t="n">
        <v>3.331168453374928</v>
      </c>
      <c r="X54" s="29" t="n">
        <v>-6.821133502259486</v>
      </c>
      <c r="Y54" s="29" t="n">
        <v>0.7415526927469023</v>
      </c>
      <c r="Z54" s="29" t="n">
        <v>-42.91345807586507</v>
      </c>
      <c r="AA54" s="29" t="n">
        <v>-223.9268489880923</v>
      </c>
      <c r="AB54" s="29" t="n">
        <v>-315.3285270781017</v>
      </c>
      <c r="AC54" s="29" t="n">
        <v>0.08496631769138256</v>
      </c>
      <c r="AD54" s="29" t="n">
        <v>-50.45253545266807</v>
      </c>
      <c r="AE54" s="29" t="n">
        <v>3.746464648220284</v>
      </c>
      <c r="AF54" s="29" t="n">
        <v>-359.5582447626851</v>
      </c>
      <c r="AG54" s="29" t="n">
        <v>-30.47305879460001</v>
      </c>
      <c r="AH54" s="29" t="n">
        <v>-2707.589227060742</v>
      </c>
      <c r="AI54" s="29" t="n">
        <v>-442.8078739887737</v>
      </c>
      <c r="AJ54" s="29" t="n">
        <v>11.13358381805596</v>
      </c>
      <c r="AK54" s="29" t="n">
        <v>4.580300972993741</v>
      </c>
      <c r="AL54" s="29" t="n">
        <v>-34.86297250826034</v>
      </c>
      <c r="AM54" s="29" t="n">
        <v>-45.04724060772367</v>
      </c>
      <c r="AN54" s="29" t="n">
        <v>-268.6500417162495</v>
      </c>
      <c r="AO54" s="29" t="n">
        <v>-744.4132470521649</v>
      </c>
      <c r="AP54" s="29" t="n">
        <v>-603.4255280823832</v>
      </c>
      <c r="AQ54" s="29" t="n">
        <v>-1826.431292152491</v>
      </c>
      <c r="AR54" s="29" t="n">
        <v>-2920.414911888515</v>
      </c>
      <c r="AS54" s="29" t="n">
        <v>-6274.807396364223</v>
      </c>
      <c r="AT54" s="29" t="n">
        <v>9.030729713068455</v>
      </c>
      <c r="AU54" s="29" t="n">
        <v>23.41856593159022</v>
      </c>
      <c r="AV54" s="29" t="n">
        <v>-365.5642200946733</v>
      </c>
      <c r="AW54" s="29" t="n">
        <v>0.9558759920301415</v>
      </c>
      <c r="AX54" s="29" t="n">
        <v>-100.2385394203827</v>
      </c>
      <c r="AY54" s="29" t="n">
        <v>-3.753425771664169</v>
      </c>
      <c r="AZ54" s="29" t="n">
        <v>-52.91838238073109</v>
      </c>
      <c r="BA54" s="29" t="n">
        <v>7.255216278521549</v>
      </c>
      <c r="BB54" s="29" t="n">
        <v>8.671526355893061</v>
      </c>
      <c r="BC54" s="29" t="n">
        <v>-131.2267583919534</v>
      </c>
      <c r="BD54" s="29" t="n">
        <v>-17.5738618556051</v>
      </c>
      <c r="BE54" s="29" t="n">
        <v>4.263341791303417</v>
      </c>
      <c r="BF54" s="29" t="n">
        <v>-106.8670564059295</v>
      </c>
      <c r="BG54" s="29" t="n">
        <v>-17.33872631501943</v>
      </c>
      <c r="BH54" s="29" t="n">
        <v>-827.3751321790818</v>
      </c>
      <c r="BI54" s="29" t="n">
        <v>-67.48489485983052</v>
      </c>
      <c r="BJ54" s="29" t="n">
        <v>-164.786369260805</v>
      </c>
      <c r="BK54" s="29" t="n">
        <v>-1804.426519586246</v>
      </c>
      <c r="BL54" s="29" t="n">
        <v>-306.0447417817592</v>
      </c>
      <c r="BM54" s="29" t="n">
        <v>12.65922681541315</v>
      </c>
      <c r="BN54" s="29" t="n">
        <v>-918.0993714398287</v>
      </c>
      <c r="BO54" s="29" t="n">
        <v>-621.7669432506699</v>
      </c>
      <c r="BP54" s="29" t="n">
        <v>-42.54238662272208</v>
      </c>
      <c r="BQ54" s="29" t="n">
        <v>-24.60997639647889</v>
      </c>
      <c r="BR54" s="29" t="n">
        <v>0</v>
      </c>
      <c r="BS54" s="29">
        <f>SUM(C54:BR54)</f>
        <v/>
      </c>
      <c r="BT54" s="29" t="n">
        <v>0</v>
      </c>
      <c r="BU54" s="29" t="n">
        <v>0</v>
      </c>
      <c r="BV54" s="29" t="n">
        <v>0</v>
      </c>
      <c r="BW54" s="29" t="n">
        <v>0</v>
      </c>
      <c r="BX54" s="29">
        <f>SUM(BT54:BW54)</f>
        <v/>
      </c>
      <c r="BY54" s="29">
        <f>BS54+BX54</f>
        <v/>
      </c>
    </row>
    <row r="55">
      <c r="A55" s="30" t="inlineStr">
        <is>
          <t>4680</t>
        </is>
      </c>
      <c r="B55" s="30" t="inlineStr">
        <is>
          <t>Comércio por atacado e a varejo, exceto veículos automotores</t>
        </is>
      </c>
      <c r="C55" s="31" t="n">
        <v>92.64739285907299</v>
      </c>
      <c r="D55" s="31" t="n">
        <v>250.1171902691767</v>
      </c>
      <c r="E55" s="31" t="n">
        <v>11.26627834556278</v>
      </c>
      <c r="F55" s="31" t="n">
        <v>-436.7336019716323</v>
      </c>
      <c r="G55" s="31" t="n">
        <v>-167.4558417183686</v>
      </c>
      <c r="H55" s="31" t="n">
        <v>-855.1414165232713</v>
      </c>
      <c r="I55" s="31" t="n">
        <v>-406.2871390208459</v>
      </c>
      <c r="J55" s="31" t="n">
        <v>-63211.50385130722</v>
      </c>
      <c r="K55" s="31" t="n">
        <v>-4771.000747307768</v>
      </c>
      <c r="L55" s="31" t="n">
        <v>-42360.7063410101</v>
      </c>
      <c r="M55" s="31" t="n">
        <v>-2004.694338441817</v>
      </c>
      <c r="N55" s="31" t="n">
        <v>-2929.150576700894</v>
      </c>
      <c r="O55" s="31" t="n">
        <v>-8397.738362297923</v>
      </c>
      <c r="P55" s="31" t="n">
        <v>-7824.240048564466</v>
      </c>
      <c r="Q55" s="31" t="n">
        <v>-11222.9874972066</v>
      </c>
      <c r="R55" s="31" t="n">
        <v>-2748.834593154651</v>
      </c>
      <c r="S55" s="31" t="n">
        <v>-19440.625287937</v>
      </c>
      <c r="T55" s="31" t="n">
        <v>-970.2725226638763</v>
      </c>
      <c r="U55" s="31" t="n">
        <v>-3292.03188935238</v>
      </c>
      <c r="V55" s="31" t="n">
        <v>-3540.969264364907</v>
      </c>
      <c r="W55" s="31" t="n">
        <v>-10432.44411268814</v>
      </c>
      <c r="X55" s="31" t="n">
        <v>-13631.33213685159</v>
      </c>
      <c r="Y55" s="31" t="n">
        <v>-883.3479626351021</v>
      </c>
      <c r="Z55" s="31" t="n">
        <v>-14578.75512205768</v>
      </c>
      <c r="AA55" s="31" t="n">
        <v>-17890.29636852717</v>
      </c>
      <c r="AB55" s="31" t="n">
        <v>-12775.46340366758</v>
      </c>
      <c r="AC55" s="31" t="n">
        <v>-17023.93063265666</v>
      </c>
      <c r="AD55" s="31" t="n">
        <v>-5385.786116329744</v>
      </c>
      <c r="AE55" s="31" t="n">
        <v>-16590.8955989169</v>
      </c>
      <c r="AF55" s="31" t="n">
        <v>-9617.731232442831</v>
      </c>
      <c r="AG55" s="31" t="n">
        <v>-12884.54100137582</v>
      </c>
      <c r="AH55" s="31" t="n">
        <v>-31623.31721656801</v>
      </c>
      <c r="AI55" s="31" t="n">
        <v>-1913.10928304457</v>
      </c>
      <c r="AJ55" s="31" t="n">
        <v>-407.1771173707635</v>
      </c>
      <c r="AK55" s="31" t="n">
        <v>-2058.143302865883</v>
      </c>
      <c r="AL55" s="31" t="n">
        <v>-7256.357801907677</v>
      </c>
      <c r="AM55" s="31" t="n">
        <v>-16.45688005875425</v>
      </c>
      <c r="AN55" s="31" t="n">
        <v>60.99086723656791</v>
      </c>
      <c r="AO55" s="31" t="n">
        <v>-44.47291596242893</v>
      </c>
      <c r="AP55" s="31" t="n">
        <v>727.7362745758309</v>
      </c>
      <c r="AQ55" s="31" t="n">
        <v>47.5268575183136</v>
      </c>
      <c r="AR55" s="31" t="n">
        <v>-58408.69308720896</v>
      </c>
      <c r="AS55" s="31" t="n">
        <v>163.6884132798333</v>
      </c>
      <c r="AT55" s="31" t="n">
        <v>49.9936878173411</v>
      </c>
      <c r="AU55" s="31" t="n">
        <v>112.9625683479612</v>
      </c>
      <c r="AV55" s="31" t="n">
        <v>92.68719075756762</v>
      </c>
      <c r="AW55" s="31" t="n">
        <v>26.20458686123749</v>
      </c>
      <c r="AX55" s="31" t="n">
        <v>498.0701377285494</v>
      </c>
      <c r="AY55" s="31" t="n">
        <v>-8300.02941415549</v>
      </c>
      <c r="AZ55" s="31" t="n">
        <v>-7025.622265746362</v>
      </c>
      <c r="BA55" s="31" t="n">
        <v>-54664.97030019539</v>
      </c>
      <c r="BB55" s="31" t="n">
        <v>-3356.204149484103</v>
      </c>
      <c r="BC55" s="31" t="n">
        <v>-341.8823403236314</v>
      </c>
      <c r="BD55" s="31" t="n">
        <v>22.62854767692266</v>
      </c>
      <c r="BE55" s="31" t="n">
        <v>-3728.920050396458</v>
      </c>
      <c r="BF55" s="31" t="n">
        <v>-519.8264670505941</v>
      </c>
      <c r="BG55" s="31" t="n">
        <v>-1908.489150369632</v>
      </c>
      <c r="BH55" s="31" t="n">
        <v>67.51915219895486</v>
      </c>
      <c r="BI55" s="31" t="n">
        <v>-4422.390906330237</v>
      </c>
      <c r="BJ55" s="31" t="n">
        <v>-509.1113569384309</v>
      </c>
      <c r="BK55" s="31" t="n">
        <v>332.6324215499214</v>
      </c>
      <c r="BL55" s="31" t="n">
        <v>199.7358048443541</v>
      </c>
      <c r="BM55" s="31" t="n">
        <v>-34.14797245500053</v>
      </c>
      <c r="BN55" s="31" t="n">
        <v>431.0400507733989</v>
      </c>
      <c r="BO55" s="31" t="n">
        <v>571.4878498847042</v>
      </c>
      <c r="BP55" s="31" t="n">
        <v>-128.0354208476053</v>
      </c>
      <c r="BQ55" s="31" t="n">
        <v>-58.07446621613207</v>
      </c>
      <c r="BR55" s="31" t="n">
        <v>0</v>
      </c>
      <c r="BS55" s="31">
        <f>SUM(C55:BR55)</f>
        <v/>
      </c>
      <c r="BT55" s="31" t="n">
        <v>0</v>
      </c>
      <c r="BU55" s="31" t="n">
        <v>0</v>
      </c>
      <c r="BV55" s="31" t="n">
        <v>0</v>
      </c>
      <c r="BW55" s="31" t="n">
        <v>0</v>
      </c>
      <c r="BX55" s="31">
        <f>SUM(BT55:BW55)</f>
        <v/>
      </c>
      <c r="BY55" s="31">
        <f>BS55+BX55</f>
        <v/>
      </c>
    </row>
    <row r="56">
      <c r="A56" s="28" t="inlineStr">
        <is>
          <t>4900</t>
        </is>
      </c>
      <c r="B56" s="28" t="inlineStr">
        <is>
          <t>Transporte terrestre</t>
        </is>
      </c>
      <c r="C56" s="29" t="n">
        <v>-1138.4342888767</v>
      </c>
      <c r="D56" s="29" t="n">
        <v>-196.529073818606</v>
      </c>
      <c r="E56" s="29" t="n">
        <v>-154.7398858446115</v>
      </c>
      <c r="F56" s="29" t="n">
        <v>-274.5770368117782</v>
      </c>
      <c r="G56" s="29" t="n">
        <v>-1346.288722144154</v>
      </c>
      <c r="H56" s="29" t="n">
        <v>-940.069007610709</v>
      </c>
      <c r="I56" s="29" t="n">
        <v>-125.9763533497188</v>
      </c>
      <c r="J56" s="29" t="n">
        <v>-2232.06662450607</v>
      </c>
      <c r="K56" s="29" t="n">
        <v>-605.2676532221062</v>
      </c>
      <c r="L56" s="29" t="n">
        <v>-2756.45587658561</v>
      </c>
      <c r="M56" s="29" t="n">
        <v>-736.1459203302579</v>
      </c>
      <c r="N56" s="29" t="n">
        <v>-52.12425353284163</v>
      </c>
      <c r="O56" s="29" t="n">
        <v>-297.5704984503426</v>
      </c>
      <c r="P56" s="29" t="n">
        <v>-123.7210456634576</v>
      </c>
      <c r="Q56" s="29" t="n">
        <v>-243.5711970843078</v>
      </c>
      <c r="R56" s="29" t="n">
        <v>-83.68460215965116</v>
      </c>
      <c r="S56" s="29" t="n">
        <v>-660.2651873918469</v>
      </c>
      <c r="T56" s="29" t="n">
        <v>-93.56929792801813</v>
      </c>
      <c r="U56" s="29" t="n">
        <v>-952.8946161111905</v>
      </c>
      <c r="V56" s="29" t="n">
        <v>-173.1304777460956</v>
      </c>
      <c r="W56" s="29" t="n">
        <v>-1319.940760856167</v>
      </c>
      <c r="X56" s="29" t="n">
        <v>-485.5048949705565</v>
      </c>
      <c r="Y56" s="29" t="n">
        <v>-339.8184676363045</v>
      </c>
      <c r="Z56" s="29" t="n">
        <v>-655.7154720969535</v>
      </c>
      <c r="AA56" s="29" t="n">
        <v>-657.9666395638532</v>
      </c>
      <c r="AB56" s="29" t="n">
        <v>-686.5096650823693</v>
      </c>
      <c r="AC56" s="29" t="n">
        <v>-1200.900825194587</v>
      </c>
      <c r="AD56" s="29" t="n">
        <v>-136.0586755555161</v>
      </c>
      <c r="AE56" s="29" t="n">
        <v>-558.2726282213542</v>
      </c>
      <c r="AF56" s="29" t="n">
        <v>-349.7118705027372</v>
      </c>
      <c r="AG56" s="29" t="n">
        <v>-358.4999182719055</v>
      </c>
      <c r="AH56" s="29" t="n">
        <v>-418.6068390871224</v>
      </c>
      <c r="AI56" s="29" t="n">
        <v>-1413.980555469045</v>
      </c>
      <c r="AJ56" s="29" t="n">
        <v>-430.6780747014891</v>
      </c>
      <c r="AK56" s="29" t="n">
        <v>-215.7588748528372</v>
      </c>
      <c r="AL56" s="29" t="n">
        <v>-362.4013442821249</v>
      </c>
      <c r="AM56" s="29" t="n">
        <v>-6.510975206829799</v>
      </c>
      <c r="AN56" s="29" t="n">
        <v>-731.8447407972977</v>
      </c>
      <c r="AO56" s="29" t="n">
        <v>-90.83395076421067</v>
      </c>
      <c r="AP56" s="29" t="n">
        <v>-618.7316546213015</v>
      </c>
      <c r="AQ56" s="29" t="n">
        <v>-374.7868756470716</v>
      </c>
      <c r="AR56" s="29" t="n">
        <v>-8835.954035105982</v>
      </c>
      <c r="AS56" s="29" t="n">
        <v>-9202.35427263125</v>
      </c>
      <c r="AT56" s="29" t="n">
        <v>-17.21180222708573</v>
      </c>
      <c r="AU56" s="29" t="n">
        <v>-14.00143611009361</v>
      </c>
      <c r="AV56" s="29" t="n">
        <v>-1209.385433494914</v>
      </c>
      <c r="AW56" s="29" t="n">
        <v>-2.58621306562542</v>
      </c>
      <c r="AX56" s="29" t="n">
        <v>-204.358404216646</v>
      </c>
      <c r="AY56" s="29" t="n">
        <v>-159.3834951529645</v>
      </c>
      <c r="AZ56" s="29" t="n">
        <v>-16.36686363779244</v>
      </c>
      <c r="BA56" s="29" t="n">
        <v>-58.63436398846055</v>
      </c>
      <c r="BB56" s="29" t="n">
        <v>-13.4702774243301</v>
      </c>
      <c r="BC56" s="29" t="n">
        <v>-58.04034376218399</v>
      </c>
      <c r="BD56" s="29" t="n">
        <v>3.261321376289602</v>
      </c>
      <c r="BE56" s="29" t="n">
        <v>-103.3493205974435</v>
      </c>
      <c r="BF56" s="29" t="n">
        <v>-28.7130879744813</v>
      </c>
      <c r="BG56" s="29" t="n">
        <v>-4.343951327977715</v>
      </c>
      <c r="BH56" s="29" t="n">
        <v>-97.75864235963823</v>
      </c>
      <c r="BI56" s="29" t="n">
        <v>-8.286720816966659</v>
      </c>
      <c r="BJ56" s="29" t="n">
        <v>-16.73349173370006</v>
      </c>
      <c r="BK56" s="29" t="n">
        <v>82.85832040583841</v>
      </c>
      <c r="BL56" s="29" t="n">
        <v>100.7138155618656</v>
      </c>
      <c r="BM56" s="29" t="n">
        <v>88.43991579483206</v>
      </c>
      <c r="BN56" s="29" t="n">
        <v>-9.271941650987337</v>
      </c>
      <c r="BO56" s="29" t="n">
        <v>0.7350511326388748</v>
      </c>
      <c r="BP56" s="29" t="n">
        <v>-9.075530305314286</v>
      </c>
      <c r="BQ56" s="29" t="n">
        <v>180.8547035036485</v>
      </c>
      <c r="BR56" s="29" t="n">
        <v>0</v>
      </c>
      <c r="BS56" s="29">
        <f>SUM(C56:BR56)</f>
        <v/>
      </c>
      <c r="BT56" s="29" t="n">
        <v>0</v>
      </c>
      <c r="BU56" s="29" t="n">
        <v>0</v>
      </c>
      <c r="BV56" s="29" t="n">
        <v>0</v>
      </c>
      <c r="BW56" s="29" t="n">
        <v>0</v>
      </c>
      <c r="BX56" s="29">
        <f>SUM(BT56:BW56)</f>
        <v/>
      </c>
      <c r="BY56" s="29">
        <f>BS56+BX56</f>
        <v/>
      </c>
    </row>
    <row r="57">
      <c r="A57" s="30" t="inlineStr">
        <is>
          <t>5000</t>
        </is>
      </c>
      <c r="B57" s="30" t="inlineStr">
        <is>
          <t>Transporte aquaviário</t>
        </is>
      </c>
      <c r="C57" s="31" t="n">
        <v>0.0003342753974623447</v>
      </c>
      <c r="D57" s="31" t="n">
        <v>0.0001432608846267195</v>
      </c>
      <c r="E57" s="31" t="n">
        <v>0.0003342753974623447</v>
      </c>
      <c r="F57" s="31" t="n">
        <v>0.001098333448804848</v>
      </c>
      <c r="G57" s="31" t="n">
        <v>458.4810281659909</v>
      </c>
      <c r="H57" s="31" t="n">
        <v>0.001241594333431567</v>
      </c>
      <c r="I57" s="31" t="n">
        <v>0.8577780820094537</v>
      </c>
      <c r="J57" s="31" t="n">
        <v>108.0217789067763</v>
      </c>
      <c r="K57" s="31" t="n">
        <v>10.82910804076837</v>
      </c>
      <c r="L57" s="31" t="n">
        <v>40.4084839338434</v>
      </c>
      <c r="M57" s="31" t="n">
        <v>0.2168680171339654</v>
      </c>
      <c r="N57" s="31" t="n">
        <v>0.1083862549387738</v>
      </c>
      <c r="O57" s="31" t="n">
        <v>1.083671534874903</v>
      </c>
      <c r="P57" s="31" t="n">
        <v>1.405917328370481</v>
      </c>
      <c r="Q57" s="31" t="n">
        <v>0.5395435932834238</v>
      </c>
      <c r="R57" s="31" t="n">
        <v>12.1085404891089</v>
      </c>
      <c r="S57" s="31" t="n">
        <v>105.6501747777397</v>
      </c>
      <c r="T57" s="31" t="n">
        <v>2.466762628961525</v>
      </c>
      <c r="U57" s="31" t="n">
        <v>4.934337069602601</v>
      </c>
      <c r="V57" s="31" t="n">
        <v>0.6476433264529438</v>
      </c>
      <c r="W57" s="31" t="n">
        <v>78.75777228473473</v>
      </c>
      <c r="X57" s="31" t="n">
        <v>1.289603971149028</v>
      </c>
      <c r="Y57" s="31" t="n">
        <v>3.86293821717739</v>
      </c>
      <c r="Z57" s="31" t="n">
        <v>0.3301251421500475</v>
      </c>
      <c r="AA57" s="31" t="n">
        <v>4.514736109284509</v>
      </c>
      <c r="AB57" s="31" t="n">
        <v>11.15101955886648</v>
      </c>
      <c r="AC57" s="31" t="n">
        <v>33.65412024279627</v>
      </c>
      <c r="AD57" s="31" t="n">
        <v>1.178973295684436</v>
      </c>
      <c r="AE57" s="31" t="n">
        <v>3.223413007519961</v>
      </c>
      <c r="AF57" s="31" t="n">
        <v>7.936249958052334</v>
      </c>
      <c r="AG57" s="31" t="n">
        <v>5.040669918528394</v>
      </c>
      <c r="AH57" s="31" t="n">
        <v>29.68838294518054</v>
      </c>
      <c r="AI57" s="31" t="n">
        <v>23.47107965874994</v>
      </c>
      <c r="AJ57" s="31" t="n">
        <v>9.974147422823242</v>
      </c>
      <c r="AK57" s="31" t="n">
        <v>27.36749909807207</v>
      </c>
      <c r="AL57" s="31" t="n">
        <v>0.1160268354521989</v>
      </c>
      <c r="AM57" s="31" t="n">
        <v>1.74062908031398</v>
      </c>
      <c r="AN57" s="31" t="n">
        <v>0.03366630788727897</v>
      </c>
      <c r="AO57" s="31" t="n">
        <v>0.01179514616759992</v>
      </c>
      <c r="AP57" s="31" t="n">
        <v>0.8108985002037509</v>
      </c>
      <c r="AQ57" s="31" t="n">
        <v>0.6030247676264452</v>
      </c>
      <c r="AR57" s="31" t="n">
        <v>81.88088543164847</v>
      </c>
      <c r="AS57" s="31" t="n">
        <v>63.99395103321529</v>
      </c>
      <c r="AT57" s="31" t="n">
        <v>119.6833556066034</v>
      </c>
      <c r="AU57" s="31" t="n">
        <v>0.005157391846561903</v>
      </c>
      <c r="AV57" s="31" t="n">
        <v>5.23095364584544</v>
      </c>
      <c r="AW57" s="31" t="n">
        <v>0.04211870008025551</v>
      </c>
      <c r="AX57" s="31" t="n">
        <v>1.787917391850845</v>
      </c>
      <c r="AY57" s="31" t="n">
        <v>0.01489913200117883</v>
      </c>
      <c r="AZ57" s="31" t="n">
        <v>0.3425410854843632</v>
      </c>
      <c r="BA57" s="31" t="n">
        <v>0.1210076938813687</v>
      </c>
      <c r="BB57" s="31" t="n">
        <v>1.443212912001637</v>
      </c>
      <c r="BC57" s="31" t="n">
        <v>0.2846116241250829</v>
      </c>
      <c r="BD57" s="31" t="n">
        <v>0.07559399345469901</v>
      </c>
      <c r="BE57" s="31" t="n">
        <v>0.2637288075023465</v>
      </c>
      <c r="BF57" s="31" t="n">
        <v>0.358013261024049</v>
      </c>
      <c r="BG57" s="31" t="n">
        <v>0.03524217761817296</v>
      </c>
      <c r="BH57" s="31" t="n">
        <v>0.04183217831100201</v>
      </c>
      <c r="BI57" s="31" t="n">
        <v>22.2950815691099</v>
      </c>
      <c r="BJ57" s="31" t="n">
        <v>0.1170774152727948</v>
      </c>
      <c r="BK57" s="31" t="n">
        <v>0.2400594497074169</v>
      </c>
      <c r="BL57" s="31" t="n">
        <v>0.02476065401628318</v>
      </c>
      <c r="BM57" s="31" t="n">
        <v>0.1406821887034383</v>
      </c>
      <c r="BN57" s="31" t="n">
        <v>0.01547217553968571</v>
      </c>
      <c r="BO57" s="31" t="n">
        <v>0.06188870215874284</v>
      </c>
      <c r="BP57" s="31" t="n">
        <v>0.2413323558723698</v>
      </c>
      <c r="BQ57" s="31" t="n">
        <v>0.1637758320058328</v>
      </c>
      <c r="BR57" s="31" t="n">
        <v>0</v>
      </c>
      <c r="BS57" s="31">
        <f>SUM(C57:BR57)</f>
        <v/>
      </c>
      <c r="BT57" s="31" t="n">
        <v>0</v>
      </c>
      <c r="BU57" s="31" t="n">
        <v>0</v>
      </c>
      <c r="BV57" s="31" t="n">
        <v>0</v>
      </c>
      <c r="BW57" s="31" t="n">
        <v>0</v>
      </c>
      <c r="BX57" s="31">
        <f>SUM(BT57:BW57)</f>
        <v/>
      </c>
      <c r="BY57" s="31">
        <f>BS57+BX57</f>
        <v/>
      </c>
    </row>
    <row r="58">
      <c r="A58" s="28" t="inlineStr">
        <is>
          <t>5100</t>
        </is>
      </c>
      <c r="B58" s="28" t="inlineStr">
        <is>
          <t>Transporte aéreo</t>
        </is>
      </c>
      <c r="C58" s="29" t="n">
        <v>0.2005252959829649</v>
      </c>
      <c r="D58" s="29" t="n">
        <v>-0.001984865653580428</v>
      </c>
      <c r="E58" s="29" t="n">
        <v>1.017100421514486</v>
      </c>
      <c r="F58" s="29" t="n">
        <v>1.598412223004769</v>
      </c>
      <c r="G58" s="29" t="n">
        <v>224.6419723173567</v>
      </c>
      <c r="H58" s="29" t="n">
        <v>1.567698743620921</v>
      </c>
      <c r="I58" s="29" t="n">
        <v>3.836337809086748</v>
      </c>
      <c r="J58" s="29" t="n">
        <v>34.51324757756046</v>
      </c>
      <c r="K58" s="29" t="n">
        <v>1.528912181527379</v>
      </c>
      <c r="L58" s="29" t="n">
        <v>31.1793698114801</v>
      </c>
      <c r="M58" s="29" t="n">
        <v>7.998535018400691</v>
      </c>
      <c r="N58" s="29" t="n">
        <v>5.096986319838527</v>
      </c>
      <c r="O58" s="29" t="n">
        <v>5.977231094257916</v>
      </c>
      <c r="P58" s="29" t="n">
        <v>4.998394134929521</v>
      </c>
      <c r="Q58" s="29" t="n">
        <v>8.219284229162078</v>
      </c>
      <c r="R58" s="29" t="n">
        <v>5.92122106290682</v>
      </c>
      <c r="S58" s="29" t="n">
        <v>13.98553779341637</v>
      </c>
      <c r="T58" s="29" t="n">
        <v>4.818195329755127</v>
      </c>
      <c r="U58" s="29" t="n">
        <v>5.773579395691786</v>
      </c>
      <c r="V58" s="29" t="n">
        <v>0.5876174592739905</v>
      </c>
      <c r="W58" s="29" t="n">
        <v>43.24221966707507</v>
      </c>
      <c r="X58" s="29" t="n">
        <v>38.14977253249019</v>
      </c>
      <c r="Y58" s="29" t="n">
        <v>1.779169629929923</v>
      </c>
      <c r="Z58" s="29" t="n">
        <v>19.1750154001706</v>
      </c>
      <c r="AA58" s="29" t="n">
        <v>6.172231868890017</v>
      </c>
      <c r="AB58" s="29" t="n">
        <v>19.90979939747386</v>
      </c>
      <c r="AC58" s="29" t="n">
        <v>14.14501648641155</v>
      </c>
      <c r="AD58" s="29" t="n">
        <v>1.883482920761152</v>
      </c>
      <c r="AE58" s="29" t="n">
        <v>7.669532288933866</v>
      </c>
      <c r="AF58" s="29" t="n">
        <v>47.76549410369712</v>
      </c>
      <c r="AG58" s="29" t="n">
        <v>28.23752688326716</v>
      </c>
      <c r="AH58" s="29" t="n">
        <v>36.5727153331153</v>
      </c>
      <c r="AI58" s="29" t="n">
        <v>50.90843560344118</v>
      </c>
      <c r="AJ58" s="29" t="n">
        <v>19.90916536236874</v>
      </c>
      <c r="AK58" s="29" t="n">
        <v>6.169879331976515</v>
      </c>
      <c r="AL58" s="29" t="n">
        <v>5.839381963956874</v>
      </c>
      <c r="AM58" s="29" t="n">
        <v>7.316818205432306</v>
      </c>
      <c r="AN58" s="29" t="n">
        <v>66.33359477900353</v>
      </c>
      <c r="AO58" s="29" t="n">
        <v>9.159970866421068</v>
      </c>
      <c r="AP58" s="29" t="n">
        <v>272.9433576106492</v>
      </c>
      <c r="AQ58" s="29" t="n">
        <v>42.54734159200883</v>
      </c>
      <c r="AR58" s="29" t="n">
        <v>411.3928873538209</v>
      </c>
      <c r="AS58" s="29" t="n">
        <v>40.12537796441041</v>
      </c>
      <c r="AT58" s="29" t="n">
        <v>16.26955624544662</v>
      </c>
      <c r="AU58" s="29" t="n">
        <v>2.24456678265604</v>
      </c>
      <c r="AV58" s="29" t="n">
        <v>112.3681614203821</v>
      </c>
      <c r="AW58" s="29" t="n">
        <v>11.04517200088141</v>
      </c>
      <c r="AX58" s="29" t="n">
        <v>8.823142958744631</v>
      </c>
      <c r="AY58" s="29" t="n">
        <v>4.156015755901456</v>
      </c>
      <c r="AZ58" s="29" t="n">
        <v>27.62987116554002</v>
      </c>
      <c r="BA58" s="29" t="n">
        <v>35.23880477038088</v>
      </c>
      <c r="BB58" s="29" t="n">
        <v>92.56421821112313</v>
      </c>
      <c r="BC58" s="29" t="n">
        <v>452.182205131326</v>
      </c>
      <c r="BD58" s="29" t="n">
        <v>8.861287690765911</v>
      </c>
      <c r="BE58" s="29" t="n">
        <v>118.7355538581871</v>
      </c>
      <c r="BF58" s="29" t="n">
        <v>57.96357928234971</v>
      </c>
      <c r="BG58" s="29" t="n">
        <v>87.35487358470505</v>
      </c>
      <c r="BH58" s="29" t="n">
        <v>13.484502801918</v>
      </c>
      <c r="BI58" s="29" t="n">
        <v>60.06976777235452</v>
      </c>
      <c r="BJ58" s="29" t="n">
        <v>4.454280144278049</v>
      </c>
      <c r="BK58" s="29" t="n">
        <v>195.9404069548189</v>
      </c>
      <c r="BL58" s="29" t="n">
        <v>56.35592940674077</v>
      </c>
      <c r="BM58" s="29" t="n">
        <v>289.9372192890157</v>
      </c>
      <c r="BN58" s="29" t="n">
        <v>69.96468754448293</v>
      </c>
      <c r="BO58" s="29" t="n">
        <v>0.09721197084368569</v>
      </c>
      <c r="BP58" s="29" t="n">
        <v>14.83951657390709</v>
      </c>
      <c r="BQ58" s="29" t="n">
        <v>1572.190283023346</v>
      </c>
      <c r="BR58" s="29" t="n">
        <v>0</v>
      </c>
      <c r="BS58" s="29">
        <f>SUM(C58:BR58)</f>
        <v/>
      </c>
      <c r="BT58" s="29" t="n">
        <v>0</v>
      </c>
      <c r="BU58" s="29" t="n">
        <v>0</v>
      </c>
      <c r="BV58" s="29" t="n">
        <v>0</v>
      </c>
      <c r="BW58" s="29" t="n">
        <v>0</v>
      </c>
      <c r="BX58" s="29">
        <f>SUM(BT58:BW58)</f>
        <v/>
      </c>
      <c r="BY58" s="29">
        <f>BS58+BX58</f>
        <v/>
      </c>
    </row>
    <row r="59">
      <c r="A59" s="30" t="inlineStr">
        <is>
          <t>5280</t>
        </is>
      </c>
      <c r="B59" s="30" t="inlineStr">
        <is>
          <t>Armazenamento, atividades auxiliares dos transportes e correio</t>
        </is>
      </c>
      <c r="C59" s="31" t="n">
        <v>56.13615188085036</v>
      </c>
      <c r="D59" s="31" t="n">
        <v>4.100581087293877</v>
      </c>
      <c r="E59" s="31" t="n">
        <v>10.87862503064859</v>
      </c>
      <c r="F59" s="31" t="n">
        <v>2.956738250718888</v>
      </c>
      <c r="G59" s="31" t="n">
        <v>338.4663281498439</v>
      </c>
      <c r="H59" s="31" t="n">
        <v>223.8545965439257</v>
      </c>
      <c r="I59" s="31" t="n">
        <v>44.62983326602867</v>
      </c>
      <c r="J59" s="31" t="n">
        <v>220.1497426932027</v>
      </c>
      <c r="K59" s="31" t="n">
        <v>188.4154278615011</v>
      </c>
      <c r="L59" s="31" t="n">
        <v>238.1054153713388</v>
      </c>
      <c r="M59" s="31" t="n">
        <v>171.3943730243682</v>
      </c>
      <c r="N59" s="31" t="n">
        <v>3.039511947418128</v>
      </c>
      <c r="O59" s="31" t="n">
        <v>15.99414161676523</v>
      </c>
      <c r="P59" s="31" t="n">
        <v>7.237389055151957</v>
      </c>
      <c r="Q59" s="31" t="n">
        <v>12.50217248891464</v>
      </c>
      <c r="R59" s="31" t="n">
        <v>18.95724940442557</v>
      </c>
      <c r="S59" s="31" t="n">
        <v>110.1486740579579</v>
      </c>
      <c r="T59" s="31" t="n">
        <v>18.64957061921242</v>
      </c>
      <c r="U59" s="31" t="n">
        <v>52.02871913245793</v>
      </c>
      <c r="V59" s="31" t="n">
        <v>43.2571548896893</v>
      </c>
      <c r="W59" s="31" t="n">
        <v>103.3593088917388</v>
      </c>
      <c r="X59" s="31" t="n">
        <v>51.87811742327348</v>
      </c>
      <c r="Y59" s="31" t="n">
        <v>29.58474801912693</v>
      </c>
      <c r="Z59" s="31" t="n">
        <v>46.6462697944915</v>
      </c>
      <c r="AA59" s="31" t="n">
        <v>20.68276002251851</v>
      </c>
      <c r="AB59" s="31" t="n">
        <v>28.48199589713066</v>
      </c>
      <c r="AC59" s="31" t="n">
        <v>221.1244288229261</v>
      </c>
      <c r="AD59" s="31" t="n">
        <v>9.940034692968</v>
      </c>
      <c r="AE59" s="31" t="n">
        <v>74.80926913818517</v>
      </c>
      <c r="AF59" s="31" t="n">
        <v>63.73837714840901</v>
      </c>
      <c r="AG59" s="31" t="n">
        <v>77.4507268284717</v>
      </c>
      <c r="AH59" s="31" t="n">
        <v>39.59826499425358</v>
      </c>
      <c r="AI59" s="31" t="n">
        <v>361.2039958395584</v>
      </c>
      <c r="AJ59" s="31" t="n">
        <v>68.01478189267954</v>
      </c>
      <c r="AK59" s="31" t="n">
        <v>34.25491056133423</v>
      </c>
      <c r="AL59" s="31" t="n">
        <v>22.88292359897776</v>
      </c>
      <c r="AM59" s="31" t="n">
        <v>10.21549061126199</v>
      </c>
      <c r="AN59" s="31" t="n">
        <v>31.50257554329739</v>
      </c>
      <c r="AO59" s="31" t="n">
        <v>1.704650175687147</v>
      </c>
      <c r="AP59" s="31" t="n">
        <v>55.74936401846534</v>
      </c>
      <c r="AQ59" s="31" t="n">
        <v>62.8611946990159</v>
      </c>
      <c r="AR59" s="31" t="n">
        <v>871.9425221223239</v>
      </c>
      <c r="AS59" s="31" t="n">
        <v>626.1805522774357</v>
      </c>
      <c r="AT59" s="31" t="n">
        <v>285.0002755046227</v>
      </c>
      <c r="AU59" s="31" t="n">
        <v>323.1684947789673</v>
      </c>
      <c r="AV59" s="31" t="n">
        <v>289.6919747881908</v>
      </c>
      <c r="AW59" s="31" t="n">
        <v>3.816932036098295</v>
      </c>
      <c r="AX59" s="31" t="n">
        <v>15.63654706804955</v>
      </c>
      <c r="AY59" s="31" t="n">
        <v>7.658774395727847</v>
      </c>
      <c r="AZ59" s="31" t="n">
        <v>6.655954966189169</v>
      </c>
      <c r="BA59" s="31" t="n">
        <v>50.6000447921373</v>
      </c>
      <c r="BB59" s="31" t="n">
        <v>8.910187940884564</v>
      </c>
      <c r="BC59" s="31" t="n">
        <v>347.6457284411372</v>
      </c>
      <c r="BD59" s="31" t="n">
        <v>10.93838990146627</v>
      </c>
      <c r="BE59" s="31" t="n">
        <v>31.86898865735013</v>
      </c>
      <c r="BF59" s="31" t="n">
        <v>18.96467498770585</v>
      </c>
      <c r="BG59" s="31" t="n">
        <v>19.67953855094234</v>
      </c>
      <c r="BH59" s="31" t="n">
        <v>13.41978323409357</v>
      </c>
      <c r="BI59" s="31" t="n">
        <v>55.83992749632166</v>
      </c>
      <c r="BJ59" s="31" t="n">
        <v>5.419821210707179</v>
      </c>
      <c r="BK59" s="31" t="n">
        <v>267.4707675611867</v>
      </c>
      <c r="BL59" s="31" t="n">
        <v>20.64921125795434</v>
      </c>
      <c r="BM59" s="31" t="n">
        <v>24.24021069798029</v>
      </c>
      <c r="BN59" s="31" t="n">
        <v>26.10407116290408</v>
      </c>
      <c r="BO59" s="31" t="n">
        <v>14.41725411038161</v>
      </c>
      <c r="BP59" s="31" t="n">
        <v>4.286612450365021</v>
      </c>
      <c r="BQ59" s="31" t="n">
        <v>126.0238967476146</v>
      </c>
      <c r="BR59" s="31" t="n">
        <v>0</v>
      </c>
      <c r="BS59" s="31">
        <f>SUM(C59:BR59)</f>
        <v/>
      </c>
      <c r="BT59" s="31" t="n">
        <v>0</v>
      </c>
      <c r="BU59" s="31" t="n">
        <v>0</v>
      </c>
      <c r="BV59" s="31" t="n">
        <v>0</v>
      </c>
      <c r="BW59" s="31" t="n">
        <v>0</v>
      </c>
      <c r="BX59" s="31">
        <f>SUM(BT59:BW59)</f>
        <v/>
      </c>
      <c r="BY59" s="31">
        <f>BS59+BX59</f>
        <v/>
      </c>
    </row>
    <row r="60">
      <c r="A60" s="28" t="inlineStr">
        <is>
          <t>5500</t>
        </is>
      </c>
      <c r="B60" s="28" t="inlineStr">
        <is>
          <t>Alojamento</t>
        </is>
      </c>
      <c r="C60" s="29" t="n">
        <v>1.687118675611119</v>
      </c>
      <c r="D60" s="29" t="n">
        <v>0.419700892473969</v>
      </c>
      <c r="E60" s="29" t="n">
        <v>1.692225321087082</v>
      </c>
      <c r="F60" s="29" t="n">
        <v>4.184819060519873</v>
      </c>
      <c r="G60" s="29" t="n">
        <v>66.36201208075286</v>
      </c>
      <c r="H60" s="29" t="n">
        <v>26.97861261832526</v>
      </c>
      <c r="I60" s="29" t="n">
        <v>4.610819291425587</v>
      </c>
      <c r="J60" s="29" t="n">
        <v>80.33875424555004</v>
      </c>
      <c r="K60" s="29" t="n">
        <v>13.06003427437369</v>
      </c>
      <c r="L60" s="29" t="n">
        <v>81.1457825755534</v>
      </c>
      <c r="M60" s="29" t="n">
        <v>19.24677565625613</v>
      </c>
      <c r="N60" s="29" t="n">
        <v>12.81915578503687</v>
      </c>
      <c r="O60" s="29" t="n">
        <v>11.85536717163638</v>
      </c>
      <c r="P60" s="29" t="n">
        <v>7.259341421948187</v>
      </c>
      <c r="Q60" s="29" t="n">
        <v>10.29523587116121</v>
      </c>
      <c r="R60" s="29" t="n">
        <v>2.684432964740743</v>
      </c>
      <c r="S60" s="29" t="n">
        <v>25.53950000658931</v>
      </c>
      <c r="T60" s="29" t="n">
        <v>4.977421089368815</v>
      </c>
      <c r="U60" s="29" t="n">
        <v>10.06358641339638</v>
      </c>
      <c r="V60" s="29" t="n">
        <v>3.874629410529134</v>
      </c>
      <c r="W60" s="29" t="n">
        <v>46.74923471302392</v>
      </c>
      <c r="X60" s="29" t="n">
        <v>48.11735053417343</v>
      </c>
      <c r="Y60" s="29" t="n">
        <v>13.02540362638362</v>
      </c>
      <c r="Z60" s="29" t="n">
        <v>66.19573356613159</v>
      </c>
      <c r="AA60" s="29" t="n">
        <v>35.85529563603319</v>
      </c>
      <c r="AB60" s="29" t="n">
        <v>28.3203015169826</v>
      </c>
      <c r="AC60" s="29" t="n">
        <v>61.73089440028949</v>
      </c>
      <c r="AD60" s="29" t="n">
        <v>9.18432273847813</v>
      </c>
      <c r="AE60" s="29" t="n">
        <v>59.24270181405176</v>
      </c>
      <c r="AF60" s="29" t="n">
        <v>52.74686201278607</v>
      </c>
      <c r="AG60" s="29" t="n">
        <v>46.92410785324856</v>
      </c>
      <c r="AH60" s="29" t="n">
        <v>123.7123116339049</v>
      </c>
      <c r="AI60" s="29" t="n">
        <v>69.16927344598557</v>
      </c>
      <c r="AJ60" s="29" t="n">
        <v>40.14412973144937</v>
      </c>
      <c r="AK60" s="29" t="n">
        <v>20.94046802840823</v>
      </c>
      <c r="AL60" s="29" t="n">
        <v>36.49485432387658</v>
      </c>
      <c r="AM60" s="29" t="n">
        <v>15.643603092376</v>
      </c>
      <c r="AN60" s="29" t="n">
        <v>58.39994000373743</v>
      </c>
      <c r="AO60" s="29" t="n">
        <v>6.342581526910875</v>
      </c>
      <c r="AP60" s="29" t="n">
        <v>548.663369900304</v>
      </c>
      <c r="AQ60" s="29" t="n">
        <v>155.7941984255974</v>
      </c>
      <c r="AR60" s="29" t="n">
        <v>818.637837142555</v>
      </c>
      <c r="AS60" s="29" t="n">
        <v>74.06063766132428</v>
      </c>
      <c r="AT60" s="29" t="n">
        <v>2.117211956627418</v>
      </c>
      <c r="AU60" s="29" t="n">
        <v>30.45935028728657</v>
      </c>
      <c r="AV60" s="29" t="n">
        <v>64.78935890466332</v>
      </c>
      <c r="AW60" s="29" t="n">
        <v>0.03456912176398329</v>
      </c>
      <c r="AX60" s="29" t="n">
        <v>10.72304286767805</v>
      </c>
      <c r="AY60" s="29" t="n">
        <v>44.85741467521285</v>
      </c>
      <c r="AZ60" s="29" t="n">
        <v>55.56486955275212</v>
      </c>
      <c r="BA60" s="29" t="n">
        <v>39.84212656600349</v>
      </c>
      <c r="BB60" s="29" t="n">
        <v>146.8920901639964</v>
      </c>
      <c r="BC60" s="29" t="n">
        <v>382.9898396823031</v>
      </c>
      <c r="BD60" s="29" t="n">
        <v>18.67350471945966</v>
      </c>
      <c r="BE60" s="29" t="n">
        <v>93.22921390131619</v>
      </c>
      <c r="BF60" s="29" t="n">
        <v>110.7932331604496</v>
      </c>
      <c r="BG60" s="29" t="n">
        <v>45.51754865583202</v>
      </c>
      <c r="BH60" s="29" t="n">
        <v>49.94688736551674</v>
      </c>
      <c r="BI60" s="29" t="n">
        <v>54.63093691053031</v>
      </c>
      <c r="BJ60" s="29" t="n">
        <v>16.87489331510609</v>
      </c>
      <c r="BK60" s="29" t="n">
        <v>844.3608603187334</v>
      </c>
      <c r="BL60" s="29" t="n">
        <v>138.3366666192726</v>
      </c>
      <c r="BM60" s="29" t="n">
        <v>107.9654239537006</v>
      </c>
      <c r="BN60" s="29" t="n">
        <v>141.2906042697061</v>
      </c>
      <c r="BO60" s="29" t="n">
        <v>0.05079544422462856</v>
      </c>
      <c r="BP60" s="29" t="n">
        <v>51.27633187750313</v>
      </c>
      <c r="BQ60" s="29" t="n">
        <v>3161.059900435901</v>
      </c>
      <c r="BR60" s="29" t="n">
        <v>0</v>
      </c>
      <c r="BS60" s="29">
        <f>SUM(C60:BR60)</f>
        <v/>
      </c>
      <c r="BT60" s="29" t="n">
        <v>0</v>
      </c>
      <c r="BU60" s="29" t="n">
        <v>0</v>
      </c>
      <c r="BV60" s="29" t="n">
        <v>0</v>
      </c>
      <c r="BW60" s="29" t="n">
        <v>0</v>
      </c>
      <c r="BX60" s="29">
        <f>SUM(BT60:BW60)</f>
        <v/>
      </c>
      <c r="BY60" s="29">
        <f>BS60+BX60</f>
        <v/>
      </c>
    </row>
    <row r="61">
      <c r="A61" s="30" t="inlineStr">
        <is>
          <t>5600</t>
        </is>
      </c>
      <c r="B61" s="30" t="inlineStr">
        <is>
          <t>Alimentação</t>
        </is>
      </c>
      <c r="C61" s="31" t="n">
        <v>2.75571453524605</v>
      </c>
      <c r="D61" s="31" t="n">
        <v>0.5044104702863628</v>
      </c>
      <c r="E61" s="31" t="n">
        <v>1.38068128837509</v>
      </c>
      <c r="F61" s="31" t="n">
        <v>2.054735084340543</v>
      </c>
      <c r="G61" s="31" t="n">
        <v>82.70120280932643</v>
      </c>
      <c r="H61" s="31" t="n">
        <v>9.458891736659606</v>
      </c>
      <c r="I61" s="31" t="n">
        <v>1.96128614142531</v>
      </c>
      <c r="J61" s="31" t="n">
        <v>-5.092339226323332</v>
      </c>
      <c r="K61" s="31" t="n">
        <v>2.813914318295212</v>
      </c>
      <c r="L61" s="31" t="n">
        <v>10.4268847185418</v>
      </c>
      <c r="M61" s="31" t="n">
        <v>2.841670757447814</v>
      </c>
      <c r="N61" s="31" t="n">
        <v>0.03977302438034518</v>
      </c>
      <c r="O61" s="31" t="n">
        <v>0.2394124124840187</v>
      </c>
      <c r="P61" s="31" t="n">
        <v>-0.02231654061210869</v>
      </c>
      <c r="Q61" s="31" t="n">
        <v>-0.8100535673340444</v>
      </c>
      <c r="R61" s="31" t="n">
        <v>0.4732778894940163</v>
      </c>
      <c r="S61" s="31" t="n">
        <v>2.969753810206007</v>
      </c>
      <c r="T61" s="31" t="n">
        <v>2.414671796376696</v>
      </c>
      <c r="U61" s="31" t="n">
        <v>2.483893359658281</v>
      </c>
      <c r="V61" s="31" t="n">
        <v>0.06418985355193819</v>
      </c>
      <c r="W61" s="31" t="n">
        <v>9.169619323255439</v>
      </c>
      <c r="X61" s="31" t="n">
        <v>11.75798783806691</v>
      </c>
      <c r="Y61" s="31" t="n">
        <v>0.6527147656806213</v>
      </c>
      <c r="Z61" s="31" t="n">
        <v>19.94008949647287</v>
      </c>
      <c r="AA61" s="31" t="n">
        <v>2.793998461215181</v>
      </c>
      <c r="AB61" s="31" t="n">
        <v>1.052385587269627</v>
      </c>
      <c r="AC61" s="31" t="n">
        <v>3.970530510603427</v>
      </c>
      <c r="AD61" s="31" t="n">
        <v>4.988034681746235</v>
      </c>
      <c r="AE61" s="31" t="n">
        <v>5.597335696440887</v>
      </c>
      <c r="AF61" s="31" t="n">
        <v>3.001359342449094</v>
      </c>
      <c r="AG61" s="31" t="n">
        <v>0.1848282280092407</v>
      </c>
      <c r="AH61" s="31" t="n">
        <v>10.15893399160532</v>
      </c>
      <c r="AI61" s="31" t="n">
        <v>51.82830508299131</v>
      </c>
      <c r="AJ61" s="31" t="n">
        <v>5.639719555218865</v>
      </c>
      <c r="AK61" s="31" t="n">
        <v>4.483299455239858</v>
      </c>
      <c r="AL61" s="31" t="n">
        <v>0.8706046888663451</v>
      </c>
      <c r="AM61" s="31" t="n">
        <v>6.693224027077143</v>
      </c>
      <c r="AN61" s="31" t="n">
        <v>21.9600839345581</v>
      </c>
      <c r="AO61" s="31" t="n">
        <v>12.11517228551815</v>
      </c>
      <c r="AP61" s="31" t="n">
        <v>38.91533473986772</v>
      </c>
      <c r="AQ61" s="31" t="n">
        <v>22.21844331382</v>
      </c>
      <c r="AR61" s="31" t="n">
        <v>78.30169750917949</v>
      </c>
      <c r="AS61" s="31" t="n">
        <v>31.13217425676867</v>
      </c>
      <c r="AT61" s="31" t="n">
        <v>7.981928036089606</v>
      </c>
      <c r="AU61" s="31" t="n">
        <v>120.5917736958709</v>
      </c>
      <c r="AV61" s="31" t="n">
        <v>14.43627866808789</v>
      </c>
      <c r="AW61" s="31" t="n">
        <v>19.5557723911462</v>
      </c>
      <c r="AX61" s="31" t="n">
        <v>7.152372252950951</v>
      </c>
      <c r="AY61" s="31" t="n">
        <v>4.52059658422871</v>
      </c>
      <c r="AZ61" s="31" t="n">
        <v>40.78149130053171</v>
      </c>
      <c r="BA61" s="31" t="n">
        <v>41.61889401248483</v>
      </c>
      <c r="BB61" s="31" t="n">
        <v>12.61515745163243</v>
      </c>
      <c r="BC61" s="31" t="n">
        <v>338.595690729631</v>
      </c>
      <c r="BD61" s="31" t="n">
        <v>7.292160366194849</v>
      </c>
      <c r="BE61" s="31" t="n">
        <v>100.1110447258825</v>
      </c>
      <c r="BF61" s="31" t="n">
        <v>8.91789698076483</v>
      </c>
      <c r="BG61" s="31" t="n">
        <v>20.85161034406305</v>
      </c>
      <c r="BH61" s="31" t="n">
        <v>11.51332306337962</v>
      </c>
      <c r="BI61" s="31" t="n">
        <v>109.3025698677675</v>
      </c>
      <c r="BJ61" s="31" t="n">
        <v>2.94043326714465</v>
      </c>
      <c r="BK61" s="31" t="n">
        <v>1078.937645003458</v>
      </c>
      <c r="BL61" s="31" t="n">
        <v>221.9024059999662</v>
      </c>
      <c r="BM61" s="31" t="n">
        <v>30.20430964496187</v>
      </c>
      <c r="BN61" s="31" t="n">
        <v>471.7773419606988</v>
      </c>
      <c r="BO61" s="31" t="n">
        <v>268.9480525305789</v>
      </c>
      <c r="BP61" s="31" t="n">
        <v>7.291736283748227</v>
      </c>
      <c r="BQ61" s="31" t="n">
        <v>946.4018811142676</v>
      </c>
      <c r="BR61" s="31" t="n">
        <v>0</v>
      </c>
      <c r="BS61" s="31">
        <f>SUM(C61:BR61)</f>
        <v/>
      </c>
      <c r="BT61" s="31" t="n">
        <v>0</v>
      </c>
      <c r="BU61" s="31" t="n">
        <v>0</v>
      </c>
      <c r="BV61" s="31" t="n">
        <v>0</v>
      </c>
      <c r="BW61" s="31" t="n">
        <v>0</v>
      </c>
      <c r="BX61" s="31">
        <f>SUM(BT61:BW61)</f>
        <v/>
      </c>
      <c r="BY61" s="31">
        <f>BS61+BX61</f>
        <v/>
      </c>
    </row>
    <row r="62">
      <c r="A62" s="28" t="inlineStr">
        <is>
          <t>5800</t>
        </is>
      </c>
      <c r="B62" s="28" t="inlineStr">
        <is>
          <t>Edição e edição integrada à impressão</t>
        </is>
      </c>
      <c r="C62" s="29" t="n">
        <v>0.113396481070861</v>
      </c>
      <c r="D62" s="29" t="n">
        <v>0.003432196601056148</v>
      </c>
      <c r="E62" s="29" t="n">
        <v>0.09244203562831552</v>
      </c>
      <c r="F62" s="29" t="n">
        <v>-0.009873600954572547</v>
      </c>
      <c r="G62" s="29" t="n">
        <v>0.1126903225336133</v>
      </c>
      <c r="H62" s="29" t="n">
        <v>0.3207989423445917</v>
      </c>
      <c r="I62" s="29" t="n">
        <v>0.0814436761234953</v>
      </c>
      <c r="J62" s="29" t="n">
        <v>-0.4355057503510239</v>
      </c>
      <c r="K62" s="29" t="n">
        <v>0.3009766323802097</v>
      </c>
      <c r="L62" s="29" t="n">
        <v>0.5613988660198262</v>
      </c>
      <c r="M62" s="29" t="n">
        <v>6.103533796688543</v>
      </c>
      <c r="N62" s="29" t="n">
        <v>-0.06651605797242434</v>
      </c>
      <c r="O62" s="29" t="n">
        <v>0.1237167942004456</v>
      </c>
      <c r="P62" s="29" t="n">
        <v>0.07252454308086542</v>
      </c>
      <c r="Q62" s="29" t="n">
        <v>-0.1277065675501743</v>
      </c>
      <c r="R62" s="29" t="n">
        <v>0.2758053679761954</v>
      </c>
      <c r="S62" s="29" t="n">
        <v>2.932824382537406</v>
      </c>
      <c r="T62" s="29" t="n">
        <v>43.70077581929004</v>
      </c>
      <c r="U62" s="29" t="n">
        <v>-0.006175184437987369</v>
      </c>
      <c r="V62" s="29" t="n">
        <v>0.05342330681767674</v>
      </c>
      <c r="W62" s="29" t="n">
        <v>53.17732292790598</v>
      </c>
      <c r="X62" s="29" t="n">
        <v>0.08195009838166803</v>
      </c>
      <c r="Y62" s="29" t="n">
        <v>-0.00507820301516897</v>
      </c>
      <c r="Z62" s="29" t="n">
        <v>-0.1329522468824453</v>
      </c>
      <c r="AA62" s="29" t="n">
        <v>0.1689852398614644</v>
      </c>
      <c r="AB62" s="29" t="n">
        <v>-0.01152856579944448</v>
      </c>
      <c r="AC62" s="29" t="n">
        <v>-0.02451512615565041</v>
      </c>
      <c r="AD62" s="29" t="n">
        <v>-0.08755764527841486</v>
      </c>
      <c r="AE62" s="29" t="n">
        <v>0.1498641063659939</v>
      </c>
      <c r="AF62" s="29" t="n">
        <v>4.281752130639573</v>
      </c>
      <c r="AG62" s="29" t="n">
        <v>0.03546267118557156</v>
      </c>
      <c r="AH62" s="29" t="n">
        <v>-0.1765268747621605</v>
      </c>
      <c r="AI62" s="29" t="n">
        <v>0.9033281324748125</v>
      </c>
      <c r="AJ62" s="29" t="n">
        <v>1.573757258350938</v>
      </c>
      <c r="AK62" s="29" t="n">
        <v>0.1367998456927856</v>
      </c>
      <c r="AL62" s="29" t="n">
        <v>0.5164239507014246</v>
      </c>
      <c r="AM62" s="29" t="n">
        <v>3.766131237087501</v>
      </c>
      <c r="AN62" s="29" t="n">
        <v>31.34391163629279</v>
      </c>
      <c r="AO62" s="29" t="n">
        <v>1.972061788214472</v>
      </c>
      <c r="AP62" s="29" t="n">
        <v>1.261332581988774</v>
      </c>
      <c r="AQ62" s="29" t="n">
        <v>3.299324028206475</v>
      </c>
      <c r="AR62" s="29" t="n">
        <v>234.484890922833</v>
      </c>
      <c r="AS62" s="29" t="n">
        <v>1.552329628579496</v>
      </c>
      <c r="AT62" s="29" t="n">
        <v>0.02555628437555325</v>
      </c>
      <c r="AU62" s="29" t="n">
        <v>1.217589543374495</v>
      </c>
      <c r="AV62" s="29" t="n">
        <v>1.202042477159309</v>
      </c>
      <c r="AW62" s="29" t="n">
        <v>22.0167798105022</v>
      </c>
      <c r="AX62" s="29" t="n">
        <v>1.572510667323202</v>
      </c>
      <c r="AY62" s="29" t="n">
        <v>89.26717700605975</v>
      </c>
      <c r="AZ62" s="29" t="n">
        <v>12.15442116081952</v>
      </c>
      <c r="BA62" s="29" t="n">
        <v>80.89091668498976</v>
      </c>
      <c r="BB62" s="29" t="n">
        <v>27.91049623192558</v>
      </c>
      <c r="BC62" s="29" t="n">
        <v>832.2356161192832</v>
      </c>
      <c r="BD62" s="29" t="n">
        <v>22.3301550036621</v>
      </c>
      <c r="BE62" s="29" t="n">
        <v>101.2407907507819</v>
      </c>
      <c r="BF62" s="29" t="n">
        <v>67.60720458416213</v>
      </c>
      <c r="BG62" s="29" t="n">
        <v>1185.756690447658</v>
      </c>
      <c r="BH62" s="29" t="n">
        <v>8.946663388828808</v>
      </c>
      <c r="BI62" s="29" t="n">
        <v>45.68674823380471</v>
      </c>
      <c r="BJ62" s="29" t="n">
        <v>0.04279538984737761</v>
      </c>
      <c r="BK62" s="29" t="n">
        <v>487.8151173199081</v>
      </c>
      <c r="BL62" s="29" t="n">
        <v>1088.41380131802</v>
      </c>
      <c r="BM62" s="29" t="n">
        <v>598.5439942209543</v>
      </c>
      <c r="BN62" s="29" t="n">
        <v>23.37412238190921</v>
      </c>
      <c r="BO62" s="29" t="n">
        <v>44.69413225614815</v>
      </c>
      <c r="BP62" s="29" t="n">
        <v>10.17238562668866</v>
      </c>
      <c r="BQ62" s="29" t="n">
        <v>90.22146765446712</v>
      </c>
      <c r="BR62" s="29" t="n">
        <v>0</v>
      </c>
      <c r="BS62" s="29">
        <f>SUM(C62:BR62)</f>
        <v/>
      </c>
      <c r="BT62" s="29" t="n">
        <v>0</v>
      </c>
      <c r="BU62" s="29" t="n">
        <v>0</v>
      </c>
      <c r="BV62" s="29" t="n">
        <v>0</v>
      </c>
      <c r="BW62" s="29" t="n">
        <v>0</v>
      </c>
      <c r="BX62" s="29">
        <f>SUM(BT62:BW62)</f>
        <v/>
      </c>
      <c r="BY62" s="29">
        <f>BS62+BX62</f>
        <v/>
      </c>
    </row>
    <row r="63">
      <c r="A63" s="30" t="inlineStr">
        <is>
          <t>5980</t>
        </is>
      </c>
      <c r="B63" s="30" t="inlineStr">
        <is>
          <t>Atividades de televisão, rádio, cinema e  gravação/edição de som e imagem</t>
        </is>
      </c>
      <c r="C63" s="31" t="n">
        <v>-0.004084886762289925</v>
      </c>
      <c r="D63" s="31" t="n">
        <v>-0.002731892538451183</v>
      </c>
      <c r="E63" s="31" t="n">
        <v>3.626572708317891e-05</v>
      </c>
      <c r="F63" s="31" t="n">
        <v>-0.03697121358679892</v>
      </c>
      <c r="G63" s="31" t="n">
        <v>-0.04297978525540062</v>
      </c>
      <c r="H63" s="31" t="n">
        <v>-0.07541976103315035</v>
      </c>
      <c r="I63" s="31" t="n">
        <v>-0.03427558677543092</v>
      </c>
      <c r="J63" s="31" t="n">
        <v>-5.154769899713531</v>
      </c>
      <c r="K63" s="31" t="n">
        <v>-0.3879486630472354</v>
      </c>
      <c r="L63" s="31" t="n">
        <v>-3.476631104948467</v>
      </c>
      <c r="M63" s="31" t="n">
        <v>-0.1714349228768568</v>
      </c>
      <c r="N63" s="31" t="n">
        <v>-0.2375184256151592</v>
      </c>
      <c r="O63" s="31" t="n">
        <v>-0.6800375887954067</v>
      </c>
      <c r="P63" s="31" t="n">
        <v>-0.6346168375036717</v>
      </c>
      <c r="Q63" s="31" t="n">
        <v>-0.9103602346990772</v>
      </c>
      <c r="R63" s="31" t="n">
        <v>-0.2237864314687369</v>
      </c>
      <c r="S63" s="31" t="n">
        <v>-1.580547863516865</v>
      </c>
      <c r="T63" s="31" t="n">
        <v>-0.08078511056511266</v>
      </c>
      <c r="U63" s="31" t="n">
        <v>-0.4156198840662695</v>
      </c>
      <c r="V63" s="31" t="n">
        <v>-0.2893363099371011</v>
      </c>
      <c r="W63" s="31" t="n">
        <v>-0.8496317198564278</v>
      </c>
      <c r="X63" s="31" t="n">
        <v>-1.109544090867289</v>
      </c>
      <c r="Y63" s="31" t="n">
        <v>-0.07355904663014709</v>
      </c>
      <c r="Z63" s="31" t="n">
        <v>-1.201059900496326</v>
      </c>
      <c r="AA63" s="31" t="n">
        <v>-1.453176317575201</v>
      </c>
      <c r="AB63" s="31" t="n">
        <v>-1.044533818172469</v>
      </c>
      <c r="AC63" s="31" t="n">
        <v>-1.391789038141447</v>
      </c>
      <c r="AD63" s="31" t="n">
        <v>-0.4395481523212266</v>
      </c>
      <c r="AE63" s="31" t="n">
        <v>-1.350753661064978</v>
      </c>
      <c r="AF63" s="31" t="n">
        <v>-0.7890689911947295</v>
      </c>
      <c r="AG63" s="31" t="n">
        <v>-1.048991723841901</v>
      </c>
      <c r="AH63" s="31" t="n">
        <v>-2.574710046318016</v>
      </c>
      <c r="AI63" s="31" t="n">
        <v>-0.1655255874386468</v>
      </c>
      <c r="AJ63" s="31" t="n">
        <v>-0.03741238381540345</v>
      </c>
      <c r="AK63" s="31" t="n">
        <v>-0.1700560245622443</v>
      </c>
      <c r="AL63" s="31" t="n">
        <v>-0.5924823262929454</v>
      </c>
      <c r="AM63" s="31" t="n">
        <v>-0.006661354756098914</v>
      </c>
      <c r="AN63" s="31" t="n">
        <v>0.003652476799091587</v>
      </c>
      <c r="AO63" s="31" t="n">
        <v>-0.008336360390983164</v>
      </c>
      <c r="AP63" s="31" t="n">
        <v>0.005231825650835598</v>
      </c>
      <c r="AQ63" s="31" t="n">
        <v>0.01780647199784083</v>
      </c>
      <c r="AR63" s="31" t="n">
        <v>-4.635133599438214</v>
      </c>
      <c r="AS63" s="31" t="n">
        <v>0.09657598676637351</v>
      </c>
      <c r="AT63" s="31" t="n">
        <v>0.0003004874529749113</v>
      </c>
      <c r="AU63" s="31" t="n">
        <v>0.0005595283607119046</v>
      </c>
      <c r="AV63" s="31" t="n">
        <v>0.009548247859185533</v>
      </c>
      <c r="AW63" s="31" t="n">
        <v>0.3708961938732977</v>
      </c>
      <c r="AX63" s="31" t="n">
        <v>0.01960939671569036</v>
      </c>
      <c r="AY63" s="31" t="n">
        <v>0.5163092218547456</v>
      </c>
      <c r="AZ63" s="31" t="n">
        <v>321.8885381931856</v>
      </c>
      <c r="BA63" s="31" t="n">
        <v>342.1975612639828</v>
      </c>
      <c r="BB63" s="31" t="n">
        <v>-0.1845698263735288</v>
      </c>
      <c r="BC63" s="31" t="n">
        <v>0.1755769424318425</v>
      </c>
      <c r="BD63" s="31" t="n">
        <v>0.008201235138953196</v>
      </c>
      <c r="BE63" s="31" t="n">
        <v>-0.2893510989806754</v>
      </c>
      <c r="BF63" s="31" t="n">
        <v>-0.04411160566948882</v>
      </c>
      <c r="BG63" s="31" t="n">
        <v>2315.856276240152</v>
      </c>
      <c r="BH63" s="31" t="n">
        <v>0.004538396703552105</v>
      </c>
      <c r="BI63" s="31" t="n">
        <v>1.112497744737847</v>
      </c>
      <c r="BJ63" s="31" t="n">
        <v>0.2332374019816099</v>
      </c>
      <c r="BK63" s="31" t="n">
        <v>0.01022175421930174</v>
      </c>
      <c r="BL63" s="31" t="n">
        <v>0.002600770713679406</v>
      </c>
      <c r="BM63" s="31" t="n">
        <v>0.005646667808659686</v>
      </c>
      <c r="BN63" s="31" t="n">
        <v>0.001678585082135714</v>
      </c>
      <c r="BO63" s="31" t="n">
        <v>0.006714340328542855</v>
      </c>
      <c r="BP63" s="31" t="n">
        <v>5.313931969328547</v>
      </c>
      <c r="BQ63" s="31" t="n">
        <v>-0.000753243983347307</v>
      </c>
      <c r="BR63" s="31" t="n">
        <v>0</v>
      </c>
      <c r="BS63" s="31">
        <f>SUM(C63:BR63)</f>
        <v/>
      </c>
      <c r="BT63" s="31" t="n">
        <v>0</v>
      </c>
      <c r="BU63" s="31" t="n">
        <v>0</v>
      </c>
      <c r="BV63" s="31" t="n">
        <v>0</v>
      </c>
      <c r="BW63" s="31" t="n">
        <v>0</v>
      </c>
      <c r="BX63" s="31">
        <f>SUM(BT63:BW63)</f>
        <v/>
      </c>
      <c r="BY63" s="31">
        <f>BS63+BX63</f>
        <v/>
      </c>
    </row>
    <row r="64">
      <c r="A64" s="28" t="inlineStr">
        <is>
          <t>6100</t>
        </is>
      </c>
      <c r="B64" s="28" t="inlineStr">
        <is>
          <t>Telecomunicações</t>
        </is>
      </c>
      <c r="C64" s="29" t="n">
        <v>1.345428395244531</v>
      </c>
      <c r="D64" s="29" t="n">
        <v>0.7688121713006784</v>
      </c>
      <c r="E64" s="29" t="n">
        <v>1.72982839906486</v>
      </c>
      <c r="F64" s="29" t="n">
        <v>7.111507574703642</v>
      </c>
      <c r="G64" s="29" t="n">
        <v>94.17876724656219</v>
      </c>
      <c r="H64" s="29" t="n">
        <v>17.29901754554817</v>
      </c>
      <c r="I64" s="29" t="n">
        <v>4.420652753127211</v>
      </c>
      <c r="J64" s="29" t="n">
        <v>118.5897941976033</v>
      </c>
      <c r="K64" s="29" t="n">
        <v>43.05356523645781</v>
      </c>
      <c r="L64" s="29" t="n">
        <v>209.6918843889068</v>
      </c>
      <c r="M64" s="29" t="n">
        <v>71.4993748694004</v>
      </c>
      <c r="N64" s="29" t="n">
        <v>4.613119203741666</v>
      </c>
      <c r="O64" s="29" t="n">
        <v>49.39643845656725</v>
      </c>
      <c r="P64" s="29" t="n">
        <v>101.675064645847</v>
      </c>
      <c r="Q64" s="29" t="n">
        <v>34.01999543908021</v>
      </c>
      <c r="R64" s="29" t="n">
        <v>15.37618701245107</v>
      </c>
      <c r="S64" s="29" t="n">
        <v>65.15655596174794</v>
      </c>
      <c r="T64" s="29" t="n">
        <v>81.30082183952109</v>
      </c>
      <c r="U64" s="29" t="n">
        <v>39.01708287961092</v>
      </c>
      <c r="V64" s="29" t="n">
        <v>18.25940563679958</v>
      </c>
      <c r="W64" s="29" t="n">
        <v>54.00967410600445</v>
      </c>
      <c r="X64" s="29" t="n">
        <v>49.78039965026712</v>
      </c>
      <c r="Y64" s="29" t="n">
        <v>5.574927820328087</v>
      </c>
      <c r="Z64" s="29" t="n">
        <v>44.4009332720575</v>
      </c>
      <c r="AA64" s="29" t="n">
        <v>67.84818740538083</v>
      </c>
      <c r="AB64" s="29" t="n">
        <v>94.37117728361413</v>
      </c>
      <c r="AC64" s="29" t="n">
        <v>36.51919356889383</v>
      </c>
      <c r="AD64" s="29" t="n">
        <v>11.7251017602911</v>
      </c>
      <c r="AE64" s="29" t="n">
        <v>78.22627088767686</v>
      </c>
      <c r="AF64" s="29" t="n">
        <v>141.0760119935181</v>
      </c>
      <c r="AG64" s="29" t="n">
        <v>94.37191118869794</v>
      </c>
      <c r="AH64" s="29" t="n">
        <v>105.7120741255575</v>
      </c>
      <c r="AI64" s="29" t="n">
        <v>332.5098667018032</v>
      </c>
      <c r="AJ64" s="29" t="n">
        <v>299.2577649729341</v>
      </c>
      <c r="AK64" s="29" t="n">
        <v>45.93640818808283</v>
      </c>
      <c r="AL64" s="29" t="n">
        <v>86.1066114900883</v>
      </c>
      <c r="AM64" s="29" t="n">
        <v>15.95277658997801</v>
      </c>
      <c r="AN64" s="29" t="n">
        <v>67.65805709332263</v>
      </c>
      <c r="AO64" s="29" t="n">
        <v>34.21268731048846</v>
      </c>
      <c r="AP64" s="29" t="n">
        <v>286.7678431421875</v>
      </c>
      <c r="AQ64" s="29" t="n">
        <v>244.8767379333756</v>
      </c>
      <c r="AR64" s="29" t="n">
        <v>1098.718304575174</v>
      </c>
      <c r="AS64" s="29" t="n">
        <v>175.8669103372199</v>
      </c>
      <c r="AT64" s="29" t="n">
        <v>7.303835236679931</v>
      </c>
      <c r="AU64" s="29" t="n">
        <v>15.18423804266365</v>
      </c>
      <c r="AV64" s="29" t="n">
        <v>139.5446739285832</v>
      </c>
      <c r="AW64" s="29" t="n">
        <v>44.78617656111316</v>
      </c>
      <c r="AX64" s="29" t="n">
        <v>119.7559476744194</v>
      </c>
      <c r="AY64" s="29" t="n">
        <v>45.93709397577268</v>
      </c>
      <c r="AZ64" s="29" t="n">
        <v>68.0405927887743</v>
      </c>
      <c r="BA64" s="29" t="n">
        <v>5305.500024672321</v>
      </c>
      <c r="BB64" s="29" t="n">
        <v>236.4107888235488</v>
      </c>
      <c r="BC64" s="29" t="n">
        <v>2054.065685296943</v>
      </c>
      <c r="BD64" s="29" t="n">
        <v>109.176019442909</v>
      </c>
      <c r="BE64" s="29" t="n">
        <v>435.1540992050121</v>
      </c>
      <c r="BF64" s="29" t="n">
        <v>82.08456151191211</v>
      </c>
      <c r="BG64" s="29" t="n">
        <v>370.1801959393429</v>
      </c>
      <c r="BH64" s="29" t="n">
        <v>24.60543701924025</v>
      </c>
      <c r="BI64" s="29" t="n">
        <v>337.3209210232631</v>
      </c>
      <c r="BJ64" s="29" t="n">
        <v>56.31544390677297</v>
      </c>
      <c r="BK64" s="29" t="n">
        <v>883.7436084166789</v>
      </c>
      <c r="BL64" s="29" t="n">
        <v>176.6338371412182</v>
      </c>
      <c r="BM64" s="29" t="n">
        <v>214.699361097091</v>
      </c>
      <c r="BN64" s="29" t="n">
        <v>73.61391440687517</v>
      </c>
      <c r="BO64" s="29" t="n">
        <v>187.0159420555222</v>
      </c>
      <c r="BP64" s="29" t="n">
        <v>47.86919377051242</v>
      </c>
      <c r="BQ64" s="29" t="n">
        <v>353.080489763006</v>
      </c>
      <c r="BR64" s="29" t="n">
        <v>0</v>
      </c>
      <c r="BS64" s="29">
        <f>SUM(C64:BR64)</f>
        <v/>
      </c>
      <c r="BT64" s="29" t="n">
        <v>0</v>
      </c>
      <c r="BU64" s="29" t="n">
        <v>0</v>
      </c>
      <c r="BV64" s="29" t="n">
        <v>0</v>
      </c>
      <c r="BW64" s="29" t="n">
        <v>0</v>
      </c>
      <c r="BX64" s="29">
        <f>SUM(BT64:BW64)</f>
        <v/>
      </c>
      <c r="BY64" s="29">
        <f>BS64+BX64</f>
        <v/>
      </c>
    </row>
    <row r="65">
      <c r="A65" s="30" t="inlineStr">
        <is>
          <t>6280</t>
        </is>
      </c>
      <c r="B65" s="30" t="inlineStr">
        <is>
          <t>Desenvolvimento de sistemas e outros serviços de informação</t>
        </is>
      </c>
      <c r="C65" s="31" t="n">
        <v>1.554083899397548</v>
      </c>
      <c r="D65" s="31" t="n">
        <v>0.9557958635969723</v>
      </c>
      <c r="E65" s="31" t="n">
        <v>0.120400240385436</v>
      </c>
      <c r="F65" s="31" t="n">
        <v>0.02208567296169686</v>
      </c>
      <c r="G65" s="31" t="n">
        <v>4.338064410530968</v>
      </c>
      <c r="H65" s="31" t="n">
        <v>20.5070529464031</v>
      </c>
      <c r="I65" s="31" t="n">
        <v>2.19625082106747</v>
      </c>
      <c r="J65" s="31" t="n">
        <v>23.64399433243439</v>
      </c>
      <c r="K65" s="31" t="n">
        <v>0.2936938672098029</v>
      </c>
      <c r="L65" s="31" t="n">
        <v>50.48703820974335</v>
      </c>
      <c r="M65" s="31" t="n">
        <v>5.805731043913509</v>
      </c>
      <c r="N65" s="31" t="n">
        <v>3.342741393932031</v>
      </c>
      <c r="O65" s="31" t="n">
        <v>2.647706633505963</v>
      </c>
      <c r="P65" s="31" t="n">
        <v>2.768189683272115</v>
      </c>
      <c r="Q65" s="31" t="n">
        <v>-1.090752804430107</v>
      </c>
      <c r="R65" s="31" t="n">
        <v>0.3693851095697295</v>
      </c>
      <c r="S65" s="31" t="n">
        <v>8.808692845119239</v>
      </c>
      <c r="T65" s="31" t="n">
        <v>0.3870998278475524</v>
      </c>
      <c r="U65" s="31" t="n">
        <v>2.628255378521585</v>
      </c>
      <c r="V65" s="31" t="n">
        <v>-0.5277500580679977</v>
      </c>
      <c r="W65" s="31" t="n">
        <v>28.08323332928173</v>
      </c>
      <c r="X65" s="31" t="n">
        <v>16.07748296410727</v>
      </c>
      <c r="Y65" s="31" t="n">
        <v>1.369406171950303</v>
      </c>
      <c r="Z65" s="31" t="n">
        <v>28.47633721073894</v>
      </c>
      <c r="AA65" s="31" t="n">
        <v>8.422081352218854</v>
      </c>
      <c r="AB65" s="31" t="n">
        <v>5.775503451380867</v>
      </c>
      <c r="AC65" s="31" t="n">
        <v>11.83614731055325</v>
      </c>
      <c r="AD65" s="31" t="n">
        <v>0.7614916398271664</v>
      </c>
      <c r="AE65" s="31" t="n">
        <v>6.166662534406628</v>
      </c>
      <c r="AF65" s="31" t="n">
        <v>17.5288861728212</v>
      </c>
      <c r="AG65" s="31" t="n">
        <v>28.27768912988164</v>
      </c>
      <c r="AH65" s="31" t="n">
        <v>11.95091469817842</v>
      </c>
      <c r="AI65" s="31" t="n">
        <v>96.35311989022688</v>
      </c>
      <c r="AJ65" s="31" t="n">
        <v>12.90207396046547</v>
      </c>
      <c r="AK65" s="31" t="n">
        <v>6.651560677227987</v>
      </c>
      <c r="AL65" s="31" t="n">
        <v>8.659528442212713</v>
      </c>
      <c r="AM65" s="31" t="n">
        <v>5.278809720695737</v>
      </c>
      <c r="AN65" s="31" t="n">
        <v>77.77104995559498</v>
      </c>
      <c r="AO65" s="31" t="n">
        <v>22.60745093563713</v>
      </c>
      <c r="AP65" s="31" t="n">
        <v>49.83877102041183</v>
      </c>
      <c r="AQ65" s="31" t="n">
        <v>43.94807447181998</v>
      </c>
      <c r="AR65" s="31" t="n">
        <v>563.2183844848282</v>
      </c>
      <c r="AS65" s="31" t="n">
        <v>78.01130973391528</v>
      </c>
      <c r="AT65" s="31" t="n">
        <v>0.1205151193966933</v>
      </c>
      <c r="AU65" s="31" t="n">
        <v>73.91630949749755</v>
      </c>
      <c r="AV65" s="31" t="n">
        <v>83.91212886868455</v>
      </c>
      <c r="AW65" s="31" t="n">
        <v>6.382363783070312</v>
      </c>
      <c r="AX65" s="31" t="n">
        <v>7.1112097126615</v>
      </c>
      <c r="AY65" s="31" t="n">
        <v>68.03121381059206</v>
      </c>
      <c r="AZ65" s="31" t="n">
        <v>85.7604664854192</v>
      </c>
      <c r="BA65" s="31" t="n">
        <v>298.7908190514707</v>
      </c>
      <c r="BB65" s="31" t="n">
        <v>550.3763082238659</v>
      </c>
      <c r="BC65" s="31" t="n">
        <v>1379.276836136934</v>
      </c>
      <c r="BD65" s="31" t="n">
        <v>27.8123789430282</v>
      </c>
      <c r="BE65" s="31" t="n">
        <v>176.5212499904882</v>
      </c>
      <c r="BF65" s="31" t="n">
        <v>4.1041708061165</v>
      </c>
      <c r="BG65" s="31" t="n">
        <v>262.2652412515716</v>
      </c>
      <c r="BH65" s="31" t="n">
        <v>31.66347973463523</v>
      </c>
      <c r="BI65" s="31" t="n">
        <v>80.7774853109791</v>
      </c>
      <c r="BJ65" s="31" t="n">
        <v>13.25020152447461</v>
      </c>
      <c r="BK65" s="31" t="n">
        <v>929.4929577878686</v>
      </c>
      <c r="BL65" s="31" t="n">
        <v>120.746756865918</v>
      </c>
      <c r="BM65" s="31" t="n">
        <v>30.79957710412958</v>
      </c>
      <c r="BN65" s="31" t="n">
        <v>185.392817743734</v>
      </c>
      <c r="BO65" s="31" t="n">
        <v>0.003036339711995047</v>
      </c>
      <c r="BP65" s="31" t="n">
        <v>11.53044894598416</v>
      </c>
      <c r="BQ65" s="31" t="n">
        <v>123.2459579018151</v>
      </c>
      <c r="BR65" s="31" t="n">
        <v>0</v>
      </c>
      <c r="BS65" s="31">
        <f>SUM(C65:BR65)</f>
        <v/>
      </c>
      <c r="BT65" s="31" t="n">
        <v>0</v>
      </c>
      <c r="BU65" s="31" t="n">
        <v>0</v>
      </c>
      <c r="BV65" s="31" t="n">
        <v>0</v>
      </c>
      <c r="BW65" s="31" t="n">
        <v>0</v>
      </c>
      <c r="BX65" s="31">
        <f>SUM(BT65:BW65)</f>
        <v/>
      </c>
      <c r="BY65" s="31">
        <f>BS65+BX65</f>
        <v/>
      </c>
    </row>
    <row r="66">
      <c r="A66" s="28" t="inlineStr">
        <is>
          <t>6480</t>
        </is>
      </c>
      <c r="B66" s="28" t="inlineStr">
        <is>
          <t>Intermediação financeira, seguros e previdência complementar</t>
        </is>
      </c>
      <c r="C66" s="29" t="n">
        <v>616.5144406618617</v>
      </c>
      <c r="D66" s="29" t="n">
        <v>238.6816540745952</v>
      </c>
      <c r="E66" s="29" t="n">
        <v>52.517821047045</v>
      </c>
      <c r="F66" s="29" t="n">
        <v>89.20544836850922</v>
      </c>
      <c r="G66" s="29" t="n">
        <v>562.0859812844923</v>
      </c>
      <c r="H66" s="29" t="n">
        <v>335.3982452421521</v>
      </c>
      <c r="I66" s="29" t="n">
        <v>52.59496547175467</v>
      </c>
      <c r="J66" s="29" t="n">
        <v>613.7705779909253</v>
      </c>
      <c r="K66" s="29" t="n">
        <v>262.8284563497483</v>
      </c>
      <c r="L66" s="29" t="n">
        <v>558.6440412950636</v>
      </c>
      <c r="M66" s="29" t="n">
        <v>199.9117194466156</v>
      </c>
      <c r="N66" s="29" t="n">
        <v>47.47399508034059</v>
      </c>
      <c r="O66" s="29" t="n">
        <v>130.884063600388</v>
      </c>
      <c r="P66" s="29" t="n">
        <v>147.8349877593253</v>
      </c>
      <c r="Q66" s="29" t="n">
        <v>105.2275099812336</v>
      </c>
      <c r="R66" s="29" t="n">
        <v>70.11109520991396</v>
      </c>
      <c r="S66" s="29" t="n">
        <v>265.0693776563208</v>
      </c>
      <c r="T66" s="29" t="n">
        <v>60.69982142995207</v>
      </c>
      <c r="U66" s="29" t="n">
        <v>389.8607549562126</v>
      </c>
      <c r="V66" s="29" t="n">
        <v>104.5699985958558</v>
      </c>
      <c r="W66" s="29" t="n">
        <v>453.5393883951239</v>
      </c>
      <c r="X66" s="29" t="n">
        <v>175.9972248339427</v>
      </c>
      <c r="Y66" s="29" t="n">
        <v>95.16878575680084</v>
      </c>
      <c r="Z66" s="29" t="n">
        <v>120.4793471325944</v>
      </c>
      <c r="AA66" s="29" t="n">
        <v>257.4121031499194</v>
      </c>
      <c r="AB66" s="29" t="n">
        <v>290.4034820985517</v>
      </c>
      <c r="AC66" s="29" t="n">
        <v>430.2810111818177</v>
      </c>
      <c r="AD66" s="29" t="n">
        <v>151.2463351193925</v>
      </c>
      <c r="AE66" s="29" t="n">
        <v>248.0834798112745</v>
      </c>
      <c r="AF66" s="29" t="n">
        <v>206.5339005418186</v>
      </c>
      <c r="AG66" s="29" t="n">
        <v>217.8631528703424</v>
      </c>
      <c r="AH66" s="29" t="n">
        <v>344.031554590171</v>
      </c>
      <c r="AI66" s="29" t="n">
        <v>528.5364186707493</v>
      </c>
      <c r="AJ66" s="29" t="n">
        <v>231.583508848908</v>
      </c>
      <c r="AK66" s="29" t="n">
        <v>136.483849279473</v>
      </c>
      <c r="AL66" s="29" t="n">
        <v>137.0826082640556</v>
      </c>
      <c r="AM66" s="29" t="n">
        <v>78.69197664868399</v>
      </c>
      <c r="AN66" s="29" t="n">
        <v>695.7305041565243</v>
      </c>
      <c r="AO66" s="29" t="n">
        <v>144.9188335118674</v>
      </c>
      <c r="AP66" s="29" t="n">
        <v>1334.247149958749</v>
      </c>
      <c r="AQ66" s="29" t="n">
        <v>388.5384200814873</v>
      </c>
      <c r="AR66" s="29" t="n">
        <v>2809.410446883468</v>
      </c>
      <c r="AS66" s="29" t="n">
        <v>1034.765415108611</v>
      </c>
      <c r="AT66" s="29" t="n">
        <v>62.51893884197613</v>
      </c>
      <c r="AU66" s="29" t="n">
        <v>167.9601874054328</v>
      </c>
      <c r="AV66" s="29" t="n">
        <v>377.0906409666884</v>
      </c>
      <c r="AW66" s="29" t="n">
        <v>66.93359994522253</v>
      </c>
      <c r="AX66" s="29" t="n">
        <v>340.2153323055301</v>
      </c>
      <c r="AY66" s="29" t="n">
        <v>87.7113725596715</v>
      </c>
      <c r="AZ66" s="29" t="n">
        <v>132.7529961516242</v>
      </c>
      <c r="BA66" s="29" t="n">
        <v>817.8825266419028</v>
      </c>
      <c r="BB66" s="29" t="n">
        <v>252.7296878309816</v>
      </c>
      <c r="BC66" s="29" t="n">
        <v>7925.861960794604</v>
      </c>
      <c r="BD66" s="29" t="n">
        <v>2504.442877965454</v>
      </c>
      <c r="BE66" s="29" t="n">
        <v>469.750587278484</v>
      </c>
      <c r="BF66" s="29" t="n">
        <v>195.5474752212751</v>
      </c>
      <c r="BG66" s="29" t="n">
        <v>92.42580115176281</v>
      </c>
      <c r="BH66" s="29" t="n">
        <v>155.8351820729714</v>
      </c>
      <c r="BI66" s="29" t="n">
        <v>494.3624820768104</v>
      </c>
      <c r="BJ66" s="29" t="n">
        <v>104.2880984819115</v>
      </c>
      <c r="BK66" s="29" t="n">
        <v>5883.792688047668</v>
      </c>
      <c r="BL66" s="29" t="n">
        <v>44.85562250130678</v>
      </c>
      <c r="BM66" s="29" t="n">
        <v>159.7541367876311</v>
      </c>
      <c r="BN66" s="29" t="n">
        <v>47.83523571650213</v>
      </c>
      <c r="BO66" s="29" t="n">
        <v>487.5987566423873</v>
      </c>
      <c r="BP66" s="29" t="n">
        <v>104.5512748787625</v>
      </c>
      <c r="BQ66" s="29" t="n">
        <v>314.9976624041485</v>
      </c>
      <c r="BR66" s="29" t="n">
        <v>0</v>
      </c>
      <c r="BS66" s="29">
        <f>SUM(C66:BR66)</f>
        <v/>
      </c>
      <c r="BT66" s="29" t="n">
        <v>0</v>
      </c>
      <c r="BU66" s="29" t="n">
        <v>0</v>
      </c>
      <c r="BV66" s="29" t="n">
        <v>0</v>
      </c>
      <c r="BW66" s="29" t="n">
        <v>0</v>
      </c>
      <c r="BX66" s="29">
        <f>SUM(BT66:BW66)</f>
        <v/>
      </c>
      <c r="BY66" s="29">
        <f>BS66+BX66</f>
        <v/>
      </c>
    </row>
    <row r="67">
      <c r="A67" s="30" t="inlineStr">
        <is>
          <t>6800</t>
        </is>
      </c>
      <c r="B67" s="30" t="inlineStr">
        <is>
          <t>Atividades imobiliárias</t>
        </is>
      </c>
      <c r="C67" s="31" t="n">
        <v>0.1429563426204058</v>
      </c>
      <c r="D67" s="31" t="n">
        <v>0.06126700398017406</v>
      </c>
      <c r="E67" s="31" t="n">
        <v>0.1429563426204058</v>
      </c>
      <c r="F67" s="31" t="n">
        <v>0.4697136971813336</v>
      </c>
      <c r="G67" s="31" t="n">
        <v>3.859821250750956</v>
      </c>
      <c r="H67" s="31" t="n">
        <v>0.5309807011615076</v>
      </c>
      <c r="I67" s="31" t="n">
        <v>0.2654903505807538</v>
      </c>
      <c r="J67" s="31" t="n">
        <v>8.536535887904245</v>
      </c>
      <c r="K67" s="31" t="n">
        <v>3.206306541629113</v>
      </c>
      <c r="L67" s="31" t="n">
        <v>6.392190748598163</v>
      </c>
      <c r="M67" s="31" t="n">
        <v>1.102806071643133</v>
      </c>
      <c r="N67" s="31" t="n">
        <v>0.5309807011615076</v>
      </c>
      <c r="O67" s="31" t="n">
        <v>5.228117672974847</v>
      </c>
      <c r="P67" s="31" t="n">
        <v>5.57529736219583</v>
      </c>
      <c r="Q67" s="31" t="n">
        <v>1.633786772804638</v>
      </c>
      <c r="R67" s="31" t="n">
        <v>0.5105583665014488</v>
      </c>
      <c r="S67" s="31" t="n">
        <v>2.368990820566727</v>
      </c>
      <c r="T67" s="31" t="n">
        <v>1.041539067662959</v>
      </c>
      <c r="U67" s="31" t="n">
        <v>2.430257824546901</v>
      </c>
      <c r="V67" s="31" t="n">
        <v>2.042233466005795</v>
      </c>
      <c r="W67" s="31" t="n">
        <v>2.757015179107823</v>
      </c>
      <c r="X67" s="31" t="n">
        <v>1.6542091074647</v>
      </c>
      <c r="Y67" s="31" t="n">
        <v>2.450680159206962</v>
      </c>
      <c r="Z67" s="31" t="n">
        <v>3.716864908130546</v>
      </c>
      <c r="AA67" s="31" t="n">
        <v>6.269656740637795</v>
      </c>
      <c r="AB67" s="31" t="n">
        <v>3.410529888229686</v>
      </c>
      <c r="AC67" s="31" t="n">
        <v>4.574602963852983</v>
      </c>
      <c r="AD67" s="31" t="n">
        <v>0.163378677280464</v>
      </c>
      <c r="AE67" s="31" t="n">
        <v>3.880243585411017</v>
      </c>
      <c r="AF67" s="31" t="n">
        <v>3.226728876289154</v>
      </c>
      <c r="AG67" s="31" t="n">
        <v>2.083078135325918</v>
      </c>
      <c r="AH67" s="31" t="n">
        <v>3.982355258711304</v>
      </c>
      <c r="AI67" s="31" t="n">
        <v>2.736592844447762</v>
      </c>
      <c r="AJ67" s="31" t="n">
        <v>4.145733935991775</v>
      </c>
      <c r="AK67" s="31" t="n">
        <v>1.123228406303189</v>
      </c>
      <c r="AL67" s="31" t="n">
        <v>3.798554246770792</v>
      </c>
      <c r="AM67" s="31" t="n">
        <v>0.8168933864023191</v>
      </c>
      <c r="AN67" s="31" t="n">
        <v>14.39774593534085</v>
      </c>
      <c r="AO67" s="31" t="n">
        <v>5.044316661034334</v>
      </c>
      <c r="AP67" s="31" t="n">
        <v>26.0384766915739</v>
      </c>
      <c r="AQ67" s="31" t="n">
        <v>70.19156422661918</v>
      </c>
      <c r="AR67" s="31" t="n">
        <v>513.6012943657986</v>
      </c>
      <c r="AS67" s="31" t="n">
        <v>19.68713061229595</v>
      </c>
      <c r="AT67" s="31" t="n">
        <v>1.184495410283363</v>
      </c>
      <c r="AU67" s="31" t="n">
        <v>2.205612143286266</v>
      </c>
      <c r="AV67" s="31" t="n">
        <v>37.63836277848684</v>
      </c>
      <c r="AW67" s="31" t="n">
        <v>18.01249917017116</v>
      </c>
      <c r="AX67" s="31" t="n">
        <v>77.2985366883196</v>
      </c>
      <c r="AY67" s="31" t="n">
        <v>6.371768413938102</v>
      </c>
      <c r="AZ67" s="31" t="n">
        <v>9.02667191974564</v>
      </c>
      <c r="BA67" s="31" t="n">
        <v>51.75019602858683</v>
      </c>
      <c r="BB67" s="31" t="n">
        <v>21.52514073170114</v>
      </c>
      <c r="BC67" s="31" t="n">
        <v>121.7171145739458</v>
      </c>
      <c r="BD67" s="31" t="n">
        <v>32.32855576687184</v>
      </c>
      <c r="BE67" s="31" t="n">
        <v>66.96483535033013</v>
      </c>
      <c r="BF67" s="31" t="n">
        <v>15.64350834960444</v>
      </c>
      <c r="BG67" s="31" t="n">
        <v>15.0716829791228</v>
      </c>
      <c r="BH67" s="31" t="n">
        <v>17.88996516221078</v>
      </c>
      <c r="BI67" s="31" t="n">
        <v>49.66711789326089</v>
      </c>
      <c r="BJ67" s="31" t="n">
        <v>4.247845609292061</v>
      </c>
      <c r="BK67" s="31" t="n">
        <v>40.29326628429449</v>
      </c>
      <c r="BL67" s="31" t="n">
        <v>10.25201199934912</v>
      </c>
      <c r="BM67" s="31" t="n">
        <v>60.16419790853082</v>
      </c>
      <c r="BN67" s="31" t="n">
        <v>6.616836429858798</v>
      </c>
      <c r="BO67" s="31" t="n">
        <v>26.46734571943519</v>
      </c>
      <c r="BP67" s="31" t="n">
        <v>57.38676039476312</v>
      </c>
      <c r="BQ67" s="31" t="n">
        <v>45.76645197318997</v>
      </c>
      <c r="BR67" s="31" t="n">
        <v>0</v>
      </c>
      <c r="BS67" s="31">
        <f>SUM(C67:BR67)</f>
        <v/>
      </c>
      <c r="BT67" s="31" t="n">
        <v>0</v>
      </c>
      <c r="BU67" s="31" t="n">
        <v>0</v>
      </c>
      <c r="BV67" s="31" t="n">
        <v>0</v>
      </c>
      <c r="BW67" s="31" t="n">
        <v>0</v>
      </c>
      <c r="BX67" s="31">
        <f>SUM(BT67:BW67)</f>
        <v/>
      </c>
      <c r="BY67" s="31">
        <f>BS67+BX67</f>
        <v/>
      </c>
    </row>
    <row r="68">
      <c r="A68" s="28" t="inlineStr">
        <is>
          <t>6980</t>
        </is>
      </c>
      <c r="B68" s="28" t="inlineStr">
        <is>
          <t>Atividades jurídicas, contábeis, consultoria e sedes de empresas</t>
        </is>
      </c>
      <c r="C68" s="29" t="n">
        <v>0.9558444200093456</v>
      </c>
      <c r="D68" s="29" t="n">
        <v>0.5097806232005667</v>
      </c>
      <c r="E68" s="29" t="n">
        <v>2.739953628760226</v>
      </c>
      <c r="F68" s="29" t="n">
        <v>28.41856975213152</v>
      </c>
      <c r="G68" s="29" t="n">
        <v>308.8443198881594</v>
      </c>
      <c r="H68" s="29" t="n">
        <v>58.93969242940357</v>
      </c>
      <c r="I68" s="29" t="n">
        <v>8.538378291722976</v>
      </c>
      <c r="J68" s="29" t="n">
        <v>194.3447610467785</v>
      </c>
      <c r="K68" s="29" t="n">
        <v>53.779737477317</v>
      </c>
      <c r="L68" s="29" t="n">
        <v>294.2539864070908</v>
      </c>
      <c r="M68" s="29" t="n">
        <v>76.20756958512494</v>
      </c>
      <c r="N68" s="29" t="n">
        <v>41.48084322293127</v>
      </c>
      <c r="O68" s="29" t="n">
        <v>18.79936815617847</v>
      </c>
      <c r="P68" s="29" t="n">
        <v>12.10911484994648</v>
      </c>
      <c r="Q68" s="29" t="n">
        <v>10.38685228430924</v>
      </c>
      <c r="R68" s="29" t="n">
        <v>8.60220810341165</v>
      </c>
      <c r="S68" s="29" t="n">
        <v>70.53724590414426</v>
      </c>
      <c r="T68" s="29" t="n">
        <v>6.563475413207994</v>
      </c>
      <c r="U68" s="29" t="n">
        <v>251.2422768148609</v>
      </c>
      <c r="V68" s="29" t="n">
        <v>17.52349520574859</v>
      </c>
      <c r="W68" s="29" t="n">
        <v>169.746780191617</v>
      </c>
      <c r="X68" s="29" t="n">
        <v>168.2807259712823</v>
      </c>
      <c r="Y68" s="29" t="n">
        <v>48.68191779231101</v>
      </c>
      <c r="Z68" s="29" t="n">
        <v>188.8627042741004</v>
      </c>
      <c r="AA68" s="29" t="n">
        <v>69.64703867865266</v>
      </c>
      <c r="AB68" s="29" t="n">
        <v>93.9860611489537</v>
      </c>
      <c r="AC68" s="29" t="n">
        <v>78.31192234698005</v>
      </c>
      <c r="AD68" s="29" t="n">
        <v>29.18304534676789</v>
      </c>
      <c r="AE68" s="29" t="n">
        <v>40.71781832032586</v>
      </c>
      <c r="AF68" s="29" t="n">
        <v>129.73193151519</v>
      </c>
      <c r="AG68" s="29" t="n">
        <v>139.671428348354</v>
      </c>
      <c r="AH68" s="29" t="n">
        <v>78.5028030022337</v>
      </c>
      <c r="AI68" s="29" t="n">
        <v>145.15155567907</v>
      </c>
      <c r="AJ68" s="29" t="n">
        <v>58.36790214002063</v>
      </c>
      <c r="AK68" s="29" t="n">
        <v>15.61155839019027</v>
      </c>
      <c r="AL68" s="29" t="n">
        <v>23.70499833993416</v>
      </c>
      <c r="AM68" s="29" t="n">
        <v>14.71930696062268</v>
      </c>
      <c r="AN68" s="29" t="n">
        <v>33.45891837432155</v>
      </c>
      <c r="AO68" s="29" t="n">
        <v>57.92229651866218</v>
      </c>
      <c r="AP68" s="29" t="n">
        <v>248.5816172473688</v>
      </c>
      <c r="AQ68" s="29" t="n">
        <v>308.3660790272584</v>
      </c>
      <c r="AR68" s="29" t="n">
        <v>900.7102180024866</v>
      </c>
      <c r="AS68" s="29" t="n">
        <v>104.6984523502051</v>
      </c>
      <c r="AT68" s="29" t="n">
        <v>6.882135483108192</v>
      </c>
      <c r="AU68" s="29" t="n">
        <v>24.46886072577498</v>
      </c>
      <c r="AV68" s="29" t="n">
        <v>74.37711156176593</v>
      </c>
      <c r="AW68" s="29" t="n">
        <v>10.13978533632194</v>
      </c>
      <c r="AX68" s="29" t="n">
        <v>34.95427100269245</v>
      </c>
      <c r="AY68" s="29" t="n">
        <v>31.54356627046356</v>
      </c>
      <c r="AZ68" s="29" t="n">
        <v>106.9235742501626</v>
      </c>
      <c r="BA68" s="29" t="n">
        <v>158.7467458517674</v>
      </c>
      <c r="BB68" s="29" t="n">
        <v>111.1987120596065</v>
      </c>
      <c r="BC68" s="29" t="n">
        <v>852.225892570244</v>
      </c>
      <c r="BD68" s="29" t="n">
        <v>81.51104955900828</v>
      </c>
      <c r="BE68" s="29" t="n">
        <v>637.5967409039133</v>
      </c>
      <c r="BF68" s="29" t="n">
        <v>220.5363658114631</v>
      </c>
      <c r="BG68" s="29" t="n">
        <v>15.23581383381577</v>
      </c>
      <c r="BH68" s="29" t="n">
        <v>39.95986668721295</v>
      </c>
      <c r="BI68" s="29" t="n">
        <v>168.6223442370832</v>
      </c>
      <c r="BJ68" s="29" t="n">
        <v>52.12355653211441</v>
      </c>
      <c r="BK68" s="29" t="n">
        <v>195.8895742872561</v>
      </c>
      <c r="BL68" s="29" t="n">
        <v>8.224650041452129</v>
      </c>
      <c r="BM68" s="29" t="n">
        <v>76.4905093057712</v>
      </c>
      <c r="BN68" s="29" t="n">
        <v>15.67804613902232</v>
      </c>
      <c r="BO68" s="29" t="n">
        <v>68.57340748356823</v>
      </c>
      <c r="BP68" s="29" t="n">
        <v>43.80166741850579</v>
      </c>
      <c r="BQ68" s="29" t="n">
        <v>168.3017020020579</v>
      </c>
      <c r="BR68" s="29" t="n">
        <v>0</v>
      </c>
      <c r="BS68" s="29">
        <f>SUM(C68:BR68)</f>
        <v/>
      </c>
      <c r="BT68" s="29" t="n">
        <v>0</v>
      </c>
      <c r="BU68" s="29" t="n">
        <v>0</v>
      </c>
      <c r="BV68" s="29" t="n">
        <v>0</v>
      </c>
      <c r="BW68" s="29" t="n">
        <v>0</v>
      </c>
      <c r="BX68" s="29">
        <f>SUM(BT68:BW68)</f>
        <v/>
      </c>
      <c r="BY68" s="29">
        <f>BS68+BX68</f>
        <v/>
      </c>
    </row>
    <row r="69">
      <c r="A69" s="30" t="inlineStr">
        <is>
          <t>7180</t>
        </is>
      </c>
      <c r="B69" s="30" t="inlineStr">
        <is>
          <t>Serviços de arquitetura, engenharia, testes/análises técnicas e P &amp; D</t>
        </is>
      </c>
      <c r="C69" s="31" t="n">
        <v>89.82157640431099</v>
      </c>
      <c r="D69" s="31" t="n">
        <v>3.701640732573031</v>
      </c>
      <c r="E69" s="31" t="n">
        <v>0.01763433064198237</v>
      </c>
      <c r="F69" s="31" t="n">
        <v>12.93367986957284</v>
      </c>
      <c r="G69" s="31" t="n">
        <v>391.177410074802</v>
      </c>
      <c r="H69" s="31" t="n">
        <v>71.33688329320508</v>
      </c>
      <c r="I69" s="31" t="n">
        <v>19.1607087224664</v>
      </c>
      <c r="J69" s="31" t="n">
        <v>184.1049986112676</v>
      </c>
      <c r="K69" s="31" t="n">
        <v>68.56731798395725</v>
      </c>
      <c r="L69" s="31" t="n">
        <v>161.7710074870871</v>
      </c>
      <c r="M69" s="31" t="n">
        <v>41.96440576704757</v>
      </c>
      <c r="N69" s="31" t="n">
        <v>26.80292551425391</v>
      </c>
      <c r="O69" s="31" t="n">
        <v>31.77673470100011</v>
      </c>
      <c r="P69" s="31" t="n">
        <v>27.70861386382375</v>
      </c>
      <c r="Q69" s="31" t="n">
        <v>22.43562941079344</v>
      </c>
      <c r="R69" s="31" t="n">
        <v>7.745969896649798</v>
      </c>
      <c r="S69" s="31" t="n">
        <v>85.72413599458916</v>
      </c>
      <c r="T69" s="31" t="n">
        <v>8.745674008241123</v>
      </c>
      <c r="U69" s="31" t="n">
        <v>39.0840005046628</v>
      </c>
      <c r="V69" s="31" t="n">
        <v>32.58487367173402</v>
      </c>
      <c r="W69" s="31" t="n">
        <v>136.372650242194</v>
      </c>
      <c r="X69" s="31" t="n">
        <v>107.73584098081</v>
      </c>
      <c r="Y69" s="31" t="n">
        <v>71.17937430998862</v>
      </c>
      <c r="Z69" s="31" t="n">
        <v>161.3598075098157</v>
      </c>
      <c r="AA69" s="31" t="n">
        <v>161.9592287915183</v>
      </c>
      <c r="AB69" s="31" t="n">
        <v>113.9990418653917</v>
      </c>
      <c r="AC69" s="31" t="n">
        <v>76.15884729265447</v>
      </c>
      <c r="AD69" s="31" t="n">
        <v>43.28631582507329</v>
      </c>
      <c r="AE69" s="31" t="n">
        <v>88.18654383949759</v>
      </c>
      <c r="AF69" s="31" t="n">
        <v>127.01087157784</v>
      </c>
      <c r="AG69" s="31" t="n">
        <v>77.1936854437109</v>
      </c>
      <c r="AH69" s="31" t="n">
        <v>318.8897888246328</v>
      </c>
      <c r="AI69" s="31" t="n">
        <v>438.3506040795367</v>
      </c>
      <c r="AJ69" s="31" t="n">
        <v>159.2685675947843</v>
      </c>
      <c r="AK69" s="31" t="n">
        <v>32.77229710837933</v>
      </c>
      <c r="AL69" s="31" t="n">
        <v>46.93640235362793</v>
      </c>
      <c r="AM69" s="31" t="n">
        <v>26.99283584614456</v>
      </c>
      <c r="AN69" s="31" t="n">
        <v>506.1947147935133</v>
      </c>
      <c r="AO69" s="31" t="n">
        <v>92.33356450387583</v>
      </c>
      <c r="AP69" s="31" t="n">
        <v>958.6293874358726</v>
      </c>
      <c r="AQ69" s="31" t="n">
        <v>22.71852885845902</v>
      </c>
      <c r="AR69" s="31" t="n">
        <v>241.9426052999629</v>
      </c>
      <c r="AS69" s="31" t="n">
        <v>89.56863906280714</v>
      </c>
      <c r="AT69" s="31" t="n">
        <v>2.782985321203398</v>
      </c>
      <c r="AU69" s="31" t="n">
        <v>0.01924333629934774</v>
      </c>
      <c r="AV69" s="31" t="n">
        <v>769.7084368807831</v>
      </c>
      <c r="AW69" s="31" t="n">
        <v>1.031653158774894</v>
      </c>
      <c r="AX69" s="31" t="n">
        <v>1.038814316251243</v>
      </c>
      <c r="AY69" s="31" t="n">
        <v>0.05412579012413759</v>
      </c>
      <c r="AZ69" s="31" t="n">
        <v>0.07835049680174487</v>
      </c>
      <c r="BA69" s="31" t="n">
        <v>1.829701948100377</v>
      </c>
      <c r="BB69" s="31" t="n">
        <v>56.48193754109136</v>
      </c>
      <c r="BC69" s="31" t="n">
        <v>166.3585808298825</v>
      </c>
      <c r="BD69" s="31" t="n">
        <v>3.560181681354814</v>
      </c>
      <c r="BE69" s="31" t="n">
        <v>0.59565068235281</v>
      </c>
      <c r="BF69" s="31" t="n">
        <v>563.6941298509095</v>
      </c>
      <c r="BG69" s="31" t="n">
        <v>0.1280753334770776</v>
      </c>
      <c r="BH69" s="31" t="n">
        <v>13.54906846396367</v>
      </c>
      <c r="BI69" s="31" t="n">
        <v>4.952528331647389</v>
      </c>
      <c r="BJ69" s="31" t="n">
        <v>0.05421257295664351</v>
      </c>
      <c r="BK69" s="31" t="n">
        <v>806.0481379493012</v>
      </c>
      <c r="BL69" s="31" t="n">
        <v>211.2310700037257</v>
      </c>
      <c r="BM69" s="31" t="n">
        <v>18.14367634201233</v>
      </c>
      <c r="BN69" s="31" t="n">
        <v>214.4770254231996</v>
      </c>
      <c r="BO69" s="31" t="n">
        <v>0.2518163591700701</v>
      </c>
      <c r="BP69" s="31" t="n">
        <v>0.4869104407066726</v>
      </c>
      <c r="BQ69" s="31" t="n">
        <v>0.4131236381701157</v>
      </c>
      <c r="BR69" s="31" t="n">
        <v>0</v>
      </c>
      <c r="BS69" s="31">
        <f>SUM(C69:BR69)</f>
        <v/>
      </c>
      <c r="BT69" s="31" t="n">
        <v>0</v>
      </c>
      <c r="BU69" s="31" t="n">
        <v>0</v>
      </c>
      <c r="BV69" s="31" t="n">
        <v>0</v>
      </c>
      <c r="BW69" s="31" t="n">
        <v>0</v>
      </c>
      <c r="BX69" s="31">
        <f>SUM(BT69:BW69)</f>
        <v/>
      </c>
      <c r="BY69" s="31">
        <f>BS69+BX69</f>
        <v/>
      </c>
    </row>
    <row r="70">
      <c r="A70" s="28" t="inlineStr">
        <is>
          <t>7380</t>
        </is>
      </c>
      <c r="B70" s="28" t="inlineStr">
        <is>
          <t>Outras atividades profissionais, científicas e técnicas</t>
        </is>
      </c>
      <c r="C70" s="29" t="n">
        <v>0.6558473707667716</v>
      </c>
      <c r="D70" s="29" t="n">
        <v>17.21556851714799</v>
      </c>
      <c r="E70" s="29" t="n">
        <v>3.291577665189917</v>
      </c>
      <c r="F70" s="29" t="n">
        <v>2.104422003270115</v>
      </c>
      <c r="G70" s="29" t="n">
        <v>18.40715706991108</v>
      </c>
      <c r="H70" s="29" t="n">
        <v>0.3086698986761273</v>
      </c>
      <c r="I70" s="29" t="n">
        <v>0.02982818867865748</v>
      </c>
      <c r="J70" s="29" t="n">
        <v>84.36799364404732</v>
      </c>
      <c r="K70" s="29" t="n">
        <v>7.866714721398058</v>
      </c>
      <c r="L70" s="29" t="n">
        <v>128.5840084559541</v>
      </c>
      <c r="M70" s="29" t="n">
        <v>225.6439948784574</v>
      </c>
      <c r="N70" s="29" t="n">
        <v>19.70596999682291</v>
      </c>
      <c r="O70" s="29" t="n">
        <v>4.752267815419552</v>
      </c>
      <c r="P70" s="29" t="n">
        <v>16.68012098748137</v>
      </c>
      <c r="Q70" s="29" t="n">
        <v>37.93174094718413</v>
      </c>
      <c r="R70" s="29" t="n">
        <v>1.180494419393388</v>
      </c>
      <c r="S70" s="29" t="n">
        <v>23.09186577791829</v>
      </c>
      <c r="T70" s="29" t="n">
        <v>3.74894924649676</v>
      </c>
      <c r="U70" s="29" t="n">
        <v>6.482467532904938</v>
      </c>
      <c r="V70" s="29" t="n">
        <v>2.558787228542355</v>
      </c>
      <c r="W70" s="29" t="n">
        <v>4.496629363861027</v>
      </c>
      <c r="X70" s="29" t="n">
        <v>21.70733877279206</v>
      </c>
      <c r="Y70" s="29" t="n">
        <v>52.92398009174425</v>
      </c>
      <c r="Z70" s="29" t="n">
        <v>82.51997692492105</v>
      </c>
      <c r="AA70" s="29" t="n">
        <v>23.01825406343777</v>
      </c>
      <c r="AB70" s="29" t="n">
        <v>12.27778835018607</v>
      </c>
      <c r="AC70" s="29" t="n">
        <v>8.673841748348075</v>
      </c>
      <c r="AD70" s="29" t="n">
        <v>0.5427034692864454</v>
      </c>
      <c r="AE70" s="29" t="n">
        <v>22.26990182430031</v>
      </c>
      <c r="AF70" s="29" t="n">
        <v>64.89513200456445</v>
      </c>
      <c r="AG70" s="29" t="n">
        <v>33.28994655085648</v>
      </c>
      <c r="AH70" s="29" t="n">
        <v>22.33512724901171</v>
      </c>
      <c r="AI70" s="29" t="n">
        <v>238.9659417040107</v>
      </c>
      <c r="AJ70" s="29" t="n">
        <v>8.89049322204801</v>
      </c>
      <c r="AK70" s="29" t="n">
        <v>15.34156907766391</v>
      </c>
      <c r="AL70" s="29" t="n">
        <v>18.02202621853184</v>
      </c>
      <c r="AM70" s="29" t="n">
        <v>3.287634652982064</v>
      </c>
      <c r="AN70" s="29" t="n">
        <v>103.5109526949654</v>
      </c>
      <c r="AO70" s="29" t="n">
        <v>9.414758872747557</v>
      </c>
      <c r="AP70" s="29" t="n">
        <v>99.15928144186702</v>
      </c>
      <c r="AQ70" s="29" t="n">
        <v>145.4089990785035</v>
      </c>
      <c r="AR70" s="29" t="n">
        <v>659.991606569328</v>
      </c>
      <c r="AS70" s="29" t="n">
        <v>28.51663811725991</v>
      </c>
      <c r="AT70" s="29" t="n">
        <v>1.823417754221965</v>
      </c>
      <c r="AU70" s="29" t="n">
        <v>10.98941546270522</v>
      </c>
      <c r="AV70" s="29" t="n">
        <v>43.46144367130577</v>
      </c>
      <c r="AW70" s="29" t="n">
        <v>13.37502189426404</v>
      </c>
      <c r="AX70" s="29" t="n">
        <v>32.63872144338325</v>
      </c>
      <c r="AY70" s="29" t="n">
        <v>61.92731184029198</v>
      </c>
      <c r="AZ70" s="29" t="n">
        <v>93.08323448321416</v>
      </c>
      <c r="BA70" s="29" t="n">
        <v>211.7132378013918</v>
      </c>
      <c r="BB70" s="29" t="n">
        <v>72.55361314748804</v>
      </c>
      <c r="BC70" s="29" t="n">
        <v>578.8725861002861</v>
      </c>
      <c r="BD70" s="29" t="n">
        <v>35.91437642710697</v>
      </c>
      <c r="BE70" s="29" t="n">
        <v>169.5280554440516</v>
      </c>
      <c r="BF70" s="29" t="n">
        <v>17.39603001039888</v>
      </c>
      <c r="BG70" s="29" t="n">
        <v>69.08270578427573</v>
      </c>
      <c r="BH70" s="29" t="n">
        <v>41.42891823836414</v>
      </c>
      <c r="BI70" s="29" t="n">
        <v>69.37292860611075</v>
      </c>
      <c r="BJ70" s="29" t="n">
        <v>7.925882012427643</v>
      </c>
      <c r="BK70" s="29" t="n">
        <v>182.212912283043</v>
      </c>
      <c r="BL70" s="29" t="n">
        <v>35.70402895607756</v>
      </c>
      <c r="BM70" s="29" t="n">
        <v>102.2046419209837</v>
      </c>
      <c r="BN70" s="29" t="n">
        <v>46.53946626326959</v>
      </c>
      <c r="BO70" s="29" t="n">
        <v>1.477869214695861</v>
      </c>
      <c r="BP70" s="29" t="n">
        <v>61.64024628328443</v>
      </c>
      <c r="BQ70" s="29" t="n">
        <v>76.72653115641867</v>
      </c>
      <c r="BR70" s="29" t="n">
        <v>0</v>
      </c>
      <c r="BS70" s="29">
        <f>SUM(C70:BR70)</f>
        <v/>
      </c>
      <c r="BT70" s="29" t="n">
        <v>0</v>
      </c>
      <c r="BU70" s="29" t="n">
        <v>0</v>
      </c>
      <c r="BV70" s="29" t="n">
        <v>0</v>
      </c>
      <c r="BW70" s="29" t="n">
        <v>0</v>
      </c>
      <c r="BX70" s="29">
        <f>SUM(BT70:BW70)</f>
        <v/>
      </c>
      <c r="BY70" s="29">
        <f>BS70+BX70</f>
        <v/>
      </c>
    </row>
    <row r="71">
      <c r="A71" s="30" t="inlineStr">
        <is>
          <t>7700</t>
        </is>
      </c>
      <c r="B71" s="30" t="inlineStr">
        <is>
          <t>Aluguéis não-imobiliários e gestão de ativos de propriedade intelectual</t>
        </is>
      </c>
      <c r="C71" s="31" t="n">
        <v>145.596030416669</v>
      </c>
      <c r="D71" s="31" t="n">
        <v>28.23255071077752</v>
      </c>
      <c r="E71" s="31" t="n">
        <v>62.13924193492679</v>
      </c>
      <c r="F71" s="31" t="n">
        <v>114.6948940782597</v>
      </c>
      <c r="G71" s="31" t="n">
        <v>3919.820045279113</v>
      </c>
      <c r="H71" s="31" t="n">
        <v>536.221577998165</v>
      </c>
      <c r="I71" s="31" t="n">
        <v>84.81643325067142</v>
      </c>
      <c r="J71" s="31" t="n">
        <v>116.6976272399316</v>
      </c>
      <c r="K71" s="31" t="n">
        <v>189.216601181733</v>
      </c>
      <c r="L71" s="31" t="n">
        <v>393.3081777389095</v>
      </c>
      <c r="M71" s="31" t="n">
        <v>165.2492572428008</v>
      </c>
      <c r="N71" s="31" t="n">
        <v>21.00738144807778</v>
      </c>
      <c r="O71" s="31" t="n">
        <v>25.39333149415237</v>
      </c>
      <c r="P71" s="31" t="n">
        <v>35.44150283044401</v>
      </c>
      <c r="Q71" s="31" t="n">
        <v>28.93040415079734</v>
      </c>
      <c r="R71" s="31" t="n">
        <v>46.42990851504612</v>
      </c>
      <c r="S71" s="31" t="n">
        <v>273.2265545883972</v>
      </c>
      <c r="T71" s="31" t="n">
        <v>81.27179823474457</v>
      </c>
      <c r="U71" s="31" t="n">
        <v>172.5996789665172</v>
      </c>
      <c r="V71" s="31" t="n">
        <v>21.29732231718679</v>
      </c>
      <c r="W71" s="31" t="n">
        <v>171.6889996929362</v>
      </c>
      <c r="X71" s="31" t="n">
        <v>198.7850418136249</v>
      </c>
      <c r="Y71" s="31" t="n">
        <v>34.67048179386698</v>
      </c>
      <c r="Z71" s="31" t="n">
        <v>70.53868453093787</v>
      </c>
      <c r="AA71" s="31" t="n">
        <v>220.0234772908114</v>
      </c>
      <c r="AB71" s="31" t="n">
        <v>155.3637674429105</v>
      </c>
      <c r="AC71" s="31" t="n">
        <v>236.4604742890029</v>
      </c>
      <c r="AD71" s="31" t="n">
        <v>82.78175522750372</v>
      </c>
      <c r="AE71" s="31" t="n">
        <v>285.840017704794</v>
      </c>
      <c r="AF71" s="31" t="n">
        <v>220.0848726001514</v>
      </c>
      <c r="AG71" s="31" t="n">
        <v>96.02098946514225</v>
      </c>
      <c r="AH71" s="31" t="n">
        <v>289.1074770588187</v>
      </c>
      <c r="AI71" s="31" t="n">
        <v>716.6449805066427</v>
      </c>
      <c r="AJ71" s="31" t="n">
        <v>265.9790681675375</v>
      </c>
      <c r="AK71" s="31" t="n">
        <v>262.8252607727478</v>
      </c>
      <c r="AL71" s="31" t="n">
        <v>98.27750626353412</v>
      </c>
      <c r="AM71" s="31" t="n">
        <v>121.3507000138517</v>
      </c>
      <c r="AN71" s="31" t="n">
        <v>293.3789609216178</v>
      </c>
      <c r="AO71" s="31" t="n">
        <v>665.8286488296158</v>
      </c>
      <c r="AP71" s="31" t="n">
        <v>2155.416403334626</v>
      </c>
      <c r="AQ71" s="31" t="n">
        <v>364.4106448041887</v>
      </c>
      <c r="AR71" s="31" t="n">
        <v>2380.034958698227</v>
      </c>
      <c r="AS71" s="31" t="n">
        <v>1649.826074425654</v>
      </c>
      <c r="AT71" s="31" t="n">
        <v>445.0512410240905</v>
      </c>
      <c r="AU71" s="31" t="n">
        <v>1270.944566049005</v>
      </c>
      <c r="AV71" s="31" t="n">
        <v>703.3663327643039</v>
      </c>
      <c r="AW71" s="31" t="n">
        <v>56.49201170803484</v>
      </c>
      <c r="AX71" s="31" t="n">
        <v>368.0252704470255</v>
      </c>
      <c r="AY71" s="31" t="n">
        <v>306.1988205190905</v>
      </c>
      <c r="AZ71" s="31" t="n">
        <v>364.6906863909489</v>
      </c>
      <c r="BA71" s="31" t="n">
        <v>2348.161195873945</v>
      </c>
      <c r="BB71" s="31" t="n">
        <v>685.1959046564846</v>
      </c>
      <c r="BC71" s="31" t="n">
        <v>795.7251028336834</v>
      </c>
      <c r="BD71" s="31" t="n">
        <v>94.36188238876811</v>
      </c>
      <c r="BE71" s="31" t="n">
        <v>246.5791940804405</v>
      </c>
      <c r="BF71" s="31" t="n">
        <v>484.1640182473542</v>
      </c>
      <c r="BG71" s="31" t="n">
        <v>97.51925220538494</v>
      </c>
      <c r="BH71" s="31" t="n">
        <v>633.4864378533563</v>
      </c>
      <c r="BI71" s="31" t="n">
        <v>461.9552488016291</v>
      </c>
      <c r="BJ71" s="31" t="n">
        <v>135.6306554136815</v>
      </c>
      <c r="BK71" s="31" t="n">
        <v>1684.934048639023</v>
      </c>
      <c r="BL71" s="31" t="n">
        <v>654.1031164171213</v>
      </c>
      <c r="BM71" s="31" t="n">
        <v>747.9481591396465</v>
      </c>
      <c r="BN71" s="31" t="n">
        <v>723.4130000867092</v>
      </c>
      <c r="BO71" s="31" t="n">
        <v>293.2558134753269</v>
      </c>
      <c r="BP71" s="31" t="n">
        <v>191.9247433809338</v>
      </c>
      <c r="BQ71" s="31" t="n">
        <v>81.45409394427</v>
      </c>
      <c r="BR71" s="31" t="n">
        <v>0</v>
      </c>
      <c r="BS71" s="31">
        <f>SUM(C71:BR71)</f>
        <v/>
      </c>
      <c r="BT71" s="31" t="n">
        <v>0</v>
      </c>
      <c r="BU71" s="31" t="n">
        <v>0</v>
      </c>
      <c r="BV71" s="31" t="n">
        <v>0</v>
      </c>
      <c r="BW71" s="31" t="n">
        <v>0</v>
      </c>
      <c r="BX71" s="31">
        <f>SUM(BT71:BW71)</f>
        <v/>
      </c>
      <c r="BY71" s="31">
        <f>BS71+BX71</f>
        <v/>
      </c>
    </row>
    <row r="72">
      <c r="A72" s="28" t="inlineStr">
        <is>
          <t>7880</t>
        </is>
      </c>
      <c r="B72" s="28" t="inlineStr">
        <is>
          <t>Outras atividades administrativas e serviços complementares</t>
        </is>
      </c>
      <c r="C72" s="29" t="n">
        <v>0.8148498239452366</v>
      </c>
      <c r="D72" s="29" t="n">
        <v>0.4030758737505399</v>
      </c>
      <c r="E72" s="29" t="n">
        <v>1.602564136074475</v>
      </c>
      <c r="F72" s="29" t="n">
        <v>42.77999994984695</v>
      </c>
      <c r="G72" s="29" t="n">
        <v>19.90651195401565</v>
      </c>
      <c r="H72" s="29" t="n">
        <v>21.02868216699499</v>
      </c>
      <c r="I72" s="29" t="n">
        <v>6.474366585242874</v>
      </c>
      <c r="J72" s="29" t="n">
        <v>9.491006096015933</v>
      </c>
      <c r="K72" s="29" t="n">
        <v>17.83311649584532</v>
      </c>
      <c r="L72" s="29" t="n">
        <v>38.05768107139129</v>
      </c>
      <c r="M72" s="29" t="n">
        <v>55.28153898013869</v>
      </c>
      <c r="N72" s="29" t="n">
        <v>7.404492314364624</v>
      </c>
      <c r="O72" s="29" t="n">
        <v>9.450397463128953</v>
      </c>
      <c r="P72" s="29" t="n">
        <v>6.020685039773384</v>
      </c>
      <c r="Q72" s="29" t="n">
        <v>9.192699767735142</v>
      </c>
      <c r="R72" s="29" t="n">
        <v>0.804252179809721</v>
      </c>
      <c r="S72" s="29" t="n">
        <v>10.20771784233783</v>
      </c>
      <c r="T72" s="29" t="n">
        <v>1.492850840897482</v>
      </c>
      <c r="U72" s="29" t="n">
        <v>4.40151119846999</v>
      </c>
      <c r="V72" s="29" t="n">
        <v>5.85781179418655</v>
      </c>
      <c r="W72" s="29" t="n">
        <v>20.15485481085256</v>
      </c>
      <c r="X72" s="29" t="n">
        <v>23.59804966548326</v>
      </c>
      <c r="Y72" s="29" t="n">
        <v>15.08663516127411</v>
      </c>
      <c r="Z72" s="29" t="n">
        <v>46.52048045116604</v>
      </c>
      <c r="AA72" s="29" t="n">
        <v>12.66949519548262</v>
      </c>
      <c r="AB72" s="29" t="n">
        <v>43.79544985756849</v>
      </c>
      <c r="AC72" s="29" t="n">
        <v>18.90508493082726</v>
      </c>
      <c r="AD72" s="29" t="n">
        <v>21.08152949744285</v>
      </c>
      <c r="AE72" s="29" t="n">
        <v>30.46617291114691</v>
      </c>
      <c r="AF72" s="29" t="n">
        <v>46.62434896515652</v>
      </c>
      <c r="AG72" s="29" t="n">
        <v>32.64058511730503</v>
      </c>
      <c r="AH72" s="29" t="n">
        <v>92.85357685253918</v>
      </c>
      <c r="AI72" s="29" t="n">
        <v>60.11203184653774</v>
      </c>
      <c r="AJ72" s="29" t="n">
        <v>20.52207622142937</v>
      </c>
      <c r="AK72" s="29" t="n">
        <v>5.806064630334943</v>
      </c>
      <c r="AL72" s="29" t="n">
        <v>8.45977762233502</v>
      </c>
      <c r="AM72" s="29" t="n">
        <v>14.51178018724134</v>
      </c>
      <c r="AN72" s="29" t="n">
        <v>124.1022383392985</v>
      </c>
      <c r="AO72" s="29" t="n">
        <v>12.06952834294101</v>
      </c>
      <c r="AP72" s="29" t="n">
        <v>109.4575530222542</v>
      </c>
      <c r="AQ72" s="29" t="n">
        <v>96.91516701710708</v>
      </c>
      <c r="AR72" s="29" t="n">
        <v>1198.056019727498</v>
      </c>
      <c r="AS72" s="29" t="n">
        <v>82.03639045047228</v>
      </c>
      <c r="AT72" s="29" t="n">
        <v>7.761251648502738</v>
      </c>
      <c r="AU72" s="29" t="n">
        <v>47.28289018714842</v>
      </c>
      <c r="AV72" s="29" t="n">
        <v>113.4418235360666</v>
      </c>
      <c r="AW72" s="29" t="n">
        <v>48.04751337578994</v>
      </c>
      <c r="AX72" s="29" t="n">
        <v>68.03324449326227</v>
      </c>
      <c r="AY72" s="29" t="n">
        <v>19.47856782041001</v>
      </c>
      <c r="AZ72" s="29" t="n">
        <v>26.75701989295674</v>
      </c>
      <c r="BA72" s="29" t="n">
        <v>1066.595207555033</v>
      </c>
      <c r="BB72" s="29" t="n">
        <v>263.8715578229005</v>
      </c>
      <c r="BC72" s="29" t="n">
        <v>1430.811613207853</v>
      </c>
      <c r="BD72" s="29" t="n">
        <v>37.22148615881944</v>
      </c>
      <c r="BE72" s="29" t="n">
        <v>130.7226449628596</v>
      </c>
      <c r="BF72" s="29" t="n">
        <v>33.48131485634016</v>
      </c>
      <c r="BG72" s="29" t="n">
        <v>30.91630458682807</v>
      </c>
      <c r="BH72" s="29" t="n">
        <v>29.84267503157002</v>
      </c>
      <c r="BI72" s="29" t="n">
        <v>223.3892127417025</v>
      </c>
      <c r="BJ72" s="29" t="n">
        <v>22.04111988400346</v>
      </c>
      <c r="BK72" s="29" t="n">
        <v>1185.454338271511</v>
      </c>
      <c r="BL72" s="29" t="n">
        <v>534.3773347025819</v>
      </c>
      <c r="BM72" s="29" t="n">
        <v>126.0393969859504</v>
      </c>
      <c r="BN72" s="29" t="n">
        <v>515.609593043254</v>
      </c>
      <c r="BO72" s="29" t="n">
        <v>97.75353339244889</v>
      </c>
      <c r="BP72" s="29" t="n">
        <v>34.68755672971878</v>
      </c>
      <c r="BQ72" s="29" t="n">
        <v>306.5561488856137</v>
      </c>
      <c r="BR72" s="29" t="n">
        <v>0</v>
      </c>
      <c r="BS72" s="29">
        <f>SUM(C72:BR72)</f>
        <v/>
      </c>
      <c r="BT72" s="29" t="n">
        <v>0</v>
      </c>
      <c r="BU72" s="29" t="n">
        <v>0</v>
      </c>
      <c r="BV72" s="29" t="n">
        <v>0</v>
      </c>
      <c r="BW72" s="29" t="n">
        <v>0</v>
      </c>
      <c r="BX72" s="29">
        <f>SUM(BT72:BW72)</f>
        <v/>
      </c>
      <c r="BY72" s="29">
        <f>BS72+BX72</f>
        <v/>
      </c>
    </row>
    <row r="73">
      <c r="A73" s="30" t="inlineStr">
        <is>
          <t>8000</t>
        </is>
      </c>
      <c r="B73" s="30" t="inlineStr">
        <is>
          <t>Atividades de vigilância, segurança e investigação</t>
        </is>
      </c>
      <c r="C73" s="31" t="n">
        <v>0.03470688176870614</v>
      </c>
      <c r="D73" s="31" t="n">
        <v>-0.006194022426762228</v>
      </c>
      <c r="E73" s="31" t="n">
        <v>0.1319908179380264</v>
      </c>
      <c r="F73" s="31" t="n">
        <v>0.2241611249040993</v>
      </c>
      <c r="G73" s="31" t="n">
        <v>2.32080148667818</v>
      </c>
      <c r="H73" s="31" t="n">
        <v>1.808580815141749</v>
      </c>
      <c r="I73" s="31" t="n">
        <v>0.2742974252577882</v>
      </c>
      <c r="J73" s="31" t="n">
        <v>-4.003620761040153</v>
      </c>
      <c r="K73" s="31" t="n">
        <v>3.344373493012623</v>
      </c>
      <c r="L73" s="31" t="n">
        <v>-0.6048023588517148</v>
      </c>
      <c r="M73" s="31" t="n">
        <v>2.910837292759795</v>
      </c>
      <c r="N73" s="31" t="n">
        <v>4.037110041833955</v>
      </c>
      <c r="O73" s="31" t="n">
        <v>-0.351427174346312</v>
      </c>
      <c r="P73" s="31" t="n">
        <v>-0.6007025336611806</v>
      </c>
      <c r="Q73" s="31" t="n">
        <v>-0.7831593291579551</v>
      </c>
      <c r="R73" s="31" t="n">
        <v>0.8133998725447591</v>
      </c>
      <c r="S73" s="31" t="n">
        <v>6.366127992438029</v>
      </c>
      <c r="T73" s="31" t="n">
        <v>0.5207891002311579</v>
      </c>
      <c r="U73" s="31" t="n">
        <v>2.050503350451292</v>
      </c>
      <c r="V73" s="31" t="n">
        <v>-0.6107540409873087</v>
      </c>
      <c r="W73" s="31" t="n">
        <v>5.203593247562895</v>
      </c>
      <c r="X73" s="31" t="n">
        <v>2.85695057483181</v>
      </c>
      <c r="Y73" s="31" t="n">
        <v>0.7566385542731596</v>
      </c>
      <c r="Z73" s="31" t="n">
        <v>3.221236313384889</v>
      </c>
      <c r="AA73" s="31" t="n">
        <v>2.606518633022813</v>
      </c>
      <c r="AB73" s="31" t="n">
        <v>10.83244942215862</v>
      </c>
      <c r="AC73" s="31" t="n">
        <v>-0.8608351045507634</v>
      </c>
      <c r="AD73" s="31" t="n">
        <v>0.633573244103858</v>
      </c>
      <c r="AE73" s="31" t="n">
        <v>3.058684489260893</v>
      </c>
      <c r="AF73" s="31" t="n">
        <v>2.833336360233027</v>
      </c>
      <c r="AG73" s="31" t="n">
        <v>0.6626150702128264</v>
      </c>
      <c r="AH73" s="31" t="n">
        <v>2.710529533946686</v>
      </c>
      <c r="AI73" s="31" t="n">
        <v>19.28550691867976</v>
      </c>
      <c r="AJ73" s="31" t="n">
        <v>9.41461377163694</v>
      </c>
      <c r="AK73" s="31" t="n">
        <v>2.738015849550825</v>
      </c>
      <c r="AL73" s="31" t="n">
        <v>0.2867665539756183</v>
      </c>
      <c r="AM73" s="31" t="n">
        <v>3.503367199986096</v>
      </c>
      <c r="AN73" s="31" t="n">
        <v>7.041452721414476</v>
      </c>
      <c r="AO73" s="31" t="n">
        <v>13.65850420547744</v>
      </c>
      <c r="AP73" s="31" t="n">
        <v>24.54702821281368</v>
      </c>
      <c r="AQ73" s="31" t="n">
        <v>23.63914717517182</v>
      </c>
      <c r="AR73" s="31" t="n">
        <v>107.0285383179093</v>
      </c>
      <c r="AS73" s="31" t="n">
        <v>42.14162219992715</v>
      </c>
      <c r="AT73" s="31" t="n">
        <v>0.6600887909621533</v>
      </c>
      <c r="AU73" s="31" t="n">
        <v>6.94998979698645</v>
      </c>
      <c r="AV73" s="31" t="n">
        <v>70.60394838730548</v>
      </c>
      <c r="AW73" s="31" t="n">
        <v>2.864078308758727</v>
      </c>
      <c r="AX73" s="31" t="n">
        <v>15.59224612816173</v>
      </c>
      <c r="AY73" s="31" t="n">
        <v>0.3650563617437828</v>
      </c>
      <c r="AZ73" s="31" t="n">
        <v>7.28421006554887</v>
      </c>
      <c r="BA73" s="31" t="n">
        <v>12.90822448473713</v>
      </c>
      <c r="BB73" s="31" t="n">
        <v>10.32131985361391</v>
      </c>
      <c r="BC73" s="31" t="n">
        <v>206.8452636461592</v>
      </c>
      <c r="BD73" s="31" t="n">
        <v>4.979380919646346</v>
      </c>
      <c r="BE73" s="31" t="n">
        <v>19.42696739309439</v>
      </c>
      <c r="BF73" s="31" t="n">
        <v>0.4675658368140005</v>
      </c>
      <c r="BG73" s="31" t="n">
        <v>4.532404811111217</v>
      </c>
      <c r="BH73" s="31" t="n">
        <v>3.303875908958846</v>
      </c>
      <c r="BI73" s="31" t="n">
        <v>18.54074198351689</v>
      </c>
      <c r="BJ73" s="31" t="n">
        <v>1.312403256497494</v>
      </c>
      <c r="BK73" s="31" t="n">
        <v>186.3686868214601</v>
      </c>
      <c r="BL73" s="31" t="n">
        <v>76.70976979879589</v>
      </c>
      <c r="BM73" s="31" t="n">
        <v>34.43441641898499</v>
      </c>
      <c r="BN73" s="31" t="n">
        <v>39.71879392247558</v>
      </c>
      <c r="BO73" s="31" t="n">
        <v>0.007590123849657141</v>
      </c>
      <c r="BP73" s="31" t="n">
        <v>4.210899117543361</v>
      </c>
      <c r="BQ73" s="31" t="n">
        <v>0.1171222463448831</v>
      </c>
      <c r="BR73" s="31" t="n">
        <v>0</v>
      </c>
      <c r="BS73" s="31">
        <f>SUM(C73:BR73)</f>
        <v/>
      </c>
      <c r="BT73" s="31" t="n">
        <v>0</v>
      </c>
      <c r="BU73" s="31" t="n">
        <v>0</v>
      </c>
      <c r="BV73" s="31" t="n">
        <v>0</v>
      </c>
      <c r="BW73" s="31" t="n">
        <v>0</v>
      </c>
      <c r="BX73" s="31">
        <f>SUM(BT73:BW73)</f>
        <v/>
      </c>
      <c r="BY73" s="31">
        <f>BS73+BX73</f>
        <v/>
      </c>
    </row>
    <row r="74">
      <c r="A74" s="28" t="inlineStr">
        <is>
          <t>8400</t>
        </is>
      </c>
      <c r="B74" s="28" t="inlineStr">
        <is>
          <t>Administração pública, defesa e seguridade social</t>
        </is>
      </c>
      <c r="C74" s="29" t="n">
        <v>73.26332513816712</v>
      </c>
      <c r="D74" s="29" t="n">
        <v>45.03986010009017</v>
      </c>
      <c r="E74" s="29" t="n">
        <v>2.400300480075351</v>
      </c>
      <c r="F74" s="29" t="n">
        <v>4.545263535559322</v>
      </c>
      <c r="G74" s="29" t="n">
        <v>45.13516236141707</v>
      </c>
      <c r="H74" s="29" t="n">
        <v>16.58071909133</v>
      </c>
      <c r="I74" s="29" t="n">
        <v>3.874653973950127</v>
      </c>
      <c r="J74" s="29" t="n">
        <v>13.27907370467796</v>
      </c>
      <c r="K74" s="29" t="n">
        <v>11.66027199165238</v>
      </c>
      <c r="L74" s="29" t="n">
        <v>336.4847042635382</v>
      </c>
      <c r="M74" s="29" t="n">
        <v>40.00559640715294</v>
      </c>
      <c r="N74" s="29" t="n">
        <v>11.89931590092924</v>
      </c>
      <c r="O74" s="29" t="n">
        <v>3.184481503008582</v>
      </c>
      <c r="P74" s="29" t="n">
        <v>1.085635307921171</v>
      </c>
      <c r="Q74" s="29" t="n">
        <v>3.82158196606318</v>
      </c>
      <c r="R74" s="29" t="n">
        <v>2.722059143143988</v>
      </c>
      <c r="S74" s="29" t="n">
        <v>28.0322619336885</v>
      </c>
      <c r="T74" s="29" t="n">
        <v>1.540022858930451</v>
      </c>
      <c r="U74" s="29" t="n">
        <v>11.24499923340758</v>
      </c>
      <c r="V74" s="29" t="n">
        <v>2.773345632893316</v>
      </c>
      <c r="W74" s="29" t="n">
        <v>251.4452299782733</v>
      </c>
      <c r="X74" s="29" t="n">
        <v>50.74513578692873</v>
      </c>
      <c r="Y74" s="29" t="n">
        <v>20.82359039101873</v>
      </c>
      <c r="Z74" s="29" t="n">
        <v>30.43116884211451</v>
      </c>
      <c r="AA74" s="29" t="n">
        <v>12.23444128606407</v>
      </c>
      <c r="AB74" s="29" t="n">
        <v>25.40475731609538</v>
      </c>
      <c r="AC74" s="29" t="n">
        <v>28.90281466941962</v>
      </c>
      <c r="AD74" s="29" t="n">
        <v>13.97692719646554</v>
      </c>
      <c r="AE74" s="29" t="n">
        <v>12.27639503540317</v>
      </c>
      <c r="AF74" s="29" t="n">
        <v>13.36814883736252</v>
      </c>
      <c r="AG74" s="29" t="n">
        <v>12.9883508432766</v>
      </c>
      <c r="AH74" s="29" t="n">
        <v>24.41834990335241</v>
      </c>
      <c r="AI74" s="29" t="n">
        <v>53.67008362407283</v>
      </c>
      <c r="AJ74" s="29" t="n">
        <v>12.341113061352</v>
      </c>
      <c r="AK74" s="29" t="n">
        <v>6.894780452438733</v>
      </c>
      <c r="AL74" s="29" t="n">
        <v>5.616523207787227</v>
      </c>
      <c r="AM74" s="29" t="n">
        <v>11.4302254870715</v>
      </c>
      <c r="AN74" s="29" t="n">
        <v>47.81715305663572</v>
      </c>
      <c r="AO74" s="29" t="n">
        <v>18.17501727936346</v>
      </c>
      <c r="AP74" s="29" t="n">
        <v>63.38743114305171</v>
      </c>
      <c r="AQ74" s="29" t="n">
        <v>30.53428810483884</v>
      </c>
      <c r="AR74" s="29" t="n">
        <v>163.1964564707899</v>
      </c>
      <c r="AS74" s="29" t="n">
        <v>36.16185837034465</v>
      </c>
      <c r="AT74" s="29" t="n">
        <v>10.15115096080984</v>
      </c>
      <c r="AU74" s="29" t="n">
        <v>15.40529684463471</v>
      </c>
      <c r="AV74" s="29" t="n">
        <v>35.45268784973567</v>
      </c>
      <c r="AW74" s="29" t="n">
        <v>3.773644460576046</v>
      </c>
      <c r="AX74" s="29" t="n">
        <v>12.7126833343139</v>
      </c>
      <c r="AY74" s="29" t="n">
        <v>6.061403262083112</v>
      </c>
      <c r="AZ74" s="29" t="n">
        <v>20.71716757485181</v>
      </c>
      <c r="BA74" s="29" t="n">
        <v>21.08640936429083</v>
      </c>
      <c r="BB74" s="29" t="n">
        <v>21.35216890154915</v>
      </c>
      <c r="BC74" s="29" t="n">
        <v>138.8649761353754</v>
      </c>
      <c r="BD74" s="29" t="n">
        <v>13.41484782800757</v>
      </c>
      <c r="BE74" s="29" t="n">
        <v>42.2577438306122</v>
      </c>
      <c r="BF74" s="29" t="n">
        <v>26.35141682099419</v>
      </c>
      <c r="BG74" s="29" t="n">
        <v>25.07660382868466</v>
      </c>
      <c r="BH74" s="29" t="n">
        <v>7.376994184698468</v>
      </c>
      <c r="BI74" s="29" t="n">
        <v>26.21099649117378</v>
      </c>
      <c r="BJ74" s="29" t="n">
        <v>3.29062136663711</v>
      </c>
      <c r="BK74" s="29" t="n">
        <v>137.191457194529</v>
      </c>
      <c r="BL74" s="29" t="n">
        <v>35.31092238261188</v>
      </c>
      <c r="BM74" s="29" t="n">
        <v>25.15845574463564</v>
      </c>
      <c r="BN74" s="29" t="n">
        <v>38.37693004085027</v>
      </c>
      <c r="BO74" s="29" t="n">
        <v>40.22310398302067</v>
      </c>
      <c r="BP74" s="29" t="n">
        <v>12.10572308337439</v>
      </c>
      <c r="BQ74" s="29" t="n">
        <v>94.06935004962568</v>
      </c>
      <c r="BR74" s="29" t="n">
        <v>0</v>
      </c>
      <c r="BS74" s="29">
        <f>SUM(C74:BR74)</f>
        <v/>
      </c>
      <c r="BT74" s="29" t="n">
        <v>0</v>
      </c>
      <c r="BU74" s="29" t="n">
        <v>0</v>
      </c>
      <c r="BV74" s="29" t="n">
        <v>0</v>
      </c>
      <c r="BW74" s="29" t="n">
        <v>0</v>
      </c>
      <c r="BX74" s="29">
        <f>SUM(BT74:BW74)</f>
        <v/>
      </c>
      <c r="BY74" s="29">
        <f>BS74+BX74</f>
        <v/>
      </c>
    </row>
    <row r="75">
      <c r="A75" s="30" t="inlineStr">
        <is>
          <t>8591</t>
        </is>
      </c>
      <c r="B75" s="30" t="inlineStr">
        <is>
          <t>Educação pública</t>
        </is>
      </c>
      <c r="C75" s="31" t="n">
        <v>0.1612589068400877</v>
      </c>
      <c r="D75" s="31" t="n">
        <v>0.0366047713594</v>
      </c>
      <c r="E75" s="31" t="n">
        <v>0.01175440601352584</v>
      </c>
      <c r="F75" s="31" t="n">
        <v>0.1743776709720801</v>
      </c>
      <c r="G75" s="31" t="n">
        <v>1.086611997617473</v>
      </c>
      <c r="H75" s="31" t="n">
        <v>0.2838546323753959</v>
      </c>
      <c r="I75" s="31" t="n">
        <v>0.05580836479134477</v>
      </c>
      <c r="J75" s="31" t="n">
        <v>0.3437575708064423</v>
      </c>
      <c r="K75" s="31" t="n">
        <v>0.1633632151166742</v>
      </c>
      <c r="L75" s="31" t="n">
        <v>0.4097180863781323</v>
      </c>
      <c r="M75" s="31" t="n">
        <v>0.3664506796227561</v>
      </c>
      <c r="N75" s="31" t="n">
        <v>0.1675763782955851</v>
      </c>
      <c r="O75" s="31" t="n">
        <v>0.01158241671415846</v>
      </c>
      <c r="P75" s="31" t="n">
        <v>-0.003733990739463039</v>
      </c>
      <c r="Q75" s="31" t="n">
        <v>-0.03910957746298727</v>
      </c>
      <c r="R75" s="31" t="n">
        <v>-0.002797164493379913</v>
      </c>
      <c r="S75" s="31" t="n">
        <v>0.03707050597657507</v>
      </c>
      <c r="T75" s="31" t="n">
        <v>0.01919127605009328</v>
      </c>
      <c r="U75" s="31" t="n">
        <v>0.4021326100995827</v>
      </c>
      <c r="V75" s="31" t="n">
        <v>0.03552926652626707</v>
      </c>
      <c r="W75" s="31" t="n">
        <v>0.4348181810477547</v>
      </c>
      <c r="X75" s="31" t="n">
        <v>0.3404407841477483</v>
      </c>
      <c r="Y75" s="31" t="n">
        <v>0.2273237439456469</v>
      </c>
      <c r="Z75" s="31" t="n">
        <v>0.5634541036694077</v>
      </c>
      <c r="AA75" s="31" t="n">
        <v>0.1637802559018092</v>
      </c>
      <c r="AB75" s="31" t="n">
        <v>0.2900781316448342</v>
      </c>
      <c r="AC75" s="31" t="n">
        <v>0.1693185390024576</v>
      </c>
      <c r="AD75" s="31" t="n">
        <v>0.1273026559998852</v>
      </c>
      <c r="AE75" s="31" t="n">
        <v>0.1321335937023567</v>
      </c>
      <c r="AF75" s="31" t="n">
        <v>0.4489593813859371</v>
      </c>
      <c r="AG75" s="31" t="n">
        <v>0.3262597855359092</v>
      </c>
      <c r="AH75" s="31" t="n">
        <v>0.5402464165518444</v>
      </c>
      <c r="AI75" s="31" t="n">
        <v>1.05508966534377</v>
      </c>
      <c r="AJ75" s="31" t="n">
        <v>0.4086649121254973</v>
      </c>
      <c r="AK75" s="31" t="n">
        <v>0.08348649102884323</v>
      </c>
      <c r="AL75" s="31" t="n">
        <v>0.07740529472742363</v>
      </c>
      <c r="AM75" s="31" t="n">
        <v>0.1082274327008185</v>
      </c>
      <c r="AN75" s="31" t="n">
        <v>1.106812362937971</v>
      </c>
      <c r="AO75" s="31" t="n">
        <v>0.2368705997628017</v>
      </c>
      <c r="AP75" s="31" t="n">
        <v>2.443449637393943</v>
      </c>
      <c r="AQ75" s="31" t="n">
        <v>0.9964107447146188</v>
      </c>
      <c r="AR75" s="31" t="n">
        <v>5.491421607754223</v>
      </c>
      <c r="AS75" s="31" t="n">
        <v>0.6834135746990324</v>
      </c>
      <c r="AT75" s="31" t="n">
        <v>0.0491026972979494</v>
      </c>
      <c r="AU75" s="31" t="n">
        <v>0.1784313338258762</v>
      </c>
      <c r="AV75" s="31" t="n">
        <v>1.444862724798611</v>
      </c>
      <c r="AW75" s="31" t="n">
        <v>0.1559393446250909</v>
      </c>
      <c r="AX75" s="31" t="n">
        <v>0.2940703360951697</v>
      </c>
      <c r="AY75" s="31" t="n">
        <v>0.06577367038102008</v>
      </c>
      <c r="AZ75" s="31" t="n">
        <v>0.225850258649696</v>
      </c>
      <c r="BA75" s="31" t="n">
        <v>2.519896454483952</v>
      </c>
      <c r="BB75" s="31" t="n">
        <v>1.048317098826224</v>
      </c>
      <c r="BC75" s="31" t="n">
        <v>6.084742610607003</v>
      </c>
      <c r="BD75" s="31" t="n">
        <v>0.2480055807048847</v>
      </c>
      <c r="BE75" s="31" t="n">
        <v>1.733442216526542</v>
      </c>
      <c r="BF75" s="31" t="n">
        <v>1.538253063035496</v>
      </c>
      <c r="BG75" s="31" t="n">
        <v>0.2784304912357694</v>
      </c>
      <c r="BH75" s="31" t="n">
        <v>0.2442427138548249</v>
      </c>
      <c r="BI75" s="31" t="n">
        <v>1.017265111488267</v>
      </c>
      <c r="BJ75" s="31" t="n">
        <v>0.1754010143194422</v>
      </c>
      <c r="BK75" s="31" t="n">
        <v>5.301726164656543</v>
      </c>
      <c r="BL75" s="31" t="n">
        <v>1.855430212766529</v>
      </c>
      <c r="BM75" s="31" t="n">
        <v>0.624526618913863</v>
      </c>
      <c r="BN75" s="31" t="n">
        <v>1.779063806733921</v>
      </c>
      <c r="BO75" s="31" t="n">
        <v>0.4622013285517739</v>
      </c>
      <c r="BP75" s="31" t="n">
        <v>0.265893341644465</v>
      </c>
      <c r="BQ75" s="31" t="n">
        <v>4.645675986981698</v>
      </c>
      <c r="BR75" s="31" t="n">
        <v>0</v>
      </c>
      <c r="BS75" s="31">
        <f>SUM(C75:BR75)</f>
        <v/>
      </c>
      <c r="BT75" s="31" t="n">
        <v>0</v>
      </c>
      <c r="BU75" s="31" t="n">
        <v>0</v>
      </c>
      <c r="BV75" s="31" t="n">
        <v>0</v>
      </c>
      <c r="BW75" s="31" t="n">
        <v>0</v>
      </c>
      <c r="BX75" s="31">
        <f>SUM(BT75:BW75)</f>
        <v/>
      </c>
      <c r="BY75" s="31">
        <f>BS75+BX75</f>
        <v/>
      </c>
    </row>
    <row r="76">
      <c r="A76" s="28" t="inlineStr">
        <is>
          <t>8592</t>
        </is>
      </c>
      <c r="B76" s="28" t="inlineStr">
        <is>
          <t>Educação privada</t>
        </is>
      </c>
      <c r="C76" s="29" t="n">
        <v>0.03754322288154611</v>
      </c>
      <c r="D76" s="29" t="n">
        <v>0.01789392740457029</v>
      </c>
      <c r="E76" s="29" t="n">
        <v>0.0002211227187545466</v>
      </c>
      <c r="F76" s="29" t="n">
        <v>-0.02476037661176329</v>
      </c>
      <c r="G76" s="29" t="n">
        <v>0.3970048791555528</v>
      </c>
      <c r="H76" s="29" t="n">
        <v>1.777728433802848</v>
      </c>
      <c r="I76" s="29" t="n">
        <v>0.2122092031453389</v>
      </c>
      <c r="J76" s="29" t="n">
        <v>-6.424179281601729</v>
      </c>
      <c r="K76" s="29" t="n">
        <v>-0.4850273818120768</v>
      </c>
      <c r="L76" s="29" t="n">
        <v>-4.141269367754452</v>
      </c>
      <c r="M76" s="29" t="n">
        <v>-0.2136303286622482</v>
      </c>
      <c r="N76" s="29" t="n">
        <v>-0.2984966791505517</v>
      </c>
      <c r="O76" s="29" t="n">
        <v>-0.8297798672014269</v>
      </c>
      <c r="P76" s="29" t="n">
        <v>-0.793099019225928</v>
      </c>
      <c r="Q76" s="29" t="n">
        <v>-1.145423473546152</v>
      </c>
      <c r="R76" s="29" t="n">
        <v>-0.2814072256409142</v>
      </c>
      <c r="S76" s="29" t="n">
        <v>-1.479325803692178</v>
      </c>
      <c r="T76" s="29" t="n">
        <v>-0.1005621305537157</v>
      </c>
      <c r="U76" s="29" t="n">
        <v>-0.4147768785726714</v>
      </c>
      <c r="V76" s="29" t="n">
        <v>-0.3623116660869971</v>
      </c>
      <c r="W76" s="29" t="n">
        <v>-0.9176390223304566</v>
      </c>
      <c r="X76" s="29" t="n">
        <v>-1.056414636419231</v>
      </c>
      <c r="Y76" s="29" t="n">
        <v>-0.08874900916982988</v>
      </c>
      <c r="Z76" s="29" t="n">
        <v>-1.506721362391138</v>
      </c>
      <c r="AA76" s="29" t="n">
        <v>-1.781540967740532</v>
      </c>
      <c r="AB76" s="29" t="n">
        <v>-1.312378444597065</v>
      </c>
      <c r="AC76" s="29" t="n">
        <v>0.9296970990909077</v>
      </c>
      <c r="AD76" s="29" t="n">
        <v>0.2551488433987016</v>
      </c>
      <c r="AE76" s="29" t="n">
        <v>-0.7628584746535954</v>
      </c>
      <c r="AF76" s="29" t="n">
        <v>-0.9688056900215628</v>
      </c>
      <c r="AG76" s="29" t="n">
        <v>-1.318070693825421</v>
      </c>
      <c r="AH76" s="29" t="n">
        <v>-2.814328977053009</v>
      </c>
      <c r="AI76" s="29" t="n">
        <v>1.968184234221673</v>
      </c>
      <c r="AJ76" s="29" t="n">
        <v>0.02407911779828537</v>
      </c>
      <c r="AK76" s="29" t="n">
        <v>-0.212393493123967</v>
      </c>
      <c r="AL76" s="29" t="n">
        <v>-0.7419910800054411</v>
      </c>
      <c r="AM76" s="29" t="n">
        <v>0.07765539738063205</v>
      </c>
      <c r="AN76" s="29" t="n">
        <v>1.277700215324831</v>
      </c>
      <c r="AO76" s="29" t="n">
        <v>0.01705593883616585</v>
      </c>
      <c r="AP76" s="29" t="n">
        <v>0.08572420050514923</v>
      </c>
      <c r="AQ76" s="29" t="n">
        <v>0.5549039612386291</v>
      </c>
      <c r="AR76" s="29" t="n">
        <v>3.119498268626428</v>
      </c>
      <c r="AS76" s="29" t="n">
        <v>13.82687393918336</v>
      </c>
      <c r="AT76" s="29" t="n">
        <v>1.064732166639562</v>
      </c>
      <c r="AU76" s="29" t="n">
        <v>0.2159866347273135</v>
      </c>
      <c r="AV76" s="29" t="n">
        <v>3.268128005632338</v>
      </c>
      <c r="AW76" s="29" t="n">
        <v>0.04911032311202949</v>
      </c>
      <c r="AX76" s="29" t="n">
        <v>0.1193615452259413</v>
      </c>
      <c r="AY76" s="29" t="n">
        <v>-0.8422967775432038</v>
      </c>
      <c r="AZ76" s="29" t="n">
        <v>-0.7082959488708852</v>
      </c>
      <c r="BA76" s="29" t="n">
        <v>-4.554486989992744</v>
      </c>
      <c r="BB76" s="29" t="n">
        <v>-0.3209102204930208</v>
      </c>
      <c r="BC76" s="29" t="n">
        <v>28.54042505285589</v>
      </c>
      <c r="BD76" s="29" t="n">
        <v>0.04997472244962928</v>
      </c>
      <c r="BE76" s="29" t="n">
        <v>29.5209359746954</v>
      </c>
      <c r="BF76" s="29" t="n">
        <v>2.533306119177371</v>
      </c>
      <c r="BG76" s="29" t="n">
        <v>7.138583145481487</v>
      </c>
      <c r="BH76" s="29" t="n">
        <v>0.8571615741842569</v>
      </c>
      <c r="BI76" s="29" t="n">
        <v>22.2136057128757</v>
      </c>
      <c r="BJ76" s="29" t="n">
        <v>1.993637107271462</v>
      </c>
      <c r="BK76" s="29" t="n">
        <v>8.034498998894161</v>
      </c>
      <c r="BL76" s="29" t="n">
        <v>12.11178890849126</v>
      </c>
      <c r="BM76" s="29" t="n">
        <v>0.08085607951200492</v>
      </c>
      <c r="BN76" s="29" t="n">
        <v>8.279810794170848</v>
      </c>
      <c r="BO76" s="29" t="n">
        <v>0.04100309558560603</v>
      </c>
      <c r="BP76" s="29" t="n">
        <v>0.07302693294427527</v>
      </c>
      <c r="BQ76" s="29" t="n">
        <v>5.348389527190986</v>
      </c>
      <c r="BR76" s="29" t="n">
        <v>0</v>
      </c>
      <c r="BS76" s="29">
        <f>SUM(C76:BR76)</f>
        <v/>
      </c>
      <c r="BT76" s="29" t="n">
        <v>0</v>
      </c>
      <c r="BU76" s="29" t="n">
        <v>0</v>
      </c>
      <c r="BV76" s="29" t="n">
        <v>0</v>
      </c>
      <c r="BW76" s="29" t="n">
        <v>0</v>
      </c>
      <c r="BX76" s="29">
        <f>SUM(BT76:BW76)</f>
        <v/>
      </c>
      <c r="BY76" s="29">
        <f>BS76+BX76</f>
        <v/>
      </c>
    </row>
    <row r="77">
      <c r="A77" s="30" t="inlineStr">
        <is>
          <t>8691</t>
        </is>
      </c>
      <c r="B77" s="30" t="inlineStr">
        <is>
          <t>Saúde pública</t>
        </is>
      </c>
      <c r="C77" s="31" t="n">
        <v>0.0117827045828072</v>
      </c>
      <c r="D77" s="31" t="n">
        <v>0.05005901734040308</v>
      </c>
      <c r="E77" s="31" t="n">
        <v>0.0003445052117831858</v>
      </c>
      <c r="F77" s="31" t="n">
        <v>0.001052801038576569</v>
      </c>
      <c r="G77" s="31" t="n">
        <v>0.02905276093954958</v>
      </c>
      <c r="H77" s="31" t="n">
        <v>0.006408706292294912</v>
      </c>
      <c r="I77" s="31" t="n">
        <v>0.001197079483854414</v>
      </c>
      <c r="J77" s="31" t="n">
        <v>0.01511453842713345</v>
      </c>
      <c r="K77" s="31" t="n">
        <v>0.004868113976031492</v>
      </c>
      <c r="L77" s="31" t="n">
        <v>0.01760843487345457</v>
      </c>
      <c r="M77" s="31" t="n">
        <v>0.007900432029309446</v>
      </c>
      <c r="N77" s="31" t="n">
        <v>0.002633527623588004</v>
      </c>
      <c r="O77" s="31" t="n">
        <v>0.00211169868294125</v>
      </c>
      <c r="P77" s="31" t="n">
        <v>0.002296664962428839</v>
      </c>
      <c r="Q77" s="31" t="n">
        <v>0.002512385971598013</v>
      </c>
      <c r="R77" s="31" t="n">
        <v>0.0007062082813943313</v>
      </c>
      <c r="S77" s="31" t="n">
        <v>0.006561020859971009</v>
      </c>
      <c r="T77" s="31" t="n">
        <v>0.0006508152927487958</v>
      </c>
      <c r="U77" s="31" t="n">
        <v>0.0044341178826372</v>
      </c>
      <c r="V77" s="31" t="n">
        <v>0.002115192419230233</v>
      </c>
      <c r="W77" s="31" t="n">
        <v>0.01133985982464827</v>
      </c>
      <c r="X77" s="31" t="n">
        <v>0.01205308889895818</v>
      </c>
      <c r="Y77" s="31" t="n">
        <v>0.006629383431731921</v>
      </c>
      <c r="Z77" s="31" t="n">
        <v>0.07697612982074301</v>
      </c>
      <c r="AA77" s="31" t="n">
        <v>0.01113188582338309</v>
      </c>
      <c r="AB77" s="31" t="n">
        <v>0.008280272503413654</v>
      </c>
      <c r="AC77" s="31" t="n">
        <v>0.005810333958089785</v>
      </c>
      <c r="AD77" s="31" t="n">
        <v>0.004483509608047281</v>
      </c>
      <c r="AE77" s="31" t="n">
        <v>0.005991681157385065</v>
      </c>
      <c r="AF77" s="31" t="n">
        <v>0.01064291714854199</v>
      </c>
      <c r="AG77" s="31" t="n">
        <v>0.008653913395607471</v>
      </c>
      <c r="AH77" s="31" t="n">
        <v>0.02193070739433507</v>
      </c>
      <c r="AI77" s="31" t="n">
        <v>0.03705237298366706</v>
      </c>
      <c r="AJ77" s="31" t="n">
        <v>0.01296322607720333</v>
      </c>
      <c r="AK77" s="31" t="n">
        <v>0.003000044236453078</v>
      </c>
      <c r="AL77" s="31" t="n">
        <v>0.003718863447997625</v>
      </c>
      <c r="AM77" s="31" t="n">
        <v>0.001604834860083595</v>
      </c>
      <c r="AN77" s="31" t="n">
        <v>0.03338781047801811</v>
      </c>
      <c r="AO77" s="31" t="n">
        <v>0.006238755935877884</v>
      </c>
      <c r="AP77" s="31" t="n">
        <v>0.0604485531358442</v>
      </c>
      <c r="AQ77" s="31" t="n">
        <v>0.005964491051000854</v>
      </c>
      <c r="AR77" s="31" t="n">
        <v>0.03696549926181767</v>
      </c>
      <c r="AS77" s="31" t="n">
        <v>0.006576508896498979</v>
      </c>
      <c r="AT77" s="31" t="n">
        <v>0.0002438170122746734</v>
      </c>
      <c r="AU77" s="31" t="n">
        <v>0.0003619715060254008</v>
      </c>
      <c r="AV77" s="31" t="n">
        <v>0.04693676470936434</v>
      </c>
      <c r="AW77" s="31" t="n">
        <v>0.0003331037432762374</v>
      </c>
      <c r="AX77" s="31" t="n">
        <v>0.000771656216669409</v>
      </c>
      <c r="AY77" s="31" t="n">
        <v>0.001247170255065453</v>
      </c>
      <c r="AZ77" s="31" t="n">
        <v>0.002265975903195023</v>
      </c>
      <c r="BA77" s="31" t="n">
        <v>0.006309251446724413</v>
      </c>
      <c r="BB77" s="31" t="n">
        <v>0.00631642200629368</v>
      </c>
      <c r="BC77" s="31" t="n">
        <v>0.02557147181361457</v>
      </c>
      <c r="BD77" s="31" t="n">
        <v>0.001386443852146323</v>
      </c>
      <c r="BE77" s="31" t="n">
        <v>0.007674448450694321</v>
      </c>
      <c r="BF77" s="31" t="n">
        <v>0.05891822571372135</v>
      </c>
      <c r="BG77" s="31" t="n">
        <v>0.001697941316607008</v>
      </c>
      <c r="BH77" s="31" t="n">
        <v>0.002287638326558432</v>
      </c>
      <c r="BI77" s="31" t="n">
        <v>0.002752815034779519</v>
      </c>
      <c r="BJ77" s="31" t="n">
        <v>0.000538161043029885</v>
      </c>
      <c r="BK77" s="31" t="n">
        <v>0.09235585504575483</v>
      </c>
      <c r="BL77" s="31" t="n">
        <v>0.02197331181286911</v>
      </c>
      <c r="BM77" s="31" t="n">
        <v>0.005473457075832055</v>
      </c>
      <c r="BN77" s="31" t="n">
        <v>0.08293334638204884</v>
      </c>
      <c r="BO77" s="31" t="n">
        <v>6.831353537205916</v>
      </c>
      <c r="BP77" s="31" t="n">
        <v>0.001379197025243802</v>
      </c>
      <c r="BQ77" s="31" t="n">
        <v>0.01203399179841776</v>
      </c>
      <c r="BR77" s="31" t="n">
        <v>0</v>
      </c>
      <c r="BS77" s="31">
        <f>SUM(C77:BR77)</f>
        <v/>
      </c>
      <c r="BT77" s="31" t="n">
        <v>0</v>
      </c>
      <c r="BU77" s="31" t="n">
        <v>0</v>
      </c>
      <c r="BV77" s="31" t="n">
        <v>0</v>
      </c>
      <c r="BW77" s="31" t="n">
        <v>0</v>
      </c>
      <c r="BX77" s="31">
        <f>SUM(BT77:BW77)</f>
        <v/>
      </c>
      <c r="BY77" s="31">
        <f>BS77+BX77</f>
        <v/>
      </c>
    </row>
    <row r="78">
      <c r="A78" s="28" t="inlineStr">
        <is>
          <t>8692</t>
        </is>
      </c>
      <c r="B78" s="28" t="inlineStr">
        <is>
          <t>Saúde privada</t>
        </is>
      </c>
      <c r="C78" s="29" t="n">
        <v>0.0007663105809749978</v>
      </c>
      <c r="D78" s="29" t="n">
        <v>0.000328418820417857</v>
      </c>
      <c r="E78" s="29" t="n">
        <v>0.0007663105809749978</v>
      </c>
      <c r="F78" s="29" t="n">
        <v>0.002518491003698387</v>
      </c>
      <c r="G78" s="29" t="n">
        <v>0.02069038568632494</v>
      </c>
      <c r="H78" s="29" t="n">
        <v>0.002885552795289942</v>
      </c>
      <c r="I78" s="29" t="n">
        <v>0.001423148221810712</v>
      </c>
      <c r="J78" s="29" t="n">
        <v>0.04578974462246759</v>
      </c>
      <c r="K78" s="29" t="n">
        <v>0.01719277202632126</v>
      </c>
      <c r="L78" s="29" t="n">
        <v>0.03428281829794624</v>
      </c>
      <c r="M78" s="29" t="n">
        <v>0.005944047933746919</v>
      </c>
      <c r="N78" s="29" t="n">
        <v>0.002855497151043732</v>
      </c>
      <c r="O78" s="29" t="n">
        <v>0.0280250726756571</v>
      </c>
      <c r="P78" s="29" t="n">
        <v>0.02989285984346797</v>
      </c>
      <c r="Q78" s="29" t="n">
        <v>0.008769489440544429</v>
      </c>
      <c r="R78" s="29" t="n">
        <v>0.002740503786451057</v>
      </c>
      <c r="S78" s="29" t="n">
        <v>0.01271112866605353</v>
      </c>
      <c r="T78" s="29" t="n">
        <v>0.005583733327598392</v>
      </c>
      <c r="U78" s="29" t="n">
        <v>0.01302727987657498</v>
      </c>
      <c r="V78" s="29" t="n">
        <v>0.01094729401392853</v>
      </c>
      <c r="W78" s="29" t="n">
        <v>0.01481871665096685</v>
      </c>
      <c r="X78" s="29" t="n">
        <v>0.008878962380683732</v>
      </c>
      <c r="Y78" s="29" t="n">
        <v>0.01316435493898121</v>
      </c>
      <c r="Z78" s="29" t="n">
        <v>0.0200099483746248</v>
      </c>
      <c r="AA78" s="29" t="n">
        <v>0.03362291375463631</v>
      </c>
      <c r="AB78" s="29" t="n">
        <v>0.01829486199365192</v>
      </c>
      <c r="AC78" s="29" t="n">
        <v>0.02453420620109633</v>
      </c>
      <c r="AD78" s="29" t="n">
        <v>0.000913199731298343</v>
      </c>
      <c r="AE78" s="29" t="n">
        <v>0.02080415228992799</v>
      </c>
      <c r="AF78" s="29" t="n">
        <v>0.01732125976179989</v>
      </c>
      <c r="AG78" s="29" t="n">
        <v>0.01122205751923581</v>
      </c>
      <c r="AH78" s="29" t="n">
        <v>0.02140242757169451</v>
      </c>
      <c r="AI78" s="29" t="n">
        <v>0.01481229163395742</v>
      </c>
      <c r="AJ78" s="29" t="n">
        <v>0.0222892519417156</v>
      </c>
      <c r="AK78" s="29" t="n">
        <v>0.006037572981020861</v>
      </c>
      <c r="AL78" s="29" t="n">
        <v>0.02037300771481391</v>
      </c>
      <c r="AM78" s="29" t="n">
        <v>0.004379530986066239</v>
      </c>
      <c r="AN78" s="29" t="n">
        <v>0.0772127721059061</v>
      </c>
      <c r="AO78" s="29" t="n">
        <v>0.02704349649737251</v>
      </c>
      <c r="AP78" s="29" t="n">
        <v>0.1395896529069904</v>
      </c>
      <c r="AQ78" s="29" t="n">
        <v>0.3762584952587237</v>
      </c>
      <c r="AR78" s="29" t="n">
        <v>2.753183428621984</v>
      </c>
      <c r="AS78" s="29" t="n">
        <v>0.1055319142942715</v>
      </c>
      <c r="AT78" s="29" t="n">
        <v>0.006349430528078561</v>
      </c>
      <c r="AU78" s="29" t="n">
        <v>0.01182307753504286</v>
      </c>
      <c r="AV78" s="29" t="n">
        <v>0.201758628676703</v>
      </c>
      <c r="AW78" s="29" t="n">
        <v>0.09655513320284989</v>
      </c>
      <c r="AX78" s="29" t="n">
        <v>0.4143550784271963</v>
      </c>
      <c r="AY78" s="29" t="n">
        <v>0.03415678408444677</v>
      </c>
      <c r="AZ78" s="29" t="n">
        <v>0.04838703954156424</v>
      </c>
      <c r="BA78" s="29" t="n">
        <v>0.2774430732841226</v>
      </c>
      <c r="BB78" s="29" t="n">
        <v>0.1154065606046206</v>
      </c>
      <c r="BC78" s="29" t="n">
        <v>0.6524630168936066</v>
      </c>
      <c r="BD78" s="29" t="n">
        <v>0.1732956642404893</v>
      </c>
      <c r="BE78" s="29" t="n">
        <v>0.3589617707167172</v>
      </c>
      <c r="BF78" s="29" t="n">
        <v>0.08437519204531106</v>
      </c>
      <c r="BG78" s="29" t="n">
        <v>0.08079102982279272</v>
      </c>
      <c r="BH78" s="29" t="n">
        <v>0.09591056317191045</v>
      </c>
      <c r="BI78" s="29" t="n">
        <v>0.2662406439407209</v>
      </c>
      <c r="BJ78" s="29" t="n">
        <v>0.02277037154897139</v>
      </c>
      <c r="BK78" s="29" t="n">
        <v>1.773614309638795</v>
      </c>
      <c r="BL78" s="29" t="n">
        <v>0.1115962959042482</v>
      </c>
      <c r="BM78" s="29" t="n">
        <v>0.3225078950308299</v>
      </c>
      <c r="BN78" s="29" t="n">
        <v>0.3469940723539255</v>
      </c>
      <c r="BO78" s="29" t="n">
        <v>337.0135141390633</v>
      </c>
      <c r="BP78" s="29" t="n">
        <v>0.3076189617913933</v>
      </c>
      <c r="BQ78" s="29" t="n">
        <v>0.245328858852139</v>
      </c>
      <c r="BR78" s="29" t="n">
        <v>0</v>
      </c>
      <c r="BS78" s="29">
        <f>SUM(C78:BR78)</f>
        <v/>
      </c>
      <c r="BT78" s="29" t="n">
        <v>0</v>
      </c>
      <c r="BU78" s="29" t="n">
        <v>0</v>
      </c>
      <c r="BV78" s="29" t="n">
        <v>0</v>
      </c>
      <c r="BW78" s="29" t="n">
        <v>0</v>
      </c>
      <c r="BX78" s="29">
        <f>SUM(BT78:BW78)</f>
        <v/>
      </c>
      <c r="BY78" s="29">
        <f>BS78+BX78</f>
        <v/>
      </c>
    </row>
    <row r="79">
      <c r="A79" s="30" t="inlineStr">
        <is>
          <t>9080</t>
        </is>
      </c>
      <c r="B79" s="30" t="inlineStr">
        <is>
          <t>Atividades artísticas, criativas e de espetáculos</t>
        </is>
      </c>
      <c r="C79" s="31" t="n">
        <v>0.008964950178212109</v>
      </c>
      <c r="D79" s="31" t="n">
        <v>0.3929339932962418</v>
      </c>
      <c r="E79" s="31" t="n">
        <v>0.0763396168595757</v>
      </c>
      <c r="F79" s="31" t="n">
        <v>-0.009262030522899922</v>
      </c>
      <c r="G79" s="31" t="n">
        <v>0.3655246762886373</v>
      </c>
      <c r="H79" s="31" t="n">
        <v>-0.1118500718249106</v>
      </c>
      <c r="I79" s="31" t="n">
        <v>-0.05332073455037325</v>
      </c>
      <c r="J79" s="31" t="n">
        <v>-6.252950720357809</v>
      </c>
      <c r="K79" s="31" t="n">
        <v>-0.4293327096842438</v>
      </c>
      <c r="L79" s="31" t="n">
        <v>-2.562135369412296</v>
      </c>
      <c r="M79" s="31" t="n">
        <v>4.934628144713852</v>
      </c>
      <c r="N79" s="31" t="n">
        <v>0.07712904656687047</v>
      </c>
      <c r="O79" s="31" t="n">
        <v>-0.9620183084611439</v>
      </c>
      <c r="P79" s="31" t="n">
        <v>-0.6135794261833845</v>
      </c>
      <c r="Q79" s="31" t="n">
        <v>-0.5726807163793425</v>
      </c>
      <c r="R79" s="31" t="n">
        <v>-0.3283816120783555</v>
      </c>
      <c r="S79" s="31" t="n">
        <v>-1.981937672741636</v>
      </c>
      <c r="T79" s="31" t="n">
        <v>-0.03979538064903056</v>
      </c>
      <c r="U79" s="31" t="n">
        <v>-0.5072881827397963</v>
      </c>
      <c r="V79" s="31" t="n">
        <v>-0.3973721157998868</v>
      </c>
      <c r="W79" s="31" t="n">
        <v>-1.244398913289133</v>
      </c>
      <c r="X79" s="31" t="n">
        <v>-1.264535870075322</v>
      </c>
      <c r="Y79" s="31" t="n">
        <v>1.109575389158465</v>
      </c>
      <c r="Z79" s="31" t="n">
        <v>-0.00256260470998685</v>
      </c>
      <c r="AA79" s="31" t="n">
        <v>-1.770988962884006</v>
      </c>
      <c r="AB79" s="31" t="n">
        <v>-1.374101914629506</v>
      </c>
      <c r="AC79" s="31" t="n">
        <v>-2.008147105066609</v>
      </c>
      <c r="AD79" s="31" t="n">
        <v>-0.6880083871929603</v>
      </c>
      <c r="AE79" s="31" t="n">
        <v>-1.630763566243894</v>
      </c>
      <c r="AF79" s="31" t="n">
        <v>0.2466402269115047</v>
      </c>
      <c r="AG79" s="31" t="n">
        <v>-0.8997320084583393</v>
      </c>
      <c r="AH79" s="31" t="n">
        <v>-3.580796085757207</v>
      </c>
      <c r="AI79" s="31" t="n">
        <v>5.25536441097376</v>
      </c>
      <c r="AJ79" s="31" t="n">
        <v>0.155564527010472</v>
      </c>
      <c r="AK79" s="31" t="n">
        <v>0.08547466114735743</v>
      </c>
      <c r="AL79" s="31" t="n">
        <v>-0.5197758636295357</v>
      </c>
      <c r="AM79" s="31" t="n">
        <v>0.067215387117136</v>
      </c>
      <c r="AN79" s="31" t="n">
        <v>2.428875306929867</v>
      </c>
      <c r="AO79" s="31" t="n">
        <v>0.2162209986112042</v>
      </c>
      <c r="AP79" s="31" t="n">
        <v>2.359456646093618</v>
      </c>
      <c r="AQ79" s="31" t="n">
        <v>3.554340522030742</v>
      </c>
      <c r="AR79" s="31" t="n">
        <v>9.300247732421019</v>
      </c>
      <c r="AS79" s="31" t="n">
        <v>0.7139215559683897</v>
      </c>
      <c r="AT79" s="31" t="n">
        <v>0.04543797149915565</v>
      </c>
      <c r="AU79" s="31" t="n">
        <v>0.2597942776183756</v>
      </c>
      <c r="AV79" s="31" t="n">
        <v>1.10981385244975</v>
      </c>
      <c r="AW79" s="31" t="n">
        <v>2.683982963798795</v>
      </c>
      <c r="AX79" s="31" t="n">
        <v>0.9731221541258305</v>
      </c>
      <c r="AY79" s="31" t="n">
        <v>0.3689554466625808</v>
      </c>
      <c r="AZ79" s="31" t="n">
        <v>374.3878870609121</v>
      </c>
      <c r="BA79" s="31" t="n">
        <v>74.6278712989123</v>
      </c>
      <c r="BB79" s="31" t="n">
        <v>1.285958933965662</v>
      </c>
      <c r="BC79" s="31" t="n">
        <v>13.63921596437894</v>
      </c>
      <c r="BD79" s="31" t="n">
        <v>0.9205875678684726</v>
      </c>
      <c r="BE79" s="31" t="n">
        <v>3.613039453262642</v>
      </c>
      <c r="BF79" s="31" t="n">
        <v>0.3691940184032632</v>
      </c>
      <c r="BG79" s="31" t="n">
        <v>10.68336754184112</v>
      </c>
      <c r="BH79" s="31" t="n">
        <v>1.006671659283653</v>
      </c>
      <c r="BI79" s="31" t="n">
        <v>4.962242144060352</v>
      </c>
      <c r="BJ79" s="31" t="n">
        <v>0.1270312659446356</v>
      </c>
      <c r="BK79" s="31" t="n">
        <v>124.7503308982728</v>
      </c>
      <c r="BL79" s="31" t="n">
        <v>14.37505388646037</v>
      </c>
      <c r="BM79" s="31" t="n">
        <v>2.513774659764265</v>
      </c>
      <c r="BN79" s="31" t="n">
        <v>10.1776847061441</v>
      </c>
      <c r="BO79" s="31" t="n">
        <v>0.1094863224081834</v>
      </c>
      <c r="BP79" s="31" t="n">
        <v>136.3651963176052</v>
      </c>
      <c r="BQ79" s="31" t="n">
        <v>199.0090302387518</v>
      </c>
      <c r="BR79" s="31" t="n">
        <v>0</v>
      </c>
      <c r="BS79" s="31">
        <f>SUM(C79:BR79)</f>
        <v/>
      </c>
      <c r="BT79" s="31" t="n">
        <v>0</v>
      </c>
      <c r="BU79" s="31" t="n">
        <v>0</v>
      </c>
      <c r="BV79" s="31" t="n">
        <v>0</v>
      </c>
      <c r="BW79" s="31" t="n">
        <v>0</v>
      </c>
      <c r="BX79" s="31">
        <f>SUM(BT79:BW79)</f>
        <v/>
      </c>
      <c r="BY79" s="31">
        <f>BS79+BX79</f>
        <v/>
      </c>
    </row>
    <row r="80">
      <c r="A80" s="28" t="inlineStr">
        <is>
          <t>9480</t>
        </is>
      </c>
      <c r="B80" s="28" t="inlineStr">
        <is>
          <t>Organizações associativas e outros serviços pessoais</t>
        </is>
      </c>
      <c r="C80" s="29" t="n">
        <v>-0.05331713112426255</v>
      </c>
      <c r="D80" s="29" t="n">
        <v>-0.03568504005764126</v>
      </c>
      <c r="E80" s="29" t="n">
        <v>0.1749680877148843</v>
      </c>
      <c r="F80" s="29" t="n">
        <v>-0.4922692194404467</v>
      </c>
      <c r="G80" s="29" t="n">
        <v>0.6202725254435103</v>
      </c>
      <c r="H80" s="29" t="n">
        <v>-0.9883925328162706</v>
      </c>
      <c r="I80" s="29" t="n">
        <v>-0.3963869212142145</v>
      </c>
      <c r="J80" s="29" t="n">
        <v>-68.56155884755218</v>
      </c>
      <c r="K80" s="29" t="n">
        <v>-5.163697571010275</v>
      </c>
      <c r="L80" s="29" t="n">
        <v>-46.15780683454146</v>
      </c>
      <c r="M80" s="29" t="n">
        <v>-2.277256012391549</v>
      </c>
      <c r="N80" s="29" t="n">
        <v>-3.157586513097902</v>
      </c>
      <c r="O80" s="29" t="n">
        <v>-8.72947839832676</v>
      </c>
      <c r="P80" s="29" t="n">
        <v>-8.445534264831146</v>
      </c>
      <c r="Q80" s="29" t="n">
        <v>-12.1124297921693</v>
      </c>
      <c r="R80" s="29" t="n">
        <v>-2.977132382084251</v>
      </c>
      <c r="S80" s="29" t="n">
        <v>-21.02081653097348</v>
      </c>
      <c r="T80" s="29" t="n">
        <v>-0.6099644993690722</v>
      </c>
      <c r="U80" s="29" t="n">
        <v>-5.529239441062531</v>
      </c>
      <c r="V80" s="29" t="n">
        <v>-3.851344795159376</v>
      </c>
      <c r="W80" s="29" t="n">
        <v>-11.28382257266421</v>
      </c>
      <c r="X80" s="29" t="n">
        <v>-14.74916122588551</v>
      </c>
      <c r="Y80" s="29" t="n">
        <v>-0.9799927023221955</v>
      </c>
      <c r="Z80" s="29" t="n">
        <v>-15.95933460513675</v>
      </c>
      <c r="AA80" s="29" t="n">
        <v>-19.33076523956098</v>
      </c>
      <c r="AB80" s="29" t="n">
        <v>-13.83573484734553</v>
      </c>
      <c r="AC80" s="29" t="n">
        <v>-17.98624052539131</v>
      </c>
      <c r="AD80" s="29" t="n">
        <v>-5.759350507958098</v>
      </c>
      <c r="AE80" s="29" t="n">
        <v>-17.21120013178323</v>
      </c>
      <c r="AF80" s="29" t="n">
        <v>-2.25405693760922</v>
      </c>
      <c r="AG80" s="29" t="n">
        <v>-12.45133830920421</v>
      </c>
      <c r="AH80" s="29" t="n">
        <v>-33.69209226191779</v>
      </c>
      <c r="AI80" s="29" t="n">
        <v>-2.074089172781108</v>
      </c>
      <c r="AJ80" s="29" t="n">
        <v>-0.4922278879753363</v>
      </c>
      <c r="AK80" s="29" t="n">
        <v>-2.258298245807838</v>
      </c>
      <c r="AL80" s="29" t="n">
        <v>-7.762435256839314</v>
      </c>
      <c r="AM80" s="29" t="n">
        <v>-0.02730113968775005</v>
      </c>
      <c r="AN80" s="29" t="n">
        <v>12.10656704674751</v>
      </c>
      <c r="AO80" s="29" t="n">
        <v>-0.09907355332149848</v>
      </c>
      <c r="AP80" s="29" t="n">
        <v>4.03663585895882</v>
      </c>
      <c r="AQ80" s="29" t="n">
        <v>1.797895333106458</v>
      </c>
      <c r="AR80" s="29" t="n">
        <v>-3.959079046661435</v>
      </c>
      <c r="AS80" s="29" t="n">
        <v>9.995583202742811</v>
      </c>
      <c r="AT80" s="29" t="n">
        <v>0.09014413376095916</v>
      </c>
      <c r="AU80" s="29" t="n">
        <v>0.08982781165562602</v>
      </c>
      <c r="AV80" s="29" t="n">
        <v>3.671416232256846</v>
      </c>
      <c r="AW80" s="29" t="n">
        <v>1.85509169526483</v>
      </c>
      <c r="AX80" s="29" t="n">
        <v>3.160226734020222</v>
      </c>
      <c r="AY80" s="29" t="n">
        <v>-7.353671755337688</v>
      </c>
      <c r="AZ80" s="29" t="n">
        <v>-3.054554261827055</v>
      </c>
      <c r="BA80" s="29" t="n">
        <v>69.75843169373685</v>
      </c>
      <c r="BB80" s="29" t="n">
        <v>22.02668437939393</v>
      </c>
      <c r="BC80" s="29" t="n">
        <v>52.10885656618952</v>
      </c>
      <c r="BD80" s="29" t="n">
        <v>2.494491865623128</v>
      </c>
      <c r="BE80" s="29" t="n">
        <v>4.592965933115355</v>
      </c>
      <c r="BF80" s="29" t="n">
        <v>0.7383975916878474</v>
      </c>
      <c r="BG80" s="29" t="n">
        <v>2.562643047620606</v>
      </c>
      <c r="BH80" s="29" t="n">
        <v>1.898514617362348</v>
      </c>
      <c r="BI80" s="29" t="n">
        <v>25.53371194382333</v>
      </c>
      <c r="BJ80" s="29" t="n">
        <v>-0.168371994581911</v>
      </c>
      <c r="BK80" s="29" t="n">
        <v>17.57683124893051</v>
      </c>
      <c r="BL80" s="29" t="n">
        <v>2.480230334572866</v>
      </c>
      <c r="BM80" s="29" t="n">
        <v>10.91634352600768</v>
      </c>
      <c r="BN80" s="29" t="n">
        <v>18.10796883902002</v>
      </c>
      <c r="BO80" s="29" t="n">
        <v>26.66084092249476</v>
      </c>
      <c r="BP80" s="29" t="n">
        <v>0.4444638432611125</v>
      </c>
      <c r="BQ80" s="29" t="n">
        <v>5.142787393282473</v>
      </c>
      <c r="BR80" s="29" t="n">
        <v>0</v>
      </c>
      <c r="BS80" s="29">
        <f>SUM(C80:BR80)</f>
        <v/>
      </c>
      <c r="BT80" s="29" t="n">
        <v>0</v>
      </c>
      <c r="BU80" s="29" t="n">
        <v>0</v>
      </c>
      <c r="BV80" s="29" t="n">
        <v>0</v>
      </c>
      <c r="BW80" s="29" t="n">
        <v>0</v>
      </c>
      <c r="BX80" s="29">
        <f>SUM(BT80:BW80)</f>
        <v/>
      </c>
      <c r="BY80" s="29">
        <f>BS80+BX80</f>
        <v/>
      </c>
    </row>
    <row r="81">
      <c r="A81" s="30" t="inlineStr">
        <is>
          <t>9700</t>
        </is>
      </c>
      <c r="B81" s="30" t="inlineStr">
        <is>
          <t>Serviços domésticos</t>
        </is>
      </c>
      <c r="C81" s="31" t="n">
        <v>0</v>
      </c>
      <c r="D81" s="31" t="n">
        <v>0</v>
      </c>
      <c r="E81" s="31" t="n">
        <v>0</v>
      </c>
      <c r="F81" s="31" t="n">
        <v>0</v>
      </c>
      <c r="G81" s="31" t="n">
        <v>0</v>
      </c>
      <c r="H81" s="31" t="n">
        <v>0</v>
      </c>
      <c r="I81" s="31" t="n">
        <v>0</v>
      </c>
      <c r="J81" s="31" t="n">
        <v>0</v>
      </c>
      <c r="K81" s="31" t="n">
        <v>0</v>
      </c>
      <c r="L81" s="31" t="n">
        <v>0</v>
      </c>
      <c r="M81" s="31" t="n">
        <v>0</v>
      </c>
      <c r="N81" s="31" t="n">
        <v>0</v>
      </c>
      <c r="O81" s="31" t="n">
        <v>0</v>
      </c>
      <c r="P81" s="31" t="n">
        <v>0</v>
      </c>
      <c r="Q81" s="31" t="n">
        <v>0</v>
      </c>
      <c r="R81" s="31" t="n">
        <v>0</v>
      </c>
      <c r="S81" s="31" t="n">
        <v>0</v>
      </c>
      <c r="T81" s="31" t="n">
        <v>0</v>
      </c>
      <c r="U81" s="31" t="n">
        <v>0</v>
      </c>
      <c r="V81" s="31" t="n">
        <v>0</v>
      </c>
      <c r="W81" s="31" t="n">
        <v>0</v>
      </c>
      <c r="X81" s="31" t="n">
        <v>0</v>
      </c>
      <c r="Y81" s="31" t="n">
        <v>0</v>
      </c>
      <c r="Z81" s="31" t="n">
        <v>0</v>
      </c>
      <c r="AA81" s="31" t="n">
        <v>0</v>
      </c>
      <c r="AB81" s="31" t="n">
        <v>0</v>
      </c>
      <c r="AC81" s="31" t="n">
        <v>0</v>
      </c>
      <c r="AD81" s="31" t="n">
        <v>0</v>
      </c>
      <c r="AE81" s="31" t="n">
        <v>0</v>
      </c>
      <c r="AF81" s="31" t="n">
        <v>0</v>
      </c>
      <c r="AG81" s="31" t="n">
        <v>0</v>
      </c>
      <c r="AH81" s="31" t="n">
        <v>0</v>
      </c>
      <c r="AI81" s="31" t="n">
        <v>0</v>
      </c>
      <c r="AJ81" s="31" t="n">
        <v>0</v>
      </c>
      <c r="AK81" s="31" t="n">
        <v>0</v>
      </c>
      <c r="AL81" s="31" t="n">
        <v>0</v>
      </c>
      <c r="AM81" s="31" t="n">
        <v>0</v>
      </c>
      <c r="AN81" s="31" t="n">
        <v>0</v>
      </c>
      <c r="AO81" s="31" t="n">
        <v>0</v>
      </c>
      <c r="AP81" s="31" t="n">
        <v>0</v>
      </c>
      <c r="AQ81" s="31" t="n">
        <v>0</v>
      </c>
      <c r="AR81" s="31" t="n">
        <v>0</v>
      </c>
      <c r="AS81" s="31" t="n">
        <v>0</v>
      </c>
      <c r="AT81" s="31" t="n">
        <v>0</v>
      </c>
      <c r="AU81" s="31" t="n">
        <v>0</v>
      </c>
      <c r="AV81" s="31" t="n">
        <v>0</v>
      </c>
      <c r="AW81" s="31" t="n">
        <v>0</v>
      </c>
      <c r="AX81" s="31" t="n">
        <v>0</v>
      </c>
      <c r="AY81" s="31" t="n">
        <v>0</v>
      </c>
      <c r="AZ81" s="31" t="n">
        <v>0</v>
      </c>
      <c r="BA81" s="31" t="n">
        <v>0</v>
      </c>
      <c r="BB81" s="31" t="n">
        <v>0</v>
      </c>
      <c r="BC81" s="31" t="n">
        <v>0</v>
      </c>
      <c r="BD81" s="31" t="n">
        <v>0</v>
      </c>
      <c r="BE81" s="31" t="n">
        <v>0</v>
      </c>
      <c r="BF81" s="31" t="n">
        <v>0</v>
      </c>
      <c r="BG81" s="31" t="n">
        <v>0</v>
      </c>
      <c r="BH81" s="31" t="n">
        <v>0</v>
      </c>
      <c r="BI81" s="31" t="n">
        <v>0</v>
      </c>
      <c r="BJ81" s="31" t="n">
        <v>0</v>
      </c>
      <c r="BK81" s="31" t="n">
        <v>0</v>
      </c>
      <c r="BL81" s="31" t="n">
        <v>0</v>
      </c>
      <c r="BM81" s="31" t="n">
        <v>0</v>
      </c>
      <c r="BN81" s="31" t="n">
        <v>0</v>
      </c>
      <c r="BO81" s="31" t="n">
        <v>0</v>
      </c>
      <c r="BP81" s="31" t="n">
        <v>0</v>
      </c>
      <c r="BQ81" s="31" t="n">
        <v>0</v>
      </c>
      <c r="BR81" s="31" t="n">
        <v>0</v>
      </c>
      <c r="BS81" s="31">
        <f>SUM(C81:BR81)</f>
        <v/>
      </c>
      <c r="BT81" s="31" t="n">
        <v>0</v>
      </c>
      <c r="BU81" s="31" t="n">
        <v>0</v>
      </c>
      <c r="BV81" s="31" t="n">
        <v>0</v>
      </c>
      <c r="BW81" s="31" t="n">
        <v>0</v>
      </c>
      <c r="BX81" s="31">
        <f>SUM(BT81:BW81)</f>
        <v/>
      </c>
      <c r="BY81" s="31">
        <f>BS81+BX81</f>
        <v/>
      </c>
    </row>
    <row r="82">
      <c r="B82" s="32" t="inlineStr">
        <is>
          <t>Total consumo intermedio</t>
        </is>
      </c>
      <c r="C82" s="33">
        <f>SUM(C14:C81)</f>
        <v/>
      </c>
      <c r="D82" s="33">
        <f>SUM(D14:D81)</f>
        <v/>
      </c>
      <c r="E82" s="33">
        <f>SUM(E14:E81)</f>
        <v/>
      </c>
      <c r="F82" s="33">
        <f>SUM(F14:F81)</f>
        <v/>
      </c>
      <c r="G82" s="33">
        <f>SUM(G14:G81)</f>
        <v/>
      </c>
      <c r="H82" s="33">
        <f>SUM(H14:H81)</f>
        <v/>
      </c>
      <c r="I82" s="33">
        <f>SUM(I14:I81)</f>
        <v/>
      </c>
      <c r="J82" s="33">
        <f>SUM(J14:J81)</f>
        <v/>
      </c>
      <c r="K82" s="33">
        <f>SUM(K14:K81)</f>
        <v/>
      </c>
      <c r="L82" s="33">
        <f>SUM(L14:L81)</f>
        <v/>
      </c>
      <c r="M82" s="33">
        <f>SUM(M14:M81)</f>
        <v/>
      </c>
      <c r="N82" s="33">
        <f>SUM(N14:N81)</f>
        <v/>
      </c>
      <c r="O82" s="33">
        <f>SUM(O14:O81)</f>
        <v/>
      </c>
      <c r="P82" s="33">
        <f>SUM(P14:P81)</f>
        <v/>
      </c>
      <c r="Q82" s="33">
        <f>SUM(Q14:Q81)</f>
        <v/>
      </c>
      <c r="R82" s="33">
        <f>SUM(R14:R81)</f>
        <v/>
      </c>
      <c r="S82" s="33">
        <f>SUM(S14:S81)</f>
        <v/>
      </c>
      <c r="T82" s="33">
        <f>SUM(T14:T81)</f>
        <v/>
      </c>
      <c r="U82" s="33">
        <f>SUM(U14:U81)</f>
        <v/>
      </c>
      <c r="V82" s="33">
        <f>SUM(V14:V81)</f>
        <v/>
      </c>
      <c r="W82" s="33">
        <f>SUM(W14:W81)</f>
        <v/>
      </c>
      <c r="X82" s="33">
        <f>SUM(X14:X81)</f>
        <v/>
      </c>
      <c r="Y82" s="33">
        <f>SUM(Y14:Y81)</f>
        <v/>
      </c>
      <c r="Z82" s="33">
        <f>SUM(Z14:Z81)</f>
        <v/>
      </c>
      <c r="AA82" s="33">
        <f>SUM(AA14:AA81)</f>
        <v/>
      </c>
      <c r="AB82" s="33">
        <f>SUM(AB14:AB81)</f>
        <v/>
      </c>
      <c r="AC82" s="33">
        <f>SUM(AC14:AC81)</f>
        <v/>
      </c>
      <c r="AD82" s="33">
        <f>SUM(AD14:AD81)</f>
        <v/>
      </c>
      <c r="AE82" s="33">
        <f>SUM(AE14:AE81)</f>
        <v/>
      </c>
      <c r="AF82" s="33">
        <f>SUM(AF14:AF81)</f>
        <v/>
      </c>
      <c r="AG82" s="33">
        <f>SUM(AG14:AG81)</f>
        <v/>
      </c>
      <c r="AH82" s="33">
        <f>SUM(AH14:AH81)</f>
        <v/>
      </c>
      <c r="AI82" s="33">
        <f>SUM(AI14:AI81)</f>
        <v/>
      </c>
      <c r="AJ82" s="33">
        <f>SUM(AJ14:AJ81)</f>
        <v/>
      </c>
      <c r="AK82" s="33">
        <f>SUM(AK14:AK81)</f>
        <v/>
      </c>
      <c r="AL82" s="33">
        <f>SUM(AL14:AL81)</f>
        <v/>
      </c>
      <c r="AM82" s="33">
        <f>SUM(AM14:AM81)</f>
        <v/>
      </c>
      <c r="AN82" s="33">
        <f>SUM(AN14:AN81)</f>
        <v/>
      </c>
      <c r="AO82" s="33">
        <f>SUM(AO14:AO81)</f>
        <v/>
      </c>
      <c r="AP82" s="33">
        <f>SUM(AP14:AP81)</f>
        <v/>
      </c>
      <c r="AQ82" s="33">
        <f>SUM(AQ14:AQ81)</f>
        <v/>
      </c>
      <c r="AR82" s="33">
        <f>SUM(AR14:AR81)</f>
        <v/>
      </c>
      <c r="AS82" s="33">
        <f>SUM(AS14:AS81)</f>
        <v/>
      </c>
      <c r="AT82" s="33">
        <f>SUM(AT14:AT81)</f>
        <v/>
      </c>
      <c r="AU82" s="33">
        <f>SUM(AU14:AU81)</f>
        <v/>
      </c>
      <c r="AV82" s="33">
        <f>SUM(AV14:AV81)</f>
        <v/>
      </c>
      <c r="AW82" s="33">
        <f>SUM(AW14:AW81)</f>
        <v/>
      </c>
      <c r="AX82" s="33">
        <f>SUM(AX14:AX81)</f>
        <v/>
      </c>
      <c r="AY82" s="33">
        <f>SUM(AY14:AY81)</f>
        <v/>
      </c>
      <c r="AZ82" s="33">
        <f>SUM(AZ14:AZ81)</f>
        <v/>
      </c>
      <c r="BA82" s="33">
        <f>SUM(BA14:BA81)</f>
        <v/>
      </c>
      <c r="BB82" s="33">
        <f>SUM(BB14:BB81)</f>
        <v/>
      </c>
      <c r="BC82" s="33">
        <f>SUM(BC14:BC81)</f>
        <v/>
      </c>
      <c r="BD82" s="33">
        <f>SUM(BD14:BD81)</f>
        <v/>
      </c>
      <c r="BE82" s="33">
        <f>SUM(BE14:BE81)</f>
        <v/>
      </c>
      <c r="BF82" s="33">
        <f>SUM(BF14:BF81)</f>
        <v/>
      </c>
      <c r="BG82" s="33">
        <f>SUM(BG14:BG81)</f>
        <v/>
      </c>
      <c r="BH82" s="33">
        <f>SUM(BH14:BH81)</f>
        <v/>
      </c>
      <c r="BI82" s="33">
        <f>SUM(BI14:BI81)</f>
        <v/>
      </c>
      <c r="BJ82" s="33">
        <f>SUM(BJ14:BJ81)</f>
        <v/>
      </c>
      <c r="BK82" s="33">
        <f>SUM(BK14:BK81)</f>
        <v/>
      </c>
      <c r="BL82" s="33">
        <f>SUM(BL14:BL81)</f>
        <v/>
      </c>
      <c r="BM82" s="33">
        <f>SUM(BM14:BM81)</f>
        <v/>
      </c>
      <c r="BN82" s="33">
        <f>SUM(BN14:BN81)</f>
        <v/>
      </c>
      <c r="BO82" s="33">
        <f>SUM(BO14:BO81)</f>
        <v/>
      </c>
      <c r="BP82" s="33">
        <f>SUM(BP14:BP81)</f>
        <v/>
      </c>
      <c r="BQ82" s="33">
        <f>SUM(BQ14:BQ81)</f>
        <v/>
      </c>
      <c r="BR82" s="33">
        <f>SUM(BR14:BR81)</f>
        <v/>
      </c>
      <c r="BS82" s="33">
        <f>SUM(BS14:BS81)</f>
        <v/>
      </c>
      <c r="BT82" s="33">
        <f>SUM(BT14:BT81)</f>
        <v/>
      </c>
      <c r="BU82" s="33">
        <f>SUM(BU14:BU81)</f>
        <v/>
      </c>
      <c r="BV82" s="33">
        <f>SUM(BV14:BV81)</f>
        <v/>
      </c>
      <c r="BW82" s="33">
        <f>SUM(BW14:BW81)</f>
        <v/>
      </c>
      <c r="BX82" s="33">
        <f>SUM(BX14:BX81)</f>
        <v/>
      </c>
      <c r="BY82" s="33">
        <f>SUM(BY14:BY81)</f>
        <v/>
      </c>
    </row>
    <row r="83"/>
    <row r="84">
      <c r="B84" s="32" t="inlineStr">
        <is>
          <t>Ajuste intermedio no asignado a matriz</t>
        </is>
      </c>
      <c r="C84" s="33" t="n">
        <v>7.275957614183426e-12</v>
      </c>
      <c r="D84" s="33" t="n">
        <v>-1.091393642127514e-11</v>
      </c>
      <c r="E84" s="33" t="n">
        <v>2.273736754432321e-13</v>
      </c>
      <c r="F84" s="33" t="n">
        <v>-6.821210263296962e-13</v>
      </c>
      <c r="G84" s="33" t="n">
        <v>-5.456968210637569e-12</v>
      </c>
      <c r="H84" s="33" t="n">
        <v>0</v>
      </c>
      <c r="I84" s="33" t="n">
        <v>1.13686837721616e-13</v>
      </c>
      <c r="J84" s="33" t="n">
        <v>-7.275957614183426e-12</v>
      </c>
      <c r="K84" s="33" t="n">
        <v>0</v>
      </c>
      <c r="L84" s="33" t="n">
        <v>7.275957614183426e-12</v>
      </c>
      <c r="M84" s="33" t="n">
        <v>0</v>
      </c>
      <c r="N84" s="33" t="n">
        <v>1.477928890381008e-12</v>
      </c>
      <c r="O84" s="33" t="n">
        <v>1.477928890381008e-12</v>
      </c>
      <c r="P84" s="33" t="n">
        <v>-4.547473508864641e-12</v>
      </c>
      <c r="Q84" s="33" t="n">
        <v>4.547473508864641e-12</v>
      </c>
      <c r="R84" s="33" t="n">
        <v>-1.13686837721616e-13</v>
      </c>
      <c r="S84" s="33" t="n">
        <v>7.275957614183426e-12</v>
      </c>
      <c r="T84" s="33" t="n">
        <v>6.821210263296962e-13</v>
      </c>
      <c r="U84" s="33" t="n">
        <v>-1.455191522836685e-11</v>
      </c>
      <c r="V84" s="33" t="n">
        <v>6.821210263296962e-13</v>
      </c>
      <c r="W84" s="33" t="n">
        <v>-1.091393642127514e-11</v>
      </c>
      <c r="X84" s="33" t="n">
        <v>1.364242052659392e-12</v>
      </c>
      <c r="Y84" s="33" t="n">
        <v>-9.094947017729282e-13</v>
      </c>
      <c r="Z84" s="33" t="n">
        <v>3.637978807091713e-12</v>
      </c>
      <c r="AA84" s="33" t="n">
        <v>-4.547473508864641e-13</v>
      </c>
      <c r="AB84" s="33" t="n">
        <v>2.046363078989089e-12</v>
      </c>
      <c r="AC84" s="33" t="n">
        <v>1.534772309241816e-12</v>
      </c>
      <c r="AD84" s="33" t="n">
        <v>-4.547473508864641e-13</v>
      </c>
      <c r="AE84" s="33" t="n">
        <v>9.094947017729282e-13</v>
      </c>
      <c r="AF84" s="33" t="n">
        <v>3.637978807091713e-12</v>
      </c>
      <c r="AG84" s="33" t="n">
        <v>-4.547473508864641e-13</v>
      </c>
      <c r="AH84" s="33" t="n">
        <v>-1.091393642127514e-11</v>
      </c>
      <c r="AI84" s="33" t="n">
        <v>0</v>
      </c>
      <c r="AJ84" s="33" t="n">
        <v>5.456968210637569e-12</v>
      </c>
      <c r="AK84" s="33" t="n">
        <v>0</v>
      </c>
      <c r="AL84" s="33" t="n">
        <v>0</v>
      </c>
      <c r="AM84" s="33" t="n">
        <v>3.637978807091713e-12</v>
      </c>
      <c r="AN84" s="33" t="n">
        <v>-3.637978807091713e-12</v>
      </c>
      <c r="AO84" s="33" t="n">
        <v>-1.364242052659392e-12</v>
      </c>
      <c r="AP84" s="33" t="n">
        <v>0</v>
      </c>
      <c r="AQ84" s="33" t="n">
        <v>2.728484105318785e-12</v>
      </c>
      <c r="AR84" s="33" t="n">
        <v>2.182787284255028e-11</v>
      </c>
      <c r="AS84" s="33" t="n">
        <v>4.547473508864641e-12</v>
      </c>
      <c r="AT84" s="33" t="n">
        <v>2.273736754432321e-13</v>
      </c>
      <c r="AU84" s="33" t="n">
        <v>0</v>
      </c>
      <c r="AV84" s="33" t="n">
        <v>4.547473508864641e-13</v>
      </c>
      <c r="AW84" s="33" t="n">
        <v>6.821210263296962e-13</v>
      </c>
      <c r="AX84" s="33" t="n">
        <v>1.455191522836685e-11</v>
      </c>
      <c r="AY84" s="33" t="n">
        <v>-4.547473508864641e-12</v>
      </c>
      <c r="AZ84" s="33" t="n">
        <v>0</v>
      </c>
      <c r="BA84" s="33" t="n">
        <v>-7.275957614183426e-12</v>
      </c>
      <c r="BB84" s="33" t="n">
        <v>9.094947017729282e-13</v>
      </c>
      <c r="BC84" s="33" t="n">
        <v>3.637978807091713e-12</v>
      </c>
      <c r="BD84" s="33" t="n">
        <v>2.728484105318785e-12</v>
      </c>
      <c r="BE84" s="33" t="n">
        <v>4.547473508864641e-13</v>
      </c>
      <c r="BF84" s="33" t="n">
        <v>-4.547473508864641e-13</v>
      </c>
      <c r="BG84" s="33" t="n">
        <v>0</v>
      </c>
      <c r="BH84" s="33" t="n">
        <v>2.273736754432321e-13</v>
      </c>
      <c r="BI84" s="33" t="n">
        <v>9.094947017729282e-13</v>
      </c>
      <c r="BJ84" s="33" t="n">
        <v>-1.13686837721616e-13</v>
      </c>
      <c r="BK84" s="33" t="n">
        <v>-1.091393642127514e-11</v>
      </c>
      <c r="BL84" s="33" t="n">
        <v>-1.818989403545856e-12</v>
      </c>
      <c r="BM84" s="33" t="n">
        <v>0</v>
      </c>
      <c r="BN84" s="33" t="n">
        <v>-1.818989403545856e-12</v>
      </c>
      <c r="BO84" s="33" t="n">
        <v>-7.275957614183426e-12</v>
      </c>
      <c r="BP84" s="33" t="n">
        <v>0</v>
      </c>
      <c r="BQ84" s="33" t="n">
        <v>0</v>
      </c>
      <c r="BR84" s="33" t="n">
        <v>0</v>
      </c>
      <c r="BY84" s="33">
        <f>SUM(C84:BR84)</f>
        <v/>
      </c>
    </row>
    <row r="85"/>
    <row r="86">
      <c r="B86" s="32" t="inlineStr">
        <is>
          <t>Sin valor agregado</t>
        </is>
      </c>
      <c r="C86" s="33" t="n">
        <v>0</v>
      </c>
      <c r="D86" s="33" t="n">
        <v>0</v>
      </c>
      <c r="E86" s="33" t="n">
        <v>0</v>
      </c>
      <c r="F86" s="33" t="n">
        <v>0</v>
      </c>
      <c r="G86" s="33" t="n">
        <v>0</v>
      </c>
      <c r="H86" s="33" t="n">
        <v>0</v>
      </c>
      <c r="I86" s="33" t="n">
        <v>0</v>
      </c>
      <c r="J86" s="33" t="n">
        <v>0</v>
      </c>
      <c r="K86" s="33" t="n">
        <v>0</v>
      </c>
      <c r="L86" s="33" t="n">
        <v>0</v>
      </c>
      <c r="M86" s="33" t="n">
        <v>0</v>
      </c>
      <c r="N86" s="33" t="n">
        <v>0</v>
      </c>
      <c r="O86" s="33" t="n">
        <v>0</v>
      </c>
      <c r="P86" s="33" t="n">
        <v>0</v>
      </c>
      <c r="Q86" s="33" t="n">
        <v>0</v>
      </c>
      <c r="R86" s="33" t="n">
        <v>0</v>
      </c>
      <c r="S86" s="33" t="n">
        <v>0</v>
      </c>
      <c r="T86" s="33" t="n">
        <v>0</v>
      </c>
      <c r="U86" s="33" t="n">
        <v>0</v>
      </c>
      <c r="V86" s="33" t="n">
        <v>0</v>
      </c>
      <c r="W86" s="33" t="n">
        <v>0</v>
      </c>
      <c r="X86" s="33" t="n">
        <v>0</v>
      </c>
      <c r="Y86" s="33" t="n">
        <v>0</v>
      </c>
      <c r="Z86" s="33" t="n">
        <v>0</v>
      </c>
      <c r="AA86" s="33" t="n">
        <v>0</v>
      </c>
      <c r="AB86" s="33" t="n">
        <v>0</v>
      </c>
      <c r="AC86" s="33" t="n">
        <v>0</v>
      </c>
      <c r="AD86" s="33" t="n">
        <v>0</v>
      </c>
      <c r="AE86" s="33" t="n">
        <v>0</v>
      </c>
      <c r="AF86" s="33" t="n">
        <v>0</v>
      </c>
      <c r="AG86" s="33" t="n">
        <v>0</v>
      </c>
      <c r="AH86" s="33" t="n">
        <v>0</v>
      </c>
      <c r="AI86" s="33" t="n">
        <v>0</v>
      </c>
      <c r="AJ86" s="33" t="n">
        <v>0</v>
      </c>
      <c r="AK86" s="33" t="n">
        <v>0</v>
      </c>
      <c r="AL86" s="33" t="n">
        <v>0</v>
      </c>
      <c r="AM86" s="33" t="n">
        <v>0</v>
      </c>
      <c r="AN86" s="33" t="n">
        <v>0</v>
      </c>
      <c r="AO86" s="33" t="n">
        <v>0</v>
      </c>
      <c r="AP86" s="33" t="n">
        <v>0</v>
      </c>
      <c r="AQ86" s="33" t="n">
        <v>0</v>
      </c>
      <c r="AR86" s="33" t="n">
        <v>0</v>
      </c>
      <c r="AS86" s="33" t="n">
        <v>0</v>
      </c>
      <c r="AT86" s="33" t="n">
        <v>0</v>
      </c>
      <c r="AU86" s="33" t="n">
        <v>0</v>
      </c>
      <c r="AV86" s="33" t="n">
        <v>0</v>
      </c>
      <c r="AW86" s="33" t="n">
        <v>0</v>
      </c>
      <c r="AX86" s="33" t="n">
        <v>0</v>
      </c>
      <c r="AY86" s="33" t="n">
        <v>0</v>
      </c>
      <c r="AZ86" s="33" t="n">
        <v>0</v>
      </c>
      <c r="BA86" s="33" t="n">
        <v>0</v>
      </c>
      <c r="BB86" s="33" t="n">
        <v>0</v>
      </c>
      <c r="BC86" s="33" t="n">
        <v>0</v>
      </c>
      <c r="BD86" s="33" t="n">
        <v>0</v>
      </c>
      <c r="BE86" s="33" t="n">
        <v>0</v>
      </c>
      <c r="BF86" s="33" t="n">
        <v>0</v>
      </c>
      <c r="BG86" s="33" t="n">
        <v>0</v>
      </c>
      <c r="BH86" s="33" t="n">
        <v>0</v>
      </c>
      <c r="BI86" s="33" t="n">
        <v>0</v>
      </c>
      <c r="BJ86" s="33" t="n">
        <v>0</v>
      </c>
      <c r="BK86" s="33" t="n">
        <v>0</v>
      </c>
      <c r="BL86" s="33" t="n">
        <v>0</v>
      </c>
      <c r="BM86" s="33" t="n">
        <v>0</v>
      </c>
      <c r="BN86" s="33" t="n">
        <v>0</v>
      </c>
      <c r="BO86" s="33" t="n">
        <v>0</v>
      </c>
      <c r="BP86" s="33" t="n">
        <v>0</v>
      </c>
      <c r="BQ86" s="33" t="n">
        <v>0</v>
      </c>
      <c r="BR86" s="33" t="n">
        <v>0</v>
      </c>
      <c r="BY86" s="33">
        <f>SUM(C86:BR86)</f>
        <v/>
      </c>
    </row>
    <row r="87"/>
    <row r="88">
      <c r="B88" s="32" t="inlineStr">
        <is>
          <t>Produccion total</t>
        </is>
      </c>
      <c r="C88" s="33">
        <f>C82+C84+C86</f>
        <v/>
      </c>
      <c r="D88" s="33">
        <f>D82+D84+D86</f>
        <v/>
      </c>
      <c r="E88" s="33">
        <f>E82+E84+E86</f>
        <v/>
      </c>
      <c r="F88" s="33">
        <f>F82+F84+F86</f>
        <v/>
      </c>
      <c r="G88" s="33">
        <f>G82+G84+G86</f>
        <v/>
      </c>
      <c r="H88" s="33">
        <f>H82+H84+H86</f>
        <v/>
      </c>
      <c r="I88" s="33">
        <f>I82+I84+I86</f>
        <v/>
      </c>
      <c r="J88" s="33">
        <f>J82+J84+J86</f>
        <v/>
      </c>
      <c r="K88" s="33">
        <f>K82+K84+K86</f>
        <v/>
      </c>
      <c r="L88" s="33">
        <f>L82+L84+L86</f>
        <v/>
      </c>
      <c r="M88" s="33">
        <f>M82+M84+M86</f>
        <v/>
      </c>
      <c r="N88" s="33">
        <f>N82+N84+N86</f>
        <v/>
      </c>
      <c r="O88" s="33">
        <f>O82+O84+O86</f>
        <v/>
      </c>
      <c r="P88" s="33">
        <f>P82+P84+P86</f>
        <v/>
      </c>
      <c r="Q88" s="33">
        <f>Q82+Q84+Q86</f>
        <v/>
      </c>
      <c r="R88" s="33">
        <f>R82+R84+R86</f>
        <v/>
      </c>
      <c r="S88" s="33">
        <f>S82+S84+S86</f>
        <v/>
      </c>
      <c r="T88" s="33">
        <f>T82+T84+T86</f>
        <v/>
      </c>
      <c r="U88" s="33">
        <f>U82+U84+U86</f>
        <v/>
      </c>
      <c r="V88" s="33">
        <f>V82+V84+V86</f>
        <v/>
      </c>
      <c r="W88" s="33">
        <f>W82+W84+W86</f>
        <v/>
      </c>
      <c r="X88" s="33">
        <f>X82+X84+X86</f>
        <v/>
      </c>
      <c r="Y88" s="33">
        <f>Y82+Y84+Y86</f>
        <v/>
      </c>
      <c r="Z88" s="33">
        <f>Z82+Z84+Z86</f>
        <v/>
      </c>
      <c r="AA88" s="33">
        <f>AA82+AA84+AA86</f>
        <v/>
      </c>
      <c r="AB88" s="33">
        <f>AB82+AB84+AB86</f>
        <v/>
      </c>
      <c r="AC88" s="33">
        <f>AC82+AC84+AC86</f>
        <v/>
      </c>
      <c r="AD88" s="33">
        <f>AD82+AD84+AD86</f>
        <v/>
      </c>
      <c r="AE88" s="33">
        <f>AE82+AE84+AE86</f>
        <v/>
      </c>
      <c r="AF88" s="33">
        <f>AF82+AF84+AF86</f>
        <v/>
      </c>
      <c r="AG88" s="33">
        <f>AG82+AG84+AG86</f>
        <v/>
      </c>
      <c r="AH88" s="33">
        <f>AH82+AH84+AH86</f>
        <v/>
      </c>
      <c r="AI88" s="33">
        <f>AI82+AI84+AI86</f>
        <v/>
      </c>
      <c r="AJ88" s="33">
        <f>AJ82+AJ84+AJ86</f>
        <v/>
      </c>
      <c r="AK88" s="33">
        <f>AK82+AK84+AK86</f>
        <v/>
      </c>
      <c r="AL88" s="33">
        <f>AL82+AL84+AL86</f>
        <v/>
      </c>
      <c r="AM88" s="33">
        <f>AM82+AM84+AM86</f>
        <v/>
      </c>
      <c r="AN88" s="33">
        <f>AN82+AN84+AN86</f>
        <v/>
      </c>
      <c r="AO88" s="33">
        <f>AO82+AO84+AO86</f>
        <v/>
      </c>
      <c r="AP88" s="33">
        <f>AP82+AP84+AP86</f>
        <v/>
      </c>
      <c r="AQ88" s="33">
        <f>AQ82+AQ84+AQ86</f>
        <v/>
      </c>
      <c r="AR88" s="33">
        <f>AR82+AR84+AR86</f>
        <v/>
      </c>
      <c r="AS88" s="33">
        <f>AS82+AS84+AS86</f>
        <v/>
      </c>
      <c r="AT88" s="33">
        <f>AT82+AT84+AT86</f>
        <v/>
      </c>
      <c r="AU88" s="33">
        <f>AU82+AU84+AU86</f>
        <v/>
      </c>
      <c r="AV88" s="33">
        <f>AV82+AV84+AV86</f>
        <v/>
      </c>
      <c r="AW88" s="33">
        <f>AW82+AW84+AW86</f>
        <v/>
      </c>
      <c r="AX88" s="33">
        <f>AX82+AX84+AX86</f>
        <v/>
      </c>
      <c r="AY88" s="33">
        <f>AY82+AY84+AY86</f>
        <v/>
      </c>
      <c r="AZ88" s="33">
        <f>AZ82+AZ84+AZ86</f>
        <v/>
      </c>
      <c r="BA88" s="33">
        <f>BA82+BA84+BA86</f>
        <v/>
      </c>
      <c r="BB88" s="33">
        <f>BB82+BB84+BB86</f>
        <v/>
      </c>
      <c r="BC88" s="33">
        <f>BC82+BC84+BC86</f>
        <v/>
      </c>
      <c r="BD88" s="33">
        <f>BD82+BD84+BD86</f>
        <v/>
      </c>
      <c r="BE88" s="33">
        <f>BE82+BE84+BE86</f>
        <v/>
      </c>
      <c r="BF88" s="33">
        <f>BF82+BF84+BF86</f>
        <v/>
      </c>
      <c r="BG88" s="33">
        <f>BG82+BG84+BG86</f>
        <v/>
      </c>
      <c r="BH88" s="33">
        <f>BH82+BH84+BH86</f>
        <v/>
      </c>
      <c r="BI88" s="33">
        <f>BI82+BI84+BI86</f>
        <v/>
      </c>
      <c r="BJ88" s="33">
        <f>BJ82+BJ84+BJ86</f>
        <v/>
      </c>
      <c r="BK88" s="33">
        <f>BK82+BK84+BK86</f>
        <v/>
      </c>
      <c r="BL88" s="33">
        <f>BL82+BL84+BL86</f>
        <v/>
      </c>
      <c r="BM88" s="33">
        <f>BM82+BM84+BM86</f>
        <v/>
      </c>
      <c r="BN88" s="33">
        <f>BN82+BN84+BN86</f>
        <v/>
      </c>
      <c r="BO88" s="33">
        <f>BO82+BO84+BO86</f>
        <v/>
      </c>
      <c r="BP88" s="33">
        <f>BP82+BP84+BP86</f>
        <v/>
      </c>
      <c r="BQ88" s="33">
        <f>BQ82+BQ84+BQ86</f>
        <v/>
      </c>
      <c r="BR88" s="33">
        <f>BR82+BR84+BR86</f>
        <v/>
      </c>
      <c r="BY88" s="33">
        <f>SUM(C88:BR88)</f>
        <v/>
      </c>
    </row>
    <row r="89">
      <c r="B89" s="32" t="inlineStr">
        <is>
          <t>Produccion fuente</t>
        </is>
      </c>
      <c r="C89" s="33" t="n">
        <v>21171.04744839661</v>
      </c>
      <c r="D89" s="33" t="n">
        <v>9095.181283740438</v>
      </c>
      <c r="E89" s="33" t="n">
        <v>4369.044689970201</v>
      </c>
      <c r="F89" s="33" t="n">
        <v>17253.0645076483</v>
      </c>
      <c r="G89" s="33" t="n">
        <v>24515.97687213828</v>
      </c>
      <c r="H89" s="33" t="n">
        <v>1706.393125147598</v>
      </c>
      <c r="I89" s="33" t="n">
        <v>4014.361781760666</v>
      </c>
      <c r="J89" s="33" t="n">
        <v>8428.447443464413</v>
      </c>
      <c r="K89" s="33" t="n">
        <v>5588.289533411645</v>
      </c>
      <c r="L89" s="33" t="n">
        <v>18640.81782005226</v>
      </c>
      <c r="M89" s="33" t="n">
        <v>17127.87955206585</v>
      </c>
      <c r="N89" s="33" t="n">
        <v>584.8390422075441</v>
      </c>
      <c r="O89" s="33" t="n">
        <v>16960.38096896771</v>
      </c>
      <c r="P89" s="33" t="n">
        <v>5248.296467346655</v>
      </c>
      <c r="Q89" s="33" t="n">
        <v>2953.287689263957</v>
      </c>
      <c r="R89" s="33" t="n">
        <v>6786.172703802416</v>
      </c>
      <c r="S89" s="33" t="n">
        <v>18940.10701687911</v>
      </c>
      <c r="T89" s="33" t="n">
        <v>9466.00792844034</v>
      </c>
      <c r="U89" s="33" t="n">
        <v>96292.79048817814</v>
      </c>
      <c r="V89" s="33" t="n">
        <v>3926.591861406369</v>
      </c>
      <c r="W89" s="33" t="n">
        <v>64644.7843985734</v>
      </c>
      <c r="X89" s="33" t="n">
        <v>21809.07978466962</v>
      </c>
      <c r="Y89" s="33" t="n">
        <v>7981.059002424245</v>
      </c>
      <c r="Z89" s="33" t="n">
        <v>13418.59423291798</v>
      </c>
      <c r="AA89" s="33" t="n">
        <v>28204.56365925029</v>
      </c>
      <c r="AB89" s="33" t="n">
        <v>26874.63014969413</v>
      </c>
      <c r="AC89" s="33" t="n">
        <v>21888.29624085314</v>
      </c>
      <c r="AD89" s="33" t="n">
        <v>15690.79247988304</v>
      </c>
      <c r="AE89" s="33" t="n">
        <v>24450.96800433167</v>
      </c>
      <c r="AF89" s="33" t="n">
        <v>34735.22739363574</v>
      </c>
      <c r="AG89" s="33" t="n">
        <v>23097.2624582082</v>
      </c>
      <c r="AH89" s="33" t="n">
        <v>25206.43347207187</v>
      </c>
      <c r="AI89" s="33" t="n">
        <v>3600.038094528497</v>
      </c>
      <c r="AJ89" s="33" t="n">
        <v>33006.11644287682</v>
      </c>
      <c r="AK89" s="33" t="n">
        <v>6643.506295196455</v>
      </c>
      <c r="AL89" s="33" t="n">
        <v>18850.06039366803</v>
      </c>
      <c r="AM89" s="33" t="n">
        <v>7360.237438603505</v>
      </c>
      <c r="AN89" s="33" t="n">
        <v>22512.58981852005</v>
      </c>
      <c r="AO89" s="33" t="n">
        <v>2374.406076098757</v>
      </c>
      <c r="AP89" s="33" t="n">
        <v>4588.130916382537</v>
      </c>
      <c r="AQ89" s="33" t="n">
        <v>-23727.63527709324</v>
      </c>
      <c r="AR89" s="33" t="n">
        <v>-489241.3936006638</v>
      </c>
      <c r="AS89" s="33" t="n">
        <v>-44212.53182235843</v>
      </c>
      <c r="AT89" s="33" t="n">
        <v>1291.425097766619</v>
      </c>
      <c r="AU89" s="33" t="n">
        <v>4873.577174838914</v>
      </c>
      <c r="AV89" s="33" t="n">
        <v>6672.817722124224</v>
      </c>
      <c r="AW89" s="33" t="n">
        <v>8437.467412879887</v>
      </c>
      <c r="AX89" s="33" t="n">
        <v>4361.327897719278</v>
      </c>
      <c r="AY89" s="33" t="n">
        <v>5235.81005008755</v>
      </c>
      <c r="AZ89" s="33" t="n">
        <v>2953.957131287966</v>
      </c>
      <c r="BA89" s="33" t="n">
        <v>15838.0052169504</v>
      </c>
      <c r="BB89" s="33" t="n">
        <v>5810.507659515344</v>
      </c>
      <c r="BC89" s="33" t="n">
        <v>36706.60897706734</v>
      </c>
      <c r="BD89" s="33" t="n">
        <v>1541.314441463897</v>
      </c>
      <c r="BE89" s="33" t="n">
        <v>7815.400502825499</v>
      </c>
      <c r="BF89" s="33" t="n">
        <v>8263.175400975031</v>
      </c>
      <c r="BG89" s="33" t="n">
        <v>4321.661564627941</v>
      </c>
      <c r="BH89" s="33" t="n">
        <v>31371.51036160632</v>
      </c>
      <c r="BI89" s="33" t="n">
        <v>8805.124052170784</v>
      </c>
      <c r="BJ89" s="33" t="n">
        <v>1034.201917322544</v>
      </c>
      <c r="BK89" s="33" t="n">
        <v>2416.805630388794</v>
      </c>
      <c r="BL89" s="33" t="n">
        <v>52.41291409958889</v>
      </c>
      <c r="BM89" s="33" t="n">
        <v>119.211513157487</v>
      </c>
      <c r="BN89" s="33" t="n">
        <v>7.774371344197205</v>
      </c>
      <c r="BO89" s="33" t="n">
        <v>347.0610569263624</v>
      </c>
      <c r="BP89" s="33" t="n">
        <v>979.9074320633497</v>
      </c>
      <c r="BQ89" s="33" t="n">
        <v>-82.65929650102724</v>
      </c>
      <c r="BR89" s="33" t="n">
        <v>0</v>
      </c>
      <c r="BY89" s="33">
        <f>SUM(C89:BR89)</f>
        <v/>
      </c>
    </row>
    <row r="90">
      <c r="B90" s="35" t="inlineStr">
        <is>
          <t>Check produccion total - fuente</t>
        </is>
      </c>
      <c r="C90" s="36">
        <f>C88-C89</f>
        <v/>
      </c>
      <c r="D90" s="36">
        <f>D88-D89</f>
        <v/>
      </c>
      <c r="E90" s="36">
        <f>E88-E89</f>
        <v/>
      </c>
      <c r="F90" s="36">
        <f>F88-F89</f>
        <v/>
      </c>
      <c r="G90" s="36">
        <f>G88-G89</f>
        <v/>
      </c>
      <c r="H90" s="36">
        <f>H88-H89</f>
        <v/>
      </c>
      <c r="I90" s="36">
        <f>I88-I89</f>
        <v/>
      </c>
      <c r="J90" s="36">
        <f>J88-J89</f>
        <v/>
      </c>
      <c r="K90" s="36">
        <f>K88-K89</f>
        <v/>
      </c>
      <c r="L90" s="36">
        <f>L88-L89</f>
        <v/>
      </c>
      <c r="M90" s="36">
        <f>M88-M89</f>
        <v/>
      </c>
      <c r="N90" s="36">
        <f>N88-N89</f>
        <v/>
      </c>
      <c r="O90" s="36">
        <f>O88-O89</f>
        <v/>
      </c>
      <c r="P90" s="36">
        <f>P88-P89</f>
        <v/>
      </c>
      <c r="Q90" s="36">
        <f>Q88-Q89</f>
        <v/>
      </c>
      <c r="R90" s="36">
        <f>R88-R89</f>
        <v/>
      </c>
      <c r="S90" s="36">
        <f>S88-S89</f>
        <v/>
      </c>
      <c r="T90" s="36">
        <f>T88-T89</f>
        <v/>
      </c>
      <c r="U90" s="36">
        <f>U88-U89</f>
        <v/>
      </c>
      <c r="V90" s="36">
        <f>V88-V89</f>
        <v/>
      </c>
      <c r="W90" s="36">
        <f>W88-W89</f>
        <v/>
      </c>
      <c r="X90" s="36">
        <f>X88-X89</f>
        <v/>
      </c>
      <c r="Y90" s="36">
        <f>Y88-Y89</f>
        <v/>
      </c>
      <c r="Z90" s="36">
        <f>Z88-Z89</f>
        <v/>
      </c>
      <c r="AA90" s="36">
        <f>AA88-AA89</f>
        <v/>
      </c>
      <c r="AB90" s="36">
        <f>AB88-AB89</f>
        <v/>
      </c>
      <c r="AC90" s="36">
        <f>AC88-AC89</f>
        <v/>
      </c>
      <c r="AD90" s="36">
        <f>AD88-AD89</f>
        <v/>
      </c>
      <c r="AE90" s="36">
        <f>AE88-AE89</f>
        <v/>
      </c>
      <c r="AF90" s="36">
        <f>AF88-AF89</f>
        <v/>
      </c>
      <c r="AG90" s="36">
        <f>AG88-AG89</f>
        <v/>
      </c>
      <c r="AH90" s="36">
        <f>AH88-AH89</f>
        <v/>
      </c>
      <c r="AI90" s="36">
        <f>AI88-AI89</f>
        <v/>
      </c>
      <c r="AJ90" s="36">
        <f>AJ88-AJ89</f>
        <v/>
      </c>
      <c r="AK90" s="36">
        <f>AK88-AK89</f>
        <v/>
      </c>
      <c r="AL90" s="36">
        <f>AL88-AL89</f>
        <v/>
      </c>
      <c r="AM90" s="36">
        <f>AM88-AM89</f>
        <v/>
      </c>
      <c r="AN90" s="36">
        <f>AN88-AN89</f>
        <v/>
      </c>
      <c r="AO90" s="36">
        <f>AO88-AO89</f>
        <v/>
      </c>
      <c r="AP90" s="36">
        <f>AP88-AP89</f>
        <v/>
      </c>
      <c r="AQ90" s="36">
        <f>AQ88-AQ89</f>
        <v/>
      </c>
      <c r="AR90" s="36">
        <f>AR88-AR89</f>
        <v/>
      </c>
      <c r="AS90" s="36">
        <f>AS88-AS89</f>
        <v/>
      </c>
      <c r="AT90" s="36">
        <f>AT88-AT89</f>
        <v/>
      </c>
      <c r="AU90" s="36">
        <f>AU88-AU89</f>
        <v/>
      </c>
      <c r="AV90" s="36">
        <f>AV88-AV89</f>
        <v/>
      </c>
      <c r="AW90" s="36">
        <f>AW88-AW89</f>
        <v/>
      </c>
      <c r="AX90" s="36">
        <f>AX88-AX89</f>
        <v/>
      </c>
      <c r="AY90" s="36">
        <f>AY88-AY89</f>
        <v/>
      </c>
      <c r="AZ90" s="36">
        <f>AZ88-AZ89</f>
        <v/>
      </c>
      <c r="BA90" s="36">
        <f>BA88-BA89</f>
        <v/>
      </c>
      <c r="BB90" s="36">
        <f>BB88-BB89</f>
        <v/>
      </c>
      <c r="BC90" s="36">
        <f>BC88-BC89</f>
        <v/>
      </c>
      <c r="BD90" s="36">
        <f>BD88-BD89</f>
        <v/>
      </c>
      <c r="BE90" s="36">
        <f>BE88-BE89</f>
        <v/>
      </c>
      <c r="BF90" s="36">
        <f>BF88-BF89</f>
        <v/>
      </c>
      <c r="BG90" s="36">
        <f>BG88-BG89</f>
        <v/>
      </c>
      <c r="BH90" s="36">
        <f>BH88-BH89</f>
        <v/>
      </c>
      <c r="BI90" s="36">
        <f>BI88-BI89</f>
        <v/>
      </c>
      <c r="BJ90" s="36">
        <f>BJ88-BJ89</f>
        <v/>
      </c>
      <c r="BK90" s="36">
        <f>BK88-BK89</f>
        <v/>
      </c>
      <c r="BL90" s="36">
        <f>BL88-BL89</f>
        <v/>
      </c>
      <c r="BM90" s="36">
        <f>BM88-BM89</f>
        <v/>
      </c>
      <c r="BN90" s="36">
        <f>BN88-BN89</f>
        <v/>
      </c>
      <c r="BO90" s="36">
        <f>BO88-BO89</f>
        <v/>
      </c>
      <c r="BP90" s="36">
        <f>BP88-BP89</f>
        <v/>
      </c>
      <c r="BQ90" s="36">
        <f>BQ88-BQ89</f>
        <v/>
      </c>
      <c r="BR90" s="36">
        <f>BR88-BR89</f>
        <v/>
      </c>
      <c r="BY90" s="36">
        <f>SUM(C90:BR90)</f>
        <v/>
      </c>
    </row>
    <row r="91"/>
    <row r="92">
      <c r="B92" s="28" t="inlineStr">
        <is>
          <t>Nota</t>
        </is>
      </c>
      <c r="C92" s="28" t="inlineStr">
        <is>
          <t>U_importada/ajuste transformado a industrias con D = V * diag(q)^-1.</t>
        </is>
      </c>
    </row>
  </sheetData>
  <mergeCells count="9">
    <mergeCell ref="BY10:BY12"/>
    <mergeCell ref="BX10:BX12"/>
    <mergeCell ref="A3:H4"/>
    <mergeCell ref="B10:B12"/>
    <mergeCell ref="A10:A12"/>
    <mergeCell ref="A1:H1"/>
    <mergeCell ref="C10:BR10"/>
    <mergeCell ref="BS10:BS12"/>
    <mergeCell ref="BT10:BW10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Y92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</cols>
  <sheetData>
    <row r="1" ht="44" customHeight="1"/>
    <row r="2"/>
    <row r="3" ht="16" customHeight="1">
      <c r="A3" s="20" t="inlineStr">
        <is>
          <t>Matriz insumo producto, actividad por actividad - Total auditable</t>
        </is>
      </c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  <c r="AE3" s="20" t="n"/>
      <c r="AF3" s="20" t="n"/>
      <c r="AG3" s="20" t="n"/>
      <c r="AH3" s="20" t="n"/>
      <c r="AI3" s="20" t="n"/>
      <c r="AJ3" s="20" t="n"/>
      <c r="AK3" s="20" t="n"/>
      <c r="AL3" s="20" t="n"/>
      <c r="AM3" s="20" t="n"/>
      <c r="AN3" s="20" t="n"/>
      <c r="AO3" s="20" t="n"/>
      <c r="AP3" s="20" t="n"/>
      <c r="AQ3" s="20" t="n"/>
      <c r="AR3" s="20" t="n"/>
      <c r="AS3" s="20" t="n"/>
      <c r="AT3" s="20" t="n"/>
      <c r="AU3" s="20" t="n"/>
      <c r="AV3" s="20" t="n"/>
      <c r="AW3" s="20" t="n"/>
      <c r="AX3" s="20" t="n"/>
      <c r="AY3" s="20" t="n"/>
      <c r="AZ3" s="20" t="n"/>
      <c r="BA3" s="20" t="n"/>
      <c r="BB3" s="20" t="n"/>
      <c r="BC3" s="20" t="n"/>
      <c r="BD3" s="20" t="n"/>
      <c r="BE3" s="20" t="n"/>
      <c r="BF3" s="20" t="n"/>
      <c r="BG3" s="20" t="n"/>
      <c r="BH3" s="20" t="n"/>
      <c r="BI3" s="20" t="n"/>
      <c r="BJ3" s="20" t="n"/>
      <c r="BK3" s="20" t="n"/>
      <c r="BL3" s="20" t="n"/>
      <c r="BM3" s="20" t="n"/>
      <c r="BN3" s="20" t="n"/>
      <c r="BO3" s="20" t="n"/>
      <c r="BP3" s="20" t="n"/>
      <c r="BQ3" s="20" t="n"/>
      <c r="BR3" s="20" t="n"/>
      <c r="BS3" s="20" t="n"/>
      <c r="BT3" s="20" t="n"/>
      <c r="BU3" s="20" t="n"/>
      <c r="BV3" s="20" t="n"/>
      <c r="BW3" s="20" t="n"/>
      <c r="BX3" s="20" t="n"/>
      <c r="BY3" s="20" t="n"/>
    </row>
    <row r="4" ht="16" customHeight="1"/>
    <row r="5">
      <c r="A5" s="21" t="inlineStr">
        <is>
          <t>Valores a precios corrientes</t>
        </is>
      </c>
    </row>
    <row r="6" ht="16.5" customHeight="1">
      <c r="A6" s="21" t="inlineStr">
        <is>
          <t>Ano 2011</t>
        </is>
      </c>
      <c r="J6" s="22" t="inlineStr">
        <is>
          <t>Indice</t>
        </is>
      </c>
    </row>
    <row r="7">
      <c r="A7" s="21" t="inlineStr">
        <is>
          <t>Base / fuente original</t>
        </is>
      </c>
    </row>
    <row r="8">
      <c r="A8" s="21" t="inlineStr">
        <is>
          <t>Unidades monetarias de la fuente</t>
        </is>
      </c>
    </row>
    <row r="9"/>
    <row r="10" ht="16" customHeight="1">
      <c r="A10" s="23" t="inlineStr">
        <is>
          <t>Codigo</t>
        </is>
      </c>
      <c r="B10" s="23" t="inlineStr">
        <is>
          <t>Actividad economica</t>
        </is>
      </c>
      <c r="C10" s="23" t="inlineStr">
        <is>
          <t>Consumo intermedio por actividades economicas</t>
        </is>
      </c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  <c r="AA10" s="24" t="n"/>
      <c r="AB10" s="24" t="n"/>
      <c r="AC10" s="24" t="n"/>
      <c r="AD10" s="24" t="n"/>
      <c r="AE10" s="24" t="n"/>
      <c r="AF10" s="24" t="n"/>
      <c r="AG10" s="24" t="n"/>
      <c r="AH10" s="24" t="n"/>
      <c r="AI10" s="24" t="n"/>
      <c r="AJ10" s="24" t="n"/>
      <c r="AK10" s="24" t="n"/>
      <c r="AL10" s="24" t="n"/>
      <c r="AM10" s="24" t="n"/>
      <c r="AN10" s="24" t="n"/>
      <c r="AO10" s="24" t="n"/>
      <c r="AP10" s="24" t="n"/>
      <c r="AQ10" s="24" t="n"/>
      <c r="AR10" s="24" t="n"/>
      <c r="AS10" s="24" t="n"/>
      <c r="AT10" s="24" t="n"/>
      <c r="AU10" s="24" t="n"/>
      <c r="AV10" s="24" t="n"/>
      <c r="AW10" s="24" t="n"/>
      <c r="AX10" s="24" t="n"/>
      <c r="AY10" s="24" t="n"/>
      <c r="AZ10" s="24" t="n"/>
      <c r="BA10" s="24" t="n"/>
      <c r="BB10" s="24" t="n"/>
      <c r="BC10" s="24" t="n"/>
      <c r="BD10" s="24" t="n"/>
      <c r="BE10" s="24" t="n"/>
      <c r="BF10" s="24" t="n"/>
      <c r="BG10" s="24" t="n"/>
      <c r="BH10" s="24" t="n"/>
      <c r="BI10" s="24" t="n"/>
      <c r="BJ10" s="24" t="n"/>
      <c r="BK10" s="24" t="n"/>
      <c r="BL10" s="24" t="n"/>
      <c r="BM10" s="24" t="n"/>
      <c r="BN10" s="24" t="n"/>
      <c r="BO10" s="24" t="n"/>
      <c r="BP10" s="24" t="n"/>
      <c r="BQ10" s="24" t="n"/>
      <c r="BR10" s="24" t="n"/>
      <c r="BS10" s="23" t="inlineStr">
        <is>
          <t>Total consumo intermedio</t>
        </is>
      </c>
      <c r="BT10" s="23" t="inlineStr">
        <is>
          <t>Demanda final</t>
        </is>
      </c>
      <c r="BU10" s="24" t="n"/>
      <c r="BV10" s="24" t="n"/>
      <c r="BW10" s="24" t="n"/>
      <c r="BX10" s="23" t="inlineStr">
        <is>
          <t>Total demanda final</t>
        </is>
      </c>
      <c r="BY10" s="23" t="inlineStr">
        <is>
          <t>Total</t>
        </is>
      </c>
    </row>
    <row r="11" ht="15" customHeight="1">
      <c r="C11" s="25" t="inlineStr">
        <is>
          <t>0191</t>
        </is>
      </c>
      <c r="D11" s="25" t="inlineStr">
        <is>
          <t>0192</t>
        </is>
      </c>
      <c r="E11" s="25" t="inlineStr">
        <is>
          <t>0280</t>
        </is>
      </c>
      <c r="F11" s="25" t="inlineStr">
        <is>
          <t>0580</t>
        </is>
      </c>
      <c r="G11" s="25" t="inlineStr">
        <is>
          <t>0680</t>
        </is>
      </c>
      <c r="H11" s="25" t="inlineStr">
        <is>
          <t>0791</t>
        </is>
      </c>
      <c r="I11" s="25" t="inlineStr">
        <is>
          <t>0792</t>
        </is>
      </c>
      <c r="J11" s="25" t="inlineStr">
        <is>
          <t>1091</t>
        </is>
      </c>
      <c r="K11" s="25" t="inlineStr">
        <is>
          <t>1092</t>
        </is>
      </c>
      <c r="L11" s="25" t="inlineStr">
        <is>
          <t>1093</t>
        </is>
      </c>
      <c r="M11" s="25" t="inlineStr">
        <is>
          <t>1100</t>
        </is>
      </c>
      <c r="N11" s="25" t="inlineStr">
        <is>
          <t>1200</t>
        </is>
      </c>
      <c r="O11" s="25" t="inlineStr">
        <is>
          <t>1300</t>
        </is>
      </c>
      <c r="P11" s="25" t="inlineStr">
        <is>
          <t>1400</t>
        </is>
      </c>
      <c r="Q11" s="25" t="inlineStr">
        <is>
          <t>1500</t>
        </is>
      </c>
      <c r="R11" s="25" t="inlineStr">
        <is>
          <t>1600</t>
        </is>
      </c>
      <c r="S11" s="25" t="inlineStr">
        <is>
          <t>1700</t>
        </is>
      </c>
      <c r="T11" s="25" t="inlineStr">
        <is>
          <t>1800</t>
        </is>
      </c>
      <c r="U11" s="25" t="inlineStr">
        <is>
          <t>1991</t>
        </is>
      </c>
      <c r="V11" s="25" t="inlineStr">
        <is>
          <t>1992</t>
        </is>
      </c>
      <c r="W11" s="25" t="inlineStr">
        <is>
          <t>2091</t>
        </is>
      </c>
      <c r="X11" s="25" t="inlineStr">
        <is>
          <t>2092</t>
        </is>
      </c>
      <c r="Y11" s="25" t="inlineStr">
        <is>
          <t>2093</t>
        </is>
      </c>
      <c r="Z11" s="25" t="inlineStr">
        <is>
          <t>2100</t>
        </is>
      </c>
      <c r="AA11" s="25" t="inlineStr">
        <is>
          <t>2200</t>
        </is>
      </c>
      <c r="AB11" s="25" t="inlineStr">
        <is>
          <t>2300</t>
        </is>
      </c>
      <c r="AC11" s="25" t="inlineStr">
        <is>
          <t>2491</t>
        </is>
      </c>
      <c r="AD11" s="25" t="inlineStr">
        <is>
          <t>2492</t>
        </is>
      </c>
      <c r="AE11" s="25" t="inlineStr">
        <is>
          <t>2500</t>
        </is>
      </c>
      <c r="AF11" s="25" t="inlineStr">
        <is>
          <t>2600</t>
        </is>
      </c>
      <c r="AG11" s="25" t="inlineStr">
        <is>
          <t>2700</t>
        </is>
      </c>
      <c r="AH11" s="25" t="inlineStr">
        <is>
          <t>2800</t>
        </is>
      </c>
      <c r="AI11" s="25" t="inlineStr">
        <is>
          <t>2991</t>
        </is>
      </c>
      <c r="AJ11" s="25" t="inlineStr">
        <is>
          <t>2992</t>
        </is>
      </c>
      <c r="AK11" s="25" t="inlineStr">
        <is>
          <t>3000</t>
        </is>
      </c>
      <c r="AL11" s="25" t="inlineStr">
        <is>
          <t>3180</t>
        </is>
      </c>
      <c r="AM11" s="25" t="inlineStr">
        <is>
          <t>3300</t>
        </is>
      </c>
      <c r="AN11" s="25" t="inlineStr">
        <is>
          <t>3500</t>
        </is>
      </c>
      <c r="AO11" s="25" t="inlineStr">
        <is>
          <t>3680</t>
        </is>
      </c>
      <c r="AP11" s="25" t="inlineStr">
        <is>
          <t>4180</t>
        </is>
      </c>
      <c r="AQ11" s="25" t="inlineStr">
        <is>
          <t>4500</t>
        </is>
      </c>
      <c r="AR11" s="25" t="inlineStr">
        <is>
          <t>4680</t>
        </is>
      </c>
      <c r="AS11" s="25" t="inlineStr">
        <is>
          <t>4900</t>
        </is>
      </c>
      <c r="AT11" s="25" t="inlineStr">
        <is>
          <t>5000</t>
        </is>
      </c>
      <c r="AU11" s="25" t="inlineStr">
        <is>
          <t>5100</t>
        </is>
      </c>
      <c r="AV11" s="25" t="inlineStr">
        <is>
          <t>5280</t>
        </is>
      </c>
      <c r="AW11" s="25" t="inlineStr">
        <is>
          <t>5500</t>
        </is>
      </c>
      <c r="AX11" s="25" t="inlineStr">
        <is>
          <t>5600</t>
        </is>
      </c>
      <c r="AY11" s="25" t="inlineStr">
        <is>
          <t>5800</t>
        </is>
      </c>
      <c r="AZ11" s="25" t="inlineStr">
        <is>
          <t>5980</t>
        </is>
      </c>
      <c r="BA11" s="25" t="inlineStr">
        <is>
          <t>6100</t>
        </is>
      </c>
      <c r="BB11" s="25" t="inlineStr">
        <is>
          <t>6280</t>
        </is>
      </c>
      <c r="BC11" s="25" t="inlineStr">
        <is>
          <t>6480</t>
        </is>
      </c>
      <c r="BD11" s="25" t="inlineStr">
        <is>
          <t>6800</t>
        </is>
      </c>
      <c r="BE11" s="25" t="inlineStr">
        <is>
          <t>6980</t>
        </is>
      </c>
      <c r="BF11" s="25" t="inlineStr">
        <is>
          <t>7180</t>
        </is>
      </c>
      <c r="BG11" s="25" t="inlineStr">
        <is>
          <t>7380</t>
        </is>
      </c>
      <c r="BH11" s="25" t="inlineStr">
        <is>
          <t>7700</t>
        </is>
      </c>
      <c r="BI11" s="25" t="inlineStr">
        <is>
          <t>7880</t>
        </is>
      </c>
      <c r="BJ11" s="25" t="inlineStr">
        <is>
          <t>8000</t>
        </is>
      </c>
      <c r="BK11" s="25" t="inlineStr">
        <is>
          <t>8400</t>
        </is>
      </c>
      <c r="BL11" s="25" t="inlineStr">
        <is>
          <t>8591</t>
        </is>
      </c>
      <c r="BM11" s="25" t="inlineStr">
        <is>
          <t>8592</t>
        </is>
      </c>
      <c r="BN11" s="25" t="inlineStr">
        <is>
          <t>8691</t>
        </is>
      </c>
      <c r="BO11" s="25" t="inlineStr">
        <is>
          <t>8692</t>
        </is>
      </c>
      <c r="BP11" s="25" t="inlineStr">
        <is>
          <t>9080</t>
        </is>
      </c>
      <c r="BQ11" s="25" t="inlineStr">
        <is>
          <t>9480</t>
        </is>
      </c>
      <c r="BR11" s="25" t="inlineStr">
        <is>
          <t>9700</t>
        </is>
      </c>
      <c r="BT11" s="25" t="inlineStr"/>
      <c r="BU11" s="25" t="inlineStr"/>
      <c r="BV11" s="25" t="inlineStr"/>
      <c r="BW11" s="25" t="inlineStr"/>
    </row>
    <row r="12" ht="90" customHeight="1">
      <c r="A12" s="26" t="n"/>
      <c r="B12" s="26" t="n"/>
      <c r="C12" s="27" t="inlineStr">
        <is>
          <t>Agricultura, inclusive o apoio à agricultura e a pós-colheita</t>
        </is>
      </c>
      <c r="D12" s="27" t="inlineStr">
        <is>
          <t>Pecuária, inclusive o apoio à pecuária</t>
        </is>
      </c>
      <c r="E12" s="27" t="inlineStr">
        <is>
          <t>Produção florestal; pesca e aquicultura</t>
        </is>
      </c>
      <c r="F12" s="27" t="inlineStr">
        <is>
          <t>Extração de carvão mineral e de minerais não-metálicos</t>
        </is>
      </c>
      <c r="G12" s="27" t="inlineStr">
        <is>
          <t>Extração de petróleo e gás, inclusive as atividades de apoio</t>
        </is>
      </c>
      <c r="H12" s="27" t="inlineStr">
        <is>
          <t>Extração de minério de ferro, inclusive beneficiamentos e a aglomeração</t>
        </is>
      </c>
      <c r="I12" s="27" t="inlineStr">
        <is>
          <t>Extração de minerais metálicos não-ferrosos, inclusive beneficiamentos</t>
        </is>
      </c>
      <c r="J12" s="27" t="inlineStr">
        <is>
          <t>Abate e produtos de carne, inclusive os produtos do laticínio e da pesca</t>
        </is>
      </c>
      <c r="K12" s="27" t="inlineStr">
        <is>
          <t>Fabricação e refino de açúcar</t>
        </is>
      </c>
      <c r="L12" s="27" t="inlineStr">
        <is>
          <t>Outros produtos alimentares</t>
        </is>
      </c>
      <c r="M12" s="27" t="inlineStr">
        <is>
          <t>Fabricação de bebidas</t>
        </is>
      </c>
      <c r="N12" s="27" t="inlineStr">
        <is>
          <t>Fabricação de produtos do fumo</t>
        </is>
      </c>
      <c r="O12" s="27" t="inlineStr">
        <is>
          <t>Fabricação de produtos têxteis</t>
        </is>
      </c>
      <c r="P12" s="27" t="inlineStr">
        <is>
          <t>Confecção de artefatos do vestuário e acessórios</t>
        </is>
      </c>
      <c r="Q12" s="27" t="inlineStr">
        <is>
          <t>Fabricação de calçados e de artefatos de couro</t>
        </is>
      </c>
      <c r="R12" s="27" t="inlineStr">
        <is>
          <t>Fabricação de produtos da madeira</t>
        </is>
      </c>
      <c r="S12" s="27" t="inlineStr">
        <is>
          <t>Fabricação de celulose, papel e produtos de papel</t>
        </is>
      </c>
      <c r="T12" s="27" t="inlineStr">
        <is>
          <t>Impressão e reprodução de gravações</t>
        </is>
      </c>
      <c r="U12" s="27" t="inlineStr">
        <is>
          <t>Refino de petróleo e coquerias</t>
        </is>
      </c>
      <c r="V12" s="27" t="inlineStr">
        <is>
          <t>Fabricação de biocombustíveis</t>
        </is>
      </c>
      <c r="W12" s="27" t="inlineStr">
        <is>
          <t>Fabricação de químicos orgânicos e inorgânicos, resinas e elastômeros</t>
        </is>
      </c>
      <c r="X12" s="27" t="inlineStr">
        <is>
          <t>Fabricação de defensivos, desinfestantes, tintas e químicos diversos</t>
        </is>
      </c>
      <c r="Y12" s="27" t="inlineStr">
        <is>
          <t>Fabricação de produtos de limpeza, cosméticos/perfumaria e higiene pessoal</t>
        </is>
      </c>
      <c r="Z12" s="27" t="inlineStr">
        <is>
          <t>Fabricação de produtos farmoquímicos e farmacêuticos</t>
        </is>
      </c>
      <c r="AA12" s="27" t="inlineStr">
        <is>
          <t>Fabricação de produtos de borracha e de material plástico</t>
        </is>
      </c>
      <c r="AB12" s="27" t="inlineStr">
        <is>
          <t>Fabricação de produtos de minerais não-metálicos</t>
        </is>
      </c>
      <c r="AC12" s="27" t="inlineStr">
        <is>
          <t>Produção de ferro-gusa/ferroligas, siderurgia e tubos de aço sem costura</t>
        </is>
      </c>
      <c r="AD12" s="27" t="inlineStr">
        <is>
          <t>Metalurgia de metais não-ferrosos e a fundição de metais</t>
        </is>
      </c>
      <c r="AE12" s="27" t="inlineStr">
        <is>
          <t>Fabricação de produtos de metal, exceto máquinas e equipamentos</t>
        </is>
      </c>
      <c r="AF12" s="27" t="inlineStr">
        <is>
          <t>Fabricação de equipamentos de informática, produtos eletrônicos e ópticos</t>
        </is>
      </c>
      <c r="AG12" s="27" t="inlineStr">
        <is>
          <t>Fabricação de máquinas e equipamentos elétricos</t>
        </is>
      </c>
      <c r="AH12" s="27" t="inlineStr">
        <is>
          <t>Fabricação de máquinas e equipamentos mecânicos</t>
        </is>
      </c>
      <c r="AI12" s="27" t="inlineStr">
        <is>
          <t>Fabricação de automóveis, caminhões e ônibus, exceto peças</t>
        </is>
      </c>
      <c r="AJ12" s="27" t="inlineStr">
        <is>
          <t>Fabricação de peças e acessórios para veículos automotores</t>
        </is>
      </c>
      <c r="AK12" s="27" t="inlineStr">
        <is>
          <t>Fabricação de outros equipamentos de transporte, exceto veículos automotores</t>
        </is>
      </c>
      <c r="AL12" s="27" t="inlineStr">
        <is>
          <t>Fabricação de móveis e de produtos de indústrias diversas</t>
        </is>
      </c>
      <c r="AM12" s="27" t="inlineStr">
        <is>
          <t>Manutenção, reparação e instalação de máquinas e equipamentos</t>
        </is>
      </c>
      <c r="AN12" s="27" t="inlineStr">
        <is>
          <t>Energia elétrica, gás natural e outras utilidades</t>
        </is>
      </c>
      <c r="AO12" s="27" t="inlineStr">
        <is>
          <t>Água, esgoto e gestão de resíduos</t>
        </is>
      </c>
      <c r="AP12" s="27" t="inlineStr">
        <is>
          <t>Construção</t>
        </is>
      </c>
      <c r="AQ12" s="27" t="inlineStr">
        <is>
          <t>Comércio e reparação de veículos automotores e motocicletas</t>
        </is>
      </c>
      <c r="AR12" s="27" t="inlineStr">
        <is>
          <t>Comércio por atacado e a varejo, exceto veículos automotores</t>
        </is>
      </c>
      <c r="AS12" s="27" t="inlineStr">
        <is>
          <t>Transporte terrestre</t>
        </is>
      </c>
      <c r="AT12" s="27" t="inlineStr">
        <is>
          <t>Transporte aquaviário</t>
        </is>
      </c>
      <c r="AU12" s="27" t="inlineStr">
        <is>
          <t>Transporte aéreo</t>
        </is>
      </c>
      <c r="AV12" s="27" t="inlineStr">
        <is>
          <t>Armazenamento, atividades auxiliares dos transportes e correio</t>
        </is>
      </c>
      <c r="AW12" s="27" t="inlineStr">
        <is>
          <t>Alojamento</t>
        </is>
      </c>
      <c r="AX12" s="27" t="inlineStr">
        <is>
          <t>Alimentação</t>
        </is>
      </c>
      <c r="AY12" s="27" t="inlineStr">
        <is>
          <t>Edição e edição integrada à impressão</t>
        </is>
      </c>
      <c r="AZ12" s="27" t="inlineStr">
        <is>
          <t>Atividades de televisão, rádio, cinema e  gravação/edição de som e imagem</t>
        </is>
      </c>
      <c r="BA12" s="27" t="inlineStr">
        <is>
          <t>Telecomunicações</t>
        </is>
      </c>
      <c r="BB12" s="27" t="inlineStr">
        <is>
          <t>Desenvolvimento de sistemas e outros serviços de informação</t>
        </is>
      </c>
      <c r="BC12" s="27" t="inlineStr">
        <is>
          <t>Intermediação financeira, seguros e previdência complementar</t>
        </is>
      </c>
      <c r="BD12" s="27" t="inlineStr">
        <is>
          <t>Atividades imobiliárias</t>
        </is>
      </c>
      <c r="BE12" s="27" t="inlineStr">
        <is>
          <t>Atividades jurídicas, contábeis, consultoria e sedes de empresas</t>
        </is>
      </c>
      <c r="BF12" s="27" t="inlineStr">
        <is>
          <t>Serviços de arquitetura, engenharia, testes/análises técnicas e P &amp; D</t>
        </is>
      </c>
      <c r="BG12" s="27" t="inlineStr">
        <is>
          <t>Outras atividades profissionais, científicas e técnicas</t>
        </is>
      </c>
      <c r="BH12" s="27" t="inlineStr">
        <is>
          <t>Aluguéis não-imobiliários e gestão de ativos de propriedade intelectual</t>
        </is>
      </c>
      <c r="BI12" s="27" t="inlineStr">
        <is>
          <t>Outras atividades administrativas e serviços complementares</t>
        </is>
      </c>
      <c r="BJ12" s="27" t="inlineStr">
        <is>
          <t>Atividades de vigilância, segurança e investigação</t>
        </is>
      </c>
      <c r="BK12" s="27" t="inlineStr">
        <is>
          <t>Administração pública, defesa e seguridade social</t>
        </is>
      </c>
      <c r="BL12" s="27" t="inlineStr">
        <is>
          <t>Educação pública</t>
        </is>
      </c>
      <c r="BM12" s="27" t="inlineStr">
        <is>
          <t>Educação privada</t>
        </is>
      </c>
      <c r="BN12" s="27" t="inlineStr">
        <is>
          <t>Saúde pública</t>
        </is>
      </c>
      <c r="BO12" s="27" t="inlineStr">
        <is>
          <t>Saúde privada</t>
        </is>
      </c>
      <c r="BP12" s="27" t="inlineStr">
        <is>
          <t>Atividades artísticas, criativas e de espetáculos</t>
        </is>
      </c>
      <c r="BQ12" s="27" t="inlineStr">
        <is>
          <t>Organizações associativas e outros serviços pessoais</t>
        </is>
      </c>
      <c r="BR12" s="27" t="inlineStr">
        <is>
          <t>Serviços domésticos</t>
        </is>
      </c>
      <c r="BS12" s="26" t="n"/>
      <c r="BT12" s="27" t="inlineStr">
        <is>
          <t>Gasto de consumo final</t>
        </is>
      </c>
      <c r="BU12" s="27" t="inlineStr">
        <is>
          <t>Formacion bruta de capital</t>
        </is>
      </c>
      <c r="BV12" s="27" t="inlineStr">
        <is>
          <t>Exportaciones netas</t>
        </is>
      </c>
      <c r="BW12" s="27" t="inlineStr">
        <is>
          <t>Sin desglose fuente</t>
        </is>
      </c>
      <c r="BX12" s="26" t="n"/>
      <c r="BY12" s="26" t="n"/>
    </row>
    <row r="13"/>
    <row r="14">
      <c r="A14" s="28" t="inlineStr">
        <is>
          <t>0191</t>
        </is>
      </c>
      <c r="B14" s="28" t="inlineStr">
        <is>
          <t>Agricultura, inclusive o apoio à agricultura e a pós-colheita</t>
        </is>
      </c>
      <c r="C14" s="29" t="n">
        <v>6165.774651112473</v>
      </c>
      <c r="D14" s="29" t="n">
        <v>4661.229457054865</v>
      </c>
      <c r="E14" s="29" t="n">
        <v>212.1658230609845</v>
      </c>
      <c r="F14" s="29" t="n">
        <v>3.356494108550143</v>
      </c>
      <c r="G14" s="29" t="n">
        <v>4.075772003931365</v>
      </c>
      <c r="H14" s="29" t="n">
        <v>0.6752861601974055</v>
      </c>
      <c r="I14" s="29" t="n">
        <v>0.8091398427585523</v>
      </c>
      <c r="J14" s="29" t="n">
        <v>5501.003411211661</v>
      </c>
      <c r="K14" s="29" t="n">
        <v>28655.187004384</v>
      </c>
      <c r="L14" s="29" t="n">
        <v>56415.30232351436</v>
      </c>
      <c r="M14" s="29" t="n">
        <v>2049.592271103591</v>
      </c>
      <c r="N14" s="29" t="n">
        <v>4415.644033382238</v>
      </c>
      <c r="O14" s="29" t="n">
        <v>4579.073775142449</v>
      </c>
      <c r="P14" s="29" t="n">
        <v>581.0498925365516</v>
      </c>
      <c r="Q14" s="29" t="n">
        <v>10.22140891233658</v>
      </c>
      <c r="R14" s="29" t="n">
        <v>154.0485530704211</v>
      </c>
      <c r="S14" s="29" t="n">
        <v>179.6091126781069</v>
      </c>
      <c r="T14" s="29" t="n">
        <v>0.179449653092655</v>
      </c>
      <c r="U14" s="29" t="n">
        <v>10.09717050069126</v>
      </c>
      <c r="V14" s="29" t="n">
        <v>11316.58882379316</v>
      </c>
      <c r="W14" s="29" t="n">
        <v>20.63456316178984</v>
      </c>
      <c r="X14" s="29" t="n">
        <v>23.83118413972597</v>
      </c>
      <c r="Y14" s="29" t="n">
        <v>1.699145975083913</v>
      </c>
      <c r="Z14" s="29" t="n">
        <v>14.68781893103045</v>
      </c>
      <c r="AA14" s="29" t="n">
        <v>80.24353586285511</v>
      </c>
      <c r="AB14" s="29" t="n">
        <v>23.79604075478215</v>
      </c>
      <c r="AC14" s="29" t="n">
        <v>26.48616530992236</v>
      </c>
      <c r="AD14" s="29" t="n">
        <v>9.701139667124503</v>
      </c>
      <c r="AE14" s="29" t="n">
        <v>3.509922361237743</v>
      </c>
      <c r="AF14" s="29" t="n">
        <v>0.2327790622770708</v>
      </c>
      <c r="AG14" s="29" t="n">
        <v>0.3978095194332103</v>
      </c>
      <c r="AH14" s="29" t="n">
        <v>1.256816946268017</v>
      </c>
      <c r="AI14" s="29" t="n">
        <v>1.023004043499044</v>
      </c>
      <c r="AJ14" s="29" t="n">
        <v>0.4912411567739353</v>
      </c>
      <c r="AK14" s="29" t="n">
        <v>0.8111058077007065</v>
      </c>
      <c r="AL14" s="29" t="n">
        <v>19.53662523669468</v>
      </c>
      <c r="AM14" s="29" t="n">
        <v>0.04822837526747818</v>
      </c>
      <c r="AN14" s="29" t="n">
        <v>0.7737942024054454</v>
      </c>
      <c r="AO14" s="29" t="n">
        <v>21.4260598159464</v>
      </c>
      <c r="AP14" s="29" t="n">
        <v>283.9648519689881</v>
      </c>
      <c r="AQ14" s="29" t="n">
        <v>1.986091724478051</v>
      </c>
      <c r="AR14" s="29" t="n">
        <v>7057.711401269376</v>
      </c>
      <c r="AS14" s="29" t="n">
        <v>0.6996434448599982</v>
      </c>
      <c r="AT14" s="29" t="n">
        <v>0.01426740378905133</v>
      </c>
      <c r="AU14" s="29" t="n">
        <v>0.3381571823517358</v>
      </c>
      <c r="AV14" s="29" t="n">
        <v>5.504320695822126</v>
      </c>
      <c r="AW14" s="29" t="n">
        <v>238.9845556499805</v>
      </c>
      <c r="AX14" s="29" t="n">
        <v>3491.297039089627</v>
      </c>
      <c r="AY14" s="29" t="n">
        <v>0.1631740833082993</v>
      </c>
      <c r="AZ14" s="29" t="n">
        <v>0.7325223202462716</v>
      </c>
      <c r="BA14" s="29" t="n">
        <v>33.24461390065312</v>
      </c>
      <c r="BB14" s="29" t="n">
        <v>1.264375910966681</v>
      </c>
      <c r="BC14" s="29" t="n">
        <v>12.79271619197767</v>
      </c>
      <c r="BD14" s="29" t="n">
        <v>8.765276455891261</v>
      </c>
      <c r="BE14" s="29" t="n">
        <v>3.688678277306102</v>
      </c>
      <c r="BF14" s="29" t="n">
        <v>11.77999451102723</v>
      </c>
      <c r="BG14" s="29" t="n">
        <v>0.5524507716254249</v>
      </c>
      <c r="BH14" s="29" t="n">
        <v>0.3781021955773265</v>
      </c>
      <c r="BI14" s="29" t="n">
        <v>72.53131564735071</v>
      </c>
      <c r="BJ14" s="29" t="n">
        <v>0.1615787591647745</v>
      </c>
      <c r="BK14" s="29" t="n">
        <v>1344.865398074505</v>
      </c>
      <c r="BL14" s="29" t="n">
        <v>384.7676998751076</v>
      </c>
      <c r="BM14" s="29" t="n">
        <v>35.24472718640141</v>
      </c>
      <c r="BN14" s="29" t="n">
        <v>200.552321432668</v>
      </c>
      <c r="BO14" s="29" t="n">
        <v>135.4956029124176</v>
      </c>
      <c r="BP14" s="29" t="n">
        <v>1.848905290569018</v>
      </c>
      <c r="BQ14" s="29" t="n">
        <v>151.8649019173559</v>
      </c>
      <c r="BR14" s="29" t="n">
        <v>0</v>
      </c>
      <c r="BS14" s="29">
        <f>SUM(C14:BR14)</f>
        <v/>
      </c>
      <c r="BT14" s="29" t="n">
        <v>0</v>
      </c>
      <c r="BU14" s="29" t="n">
        <v>0</v>
      </c>
      <c r="BV14" s="29" t="n">
        <v>91764.58193069699</v>
      </c>
      <c r="BW14" s="29" t="n">
        <v>0</v>
      </c>
      <c r="BX14" s="29">
        <f>SUM(BT14:BW14)</f>
        <v/>
      </c>
      <c r="BY14" s="29">
        <f>BS14+BX14</f>
        <v/>
      </c>
    </row>
    <row r="15">
      <c r="A15" s="30" t="inlineStr">
        <is>
          <t>0192</t>
        </is>
      </c>
      <c r="B15" s="30" t="inlineStr">
        <is>
          <t>Pecuária, inclusive o apoio à pecuária</t>
        </is>
      </c>
      <c r="C15" s="31" t="n">
        <v>715.0664842203022</v>
      </c>
      <c r="D15" s="31" t="n">
        <v>4192.412834004238</v>
      </c>
      <c r="E15" s="31" t="n">
        <v>162.4523374040273</v>
      </c>
      <c r="F15" s="31" t="n">
        <v>8.49992754647006</v>
      </c>
      <c r="G15" s="31" t="n">
        <v>12.28575053948917</v>
      </c>
      <c r="H15" s="31" t="n">
        <v>1.094866892004751</v>
      </c>
      <c r="I15" s="31" t="n">
        <v>1.657023935869677</v>
      </c>
      <c r="J15" s="31" t="n">
        <v>61546.33603706003</v>
      </c>
      <c r="K15" s="31" t="n">
        <v>161.8380116381443</v>
      </c>
      <c r="L15" s="31" t="n">
        <v>3273.34084598507</v>
      </c>
      <c r="M15" s="31" t="n">
        <v>83.45087244473865</v>
      </c>
      <c r="N15" s="31" t="n">
        <v>209.3154999965912</v>
      </c>
      <c r="O15" s="31" t="n">
        <v>228.8444642255238</v>
      </c>
      <c r="P15" s="31" t="n">
        <v>129.7045631428692</v>
      </c>
      <c r="Q15" s="31" t="n">
        <v>11.4420909363601</v>
      </c>
      <c r="R15" s="31" t="n">
        <v>169.0690665104476</v>
      </c>
      <c r="S15" s="31" t="n">
        <v>178.0366709521159</v>
      </c>
      <c r="T15" s="31" t="n">
        <v>0.3834214334526369</v>
      </c>
      <c r="U15" s="31" t="n">
        <v>0.4230393843313728</v>
      </c>
      <c r="V15" s="31" t="n">
        <v>92.21012164609247</v>
      </c>
      <c r="W15" s="31" t="n">
        <v>70.76333587857286</v>
      </c>
      <c r="X15" s="31" t="n">
        <v>11.30126598498313</v>
      </c>
      <c r="Y15" s="31" t="n">
        <v>3.497744979746929</v>
      </c>
      <c r="Z15" s="31" t="n">
        <v>3.895956738383171</v>
      </c>
      <c r="AA15" s="31" t="n">
        <v>82.81776473400375</v>
      </c>
      <c r="AB15" s="31" t="n">
        <v>102.6983726855466</v>
      </c>
      <c r="AC15" s="31" t="n">
        <v>36.4959445557406</v>
      </c>
      <c r="AD15" s="31" t="n">
        <v>22.19631713594601</v>
      </c>
      <c r="AE15" s="31" t="n">
        <v>2.443011536501923</v>
      </c>
      <c r="AF15" s="31" t="n">
        <v>0.6925939704790642</v>
      </c>
      <c r="AG15" s="31" t="n">
        <v>1.492118307940915</v>
      </c>
      <c r="AH15" s="31" t="n">
        <v>2.134048891229397</v>
      </c>
      <c r="AI15" s="31" t="n">
        <v>1.505357518489036</v>
      </c>
      <c r="AJ15" s="31" t="n">
        <v>1.297209708724214</v>
      </c>
      <c r="AK15" s="31" t="n">
        <v>0.979254213180045</v>
      </c>
      <c r="AL15" s="31" t="n">
        <v>7.349019616150609</v>
      </c>
      <c r="AM15" s="31" t="n">
        <v>0.1643391130347556</v>
      </c>
      <c r="AN15" s="31" t="n">
        <v>0.873027701423759</v>
      </c>
      <c r="AO15" s="31" t="n">
        <v>8.107724310165167</v>
      </c>
      <c r="AP15" s="31" t="n">
        <v>610.3140084180757</v>
      </c>
      <c r="AQ15" s="31" t="n">
        <v>3.409334421442651</v>
      </c>
      <c r="AR15" s="31" t="n">
        <v>314.8887097979052</v>
      </c>
      <c r="AS15" s="31" t="n">
        <v>1.020849244339294</v>
      </c>
      <c r="AT15" s="31" t="n">
        <v>0.03445871268780607</v>
      </c>
      <c r="AU15" s="31" t="n">
        <v>0.4591259130488488</v>
      </c>
      <c r="AV15" s="31" t="n">
        <v>11.14614578914301</v>
      </c>
      <c r="AW15" s="31" t="n">
        <v>186.3612319621463</v>
      </c>
      <c r="AX15" s="31" t="n">
        <v>1047.428056069944</v>
      </c>
      <c r="AY15" s="31" t="n">
        <v>0.5128939624692614</v>
      </c>
      <c r="AZ15" s="31" t="n">
        <v>1.219726658126975</v>
      </c>
      <c r="BA15" s="31" t="n">
        <v>67.46960970472769</v>
      </c>
      <c r="BB15" s="31" t="n">
        <v>3.073431738927028</v>
      </c>
      <c r="BC15" s="31" t="n">
        <v>24.80962200838504</v>
      </c>
      <c r="BD15" s="31" t="n">
        <v>19.45119591345896</v>
      </c>
      <c r="BE15" s="31" t="n">
        <v>3.849877656085131</v>
      </c>
      <c r="BF15" s="31" t="n">
        <v>11.62860364714962</v>
      </c>
      <c r="BG15" s="31" t="n">
        <v>5.185571981960496</v>
      </c>
      <c r="BH15" s="31" t="n">
        <v>0.9200604683510407</v>
      </c>
      <c r="BI15" s="31" t="n">
        <v>17.46873693777903</v>
      </c>
      <c r="BJ15" s="31" t="n">
        <v>0.317036306260205</v>
      </c>
      <c r="BK15" s="31" t="n">
        <v>251.4726186953164</v>
      </c>
      <c r="BL15" s="31" t="n">
        <v>115.0744585358754</v>
      </c>
      <c r="BM15" s="31" t="n">
        <v>11.0762625545093</v>
      </c>
      <c r="BN15" s="31" t="n">
        <v>64.61993892205371</v>
      </c>
      <c r="BO15" s="31" t="n">
        <v>85.53892524446445</v>
      </c>
      <c r="BP15" s="31" t="n">
        <v>1.885919085435786</v>
      </c>
      <c r="BQ15" s="31" t="n">
        <v>51.64538839739419</v>
      </c>
      <c r="BR15" s="31" t="n">
        <v>0</v>
      </c>
      <c r="BS15" s="31">
        <f>SUM(C15:BR15)</f>
        <v/>
      </c>
      <c r="BT15" s="31" t="n">
        <v>0</v>
      </c>
      <c r="BU15" s="31" t="n">
        <v>0</v>
      </c>
      <c r="BV15" s="31" t="n">
        <v>28857.33114751457</v>
      </c>
      <c r="BW15" s="31" t="n">
        <v>0</v>
      </c>
      <c r="BX15" s="31">
        <f>SUM(BT15:BW15)</f>
        <v/>
      </c>
      <c r="BY15" s="31">
        <f>BS15+BX15</f>
        <v/>
      </c>
    </row>
    <row r="16">
      <c r="A16" s="28" t="inlineStr">
        <is>
          <t>0280</t>
        </is>
      </c>
      <c r="B16" s="28" t="inlineStr">
        <is>
          <t>Produção florestal; pesca e aquicultura</t>
        </is>
      </c>
      <c r="C16" s="29" t="n">
        <v>1113.597316224692</v>
      </c>
      <c r="D16" s="29" t="n">
        <v>1277.182891703797</v>
      </c>
      <c r="E16" s="29" t="n">
        <v>2373.03501345815</v>
      </c>
      <c r="F16" s="29" t="n">
        <v>2.518853232089996</v>
      </c>
      <c r="G16" s="29" t="n">
        <v>0.7123604507215083</v>
      </c>
      <c r="H16" s="29" t="n">
        <v>0.09083332546541494</v>
      </c>
      <c r="I16" s="29" t="n">
        <v>0.08773963724007264</v>
      </c>
      <c r="J16" s="29" t="n">
        <v>1349.952855091298</v>
      </c>
      <c r="K16" s="29" t="n">
        <v>0.742056214308548</v>
      </c>
      <c r="L16" s="29" t="n">
        <v>328.9753019114536</v>
      </c>
      <c r="M16" s="29" t="n">
        <v>13.72139240325438</v>
      </c>
      <c r="N16" s="29" t="n">
        <v>20.58491541342779</v>
      </c>
      <c r="O16" s="29" t="n">
        <v>91.08314916952148</v>
      </c>
      <c r="P16" s="29" t="n">
        <v>28.67211513645562</v>
      </c>
      <c r="Q16" s="29" t="n">
        <v>22.97961851708694</v>
      </c>
      <c r="R16" s="29" t="n">
        <v>3271.375224266516</v>
      </c>
      <c r="S16" s="29" t="n">
        <v>3246.022246871225</v>
      </c>
      <c r="T16" s="29" t="n">
        <v>0.02359683192668765</v>
      </c>
      <c r="U16" s="29" t="n">
        <v>0.03020167258588848</v>
      </c>
      <c r="V16" s="29" t="n">
        <v>2.047495052132821</v>
      </c>
      <c r="W16" s="29" t="n">
        <v>168.2670922179063</v>
      </c>
      <c r="X16" s="29" t="n">
        <v>3.102742527167586</v>
      </c>
      <c r="Y16" s="29" t="n">
        <v>0.05555461557483828</v>
      </c>
      <c r="Z16" s="29" t="n">
        <v>0.4281649955188934</v>
      </c>
      <c r="AA16" s="29" t="n">
        <v>1581.390431577913</v>
      </c>
      <c r="AB16" s="29" t="n">
        <v>74.06209309436855</v>
      </c>
      <c r="AC16" s="29" t="n">
        <v>537.9062418848039</v>
      </c>
      <c r="AD16" s="29" t="n">
        <v>1.186956405403572</v>
      </c>
      <c r="AE16" s="29" t="n">
        <v>12.8637092056744</v>
      </c>
      <c r="AF16" s="29" t="n">
        <v>0.05753659451088358</v>
      </c>
      <c r="AG16" s="29" t="n">
        <v>0.1010795042094226</v>
      </c>
      <c r="AH16" s="29" t="n">
        <v>0.1404789668352367</v>
      </c>
      <c r="AI16" s="29" t="n">
        <v>0.0909213147502068</v>
      </c>
      <c r="AJ16" s="29" t="n">
        <v>0.08866727126809124</v>
      </c>
      <c r="AK16" s="29" t="n">
        <v>0.05329873177428784</v>
      </c>
      <c r="AL16" s="29" t="n">
        <v>3.056364801740399</v>
      </c>
      <c r="AM16" s="29" t="n">
        <v>0.01457933883766533</v>
      </c>
      <c r="AN16" s="29" t="n">
        <v>0.08002210662151467</v>
      </c>
      <c r="AO16" s="29" t="n">
        <v>0.4798795240590805</v>
      </c>
      <c r="AP16" s="29" t="n">
        <v>531.3808795010183</v>
      </c>
      <c r="AQ16" s="29" t="n">
        <v>0.3581922572922817</v>
      </c>
      <c r="AR16" s="29" t="n">
        <v>306.0931968078758</v>
      </c>
      <c r="AS16" s="29" t="n">
        <v>0.119185235646207</v>
      </c>
      <c r="AT16" s="29" t="n">
        <v>0.004960583344972116</v>
      </c>
      <c r="AU16" s="29" t="n">
        <v>0.03016033710220848</v>
      </c>
      <c r="AV16" s="29" t="n">
        <v>0.6767620997224124</v>
      </c>
      <c r="AW16" s="29" t="n">
        <v>44.51399167801986</v>
      </c>
      <c r="AX16" s="29" t="n">
        <v>449.9490587957833</v>
      </c>
      <c r="AY16" s="29" t="n">
        <v>0.05303001979330845</v>
      </c>
      <c r="AZ16" s="29" t="n">
        <v>0.09153245239162006</v>
      </c>
      <c r="BA16" s="29" t="n">
        <v>3.631096525321246</v>
      </c>
      <c r="BB16" s="29" t="n">
        <v>0.2456227412004808</v>
      </c>
      <c r="BC16" s="29" t="n">
        <v>1.599566977936491</v>
      </c>
      <c r="BD16" s="29" t="n">
        <v>1.105490675092812</v>
      </c>
      <c r="BE16" s="29" t="n">
        <v>0.3709366883368665</v>
      </c>
      <c r="BF16" s="29" t="n">
        <v>6.143126747224178</v>
      </c>
      <c r="BG16" s="29" t="n">
        <v>0.09291566932710352</v>
      </c>
      <c r="BH16" s="29" t="n">
        <v>0.1004039154986519</v>
      </c>
      <c r="BI16" s="29" t="n">
        <v>1.037256515887288</v>
      </c>
      <c r="BJ16" s="29" t="n">
        <v>0.03041019622528451</v>
      </c>
      <c r="BK16" s="29" t="n">
        <v>122.7447152132265</v>
      </c>
      <c r="BL16" s="29" t="n">
        <v>82.67673715534741</v>
      </c>
      <c r="BM16" s="29" t="n">
        <v>6.956132256348056</v>
      </c>
      <c r="BN16" s="29" t="n">
        <v>39.78828959067812</v>
      </c>
      <c r="BO16" s="29" t="n">
        <v>19.57194597453822</v>
      </c>
      <c r="BP16" s="29" t="n">
        <v>0.2325090045386184</v>
      </c>
      <c r="BQ16" s="29" t="n">
        <v>3.419715864374693</v>
      </c>
      <c r="BR16" s="29" t="n">
        <v>0</v>
      </c>
      <c r="BS16" s="29">
        <f>SUM(C16:BR16)</f>
        <v/>
      </c>
      <c r="BT16" s="29" t="n">
        <v>0</v>
      </c>
      <c r="BU16" s="29" t="n">
        <v>0</v>
      </c>
      <c r="BV16" s="29" t="n">
        <v>10912.16587722882</v>
      </c>
      <c r="BW16" s="29" t="n">
        <v>0</v>
      </c>
      <c r="BX16" s="29">
        <f>SUM(BT16:BW16)</f>
        <v/>
      </c>
      <c r="BY16" s="29">
        <f>BS16+BX16</f>
        <v/>
      </c>
    </row>
    <row r="17">
      <c r="A17" s="30" t="inlineStr">
        <is>
          <t>0580</t>
        </is>
      </c>
      <c r="B17" s="30" t="inlineStr">
        <is>
          <t>Extração de carvão mineral e de minerais não-metálicos</t>
        </is>
      </c>
      <c r="C17" s="31" t="n">
        <v>327.0736916689929</v>
      </c>
      <c r="D17" s="31" t="n">
        <v>448.0212582414049</v>
      </c>
      <c r="E17" s="31" t="n">
        <v>15.81408261896147</v>
      </c>
      <c r="F17" s="31" t="n">
        <v>463.1719951804895</v>
      </c>
      <c r="G17" s="31" t="n">
        <v>487.9881092698748</v>
      </c>
      <c r="H17" s="31" t="n">
        <v>0.405995423968071</v>
      </c>
      <c r="I17" s="31" t="n">
        <v>7.332847653459664</v>
      </c>
      <c r="J17" s="31" t="n">
        <v>65.52758337268267</v>
      </c>
      <c r="K17" s="31" t="n">
        <v>24.67276743844002</v>
      </c>
      <c r="L17" s="31" t="n">
        <v>301.3305517337362</v>
      </c>
      <c r="M17" s="31" t="n">
        <v>19.88062438488576</v>
      </c>
      <c r="N17" s="31" t="n">
        <v>0.04280595109634611</v>
      </c>
      <c r="O17" s="31" t="n">
        <v>13.82339810675947</v>
      </c>
      <c r="P17" s="31" t="n">
        <v>0.1861561572684827</v>
      </c>
      <c r="Q17" s="31" t="n">
        <v>11.79500746077189</v>
      </c>
      <c r="R17" s="31" t="n">
        <v>0.4572150650765385</v>
      </c>
      <c r="S17" s="31" t="n">
        <v>113.5888042667127</v>
      </c>
      <c r="T17" s="31" t="n">
        <v>0.8287142145340352</v>
      </c>
      <c r="U17" s="31" t="n">
        <v>39.13532357906763</v>
      </c>
      <c r="V17" s="31" t="n">
        <v>163.0992500019359</v>
      </c>
      <c r="W17" s="31" t="n">
        <v>4888.629592362316</v>
      </c>
      <c r="X17" s="31" t="n">
        <v>292.6880885053132</v>
      </c>
      <c r="Y17" s="31" t="n">
        <v>55.7846844332653</v>
      </c>
      <c r="Z17" s="31" t="n">
        <v>10.25275033061941</v>
      </c>
      <c r="AA17" s="31" t="n">
        <v>41.85547917186346</v>
      </c>
      <c r="AB17" s="31" t="n">
        <v>6043.494998682414</v>
      </c>
      <c r="AC17" s="31" t="n">
        <v>7762.675200525142</v>
      </c>
      <c r="AD17" s="31" t="n">
        <v>747.2901151933067</v>
      </c>
      <c r="AE17" s="31" t="n">
        <v>22.87294623137684</v>
      </c>
      <c r="AF17" s="31" t="n">
        <v>0.25706255317145</v>
      </c>
      <c r="AG17" s="31" t="n">
        <v>65.9780644380933</v>
      </c>
      <c r="AH17" s="31" t="n">
        <v>5.732462372775102</v>
      </c>
      <c r="AI17" s="31" t="n">
        <v>22.75146253435366</v>
      </c>
      <c r="AJ17" s="31" t="n">
        <v>116.7530806520502</v>
      </c>
      <c r="AK17" s="31" t="n">
        <v>10.67773139291063</v>
      </c>
      <c r="AL17" s="31" t="n">
        <v>46.91000346560446</v>
      </c>
      <c r="AM17" s="31" t="n">
        <v>11.92956776044562</v>
      </c>
      <c r="AN17" s="31" t="n">
        <v>1092.446342626274</v>
      </c>
      <c r="AO17" s="31" t="n">
        <v>466.8550932733726</v>
      </c>
      <c r="AP17" s="31" t="n">
        <v>8595.307997296732</v>
      </c>
      <c r="AQ17" s="31" t="n">
        <v>2.997504186378289</v>
      </c>
      <c r="AR17" s="31" t="n">
        <v>89.66380492403985</v>
      </c>
      <c r="AS17" s="31" t="n">
        <v>0.5152845388035739</v>
      </c>
      <c r="AT17" s="31" t="n">
        <v>0.1417824514940034</v>
      </c>
      <c r="AU17" s="31" t="n">
        <v>0.1040960726501186</v>
      </c>
      <c r="AV17" s="31" t="n">
        <v>6.651441900405513</v>
      </c>
      <c r="AW17" s="31" t="n">
        <v>3.110293274134776</v>
      </c>
      <c r="AX17" s="31" t="n">
        <v>26.22977229390983</v>
      </c>
      <c r="AY17" s="31" t="n">
        <v>0.2627813407475377</v>
      </c>
      <c r="AZ17" s="31" t="n">
        <v>0.2053670088513107</v>
      </c>
      <c r="BA17" s="31" t="n">
        <v>1.35466844486809</v>
      </c>
      <c r="BB17" s="31" t="n">
        <v>0.4962115618377207</v>
      </c>
      <c r="BC17" s="31" t="n">
        <v>2.261556208804345</v>
      </c>
      <c r="BD17" s="31" t="n">
        <v>290.4106491437959</v>
      </c>
      <c r="BE17" s="31" t="n">
        <v>1.418502660834738</v>
      </c>
      <c r="BF17" s="31" t="n">
        <v>11.07804223201372</v>
      </c>
      <c r="BG17" s="31" t="n">
        <v>0.5049654100995709</v>
      </c>
      <c r="BH17" s="31" t="n">
        <v>0.449331894722146</v>
      </c>
      <c r="BI17" s="31" t="n">
        <v>1.698812910218676</v>
      </c>
      <c r="BJ17" s="31" t="n">
        <v>0.1095273141569544</v>
      </c>
      <c r="BK17" s="31" t="n">
        <v>77.44311112154131</v>
      </c>
      <c r="BL17" s="31" t="n">
        <v>27.85496240447995</v>
      </c>
      <c r="BM17" s="31" t="n">
        <v>1.598676224376647</v>
      </c>
      <c r="BN17" s="31" t="n">
        <v>21.69853801501417</v>
      </c>
      <c r="BO17" s="31" t="n">
        <v>43.10383145058474</v>
      </c>
      <c r="BP17" s="31" t="n">
        <v>1.15156442328289</v>
      </c>
      <c r="BQ17" s="31" t="n">
        <v>17.67979644968247</v>
      </c>
      <c r="BR17" s="31" t="n">
        <v>0</v>
      </c>
      <c r="BS17" s="31">
        <f>SUM(C17:BR17)</f>
        <v/>
      </c>
      <c r="BT17" s="31" t="n">
        <v>0</v>
      </c>
      <c r="BU17" s="31" t="n">
        <v>0</v>
      </c>
      <c r="BV17" s="31" t="n">
        <v>1082.506310104564</v>
      </c>
      <c r="BW17" s="31" t="n">
        <v>0</v>
      </c>
      <c r="BX17" s="31">
        <f>SUM(BT17:BW17)</f>
        <v/>
      </c>
      <c r="BY17" s="31">
        <f>BS17+BX17</f>
        <v/>
      </c>
    </row>
    <row r="18">
      <c r="A18" s="28" t="inlineStr">
        <is>
          <t>0680</t>
        </is>
      </c>
      <c r="B18" s="28" t="inlineStr">
        <is>
          <t>Extração de petróleo e gás, inclusive as atividades de apoio</t>
        </is>
      </c>
      <c r="C18" s="29" t="n">
        <v>13.99956517061548</v>
      </c>
      <c r="D18" s="29" t="n">
        <v>11.51029586603726</v>
      </c>
      <c r="E18" s="29" t="n">
        <v>0.8757845741541405</v>
      </c>
      <c r="F18" s="29" t="n">
        <v>1.893412937459227</v>
      </c>
      <c r="G18" s="29" t="n">
        <v>7390.13149310283</v>
      </c>
      <c r="H18" s="29" t="n">
        <v>278.8329558333211</v>
      </c>
      <c r="I18" s="29" t="n">
        <v>19.82863349168758</v>
      </c>
      <c r="J18" s="29" t="n">
        <v>67.21124521070183</v>
      </c>
      <c r="K18" s="29" t="n">
        <v>0.5042456374446669</v>
      </c>
      <c r="L18" s="29" t="n">
        <v>485.81149701176</v>
      </c>
      <c r="M18" s="29" t="n">
        <v>134.6745251606537</v>
      </c>
      <c r="N18" s="29" t="n">
        <v>0.1186186392910391</v>
      </c>
      <c r="O18" s="29" t="n">
        <v>156.2341607727781</v>
      </c>
      <c r="P18" s="29" t="n">
        <v>0.613397188796539</v>
      </c>
      <c r="Q18" s="29" t="n">
        <v>1.853860710049114</v>
      </c>
      <c r="R18" s="29" t="n">
        <v>32.64875321259634</v>
      </c>
      <c r="S18" s="29" t="n">
        <v>490.7922685984426</v>
      </c>
      <c r="T18" s="29" t="n">
        <v>0.4910062315560175</v>
      </c>
      <c r="U18" s="29" t="n">
        <v>115941.7066877847</v>
      </c>
      <c r="V18" s="29" t="n">
        <v>0.3164805777315365</v>
      </c>
      <c r="W18" s="29" t="n">
        <v>1256.361665495558</v>
      </c>
      <c r="X18" s="29" t="n">
        <v>90.01090317651693</v>
      </c>
      <c r="Y18" s="29" t="n">
        <v>25.34712145149373</v>
      </c>
      <c r="Z18" s="29" t="n">
        <v>28.6149809312743</v>
      </c>
      <c r="AA18" s="29" t="n">
        <v>108.6892621640426</v>
      </c>
      <c r="AB18" s="29" t="n">
        <v>337.5205767621188</v>
      </c>
      <c r="AC18" s="29" t="n">
        <v>357.8174854202081</v>
      </c>
      <c r="AD18" s="29" t="n">
        <v>241.9660157480845</v>
      </c>
      <c r="AE18" s="29" t="n">
        <v>303.5998168647984</v>
      </c>
      <c r="AF18" s="29" t="n">
        <v>1.083981500981374</v>
      </c>
      <c r="AG18" s="29" t="n">
        <v>35.6574277163003</v>
      </c>
      <c r="AH18" s="29" t="n">
        <v>153.0517622881321</v>
      </c>
      <c r="AI18" s="29" t="n">
        <v>105.3467360302419</v>
      </c>
      <c r="AJ18" s="29" t="n">
        <v>191.7071626287029</v>
      </c>
      <c r="AK18" s="29" t="n">
        <v>5.404937534595014</v>
      </c>
      <c r="AL18" s="29" t="n">
        <v>1.909353154999614</v>
      </c>
      <c r="AM18" s="29" t="n">
        <v>56.15868281113334</v>
      </c>
      <c r="AN18" s="29" t="n">
        <v>7138.051899149747</v>
      </c>
      <c r="AO18" s="29" t="n">
        <v>219.6928509742492</v>
      </c>
      <c r="AP18" s="29" t="n">
        <v>613.4824337705813</v>
      </c>
      <c r="AQ18" s="29" t="n">
        <v>8.70185585438659</v>
      </c>
      <c r="AR18" s="29" t="n">
        <v>104.0257679027013</v>
      </c>
      <c r="AS18" s="29" t="n">
        <v>71.08476523300476</v>
      </c>
      <c r="AT18" s="29" t="n">
        <v>2.34256473061048</v>
      </c>
      <c r="AU18" s="29" t="n">
        <v>0.3120071546435881</v>
      </c>
      <c r="AV18" s="29" t="n">
        <v>21.64225165236866</v>
      </c>
      <c r="AW18" s="29" t="n">
        <v>1.817247051343192</v>
      </c>
      <c r="AX18" s="29" t="n">
        <v>27.79414637199743</v>
      </c>
      <c r="AY18" s="29" t="n">
        <v>0.7718370761265437</v>
      </c>
      <c r="AZ18" s="29" t="n">
        <v>0.8461549107158701</v>
      </c>
      <c r="BA18" s="29" t="n">
        <v>59.40395396022313</v>
      </c>
      <c r="BB18" s="29" t="n">
        <v>1.99573827709107</v>
      </c>
      <c r="BC18" s="29" t="n">
        <v>10.25459153026948</v>
      </c>
      <c r="BD18" s="29" t="n">
        <v>2.854644739697377</v>
      </c>
      <c r="BE18" s="29" t="n">
        <v>5.775155966905138</v>
      </c>
      <c r="BF18" s="29" t="n">
        <v>75.92729745156015</v>
      </c>
      <c r="BG18" s="29" t="n">
        <v>1.543448201271914</v>
      </c>
      <c r="BH18" s="29" t="n">
        <v>3.962404344427663</v>
      </c>
      <c r="BI18" s="29" t="n">
        <v>12.23136986637309</v>
      </c>
      <c r="BJ18" s="29" t="n">
        <v>0.4449053182007506</v>
      </c>
      <c r="BK18" s="29" t="n">
        <v>408.7580323165347</v>
      </c>
      <c r="BL18" s="29" t="n">
        <v>3.079914654261915</v>
      </c>
      <c r="BM18" s="29" t="n">
        <v>5.007177982518745</v>
      </c>
      <c r="BN18" s="29" t="n">
        <v>1.890088501995242</v>
      </c>
      <c r="BO18" s="29" t="n">
        <v>2.69632283092176</v>
      </c>
      <c r="BP18" s="29" t="n">
        <v>4.96030463233206</v>
      </c>
      <c r="BQ18" s="29" t="n">
        <v>11.46172726132356</v>
      </c>
      <c r="BR18" s="29" t="n">
        <v>0</v>
      </c>
      <c r="BS18" s="29">
        <f>SUM(C18:BR18)</f>
        <v/>
      </c>
      <c r="BT18" s="29" t="n">
        <v>0</v>
      </c>
      <c r="BU18" s="29" t="n">
        <v>0</v>
      </c>
      <c r="BV18" s="29" t="n">
        <v>46389.86725307809</v>
      </c>
      <c r="BW18" s="29" t="n">
        <v>0</v>
      </c>
      <c r="BX18" s="29">
        <f>SUM(BT18:BW18)</f>
        <v/>
      </c>
      <c r="BY18" s="29">
        <f>BS18+BX18</f>
        <v/>
      </c>
    </row>
    <row r="19">
      <c r="A19" s="30" t="inlineStr">
        <is>
          <t>0791</t>
        </is>
      </c>
      <c r="B19" s="30" t="inlineStr">
        <is>
          <t>Extração de minério de ferro, inclusive beneficiamentos e a aglomeração</t>
        </is>
      </c>
      <c r="C19" s="31" t="n">
        <v>0</v>
      </c>
      <c r="D19" s="31" t="n">
        <v>0</v>
      </c>
      <c r="E19" s="31" t="n">
        <v>0</v>
      </c>
      <c r="F19" s="31" t="n">
        <v>0.006366208569118836</v>
      </c>
      <c r="G19" s="31" t="n">
        <v>0.04245108896271687</v>
      </c>
      <c r="H19" s="31" t="n">
        <v>1298.416665846024</v>
      </c>
      <c r="I19" s="31" t="n">
        <v>24.81856773717238</v>
      </c>
      <c r="J19" s="31" t="n">
        <v>0.3119442198868229</v>
      </c>
      <c r="K19" s="31" t="n">
        <v>0.05729587712206953</v>
      </c>
      <c r="L19" s="31" t="n">
        <v>0.1846200485044463</v>
      </c>
      <c r="M19" s="31" t="n">
        <v>0.3374090541632984</v>
      </c>
      <c r="N19" s="31" t="n">
        <v>0.09549312853678255</v>
      </c>
      <c r="O19" s="31" t="n">
        <v>0</v>
      </c>
      <c r="P19" s="31" t="n">
        <v>0.0700282942603072</v>
      </c>
      <c r="Q19" s="31" t="n">
        <v>0.1209579628132579</v>
      </c>
      <c r="R19" s="31" t="n">
        <v>0.03819725141471302</v>
      </c>
      <c r="S19" s="31" t="n">
        <v>0.1273241713823767</v>
      </c>
      <c r="T19" s="31" t="n">
        <v>0.006366208569118836</v>
      </c>
      <c r="U19" s="31" t="n">
        <v>0</v>
      </c>
      <c r="V19" s="31" t="n">
        <v>0</v>
      </c>
      <c r="W19" s="31" t="n">
        <v>0.4138035569927243</v>
      </c>
      <c r="X19" s="31" t="n">
        <v>0.1209579628132579</v>
      </c>
      <c r="Y19" s="31" t="n">
        <v>0.2864793856103476</v>
      </c>
      <c r="Z19" s="31" t="n">
        <v>0.8912691996766371</v>
      </c>
      <c r="AA19" s="31" t="n">
        <v>0.1527890056588521</v>
      </c>
      <c r="AB19" s="31" t="n">
        <v>191.1687586708338</v>
      </c>
      <c r="AC19" s="31" t="n">
        <v>14182.05977156894</v>
      </c>
      <c r="AD19" s="31" t="n">
        <v>8.548176301158477</v>
      </c>
      <c r="AE19" s="31" t="n">
        <v>0.04456345998383185</v>
      </c>
      <c r="AF19" s="31" t="n">
        <v>0.2546483427647535</v>
      </c>
      <c r="AG19" s="31" t="n">
        <v>0.5793249797898141</v>
      </c>
      <c r="AH19" s="31" t="n">
        <v>0.5729587712206953</v>
      </c>
      <c r="AI19" s="31" t="n">
        <v>1.483326596604689</v>
      </c>
      <c r="AJ19" s="31" t="n">
        <v>0.7004704221056612</v>
      </c>
      <c r="AK19" s="31" t="n">
        <v>0.1718876313662085</v>
      </c>
      <c r="AL19" s="31" t="n">
        <v>0.1145917542441391</v>
      </c>
      <c r="AM19" s="31" t="n">
        <v>0.006366208569118836</v>
      </c>
      <c r="AN19" s="31" t="n">
        <v>0.3565076798706548</v>
      </c>
      <c r="AO19" s="31" t="n">
        <v>0.03819725141471302</v>
      </c>
      <c r="AP19" s="31" t="n">
        <v>0.1209579628132579</v>
      </c>
      <c r="AQ19" s="31" t="n">
        <v>0</v>
      </c>
      <c r="AR19" s="31" t="n">
        <v>0.5029304769603881</v>
      </c>
      <c r="AS19" s="31" t="n">
        <v>0</v>
      </c>
      <c r="AT19" s="31" t="n">
        <v>0</v>
      </c>
      <c r="AU19" s="31" t="n">
        <v>0</v>
      </c>
      <c r="AV19" s="31" t="n">
        <v>0</v>
      </c>
      <c r="AW19" s="31" t="n">
        <v>0</v>
      </c>
      <c r="AX19" s="31" t="n">
        <v>0</v>
      </c>
      <c r="AY19" s="31" t="n">
        <v>0.01273241713823767</v>
      </c>
      <c r="AZ19" s="31" t="n">
        <v>0</v>
      </c>
      <c r="BA19" s="31" t="n">
        <v>0.4010711398544866</v>
      </c>
      <c r="BB19" s="31" t="n">
        <v>0.2291835084882781</v>
      </c>
      <c r="BC19" s="31" t="n">
        <v>0.04456345998383185</v>
      </c>
      <c r="BD19" s="31" t="n">
        <v>0</v>
      </c>
      <c r="BE19" s="31" t="n">
        <v>0</v>
      </c>
      <c r="BF19" s="31" t="n">
        <v>13.3867352992346</v>
      </c>
      <c r="BG19" s="31" t="n">
        <v>0</v>
      </c>
      <c r="BH19" s="31" t="n">
        <v>0.1273241713823767</v>
      </c>
      <c r="BI19" s="31" t="n">
        <v>0.02546483427647534</v>
      </c>
      <c r="BJ19" s="31" t="n">
        <v>0</v>
      </c>
      <c r="BK19" s="31" t="n">
        <v>0</v>
      </c>
      <c r="BL19" s="31" t="n">
        <v>0</v>
      </c>
      <c r="BM19" s="31" t="n">
        <v>0.006366208569118836</v>
      </c>
      <c r="BN19" s="31" t="n">
        <v>0</v>
      </c>
      <c r="BO19" s="31" t="n">
        <v>0.03819725141471302</v>
      </c>
      <c r="BP19" s="31" t="n">
        <v>0</v>
      </c>
      <c r="BQ19" s="31" t="n">
        <v>0</v>
      </c>
      <c r="BR19" s="31" t="n">
        <v>0</v>
      </c>
      <c r="BS19" s="31">
        <f>SUM(C19:BR19)</f>
        <v/>
      </c>
      <c r="BT19" s="31" t="n">
        <v>0</v>
      </c>
      <c r="BU19" s="31" t="n">
        <v>0</v>
      </c>
      <c r="BV19" s="31" t="n">
        <v>63041.89906257048</v>
      </c>
      <c r="BW19" s="31" t="n">
        <v>0</v>
      </c>
      <c r="BX19" s="31">
        <f>SUM(BT19:BW19)</f>
        <v/>
      </c>
      <c r="BY19" s="31">
        <f>BS19+BX19</f>
        <v/>
      </c>
    </row>
    <row r="20">
      <c r="A20" s="28" t="inlineStr">
        <is>
          <t>0792</t>
        </is>
      </c>
      <c r="B20" s="28" t="inlineStr">
        <is>
          <t>Extração de minerais metálicos não-ferrosos, inclusive beneficiamentos</t>
        </is>
      </c>
      <c r="C20" s="29" t="n">
        <v>1.801292013640982</v>
      </c>
      <c r="D20" s="29" t="n">
        <v>2.333798703342827</v>
      </c>
      <c r="E20" s="29" t="n">
        <v>0.06665251451727637</v>
      </c>
      <c r="F20" s="29" t="n">
        <v>1.685914974093101</v>
      </c>
      <c r="G20" s="29" t="n">
        <v>45.76040901178259</v>
      </c>
      <c r="H20" s="29" t="n">
        <v>9.606146333716875</v>
      </c>
      <c r="I20" s="29" t="n">
        <v>851.9737342933104</v>
      </c>
      <c r="J20" s="29" t="n">
        <v>0.4755269181220104</v>
      </c>
      <c r="K20" s="29" t="n">
        <v>0.1489197872936421</v>
      </c>
      <c r="L20" s="29" t="n">
        <v>2.018975300894227</v>
      </c>
      <c r="M20" s="29" t="n">
        <v>0.9419249500323732</v>
      </c>
      <c r="N20" s="29" t="n">
        <v>0</v>
      </c>
      <c r="O20" s="29" t="n">
        <v>0</v>
      </c>
      <c r="P20" s="29" t="n">
        <v>0</v>
      </c>
      <c r="Q20" s="29" t="n">
        <v>0</v>
      </c>
      <c r="R20" s="29" t="n">
        <v>0</v>
      </c>
      <c r="S20" s="29" t="n">
        <v>0.3599109631709907</v>
      </c>
      <c r="T20" s="29" t="n">
        <v>0.3492791015328578</v>
      </c>
      <c r="U20" s="29" t="n">
        <v>0</v>
      </c>
      <c r="V20" s="29" t="n">
        <v>0.586585681054536</v>
      </c>
      <c r="W20" s="29" t="n">
        <v>13.55910862710321</v>
      </c>
      <c r="X20" s="29" t="n">
        <v>0.7131877699024565</v>
      </c>
      <c r="Y20" s="29" t="n">
        <v>0.1734087774118177</v>
      </c>
      <c r="Z20" s="29" t="n">
        <v>0.04051648713679384</v>
      </c>
      <c r="AA20" s="29" t="n">
        <v>0.3572967645487803</v>
      </c>
      <c r="AB20" s="29" t="n">
        <v>59.73310477040907</v>
      </c>
      <c r="AC20" s="29" t="n">
        <v>2022.213325812409</v>
      </c>
      <c r="AD20" s="29" t="n">
        <v>8504.595702104905</v>
      </c>
      <c r="AE20" s="29" t="n">
        <v>2.541712657837701</v>
      </c>
      <c r="AF20" s="29" t="n">
        <v>0.2319183046293047</v>
      </c>
      <c r="AG20" s="29" t="n">
        <v>9.715036996589536</v>
      </c>
      <c r="AH20" s="29" t="n">
        <v>1.954691351423526</v>
      </c>
      <c r="AI20" s="29" t="n">
        <v>2.499344390308446</v>
      </c>
      <c r="AJ20" s="29" t="n">
        <v>17.85684893724662</v>
      </c>
      <c r="AK20" s="29" t="n">
        <v>1.096919855271774</v>
      </c>
      <c r="AL20" s="29" t="n">
        <v>3.046264660458152</v>
      </c>
      <c r="AM20" s="29" t="n">
        <v>0.5230681746031838</v>
      </c>
      <c r="AN20" s="29" t="n">
        <v>0.07429447070703737</v>
      </c>
      <c r="AO20" s="29" t="n">
        <v>1.697738548198211</v>
      </c>
      <c r="AP20" s="29" t="n">
        <v>49.73805416615572</v>
      </c>
      <c r="AQ20" s="29" t="n">
        <v>0.1103510401711567</v>
      </c>
      <c r="AR20" s="29" t="n">
        <v>0.2378671196206696</v>
      </c>
      <c r="AS20" s="29" t="n">
        <v>0.01684625891637578</v>
      </c>
      <c r="AT20" s="29" t="n">
        <v>0</v>
      </c>
      <c r="AU20" s="29" t="n">
        <v>0</v>
      </c>
      <c r="AV20" s="29" t="n">
        <v>0.01977255104678212</v>
      </c>
      <c r="AW20" s="29" t="n">
        <v>0.1103510401711567</v>
      </c>
      <c r="AX20" s="29" t="n">
        <v>0.3316161360245474</v>
      </c>
      <c r="AY20" s="29" t="n">
        <v>0</v>
      </c>
      <c r="AZ20" s="29" t="n">
        <v>0</v>
      </c>
      <c r="BA20" s="29" t="n">
        <v>0</v>
      </c>
      <c r="BB20" s="29" t="n">
        <v>0</v>
      </c>
      <c r="BC20" s="29" t="n">
        <v>0</v>
      </c>
      <c r="BD20" s="29" t="n">
        <v>1.444209772590306</v>
      </c>
      <c r="BE20" s="29" t="n">
        <v>0</v>
      </c>
      <c r="BF20" s="29" t="n">
        <v>0.9697943360048533</v>
      </c>
      <c r="BG20" s="29" t="n">
        <v>0</v>
      </c>
      <c r="BH20" s="29" t="n">
        <v>0</v>
      </c>
      <c r="BI20" s="29" t="n">
        <v>0.04110013230864511</v>
      </c>
      <c r="BJ20" s="29" t="n">
        <v>0</v>
      </c>
      <c r="BK20" s="29" t="n">
        <v>0.4408726853714342</v>
      </c>
      <c r="BL20" s="29" t="n">
        <v>0.1553364605753801</v>
      </c>
      <c r="BM20" s="29" t="n">
        <v>0</v>
      </c>
      <c r="BN20" s="29" t="n">
        <v>0.07978286678898028</v>
      </c>
      <c r="BO20" s="29" t="n">
        <v>0.04383254197203146</v>
      </c>
      <c r="BP20" s="29" t="n">
        <v>0.0005630155110773302</v>
      </c>
      <c r="BQ20" s="29" t="n">
        <v>0.03378093066463981</v>
      </c>
      <c r="BR20" s="29" t="n">
        <v>0</v>
      </c>
      <c r="BS20" s="29">
        <f>SUM(C20:BR20)</f>
        <v/>
      </c>
      <c r="BT20" s="29" t="n">
        <v>0</v>
      </c>
      <c r="BU20" s="29" t="n">
        <v>0</v>
      </c>
      <c r="BV20" s="29" t="n">
        <v>2932.85509069917</v>
      </c>
      <c r="BW20" s="29" t="n">
        <v>0</v>
      </c>
      <c r="BX20" s="29">
        <f>SUM(BT20:BW20)</f>
        <v/>
      </c>
      <c r="BY20" s="29">
        <f>BS20+BX20</f>
        <v/>
      </c>
    </row>
    <row r="21">
      <c r="A21" s="30" t="inlineStr">
        <is>
          <t>1091</t>
        </is>
      </c>
      <c r="B21" s="30" t="inlineStr">
        <is>
          <t>Abate e produtos de carne, inclusive os produtos do laticínio e da pesca</t>
        </is>
      </c>
      <c r="C21" s="31" t="n">
        <v>196.8155966762878</v>
      </c>
      <c r="D21" s="31" t="n">
        <v>2979.195923020048</v>
      </c>
      <c r="E21" s="31" t="n">
        <v>119.4211673298128</v>
      </c>
      <c r="F21" s="31" t="n">
        <v>0.2835247120275612</v>
      </c>
      <c r="G21" s="31" t="n">
        <v>4.751614337647052</v>
      </c>
      <c r="H21" s="31" t="n">
        <v>5.746839699370518</v>
      </c>
      <c r="I21" s="31" t="n">
        <v>0.9510507207370169</v>
      </c>
      <c r="J21" s="31" t="n">
        <v>16620.1633762847</v>
      </c>
      <c r="K21" s="31" t="n">
        <v>1.60500805476434</v>
      </c>
      <c r="L21" s="31" t="n">
        <v>1540.315258586659</v>
      </c>
      <c r="M21" s="31" t="n">
        <v>17.24405784763941</v>
      </c>
      <c r="N21" s="31" t="n">
        <v>0.8862968323153364</v>
      </c>
      <c r="O21" s="31" t="n">
        <v>2.396464594575761</v>
      </c>
      <c r="P21" s="31" t="n">
        <v>2.293393055175443</v>
      </c>
      <c r="Q21" s="31" t="n">
        <v>2398.593832174878</v>
      </c>
      <c r="R21" s="31" t="n">
        <v>0.9773290681245506</v>
      </c>
      <c r="S21" s="31" t="n">
        <v>5.817836603477502</v>
      </c>
      <c r="T21" s="31" t="n">
        <v>0.4931788070343712</v>
      </c>
      <c r="U21" s="31" t="n">
        <v>1.461286879110496</v>
      </c>
      <c r="V21" s="31" t="n">
        <v>379.8103099304516</v>
      </c>
      <c r="W21" s="31" t="n">
        <v>4.778125673398513</v>
      </c>
      <c r="X21" s="31" t="n">
        <v>12.79310109426476</v>
      </c>
      <c r="Y21" s="31" t="n">
        <v>917.4955907129555</v>
      </c>
      <c r="Z21" s="31" t="n">
        <v>6.783206363387407</v>
      </c>
      <c r="AA21" s="31" t="n">
        <v>7.559408603956427</v>
      </c>
      <c r="AB21" s="31" t="n">
        <v>4.062717857371126</v>
      </c>
      <c r="AC21" s="31" t="n">
        <v>4.940828748057072</v>
      </c>
      <c r="AD21" s="31" t="n">
        <v>1.817590807485249</v>
      </c>
      <c r="AE21" s="31" t="n">
        <v>39.77930423539171</v>
      </c>
      <c r="AF21" s="31" t="n">
        <v>3.277199821537749</v>
      </c>
      <c r="AG21" s="31" t="n">
        <v>5.709342654818315</v>
      </c>
      <c r="AH21" s="31" t="n">
        <v>49.89261120010448</v>
      </c>
      <c r="AI21" s="31" t="n">
        <v>6.66122032374151</v>
      </c>
      <c r="AJ21" s="31" t="n">
        <v>1.265048739810167</v>
      </c>
      <c r="AK21" s="31" t="n">
        <v>2.106287024586663</v>
      </c>
      <c r="AL21" s="31" t="n">
        <v>3.538753668071912</v>
      </c>
      <c r="AM21" s="31" t="n">
        <v>17.02144222536303</v>
      </c>
      <c r="AN21" s="31" t="n">
        <v>0.5278466158047213</v>
      </c>
      <c r="AO21" s="31" t="n">
        <v>0.3600310825156263</v>
      </c>
      <c r="AP21" s="31" t="n">
        <v>12.7961155748243</v>
      </c>
      <c r="AQ21" s="31" t="n">
        <v>1.703460835053796</v>
      </c>
      <c r="AR21" s="31" t="n">
        <v>266.7642448981935</v>
      </c>
      <c r="AS21" s="31" t="n">
        <v>0.4772526632686109</v>
      </c>
      <c r="AT21" s="31" t="n">
        <v>0.3967360398412804</v>
      </c>
      <c r="AU21" s="31" t="n">
        <v>0.03312032803388171</v>
      </c>
      <c r="AV21" s="31" t="n">
        <v>1.088706529161505</v>
      </c>
      <c r="AW21" s="31" t="n">
        <v>363.5060334458038</v>
      </c>
      <c r="AX21" s="31" t="n">
        <v>10974.11240556717</v>
      </c>
      <c r="AY21" s="31" t="n">
        <v>2.383855700750246</v>
      </c>
      <c r="AZ21" s="31" t="n">
        <v>2.068088415579233</v>
      </c>
      <c r="BA21" s="31" t="n">
        <v>16.52404210967313</v>
      </c>
      <c r="BB21" s="31" t="n">
        <v>1.356732822348452</v>
      </c>
      <c r="BC21" s="31" t="n">
        <v>1.654969804814991</v>
      </c>
      <c r="BD21" s="31" t="n">
        <v>0.3500141019095295</v>
      </c>
      <c r="BE21" s="31" t="n">
        <v>2.104253372455684</v>
      </c>
      <c r="BF21" s="31" t="n">
        <v>5.305636717733567</v>
      </c>
      <c r="BG21" s="31" t="n">
        <v>3.297163708303874</v>
      </c>
      <c r="BH21" s="31" t="n">
        <v>0.2810819376225563</v>
      </c>
      <c r="BI21" s="31" t="n">
        <v>4.34946835384687</v>
      </c>
      <c r="BJ21" s="31" t="n">
        <v>0.2246326021327496</v>
      </c>
      <c r="BK21" s="31" t="n">
        <v>2227.020464896972</v>
      </c>
      <c r="BL21" s="31" t="n">
        <v>1581.961959999652</v>
      </c>
      <c r="BM21" s="31" t="n">
        <v>149.3153720327188</v>
      </c>
      <c r="BN21" s="31" t="n">
        <v>791.3430408685502</v>
      </c>
      <c r="BO21" s="31" t="n">
        <v>482.7809045009232</v>
      </c>
      <c r="BP21" s="31" t="n">
        <v>8.140971720876093</v>
      </c>
      <c r="BQ21" s="31" t="n">
        <v>298.8467507325533</v>
      </c>
      <c r="BR21" s="31" t="n">
        <v>0</v>
      </c>
      <c r="BS21" s="31">
        <f>SUM(C21:BR21)</f>
        <v/>
      </c>
      <c r="BT21" s="31" t="n">
        <v>0</v>
      </c>
      <c r="BU21" s="31" t="n">
        <v>0</v>
      </c>
      <c r="BV21" s="31" t="n">
        <v>129864.8915928248</v>
      </c>
      <c r="BW21" s="31" t="n">
        <v>0</v>
      </c>
      <c r="BX21" s="31">
        <f>SUM(BT21:BW21)</f>
        <v/>
      </c>
      <c r="BY21" s="31">
        <f>BS21+BX21</f>
        <v/>
      </c>
    </row>
    <row r="22">
      <c r="A22" s="28" t="inlineStr">
        <is>
          <t>1092</t>
        </is>
      </c>
      <c r="B22" s="28" t="inlineStr">
        <is>
          <t>Fabricação e refino de açúcar</t>
        </is>
      </c>
      <c r="C22" s="29" t="n">
        <v>101.3674633151325</v>
      </c>
      <c r="D22" s="29" t="n">
        <v>152.8773163393713</v>
      </c>
      <c r="E22" s="29" t="n">
        <v>5.230382441365375</v>
      </c>
      <c r="F22" s="29" t="n">
        <v>5.938332386725829</v>
      </c>
      <c r="G22" s="29" t="n">
        <v>217.6788842963913</v>
      </c>
      <c r="H22" s="29" t="n">
        <v>23.94199816926734</v>
      </c>
      <c r="I22" s="29" t="n">
        <v>4.377188830365229</v>
      </c>
      <c r="J22" s="29" t="n">
        <v>458.460333495802</v>
      </c>
      <c r="K22" s="29" t="n">
        <v>2246.000685943905</v>
      </c>
      <c r="L22" s="29" t="n">
        <v>5096.533994479509</v>
      </c>
      <c r="M22" s="29" t="n">
        <v>1197.244410521188</v>
      </c>
      <c r="N22" s="29" t="n">
        <v>0.3414662965463215</v>
      </c>
      <c r="O22" s="29" t="n">
        <v>7.454844495694132</v>
      </c>
      <c r="P22" s="29" t="n">
        <v>1.128002552971503</v>
      </c>
      <c r="Q22" s="29" t="n">
        <v>1.631612887109876</v>
      </c>
      <c r="R22" s="29" t="n">
        <v>3.513135449981476</v>
      </c>
      <c r="S22" s="29" t="n">
        <v>10.3062473585681</v>
      </c>
      <c r="T22" s="29" t="n">
        <v>0.7290072683896508</v>
      </c>
      <c r="U22" s="29" t="n">
        <v>9519.356556862274</v>
      </c>
      <c r="V22" s="29" t="n">
        <v>713.8142930287534</v>
      </c>
      <c r="W22" s="29" t="n">
        <v>166.8362993647676</v>
      </c>
      <c r="X22" s="29" t="n">
        <v>785.9216227467226</v>
      </c>
      <c r="Y22" s="29" t="n">
        <v>547.470733531361</v>
      </c>
      <c r="Z22" s="29" t="n">
        <v>361.7226907747833</v>
      </c>
      <c r="AA22" s="29" t="n">
        <v>10.33105669282731</v>
      </c>
      <c r="AB22" s="29" t="n">
        <v>15.35746380747702</v>
      </c>
      <c r="AC22" s="29" t="n">
        <v>16.01255119605173</v>
      </c>
      <c r="AD22" s="29" t="n">
        <v>9.204014352760922</v>
      </c>
      <c r="AE22" s="29" t="n">
        <v>24.17124746862937</v>
      </c>
      <c r="AF22" s="29" t="n">
        <v>1.560110052064259</v>
      </c>
      <c r="AG22" s="29" t="n">
        <v>9.464186040375054</v>
      </c>
      <c r="AH22" s="29" t="n">
        <v>153.4691966294344</v>
      </c>
      <c r="AI22" s="29" t="n">
        <v>26.54479820108668</v>
      </c>
      <c r="AJ22" s="29" t="n">
        <v>7.548983841809617</v>
      </c>
      <c r="AK22" s="29" t="n">
        <v>6.513179494365632</v>
      </c>
      <c r="AL22" s="29" t="n">
        <v>3.33622197719065</v>
      </c>
      <c r="AM22" s="29" t="n">
        <v>63.25381007023032</v>
      </c>
      <c r="AN22" s="29" t="n">
        <v>250.2468556173899</v>
      </c>
      <c r="AO22" s="29" t="n">
        <v>16.74039690402979</v>
      </c>
      <c r="AP22" s="29" t="n">
        <v>233.2588552401187</v>
      </c>
      <c r="AQ22" s="29" t="n">
        <v>75.88895978975599</v>
      </c>
      <c r="AR22" s="29" t="n">
        <v>166.2755242474092</v>
      </c>
      <c r="AS22" s="29" t="n">
        <v>297.242445933499</v>
      </c>
      <c r="AT22" s="29" t="n">
        <v>1.669783741983207</v>
      </c>
      <c r="AU22" s="29" t="n">
        <v>0.2468545012919634</v>
      </c>
      <c r="AV22" s="29" t="n">
        <v>28.51020469822306</v>
      </c>
      <c r="AW22" s="29" t="n">
        <v>7.736114883336628</v>
      </c>
      <c r="AX22" s="29" t="n">
        <v>942.6943881237313</v>
      </c>
      <c r="AY22" s="29" t="n">
        <v>1.210327831717506</v>
      </c>
      <c r="AZ22" s="29" t="n">
        <v>2.471750215484144</v>
      </c>
      <c r="BA22" s="29" t="n">
        <v>12.18771560940338</v>
      </c>
      <c r="BB22" s="29" t="n">
        <v>2.574168100934644</v>
      </c>
      <c r="BC22" s="29" t="n">
        <v>16.61963076869676</v>
      </c>
      <c r="BD22" s="29" t="n">
        <v>2.894097580920525</v>
      </c>
      <c r="BE22" s="29" t="n">
        <v>6.007153876517948</v>
      </c>
      <c r="BF22" s="29" t="n">
        <v>38.62939484342888</v>
      </c>
      <c r="BG22" s="29" t="n">
        <v>9.226639955766681</v>
      </c>
      <c r="BH22" s="29" t="n">
        <v>1.210576021083177</v>
      </c>
      <c r="BI22" s="29" t="n">
        <v>32.06249380797791</v>
      </c>
      <c r="BJ22" s="29" t="n">
        <v>35.33969593027131</v>
      </c>
      <c r="BK22" s="29" t="n">
        <v>525.4295312074487</v>
      </c>
      <c r="BL22" s="29" t="n">
        <v>150.7991326565765</v>
      </c>
      <c r="BM22" s="29" t="n">
        <v>18.03899581906565</v>
      </c>
      <c r="BN22" s="29" t="n">
        <v>70.93396704928773</v>
      </c>
      <c r="BO22" s="29" t="n">
        <v>53.30902771677314</v>
      </c>
      <c r="BP22" s="29" t="n">
        <v>5.140744833236607</v>
      </c>
      <c r="BQ22" s="29" t="n">
        <v>69.41826253192933</v>
      </c>
      <c r="BR22" s="29" t="n">
        <v>0</v>
      </c>
      <c r="BS22" s="29">
        <f>SUM(C22:BR22)</f>
        <v/>
      </c>
      <c r="BT22" s="29" t="n">
        <v>0</v>
      </c>
      <c r="BU22" s="29" t="n">
        <v>0</v>
      </c>
      <c r="BV22" s="29" t="n">
        <v>36355.4205442833</v>
      </c>
      <c r="BW22" s="29" t="n">
        <v>0</v>
      </c>
      <c r="BX22" s="29">
        <f>SUM(BT22:BW22)</f>
        <v/>
      </c>
      <c r="BY22" s="29">
        <f>BS22+BX22</f>
        <v/>
      </c>
    </row>
    <row r="23">
      <c r="A23" s="30" t="inlineStr">
        <is>
          <t>1093</t>
        </is>
      </c>
      <c r="B23" s="30" t="inlineStr">
        <is>
          <t>Outros produtos alimentares</t>
        </is>
      </c>
      <c r="C23" s="31" t="n">
        <v>1768.509859568675</v>
      </c>
      <c r="D23" s="31" t="n">
        <v>9307.667560133341</v>
      </c>
      <c r="E23" s="31" t="n">
        <v>574.5704572039919</v>
      </c>
      <c r="F23" s="31" t="n">
        <v>162.4530744669092</v>
      </c>
      <c r="G23" s="31" t="n">
        <v>45.23217043410425</v>
      </c>
      <c r="H23" s="31" t="n">
        <v>24.36787060831095</v>
      </c>
      <c r="I23" s="31" t="n">
        <v>7.344053734178342</v>
      </c>
      <c r="J23" s="31" t="n">
        <v>13352.841280026</v>
      </c>
      <c r="K23" s="31" t="n">
        <v>22.15492658608558</v>
      </c>
      <c r="L23" s="31" t="n">
        <v>19293.58143269741</v>
      </c>
      <c r="M23" s="31" t="n">
        <v>2021.535906092197</v>
      </c>
      <c r="N23" s="31" t="n">
        <v>2.365752904933315</v>
      </c>
      <c r="O23" s="31" t="n">
        <v>23.48274408545517</v>
      </c>
      <c r="P23" s="31" t="n">
        <v>3.945866882979459</v>
      </c>
      <c r="Q23" s="31" t="n">
        <v>63.98730095520158</v>
      </c>
      <c r="R23" s="31" t="n">
        <v>16.79289458645806</v>
      </c>
      <c r="S23" s="31" t="n">
        <v>547.3593259412825</v>
      </c>
      <c r="T23" s="31" t="n">
        <v>15.94219019131588</v>
      </c>
      <c r="U23" s="31" t="n">
        <v>772.2546016959211</v>
      </c>
      <c r="V23" s="31" t="n">
        <v>1412.188810870435</v>
      </c>
      <c r="W23" s="31" t="n">
        <v>301.3952909725837</v>
      </c>
      <c r="X23" s="31" t="n">
        <v>702.9458254596517</v>
      </c>
      <c r="Y23" s="31" t="n">
        <v>677.7461250373875</v>
      </c>
      <c r="Z23" s="31" t="n">
        <v>101.6928605196078</v>
      </c>
      <c r="AA23" s="31" t="n">
        <v>86.02730994252607</v>
      </c>
      <c r="AB23" s="31" t="n">
        <v>31.9903999596452</v>
      </c>
      <c r="AC23" s="31" t="n">
        <v>31.60067617430045</v>
      </c>
      <c r="AD23" s="31" t="n">
        <v>6.19691350946796</v>
      </c>
      <c r="AE23" s="31" t="n">
        <v>27.54136608449339</v>
      </c>
      <c r="AF23" s="31" t="n">
        <v>3.678965012254313</v>
      </c>
      <c r="AG23" s="31" t="n">
        <v>13.14572347745703</v>
      </c>
      <c r="AH23" s="31" t="n">
        <v>42.3559405224007</v>
      </c>
      <c r="AI23" s="31" t="n">
        <v>14.54328713053406</v>
      </c>
      <c r="AJ23" s="31" t="n">
        <v>6.539060527642785</v>
      </c>
      <c r="AK23" s="31" t="n">
        <v>4.766501714617089</v>
      </c>
      <c r="AL23" s="31" t="n">
        <v>25.7785420477205</v>
      </c>
      <c r="AM23" s="31" t="n">
        <v>21.68893224532216</v>
      </c>
      <c r="AN23" s="31" t="n">
        <v>6.08064167070232</v>
      </c>
      <c r="AO23" s="31" t="n">
        <v>14.68202537853283</v>
      </c>
      <c r="AP23" s="31" t="n">
        <v>95.95207008162363</v>
      </c>
      <c r="AQ23" s="31" t="n">
        <v>110.8651211638511</v>
      </c>
      <c r="AR23" s="31" t="n">
        <v>2414.329754034826</v>
      </c>
      <c r="AS23" s="31" t="n">
        <v>38.58892561777276</v>
      </c>
      <c r="AT23" s="31" t="n">
        <v>0.4308035185116325</v>
      </c>
      <c r="AU23" s="31" t="n">
        <v>33.16322724991297</v>
      </c>
      <c r="AV23" s="31" t="n">
        <v>19.94167103048014</v>
      </c>
      <c r="AW23" s="31" t="n">
        <v>237.260272263419</v>
      </c>
      <c r="AX23" s="31" t="n">
        <v>9642.940073910193</v>
      </c>
      <c r="AY23" s="31" t="n">
        <v>2.463715486890319</v>
      </c>
      <c r="AZ23" s="31" t="n">
        <v>2.88571015497137</v>
      </c>
      <c r="BA23" s="31" t="n">
        <v>32.83669767770124</v>
      </c>
      <c r="BB23" s="31" t="n">
        <v>4.948295480673281</v>
      </c>
      <c r="BC23" s="31" t="n">
        <v>233.0037704550325</v>
      </c>
      <c r="BD23" s="31" t="n">
        <v>19.59508579641232</v>
      </c>
      <c r="BE23" s="31" t="n">
        <v>35.74124579491551</v>
      </c>
      <c r="BF23" s="31" t="n">
        <v>22.24026896406812</v>
      </c>
      <c r="BG23" s="31" t="n">
        <v>23.46656125831986</v>
      </c>
      <c r="BH23" s="31" t="n">
        <v>3.76300358160105</v>
      </c>
      <c r="BI23" s="31" t="n">
        <v>19.47732345703049</v>
      </c>
      <c r="BJ23" s="31" t="n">
        <v>3.803405447655307</v>
      </c>
      <c r="BK23" s="31" t="n">
        <v>1687.791159848441</v>
      </c>
      <c r="BL23" s="31" t="n">
        <v>1487.048940777447</v>
      </c>
      <c r="BM23" s="31" t="n">
        <v>136.3220795505621</v>
      </c>
      <c r="BN23" s="31" t="n">
        <v>1357.126850385233</v>
      </c>
      <c r="BO23" s="31" t="n">
        <v>494.4091764951446</v>
      </c>
      <c r="BP23" s="31" t="n">
        <v>33.81193466556587</v>
      </c>
      <c r="BQ23" s="31" t="n">
        <v>628.4539644784148</v>
      </c>
      <c r="BR23" s="31" t="n">
        <v>0</v>
      </c>
      <c r="BS23" s="31">
        <f>SUM(C23:BR23)</f>
        <v/>
      </c>
      <c r="BT23" s="31" t="n">
        <v>0</v>
      </c>
      <c r="BU23" s="31" t="n">
        <v>0</v>
      </c>
      <c r="BV23" s="31" t="n">
        <v>119574.2390404147</v>
      </c>
      <c r="BW23" s="31" t="n">
        <v>0</v>
      </c>
      <c r="BX23" s="31">
        <f>SUM(BT23:BW23)</f>
        <v/>
      </c>
      <c r="BY23" s="31">
        <f>BS23+BX23</f>
        <v/>
      </c>
    </row>
    <row r="24">
      <c r="A24" s="28" t="inlineStr">
        <is>
          <t>1100</t>
        </is>
      </c>
      <c r="B24" s="28" t="inlineStr">
        <is>
          <t>Fabricação de bebidas</t>
        </is>
      </c>
      <c r="C24" s="29" t="n">
        <v>1.154465253482515</v>
      </c>
      <c r="D24" s="29" t="n">
        <v>1.812033910157408</v>
      </c>
      <c r="E24" s="29" t="n">
        <v>0.1399314203932067</v>
      </c>
      <c r="F24" s="29" t="n">
        <v>0.2348792769814241</v>
      </c>
      <c r="G24" s="29" t="n">
        <v>5.856433870211093</v>
      </c>
      <c r="H24" s="29" t="n">
        <v>3.715394732491801</v>
      </c>
      <c r="I24" s="29" t="n">
        <v>0.720241483060989</v>
      </c>
      <c r="J24" s="29" t="n">
        <v>420.3179909676004</v>
      </c>
      <c r="K24" s="29" t="n">
        <v>0.8593282045614345</v>
      </c>
      <c r="L24" s="29" t="n">
        <v>40.03538723053281</v>
      </c>
      <c r="M24" s="29" t="n">
        <v>8753.707258322836</v>
      </c>
      <c r="N24" s="29" t="n">
        <v>0.1615581832516922</v>
      </c>
      <c r="O24" s="29" t="n">
        <v>0.5458231561828459</v>
      </c>
      <c r="P24" s="29" t="n">
        <v>0.5676694082794826</v>
      </c>
      <c r="Q24" s="29" t="n">
        <v>0.4139775951953601</v>
      </c>
      <c r="R24" s="29" t="n">
        <v>0.873495116652854</v>
      </c>
      <c r="S24" s="29" t="n">
        <v>1.035222340487673</v>
      </c>
      <c r="T24" s="29" t="n">
        <v>0.1237473982891812</v>
      </c>
      <c r="U24" s="29" t="n">
        <v>60.72997961107998</v>
      </c>
      <c r="V24" s="29" t="n">
        <v>0.9885295085788575</v>
      </c>
      <c r="W24" s="29" t="n">
        <v>2.230819095781294</v>
      </c>
      <c r="X24" s="29" t="n">
        <v>3.224478175395641</v>
      </c>
      <c r="Y24" s="29" t="n">
        <v>5.311565776935719</v>
      </c>
      <c r="Z24" s="29" t="n">
        <v>3.29289836174247</v>
      </c>
      <c r="AA24" s="29" t="n">
        <v>1.006103902624022</v>
      </c>
      <c r="AB24" s="29" t="n">
        <v>0.8158696643199761</v>
      </c>
      <c r="AC24" s="29" t="n">
        <v>5.188675633153805</v>
      </c>
      <c r="AD24" s="29" t="n">
        <v>0.5916644181226203</v>
      </c>
      <c r="AE24" s="29" t="n">
        <v>18.09409127295554</v>
      </c>
      <c r="AF24" s="29" t="n">
        <v>2.437889764740919</v>
      </c>
      <c r="AG24" s="29" t="n">
        <v>6.014754976241937</v>
      </c>
      <c r="AH24" s="29" t="n">
        <v>29.71755821083112</v>
      </c>
      <c r="AI24" s="29" t="n">
        <v>13.43911677124815</v>
      </c>
      <c r="AJ24" s="29" t="n">
        <v>6.738174244388105</v>
      </c>
      <c r="AK24" s="29" t="n">
        <v>5.470238393219077</v>
      </c>
      <c r="AL24" s="29" t="n">
        <v>3.058971909416837</v>
      </c>
      <c r="AM24" s="29" t="n">
        <v>12.3609922802215</v>
      </c>
      <c r="AN24" s="29" t="n">
        <v>4.95205222454268</v>
      </c>
      <c r="AO24" s="29" t="n">
        <v>1.968971989513541</v>
      </c>
      <c r="AP24" s="29" t="n">
        <v>61.05302690878931</v>
      </c>
      <c r="AQ24" s="29" t="n">
        <v>5.67703112749345</v>
      </c>
      <c r="AR24" s="29" t="n">
        <v>43.17972147918289</v>
      </c>
      <c r="AS24" s="29" t="n">
        <v>9.910985350438711</v>
      </c>
      <c r="AT24" s="29" t="n">
        <v>0.2098544534159593</v>
      </c>
      <c r="AU24" s="29" t="n">
        <v>9.744212987892432</v>
      </c>
      <c r="AV24" s="29" t="n">
        <v>2.173877896264591</v>
      </c>
      <c r="AW24" s="29" t="n">
        <v>564.2914399546185</v>
      </c>
      <c r="AX24" s="29" t="n">
        <v>30940.63057761699</v>
      </c>
      <c r="AY24" s="29" t="n">
        <v>0.4291839102600321</v>
      </c>
      <c r="AZ24" s="29" t="n">
        <v>0.5580614019495571</v>
      </c>
      <c r="BA24" s="29" t="n">
        <v>3.567553504022403</v>
      </c>
      <c r="BB24" s="29" t="n">
        <v>1.191941850473962</v>
      </c>
      <c r="BC24" s="29" t="n">
        <v>183.265957338097</v>
      </c>
      <c r="BD24" s="29" t="n">
        <v>2.174080997038102</v>
      </c>
      <c r="BE24" s="29" t="n">
        <v>5.256337377406555</v>
      </c>
      <c r="BF24" s="29" t="n">
        <v>3.269929527651546</v>
      </c>
      <c r="BG24" s="29" t="n">
        <v>0.8243478355584973</v>
      </c>
      <c r="BH24" s="29" t="n">
        <v>0.9205368123410373</v>
      </c>
      <c r="BI24" s="29" t="n">
        <v>4.814348881942454</v>
      </c>
      <c r="BJ24" s="29" t="n">
        <v>0.6133375301204624</v>
      </c>
      <c r="BK24" s="29" t="n">
        <v>123.1280828200423</v>
      </c>
      <c r="BL24" s="29" t="n">
        <v>96.80579627012459</v>
      </c>
      <c r="BM24" s="29" t="n">
        <v>11.18595351847817</v>
      </c>
      <c r="BN24" s="29" t="n">
        <v>48.27480018185678</v>
      </c>
      <c r="BO24" s="29" t="n">
        <v>160.1497401962146</v>
      </c>
      <c r="BP24" s="29" t="n">
        <v>35.56898371833474</v>
      </c>
      <c r="BQ24" s="29" t="n">
        <v>20.25736418246514</v>
      </c>
      <c r="BR24" s="29" t="n">
        <v>0</v>
      </c>
      <c r="BS24" s="29">
        <f>SUM(C24:BR24)</f>
        <v/>
      </c>
      <c r="BT24" s="29" t="n">
        <v>0</v>
      </c>
      <c r="BU24" s="29" t="n">
        <v>0</v>
      </c>
      <c r="BV24" s="29" t="n">
        <v>32276.65687199894</v>
      </c>
      <c r="BW24" s="29" t="n">
        <v>0</v>
      </c>
      <c r="BX24" s="29">
        <f>SUM(BT24:BW24)</f>
        <v/>
      </c>
      <c r="BY24" s="29">
        <f>BS24+BX24</f>
        <v/>
      </c>
    </row>
    <row r="25">
      <c r="A25" s="30" t="inlineStr">
        <is>
          <t>1200</t>
        </is>
      </c>
      <c r="B25" s="30" t="inlineStr">
        <is>
          <t>Fabricação de produtos do fumo</t>
        </is>
      </c>
      <c r="C25" s="31" t="n">
        <v>0.1471089386164106</v>
      </c>
      <c r="D25" s="31" t="n">
        <v>0.04778659511131562</v>
      </c>
      <c r="E25" s="31" t="n">
        <v>0.006228086362797564</v>
      </c>
      <c r="F25" s="31" t="n">
        <v>0.003505256063736004</v>
      </c>
      <c r="G25" s="31" t="n">
        <v>0.01202508627634439</v>
      </c>
      <c r="H25" s="31" t="n">
        <v>0.1144083521452564</v>
      </c>
      <c r="I25" s="31" t="n">
        <v>0.006356244021543161</v>
      </c>
      <c r="J25" s="31" t="n">
        <v>1.084261118435238</v>
      </c>
      <c r="K25" s="31" t="n">
        <v>0.02642388293944568</v>
      </c>
      <c r="L25" s="31" t="n">
        <v>1.130280634971403</v>
      </c>
      <c r="M25" s="31" t="n">
        <v>0.1478601423196463</v>
      </c>
      <c r="N25" s="31" t="n">
        <v>1232.64709527209</v>
      </c>
      <c r="O25" s="31" t="n">
        <v>0.260606866440009</v>
      </c>
      <c r="P25" s="31" t="n">
        <v>0.210902601602777</v>
      </c>
      <c r="Q25" s="31" t="n">
        <v>0.2773937235089087</v>
      </c>
      <c r="R25" s="31" t="n">
        <v>0.2085851033604764</v>
      </c>
      <c r="S25" s="31" t="n">
        <v>2.632787026877419</v>
      </c>
      <c r="T25" s="31" t="n">
        <v>0.5369595728254098</v>
      </c>
      <c r="U25" s="31" t="n">
        <v>0.05141948230212907</v>
      </c>
      <c r="V25" s="31" t="n">
        <v>0.01645810385996414</v>
      </c>
      <c r="W25" s="31" t="n">
        <v>0.1187564882342564</v>
      </c>
      <c r="X25" s="31" t="n">
        <v>0.104027423609648</v>
      </c>
      <c r="Y25" s="31" t="n">
        <v>0.5644163630191891</v>
      </c>
      <c r="Z25" s="31" t="n">
        <v>0.486500876753144</v>
      </c>
      <c r="AA25" s="31" t="n">
        <v>0.7133459934054869</v>
      </c>
      <c r="AB25" s="31" t="n">
        <v>0.7052885862510379</v>
      </c>
      <c r="AC25" s="31" t="n">
        <v>0.0555669151938924</v>
      </c>
      <c r="AD25" s="31" t="n">
        <v>0.08761867569089178</v>
      </c>
      <c r="AE25" s="31" t="n">
        <v>0.463125031238772</v>
      </c>
      <c r="AF25" s="31" t="n">
        <v>0.4835570548163902</v>
      </c>
      <c r="AG25" s="31" t="n">
        <v>0.2858300058398884</v>
      </c>
      <c r="AH25" s="31" t="n">
        <v>0.214639386937406</v>
      </c>
      <c r="AI25" s="31" t="n">
        <v>0.4713382019062508</v>
      </c>
      <c r="AJ25" s="31" t="n">
        <v>0.4459321015583725</v>
      </c>
      <c r="AK25" s="31" t="n">
        <v>0.06379091358498609</v>
      </c>
      <c r="AL25" s="31" t="n">
        <v>0.3302241366390503</v>
      </c>
      <c r="AM25" s="31" t="n">
        <v>0.005164021889457848</v>
      </c>
      <c r="AN25" s="31" t="n">
        <v>0.08976591465431295</v>
      </c>
      <c r="AO25" s="31" t="n">
        <v>0.03919802182493255</v>
      </c>
      <c r="AP25" s="31" t="n">
        <v>0.1835267741417528</v>
      </c>
      <c r="AQ25" s="31" t="n">
        <v>0.27265178077136</v>
      </c>
      <c r="AR25" s="31" t="n">
        <v>1.759280674816756</v>
      </c>
      <c r="AS25" s="31" t="n">
        <v>0.05847481085071046</v>
      </c>
      <c r="AT25" s="31" t="n">
        <v>0.02179830226979147</v>
      </c>
      <c r="AU25" s="31" t="n">
        <v>0.007612105554530356</v>
      </c>
      <c r="AV25" s="31" t="n">
        <v>0.08926923786676508</v>
      </c>
      <c r="AW25" s="31" t="n">
        <v>0.06747093559697361</v>
      </c>
      <c r="AX25" s="31" t="n">
        <v>0.4024035799963093</v>
      </c>
      <c r="AY25" s="31" t="n">
        <v>0.613906138792917</v>
      </c>
      <c r="AZ25" s="31" t="n">
        <v>0.04181749997485565</v>
      </c>
      <c r="BA25" s="31" t="n">
        <v>0.1580022630965514</v>
      </c>
      <c r="BB25" s="31" t="n">
        <v>0.1372462691706471</v>
      </c>
      <c r="BC25" s="31" t="n">
        <v>0.6688581631581541</v>
      </c>
      <c r="BD25" s="31" t="n">
        <v>0.08719320907916589</v>
      </c>
      <c r="BE25" s="31" t="n">
        <v>0.448499689659801</v>
      </c>
      <c r="BF25" s="31" t="n">
        <v>1.220481505381105</v>
      </c>
      <c r="BG25" s="31" t="n">
        <v>0.1627084070434592</v>
      </c>
      <c r="BH25" s="31" t="n">
        <v>0.1667786947718162</v>
      </c>
      <c r="BI25" s="31" t="n">
        <v>0.6841149813963597</v>
      </c>
      <c r="BJ25" s="31" t="n">
        <v>0.01615817735327561</v>
      </c>
      <c r="BK25" s="31" t="n">
        <v>0.3314725964200037</v>
      </c>
      <c r="BL25" s="31" t="n">
        <v>0.276111828750692</v>
      </c>
      <c r="BM25" s="31" t="n">
        <v>0.1280336581522774</v>
      </c>
      <c r="BN25" s="31" t="n">
        <v>0.04152057575198376</v>
      </c>
      <c r="BO25" s="31" t="n">
        <v>0.2535882310556453</v>
      </c>
      <c r="BP25" s="31" t="n">
        <v>0.01055084242240031</v>
      </c>
      <c r="BQ25" s="31" t="n">
        <v>0.1859752749745317</v>
      </c>
      <c r="BR25" s="31" t="n">
        <v>0</v>
      </c>
      <c r="BS25" s="31">
        <f>SUM(C25:BR25)</f>
        <v/>
      </c>
      <c r="BT25" s="31" t="n">
        <v>0</v>
      </c>
      <c r="BU25" s="31" t="n">
        <v>0</v>
      </c>
      <c r="BV25" s="31" t="n">
        <v>12418.03172976499</v>
      </c>
      <c r="BW25" s="31" t="n">
        <v>0</v>
      </c>
      <c r="BX25" s="31">
        <f>SUM(BT25:BW25)</f>
        <v/>
      </c>
      <c r="BY25" s="31">
        <f>BS25+BX25</f>
        <v/>
      </c>
    </row>
    <row r="26">
      <c r="A26" s="28" t="inlineStr">
        <is>
          <t>1300</t>
        </is>
      </c>
      <c r="B26" s="28" t="inlineStr">
        <is>
          <t>Fabricação de produtos têxteis</t>
        </is>
      </c>
      <c r="C26" s="29" t="n">
        <v>669.5987270068443</v>
      </c>
      <c r="D26" s="29" t="n">
        <v>14.70886384126483</v>
      </c>
      <c r="E26" s="29" t="n">
        <v>1.455375313666997</v>
      </c>
      <c r="F26" s="29" t="n">
        <v>263.6970657958639</v>
      </c>
      <c r="G26" s="29" t="n">
        <v>98.69916744913351</v>
      </c>
      <c r="H26" s="29" t="n">
        <v>4.829647472518775</v>
      </c>
      <c r="I26" s="29" t="n">
        <v>5.438409114241574</v>
      </c>
      <c r="J26" s="29" t="n">
        <v>15.60231170913128</v>
      </c>
      <c r="K26" s="29" t="n">
        <v>145.0609901840302</v>
      </c>
      <c r="L26" s="29" t="n">
        <v>217.2393189391227</v>
      </c>
      <c r="M26" s="29" t="n">
        <v>16.88701284022104</v>
      </c>
      <c r="N26" s="29" t="n">
        <v>0.3444025247536205</v>
      </c>
      <c r="O26" s="29" t="n">
        <v>13311.51735092974</v>
      </c>
      <c r="P26" s="29" t="n">
        <v>17523.91071098573</v>
      </c>
      <c r="Q26" s="29" t="n">
        <v>3840.216516801134</v>
      </c>
      <c r="R26" s="29" t="n">
        <v>6.018558658862229</v>
      </c>
      <c r="S26" s="29" t="n">
        <v>124.0827067677452</v>
      </c>
      <c r="T26" s="29" t="n">
        <v>6.440069562604015</v>
      </c>
      <c r="U26" s="29" t="n">
        <v>0.8266640429949623</v>
      </c>
      <c r="V26" s="29" t="n">
        <v>0.6627814100850142</v>
      </c>
      <c r="W26" s="29" t="n">
        <v>20.25991641671904</v>
      </c>
      <c r="X26" s="29" t="n">
        <v>49.32325863430746</v>
      </c>
      <c r="Y26" s="29" t="n">
        <v>13.38437564337238</v>
      </c>
      <c r="Z26" s="29" t="n">
        <v>116.6203820602263</v>
      </c>
      <c r="AA26" s="29" t="n">
        <v>732.048138896281</v>
      </c>
      <c r="AB26" s="29" t="n">
        <v>37.74361970582942</v>
      </c>
      <c r="AC26" s="29" t="n">
        <v>3.533683812970882</v>
      </c>
      <c r="AD26" s="29" t="n">
        <v>1.366760404364951</v>
      </c>
      <c r="AE26" s="29" t="n">
        <v>63.74724093803374</v>
      </c>
      <c r="AF26" s="29" t="n">
        <v>12.30675828221885</v>
      </c>
      <c r="AG26" s="29" t="n">
        <v>40.97819288150724</v>
      </c>
      <c r="AH26" s="29" t="n">
        <v>47.83334029920974</v>
      </c>
      <c r="AI26" s="29" t="n">
        <v>262.2390665651111</v>
      </c>
      <c r="AJ26" s="29" t="n">
        <v>2148.008116497564</v>
      </c>
      <c r="AK26" s="29" t="n">
        <v>116.8560299968596</v>
      </c>
      <c r="AL26" s="29" t="n">
        <v>1616.152354841038</v>
      </c>
      <c r="AM26" s="29" t="n">
        <v>16.24802820452623</v>
      </c>
      <c r="AN26" s="29" t="n">
        <v>23.00499065609908</v>
      </c>
      <c r="AO26" s="29" t="n">
        <v>14.32874473613466</v>
      </c>
      <c r="AP26" s="29" t="n">
        <v>813.0559416739027</v>
      </c>
      <c r="AQ26" s="29" t="n">
        <v>73.4806342882997</v>
      </c>
      <c r="AR26" s="29" t="n">
        <v>177.1797134432929</v>
      </c>
      <c r="AS26" s="29" t="n">
        <v>100.7650533784739</v>
      </c>
      <c r="AT26" s="29" t="n">
        <v>15.59340998276041</v>
      </c>
      <c r="AU26" s="29" t="n">
        <v>4.983440013756027</v>
      </c>
      <c r="AV26" s="29" t="n">
        <v>6.323158449044879</v>
      </c>
      <c r="AW26" s="29" t="n">
        <v>325.3369969568901</v>
      </c>
      <c r="AX26" s="29" t="n">
        <v>210.8088604572487</v>
      </c>
      <c r="AY26" s="29" t="n">
        <v>0.8581795088597826</v>
      </c>
      <c r="AZ26" s="29" t="n">
        <v>7.710678752258343</v>
      </c>
      <c r="BA26" s="29" t="n">
        <v>6.500563306905306</v>
      </c>
      <c r="BB26" s="29" t="n">
        <v>2.914693810821136</v>
      </c>
      <c r="BC26" s="29" t="n">
        <v>22.65505963054535</v>
      </c>
      <c r="BD26" s="29" t="n">
        <v>5.434319577856716</v>
      </c>
      <c r="BE26" s="29" t="n">
        <v>10.52101310486495</v>
      </c>
      <c r="BF26" s="29" t="n">
        <v>17.30273134262653</v>
      </c>
      <c r="BG26" s="29" t="n">
        <v>4.640464785380786</v>
      </c>
      <c r="BH26" s="29" t="n">
        <v>8.570150283109403</v>
      </c>
      <c r="BI26" s="29" t="n">
        <v>23.25985391532481</v>
      </c>
      <c r="BJ26" s="29" t="n">
        <v>2.644898280418529</v>
      </c>
      <c r="BK26" s="29" t="n">
        <v>69.93104056109374</v>
      </c>
      <c r="BL26" s="29" t="n">
        <v>74.83511832423196</v>
      </c>
      <c r="BM26" s="29" t="n">
        <v>5.751835360045691</v>
      </c>
      <c r="BN26" s="29" t="n">
        <v>51.31349112528932</v>
      </c>
      <c r="BO26" s="29" t="n">
        <v>116.9244624517967</v>
      </c>
      <c r="BP26" s="29" t="n">
        <v>7.76958419200761</v>
      </c>
      <c r="BQ26" s="29" t="n">
        <v>698.1246103028107</v>
      </c>
      <c r="BR26" s="29" t="n">
        <v>0</v>
      </c>
      <c r="BS26" s="29">
        <f>SUM(C26:BR26)</f>
        <v/>
      </c>
      <c r="BT26" s="29" t="n">
        <v>0</v>
      </c>
      <c r="BU26" s="29" t="n">
        <v>0</v>
      </c>
      <c r="BV26" s="29" t="n">
        <v>15664.73262439935</v>
      </c>
      <c r="BW26" s="29" t="n">
        <v>0</v>
      </c>
      <c r="BX26" s="29">
        <f>SUM(BT26:BW26)</f>
        <v/>
      </c>
      <c r="BY26" s="29">
        <f>BS26+BX26</f>
        <v/>
      </c>
    </row>
    <row r="27">
      <c r="A27" s="30" t="inlineStr">
        <is>
          <t>1400</t>
        </is>
      </c>
      <c r="B27" s="30" t="inlineStr">
        <is>
          <t>Confecção de artefatos do vestuário e acessórios</t>
        </is>
      </c>
      <c r="C27" s="31" t="n">
        <v>9.367026979126086</v>
      </c>
      <c r="D27" s="31" t="n">
        <v>2.135058004732859</v>
      </c>
      <c r="E27" s="31" t="n">
        <v>17.74030570975588</v>
      </c>
      <c r="F27" s="31" t="n">
        <v>9.703848040483585</v>
      </c>
      <c r="G27" s="31" t="n">
        <v>104.0061783072641</v>
      </c>
      <c r="H27" s="31" t="n">
        <v>8.346059510897765</v>
      </c>
      <c r="I27" s="31" t="n">
        <v>1.367127641660136</v>
      </c>
      <c r="J27" s="31" t="n">
        <v>8.567727204167699</v>
      </c>
      <c r="K27" s="31" t="n">
        <v>1.854358372694241</v>
      </c>
      <c r="L27" s="31" t="n">
        <v>11.38170066330525</v>
      </c>
      <c r="M27" s="31" t="n">
        <v>0.1561501432550433</v>
      </c>
      <c r="N27" s="31" t="n">
        <v>0.09385696010262934</v>
      </c>
      <c r="O27" s="31" t="n">
        <v>128.6739810090666</v>
      </c>
      <c r="P27" s="31" t="n">
        <v>2744.168909019448</v>
      </c>
      <c r="Q27" s="31" t="n">
        <v>88.82247604153119</v>
      </c>
      <c r="R27" s="31" t="n">
        <v>0.3359706141778855</v>
      </c>
      <c r="S27" s="31" t="n">
        <v>1.635091329424213</v>
      </c>
      <c r="T27" s="31" t="n">
        <v>0.05388641337846917</v>
      </c>
      <c r="U27" s="31" t="n">
        <v>0.1958097038518121</v>
      </c>
      <c r="V27" s="31" t="n">
        <v>0.143079749128209</v>
      </c>
      <c r="W27" s="31" t="n">
        <v>0.7181320475059993</v>
      </c>
      <c r="X27" s="31" t="n">
        <v>7.744792130241827</v>
      </c>
      <c r="Y27" s="31" t="n">
        <v>0.1417667816892605</v>
      </c>
      <c r="Z27" s="31" t="n">
        <v>1.440587431234563</v>
      </c>
      <c r="AA27" s="31" t="n">
        <v>5.381284331915318</v>
      </c>
      <c r="AB27" s="31" t="n">
        <v>19.71913157548687</v>
      </c>
      <c r="AC27" s="31" t="n">
        <v>6.498377962499208</v>
      </c>
      <c r="AD27" s="31" t="n">
        <v>0.2419070529198599</v>
      </c>
      <c r="AE27" s="31" t="n">
        <v>75.12529764650606</v>
      </c>
      <c r="AF27" s="31" t="n">
        <v>0.6394822850163284</v>
      </c>
      <c r="AG27" s="31" t="n">
        <v>4.542905181096135</v>
      </c>
      <c r="AH27" s="31" t="n">
        <v>67.48731729945695</v>
      </c>
      <c r="AI27" s="31" t="n">
        <v>11.19826523962833</v>
      </c>
      <c r="AJ27" s="31" t="n">
        <v>42.32502265652623</v>
      </c>
      <c r="AK27" s="31" t="n">
        <v>3.882440536414501</v>
      </c>
      <c r="AL27" s="31" t="n">
        <v>28.83232823046961</v>
      </c>
      <c r="AM27" s="31" t="n">
        <v>27.4568212559431</v>
      </c>
      <c r="AN27" s="31" t="n">
        <v>119.0166677311269</v>
      </c>
      <c r="AO27" s="31" t="n">
        <v>160.4947900586522</v>
      </c>
      <c r="AP27" s="31" t="n">
        <v>85.78857805071391</v>
      </c>
      <c r="AQ27" s="31" t="n">
        <v>4.632923863246575</v>
      </c>
      <c r="AR27" s="31" t="n">
        <v>435.4246516427994</v>
      </c>
      <c r="AS27" s="31" t="n">
        <v>257.9497256487829</v>
      </c>
      <c r="AT27" s="31" t="n">
        <v>12.87903776073811</v>
      </c>
      <c r="AU27" s="31" t="n">
        <v>269.9980616936526</v>
      </c>
      <c r="AV27" s="31" t="n">
        <v>119.9967196129375</v>
      </c>
      <c r="AW27" s="31" t="n">
        <v>122.4766492252311</v>
      </c>
      <c r="AX27" s="31" t="n">
        <v>249.8768527145067</v>
      </c>
      <c r="AY27" s="31" t="n">
        <v>0.377529445674349</v>
      </c>
      <c r="AZ27" s="31" t="n">
        <v>159.7254059344566</v>
      </c>
      <c r="BA27" s="31" t="n">
        <v>78.54144454771617</v>
      </c>
      <c r="BB27" s="31" t="n">
        <v>1.077207442621357</v>
      </c>
      <c r="BC27" s="31" t="n">
        <v>1205.957535976539</v>
      </c>
      <c r="BD27" s="31" t="n">
        <v>48.46888540145419</v>
      </c>
      <c r="BE27" s="31" t="n">
        <v>9.825324156969518</v>
      </c>
      <c r="BF27" s="31" t="n">
        <v>241.2315781639934</v>
      </c>
      <c r="BG27" s="31" t="n">
        <v>44.71029640090228</v>
      </c>
      <c r="BH27" s="31" t="n">
        <v>2.60623844937641</v>
      </c>
      <c r="BI27" s="31" t="n">
        <v>189.5710456448177</v>
      </c>
      <c r="BJ27" s="31" t="n">
        <v>277.9895395143244</v>
      </c>
      <c r="BK27" s="31" t="n">
        <v>790.7144841646385</v>
      </c>
      <c r="BL27" s="31" t="n">
        <v>856.5650717680269</v>
      </c>
      <c r="BM27" s="31" t="n">
        <v>1.937154608789544</v>
      </c>
      <c r="BN27" s="31" t="n">
        <v>61.15075182577488</v>
      </c>
      <c r="BO27" s="31" t="n">
        <v>74.00665188529507</v>
      </c>
      <c r="BP27" s="31" t="n">
        <v>137.6773274717436</v>
      </c>
      <c r="BQ27" s="31" t="n">
        <v>1293.50426570471</v>
      </c>
      <c r="BR27" s="31" t="n">
        <v>0</v>
      </c>
      <c r="BS27" s="31">
        <f>SUM(C27:BR27)</f>
        <v/>
      </c>
      <c r="BT27" s="31" t="n">
        <v>0</v>
      </c>
      <c r="BU27" s="31" t="n">
        <v>0</v>
      </c>
      <c r="BV27" s="31" t="n">
        <v>48787.71229318909</v>
      </c>
      <c r="BW27" s="31" t="n">
        <v>0</v>
      </c>
      <c r="BX27" s="31">
        <f>SUM(BT27:BW27)</f>
        <v/>
      </c>
      <c r="BY27" s="31">
        <f>BS27+BX27</f>
        <v/>
      </c>
    </row>
    <row r="28">
      <c r="A28" s="28" t="inlineStr">
        <is>
          <t>1500</t>
        </is>
      </c>
      <c r="B28" s="28" t="inlineStr">
        <is>
          <t>Fabricação de calçados e de artefatos de couro</t>
        </is>
      </c>
      <c r="C28" s="29" t="n">
        <v>3.85606726442576</v>
      </c>
      <c r="D28" s="29" t="n">
        <v>5.049174415784464</v>
      </c>
      <c r="E28" s="29" t="n">
        <v>0.1867539160749443</v>
      </c>
      <c r="F28" s="29" t="n">
        <v>10.35109175972308</v>
      </c>
      <c r="G28" s="29" t="n">
        <v>8.780422926626859</v>
      </c>
      <c r="H28" s="29" t="n">
        <v>3.266486181751073</v>
      </c>
      <c r="I28" s="29" t="n">
        <v>0.7718744289786893</v>
      </c>
      <c r="J28" s="29" t="n">
        <v>20.82991468617864</v>
      </c>
      <c r="K28" s="29" t="n">
        <v>0.5338056239983102</v>
      </c>
      <c r="L28" s="29" t="n">
        <v>38.32196209335686</v>
      </c>
      <c r="M28" s="29" t="n">
        <v>6.007660341324964</v>
      </c>
      <c r="N28" s="29" t="n">
        <v>0.1583493791858167</v>
      </c>
      <c r="O28" s="29" t="n">
        <v>14.63247710799538</v>
      </c>
      <c r="P28" s="29" t="n">
        <v>29.30312568790721</v>
      </c>
      <c r="Q28" s="29" t="n">
        <v>6035.036368469171</v>
      </c>
      <c r="R28" s="29" t="n">
        <v>2.534447459196253</v>
      </c>
      <c r="S28" s="29" t="n">
        <v>93.12005776819332</v>
      </c>
      <c r="T28" s="29" t="n">
        <v>2.2377523964829</v>
      </c>
      <c r="U28" s="29" t="n">
        <v>1.408123219241979</v>
      </c>
      <c r="V28" s="29" t="n">
        <v>3.419927496627049</v>
      </c>
      <c r="W28" s="29" t="n">
        <v>15.0449236124397</v>
      </c>
      <c r="X28" s="29" t="n">
        <v>22.90001057348105</v>
      </c>
      <c r="Y28" s="29" t="n">
        <v>10.21643013914602</v>
      </c>
      <c r="Z28" s="29" t="n">
        <v>5.042216933687564</v>
      </c>
      <c r="AA28" s="29" t="n">
        <v>46.46786448236287</v>
      </c>
      <c r="AB28" s="29" t="n">
        <v>7.256475981465837</v>
      </c>
      <c r="AC28" s="29" t="n">
        <v>4.291157981408639</v>
      </c>
      <c r="AD28" s="29" t="n">
        <v>0.9116928768589485</v>
      </c>
      <c r="AE28" s="29" t="n">
        <v>49.05415360231905</v>
      </c>
      <c r="AF28" s="29" t="n">
        <v>2.527847707679176</v>
      </c>
      <c r="AG28" s="29" t="n">
        <v>10.8360374870017</v>
      </c>
      <c r="AH28" s="29" t="n">
        <v>15.0614443014839</v>
      </c>
      <c r="AI28" s="29" t="n">
        <v>25.27415004234103</v>
      </c>
      <c r="AJ28" s="29" t="n">
        <v>19.70519412488358</v>
      </c>
      <c r="AK28" s="29" t="n">
        <v>4.267973029522707</v>
      </c>
      <c r="AL28" s="29" t="n">
        <v>46.9379945632531</v>
      </c>
      <c r="AM28" s="29" t="n">
        <v>5.963198816940455</v>
      </c>
      <c r="AN28" s="29" t="n">
        <v>127.7832808506331</v>
      </c>
      <c r="AO28" s="29" t="n">
        <v>2.49372652142961</v>
      </c>
      <c r="AP28" s="29" t="n">
        <v>79.95514248291573</v>
      </c>
      <c r="AQ28" s="29" t="n">
        <v>2.55873222938818</v>
      </c>
      <c r="AR28" s="29" t="n">
        <v>16.68804245837875</v>
      </c>
      <c r="AS28" s="29" t="n">
        <v>10.05266925031031</v>
      </c>
      <c r="AT28" s="29" t="n">
        <v>0.5232489515962966</v>
      </c>
      <c r="AU28" s="29" t="n">
        <v>2.403178012525079</v>
      </c>
      <c r="AV28" s="29" t="n">
        <v>1.323509332017782</v>
      </c>
      <c r="AW28" s="29" t="n">
        <v>2.084415397757298</v>
      </c>
      <c r="AX28" s="29" t="n">
        <v>15.31657098258958</v>
      </c>
      <c r="AY28" s="29" t="n">
        <v>0.07165523539753793</v>
      </c>
      <c r="AZ28" s="29" t="n">
        <v>37.29274402018513</v>
      </c>
      <c r="BA28" s="29" t="n">
        <v>0.9081445489194757</v>
      </c>
      <c r="BB28" s="29" t="n">
        <v>3.511425308715765</v>
      </c>
      <c r="BC28" s="29" t="n">
        <v>5.77888442894897</v>
      </c>
      <c r="BD28" s="29" t="n">
        <v>1.116374849754786</v>
      </c>
      <c r="BE28" s="29" t="n">
        <v>1.621750089039031</v>
      </c>
      <c r="BF28" s="29" t="n">
        <v>5.257832716039102</v>
      </c>
      <c r="BG28" s="29" t="n">
        <v>1.467832352081686</v>
      </c>
      <c r="BH28" s="29" t="n">
        <v>2.839899999444549</v>
      </c>
      <c r="BI28" s="29" t="n">
        <v>7.681127510725275</v>
      </c>
      <c r="BJ28" s="29" t="n">
        <v>73.98696031902708</v>
      </c>
      <c r="BK28" s="29" t="n">
        <v>39.0800098986596</v>
      </c>
      <c r="BL28" s="29" t="n">
        <v>10.81258336823077</v>
      </c>
      <c r="BM28" s="29" t="n">
        <v>0.4894048080122805</v>
      </c>
      <c r="BN28" s="29" t="n">
        <v>14.00352458982314</v>
      </c>
      <c r="BO28" s="29" t="n">
        <v>40.6392013783903</v>
      </c>
      <c r="BP28" s="29" t="n">
        <v>1.397836144716112</v>
      </c>
      <c r="BQ28" s="29" t="n">
        <v>5.687921257541024</v>
      </c>
      <c r="BR28" s="29" t="n">
        <v>0</v>
      </c>
      <c r="BS28" s="29">
        <f>SUM(C28:BR28)</f>
        <v/>
      </c>
      <c r="BT28" s="29" t="n">
        <v>0</v>
      </c>
      <c r="BU28" s="29" t="n">
        <v>0</v>
      </c>
      <c r="BV28" s="29" t="n">
        <v>28485.84131898198</v>
      </c>
      <c r="BW28" s="29" t="n">
        <v>0</v>
      </c>
      <c r="BX28" s="29">
        <f>SUM(BT28:BW28)</f>
        <v/>
      </c>
      <c r="BY28" s="29">
        <f>BS28+BX28</f>
        <v/>
      </c>
    </row>
    <row r="29">
      <c r="A29" s="30" t="inlineStr">
        <is>
          <t>1600</t>
        </is>
      </c>
      <c r="B29" s="30" t="inlineStr">
        <is>
          <t>Fabricação de produtos da madeira</t>
        </is>
      </c>
      <c r="C29" s="31" t="n">
        <v>473.7672233123708</v>
      </c>
      <c r="D29" s="31" t="n">
        <v>281.5438878452862</v>
      </c>
      <c r="E29" s="31" t="n">
        <v>14.81929165751289</v>
      </c>
      <c r="F29" s="31" t="n">
        <v>8.31270191905757</v>
      </c>
      <c r="G29" s="31" t="n">
        <v>8.448467414067839</v>
      </c>
      <c r="H29" s="31" t="n">
        <v>8.436332517799501</v>
      </c>
      <c r="I29" s="31" t="n">
        <v>1.396251973942417</v>
      </c>
      <c r="J29" s="31" t="n">
        <v>42.61967132265603</v>
      </c>
      <c r="K29" s="31" t="n">
        <v>0.8353899639165097</v>
      </c>
      <c r="L29" s="31" t="n">
        <v>329.2253364141386</v>
      </c>
      <c r="M29" s="31" t="n">
        <v>103.1808393632355</v>
      </c>
      <c r="N29" s="31" t="n">
        <v>0.2403239362342181</v>
      </c>
      <c r="O29" s="31" t="n">
        <v>31.5026387960252</v>
      </c>
      <c r="P29" s="31" t="n">
        <v>2.290575350778868</v>
      </c>
      <c r="Q29" s="31" t="n">
        <v>1.072491536376534</v>
      </c>
      <c r="R29" s="31" t="n">
        <v>3750.419024594416</v>
      </c>
      <c r="S29" s="31" t="n">
        <v>457.5902538853104</v>
      </c>
      <c r="T29" s="31" t="n">
        <v>1.833461058086435</v>
      </c>
      <c r="U29" s="31" t="n">
        <v>0.6212540987765868</v>
      </c>
      <c r="V29" s="31" t="n">
        <v>0.4156721291861497</v>
      </c>
      <c r="W29" s="31" t="n">
        <v>21.79292946098391</v>
      </c>
      <c r="X29" s="31" t="n">
        <v>46.48965016373312</v>
      </c>
      <c r="Y29" s="31" t="n">
        <v>2.524753405480614</v>
      </c>
      <c r="Z29" s="31" t="n">
        <v>1.494525696043867</v>
      </c>
      <c r="AA29" s="31" t="n">
        <v>16.20349951210788</v>
      </c>
      <c r="AB29" s="31" t="n">
        <v>45.60736827588913</v>
      </c>
      <c r="AC29" s="31" t="n">
        <v>20.13714665704833</v>
      </c>
      <c r="AD29" s="31" t="n">
        <v>5.166127092447153</v>
      </c>
      <c r="AE29" s="31" t="n">
        <v>272.5829663043662</v>
      </c>
      <c r="AF29" s="31" t="n">
        <v>2.790262516272651</v>
      </c>
      <c r="AG29" s="31" t="n">
        <v>13.64849915720442</v>
      </c>
      <c r="AH29" s="31" t="n">
        <v>492.205927275501</v>
      </c>
      <c r="AI29" s="31" t="n">
        <v>379.5899939281662</v>
      </c>
      <c r="AJ29" s="31" t="n">
        <v>105.891184482117</v>
      </c>
      <c r="AK29" s="31" t="n">
        <v>225.0386684957865</v>
      </c>
      <c r="AL29" s="31" t="n">
        <v>6579.677601338496</v>
      </c>
      <c r="AM29" s="31" t="n">
        <v>28.11210288318625</v>
      </c>
      <c r="AN29" s="31" t="n">
        <v>406.9454937501556</v>
      </c>
      <c r="AO29" s="31" t="n">
        <v>10.95057914359209</v>
      </c>
      <c r="AP29" s="31" t="n">
        <v>6575.991421851309</v>
      </c>
      <c r="AQ29" s="31" t="n">
        <v>14.38130124928397</v>
      </c>
      <c r="AR29" s="31" t="n">
        <v>2177.663632581141</v>
      </c>
      <c r="AS29" s="31" t="n">
        <v>3.748771890824719</v>
      </c>
      <c r="AT29" s="31" t="n">
        <v>0.8957556330980518</v>
      </c>
      <c r="AU29" s="31" t="n">
        <v>0.3857123274431173</v>
      </c>
      <c r="AV29" s="31" t="n">
        <v>85.77760515592692</v>
      </c>
      <c r="AW29" s="31" t="n">
        <v>3.138002897844246</v>
      </c>
      <c r="AX29" s="31" t="n">
        <v>14.06062446528826</v>
      </c>
      <c r="AY29" s="31" t="n">
        <v>1.340511845109221</v>
      </c>
      <c r="AZ29" s="31" t="n">
        <v>206.2593969624707</v>
      </c>
      <c r="BA29" s="31" t="n">
        <v>9.448791288934361</v>
      </c>
      <c r="BB29" s="31" t="n">
        <v>3.801439015996017</v>
      </c>
      <c r="BC29" s="31" t="n">
        <v>21.1095670029642</v>
      </c>
      <c r="BD29" s="31" t="n">
        <v>390.7649713852473</v>
      </c>
      <c r="BE29" s="31" t="n">
        <v>12.14045388564486</v>
      </c>
      <c r="BF29" s="31" t="n">
        <v>3.905332507590968</v>
      </c>
      <c r="BG29" s="31" t="n">
        <v>2.866157009508308</v>
      </c>
      <c r="BH29" s="31" t="n">
        <v>3.563960832964925</v>
      </c>
      <c r="BI29" s="31" t="n">
        <v>127.8471781858554</v>
      </c>
      <c r="BJ29" s="31" t="n">
        <v>0.7641690902262912</v>
      </c>
      <c r="BK29" s="31" t="n">
        <v>83.24346219103663</v>
      </c>
      <c r="BL29" s="31" t="n">
        <v>28.72077076624986</v>
      </c>
      <c r="BM29" s="31" t="n">
        <v>10.23849474110051</v>
      </c>
      <c r="BN29" s="31" t="n">
        <v>6.099019305125269</v>
      </c>
      <c r="BO29" s="31" t="n">
        <v>13.09115354741999</v>
      </c>
      <c r="BP29" s="31" t="n">
        <v>9.888732487209881</v>
      </c>
      <c r="BQ29" s="31" t="n">
        <v>217.5861906465135</v>
      </c>
      <c r="BR29" s="31" t="n">
        <v>0</v>
      </c>
      <c r="BS29" s="31">
        <f>SUM(C29:BR29)</f>
        <v/>
      </c>
      <c r="BT29" s="31" t="n">
        <v>0</v>
      </c>
      <c r="BU29" s="31" t="n">
        <v>0</v>
      </c>
      <c r="BV29" s="31" t="n">
        <v>4771.932594227395</v>
      </c>
      <c r="BW29" s="31" t="n">
        <v>0</v>
      </c>
      <c r="BX29" s="31">
        <f>SUM(BT29:BW29)</f>
        <v/>
      </c>
      <c r="BY29" s="31">
        <f>BS29+BX29</f>
        <v/>
      </c>
    </row>
    <row r="30">
      <c r="A30" s="28" t="inlineStr">
        <is>
          <t>1700</t>
        </is>
      </c>
      <c r="B30" s="28" t="inlineStr">
        <is>
          <t>Fabricação de celulose, papel e produtos de papel</t>
        </is>
      </c>
      <c r="C30" s="29" t="n">
        <v>428.0741167682721</v>
      </c>
      <c r="D30" s="29" t="n">
        <v>146.9030995099992</v>
      </c>
      <c r="E30" s="29" t="n">
        <v>18.94024780444209</v>
      </c>
      <c r="F30" s="29" t="n">
        <v>12.23848835078876</v>
      </c>
      <c r="G30" s="29" t="n">
        <v>71.38311185214143</v>
      </c>
      <c r="H30" s="29" t="n">
        <v>129.5360991662421</v>
      </c>
      <c r="I30" s="29" t="n">
        <v>24.14371969311203</v>
      </c>
      <c r="J30" s="29" t="n">
        <v>2719.403029459176</v>
      </c>
      <c r="K30" s="29" t="n">
        <v>33.84253585220286</v>
      </c>
      <c r="L30" s="29" t="n">
        <v>3016.943314457995</v>
      </c>
      <c r="M30" s="29" t="n">
        <v>251.6854230252867</v>
      </c>
      <c r="N30" s="29" t="n">
        <v>926.8980021502207</v>
      </c>
      <c r="O30" s="29" t="n">
        <v>722.564316610208</v>
      </c>
      <c r="P30" s="29" t="n">
        <v>547.5615046643837</v>
      </c>
      <c r="Q30" s="29" t="n">
        <v>692.3442076218813</v>
      </c>
      <c r="R30" s="29" t="n">
        <v>595.1384294483454</v>
      </c>
      <c r="S30" s="29" t="n">
        <v>12141.0756375423</v>
      </c>
      <c r="T30" s="29" t="n">
        <v>1561.684829898295</v>
      </c>
      <c r="U30" s="29" t="n">
        <v>134.5292025476356</v>
      </c>
      <c r="V30" s="29" t="n">
        <v>38.30950273368964</v>
      </c>
      <c r="W30" s="29" t="n">
        <v>123.692272558744</v>
      </c>
      <c r="X30" s="29" t="n">
        <v>202.9238961955751</v>
      </c>
      <c r="Y30" s="29" t="n">
        <v>1506.873550927713</v>
      </c>
      <c r="Z30" s="29" t="n">
        <v>845.2821357483165</v>
      </c>
      <c r="AA30" s="29" t="n">
        <v>1980.62617622238</v>
      </c>
      <c r="AB30" s="29" t="n">
        <v>1914.836990450153</v>
      </c>
      <c r="AC30" s="29" t="n">
        <v>71.53336617570693</v>
      </c>
      <c r="AD30" s="29" t="n">
        <v>40.94926604872725</v>
      </c>
      <c r="AE30" s="29" t="n">
        <v>1273.053378210809</v>
      </c>
      <c r="AF30" s="29" t="n">
        <v>1212.501024004059</v>
      </c>
      <c r="AG30" s="29" t="n">
        <v>487.7418187056653</v>
      </c>
      <c r="AH30" s="29" t="n">
        <v>424.9954566158896</v>
      </c>
      <c r="AI30" s="29" t="n">
        <v>561.3550901221836</v>
      </c>
      <c r="AJ30" s="29" t="n">
        <v>913.4579259273773</v>
      </c>
      <c r="AK30" s="29" t="n">
        <v>93.24502019606925</v>
      </c>
      <c r="AL30" s="29" t="n">
        <v>928.9684613700907</v>
      </c>
      <c r="AM30" s="29" t="n">
        <v>107.3032241354299</v>
      </c>
      <c r="AN30" s="29" t="n">
        <v>69.45845472196305</v>
      </c>
      <c r="AO30" s="29" t="n">
        <v>102.399681868701</v>
      </c>
      <c r="AP30" s="29" t="n">
        <v>683.7855363308317</v>
      </c>
      <c r="AQ30" s="29" t="n">
        <v>825.5903010374338</v>
      </c>
      <c r="AR30" s="29" t="n">
        <v>4982.860424036504</v>
      </c>
      <c r="AS30" s="29" t="n">
        <v>201.238916127999</v>
      </c>
      <c r="AT30" s="29" t="n">
        <v>68.37147216906973</v>
      </c>
      <c r="AU30" s="29" t="n">
        <v>26.53897244765534</v>
      </c>
      <c r="AV30" s="29" t="n">
        <v>287.2926063733883</v>
      </c>
      <c r="AW30" s="29" t="n">
        <v>202.0705498650761</v>
      </c>
      <c r="AX30" s="29" t="n">
        <v>1181.70937541932</v>
      </c>
      <c r="AY30" s="29" t="n">
        <v>1771.422809164093</v>
      </c>
      <c r="AZ30" s="29" t="n">
        <v>112.8309779464025</v>
      </c>
      <c r="BA30" s="29" t="n">
        <v>98.54869748193269</v>
      </c>
      <c r="BB30" s="29" t="n">
        <v>281.6445181417535</v>
      </c>
      <c r="BC30" s="29" t="n">
        <v>1962.34270008906</v>
      </c>
      <c r="BD30" s="29" t="n">
        <v>269.6011250459676</v>
      </c>
      <c r="BE30" s="29" t="n">
        <v>1310.237721565418</v>
      </c>
      <c r="BF30" s="29" t="n">
        <v>452.5611552675306</v>
      </c>
      <c r="BG30" s="29" t="n">
        <v>547.2628265500621</v>
      </c>
      <c r="BH30" s="29" t="n">
        <v>420.6170313009384</v>
      </c>
      <c r="BI30" s="29" t="n">
        <v>2059.636987477745</v>
      </c>
      <c r="BJ30" s="29" t="n">
        <v>46.77609178945443</v>
      </c>
      <c r="BK30" s="29" t="n">
        <v>999.5251155980903</v>
      </c>
      <c r="BL30" s="29" t="n">
        <v>809.7846239431351</v>
      </c>
      <c r="BM30" s="29" t="n">
        <v>387.4793735542545</v>
      </c>
      <c r="BN30" s="29" t="n">
        <v>154.0849990844901</v>
      </c>
      <c r="BO30" s="29" t="n">
        <v>810.153842806583</v>
      </c>
      <c r="BP30" s="29" t="n">
        <v>69.22335488329378</v>
      </c>
      <c r="BQ30" s="29" t="n">
        <v>610.4766773291302</v>
      </c>
      <c r="BR30" s="29" t="n">
        <v>0</v>
      </c>
      <c r="BS30" s="29">
        <f>SUM(C30:BR30)</f>
        <v/>
      </c>
      <c r="BT30" s="29" t="n">
        <v>0</v>
      </c>
      <c r="BU30" s="29" t="n">
        <v>0</v>
      </c>
      <c r="BV30" s="29" t="n">
        <v>18741.92146844432</v>
      </c>
      <c r="BW30" s="29" t="n">
        <v>0</v>
      </c>
      <c r="BX30" s="29">
        <f>SUM(BT30:BW30)</f>
        <v/>
      </c>
      <c r="BY30" s="29">
        <f>BS30+BX30</f>
        <v/>
      </c>
    </row>
    <row r="31">
      <c r="A31" s="30" t="inlineStr">
        <is>
          <t>1800</t>
        </is>
      </c>
      <c r="B31" s="30" t="inlineStr">
        <is>
          <t>Impressão e reprodução de gravações</t>
        </is>
      </c>
      <c r="C31" s="31" t="n">
        <v>7.423663992927765</v>
      </c>
      <c r="D31" s="31" t="n">
        <v>0.9787000702258759</v>
      </c>
      <c r="E31" s="31" t="n">
        <v>3.998477967919125</v>
      </c>
      <c r="F31" s="31" t="n">
        <v>0.3988866651653395</v>
      </c>
      <c r="G31" s="31" t="n">
        <v>9.115805718198384</v>
      </c>
      <c r="H31" s="31" t="n">
        <v>17.81421113343369</v>
      </c>
      <c r="I31" s="31" t="n">
        <v>4.326222758633547</v>
      </c>
      <c r="J31" s="31" t="n">
        <v>62.1258111105038</v>
      </c>
      <c r="K31" s="31" t="n">
        <v>17.54293802915248</v>
      </c>
      <c r="L31" s="31" t="n">
        <v>85.14062758704806</v>
      </c>
      <c r="M31" s="31" t="n">
        <v>246.438915275522</v>
      </c>
      <c r="N31" s="31" t="n">
        <v>4.906745347295994</v>
      </c>
      <c r="O31" s="31" t="n">
        <v>18.93014874325871</v>
      </c>
      <c r="P31" s="31" t="n">
        <v>36.40235355448928</v>
      </c>
      <c r="Q31" s="31" t="n">
        <v>14.59750846393371</v>
      </c>
      <c r="R31" s="31" t="n">
        <v>17.01370494585851</v>
      </c>
      <c r="S31" s="31" t="n">
        <v>174.0368319604527</v>
      </c>
      <c r="T31" s="31" t="n">
        <v>1744.478838157946</v>
      </c>
      <c r="U31" s="31" t="n">
        <v>5.949745138727499</v>
      </c>
      <c r="V31" s="31" t="n">
        <v>6.163351287376179</v>
      </c>
      <c r="W31" s="31" t="n">
        <v>4.677229484031514</v>
      </c>
      <c r="X31" s="31" t="n">
        <v>19.01046475217514</v>
      </c>
      <c r="Y31" s="31" t="n">
        <v>9.314448901667854</v>
      </c>
      <c r="Z31" s="31" t="n">
        <v>14.57309627694452</v>
      </c>
      <c r="AA31" s="31" t="n">
        <v>46.05496965561429</v>
      </c>
      <c r="AB31" s="31" t="n">
        <v>26.39461437232936</v>
      </c>
      <c r="AC31" s="31" t="n">
        <v>17.33868930154852</v>
      </c>
      <c r="AD31" s="31" t="n">
        <v>2.017575083338341</v>
      </c>
      <c r="AE31" s="31" t="n">
        <v>30.71426826441134</v>
      </c>
      <c r="AF31" s="31" t="n">
        <v>192.5935008018307</v>
      </c>
      <c r="AG31" s="31" t="n">
        <v>19.32664864481517</v>
      </c>
      <c r="AH31" s="31" t="n">
        <v>60.67550717769186</v>
      </c>
      <c r="AI31" s="31" t="n">
        <v>50.96979794103742</v>
      </c>
      <c r="AJ31" s="31" t="n">
        <v>30.56388304936682</v>
      </c>
      <c r="AK31" s="31" t="n">
        <v>9.259161508648452</v>
      </c>
      <c r="AL31" s="31" t="n">
        <v>44.8824305210091</v>
      </c>
      <c r="AM31" s="31" t="n">
        <v>12.52404432887368</v>
      </c>
      <c r="AN31" s="31" t="n">
        <v>23.72255384782263</v>
      </c>
      <c r="AO31" s="31" t="n">
        <v>12.6748186849106</v>
      </c>
      <c r="AP31" s="31" t="n">
        <v>88.92177328595371</v>
      </c>
      <c r="AQ31" s="31" t="n">
        <v>145.5960621330564</v>
      </c>
      <c r="AR31" s="31" t="n">
        <v>6559.800771890928</v>
      </c>
      <c r="AS31" s="31" t="n">
        <v>66.99984306047223</v>
      </c>
      <c r="AT31" s="31" t="n">
        <v>3.479963971473923</v>
      </c>
      <c r="AU31" s="31" t="n">
        <v>48.69877330793086</v>
      </c>
      <c r="AV31" s="31" t="n">
        <v>56.6510750075381</v>
      </c>
      <c r="AW31" s="31" t="n">
        <v>7.923417904187118</v>
      </c>
      <c r="AX31" s="31" t="n">
        <v>80.07924104172876</v>
      </c>
      <c r="AY31" s="31" t="n">
        <v>3125.800698700393</v>
      </c>
      <c r="AZ31" s="31" t="n">
        <v>450.6421657429018</v>
      </c>
      <c r="BA31" s="31" t="n">
        <v>1001.84903738072</v>
      </c>
      <c r="BB31" s="31" t="n">
        <v>1102.810636717011</v>
      </c>
      <c r="BC31" s="31" t="n">
        <v>2418.420882769543</v>
      </c>
      <c r="BD31" s="31" t="n">
        <v>309.7041705519035</v>
      </c>
      <c r="BE31" s="31" t="n">
        <v>535.3019491679609</v>
      </c>
      <c r="BF31" s="31" t="n">
        <v>331.0671123600649</v>
      </c>
      <c r="BG31" s="31" t="n">
        <v>3768.958679202838</v>
      </c>
      <c r="BH31" s="31" t="n">
        <v>69.33708788441814</v>
      </c>
      <c r="BI31" s="31" t="n">
        <v>1785.733784700935</v>
      </c>
      <c r="BJ31" s="31" t="n">
        <v>3.419738154272518</v>
      </c>
      <c r="BK31" s="31" t="n">
        <v>1218.901184349374</v>
      </c>
      <c r="BL31" s="31" t="n">
        <v>311.0506446957048</v>
      </c>
      <c r="BM31" s="31" t="n">
        <v>28.46061001053334</v>
      </c>
      <c r="BN31" s="31" t="n">
        <v>125.2734402511834</v>
      </c>
      <c r="BO31" s="31" t="n">
        <v>187.5550732620907</v>
      </c>
      <c r="BP31" s="31" t="n">
        <v>414.7440044820596</v>
      </c>
      <c r="BQ31" s="31" t="n">
        <v>562.0745150074777</v>
      </c>
      <c r="BR31" s="31" t="n">
        <v>0</v>
      </c>
      <c r="BS31" s="31">
        <f>SUM(C31:BR31)</f>
        <v/>
      </c>
      <c r="BT31" s="31" t="n">
        <v>0</v>
      </c>
      <c r="BU31" s="31" t="n">
        <v>0</v>
      </c>
      <c r="BV31" s="31" t="n">
        <v>642.5554806850512</v>
      </c>
      <c r="BW31" s="31" t="n">
        <v>0</v>
      </c>
      <c r="BX31" s="31">
        <f>SUM(BT31:BW31)</f>
        <v/>
      </c>
      <c r="BY31" s="31">
        <f>BS31+BX31</f>
        <v/>
      </c>
    </row>
    <row r="32">
      <c r="A32" s="28" t="inlineStr">
        <is>
          <t>1991</t>
        </is>
      </c>
      <c r="B32" s="28" t="inlineStr">
        <is>
          <t>Refino de petróleo e coquerias</t>
        </is>
      </c>
      <c r="C32" s="29" t="n">
        <v>8011.062918881383</v>
      </c>
      <c r="D32" s="29" t="n">
        <v>3549.094896248122</v>
      </c>
      <c r="E32" s="29" t="n">
        <v>566.6231329728903</v>
      </c>
      <c r="F32" s="29" t="n">
        <v>1032.830694210269</v>
      </c>
      <c r="G32" s="29" t="n">
        <v>2012.867814554459</v>
      </c>
      <c r="H32" s="29" t="n">
        <v>2627.915692416636</v>
      </c>
      <c r="I32" s="29" t="n">
        <v>878.948980884893</v>
      </c>
      <c r="J32" s="29" t="n">
        <v>2067.958309591953</v>
      </c>
      <c r="K32" s="29" t="n">
        <v>1161.703727992594</v>
      </c>
      <c r="L32" s="29" t="n">
        <v>2372.107464612145</v>
      </c>
      <c r="M32" s="29" t="n">
        <v>575.6275108182451</v>
      </c>
      <c r="N32" s="29" t="n">
        <v>21.90939601187694</v>
      </c>
      <c r="O32" s="29" t="n">
        <v>266.9861351536815</v>
      </c>
      <c r="P32" s="29" t="n">
        <v>81.54750984047678</v>
      </c>
      <c r="Q32" s="29" t="n">
        <v>214.719142174185</v>
      </c>
      <c r="R32" s="29" t="n">
        <v>206.2545507237398</v>
      </c>
      <c r="S32" s="29" t="n">
        <v>1315.553253883313</v>
      </c>
      <c r="T32" s="29" t="n">
        <v>27.12045019069984</v>
      </c>
      <c r="U32" s="29" t="n">
        <v>108496.0181064469</v>
      </c>
      <c r="V32" s="29" t="n">
        <v>471.116875061731</v>
      </c>
      <c r="W32" s="29" t="n">
        <v>16231.10799352395</v>
      </c>
      <c r="X32" s="29" t="n">
        <v>1269.389884651259</v>
      </c>
      <c r="Y32" s="29" t="n">
        <v>481.9702854315977</v>
      </c>
      <c r="Z32" s="29" t="n">
        <v>155.6158897171902</v>
      </c>
      <c r="AA32" s="29" t="n">
        <v>1974.325119845855</v>
      </c>
      <c r="AB32" s="29" t="n">
        <v>4006.553628308183</v>
      </c>
      <c r="AC32" s="29" t="n">
        <v>3068.044215786043</v>
      </c>
      <c r="AD32" s="29" t="n">
        <v>1523.961250975527</v>
      </c>
      <c r="AE32" s="29" t="n">
        <v>399.382127104094</v>
      </c>
      <c r="AF32" s="29" t="n">
        <v>140.7331139649525</v>
      </c>
      <c r="AG32" s="29" t="n">
        <v>854.9586616604017</v>
      </c>
      <c r="AH32" s="29" t="n">
        <v>574.3044659353868</v>
      </c>
      <c r="AI32" s="29" t="n">
        <v>1046.533161840096</v>
      </c>
      <c r="AJ32" s="29" t="n">
        <v>502.6953799769927</v>
      </c>
      <c r="AK32" s="29" t="n">
        <v>128.952216303669</v>
      </c>
      <c r="AL32" s="29" t="n">
        <v>248.58288768346</v>
      </c>
      <c r="AM32" s="29" t="n">
        <v>309.6567029203505</v>
      </c>
      <c r="AN32" s="29" t="n">
        <v>4040.591998314903</v>
      </c>
      <c r="AO32" s="29" t="n">
        <v>927.5558160075033</v>
      </c>
      <c r="AP32" s="29" t="n">
        <v>9946.155264986648</v>
      </c>
      <c r="AQ32" s="29" t="n">
        <v>1184.474630374097</v>
      </c>
      <c r="AR32" s="29" t="n">
        <v>11588.9376613014</v>
      </c>
      <c r="AS32" s="29" t="n">
        <v>52198.91593349377</v>
      </c>
      <c r="AT32" s="29" t="n">
        <v>1370.750836815815</v>
      </c>
      <c r="AU32" s="29" t="n">
        <v>10604.36542883289</v>
      </c>
      <c r="AV32" s="29" t="n">
        <v>1339.103836010692</v>
      </c>
      <c r="AW32" s="29" t="n">
        <v>91.98926301837309</v>
      </c>
      <c r="AX32" s="29" t="n">
        <v>1638.244241605649</v>
      </c>
      <c r="AY32" s="29" t="n">
        <v>63.12270055452492</v>
      </c>
      <c r="AZ32" s="29" t="n">
        <v>77.29848858053026</v>
      </c>
      <c r="BA32" s="29" t="n">
        <v>170.1884034319459</v>
      </c>
      <c r="BB32" s="29" t="n">
        <v>163.5999853968657</v>
      </c>
      <c r="BC32" s="29" t="n">
        <v>1035.392895773455</v>
      </c>
      <c r="BD32" s="29" t="n">
        <v>110.3218735518645</v>
      </c>
      <c r="BE32" s="29" t="n">
        <v>585.1252011076226</v>
      </c>
      <c r="BF32" s="29" t="n">
        <v>642.051588754167</v>
      </c>
      <c r="BG32" s="29" t="n">
        <v>142.4613096005669</v>
      </c>
      <c r="BH32" s="29" t="n">
        <v>764.4286791978654</v>
      </c>
      <c r="BI32" s="29" t="n">
        <v>668.3290897688728</v>
      </c>
      <c r="BJ32" s="29" t="n">
        <v>363.7137583133128</v>
      </c>
      <c r="BK32" s="29" t="n">
        <v>2876.983236999776</v>
      </c>
      <c r="BL32" s="29" t="n">
        <v>408.7267896833264</v>
      </c>
      <c r="BM32" s="29" t="n">
        <v>97.96903999472249</v>
      </c>
      <c r="BN32" s="29" t="n">
        <v>106.4328860846079</v>
      </c>
      <c r="BO32" s="29" t="n">
        <v>327.5997845268602</v>
      </c>
      <c r="BP32" s="29" t="n">
        <v>147.3921515114242</v>
      </c>
      <c r="BQ32" s="29" t="n">
        <v>579.9989302913264</v>
      </c>
      <c r="BR32" s="29" t="n">
        <v>0</v>
      </c>
      <c r="BS32" s="29">
        <f>SUM(C32:BR32)</f>
        <v/>
      </c>
      <c r="BT32" s="29" t="n">
        <v>0</v>
      </c>
      <c r="BU32" s="29" t="n">
        <v>0</v>
      </c>
      <c r="BV32" s="29" t="n">
        <v>76731.72558377023</v>
      </c>
      <c r="BW32" s="29" t="n">
        <v>0</v>
      </c>
      <c r="BX32" s="29">
        <f>SUM(BT32:BW32)</f>
        <v/>
      </c>
      <c r="BY32" s="29">
        <f>BS32+BX32</f>
        <v/>
      </c>
    </row>
    <row r="33">
      <c r="A33" s="30" t="inlineStr">
        <is>
          <t>1992</t>
        </is>
      </c>
      <c r="B33" s="30" t="inlineStr">
        <is>
          <t>Fabricação de biocombustíveis</t>
        </is>
      </c>
      <c r="C33" s="31" t="n">
        <v>74.37225777521584</v>
      </c>
      <c r="D33" s="31" t="n">
        <v>75.15234184683153</v>
      </c>
      <c r="E33" s="31" t="n">
        <v>3.488795455580321</v>
      </c>
      <c r="F33" s="31" t="n">
        <v>13.2246366731814</v>
      </c>
      <c r="G33" s="31" t="n">
        <v>210.8068171337972</v>
      </c>
      <c r="H33" s="31" t="n">
        <v>3.906202428114975</v>
      </c>
      <c r="I33" s="31" t="n">
        <v>1.092630372567128</v>
      </c>
      <c r="J33" s="31" t="n">
        <v>120.5266973731717</v>
      </c>
      <c r="K33" s="31" t="n">
        <v>256.8589889549512</v>
      </c>
      <c r="L33" s="31" t="n">
        <v>654.381629348544</v>
      </c>
      <c r="M33" s="31" t="n">
        <v>124.7142354305986</v>
      </c>
      <c r="N33" s="31" t="n">
        <v>0.1432509830054033</v>
      </c>
      <c r="O33" s="31" t="n">
        <v>4.794810518881616</v>
      </c>
      <c r="P33" s="31" t="n">
        <v>0.6957058846953773</v>
      </c>
      <c r="Q33" s="31" t="n">
        <v>1.62798956814521</v>
      </c>
      <c r="R33" s="31" t="n">
        <v>2.221352186298195</v>
      </c>
      <c r="S33" s="31" t="n">
        <v>7.623377807274194</v>
      </c>
      <c r="T33" s="31" t="n">
        <v>1.434082258563667</v>
      </c>
      <c r="U33" s="31" t="n">
        <v>9879.98010964696</v>
      </c>
      <c r="V33" s="31" t="n">
        <v>201.297160144127</v>
      </c>
      <c r="W33" s="31" t="n">
        <v>178.5343818045148</v>
      </c>
      <c r="X33" s="31" t="n">
        <v>237.6495046682134</v>
      </c>
      <c r="Y33" s="31" t="n">
        <v>588.8005186935575</v>
      </c>
      <c r="Z33" s="31" t="n">
        <v>377.1121290370764</v>
      </c>
      <c r="AA33" s="31" t="n">
        <v>12.7512994329122</v>
      </c>
      <c r="AB33" s="31" t="n">
        <v>7.618612038077742</v>
      </c>
      <c r="AC33" s="31" t="n">
        <v>7.01268623499598</v>
      </c>
      <c r="AD33" s="31" t="n">
        <v>5.273437137423711</v>
      </c>
      <c r="AE33" s="31" t="n">
        <v>23.72551505483724</v>
      </c>
      <c r="AF33" s="31" t="n">
        <v>0.763231148282188</v>
      </c>
      <c r="AG33" s="31" t="n">
        <v>5.897858707680158</v>
      </c>
      <c r="AH33" s="31" t="n">
        <v>11.40750236686407</v>
      </c>
      <c r="AI33" s="31" t="n">
        <v>9.168457505416377</v>
      </c>
      <c r="AJ33" s="31" t="n">
        <v>3.857048344635962</v>
      </c>
      <c r="AK33" s="31" t="n">
        <v>1.138349191015443</v>
      </c>
      <c r="AL33" s="31" t="n">
        <v>4.460696950591977</v>
      </c>
      <c r="AM33" s="31" t="n">
        <v>4.737468650521299</v>
      </c>
      <c r="AN33" s="31" t="n">
        <v>70.85658645811048</v>
      </c>
      <c r="AO33" s="31" t="n">
        <v>7.62537366469846</v>
      </c>
      <c r="AP33" s="31" t="n">
        <v>203.577950400615</v>
      </c>
      <c r="AQ33" s="31" t="n">
        <v>72.34248303842686</v>
      </c>
      <c r="AR33" s="31" t="n">
        <v>126.6001180175157</v>
      </c>
      <c r="AS33" s="31" t="n">
        <v>305.1877892387223</v>
      </c>
      <c r="AT33" s="31" t="n">
        <v>0.2275249996663746</v>
      </c>
      <c r="AU33" s="31" t="n">
        <v>0.1230599101127916</v>
      </c>
      <c r="AV33" s="31" t="n">
        <v>25.21612308756952</v>
      </c>
      <c r="AW33" s="31" t="n">
        <v>3.333092196178769</v>
      </c>
      <c r="AX33" s="31" t="n">
        <v>148.613668427423</v>
      </c>
      <c r="AY33" s="31" t="n">
        <v>0.5585604996285549</v>
      </c>
      <c r="AZ33" s="31" t="n">
        <v>1.481556903262232</v>
      </c>
      <c r="BA33" s="31" t="n">
        <v>5.284716242899172</v>
      </c>
      <c r="BB33" s="31" t="n">
        <v>1.204600512834373</v>
      </c>
      <c r="BC33" s="31" t="n">
        <v>7.113682422975721</v>
      </c>
      <c r="BD33" s="31" t="n">
        <v>1.540112839072055</v>
      </c>
      <c r="BE33" s="31" t="n">
        <v>4.361729889669054</v>
      </c>
      <c r="BF33" s="31" t="n">
        <v>37.39770247789556</v>
      </c>
      <c r="BG33" s="31" t="n">
        <v>10.25937795069498</v>
      </c>
      <c r="BH33" s="31" t="n">
        <v>1.275724333988764</v>
      </c>
      <c r="BI33" s="31" t="n">
        <v>16.66856761824542</v>
      </c>
      <c r="BJ33" s="31" t="n">
        <v>36.38689767244918</v>
      </c>
      <c r="BK33" s="31" t="n">
        <v>443.4943760366472</v>
      </c>
      <c r="BL33" s="31" t="n">
        <v>84.84936986705915</v>
      </c>
      <c r="BM33" s="31" t="n">
        <v>5.694575926435244</v>
      </c>
      <c r="BN33" s="31" t="n">
        <v>40.07816687700812</v>
      </c>
      <c r="BO33" s="31" t="n">
        <v>29.77732478739097</v>
      </c>
      <c r="BP33" s="31" t="n">
        <v>3.604929455276538</v>
      </c>
      <c r="BQ33" s="31" t="n">
        <v>59.65463420780904</v>
      </c>
      <c r="BR33" s="31" t="n">
        <v>0</v>
      </c>
      <c r="BS33" s="31">
        <f>SUM(C33:BR33)</f>
        <v/>
      </c>
      <c r="BT33" s="31" t="n">
        <v>0</v>
      </c>
      <c r="BU33" s="31" t="n">
        <v>0</v>
      </c>
      <c r="BV33" s="31" t="n">
        <v>12641.86782452213</v>
      </c>
      <c r="BW33" s="31" t="n">
        <v>0</v>
      </c>
      <c r="BX33" s="31">
        <f>SUM(BT33:BW33)</f>
        <v/>
      </c>
      <c r="BY33" s="31">
        <f>BS33+BX33</f>
        <v/>
      </c>
    </row>
    <row r="34">
      <c r="A34" s="28" t="inlineStr">
        <is>
          <t>2091</t>
        </is>
      </c>
      <c r="B34" s="28" t="inlineStr">
        <is>
          <t>Fabricação de químicos orgânicos e inorgânicos, resinas e elastômeros</t>
        </is>
      </c>
      <c r="C34" s="29" t="n">
        <v>30856.67323473241</v>
      </c>
      <c r="D34" s="29" t="n">
        <v>3567.391979124817</v>
      </c>
      <c r="E34" s="29" t="n">
        <v>417.9566146312354</v>
      </c>
      <c r="F34" s="29" t="n">
        <v>276.4875320915509</v>
      </c>
      <c r="G34" s="29" t="n">
        <v>2944.574379030306</v>
      </c>
      <c r="H34" s="29" t="n">
        <v>286.4610294694731</v>
      </c>
      <c r="I34" s="29" t="n">
        <v>135.8613381650545</v>
      </c>
      <c r="J34" s="29" t="n">
        <v>397.3414833127235</v>
      </c>
      <c r="K34" s="29" t="n">
        <v>326.2217007104492</v>
      </c>
      <c r="L34" s="29" t="n">
        <v>915.5871926509274</v>
      </c>
      <c r="M34" s="29" t="n">
        <v>136.3037557188138</v>
      </c>
      <c r="N34" s="29" t="n">
        <v>28.20898201825358</v>
      </c>
      <c r="O34" s="29" t="n">
        <v>5309.448879877464</v>
      </c>
      <c r="P34" s="29" t="n">
        <v>181.3063065659111</v>
      </c>
      <c r="Q34" s="29" t="n">
        <v>1919.970062202699</v>
      </c>
      <c r="R34" s="29" t="n">
        <v>524.5131015468669</v>
      </c>
      <c r="S34" s="29" t="n">
        <v>4463.016543735772</v>
      </c>
      <c r="T34" s="29" t="n">
        <v>91.74899041825621</v>
      </c>
      <c r="U34" s="29" t="n">
        <v>1284.461300008281</v>
      </c>
      <c r="V34" s="29" t="n">
        <v>399.4879159692709</v>
      </c>
      <c r="W34" s="29" t="n">
        <v>41560.13893866089</v>
      </c>
      <c r="X34" s="29" t="n">
        <v>15295.45280425938</v>
      </c>
      <c r="Y34" s="29" t="n">
        <v>4690.093048533774</v>
      </c>
      <c r="Z34" s="29" t="n">
        <v>1918.751801014308</v>
      </c>
      <c r="AA34" s="29" t="n">
        <v>18215.88194533987</v>
      </c>
      <c r="AB34" s="29" t="n">
        <v>3214.778495525477</v>
      </c>
      <c r="AC34" s="29" t="n">
        <v>1225.566884404481</v>
      </c>
      <c r="AD34" s="29" t="n">
        <v>1258.367730790428</v>
      </c>
      <c r="AE34" s="29" t="n">
        <v>1747.426649249953</v>
      </c>
      <c r="AF34" s="29" t="n">
        <v>205.9781544135143</v>
      </c>
      <c r="AG34" s="29" t="n">
        <v>3846.308860184241</v>
      </c>
      <c r="AH34" s="29" t="n">
        <v>382.3045177782848</v>
      </c>
      <c r="AI34" s="29" t="n">
        <v>211.8421519967621</v>
      </c>
      <c r="AJ34" s="29" t="n">
        <v>1859.411392529424</v>
      </c>
      <c r="AK34" s="29" t="n">
        <v>555.8354511020923</v>
      </c>
      <c r="AL34" s="29" t="n">
        <v>2073.594615382845</v>
      </c>
      <c r="AM34" s="29" t="n">
        <v>258.7952534372697</v>
      </c>
      <c r="AN34" s="29" t="n">
        <v>169.1985437890499</v>
      </c>
      <c r="AO34" s="29" t="n">
        <v>1041.485495131081</v>
      </c>
      <c r="AP34" s="29" t="n">
        <v>375.8413446862151</v>
      </c>
      <c r="AQ34" s="29" t="n">
        <v>69.76761441400042</v>
      </c>
      <c r="AR34" s="29" t="n">
        <v>924.9507526428058</v>
      </c>
      <c r="AS34" s="29" t="n">
        <v>75.39791283671454</v>
      </c>
      <c r="AT34" s="29" t="n">
        <v>2.973955863488798</v>
      </c>
      <c r="AU34" s="29" t="n">
        <v>2.261952784708708</v>
      </c>
      <c r="AV34" s="29" t="n">
        <v>28.40910816243174</v>
      </c>
      <c r="AW34" s="29" t="n">
        <v>15.11230163048437</v>
      </c>
      <c r="AX34" s="29" t="n">
        <v>79.15737399914453</v>
      </c>
      <c r="AY34" s="29" t="n">
        <v>5.987940068689243</v>
      </c>
      <c r="AZ34" s="29" t="n">
        <v>7.263438726022747</v>
      </c>
      <c r="BA34" s="29" t="n">
        <v>36.61003038679792</v>
      </c>
      <c r="BB34" s="29" t="n">
        <v>12.90025743623343</v>
      </c>
      <c r="BC34" s="29" t="n">
        <v>70.89696595728792</v>
      </c>
      <c r="BD34" s="29" t="n">
        <v>27.22895091779694</v>
      </c>
      <c r="BE34" s="29" t="n">
        <v>44.79565673068859</v>
      </c>
      <c r="BF34" s="29" t="n">
        <v>90.99208460131058</v>
      </c>
      <c r="BG34" s="29" t="n">
        <v>18.63551674221183</v>
      </c>
      <c r="BH34" s="29" t="n">
        <v>16.26573263051863</v>
      </c>
      <c r="BI34" s="29" t="n">
        <v>86.27888258074854</v>
      </c>
      <c r="BJ34" s="29" t="n">
        <v>2.554712169085037</v>
      </c>
      <c r="BK34" s="29" t="n">
        <v>65.91701272188075</v>
      </c>
      <c r="BL34" s="29" t="n">
        <v>94.52859945482751</v>
      </c>
      <c r="BM34" s="29" t="n">
        <v>36.56064129176512</v>
      </c>
      <c r="BN34" s="29" t="n">
        <v>359.0858495070274</v>
      </c>
      <c r="BO34" s="29" t="n">
        <v>848.3128202715313</v>
      </c>
      <c r="BP34" s="29" t="n">
        <v>36.79409246199175</v>
      </c>
      <c r="BQ34" s="29" t="n">
        <v>345.408871390768</v>
      </c>
      <c r="BR34" s="29" t="n">
        <v>0</v>
      </c>
      <c r="BS34" s="29">
        <f>SUM(C34:BR34)</f>
        <v/>
      </c>
      <c r="BT34" s="29" t="n">
        <v>0</v>
      </c>
      <c r="BU34" s="29" t="n">
        <v>0</v>
      </c>
      <c r="BV34" s="29" t="n">
        <v>12105.87336040207</v>
      </c>
      <c r="BW34" s="29" t="n">
        <v>0</v>
      </c>
      <c r="BX34" s="29">
        <f>SUM(BT34:BW34)</f>
        <v/>
      </c>
      <c r="BY34" s="29">
        <f>BS34+BX34</f>
        <v/>
      </c>
    </row>
    <row r="35">
      <c r="A35" s="30" t="inlineStr">
        <is>
          <t>2092</t>
        </is>
      </c>
      <c r="B35" s="30" t="inlineStr">
        <is>
          <t>Fabricação de defensivos, desinfestantes, tintas e químicos diversos</t>
        </is>
      </c>
      <c r="C35" s="31" t="n">
        <v>13984.08986994803</v>
      </c>
      <c r="D35" s="31" t="n">
        <v>1138.583055613597</v>
      </c>
      <c r="E35" s="31" t="n">
        <v>48.27984528395484</v>
      </c>
      <c r="F35" s="31" t="n">
        <v>2486.426459629344</v>
      </c>
      <c r="G35" s="31" t="n">
        <v>358.2167741782701</v>
      </c>
      <c r="H35" s="31" t="n">
        <v>283.3998574752425</v>
      </c>
      <c r="I35" s="31" t="n">
        <v>113.4558764274501</v>
      </c>
      <c r="J35" s="31" t="n">
        <v>802.9577804100912</v>
      </c>
      <c r="K35" s="31" t="n">
        <v>50.8568273033922</v>
      </c>
      <c r="L35" s="31" t="n">
        <v>2188.160744008043</v>
      </c>
      <c r="M35" s="31" t="n">
        <v>136.0083554505712</v>
      </c>
      <c r="N35" s="31" t="n">
        <v>10.08612317216848</v>
      </c>
      <c r="O35" s="31" t="n">
        <v>475.1957007432492</v>
      </c>
      <c r="P35" s="31" t="n">
        <v>63.69422913162569</v>
      </c>
      <c r="Q35" s="31" t="n">
        <v>304.8683068865809</v>
      </c>
      <c r="R35" s="31" t="n">
        <v>595.9378219209791</v>
      </c>
      <c r="S35" s="31" t="n">
        <v>1908.051359587267</v>
      </c>
      <c r="T35" s="31" t="n">
        <v>1367.07648895001</v>
      </c>
      <c r="U35" s="31" t="n">
        <v>411.2889460153618</v>
      </c>
      <c r="V35" s="31" t="n">
        <v>117.7377982162856</v>
      </c>
      <c r="W35" s="31" t="n">
        <v>2000.202329333746</v>
      </c>
      <c r="X35" s="31" t="n">
        <v>6849.760817865394</v>
      </c>
      <c r="Y35" s="31" t="n">
        <v>1535.793623866612</v>
      </c>
      <c r="Z35" s="31" t="n">
        <v>896.6843835154338</v>
      </c>
      <c r="AA35" s="31" t="n">
        <v>3524.130142940464</v>
      </c>
      <c r="AB35" s="31" t="n">
        <v>1339.9593195581</v>
      </c>
      <c r="AC35" s="31" t="n">
        <v>528.2866643685722</v>
      </c>
      <c r="AD35" s="31" t="n">
        <v>93.04507276549185</v>
      </c>
      <c r="AE35" s="31" t="n">
        <v>880.0308272202112</v>
      </c>
      <c r="AF35" s="31" t="n">
        <v>445.9893966005462</v>
      </c>
      <c r="AG35" s="31" t="n">
        <v>317.2653259781997</v>
      </c>
      <c r="AH35" s="31" t="n">
        <v>307.008921931044</v>
      </c>
      <c r="AI35" s="31" t="n">
        <v>1015.957086404449</v>
      </c>
      <c r="AJ35" s="31" t="n">
        <v>439.6199590672063</v>
      </c>
      <c r="AK35" s="31" t="n">
        <v>212.9282390731975</v>
      </c>
      <c r="AL35" s="31" t="n">
        <v>663.4962101938258</v>
      </c>
      <c r="AM35" s="31" t="n">
        <v>765.5751302930787</v>
      </c>
      <c r="AN35" s="31" t="n">
        <v>109.6688196628993</v>
      </c>
      <c r="AO35" s="31" t="n">
        <v>333.5217127392704</v>
      </c>
      <c r="AP35" s="31" t="n">
        <v>8265.533889679362</v>
      </c>
      <c r="AQ35" s="31" t="n">
        <v>1433.647199894699</v>
      </c>
      <c r="AR35" s="31" t="n">
        <v>1710.238908434555</v>
      </c>
      <c r="AS35" s="31" t="n">
        <v>356.7907060954703</v>
      </c>
      <c r="AT35" s="31" t="n">
        <v>4.340625210346029</v>
      </c>
      <c r="AU35" s="31" t="n">
        <v>15.68409603911363</v>
      </c>
      <c r="AV35" s="31" t="n">
        <v>51.16363015544002</v>
      </c>
      <c r="AW35" s="31" t="n">
        <v>21.17974443471631</v>
      </c>
      <c r="AX35" s="31" t="n">
        <v>34.14436692441181</v>
      </c>
      <c r="AY35" s="31" t="n">
        <v>297.8021625117314</v>
      </c>
      <c r="AZ35" s="31" t="n">
        <v>117.7129591006693</v>
      </c>
      <c r="BA35" s="31" t="n">
        <v>39.44061590560259</v>
      </c>
      <c r="BB35" s="31" t="n">
        <v>12.88449369793306</v>
      </c>
      <c r="BC35" s="31" t="n">
        <v>71.78926176601173</v>
      </c>
      <c r="BD35" s="31" t="n">
        <v>791.9721425200323</v>
      </c>
      <c r="BE35" s="31" t="n">
        <v>25.65387889495248</v>
      </c>
      <c r="BF35" s="31" t="n">
        <v>63.51924774550909</v>
      </c>
      <c r="BG35" s="31" t="n">
        <v>33.13498906765067</v>
      </c>
      <c r="BH35" s="31" t="n">
        <v>34.69261975366813</v>
      </c>
      <c r="BI35" s="31" t="n">
        <v>1188.542585405253</v>
      </c>
      <c r="BJ35" s="31" t="n">
        <v>3.288614313882519</v>
      </c>
      <c r="BK35" s="31" t="n">
        <v>280.4736763627804</v>
      </c>
      <c r="BL35" s="31" t="n">
        <v>372.3820592686311</v>
      </c>
      <c r="BM35" s="31" t="n">
        <v>24.09907932778393</v>
      </c>
      <c r="BN35" s="31" t="n">
        <v>795.4541846227012</v>
      </c>
      <c r="BO35" s="31" t="n">
        <v>67.57569819519674</v>
      </c>
      <c r="BP35" s="31" t="n">
        <v>36.47181641985624</v>
      </c>
      <c r="BQ35" s="31" t="n">
        <v>143.358577380695</v>
      </c>
      <c r="BR35" s="31" t="n">
        <v>0</v>
      </c>
      <c r="BS35" s="31">
        <f>SUM(C35:BR35)</f>
        <v/>
      </c>
      <c r="BT35" s="31" t="n">
        <v>0</v>
      </c>
      <c r="BU35" s="31" t="n">
        <v>0</v>
      </c>
      <c r="BV35" s="31" t="n">
        <v>6764.030306219704</v>
      </c>
      <c r="BW35" s="31" t="n">
        <v>0</v>
      </c>
      <c r="BX35" s="31">
        <f>SUM(BT35:BW35)</f>
        <v/>
      </c>
      <c r="BY35" s="31">
        <f>BS35+BX35</f>
        <v/>
      </c>
    </row>
    <row r="36">
      <c r="A36" s="28" t="inlineStr">
        <is>
          <t>2093</t>
        </is>
      </c>
      <c r="B36" s="28" t="inlineStr">
        <is>
          <t>Fabricação de produtos de limpeza, cosméticos/perfumaria e higiene pessoal</t>
        </is>
      </c>
      <c r="C36" s="29" t="n">
        <v>439.4442779785588</v>
      </c>
      <c r="D36" s="29" t="n">
        <v>73.97670940434028</v>
      </c>
      <c r="E36" s="29" t="n">
        <v>1.950336091238723</v>
      </c>
      <c r="F36" s="29" t="n">
        <v>18.6605914337539</v>
      </c>
      <c r="G36" s="29" t="n">
        <v>87.5107010381389</v>
      </c>
      <c r="H36" s="29" t="n">
        <v>79.53618065257668</v>
      </c>
      <c r="I36" s="29" t="n">
        <v>14.10057556335762</v>
      </c>
      <c r="J36" s="29" t="n">
        <v>78.9702439523526</v>
      </c>
      <c r="K36" s="29" t="n">
        <v>22.46221674551188</v>
      </c>
      <c r="L36" s="29" t="n">
        <v>193.0242461334973</v>
      </c>
      <c r="M36" s="29" t="n">
        <v>40.42993727928507</v>
      </c>
      <c r="N36" s="29" t="n">
        <v>0.6926940719278167</v>
      </c>
      <c r="O36" s="29" t="n">
        <v>63.67753767813725</v>
      </c>
      <c r="P36" s="29" t="n">
        <v>49.80252272573033</v>
      </c>
      <c r="Q36" s="29" t="n">
        <v>10.7107040319598</v>
      </c>
      <c r="R36" s="29" t="n">
        <v>23.30844966092497</v>
      </c>
      <c r="S36" s="29" t="n">
        <v>61.66059115886454</v>
      </c>
      <c r="T36" s="29" t="n">
        <v>5.088265328319143</v>
      </c>
      <c r="U36" s="29" t="n">
        <v>121.7151009657948</v>
      </c>
      <c r="V36" s="29" t="n">
        <v>8.051845350653629</v>
      </c>
      <c r="W36" s="29" t="n">
        <v>256.2399778567971</v>
      </c>
      <c r="X36" s="29" t="n">
        <v>340.4719874528564</v>
      </c>
      <c r="Y36" s="29" t="n">
        <v>1458.228391996345</v>
      </c>
      <c r="Z36" s="29" t="n">
        <v>50.33107618239089</v>
      </c>
      <c r="AA36" s="29" t="n">
        <v>75.76789092162798</v>
      </c>
      <c r="AB36" s="29" t="n">
        <v>78.70085310243537</v>
      </c>
      <c r="AC36" s="29" t="n">
        <v>38.51063579141206</v>
      </c>
      <c r="AD36" s="29" t="n">
        <v>50.07320971447148</v>
      </c>
      <c r="AE36" s="29" t="n">
        <v>554.6807472152568</v>
      </c>
      <c r="AF36" s="29" t="n">
        <v>67.47629482900135</v>
      </c>
      <c r="AG36" s="29" t="n">
        <v>29.08626044751223</v>
      </c>
      <c r="AH36" s="29" t="n">
        <v>82.48945003807668</v>
      </c>
      <c r="AI36" s="29" t="n">
        <v>60.34692037316935</v>
      </c>
      <c r="AJ36" s="29" t="n">
        <v>54.77405246454914</v>
      </c>
      <c r="AK36" s="29" t="n">
        <v>14.40968190732485</v>
      </c>
      <c r="AL36" s="29" t="n">
        <v>23.64852482397431</v>
      </c>
      <c r="AM36" s="29" t="n">
        <v>18.37591419962776</v>
      </c>
      <c r="AN36" s="29" t="n">
        <v>24.17389563763367</v>
      </c>
      <c r="AO36" s="29" t="n">
        <v>69.24682887914034</v>
      </c>
      <c r="AP36" s="29" t="n">
        <v>272.2117934603186</v>
      </c>
      <c r="AQ36" s="29" t="n">
        <v>265.9768212872356</v>
      </c>
      <c r="AR36" s="29" t="n">
        <v>2130.649431512438</v>
      </c>
      <c r="AS36" s="29" t="n">
        <v>354.0958105306181</v>
      </c>
      <c r="AT36" s="29" t="n">
        <v>11.69359920226566</v>
      </c>
      <c r="AU36" s="29" t="n">
        <v>0.9391816146977886</v>
      </c>
      <c r="AV36" s="29" t="n">
        <v>108.2166018083676</v>
      </c>
      <c r="AW36" s="29" t="n">
        <v>92.27578253393548</v>
      </c>
      <c r="AX36" s="29" t="n">
        <v>95.51027597412779</v>
      </c>
      <c r="AY36" s="29" t="n">
        <v>17.03326794477831</v>
      </c>
      <c r="AZ36" s="29" t="n">
        <v>52.07639911498482</v>
      </c>
      <c r="BA36" s="29" t="n">
        <v>177.9756595330959</v>
      </c>
      <c r="BB36" s="29" t="n">
        <v>10.5046036607958</v>
      </c>
      <c r="BC36" s="29" t="n">
        <v>29.95743458654857</v>
      </c>
      <c r="BD36" s="29" t="n">
        <v>2.979184540168046</v>
      </c>
      <c r="BE36" s="29" t="n">
        <v>267.7493922157495</v>
      </c>
      <c r="BF36" s="29" t="n">
        <v>154.3939472657471</v>
      </c>
      <c r="BG36" s="29" t="n">
        <v>277.7342531963072</v>
      </c>
      <c r="BH36" s="29" t="n">
        <v>124.2241547414884</v>
      </c>
      <c r="BI36" s="29" t="n">
        <v>1838.159404772182</v>
      </c>
      <c r="BJ36" s="29" t="n">
        <v>2.529962618177632</v>
      </c>
      <c r="BK36" s="29" t="n">
        <v>252.170752372787</v>
      </c>
      <c r="BL36" s="29" t="n">
        <v>225.5669030810621</v>
      </c>
      <c r="BM36" s="29" t="n">
        <v>147.2292613739172</v>
      </c>
      <c r="BN36" s="29" t="n">
        <v>92.79966924521214</v>
      </c>
      <c r="BO36" s="29" t="n">
        <v>700.993643864475</v>
      </c>
      <c r="BP36" s="29" t="n">
        <v>196.5322594024414</v>
      </c>
      <c r="BQ36" s="29" t="n">
        <v>1192.8545111184</v>
      </c>
      <c r="BR36" s="29" t="n">
        <v>0</v>
      </c>
      <c r="BS36" s="29">
        <f>SUM(C36:BR36)</f>
        <v/>
      </c>
      <c r="BT36" s="29" t="n">
        <v>0</v>
      </c>
      <c r="BU36" s="29" t="n">
        <v>0</v>
      </c>
      <c r="BV36" s="29" t="n">
        <v>21787.11184255567</v>
      </c>
      <c r="BW36" s="29" t="n">
        <v>0</v>
      </c>
      <c r="BX36" s="29">
        <f>SUM(BT36:BW36)</f>
        <v/>
      </c>
      <c r="BY36" s="29">
        <f>BS36+BX36</f>
        <v/>
      </c>
    </row>
    <row r="37">
      <c r="A37" s="30" t="inlineStr">
        <is>
          <t>2100</t>
        </is>
      </c>
      <c r="B37" s="30" t="inlineStr">
        <is>
          <t>Fabricação de produtos farmoquímicos e farmacêuticos</t>
        </is>
      </c>
      <c r="C37" s="31" t="n">
        <v>600.3605579237278</v>
      </c>
      <c r="D37" s="31" t="n">
        <v>3617.548200978514</v>
      </c>
      <c r="E37" s="31" t="n">
        <v>21.45340384722076</v>
      </c>
      <c r="F37" s="31" t="n">
        <v>0.7729877887563457</v>
      </c>
      <c r="G37" s="31" t="n">
        <v>232.611923318169</v>
      </c>
      <c r="H37" s="31" t="n">
        <v>3.736856253496366</v>
      </c>
      <c r="I37" s="31" t="n">
        <v>0.5394993943289444</v>
      </c>
      <c r="J37" s="31" t="n">
        <v>26.18696366555527</v>
      </c>
      <c r="K37" s="31" t="n">
        <v>1.738049050300059</v>
      </c>
      <c r="L37" s="31" t="n">
        <v>235.7704930302064</v>
      </c>
      <c r="M37" s="31" t="n">
        <v>4.961789748662714</v>
      </c>
      <c r="N37" s="31" t="n">
        <v>1.049657601114879</v>
      </c>
      <c r="O37" s="31" t="n">
        <v>16.70616016982358</v>
      </c>
      <c r="P37" s="31" t="n">
        <v>54.6759824389733</v>
      </c>
      <c r="Q37" s="31" t="n">
        <v>15.69968329409844</v>
      </c>
      <c r="R37" s="31" t="n">
        <v>1.0899006302405</v>
      </c>
      <c r="S37" s="31" t="n">
        <v>12.41900926288913</v>
      </c>
      <c r="T37" s="31" t="n">
        <v>2.081200783850731</v>
      </c>
      <c r="U37" s="31" t="n">
        <v>1.086015210966392</v>
      </c>
      <c r="V37" s="31" t="n">
        <v>1.845531890726753</v>
      </c>
      <c r="W37" s="31" t="n">
        <v>84.10876556776822</v>
      </c>
      <c r="X37" s="31" t="n">
        <v>320.5855333698512</v>
      </c>
      <c r="Y37" s="31" t="n">
        <v>34.22018513530212</v>
      </c>
      <c r="Z37" s="31" t="n">
        <v>4414.391963976212</v>
      </c>
      <c r="AA37" s="31" t="n">
        <v>23.0282198668889</v>
      </c>
      <c r="AB37" s="31" t="n">
        <v>7.524603563667439</v>
      </c>
      <c r="AC37" s="31" t="n">
        <v>4.54216493319505</v>
      </c>
      <c r="AD37" s="31" t="n">
        <v>3.433892274835761</v>
      </c>
      <c r="AE37" s="31" t="n">
        <v>10.86755692105556</v>
      </c>
      <c r="AF37" s="31" t="n">
        <v>4.370514564798953</v>
      </c>
      <c r="AG37" s="31" t="n">
        <v>5.689807765408583</v>
      </c>
      <c r="AH37" s="31" t="n">
        <v>11.56582112044757</v>
      </c>
      <c r="AI37" s="31" t="n">
        <v>16.4169302155704</v>
      </c>
      <c r="AJ37" s="31" t="n">
        <v>13.8850987614705</v>
      </c>
      <c r="AK37" s="31" t="n">
        <v>1.855057407853257</v>
      </c>
      <c r="AL37" s="31" t="n">
        <v>12.91629232274441</v>
      </c>
      <c r="AM37" s="31" t="n">
        <v>2.072073653425523</v>
      </c>
      <c r="AN37" s="31" t="n">
        <v>3.087508717287323</v>
      </c>
      <c r="AO37" s="31" t="n">
        <v>3.11299578251981</v>
      </c>
      <c r="AP37" s="31" t="n">
        <v>22.00243158008372</v>
      </c>
      <c r="AQ37" s="31" t="n">
        <v>10.15163654601708</v>
      </c>
      <c r="AR37" s="31" t="n">
        <v>333.6667633470579</v>
      </c>
      <c r="AS37" s="31" t="n">
        <v>9.791087019391892</v>
      </c>
      <c r="AT37" s="31" t="n">
        <v>1.058233035828148</v>
      </c>
      <c r="AU37" s="31" t="n">
        <v>0.8607870986972097</v>
      </c>
      <c r="AV37" s="31" t="n">
        <v>5.34425136431145</v>
      </c>
      <c r="AW37" s="31" t="n">
        <v>3.152732761508935</v>
      </c>
      <c r="AX37" s="31" t="n">
        <v>17.12744810252391</v>
      </c>
      <c r="AY37" s="31" t="n">
        <v>2.212516320381333</v>
      </c>
      <c r="AZ37" s="31" t="n">
        <v>2.295421566400371</v>
      </c>
      <c r="BA37" s="31" t="n">
        <v>10.81017858209795</v>
      </c>
      <c r="BB37" s="31" t="n">
        <v>3.418838240214944</v>
      </c>
      <c r="BC37" s="31" t="n">
        <v>13.34502643041487</v>
      </c>
      <c r="BD37" s="31" t="n">
        <v>3.496640463891287</v>
      </c>
      <c r="BE37" s="31" t="n">
        <v>11.22836568336295</v>
      </c>
      <c r="BF37" s="31" t="n">
        <v>43.30072632543578</v>
      </c>
      <c r="BG37" s="31" t="n">
        <v>45.69761434364075</v>
      </c>
      <c r="BH37" s="31" t="n">
        <v>7.57296681086541</v>
      </c>
      <c r="BI37" s="31" t="n">
        <v>35.38635955416083</v>
      </c>
      <c r="BJ37" s="31" t="n">
        <v>0.6443665765102928</v>
      </c>
      <c r="BK37" s="31" t="n">
        <v>679.0012688314634</v>
      </c>
      <c r="BL37" s="31" t="n">
        <v>572.5049744830259</v>
      </c>
      <c r="BM37" s="31" t="n">
        <v>169.5032573022507</v>
      </c>
      <c r="BN37" s="31" t="n">
        <v>4597.327912687029</v>
      </c>
      <c r="BO37" s="31" t="n">
        <v>8387.674280384281</v>
      </c>
      <c r="BP37" s="31" t="n">
        <v>15.17095290459542</v>
      </c>
      <c r="BQ37" s="31" t="n">
        <v>710.3396414576337</v>
      </c>
      <c r="BR37" s="31" t="n">
        <v>0</v>
      </c>
      <c r="BS37" s="31">
        <f>SUM(C37:BR37)</f>
        <v/>
      </c>
      <c r="BT37" s="31" t="n">
        <v>0</v>
      </c>
      <c r="BU37" s="31" t="n">
        <v>0</v>
      </c>
      <c r="BV37" s="31" t="n">
        <v>30663.6339751513</v>
      </c>
      <c r="BW37" s="31" t="n">
        <v>0</v>
      </c>
      <c r="BX37" s="31">
        <f>SUM(BT37:BW37)</f>
        <v/>
      </c>
      <c r="BY37" s="31">
        <f>BS37+BX37</f>
        <v/>
      </c>
    </row>
    <row r="38">
      <c r="A38" s="28" t="inlineStr">
        <is>
          <t>2200</t>
        </is>
      </c>
      <c r="B38" s="28" t="inlineStr">
        <is>
          <t>Fabricação de produtos de borracha e de material plástico</t>
        </is>
      </c>
      <c r="C38" s="29" t="n">
        <v>544.0591360158526</v>
      </c>
      <c r="D38" s="29" t="n">
        <v>172.2891810117713</v>
      </c>
      <c r="E38" s="29" t="n">
        <v>36.29814592330361</v>
      </c>
      <c r="F38" s="29" t="n">
        <v>208.7705796750953</v>
      </c>
      <c r="G38" s="29" t="n">
        <v>206.1005960377813</v>
      </c>
      <c r="H38" s="29" t="n">
        <v>585.6173293059013</v>
      </c>
      <c r="I38" s="29" t="n">
        <v>65.14031317441219</v>
      </c>
      <c r="J38" s="29" t="n">
        <v>2136.719555832691</v>
      </c>
      <c r="K38" s="29" t="n">
        <v>183.0089398215402</v>
      </c>
      <c r="L38" s="29" t="n">
        <v>5564.253043727388</v>
      </c>
      <c r="M38" s="29" t="n">
        <v>2709.365297819274</v>
      </c>
      <c r="N38" s="29" t="n">
        <v>7.847918993090376</v>
      </c>
      <c r="O38" s="29" t="n">
        <v>277.0234047771137</v>
      </c>
      <c r="P38" s="29" t="n">
        <v>189.0538507956858</v>
      </c>
      <c r="Q38" s="29" t="n">
        <v>842.8931687447096</v>
      </c>
      <c r="R38" s="29" t="n">
        <v>181.2271505916064</v>
      </c>
      <c r="S38" s="29" t="n">
        <v>703.821658556786</v>
      </c>
      <c r="T38" s="29" t="n">
        <v>1081.516263158067</v>
      </c>
      <c r="U38" s="29" t="n">
        <v>83.1784787503682</v>
      </c>
      <c r="V38" s="29" t="n">
        <v>27.66222296050928</v>
      </c>
      <c r="W38" s="29" t="n">
        <v>1271.315043349242</v>
      </c>
      <c r="X38" s="29" t="n">
        <v>671.63323588021</v>
      </c>
      <c r="Y38" s="29" t="n">
        <v>1458.968339135235</v>
      </c>
      <c r="Z38" s="29" t="n">
        <v>399.2366295141268</v>
      </c>
      <c r="AA38" s="29" t="n">
        <v>13725.94894742576</v>
      </c>
      <c r="AB38" s="29" t="n">
        <v>2001.802307112808</v>
      </c>
      <c r="AC38" s="29" t="n">
        <v>485.9342104394387</v>
      </c>
      <c r="AD38" s="29" t="n">
        <v>44.16404579288164</v>
      </c>
      <c r="AE38" s="29" t="n">
        <v>766.6909613037092</v>
      </c>
      <c r="AF38" s="29" t="n">
        <v>1207.854076382288</v>
      </c>
      <c r="AG38" s="29" t="n">
        <v>2191.133246960213</v>
      </c>
      <c r="AH38" s="29" t="n">
        <v>2564.849218973515</v>
      </c>
      <c r="AI38" s="29" t="n">
        <v>11824.69461504144</v>
      </c>
      <c r="AJ38" s="29" t="n">
        <v>4663.645685296393</v>
      </c>
      <c r="AK38" s="29" t="n">
        <v>1021.246795266874</v>
      </c>
      <c r="AL38" s="29" t="n">
        <v>2244.452459510046</v>
      </c>
      <c r="AM38" s="29" t="n">
        <v>1107.867776359644</v>
      </c>
      <c r="AN38" s="29" t="n">
        <v>152.4383386414528</v>
      </c>
      <c r="AO38" s="29" t="n">
        <v>326.1868676605877</v>
      </c>
      <c r="AP38" s="29" t="n">
        <v>11545.68998950389</v>
      </c>
      <c r="AQ38" s="29" t="n">
        <v>1566.679237995246</v>
      </c>
      <c r="AR38" s="29" t="n">
        <v>4510.568945040973</v>
      </c>
      <c r="AS38" s="29" t="n">
        <v>5780.354340747183</v>
      </c>
      <c r="AT38" s="29" t="n">
        <v>5.293495026271895</v>
      </c>
      <c r="AU38" s="29" t="n">
        <v>1013.187685029249</v>
      </c>
      <c r="AV38" s="29" t="n">
        <v>115.8583528649987</v>
      </c>
      <c r="AW38" s="29" t="n">
        <v>25.38221740979066</v>
      </c>
      <c r="AX38" s="29" t="n">
        <v>445.6884793906488</v>
      </c>
      <c r="AY38" s="29" t="n">
        <v>25.29072054214011</v>
      </c>
      <c r="AZ38" s="29" t="n">
        <v>8.418424758612245</v>
      </c>
      <c r="BA38" s="29" t="n">
        <v>30.55240941910602</v>
      </c>
      <c r="BB38" s="29" t="n">
        <v>19.65029965908201</v>
      </c>
      <c r="BC38" s="29" t="n">
        <v>112.5512424061505</v>
      </c>
      <c r="BD38" s="29" t="n">
        <v>71.61629858256245</v>
      </c>
      <c r="BE38" s="29" t="n">
        <v>417.1054833653311</v>
      </c>
      <c r="BF38" s="29" t="n">
        <v>47.82268433033052</v>
      </c>
      <c r="BG38" s="29" t="n">
        <v>28.79780271067003</v>
      </c>
      <c r="BH38" s="29" t="n">
        <v>349.361827526062</v>
      </c>
      <c r="BI38" s="29" t="n">
        <v>549.8842432094903</v>
      </c>
      <c r="BJ38" s="29" t="n">
        <v>3.746662154941637</v>
      </c>
      <c r="BK38" s="29" t="n">
        <v>220.3557471015291</v>
      </c>
      <c r="BL38" s="29" t="n">
        <v>244.7931918691145</v>
      </c>
      <c r="BM38" s="29" t="n">
        <v>29.22284333911368</v>
      </c>
      <c r="BN38" s="29" t="n">
        <v>526.6005392227402</v>
      </c>
      <c r="BO38" s="29" t="n">
        <v>601.7395814290689</v>
      </c>
      <c r="BP38" s="29" t="n">
        <v>30.47026599281605</v>
      </c>
      <c r="BQ38" s="29" t="n">
        <v>144.7299768297078</v>
      </c>
      <c r="BR38" s="29" t="n">
        <v>0</v>
      </c>
      <c r="BS38" s="29">
        <f>SUM(C38:BR38)</f>
        <v/>
      </c>
      <c r="BT38" s="29" t="n">
        <v>0</v>
      </c>
      <c r="BU38" s="29" t="n">
        <v>0</v>
      </c>
      <c r="BV38" s="29" t="n">
        <v>15638.8738153253</v>
      </c>
      <c r="BW38" s="29" t="n">
        <v>0</v>
      </c>
      <c r="BX38" s="29">
        <f>SUM(BT38:BW38)</f>
        <v/>
      </c>
      <c r="BY38" s="29">
        <f>BS38+BX38</f>
        <v/>
      </c>
    </row>
    <row r="39">
      <c r="A39" s="30" t="inlineStr">
        <is>
          <t>2300</t>
        </is>
      </c>
      <c r="B39" s="30" t="inlineStr">
        <is>
          <t>Fabricação de produtos de minerais não-metálicos</t>
        </is>
      </c>
      <c r="C39" s="31" t="n">
        <v>2909.525780767151</v>
      </c>
      <c r="D39" s="31" t="n">
        <v>2085.471262322358</v>
      </c>
      <c r="E39" s="31" t="n">
        <v>68.24065580154311</v>
      </c>
      <c r="F39" s="31" t="n">
        <v>126.6439993342924</v>
      </c>
      <c r="G39" s="31" t="n">
        <v>205.0866387528735</v>
      </c>
      <c r="H39" s="31" t="n">
        <v>12.72975639680536</v>
      </c>
      <c r="I39" s="31" t="n">
        <v>10.01283451734147</v>
      </c>
      <c r="J39" s="31" t="n">
        <v>32.71207639061255</v>
      </c>
      <c r="K39" s="31" t="n">
        <v>159.9426683675674</v>
      </c>
      <c r="L39" s="31" t="n">
        <v>1279.874886019717</v>
      </c>
      <c r="M39" s="31" t="n">
        <v>1597.926550675624</v>
      </c>
      <c r="N39" s="31" t="n">
        <v>2.044135788774681</v>
      </c>
      <c r="O39" s="31" t="n">
        <v>24.50374374690615</v>
      </c>
      <c r="P39" s="31" t="n">
        <v>35.58832627265538</v>
      </c>
      <c r="Q39" s="31" t="n">
        <v>16.49026290968625</v>
      </c>
      <c r="R39" s="31" t="n">
        <v>9.989658704119062</v>
      </c>
      <c r="S39" s="31" t="n">
        <v>214.3099933525193</v>
      </c>
      <c r="T39" s="31" t="n">
        <v>20.70675277119275</v>
      </c>
      <c r="U39" s="31" t="n">
        <v>130.5190513598623</v>
      </c>
      <c r="V39" s="31" t="n">
        <v>10.64323811073827</v>
      </c>
      <c r="W39" s="31" t="n">
        <v>741.2100994454729</v>
      </c>
      <c r="X39" s="31" t="n">
        <v>279.3293432193341</v>
      </c>
      <c r="Y39" s="31" t="n">
        <v>324.9835369976599</v>
      </c>
      <c r="Z39" s="31" t="n">
        <v>86.73554025258653</v>
      </c>
      <c r="AA39" s="31" t="n">
        <v>544.0124587205129</v>
      </c>
      <c r="AB39" s="31" t="n">
        <v>9589.746026911673</v>
      </c>
      <c r="AC39" s="31" t="n">
        <v>359.2126687339908</v>
      </c>
      <c r="AD39" s="31" t="n">
        <v>27.64079369723721</v>
      </c>
      <c r="AE39" s="31" t="n">
        <v>182.6562064669279</v>
      </c>
      <c r="AF39" s="31" t="n">
        <v>15.24934610034756</v>
      </c>
      <c r="AG39" s="31" t="n">
        <v>353.498487301178</v>
      </c>
      <c r="AH39" s="31" t="n">
        <v>400.9803616381929</v>
      </c>
      <c r="AI39" s="31" t="n">
        <v>2640.468915599671</v>
      </c>
      <c r="AJ39" s="31" t="n">
        <v>161.8971742775552</v>
      </c>
      <c r="AK39" s="31" t="n">
        <v>154.6557787411864</v>
      </c>
      <c r="AL39" s="31" t="n">
        <v>493.6666960657493</v>
      </c>
      <c r="AM39" s="31" t="n">
        <v>206.2752003044761</v>
      </c>
      <c r="AN39" s="31" t="n">
        <v>1297.147990940711</v>
      </c>
      <c r="AO39" s="31" t="n">
        <v>802.3622218127637</v>
      </c>
      <c r="AP39" s="31" t="n">
        <v>60089.12456540038</v>
      </c>
      <c r="AQ39" s="31" t="n">
        <v>244.1276482780412</v>
      </c>
      <c r="AR39" s="31" t="n">
        <v>192.1283884786745</v>
      </c>
      <c r="AS39" s="31" t="n">
        <v>32.15983901343335</v>
      </c>
      <c r="AT39" s="31" t="n">
        <v>1.106463651789373</v>
      </c>
      <c r="AU39" s="31" t="n">
        <v>0.6063553910598973</v>
      </c>
      <c r="AV39" s="31" t="n">
        <v>17.72799098883969</v>
      </c>
      <c r="AW39" s="31" t="n">
        <v>191.5236533575165</v>
      </c>
      <c r="AX39" s="31" t="n">
        <v>583.5356571547485</v>
      </c>
      <c r="AY39" s="31" t="n">
        <v>7.48327367938389</v>
      </c>
      <c r="AZ39" s="31" t="n">
        <v>3.935131199989901</v>
      </c>
      <c r="BA39" s="31" t="n">
        <v>16.76623747557711</v>
      </c>
      <c r="BB39" s="31" t="n">
        <v>6.192740204744707</v>
      </c>
      <c r="BC39" s="31" t="n">
        <v>34.83640093040636</v>
      </c>
      <c r="BD39" s="31" t="n">
        <v>1762.869142075664</v>
      </c>
      <c r="BE39" s="31" t="n">
        <v>21.41996317830803</v>
      </c>
      <c r="BF39" s="31" t="n">
        <v>12.47478178141671</v>
      </c>
      <c r="BG39" s="31" t="n">
        <v>5.879404668344507</v>
      </c>
      <c r="BH39" s="31" t="n">
        <v>7.244906704088088</v>
      </c>
      <c r="BI39" s="31" t="n">
        <v>94.96590343306916</v>
      </c>
      <c r="BJ39" s="31" t="n">
        <v>1.265926505365283</v>
      </c>
      <c r="BK39" s="31" t="n">
        <v>448.3127066940999</v>
      </c>
      <c r="BL39" s="31" t="n">
        <v>180.1699929900321</v>
      </c>
      <c r="BM39" s="31" t="n">
        <v>16.00996692716456</v>
      </c>
      <c r="BN39" s="31" t="n">
        <v>160.6699217546399</v>
      </c>
      <c r="BO39" s="31" t="n">
        <v>123.2148436428757</v>
      </c>
      <c r="BP39" s="31" t="n">
        <v>16.04521683021027</v>
      </c>
      <c r="BQ39" s="31" t="n">
        <v>189.9294879530265</v>
      </c>
      <c r="BR39" s="31" t="n">
        <v>0</v>
      </c>
      <c r="BS39" s="31">
        <f>SUM(C39:BR39)</f>
        <v/>
      </c>
      <c r="BT39" s="31" t="n">
        <v>0</v>
      </c>
      <c r="BU39" s="31" t="n">
        <v>0</v>
      </c>
      <c r="BV39" s="31" t="n">
        <v>7158.794730910531</v>
      </c>
      <c r="BW39" s="31" t="n">
        <v>0</v>
      </c>
      <c r="BX39" s="31">
        <f>SUM(BT39:BW39)</f>
        <v/>
      </c>
      <c r="BY39" s="31">
        <f>BS39+BX39</f>
        <v/>
      </c>
    </row>
    <row r="40">
      <c r="A40" s="28" t="inlineStr">
        <is>
          <t>2491</t>
        </is>
      </c>
      <c r="B40" s="28" t="inlineStr">
        <is>
          <t>Produção de ferro-gusa/ferroligas, siderurgia e tubos de aço sem costura</t>
        </is>
      </c>
      <c r="C40" s="29" t="n">
        <v>172.6767648197508</v>
      </c>
      <c r="D40" s="29" t="n">
        <v>283.9325314897325</v>
      </c>
      <c r="E40" s="29" t="n">
        <v>14.51147104918287</v>
      </c>
      <c r="F40" s="29" t="n">
        <v>116.9399890300715</v>
      </c>
      <c r="G40" s="29" t="n">
        <v>2404.422583424018</v>
      </c>
      <c r="H40" s="29" t="n">
        <v>30.63522909448218</v>
      </c>
      <c r="I40" s="29" t="n">
        <v>94.00076838597046</v>
      </c>
      <c r="J40" s="29" t="n">
        <v>267.1967669747681</v>
      </c>
      <c r="K40" s="29" t="n">
        <v>6.893400962182216</v>
      </c>
      <c r="L40" s="29" t="n">
        <v>179.1745658598887</v>
      </c>
      <c r="M40" s="29" t="n">
        <v>109.0714787727213</v>
      </c>
      <c r="N40" s="29" t="n">
        <v>0.846932008567911</v>
      </c>
      <c r="O40" s="29" t="n">
        <v>8.24953742030859</v>
      </c>
      <c r="P40" s="29" t="n">
        <v>5.586668638118654</v>
      </c>
      <c r="Q40" s="29" t="n">
        <v>9.710592477894341</v>
      </c>
      <c r="R40" s="29" t="n">
        <v>9.799872791546816</v>
      </c>
      <c r="S40" s="29" t="n">
        <v>152.7308304408174</v>
      </c>
      <c r="T40" s="29" t="n">
        <v>22.65807349460096</v>
      </c>
      <c r="U40" s="29" t="n">
        <v>147.8746821743866</v>
      </c>
      <c r="V40" s="29" t="n">
        <v>3.082923817625699</v>
      </c>
      <c r="W40" s="29" t="n">
        <v>95.51949997183058</v>
      </c>
      <c r="X40" s="29" t="n">
        <v>53.30781308707464</v>
      </c>
      <c r="Y40" s="29" t="n">
        <v>49.34178680430551</v>
      </c>
      <c r="Z40" s="29" t="n">
        <v>17.11681547404297</v>
      </c>
      <c r="AA40" s="29" t="n">
        <v>1084.130900465189</v>
      </c>
      <c r="AB40" s="29" t="n">
        <v>838.5754558445044</v>
      </c>
      <c r="AC40" s="29" t="n">
        <v>13518.9827170566</v>
      </c>
      <c r="AD40" s="29" t="n">
        <v>1337.419490920994</v>
      </c>
      <c r="AE40" s="29" t="n">
        <v>19468.2393713068</v>
      </c>
      <c r="AF40" s="29" t="n">
        <v>95.66326692950801</v>
      </c>
      <c r="AG40" s="29" t="n">
        <v>3375.456538280109</v>
      </c>
      <c r="AH40" s="29" t="n">
        <v>9811.194055517659</v>
      </c>
      <c r="AI40" s="29" t="n">
        <v>8620.620698602637</v>
      </c>
      <c r="AJ40" s="29" t="n">
        <v>9599.002006171631</v>
      </c>
      <c r="AK40" s="29" t="n">
        <v>1166.478320085115</v>
      </c>
      <c r="AL40" s="29" t="n">
        <v>1329.715004105326</v>
      </c>
      <c r="AM40" s="29" t="n">
        <v>871.5044140419483</v>
      </c>
      <c r="AN40" s="29" t="n">
        <v>210.6422111863844</v>
      </c>
      <c r="AO40" s="29" t="n">
        <v>110.1783963595497</v>
      </c>
      <c r="AP40" s="29" t="n">
        <v>19867.55952346819</v>
      </c>
      <c r="AQ40" s="29" t="n">
        <v>59.9153809456941</v>
      </c>
      <c r="AR40" s="29" t="n">
        <v>1258.212695975129</v>
      </c>
      <c r="AS40" s="29" t="n">
        <v>55.45360489453161</v>
      </c>
      <c r="AT40" s="29" t="n">
        <v>1.608142320006123</v>
      </c>
      <c r="AU40" s="29" t="n">
        <v>1.48324969869711</v>
      </c>
      <c r="AV40" s="29" t="n">
        <v>25.28271493091373</v>
      </c>
      <c r="AW40" s="29" t="n">
        <v>10.70419847129161</v>
      </c>
      <c r="AX40" s="29" t="n">
        <v>73.21555204479836</v>
      </c>
      <c r="AY40" s="29" t="n">
        <v>3.048123078204628</v>
      </c>
      <c r="AZ40" s="29" t="n">
        <v>4.397449680955539</v>
      </c>
      <c r="BA40" s="29" t="n">
        <v>25.65266169368562</v>
      </c>
      <c r="BB40" s="29" t="n">
        <v>22.97887229378068</v>
      </c>
      <c r="BC40" s="29" t="n">
        <v>56.39447829632505</v>
      </c>
      <c r="BD40" s="29" t="n">
        <v>20.83756696487982</v>
      </c>
      <c r="BE40" s="29" t="n">
        <v>37.82330925617307</v>
      </c>
      <c r="BF40" s="29" t="n">
        <v>50.92098178319966</v>
      </c>
      <c r="BG40" s="29" t="n">
        <v>6.962975904072583</v>
      </c>
      <c r="BH40" s="29" t="n">
        <v>217.4809110059594</v>
      </c>
      <c r="BI40" s="29" t="n">
        <v>41.75652851319037</v>
      </c>
      <c r="BJ40" s="29" t="n">
        <v>3.419023114130268</v>
      </c>
      <c r="BK40" s="29" t="n">
        <v>184.4524856276797</v>
      </c>
      <c r="BL40" s="29" t="n">
        <v>47.57751029932498</v>
      </c>
      <c r="BM40" s="29" t="n">
        <v>27.55618493815476</v>
      </c>
      <c r="BN40" s="29" t="n">
        <v>16.95050791457424</v>
      </c>
      <c r="BO40" s="29" t="n">
        <v>19.7951534070206</v>
      </c>
      <c r="BP40" s="29" t="n">
        <v>26.30559943204853</v>
      </c>
      <c r="BQ40" s="29" t="n">
        <v>24.5880094899107</v>
      </c>
      <c r="BR40" s="29" t="n">
        <v>0</v>
      </c>
      <c r="BS40" s="29">
        <f>SUM(C40:BR40)</f>
        <v/>
      </c>
      <c r="BT40" s="29" t="n">
        <v>0</v>
      </c>
      <c r="BU40" s="29" t="n">
        <v>0</v>
      </c>
      <c r="BV40" s="29" t="n">
        <v>20036.6854876797</v>
      </c>
      <c r="BW40" s="29" t="n">
        <v>0</v>
      </c>
      <c r="BX40" s="29">
        <f>SUM(BT40:BW40)</f>
        <v/>
      </c>
      <c r="BY40" s="29">
        <f>BS40+BX40</f>
        <v/>
      </c>
    </row>
    <row r="41">
      <c r="A41" s="30" t="inlineStr">
        <is>
          <t>2492</t>
        </is>
      </c>
      <c r="B41" s="30" t="inlineStr">
        <is>
          <t>Metalurgia de metais não-ferrosos e a fundição de metais</t>
        </is>
      </c>
      <c r="C41" s="31" t="n">
        <v>110.8562012149442</v>
      </c>
      <c r="D41" s="31" t="n">
        <v>35.22001043798635</v>
      </c>
      <c r="E41" s="31" t="n">
        <v>2.512185402250751</v>
      </c>
      <c r="F41" s="31" t="n">
        <v>7.329899162923547</v>
      </c>
      <c r="G41" s="31" t="n">
        <v>49.42414662600338</v>
      </c>
      <c r="H41" s="31" t="n">
        <v>21.65900169102353</v>
      </c>
      <c r="I41" s="31" t="n">
        <v>79.75273236318131</v>
      </c>
      <c r="J41" s="31" t="n">
        <v>287.9621377991792</v>
      </c>
      <c r="K41" s="31" t="n">
        <v>5.793127993645344</v>
      </c>
      <c r="L41" s="31" t="n">
        <v>414.0391730469963</v>
      </c>
      <c r="M41" s="31" t="n">
        <v>20.76691683607167</v>
      </c>
      <c r="N41" s="31" t="n">
        <v>0.5477909931055793</v>
      </c>
      <c r="O41" s="31" t="n">
        <v>9.330636322725208</v>
      </c>
      <c r="P41" s="31" t="n">
        <v>3.513390417762694</v>
      </c>
      <c r="Q41" s="31" t="n">
        <v>6.528198605583099</v>
      </c>
      <c r="R41" s="31" t="n">
        <v>3.055912351468789</v>
      </c>
      <c r="S41" s="31" t="n">
        <v>261.5859628925013</v>
      </c>
      <c r="T41" s="31" t="n">
        <v>297.9710992084338</v>
      </c>
      <c r="U41" s="31" t="n">
        <v>3.134080862389184</v>
      </c>
      <c r="V41" s="31" t="n">
        <v>1.693321780614046</v>
      </c>
      <c r="W41" s="31" t="n">
        <v>535.0409144294529</v>
      </c>
      <c r="X41" s="31" t="n">
        <v>298.3509340237051</v>
      </c>
      <c r="Y41" s="31" t="n">
        <v>30.95908849089987</v>
      </c>
      <c r="Z41" s="31" t="n">
        <v>16.02556232861443</v>
      </c>
      <c r="AA41" s="31" t="n">
        <v>93.70997029036646</v>
      </c>
      <c r="AB41" s="31" t="n">
        <v>131.2724619254586</v>
      </c>
      <c r="AC41" s="31" t="n">
        <v>1531.109677005387</v>
      </c>
      <c r="AD41" s="31" t="n">
        <v>8584.866416544599</v>
      </c>
      <c r="AE41" s="31" t="n">
        <v>2131.679092890853</v>
      </c>
      <c r="AF41" s="31" t="n">
        <v>204.3089842323949</v>
      </c>
      <c r="AG41" s="31" t="n">
        <v>9294.761775791398</v>
      </c>
      <c r="AH41" s="31" t="n">
        <v>2533.981057735251</v>
      </c>
      <c r="AI41" s="31" t="n">
        <v>894.7196310637837</v>
      </c>
      <c r="AJ41" s="31" t="n">
        <v>6464.390295146254</v>
      </c>
      <c r="AK41" s="31" t="n">
        <v>917.4750793694177</v>
      </c>
      <c r="AL41" s="31" t="n">
        <v>2267.976814562284</v>
      </c>
      <c r="AM41" s="31" t="n">
        <v>1596.679509509222</v>
      </c>
      <c r="AN41" s="31" t="n">
        <v>30.46675681714495</v>
      </c>
      <c r="AO41" s="31" t="n">
        <v>166.1662588560767</v>
      </c>
      <c r="AP41" s="31" t="n">
        <v>4640.325122763525</v>
      </c>
      <c r="AQ41" s="31" t="n">
        <v>530.1731944368896</v>
      </c>
      <c r="AR41" s="31" t="n">
        <v>319.5235411934382</v>
      </c>
      <c r="AS41" s="31" t="n">
        <v>34.78008294769489</v>
      </c>
      <c r="AT41" s="31" t="n">
        <v>1.825920187130804</v>
      </c>
      <c r="AU41" s="31" t="n">
        <v>1.186674701240156</v>
      </c>
      <c r="AV41" s="31" t="n">
        <v>21.76944418364185</v>
      </c>
      <c r="AW41" s="31" t="n">
        <v>10.38539469323007</v>
      </c>
      <c r="AX41" s="31" t="n">
        <v>49.8700887868724</v>
      </c>
      <c r="AY41" s="31" t="n">
        <v>3.479335091247219</v>
      </c>
      <c r="AZ41" s="31" t="n">
        <v>4.945472598025176</v>
      </c>
      <c r="BA41" s="31" t="n">
        <v>29.34379402630014</v>
      </c>
      <c r="BB41" s="31" t="n">
        <v>11.83348736536745</v>
      </c>
      <c r="BC41" s="31" t="n">
        <v>65.4636890667834</v>
      </c>
      <c r="BD41" s="31" t="n">
        <v>60.81675830013985</v>
      </c>
      <c r="BE41" s="31" t="n">
        <v>36.24332202037424</v>
      </c>
      <c r="BF41" s="31" t="n">
        <v>15.56814022596848</v>
      </c>
      <c r="BG41" s="31" t="n">
        <v>8.203846013728539</v>
      </c>
      <c r="BH41" s="31" t="n">
        <v>9.923893669160851</v>
      </c>
      <c r="BI41" s="31" t="n">
        <v>35.68480916860247</v>
      </c>
      <c r="BJ41" s="31" t="n">
        <v>2.708702753747323</v>
      </c>
      <c r="BK41" s="31" t="n">
        <v>43.44731413863592</v>
      </c>
      <c r="BL41" s="31" t="n">
        <v>10.24640604395618</v>
      </c>
      <c r="BM41" s="31" t="n">
        <v>32.29034171782094</v>
      </c>
      <c r="BN41" s="31" t="n">
        <v>11.19533963509407</v>
      </c>
      <c r="BO41" s="31" t="n">
        <v>31.85426991755206</v>
      </c>
      <c r="BP41" s="31" t="n">
        <v>30.8534995895276</v>
      </c>
      <c r="BQ41" s="31" t="n">
        <v>32.4609802315262</v>
      </c>
      <c r="BR41" s="31" t="n">
        <v>0</v>
      </c>
      <c r="BS41" s="31">
        <f>SUM(C41:BR41)</f>
        <v/>
      </c>
      <c r="BT41" s="31" t="n">
        <v>0</v>
      </c>
      <c r="BU41" s="31" t="n">
        <v>0</v>
      </c>
      <c r="BV41" s="31" t="n">
        <v>10288.6998432446</v>
      </c>
      <c r="BW41" s="31" t="n">
        <v>0</v>
      </c>
      <c r="BX41" s="31">
        <f>SUM(BT41:BW41)</f>
        <v/>
      </c>
      <c r="BY41" s="31">
        <f>BS41+BX41</f>
        <v/>
      </c>
    </row>
    <row r="42">
      <c r="A42" s="28" t="inlineStr">
        <is>
          <t>2500</t>
        </is>
      </c>
      <c r="B42" s="28" t="inlineStr">
        <is>
          <t>Fabricação de produtos de metal, exceto máquinas e equipamentos</t>
        </is>
      </c>
      <c r="C42" s="29" t="n">
        <v>350.6062926419057</v>
      </c>
      <c r="D42" s="29" t="n">
        <v>531.3555357281609</v>
      </c>
      <c r="E42" s="29" t="n">
        <v>45.29863124788271</v>
      </c>
      <c r="F42" s="29" t="n">
        <v>69.30939997322395</v>
      </c>
      <c r="G42" s="29" t="n">
        <v>1268.437320322612</v>
      </c>
      <c r="H42" s="29" t="n">
        <v>719.9670641579227</v>
      </c>
      <c r="I42" s="29" t="n">
        <v>181.3672390493425</v>
      </c>
      <c r="J42" s="29" t="n">
        <v>1782.039869015601</v>
      </c>
      <c r="K42" s="29" t="n">
        <v>101.6000259770661</v>
      </c>
      <c r="L42" s="29" t="n">
        <v>1672.082469020119</v>
      </c>
      <c r="M42" s="29" t="n">
        <v>3139.382136550589</v>
      </c>
      <c r="N42" s="29" t="n">
        <v>26.02684272537764</v>
      </c>
      <c r="O42" s="29" t="n">
        <v>86.70100206027823</v>
      </c>
      <c r="P42" s="29" t="n">
        <v>89.38295475211649</v>
      </c>
      <c r="Q42" s="29" t="n">
        <v>74.38264595913637</v>
      </c>
      <c r="R42" s="29" t="n">
        <v>343.8805638598572</v>
      </c>
      <c r="S42" s="29" t="n">
        <v>124.627196032919</v>
      </c>
      <c r="T42" s="29" t="n">
        <v>42.23412044745556</v>
      </c>
      <c r="U42" s="29" t="n">
        <v>260.7079684224785</v>
      </c>
      <c r="V42" s="29" t="n">
        <v>45.28582571110684</v>
      </c>
      <c r="W42" s="29" t="n">
        <v>420.5848504228913</v>
      </c>
      <c r="X42" s="29" t="n">
        <v>775.0071953148861</v>
      </c>
      <c r="Y42" s="29" t="n">
        <v>755.1819837977257</v>
      </c>
      <c r="Z42" s="29" t="n">
        <v>136.4578747794883</v>
      </c>
      <c r="AA42" s="29" t="n">
        <v>229.5519687453568</v>
      </c>
      <c r="AB42" s="29" t="n">
        <v>223.0080299121972</v>
      </c>
      <c r="AC42" s="29" t="n">
        <v>2228.822899857972</v>
      </c>
      <c r="AD42" s="29" t="n">
        <v>222.2045425219663</v>
      </c>
      <c r="AE42" s="29" t="n">
        <v>8084.541842696034</v>
      </c>
      <c r="AF42" s="29" t="n">
        <v>944.953288896774</v>
      </c>
      <c r="AG42" s="29" t="n">
        <v>2408.755109824218</v>
      </c>
      <c r="AH42" s="29" t="n">
        <v>6328.352858819047</v>
      </c>
      <c r="AI42" s="29" t="n">
        <v>5287.41804524995</v>
      </c>
      <c r="AJ42" s="29" t="n">
        <v>3023.49411497951</v>
      </c>
      <c r="AK42" s="29" t="n">
        <v>2229.055353294495</v>
      </c>
      <c r="AL42" s="29" t="n">
        <v>1296.870890410524</v>
      </c>
      <c r="AM42" s="29" t="n">
        <v>2741.854101615314</v>
      </c>
      <c r="AN42" s="29" t="n">
        <v>1877.707745582473</v>
      </c>
      <c r="AO42" s="29" t="n">
        <v>742.7665799420184</v>
      </c>
      <c r="AP42" s="29" t="n">
        <v>25039.85910207453</v>
      </c>
      <c r="AQ42" s="29" t="n">
        <v>375.9610741753459</v>
      </c>
      <c r="AR42" s="29" t="n">
        <v>1342.734907415339</v>
      </c>
      <c r="AS42" s="29" t="n">
        <v>176.2131867788187</v>
      </c>
      <c r="AT42" s="29" t="n">
        <v>7.849418235313257</v>
      </c>
      <c r="AU42" s="29" t="n">
        <v>5.948315691700776</v>
      </c>
      <c r="AV42" s="29" t="n">
        <v>39.13860398832736</v>
      </c>
      <c r="AW42" s="29" t="n">
        <v>135.0502012036945</v>
      </c>
      <c r="AX42" s="29" t="n">
        <v>1618.504025208849</v>
      </c>
      <c r="AY42" s="29" t="n">
        <v>7.651925378302654</v>
      </c>
      <c r="AZ42" s="29" t="n">
        <v>16.46336433124869</v>
      </c>
      <c r="BA42" s="29" t="n">
        <v>60.82369112257338</v>
      </c>
      <c r="BB42" s="29" t="n">
        <v>17.33747405372191</v>
      </c>
      <c r="BC42" s="29" t="n">
        <v>66.01746634905136</v>
      </c>
      <c r="BD42" s="29" t="n">
        <v>294.0258344231447</v>
      </c>
      <c r="BE42" s="29" t="n">
        <v>44.99241716565056</v>
      </c>
      <c r="BF42" s="29" t="n">
        <v>59.01826364681564</v>
      </c>
      <c r="BG42" s="29" t="n">
        <v>14.67828389361603</v>
      </c>
      <c r="BH42" s="29" t="n">
        <v>21.52052987248601</v>
      </c>
      <c r="BI42" s="29" t="n">
        <v>249.8385926875155</v>
      </c>
      <c r="BJ42" s="29" t="n">
        <v>84.30174301226134</v>
      </c>
      <c r="BK42" s="29" t="n">
        <v>1119.706761404977</v>
      </c>
      <c r="BL42" s="29" t="n">
        <v>104.5505192711128</v>
      </c>
      <c r="BM42" s="29" t="n">
        <v>31.52247887220529</v>
      </c>
      <c r="BN42" s="29" t="n">
        <v>112.2003821633336</v>
      </c>
      <c r="BO42" s="29" t="n">
        <v>108.3234404582737</v>
      </c>
      <c r="BP42" s="29" t="n">
        <v>33.66176922511966</v>
      </c>
      <c r="BQ42" s="29" t="n">
        <v>130.88203080574</v>
      </c>
      <c r="BR42" s="29" t="n">
        <v>0</v>
      </c>
      <c r="BS42" s="29">
        <f>SUM(C42:BR42)</f>
        <v/>
      </c>
      <c r="BT42" s="29" t="n">
        <v>0</v>
      </c>
      <c r="BU42" s="29" t="n">
        <v>0</v>
      </c>
      <c r="BV42" s="29" t="n">
        <v>23002.52530028457</v>
      </c>
      <c r="BW42" s="29" t="n">
        <v>0</v>
      </c>
      <c r="BX42" s="29">
        <f>SUM(BT42:BW42)</f>
        <v/>
      </c>
      <c r="BY42" s="29">
        <f>BS42+BX42</f>
        <v/>
      </c>
    </row>
    <row r="43">
      <c r="A43" s="30" t="inlineStr">
        <is>
          <t>2600</t>
        </is>
      </c>
      <c r="B43" s="30" t="inlineStr">
        <is>
          <t>Fabricação de equipamentos de informática, produtos eletrônicos e ópticos</t>
        </is>
      </c>
      <c r="C43" s="31" t="n">
        <v>3.231024179087159</v>
      </c>
      <c r="D43" s="31" t="n">
        <v>3.663231049216904</v>
      </c>
      <c r="E43" s="31" t="n">
        <v>1.105442398008679</v>
      </c>
      <c r="F43" s="31" t="n">
        <v>12.68428694721852</v>
      </c>
      <c r="G43" s="31" t="n">
        <v>382.0329895321248</v>
      </c>
      <c r="H43" s="31" t="n">
        <v>41.50862263647699</v>
      </c>
      <c r="I43" s="31" t="n">
        <v>8.251703804819076</v>
      </c>
      <c r="J43" s="31" t="n">
        <v>35.75709079626242</v>
      </c>
      <c r="K43" s="31" t="n">
        <v>3.648672657321884</v>
      </c>
      <c r="L43" s="31" t="n">
        <v>18.2978928940048</v>
      </c>
      <c r="M43" s="31" t="n">
        <v>11.3237734669051</v>
      </c>
      <c r="N43" s="31" t="n">
        <v>0.5805363528238556</v>
      </c>
      <c r="O43" s="31" t="n">
        <v>3.391979965097328</v>
      </c>
      <c r="P43" s="31" t="n">
        <v>7.310288325309164</v>
      </c>
      <c r="Q43" s="31" t="n">
        <v>3.128678738427145</v>
      </c>
      <c r="R43" s="31" t="n">
        <v>4.731958403336059</v>
      </c>
      <c r="S43" s="31" t="n">
        <v>12.60703074718816</v>
      </c>
      <c r="T43" s="31" t="n">
        <v>566.631130327989</v>
      </c>
      <c r="U43" s="31" t="n">
        <v>3.489217839576016</v>
      </c>
      <c r="V43" s="31" t="n">
        <v>2.283963103079614</v>
      </c>
      <c r="W43" s="31" t="n">
        <v>11.89149046590128</v>
      </c>
      <c r="X43" s="31" t="n">
        <v>14.070481671063</v>
      </c>
      <c r="Y43" s="31" t="n">
        <v>6.7830965379523</v>
      </c>
      <c r="Z43" s="31" t="n">
        <v>8.898930701779239</v>
      </c>
      <c r="AA43" s="31" t="n">
        <v>17.4281339991204</v>
      </c>
      <c r="AB43" s="31" t="n">
        <v>16.10401652378145</v>
      </c>
      <c r="AC43" s="31" t="n">
        <v>36.37209976757092</v>
      </c>
      <c r="AD43" s="31" t="n">
        <v>14.63532089857048</v>
      </c>
      <c r="AE43" s="31" t="n">
        <v>21.29037064670029</v>
      </c>
      <c r="AF43" s="31" t="n">
        <v>33243.22416443348</v>
      </c>
      <c r="AG43" s="31" t="n">
        <v>831.166166579422</v>
      </c>
      <c r="AH43" s="31" t="n">
        <v>1122.064094338027</v>
      </c>
      <c r="AI43" s="31" t="n">
        <v>641.0222240238662</v>
      </c>
      <c r="AJ43" s="31" t="n">
        <v>397.0549114651834</v>
      </c>
      <c r="AK43" s="31" t="n">
        <v>108.8116996011705</v>
      </c>
      <c r="AL43" s="31" t="n">
        <v>132.4352358082324</v>
      </c>
      <c r="AM43" s="31" t="n">
        <v>966.6508511105071</v>
      </c>
      <c r="AN43" s="31" t="n">
        <v>282.2106859144654</v>
      </c>
      <c r="AO43" s="31" t="n">
        <v>29.58112262680688</v>
      </c>
      <c r="AP43" s="31" t="n">
        <v>1108.258591456728</v>
      </c>
      <c r="AQ43" s="31" t="n">
        <v>35.32552950997144</v>
      </c>
      <c r="AR43" s="31" t="n">
        <v>394.3925770233362</v>
      </c>
      <c r="AS43" s="31" t="n">
        <v>52.68114217773153</v>
      </c>
      <c r="AT43" s="31" t="n">
        <v>6.127328363980237</v>
      </c>
      <c r="AU43" s="31" t="n">
        <v>15.59524734234826</v>
      </c>
      <c r="AV43" s="31" t="n">
        <v>300.9025244373552</v>
      </c>
      <c r="AW43" s="31" t="n">
        <v>3.595000803055553</v>
      </c>
      <c r="AX43" s="31" t="n">
        <v>8.954833512294289</v>
      </c>
      <c r="AY43" s="31" t="n">
        <v>14.31983942929864</v>
      </c>
      <c r="AZ43" s="31" t="n">
        <v>516.4763727562656</v>
      </c>
      <c r="BA43" s="31" t="n">
        <v>506.1100042187879</v>
      </c>
      <c r="BB43" s="31" t="n">
        <v>2690.307001659972</v>
      </c>
      <c r="BC43" s="31" t="n">
        <v>718.7000882528787</v>
      </c>
      <c r="BD43" s="31" t="n">
        <v>14.37347932492353</v>
      </c>
      <c r="BE43" s="31" t="n">
        <v>486.9843825351425</v>
      </c>
      <c r="BF43" s="31" t="n">
        <v>2013.152136597789</v>
      </c>
      <c r="BG43" s="31" t="n">
        <v>170.0985603163369</v>
      </c>
      <c r="BH43" s="31" t="n">
        <v>62.4193088261852</v>
      </c>
      <c r="BI43" s="31" t="n">
        <v>1929.985157567444</v>
      </c>
      <c r="BJ43" s="31" t="n">
        <v>204.5670701692518</v>
      </c>
      <c r="BK43" s="31" t="n">
        <v>665.0415339016714</v>
      </c>
      <c r="BL43" s="31" t="n">
        <v>1334.907986221193</v>
      </c>
      <c r="BM43" s="31" t="n">
        <v>158.9664264643718</v>
      </c>
      <c r="BN43" s="31" t="n">
        <v>496.3684658535507</v>
      </c>
      <c r="BO43" s="31" t="n">
        <v>329.2157440754297</v>
      </c>
      <c r="BP43" s="31" t="n">
        <v>125.2707557166273</v>
      </c>
      <c r="BQ43" s="31" t="n">
        <v>1230.03195311789</v>
      </c>
      <c r="BR43" s="31" t="n">
        <v>0</v>
      </c>
      <c r="BS43" s="31">
        <f>SUM(C43:BR43)</f>
        <v/>
      </c>
      <c r="BT43" s="31" t="n">
        <v>0</v>
      </c>
      <c r="BU43" s="31" t="n">
        <v>0</v>
      </c>
      <c r="BV43" s="31" t="n">
        <v>48619.44948412656</v>
      </c>
      <c r="BW43" s="31" t="n">
        <v>0</v>
      </c>
      <c r="BX43" s="31">
        <f>SUM(BT43:BW43)</f>
        <v/>
      </c>
      <c r="BY43" s="31">
        <f>BS43+BX43</f>
        <v/>
      </c>
    </row>
    <row r="44">
      <c r="A44" s="28" t="inlineStr">
        <is>
          <t>2700</t>
        </is>
      </c>
      <c r="B44" s="28" t="inlineStr">
        <is>
          <t>Fabricação de máquinas e equipamentos elétricos</t>
        </is>
      </c>
      <c r="C44" s="29" t="n">
        <v>59.26931997317639</v>
      </c>
      <c r="D44" s="29" t="n">
        <v>125.5639743159957</v>
      </c>
      <c r="E44" s="29" t="n">
        <v>7.32500646137562</v>
      </c>
      <c r="F44" s="29" t="n">
        <v>38.40698112728462</v>
      </c>
      <c r="G44" s="29" t="n">
        <v>290.2761790110794</v>
      </c>
      <c r="H44" s="29" t="n">
        <v>116.7826346541589</v>
      </c>
      <c r="I44" s="29" t="n">
        <v>30.14874018825484</v>
      </c>
      <c r="J44" s="29" t="n">
        <v>86.02712530775698</v>
      </c>
      <c r="K44" s="29" t="n">
        <v>35.291398001053</v>
      </c>
      <c r="L44" s="29" t="n">
        <v>115.6182105955074</v>
      </c>
      <c r="M44" s="29" t="n">
        <v>75.17508300493998</v>
      </c>
      <c r="N44" s="29" t="n">
        <v>3.874433189341534</v>
      </c>
      <c r="O44" s="29" t="n">
        <v>61.74102669707568</v>
      </c>
      <c r="P44" s="29" t="n">
        <v>22.80959147907256</v>
      </c>
      <c r="Q44" s="29" t="n">
        <v>16.46685691593635</v>
      </c>
      <c r="R44" s="29" t="n">
        <v>31.25176195573954</v>
      </c>
      <c r="S44" s="29" t="n">
        <v>76.89826915017824</v>
      </c>
      <c r="T44" s="29" t="n">
        <v>34.71396746381748</v>
      </c>
      <c r="U44" s="29" t="n">
        <v>10.70716840230796</v>
      </c>
      <c r="V44" s="29" t="n">
        <v>8.386091040162491</v>
      </c>
      <c r="W44" s="29" t="n">
        <v>133.9138152884123</v>
      </c>
      <c r="X44" s="29" t="n">
        <v>37.8222745270055</v>
      </c>
      <c r="Y44" s="29" t="n">
        <v>29.13631715041231</v>
      </c>
      <c r="Z44" s="29" t="n">
        <v>18.18191623802939</v>
      </c>
      <c r="AA44" s="29" t="n">
        <v>137.8867190634848</v>
      </c>
      <c r="AB44" s="29" t="n">
        <v>173.7073206916492</v>
      </c>
      <c r="AC44" s="29" t="n">
        <v>103.6666988862876</v>
      </c>
      <c r="AD44" s="29" t="n">
        <v>134.5704636210519</v>
      </c>
      <c r="AE44" s="29" t="n">
        <v>187.3978219052618</v>
      </c>
      <c r="AF44" s="29" t="n">
        <v>2928.211204377957</v>
      </c>
      <c r="AG44" s="29" t="n">
        <v>10306.65188814906</v>
      </c>
      <c r="AH44" s="29" t="n">
        <v>4175.220335688663</v>
      </c>
      <c r="AI44" s="29" t="n">
        <v>1702.78991024294</v>
      </c>
      <c r="AJ44" s="29" t="n">
        <v>1586.250686431405</v>
      </c>
      <c r="AK44" s="29" t="n">
        <v>435.8029440332981</v>
      </c>
      <c r="AL44" s="29" t="n">
        <v>323.9306774208211</v>
      </c>
      <c r="AM44" s="29" t="n">
        <v>2627.702315766284</v>
      </c>
      <c r="AN44" s="29" t="n">
        <v>5631.659413152076</v>
      </c>
      <c r="AO44" s="29" t="n">
        <v>257.3666160043023</v>
      </c>
      <c r="AP44" s="29" t="n">
        <v>13603.85422027377</v>
      </c>
      <c r="AQ44" s="29" t="n">
        <v>555.9318544621195</v>
      </c>
      <c r="AR44" s="29" t="n">
        <v>1041.357193868574</v>
      </c>
      <c r="AS44" s="29" t="n">
        <v>1356.20803606749</v>
      </c>
      <c r="AT44" s="29" t="n">
        <v>30.59768043062626</v>
      </c>
      <c r="AU44" s="29" t="n">
        <v>3.271468850919676</v>
      </c>
      <c r="AV44" s="29" t="n">
        <v>109.618244866217</v>
      </c>
      <c r="AW44" s="29" t="n">
        <v>43.86089316658096</v>
      </c>
      <c r="AX44" s="29" t="n">
        <v>64.75281785125986</v>
      </c>
      <c r="AY44" s="29" t="n">
        <v>13.60223731083281</v>
      </c>
      <c r="AZ44" s="29" t="n">
        <v>82.29086412174635</v>
      </c>
      <c r="BA44" s="29" t="n">
        <v>1181.21330376586</v>
      </c>
      <c r="BB44" s="29" t="n">
        <v>52.00301517994036</v>
      </c>
      <c r="BC44" s="29" t="n">
        <v>92.88828323073523</v>
      </c>
      <c r="BD44" s="29" t="n">
        <v>452.5462350239278</v>
      </c>
      <c r="BE44" s="29" t="n">
        <v>622.8757916358836</v>
      </c>
      <c r="BF44" s="29" t="n">
        <v>122.8722812367021</v>
      </c>
      <c r="BG44" s="29" t="n">
        <v>48.0333254910055</v>
      </c>
      <c r="BH44" s="29" t="n">
        <v>48.27833279989045</v>
      </c>
      <c r="BI44" s="29" t="n">
        <v>702.3446618315267</v>
      </c>
      <c r="BJ44" s="29" t="n">
        <v>7.561006952177459</v>
      </c>
      <c r="BK44" s="29" t="n">
        <v>171.0491494241016</v>
      </c>
      <c r="BL44" s="29" t="n">
        <v>102.176439891787</v>
      </c>
      <c r="BM44" s="29" t="n">
        <v>15.38667512684418</v>
      </c>
      <c r="BN44" s="29" t="n">
        <v>50.6415169639896</v>
      </c>
      <c r="BO44" s="29" t="n">
        <v>107.4906081482833</v>
      </c>
      <c r="BP44" s="29" t="n">
        <v>89.32814018414487</v>
      </c>
      <c r="BQ44" s="29" t="n">
        <v>1091.717358194534</v>
      </c>
      <c r="BR44" s="29" t="n">
        <v>0</v>
      </c>
      <c r="BS44" s="29">
        <f>SUM(C44:BR44)</f>
        <v/>
      </c>
      <c r="BT44" s="29" t="n">
        <v>0</v>
      </c>
      <c r="BU44" s="29" t="n">
        <v>0</v>
      </c>
      <c r="BV44" s="29" t="n">
        <v>31663.60230366202</v>
      </c>
      <c r="BW44" s="29" t="n">
        <v>0</v>
      </c>
      <c r="BX44" s="29">
        <f>SUM(BT44:BW44)</f>
        <v/>
      </c>
      <c r="BY44" s="29">
        <f>BS44+BX44</f>
        <v/>
      </c>
    </row>
    <row r="45">
      <c r="A45" s="30" t="inlineStr">
        <is>
          <t>2800</t>
        </is>
      </c>
      <c r="B45" s="30" t="inlineStr">
        <is>
          <t>Fabricação de máquinas e equipamentos mecânicos</t>
        </is>
      </c>
      <c r="C45" s="31" t="n">
        <v>29.75084312361277</v>
      </c>
      <c r="D45" s="31" t="n">
        <v>49.4981545762594</v>
      </c>
      <c r="E45" s="31" t="n">
        <v>13.97943585818829</v>
      </c>
      <c r="F45" s="31" t="n">
        <v>207.9800934207614</v>
      </c>
      <c r="G45" s="31" t="n">
        <v>4407.080754854493</v>
      </c>
      <c r="H45" s="31" t="n">
        <v>3730.434537466675</v>
      </c>
      <c r="I45" s="31" t="n">
        <v>733.1619780152678</v>
      </c>
      <c r="J45" s="31" t="n">
        <v>85.61275545781839</v>
      </c>
      <c r="K45" s="31" t="n">
        <v>11.94875900323032</v>
      </c>
      <c r="L45" s="31" t="n">
        <v>101.1154190322921</v>
      </c>
      <c r="M45" s="31" t="n">
        <v>111.1704148158438</v>
      </c>
      <c r="N45" s="31" t="n">
        <v>2.056175744916468</v>
      </c>
      <c r="O45" s="31" t="n">
        <v>15.01643253564465</v>
      </c>
      <c r="P45" s="31" t="n">
        <v>23.81085622441623</v>
      </c>
      <c r="Q45" s="31" t="n">
        <v>13.25692850626083</v>
      </c>
      <c r="R45" s="31" t="n">
        <v>85.65258598864598</v>
      </c>
      <c r="S45" s="31" t="n">
        <v>37.86423464759125</v>
      </c>
      <c r="T45" s="31" t="n">
        <v>32.8602379817182</v>
      </c>
      <c r="U45" s="31" t="n">
        <v>21.86842905715918</v>
      </c>
      <c r="V45" s="31" t="n">
        <v>6.394345020286275</v>
      </c>
      <c r="W45" s="31" t="n">
        <v>41.93729603148316</v>
      </c>
      <c r="X45" s="31" t="n">
        <v>39.53064723651367</v>
      </c>
      <c r="Y45" s="31" t="n">
        <v>35.45959712913807</v>
      </c>
      <c r="Z45" s="31" t="n">
        <v>17.47440067820926</v>
      </c>
      <c r="AA45" s="31" t="n">
        <v>198.973055305311</v>
      </c>
      <c r="AB45" s="31" t="n">
        <v>56.99552695750285</v>
      </c>
      <c r="AC45" s="31" t="n">
        <v>166.8339513338732</v>
      </c>
      <c r="AD45" s="31" t="n">
        <v>67.72908654624082</v>
      </c>
      <c r="AE45" s="31" t="n">
        <v>351.8698871142834</v>
      </c>
      <c r="AF45" s="31" t="n">
        <v>358.4423459265163</v>
      </c>
      <c r="AG45" s="31" t="n">
        <v>967.1933282156803</v>
      </c>
      <c r="AH45" s="31" t="n">
        <v>23744.69611852848</v>
      </c>
      <c r="AI45" s="31" t="n">
        <v>3035.74048789067</v>
      </c>
      <c r="AJ45" s="31" t="n">
        <v>436.7254020841409</v>
      </c>
      <c r="AK45" s="31" t="n">
        <v>870.4459556368422</v>
      </c>
      <c r="AL45" s="31" t="n">
        <v>88.63348138765647</v>
      </c>
      <c r="AM45" s="31" t="n">
        <v>9894.708229368327</v>
      </c>
      <c r="AN45" s="31" t="n">
        <v>191.5129107406333</v>
      </c>
      <c r="AO45" s="31" t="n">
        <v>124.9240966119828</v>
      </c>
      <c r="AP45" s="31" t="n">
        <v>5924.638710623241</v>
      </c>
      <c r="AQ45" s="31" t="n">
        <v>601.5828553428761</v>
      </c>
      <c r="AR45" s="31" t="n">
        <v>678.5373597083278</v>
      </c>
      <c r="AS45" s="31" t="n">
        <v>266.2779730237355</v>
      </c>
      <c r="AT45" s="31" t="n">
        <v>185.4226070044895</v>
      </c>
      <c r="AU45" s="31" t="n">
        <v>6.849834775023734</v>
      </c>
      <c r="AV45" s="31" t="n">
        <v>249.1873658492764</v>
      </c>
      <c r="AW45" s="31" t="n">
        <v>14.3098939984723</v>
      </c>
      <c r="AX45" s="31" t="n">
        <v>54.38953876195115</v>
      </c>
      <c r="AY45" s="31" t="n">
        <v>10.2031609591938</v>
      </c>
      <c r="AZ45" s="31" t="n">
        <v>9.603597042155917</v>
      </c>
      <c r="BA45" s="31" t="n">
        <v>113.6683317074903</v>
      </c>
      <c r="BB45" s="31" t="n">
        <v>34.8122719471986</v>
      </c>
      <c r="BC45" s="31" t="n">
        <v>22.67823704574285</v>
      </c>
      <c r="BD45" s="31" t="n">
        <v>20.57619751355955</v>
      </c>
      <c r="BE45" s="31" t="n">
        <v>29.74211239328906</v>
      </c>
      <c r="BF45" s="31" t="n">
        <v>77.42130251329834</v>
      </c>
      <c r="BG45" s="31" t="n">
        <v>7.075465965850584</v>
      </c>
      <c r="BH45" s="31" t="n">
        <v>14.88243580797234</v>
      </c>
      <c r="BI45" s="31" t="n">
        <v>1180.342720068943</v>
      </c>
      <c r="BJ45" s="31" t="n">
        <v>5.117242576462667</v>
      </c>
      <c r="BK45" s="31" t="n">
        <v>151.6072917163104</v>
      </c>
      <c r="BL45" s="31" t="n">
        <v>42.22868410608888</v>
      </c>
      <c r="BM45" s="31" t="n">
        <v>5.504659175521525</v>
      </c>
      <c r="BN45" s="31" t="n">
        <v>152.5919184968946</v>
      </c>
      <c r="BO45" s="31" t="n">
        <v>23.86172563161603</v>
      </c>
      <c r="BP45" s="31" t="n">
        <v>13.39370752258162</v>
      </c>
      <c r="BQ45" s="31" t="n">
        <v>48.55665934617825</v>
      </c>
      <c r="BR45" s="31" t="n">
        <v>0</v>
      </c>
      <c r="BS45" s="31">
        <f>SUM(C45:BR45)</f>
        <v/>
      </c>
      <c r="BT45" s="31" t="n">
        <v>0</v>
      </c>
      <c r="BU45" s="31" t="n">
        <v>0</v>
      </c>
      <c r="BV45" s="31" t="n">
        <v>72847.93732712934</v>
      </c>
      <c r="BW45" s="31" t="n">
        <v>0</v>
      </c>
      <c r="BX45" s="31">
        <f>SUM(BT45:BW45)</f>
        <v/>
      </c>
      <c r="BY45" s="31">
        <f>BS45+BX45</f>
        <v/>
      </c>
    </row>
    <row r="46">
      <c r="A46" s="28" t="inlineStr">
        <is>
          <t>2991</t>
        </is>
      </c>
      <c r="B46" s="28" t="inlineStr">
        <is>
          <t>Fabricação de automóveis, caminhões e ônibus, exceto peças</t>
        </is>
      </c>
      <c r="C46" s="29" t="n">
        <v>2.400423292840979</v>
      </c>
      <c r="D46" s="29" t="n">
        <v>2.901979729825042</v>
      </c>
      <c r="E46" s="29" t="n">
        <v>0.3280988669009471</v>
      </c>
      <c r="F46" s="29" t="n">
        <v>1.455023935342616</v>
      </c>
      <c r="G46" s="29" t="n">
        <v>11.68350210547341</v>
      </c>
      <c r="H46" s="29" t="n">
        <v>15.98125214011469</v>
      </c>
      <c r="I46" s="29" t="n">
        <v>1.958481670550125</v>
      </c>
      <c r="J46" s="29" t="n">
        <v>5.466536055515974</v>
      </c>
      <c r="K46" s="29" t="n">
        <v>57.46805598678942</v>
      </c>
      <c r="L46" s="29" t="n">
        <v>4.665287712014135</v>
      </c>
      <c r="M46" s="29" t="n">
        <v>6.355828633028927</v>
      </c>
      <c r="N46" s="29" t="n">
        <v>0.9246049730751208</v>
      </c>
      <c r="O46" s="29" t="n">
        <v>5.816107684259375</v>
      </c>
      <c r="P46" s="29" t="n">
        <v>14.62025103135186</v>
      </c>
      <c r="Q46" s="29" t="n">
        <v>4.594019646549613</v>
      </c>
      <c r="R46" s="29" t="n">
        <v>1.320104193443119</v>
      </c>
      <c r="S46" s="29" t="n">
        <v>2.6523125208021</v>
      </c>
      <c r="T46" s="29" t="n">
        <v>0.351313612000974</v>
      </c>
      <c r="U46" s="29" t="n">
        <v>0.4194505093217381</v>
      </c>
      <c r="V46" s="29" t="n">
        <v>0.2485652049640991</v>
      </c>
      <c r="W46" s="29" t="n">
        <v>6.350623870834418</v>
      </c>
      <c r="X46" s="29" t="n">
        <v>22.94883748580832</v>
      </c>
      <c r="Y46" s="29" t="n">
        <v>3.354427452913134</v>
      </c>
      <c r="Z46" s="29" t="n">
        <v>8.434553538125479</v>
      </c>
      <c r="AA46" s="29" t="n">
        <v>4.472752392111379</v>
      </c>
      <c r="AB46" s="29" t="n">
        <v>5.684695875313863</v>
      </c>
      <c r="AC46" s="29" t="n">
        <v>4.441195289990034</v>
      </c>
      <c r="AD46" s="29" t="n">
        <v>5.46193983373547</v>
      </c>
      <c r="AE46" s="29" t="n">
        <v>8.544308261341921</v>
      </c>
      <c r="AF46" s="29" t="n">
        <v>50.79375270607842</v>
      </c>
      <c r="AG46" s="29" t="n">
        <v>182.6637951309579</v>
      </c>
      <c r="AH46" s="29" t="n">
        <v>189.5022661243015</v>
      </c>
      <c r="AI46" s="29" t="n">
        <v>9346.012911567736</v>
      </c>
      <c r="AJ46" s="29" t="n">
        <v>215.8231553030303</v>
      </c>
      <c r="AK46" s="29" t="n">
        <v>12.26240243047399</v>
      </c>
      <c r="AL46" s="29" t="n">
        <v>8.69873391646389</v>
      </c>
      <c r="AM46" s="29" t="n">
        <v>87.69225007220837</v>
      </c>
      <c r="AN46" s="29" t="n">
        <v>111.4386870084026</v>
      </c>
      <c r="AO46" s="29" t="n">
        <v>9.007162096645917</v>
      </c>
      <c r="AP46" s="29" t="n">
        <v>285.2089496098495</v>
      </c>
      <c r="AQ46" s="29" t="n">
        <v>539.7813943513877</v>
      </c>
      <c r="AR46" s="29" t="n">
        <v>45.084279724872</v>
      </c>
      <c r="AS46" s="29" t="n">
        <v>674.4213358058053</v>
      </c>
      <c r="AT46" s="29" t="n">
        <v>1.06263776885071</v>
      </c>
      <c r="AU46" s="29" t="n">
        <v>0.1145908206233696</v>
      </c>
      <c r="AV46" s="29" t="n">
        <v>4.626466354844943</v>
      </c>
      <c r="AW46" s="29" t="n">
        <v>1.23174434936408</v>
      </c>
      <c r="AX46" s="29" t="n">
        <v>3.826437677256737</v>
      </c>
      <c r="AY46" s="29" t="n">
        <v>0.5152465000235436</v>
      </c>
      <c r="AZ46" s="29" t="n">
        <v>1.89227309975234</v>
      </c>
      <c r="BA46" s="29" t="n">
        <v>26.86004295399518</v>
      </c>
      <c r="BB46" s="29" t="n">
        <v>2.744253540242048</v>
      </c>
      <c r="BC46" s="29" t="n">
        <v>4.421168951043801</v>
      </c>
      <c r="BD46" s="29" t="n">
        <v>9.178823597270625</v>
      </c>
      <c r="BE46" s="29" t="n">
        <v>12.62369789491518</v>
      </c>
      <c r="BF46" s="29" t="n">
        <v>75.29438051377798</v>
      </c>
      <c r="BG46" s="29" t="n">
        <v>1.099732259598531</v>
      </c>
      <c r="BH46" s="29" t="n">
        <v>7.406421492164241</v>
      </c>
      <c r="BI46" s="29" t="n">
        <v>17.70597855382677</v>
      </c>
      <c r="BJ46" s="29" t="n">
        <v>0.9774713995653954</v>
      </c>
      <c r="BK46" s="29" t="n">
        <v>45.21723342560371</v>
      </c>
      <c r="BL46" s="29" t="n">
        <v>6.53337590180765</v>
      </c>
      <c r="BM46" s="29" t="n">
        <v>1.190153317708925</v>
      </c>
      <c r="BN46" s="29" t="n">
        <v>6.029362004619084</v>
      </c>
      <c r="BO46" s="29" t="n">
        <v>3.500026930496657</v>
      </c>
      <c r="BP46" s="29" t="n">
        <v>2.707144013405123</v>
      </c>
      <c r="BQ46" s="29" t="n">
        <v>14.49315810101645</v>
      </c>
      <c r="BR46" s="29" t="n">
        <v>0</v>
      </c>
      <c r="BS46" s="29">
        <f>SUM(C46:BR46)</f>
        <v/>
      </c>
      <c r="BT46" s="29" t="n">
        <v>0</v>
      </c>
      <c r="BU46" s="29" t="n">
        <v>0</v>
      </c>
      <c r="BV46" s="29" t="n">
        <v>156090.0906637542</v>
      </c>
      <c r="BW46" s="29" t="n">
        <v>0</v>
      </c>
      <c r="BX46" s="29">
        <f>SUM(BT46:BW46)</f>
        <v/>
      </c>
      <c r="BY46" s="29">
        <f>BS46+BX46</f>
        <v/>
      </c>
    </row>
    <row r="47">
      <c r="A47" s="30" t="inlineStr">
        <is>
          <t>2992</t>
        </is>
      </c>
      <c r="B47" s="30" t="inlineStr">
        <is>
          <t>Fabricação de peças e acessórios para veículos automotores</t>
        </is>
      </c>
      <c r="C47" s="31" t="n">
        <v>23.83921260780949</v>
      </c>
      <c r="D47" s="31" t="n">
        <v>24.62273846620506</v>
      </c>
      <c r="E47" s="31" t="n">
        <v>1.957888415100094</v>
      </c>
      <c r="F47" s="31" t="n">
        <v>15.8553182197695</v>
      </c>
      <c r="G47" s="31" t="n">
        <v>105.6567403241805</v>
      </c>
      <c r="H47" s="31" t="n">
        <v>86.59839982122806</v>
      </c>
      <c r="I47" s="31" t="n">
        <v>15.78864703305398</v>
      </c>
      <c r="J47" s="31" t="n">
        <v>49.93900578295266</v>
      </c>
      <c r="K47" s="31" t="n">
        <v>4.914805219145359</v>
      </c>
      <c r="L47" s="31" t="n">
        <v>66.74197283372503</v>
      </c>
      <c r="M47" s="31" t="n">
        <v>81.06966433618587</v>
      </c>
      <c r="N47" s="31" t="n">
        <v>0.9891257570332684</v>
      </c>
      <c r="O47" s="31" t="n">
        <v>8.063020639318534</v>
      </c>
      <c r="P47" s="31" t="n">
        <v>4.967377239573667</v>
      </c>
      <c r="Q47" s="31" t="n">
        <v>6.032392876800829</v>
      </c>
      <c r="R47" s="31" t="n">
        <v>10.23834600640766</v>
      </c>
      <c r="S47" s="31" t="n">
        <v>8.79589847507663</v>
      </c>
      <c r="T47" s="31" t="n">
        <v>14.98143179067072</v>
      </c>
      <c r="U47" s="31" t="n">
        <v>6.787289163387549</v>
      </c>
      <c r="V47" s="31" t="n">
        <v>3.085035840738564</v>
      </c>
      <c r="W47" s="31" t="n">
        <v>49.49917636339305</v>
      </c>
      <c r="X47" s="31" t="n">
        <v>28.53303665447231</v>
      </c>
      <c r="Y47" s="31" t="n">
        <v>24.50547947031762</v>
      </c>
      <c r="Z47" s="31" t="n">
        <v>10.51864388699385</v>
      </c>
      <c r="AA47" s="31" t="n">
        <v>59.18830360116529</v>
      </c>
      <c r="AB47" s="31" t="n">
        <v>81.76828825153351</v>
      </c>
      <c r="AC47" s="31" t="n">
        <v>93.20284228239765</v>
      </c>
      <c r="AD47" s="31" t="n">
        <v>33.06676715310546</v>
      </c>
      <c r="AE47" s="31" t="n">
        <v>241.666750434502</v>
      </c>
      <c r="AF47" s="31" t="n">
        <v>121.9459608742651</v>
      </c>
      <c r="AG47" s="31" t="n">
        <v>167.5203937813641</v>
      </c>
      <c r="AH47" s="31" t="n">
        <v>746.6330050185353</v>
      </c>
      <c r="AI47" s="31" t="n">
        <v>54460.81535666533</v>
      </c>
      <c r="AJ47" s="31" t="n">
        <v>14467.79200315201</v>
      </c>
      <c r="AK47" s="31" t="n">
        <v>230.906181931932</v>
      </c>
      <c r="AL47" s="31" t="n">
        <v>50.0940459871453</v>
      </c>
      <c r="AM47" s="31" t="n">
        <v>318.9329605221353</v>
      </c>
      <c r="AN47" s="31" t="n">
        <v>75.00970359140831</v>
      </c>
      <c r="AO47" s="31" t="n">
        <v>30.90946674710458</v>
      </c>
      <c r="AP47" s="31" t="n">
        <v>1023.940117716098</v>
      </c>
      <c r="AQ47" s="31" t="n">
        <v>14878.42584413361</v>
      </c>
      <c r="AR47" s="31" t="n">
        <v>177.9569023157322</v>
      </c>
      <c r="AS47" s="31" t="n">
        <v>11367.59136500858</v>
      </c>
      <c r="AT47" s="31" t="n">
        <v>5.0390459667684</v>
      </c>
      <c r="AU47" s="31" t="n">
        <v>3.571740622156614</v>
      </c>
      <c r="AV47" s="31" t="n">
        <v>17.35116774146667</v>
      </c>
      <c r="AW47" s="31" t="n">
        <v>7.445860439697888</v>
      </c>
      <c r="AX47" s="31" t="n">
        <v>50.82088448630502</v>
      </c>
      <c r="AY47" s="31" t="n">
        <v>1.446236616888936</v>
      </c>
      <c r="AZ47" s="31" t="n">
        <v>4.334595574836362</v>
      </c>
      <c r="BA47" s="31" t="n">
        <v>19.61320839183381</v>
      </c>
      <c r="BB47" s="31" t="n">
        <v>5.642256567758327</v>
      </c>
      <c r="BC47" s="31" t="n">
        <v>24.15963568815603</v>
      </c>
      <c r="BD47" s="31" t="n">
        <v>19.40717172131312</v>
      </c>
      <c r="BE47" s="31" t="n">
        <v>16.72977204696444</v>
      </c>
      <c r="BF47" s="31" t="n">
        <v>124.2283787982646</v>
      </c>
      <c r="BG47" s="31" t="n">
        <v>3.524218109569198</v>
      </c>
      <c r="BH47" s="31" t="n">
        <v>191.8296074436369</v>
      </c>
      <c r="BI47" s="31" t="n">
        <v>48.52490442833459</v>
      </c>
      <c r="BJ47" s="31" t="n">
        <v>3.816604856026872</v>
      </c>
      <c r="BK47" s="31" t="n">
        <v>1231.418160504163</v>
      </c>
      <c r="BL47" s="31" t="n">
        <v>363.1743160529323</v>
      </c>
      <c r="BM47" s="31" t="n">
        <v>10.85186924745721</v>
      </c>
      <c r="BN47" s="31" t="n">
        <v>170.4370924653888</v>
      </c>
      <c r="BO47" s="31" t="n">
        <v>23.94128447128648</v>
      </c>
      <c r="BP47" s="31" t="n">
        <v>11.43436745408855</v>
      </c>
      <c r="BQ47" s="31" t="n">
        <v>18.30999436224958</v>
      </c>
      <c r="BR47" s="31" t="n">
        <v>0</v>
      </c>
      <c r="BS47" s="31">
        <f>SUM(C47:BR47)</f>
        <v/>
      </c>
      <c r="BT47" s="31" t="n">
        <v>0</v>
      </c>
      <c r="BU47" s="31" t="n">
        <v>0</v>
      </c>
      <c r="BV47" s="31" t="n">
        <v>19352.71716242777</v>
      </c>
      <c r="BW47" s="31" t="n">
        <v>0</v>
      </c>
      <c r="BX47" s="31">
        <f>SUM(BT47:BW47)</f>
        <v/>
      </c>
      <c r="BY47" s="31">
        <f>BS47+BX47</f>
        <v/>
      </c>
    </row>
    <row r="48">
      <c r="A48" s="28" t="inlineStr">
        <is>
          <t>3000</t>
        </is>
      </c>
      <c r="B48" s="28" t="inlineStr">
        <is>
          <t>Fabricação de outros equipamentos de transporte, exceto veículos automotores</t>
        </is>
      </c>
      <c r="C48" s="29" t="n">
        <v>0.7014587082586965</v>
      </c>
      <c r="D48" s="29" t="n">
        <v>0.8973282794168504</v>
      </c>
      <c r="E48" s="29" t="n">
        <v>0.3307967409889791</v>
      </c>
      <c r="F48" s="29" t="n">
        <v>1.967391211663558</v>
      </c>
      <c r="G48" s="29" t="n">
        <v>12.50519024323327</v>
      </c>
      <c r="H48" s="29" t="n">
        <v>10.44082721376805</v>
      </c>
      <c r="I48" s="29" t="n">
        <v>2.287758450100022</v>
      </c>
      <c r="J48" s="29" t="n">
        <v>5.259281593462577</v>
      </c>
      <c r="K48" s="29" t="n">
        <v>1.543529324023503</v>
      </c>
      <c r="L48" s="29" t="n">
        <v>4.379692746908627</v>
      </c>
      <c r="M48" s="29" t="n">
        <v>4.823916064295282</v>
      </c>
      <c r="N48" s="29" t="n">
        <v>0.3156135101968404</v>
      </c>
      <c r="O48" s="29" t="n">
        <v>0.9181440475628715</v>
      </c>
      <c r="P48" s="29" t="n">
        <v>2.659758294872851</v>
      </c>
      <c r="Q48" s="29" t="n">
        <v>1.12400401057548</v>
      </c>
      <c r="R48" s="29" t="n">
        <v>1.371410129269074</v>
      </c>
      <c r="S48" s="29" t="n">
        <v>4.607549948277891</v>
      </c>
      <c r="T48" s="29" t="n">
        <v>2.551440952756558</v>
      </c>
      <c r="U48" s="29" t="n">
        <v>1.287193792191288</v>
      </c>
      <c r="V48" s="29" t="n">
        <v>0.9359111873117757</v>
      </c>
      <c r="W48" s="29" t="n">
        <v>3.74350759628116</v>
      </c>
      <c r="X48" s="29" t="n">
        <v>2.336794154060786</v>
      </c>
      <c r="Y48" s="29" t="n">
        <v>1.912485235659636</v>
      </c>
      <c r="Z48" s="29" t="n">
        <v>3.457661160883322</v>
      </c>
      <c r="AA48" s="29" t="n">
        <v>4.29918186626031</v>
      </c>
      <c r="AB48" s="29" t="n">
        <v>5.857700152756141</v>
      </c>
      <c r="AC48" s="29" t="n">
        <v>20.46767519909472</v>
      </c>
      <c r="AD48" s="29" t="n">
        <v>3.900963438015546</v>
      </c>
      <c r="AE48" s="29" t="n">
        <v>19.94203536628127</v>
      </c>
      <c r="AF48" s="29" t="n">
        <v>3.946971427426462</v>
      </c>
      <c r="AG48" s="29" t="n">
        <v>17.27733975263456</v>
      </c>
      <c r="AH48" s="29" t="n">
        <v>64.54063918457955</v>
      </c>
      <c r="AI48" s="29" t="n">
        <v>55.85332184882182</v>
      </c>
      <c r="AJ48" s="29" t="n">
        <v>22.65291436050335</v>
      </c>
      <c r="AK48" s="29" t="n">
        <v>12835.82230823545</v>
      </c>
      <c r="AL48" s="29" t="n">
        <v>7.548489883161205</v>
      </c>
      <c r="AM48" s="29" t="n">
        <v>1489.125551855999</v>
      </c>
      <c r="AN48" s="29" t="n">
        <v>10.00294237493707</v>
      </c>
      <c r="AO48" s="29" t="n">
        <v>3.228177726375139</v>
      </c>
      <c r="AP48" s="29" t="n">
        <v>64.46310320098168</v>
      </c>
      <c r="AQ48" s="29" t="n">
        <v>158.2890777169918</v>
      </c>
      <c r="AR48" s="29" t="n">
        <v>33.58810865807762</v>
      </c>
      <c r="AS48" s="29" t="n">
        <v>1293.495732006048</v>
      </c>
      <c r="AT48" s="29" t="n">
        <v>1.904723426380241</v>
      </c>
      <c r="AU48" s="29" t="n">
        <v>0.8423895018769341</v>
      </c>
      <c r="AV48" s="29" t="n">
        <v>6.93371572392272</v>
      </c>
      <c r="AW48" s="29" t="n">
        <v>0.9417056231513129</v>
      </c>
      <c r="AX48" s="29" t="n">
        <v>5.216812265665943</v>
      </c>
      <c r="AY48" s="29" t="n">
        <v>1.789106122596867</v>
      </c>
      <c r="AZ48" s="29" t="n">
        <v>0.8098820379365548</v>
      </c>
      <c r="BA48" s="29" t="n">
        <v>6.187699830732621</v>
      </c>
      <c r="BB48" s="29" t="n">
        <v>2.628149605630801</v>
      </c>
      <c r="BC48" s="29" t="n">
        <v>6.11023412678281</v>
      </c>
      <c r="BD48" s="29" t="n">
        <v>2.26932423899725</v>
      </c>
      <c r="BE48" s="29" t="n">
        <v>4.832873198281041</v>
      </c>
      <c r="BF48" s="29" t="n">
        <v>13.4216570263993</v>
      </c>
      <c r="BG48" s="29" t="n">
        <v>1.21806921248219</v>
      </c>
      <c r="BH48" s="29" t="n">
        <v>3.304005227412163</v>
      </c>
      <c r="BI48" s="29" t="n">
        <v>7.385350393235046</v>
      </c>
      <c r="BJ48" s="29" t="n">
        <v>0.6447955663854757</v>
      </c>
      <c r="BK48" s="29" t="n">
        <v>184.04695647516</v>
      </c>
      <c r="BL48" s="29" t="n">
        <v>3.254805925203471</v>
      </c>
      <c r="BM48" s="29" t="n">
        <v>2.558362187563089</v>
      </c>
      <c r="BN48" s="29" t="n">
        <v>4.678345942076322</v>
      </c>
      <c r="BO48" s="29" t="n">
        <v>12.21953764605324</v>
      </c>
      <c r="BP48" s="29" t="n">
        <v>3.332916369409305</v>
      </c>
      <c r="BQ48" s="29" t="n">
        <v>73.07993958708541</v>
      </c>
      <c r="BR48" s="29" t="n">
        <v>0</v>
      </c>
      <c r="BS48" s="29">
        <f>SUM(C48:BR48)</f>
        <v/>
      </c>
      <c r="BT48" s="29" t="n">
        <v>0</v>
      </c>
      <c r="BU48" s="29" t="n">
        <v>0</v>
      </c>
      <c r="BV48" s="29" t="n">
        <v>27504.09109479437</v>
      </c>
      <c r="BW48" s="29" t="n">
        <v>0</v>
      </c>
      <c r="BX48" s="29">
        <f>SUM(BT48:BW48)</f>
        <v/>
      </c>
      <c r="BY48" s="29">
        <f>BS48+BX48</f>
        <v/>
      </c>
    </row>
    <row r="49">
      <c r="A49" s="30" t="inlineStr">
        <is>
          <t>3180</t>
        </is>
      </c>
      <c r="B49" s="30" t="inlineStr">
        <is>
          <t>Fabricação de móveis e de produtos de indústrias diversas</t>
        </is>
      </c>
      <c r="C49" s="31" t="n">
        <v>29.27275288599941</v>
      </c>
      <c r="D49" s="31" t="n">
        <v>19.18160128359073</v>
      </c>
      <c r="E49" s="31" t="n">
        <v>15.56853282919394</v>
      </c>
      <c r="F49" s="31" t="n">
        <v>7.758547251310768</v>
      </c>
      <c r="G49" s="31" t="n">
        <v>75.90512202215407</v>
      </c>
      <c r="H49" s="31" t="n">
        <v>54.56083092449578</v>
      </c>
      <c r="I49" s="31" t="n">
        <v>6.758499692575686</v>
      </c>
      <c r="J49" s="31" t="n">
        <v>45.80110631007194</v>
      </c>
      <c r="K49" s="31" t="n">
        <v>12.41777984674949</v>
      </c>
      <c r="L49" s="31" t="n">
        <v>85.44461581804669</v>
      </c>
      <c r="M49" s="31" t="n">
        <v>53.335218799514</v>
      </c>
      <c r="N49" s="31" t="n">
        <v>1.834738292858892</v>
      </c>
      <c r="O49" s="31" t="n">
        <v>65.18780888573659</v>
      </c>
      <c r="P49" s="31" t="n">
        <v>1647.961426918125</v>
      </c>
      <c r="Q49" s="31" t="n">
        <v>359.6582122727106</v>
      </c>
      <c r="R49" s="31" t="n">
        <v>36.24636617240381</v>
      </c>
      <c r="S49" s="31" t="n">
        <v>30.09285230143381</v>
      </c>
      <c r="T49" s="31" t="n">
        <v>15.74833333690412</v>
      </c>
      <c r="U49" s="31" t="n">
        <v>14.89148681904881</v>
      </c>
      <c r="V49" s="31" t="n">
        <v>2.865213153101864</v>
      </c>
      <c r="W49" s="31" t="n">
        <v>138.7950665425021</v>
      </c>
      <c r="X49" s="31" t="n">
        <v>70.41167150517039</v>
      </c>
      <c r="Y49" s="31" t="n">
        <v>28.74353853333443</v>
      </c>
      <c r="Z49" s="31" t="n">
        <v>72.8913274716254</v>
      </c>
      <c r="AA49" s="31" t="n">
        <v>164.1236462573557</v>
      </c>
      <c r="AB49" s="31" t="n">
        <v>207.8295940631454</v>
      </c>
      <c r="AC49" s="31" t="n">
        <v>32.69257601995209</v>
      </c>
      <c r="AD49" s="31" t="n">
        <v>5.877472709583993</v>
      </c>
      <c r="AE49" s="31" t="n">
        <v>72.46022030801669</v>
      </c>
      <c r="AF49" s="31" t="n">
        <v>73.5074289078846</v>
      </c>
      <c r="AG49" s="31" t="n">
        <v>53.41262183408772</v>
      </c>
      <c r="AH49" s="31" t="n">
        <v>862.0184952137936</v>
      </c>
      <c r="AI49" s="31" t="n">
        <v>583.7098301899092</v>
      </c>
      <c r="AJ49" s="31" t="n">
        <v>729.3436420771757</v>
      </c>
      <c r="AK49" s="31" t="n">
        <v>53.41514106230103</v>
      </c>
      <c r="AL49" s="31" t="n">
        <v>3172.505444254507</v>
      </c>
      <c r="AM49" s="31" t="n">
        <v>184.9386237494799</v>
      </c>
      <c r="AN49" s="31" t="n">
        <v>79.96893623696695</v>
      </c>
      <c r="AO49" s="31" t="n">
        <v>56.86083846254792</v>
      </c>
      <c r="AP49" s="31" t="n">
        <v>1479.030390760876</v>
      </c>
      <c r="AQ49" s="31" t="n">
        <v>63.28226553959693</v>
      </c>
      <c r="AR49" s="31" t="n">
        <v>573.7499649771762</v>
      </c>
      <c r="AS49" s="31" t="n">
        <v>148.423678503383</v>
      </c>
      <c r="AT49" s="31" t="n">
        <v>131.4478964040869</v>
      </c>
      <c r="AU49" s="31" t="n">
        <v>4.706328812296078</v>
      </c>
      <c r="AV49" s="31" t="n">
        <v>201.4764288965576</v>
      </c>
      <c r="AW49" s="31" t="n">
        <v>10.64659058862986</v>
      </c>
      <c r="AX49" s="31" t="n">
        <v>31.52138050525908</v>
      </c>
      <c r="AY49" s="31" t="n">
        <v>6.850267366494826</v>
      </c>
      <c r="AZ49" s="31" t="n">
        <v>76.33749189586619</v>
      </c>
      <c r="BA49" s="31" t="n">
        <v>9.986610134053297</v>
      </c>
      <c r="BB49" s="31" t="n">
        <v>102.0947982527667</v>
      </c>
      <c r="BC49" s="31" t="n">
        <v>378.3052611201697</v>
      </c>
      <c r="BD49" s="31" t="n">
        <v>149.6027783463892</v>
      </c>
      <c r="BE49" s="31" t="n">
        <v>292.6620105625203</v>
      </c>
      <c r="BF49" s="31" t="n">
        <v>533.8966323667573</v>
      </c>
      <c r="BG49" s="31" t="n">
        <v>361.401479571045</v>
      </c>
      <c r="BH49" s="31" t="n">
        <v>657.3523076045144</v>
      </c>
      <c r="BI49" s="31" t="n">
        <v>264.6048546322229</v>
      </c>
      <c r="BJ49" s="31" t="n">
        <v>27.19391104347518</v>
      </c>
      <c r="BK49" s="31" t="n">
        <v>1265.997649453403</v>
      </c>
      <c r="BL49" s="31" t="n">
        <v>1365.410941377733</v>
      </c>
      <c r="BM49" s="31" t="n">
        <v>37.84432035074234</v>
      </c>
      <c r="BN49" s="31" t="n">
        <v>2874.826945770084</v>
      </c>
      <c r="BO49" s="31" t="n">
        <v>11749.90159969115</v>
      </c>
      <c r="BP49" s="31" t="n">
        <v>216.7108644077423</v>
      </c>
      <c r="BQ49" s="31" t="n">
        <v>157.7180321949437</v>
      </c>
      <c r="BR49" s="31" t="n">
        <v>0</v>
      </c>
      <c r="BS49" s="31">
        <f>SUM(C49:BR49)</f>
        <v/>
      </c>
      <c r="BT49" s="31" t="n">
        <v>0</v>
      </c>
      <c r="BU49" s="31" t="n">
        <v>0</v>
      </c>
      <c r="BV49" s="31" t="n">
        <v>42177.69923854793</v>
      </c>
      <c r="BW49" s="31" t="n">
        <v>0</v>
      </c>
      <c r="BX49" s="31">
        <f>SUM(BT49:BW49)</f>
        <v/>
      </c>
      <c r="BY49" s="31">
        <f>BS49+BX49</f>
        <v/>
      </c>
    </row>
    <row r="50">
      <c r="A50" s="28" t="inlineStr">
        <is>
          <t>3300</t>
        </is>
      </c>
      <c r="B50" s="28" t="inlineStr">
        <is>
          <t>Manutenção, reparação e instalação de máquinas e equipamentos</t>
        </is>
      </c>
      <c r="C50" s="29" t="n">
        <v>67.9431444039803</v>
      </c>
      <c r="D50" s="29" t="n">
        <v>29.39018470126758</v>
      </c>
      <c r="E50" s="29" t="n">
        <v>107.9938967103748</v>
      </c>
      <c r="F50" s="29" t="n">
        <v>744.0347672560307</v>
      </c>
      <c r="G50" s="29" t="n">
        <v>1694.349711080596</v>
      </c>
      <c r="H50" s="29" t="n">
        <v>1182.284554114075</v>
      </c>
      <c r="I50" s="29" t="n">
        <v>466.8415874990572</v>
      </c>
      <c r="J50" s="29" t="n">
        <v>678.5492201436068</v>
      </c>
      <c r="K50" s="29" t="n">
        <v>511.4663684640998</v>
      </c>
      <c r="L50" s="29" t="n">
        <v>381.9016027486219</v>
      </c>
      <c r="M50" s="29" t="n">
        <v>302.4754957252961</v>
      </c>
      <c r="N50" s="29" t="n">
        <v>12.87482636812129</v>
      </c>
      <c r="O50" s="29" t="n">
        <v>225.4169028261232</v>
      </c>
      <c r="P50" s="29" t="n">
        <v>334.1679155523023</v>
      </c>
      <c r="Q50" s="29" t="n">
        <v>129.9922142296201</v>
      </c>
      <c r="R50" s="29" t="n">
        <v>338.105090857815</v>
      </c>
      <c r="S50" s="29" t="n">
        <v>1760.950937366863</v>
      </c>
      <c r="T50" s="29" t="n">
        <v>1091.181438065977</v>
      </c>
      <c r="U50" s="29" t="n">
        <v>421.7916199123935</v>
      </c>
      <c r="V50" s="29" t="n">
        <v>362.5801818799811</v>
      </c>
      <c r="W50" s="29" t="n">
        <v>880.4466855717899</v>
      </c>
      <c r="X50" s="29" t="n">
        <v>472.0645076202153</v>
      </c>
      <c r="Y50" s="29" t="n">
        <v>120.7390571831483</v>
      </c>
      <c r="Z50" s="29" t="n">
        <v>454.8525995085877</v>
      </c>
      <c r="AA50" s="29" t="n">
        <v>412.3434026073263</v>
      </c>
      <c r="AB50" s="29" t="n">
        <v>1964.471434092126</v>
      </c>
      <c r="AC50" s="29" t="n">
        <v>6208.053436089888</v>
      </c>
      <c r="AD50" s="29" t="n">
        <v>1271.104480798138</v>
      </c>
      <c r="AE50" s="29" t="n">
        <v>543.8213622560328</v>
      </c>
      <c r="AF50" s="29" t="n">
        <v>78.62310164057381</v>
      </c>
      <c r="AG50" s="29" t="n">
        <v>404.3763295872987</v>
      </c>
      <c r="AH50" s="29" t="n">
        <v>1383.947083998148</v>
      </c>
      <c r="AI50" s="29" t="n">
        <v>226.5149010930432</v>
      </c>
      <c r="AJ50" s="29" t="n">
        <v>625.5555792035885</v>
      </c>
      <c r="AK50" s="29" t="n">
        <v>343.2211228254692</v>
      </c>
      <c r="AL50" s="29" t="n">
        <v>511.102164763697</v>
      </c>
      <c r="AM50" s="29" t="n">
        <v>559.8307760964533</v>
      </c>
      <c r="AN50" s="29" t="n">
        <v>895.3854102241601</v>
      </c>
      <c r="AO50" s="29" t="n">
        <v>807.4554788854766</v>
      </c>
      <c r="AP50" s="29" t="n">
        <v>2111.885862451733</v>
      </c>
      <c r="AQ50" s="29" t="n">
        <v>532.9823077729696</v>
      </c>
      <c r="AR50" s="29" t="n">
        <v>2850.520861668695</v>
      </c>
      <c r="AS50" s="29" t="n">
        <v>582.0487964809006</v>
      </c>
      <c r="AT50" s="29" t="n">
        <v>619.6391953540515</v>
      </c>
      <c r="AU50" s="29" t="n">
        <v>355.2272952715728</v>
      </c>
      <c r="AV50" s="29" t="n">
        <v>2177.612390841057</v>
      </c>
      <c r="AW50" s="29" t="n">
        <v>7.194007401545108</v>
      </c>
      <c r="AX50" s="29" t="n">
        <v>200.3152490733841</v>
      </c>
      <c r="AY50" s="29" t="n">
        <v>664.7258586010685</v>
      </c>
      <c r="AZ50" s="29" t="n">
        <v>107.0629097997873</v>
      </c>
      <c r="BA50" s="29" t="n">
        <v>662.7735755607786</v>
      </c>
      <c r="BB50" s="29" t="n">
        <v>516.0655616262954</v>
      </c>
      <c r="BC50" s="29" t="n">
        <v>262.4216736462815</v>
      </c>
      <c r="BD50" s="29" t="n">
        <v>75.50762347863154</v>
      </c>
      <c r="BE50" s="29" t="n">
        <v>563.3072309122067</v>
      </c>
      <c r="BF50" s="29" t="n">
        <v>182.2207676518013</v>
      </c>
      <c r="BG50" s="29" t="n">
        <v>104.242550758937</v>
      </c>
      <c r="BH50" s="29" t="n">
        <v>688.1865187639942</v>
      </c>
      <c r="BI50" s="29" t="n">
        <v>730.9565932573652</v>
      </c>
      <c r="BJ50" s="29" t="n">
        <v>171.8196459809974</v>
      </c>
      <c r="BK50" s="29" t="n">
        <v>751.3078534235455</v>
      </c>
      <c r="BL50" s="29" t="n">
        <v>99.74532257656668</v>
      </c>
      <c r="BM50" s="29" t="n">
        <v>2.079352544031062</v>
      </c>
      <c r="BN50" s="29" t="n">
        <v>654.4805940035515</v>
      </c>
      <c r="BO50" s="29" t="n">
        <v>362.4534759928615</v>
      </c>
      <c r="BP50" s="29" t="n">
        <v>322.0384275476143</v>
      </c>
      <c r="BQ50" s="29" t="n">
        <v>356.8494391534031</v>
      </c>
      <c r="BR50" s="29" t="n">
        <v>0</v>
      </c>
      <c r="BS50" s="29">
        <f>SUM(C50:BR50)</f>
        <v/>
      </c>
      <c r="BT50" s="29" t="n">
        <v>0</v>
      </c>
      <c r="BU50" s="29" t="n">
        <v>0</v>
      </c>
      <c r="BV50" s="29" t="n">
        <v>7082.189646697389</v>
      </c>
      <c r="BW50" s="29" t="n">
        <v>0</v>
      </c>
      <c r="BX50" s="29">
        <f>SUM(BT50:BW50)</f>
        <v/>
      </c>
      <c r="BY50" s="29">
        <f>BS50+BX50</f>
        <v/>
      </c>
    </row>
    <row r="51">
      <c r="A51" s="30" t="inlineStr">
        <is>
          <t>3500</t>
        </is>
      </c>
      <c r="B51" s="30" t="inlineStr">
        <is>
          <t>Energia elétrica, gás natural e outras utilidades</t>
        </is>
      </c>
      <c r="C51" s="31" t="n">
        <v>5471.287390345102</v>
      </c>
      <c r="D51" s="31" t="n">
        <v>3457.834431812381</v>
      </c>
      <c r="E51" s="31" t="n">
        <v>286.5540407921557</v>
      </c>
      <c r="F51" s="31" t="n">
        <v>637.6255532032125</v>
      </c>
      <c r="G51" s="31" t="n">
        <v>186.8770382533577</v>
      </c>
      <c r="H51" s="31" t="n">
        <v>916.774226732638</v>
      </c>
      <c r="I51" s="31" t="n">
        <v>250.9131057428711</v>
      </c>
      <c r="J51" s="31" t="n">
        <v>1033.748150588261</v>
      </c>
      <c r="K51" s="31" t="n">
        <v>62.78529842894064</v>
      </c>
      <c r="L51" s="31" t="n">
        <v>1965.595910332609</v>
      </c>
      <c r="M51" s="31" t="n">
        <v>511.4385027504104</v>
      </c>
      <c r="N51" s="31" t="n">
        <v>52.87964248533284</v>
      </c>
      <c r="O51" s="31" t="n">
        <v>1333.401808839755</v>
      </c>
      <c r="P51" s="31" t="n">
        <v>147.9852003245887</v>
      </c>
      <c r="Q51" s="31" t="n">
        <v>226.8276544134123</v>
      </c>
      <c r="R51" s="31" t="n">
        <v>573.2481764402213</v>
      </c>
      <c r="S51" s="31" t="n">
        <v>1760.731783829662</v>
      </c>
      <c r="T51" s="31" t="n">
        <v>135.2352994872176</v>
      </c>
      <c r="U51" s="31" t="n">
        <v>92.14537067606211</v>
      </c>
      <c r="V51" s="31" t="n">
        <v>89.0209890464011</v>
      </c>
      <c r="W51" s="31" t="n">
        <v>3702.333154522811</v>
      </c>
      <c r="X51" s="31" t="n">
        <v>530.1870788893636</v>
      </c>
      <c r="Y51" s="31" t="n">
        <v>155.0058946710699</v>
      </c>
      <c r="Z51" s="31" t="n">
        <v>212.8431412845606</v>
      </c>
      <c r="AA51" s="31" t="n">
        <v>1665.126745447497</v>
      </c>
      <c r="AB51" s="31" t="n">
        <v>3008.255958689424</v>
      </c>
      <c r="AC51" s="31" t="n">
        <v>3032.49043375271</v>
      </c>
      <c r="AD51" s="31" t="n">
        <v>1773.127181396162</v>
      </c>
      <c r="AE51" s="31" t="n">
        <v>992.910174439667</v>
      </c>
      <c r="AF51" s="31" t="n">
        <v>127.5047246525243</v>
      </c>
      <c r="AG51" s="31" t="n">
        <v>514.1370112231623</v>
      </c>
      <c r="AH51" s="31" t="n">
        <v>545.5957683330562</v>
      </c>
      <c r="AI51" s="31" t="n">
        <v>532.4986471151525</v>
      </c>
      <c r="AJ51" s="31" t="n">
        <v>1251.655731434454</v>
      </c>
      <c r="AK51" s="31" t="n">
        <v>236.6140128834753</v>
      </c>
      <c r="AL51" s="31" t="n">
        <v>288.1296249238623</v>
      </c>
      <c r="AM51" s="31" t="n">
        <v>148.0357388826128</v>
      </c>
      <c r="AN51" s="31" t="n">
        <v>49674.4314280925</v>
      </c>
      <c r="AO51" s="31" t="n">
        <v>2779.755719389213</v>
      </c>
      <c r="AP51" s="31" t="n">
        <v>527.7390759751767</v>
      </c>
      <c r="AQ51" s="31" t="n">
        <v>1195.001202478032</v>
      </c>
      <c r="AR51" s="31" t="n">
        <v>12632.15806698298</v>
      </c>
      <c r="AS51" s="31" t="n">
        <v>1176.423671795543</v>
      </c>
      <c r="AT51" s="31" t="n">
        <v>43.08678139583301</v>
      </c>
      <c r="AU51" s="31" t="n">
        <v>33.56898384434223</v>
      </c>
      <c r="AV51" s="31" t="n">
        <v>826.4950770759658</v>
      </c>
      <c r="AW51" s="31" t="n">
        <v>946.7741541051507</v>
      </c>
      <c r="AX51" s="31" t="n">
        <v>1226.503929658456</v>
      </c>
      <c r="AY51" s="31" t="n">
        <v>172.9978503529977</v>
      </c>
      <c r="AZ51" s="31" t="n">
        <v>318.7451999045382</v>
      </c>
      <c r="BA51" s="31" t="n">
        <v>1794.124475176509</v>
      </c>
      <c r="BB51" s="31" t="n">
        <v>352.6552723414307</v>
      </c>
      <c r="BC51" s="31" t="n">
        <v>2109.22063965562</v>
      </c>
      <c r="BD51" s="31" t="n">
        <v>351.5662205361635</v>
      </c>
      <c r="BE51" s="31" t="n">
        <v>729.8015763092607</v>
      </c>
      <c r="BF51" s="31" t="n">
        <v>240.5596224688121</v>
      </c>
      <c r="BG51" s="31" t="n">
        <v>152.5588335946522</v>
      </c>
      <c r="BH51" s="31" t="n">
        <v>117.1479102775842</v>
      </c>
      <c r="BI51" s="31" t="n">
        <v>4071.897387883587</v>
      </c>
      <c r="BJ51" s="31" t="n">
        <v>69.05735322040697</v>
      </c>
      <c r="BK51" s="31" t="n">
        <v>4628.339765062428</v>
      </c>
      <c r="BL51" s="31" t="n">
        <v>1375.993546632056</v>
      </c>
      <c r="BM51" s="31" t="n">
        <v>1536.112749605759</v>
      </c>
      <c r="BN51" s="31" t="n">
        <v>920.5491083361409</v>
      </c>
      <c r="BO51" s="31" t="n">
        <v>1181.08653270748</v>
      </c>
      <c r="BP51" s="31" t="n">
        <v>625.9645486055492</v>
      </c>
      <c r="BQ51" s="31" t="n">
        <v>2546.653664025012</v>
      </c>
      <c r="BR51" s="31" t="n">
        <v>0</v>
      </c>
      <c r="BS51" s="31">
        <f>SUM(C51:BR51)</f>
        <v/>
      </c>
      <c r="BT51" s="31" t="n">
        <v>0</v>
      </c>
      <c r="BU51" s="31" t="n">
        <v>0</v>
      </c>
      <c r="BV51" s="31" t="n">
        <v>54612.25887396472</v>
      </c>
      <c r="BW51" s="31" t="n">
        <v>0</v>
      </c>
      <c r="BX51" s="31">
        <f>SUM(BT51:BW51)</f>
        <v/>
      </c>
      <c r="BY51" s="31">
        <f>BS51+BX51</f>
        <v/>
      </c>
    </row>
    <row r="52">
      <c r="A52" s="28" t="inlineStr">
        <is>
          <t>3680</t>
        </is>
      </c>
      <c r="B52" s="28" t="inlineStr">
        <is>
          <t>Água, esgoto e gestão de resíduos</t>
        </is>
      </c>
      <c r="C52" s="29" t="n">
        <v>7.513013622096746</v>
      </c>
      <c r="D52" s="29" t="n">
        <v>1.953117379872796</v>
      </c>
      <c r="E52" s="29" t="n">
        <v>1.751261876502979</v>
      </c>
      <c r="F52" s="29" t="n">
        <v>29.44715679641555</v>
      </c>
      <c r="G52" s="29" t="n">
        <v>30.21146400186212</v>
      </c>
      <c r="H52" s="29" t="n">
        <v>150.1045431554326</v>
      </c>
      <c r="I52" s="29" t="n">
        <v>32.62687351305537</v>
      </c>
      <c r="J52" s="29" t="n">
        <v>118.5404271849928</v>
      </c>
      <c r="K52" s="29" t="n">
        <v>55.33440187212801</v>
      </c>
      <c r="L52" s="29" t="n">
        <v>199.6134601222282</v>
      </c>
      <c r="M52" s="29" t="n">
        <v>314.7847424401324</v>
      </c>
      <c r="N52" s="29" t="n">
        <v>1.23996555937536</v>
      </c>
      <c r="O52" s="29" t="n">
        <v>60.56638431385747</v>
      </c>
      <c r="P52" s="29" t="n">
        <v>21.99621115475397</v>
      </c>
      <c r="Q52" s="29" t="n">
        <v>20.59021032118475</v>
      </c>
      <c r="R52" s="29" t="n">
        <v>125.6225029930049</v>
      </c>
      <c r="S52" s="29" t="n">
        <v>260.0312119048619</v>
      </c>
      <c r="T52" s="29" t="n">
        <v>10.15404597859766</v>
      </c>
      <c r="U52" s="29" t="n">
        <v>222.6841045664601</v>
      </c>
      <c r="V52" s="29" t="n">
        <v>15.40671120183482</v>
      </c>
      <c r="W52" s="29" t="n">
        <v>428.0215374269079</v>
      </c>
      <c r="X52" s="29" t="n">
        <v>226.2371140823495</v>
      </c>
      <c r="Y52" s="29" t="n">
        <v>88.92839320807533</v>
      </c>
      <c r="Z52" s="29" t="n">
        <v>55.66485183050465</v>
      </c>
      <c r="AA52" s="29" t="n">
        <v>429.5980698721851</v>
      </c>
      <c r="AB52" s="29" t="n">
        <v>588.6579986333093</v>
      </c>
      <c r="AC52" s="29" t="n">
        <v>3463.662869187636</v>
      </c>
      <c r="AD52" s="29" t="n">
        <v>1506.234159153342</v>
      </c>
      <c r="AE52" s="29" t="n">
        <v>129.7981588494926</v>
      </c>
      <c r="AF52" s="29" t="n">
        <v>24.05857047795179</v>
      </c>
      <c r="AG52" s="29" t="n">
        <v>53.18030374423572</v>
      </c>
      <c r="AH52" s="29" t="n">
        <v>86.60993758183021</v>
      </c>
      <c r="AI52" s="29" t="n">
        <v>106.0373720243354</v>
      </c>
      <c r="AJ52" s="29" t="n">
        <v>280.369381138953</v>
      </c>
      <c r="AK52" s="29" t="n">
        <v>127.0341308792168</v>
      </c>
      <c r="AL52" s="29" t="n">
        <v>52.17930475186163</v>
      </c>
      <c r="AM52" s="29" t="n">
        <v>17.49705439735672</v>
      </c>
      <c r="AN52" s="29" t="n">
        <v>49.26643113680195</v>
      </c>
      <c r="AO52" s="29" t="n">
        <v>501.3594833269433</v>
      </c>
      <c r="AP52" s="29" t="n">
        <v>254.1914155234302</v>
      </c>
      <c r="AQ52" s="29" t="n">
        <v>314.2117922528684</v>
      </c>
      <c r="AR52" s="29" t="n">
        <v>2362.456066647524</v>
      </c>
      <c r="AS52" s="29" t="n">
        <v>275.784983529961</v>
      </c>
      <c r="AT52" s="29" t="n">
        <v>9.86241714445851</v>
      </c>
      <c r="AU52" s="29" t="n">
        <v>6.906367530796341</v>
      </c>
      <c r="AV52" s="29" t="n">
        <v>453.7460320504212</v>
      </c>
      <c r="AW52" s="29" t="n">
        <v>246.1928645712395</v>
      </c>
      <c r="AX52" s="29" t="n">
        <v>741.5803433957907</v>
      </c>
      <c r="AY52" s="29" t="n">
        <v>38.61829666977062</v>
      </c>
      <c r="AZ52" s="29" t="n">
        <v>42.83980698383076</v>
      </c>
      <c r="BA52" s="29" t="n">
        <v>41.29997414573574</v>
      </c>
      <c r="BB52" s="29" t="n">
        <v>63.26855595329754</v>
      </c>
      <c r="BC52" s="29" t="n">
        <v>350.1242971310318</v>
      </c>
      <c r="BD52" s="29" t="n">
        <v>199.7437836938706</v>
      </c>
      <c r="BE52" s="29" t="n">
        <v>320.6322671000589</v>
      </c>
      <c r="BF52" s="29" t="n">
        <v>58.04208239202303</v>
      </c>
      <c r="BG52" s="29" t="n">
        <v>23.40108206024231</v>
      </c>
      <c r="BH52" s="29" t="n">
        <v>37.41901276889569</v>
      </c>
      <c r="BI52" s="29" t="n">
        <v>2945.625536412577</v>
      </c>
      <c r="BJ52" s="29" t="n">
        <v>25.30857614912559</v>
      </c>
      <c r="BK52" s="29" t="n">
        <v>8208.871008146914</v>
      </c>
      <c r="BL52" s="29" t="n">
        <v>1021.338639122852</v>
      </c>
      <c r="BM52" s="29" t="n">
        <v>149.4746632481281</v>
      </c>
      <c r="BN52" s="29" t="n">
        <v>1053.578879336359</v>
      </c>
      <c r="BO52" s="29" t="n">
        <v>1090.044173555206</v>
      </c>
      <c r="BP52" s="29" t="n">
        <v>70.10605540064157</v>
      </c>
      <c r="BQ52" s="29" t="n">
        <v>1436.139348681754</v>
      </c>
      <c r="BR52" s="29" t="n">
        <v>0</v>
      </c>
      <c r="BS52" s="29">
        <f>SUM(C52:BR52)</f>
        <v/>
      </c>
      <c r="BT52" s="29" t="n">
        <v>0</v>
      </c>
      <c r="BU52" s="29" t="n">
        <v>0</v>
      </c>
      <c r="BV52" s="29" t="n">
        <v>17478.03082283801</v>
      </c>
      <c r="BW52" s="29" t="n">
        <v>0</v>
      </c>
      <c r="BX52" s="29">
        <f>SUM(BT52:BW52)</f>
        <v/>
      </c>
      <c r="BY52" s="29">
        <f>BS52+BX52</f>
        <v/>
      </c>
    </row>
    <row r="53">
      <c r="A53" s="30" t="inlineStr">
        <is>
          <t>4180</t>
        </is>
      </c>
      <c r="B53" s="30" t="inlineStr">
        <is>
          <t>Construção</t>
        </is>
      </c>
      <c r="C53" s="31" t="n">
        <v>56.55282087535182</v>
      </c>
      <c r="D53" s="31" t="n">
        <v>130.3547760093538</v>
      </c>
      <c r="E53" s="31" t="n">
        <v>8.092607090376653</v>
      </c>
      <c r="F53" s="31" t="n">
        <v>7.058105651156682</v>
      </c>
      <c r="G53" s="31" t="n">
        <v>2276.267544068057</v>
      </c>
      <c r="H53" s="31" t="n">
        <v>1097.340264760522</v>
      </c>
      <c r="I53" s="31" t="n">
        <v>196.4471293182135</v>
      </c>
      <c r="J53" s="31" t="n">
        <v>7.831974382487749</v>
      </c>
      <c r="K53" s="31" t="n">
        <v>10.42433505418288</v>
      </c>
      <c r="L53" s="31" t="n">
        <v>16.58294559991238</v>
      </c>
      <c r="M53" s="31" t="n">
        <v>3.863001628635369</v>
      </c>
      <c r="N53" s="31" t="n">
        <v>0.7659375963396352</v>
      </c>
      <c r="O53" s="31" t="n">
        <v>27.04838063614133</v>
      </c>
      <c r="P53" s="31" t="n">
        <v>4.220461489198138</v>
      </c>
      <c r="Q53" s="31" t="n">
        <v>1.621028889159542</v>
      </c>
      <c r="R53" s="31" t="n">
        <v>1.170265227666406</v>
      </c>
      <c r="S53" s="31" t="n">
        <v>21.2621008259341</v>
      </c>
      <c r="T53" s="31" t="n">
        <v>18.53231544180713</v>
      </c>
      <c r="U53" s="31" t="n">
        <v>20.28909673797821</v>
      </c>
      <c r="V53" s="31" t="n">
        <v>19.60230248923705</v>
      </c>
      <c r="W53" s="31" t="n">
        <v>63.79473418359372</v>
      </c>
      <c r="X53" s="31" t="n">
        <v>6.751451559027846</v>
      </c>
      <c r="Y53" s="31" t="n">
        <v>2.272145920517583</v>
      </c>
      <c r="Z53" s="31" t="n">
        <v>3.896929474582812</v>
      </c>
      <c r="AA53" s="31" t="n">
        <v>8.175393988668644</v>
      </c>
      <c r="AB53" s="31" t="n">
        <v>25.37402204670625</v>
      </c>
      <c r="AC53" s="31" t="n">
        <v>103.0148875461962</v>
      </c>
      <c r="AD53" s="31" t="n">
        <v>935.0993210899642</v>
      </c>
      <c r="AE53" s="31" t="n">
        <v>54.27230016117586</v>
      </c>
      <c r="AF53" s="31" t="n">
        <v>64.1026048693866</v>
      </c>
      <c r="AG53" s="31" t="n">
        <v>13.04332263038513</v>
      </c>
      <c r="AH53" s="31" t="n">
        <v>96.15470694068563</v>
      </c>
      <c r="AI53" s="31" t="n">
        <v>265.6969470031282</v>
      </c>
      <c r="AJ53" s="31" t="n">
        <v>36.42742812765308</v>
      </c>
      <c r="AK53" s="31" t="n">
        <v>273.7411863495386</v>
      </c>
      <c r="AL53" s="31" t="n">
        <v>16.13061912129798</v>
      </c>
      <c r="AM53" s="31" t="n">
        <v>8.234751153586114</v>
      </c>
      <c r="AN53" s="31" t="n">
        <v>14.70653108044059</v>
      </c>
      <c r="AO53" s="31" t="n">
        <v>3483.497352009706</v>
      </c>
      <c r="AP53" s="31" t="n">
        <v>50850.72317277121</v>
      </c>
      <c r="AQ53" s="31" t="n">
        <v>585.4828240610377</v>
      </c>
      <c r="AR53" s="31" t="n">
        <v>868.8870995820648</v>
      </c>
      <c r="AS53" s="31" t="n">
        <v>376.3752440286456</v>
      </c>
      <c r="AT53" s="31" t="n">
        <v>14.05121660381778</v>
      </c>
      <c r="AU53" s="31" t="n">
        <v>27.3497417994279</v>
      </c>
      <c r="AV53" s="31" t="n">
        <v>999.1153228587283</v>
      </c>
      <c r="AW53" s="31" t="n">
        <v>245.9119625480365</v>
      </c>
      <c r="AX53" s="31" t="n">
        <v>321.1938735665621</v>
      </c>
      <c r="AY53" s="31" t="n">
        <v>22.74188724073529</v>
      </c>
      <c r="AZ53" s="31" t="n">
        <v>236.8773513002606</v>
      </c>
      <c r="BA53" s="31" t="n">
        <v>4302.843190280865</v>
      </c>
      <c r="BB53" s="31" t="n">
        <v>709.2884317450233</v>
      </c>
      <c r="BC53" s="31" t="n">
        <v>1400.778026968774</v>
      </c>
      <c r="BD53" s="31" t="n">
        <v>994.3389400886274</v>
      </c>
      <c r="BE53" s="31" t="n">
        <v>218.2910704976089</v>
      </c>
      <c r="BF53" s="31" t="n">
        <v>637.258644725978</v>
      </c>
      <c r="BG53" s="31" t="n">
        <v>14.38335990943909</v>
      </c>
      <c r="BH53" s="31" t="n">
        <v>178.7482962561994</v>
      </c>
      <c r="BI53" s="31" t="n">
        <v>1935.069776202458</v>
      </c>
      <c r="BJ53" s="31" t="n">
        <v>12.04808703280115</v>
      </c>
      <c r="BK53" s="31" t="n">
        <v>10400.30399967496</v>
      </c>
      <c r="BL53" s="31" t="n">
        <v>901.4925816643381</v>
      </c>
      <c r="BM53" s="31" t="n">
        <v>345.5769807676702</v>
      </c>
      <c r="BN53" s="31" t="n">
        <v>2391.730565281958</v>
      </c>
      <c r="BO53" s="31" t="n">
        <v>22.43438132226947</v>
      </c>
      <c r="BP53" s="31" t="n">
        <v>101.5589010334431</v>
      </c>
      <c r="BQ53" s="31" t="n">
        <v>415.0615754009106</v>
      </c>
      <c r="BR53" s="31" t="n">
        <v>0</v>
      </c>
      <c r="BS53" s="31">
        <f>SUM(C53:BR53)</f>
        <v/>
      </c>
      <c r="BT53" s="31" t="n">
        <v>0</v>
      </c>
      <c r="BU53" s="31" t="n">
        <v>0</v>
      </c>
      <c r="BV53" s="31" t="n">
        <v>423553.5003821407</v>
      </c>
      <c r="BW53" s="31" t="n">
        <v>0</v>
      </c>
      <c r="BX53" s="31">
        <f>SUM(BT53:BW53)</f>
        <v/>
      </c>
      <c r="BY53" s="31">
        <f>BS53+BX53</f>
        <v/>
      </c>
    </row>
    <row r="54">
      <c r="A54" s="28" t="inlineStr">
        <is>
          <t>4500</t>
        </is>
      </c>
      <c r="B54" s="28" t="inlineStr">
        <is>
          <t>Comércio e reparação de veículos automotores e motocicletas</t>
        </is>
      </c>
      <c r="C54" s="29" t="n">
        <v>143.2915794966493</v>
      </c>
      <c r="D54" s="29" t="n">
        <v>34.50668601065711</v>
      </c>
      <c r="E54" s="29" t="n">
        <v>24.1541504025999</v>
      </c>
      <c r="F54" s="29" t="n">
        <v>53.64456668059671</v>
      </c>
      <c r="G54" s="29" t="n">
        <v>169.8396112502784</v>
      </c>
      <c r="H54" s="29" t="n">
        <v>629.5796039293778</v>
      </c>
      <c r="I54" s="29" t="n">
        <v>52.23985032252844</v>
      </c>
      <c r="J54" s="29" t="n">
        <v>19.27981367328331</v>
      </c>
      <c r="K54" s="29" t="n">
        <v>19.12911861736408</v>
      </c>
      <c r="L54" s="29" t="n">
        <v>34.77186758109329</v>
      </c>
      <c r="M54" s="29" t="n">
        <v>36.44764380519297</v>
      </c>
      <c r="N54" s="29" t="n">
        <v>0.8237549589106413</v>
      </c>
      <c r="O54" s="29" t="n">
        <v>5.270516663594933</v>
      </c>
      <c r="P54" s="29" t="n">
        <v>2.195393537213591</v>
      </c>
      <c r="Q54" s="29" t="n">
        <v>4.415766060948723</v>
      </c>
      <c r="R54" s="29" t="n">
        <v>2.20657973383457</v>
      </c>
      <c r="S54" s="29" t="n">
        <v>12.16877689741537</v>
      </c>
      <c r="T54" s="29" t="n">
        <v>3.082887474925435</v>
      </c>
      <c r="U54" s="29" t="n">
        <v>8.11801780747326</v>
      </c>
      <c r="V54" s="29" t="n">
        <v>5.980849218579773</v>
      </c>
      <c r="W54" s="29" t="n">
        <v>9.68471313113578</v>
      </c>
      <c r="X54" s="29" t="n">
        <v>14.74664747335694</v>
      </c>
      <c r="Y54" s="29" t="n">
        <v>2.658549823314174</v>
      </c>
      <c r="Z54" s="29" t="n">
        <v>34.00752088684012</v>
      </c>
      <c r="AA54" s="29" t="n">
        <v>158.9688763202395</v>
      </c>
      <c r="AB54" s="29" t="n">
        <v>216.7707081490737</v>
      </c>
      <c r="AC54" s="29" t="n">
        <v>20.97661352648791</v>
      </c>
      <c r="AD54" s="29" t="n">
        <v>37.18998284686658</v>
      </c>
      <c r="AE54" s="29" t="n">
        <v>13.80392986144495</v>
      </c>
      <c r="AF54" s="29" t="n">
        <v>251.6696897692275</v>
      </c>
      <c r="AG54" s="29" t="n">
        <v>28.65621798374296</v>
      </c>
      <c r="AH54" s="29" t="n">
        <v>1814.041056431934</v>
      </c>
      <c r="AI54" s="29" t="n">
        <v>477.0415583985527</v>
      </c>
      <c r="AJ54" s="29" t="n">
        <v>41.85668939505148</v>
      </c>
      <c r="AK54" s="29" t="n">
        <v>9.540812403021015</v>
      </c>
      <c r="AL54" s="29" t="n">
        <v>29.0971204036611</v>
      </c>
      <c r="AM54" s="29" t="n">
        <v>36.08829137098417</v>
      </c>
      <c r="AN54" s="29" t="n">
        <v>191.127991165463</v>
      </c>
      <c r="AO54" s="29" t="n">
        <v>522.62469724332</v>
      </c>
      <c r="AP54" s="29" t="n">
        <v>494.9756994080208</v>
      </c>
      <c r="AQ54" s="29" t="n">
        <v>1267.011009017866</v>
      </c>
      <c r="AR54" s="29" t="n">
        <v>2085.788971348872</v>
      </c>
      <c r="AS54" s="29" t="n">
        <v>4302.348689061458</v>
      </c>
      <c r="AT54" s="29" t="n">
        <v>28.08152517273064</v>
      </c>
      <c r="AU54" s="29" t="n">
        <v>58.15312525040876</v>
      </c>
      <c r="AV54" s="29" t="n">
        <v>285.3815494739268</v>
      </c>
      <c r="AW54" s="29" t="n">
        <v>1.976224604899925</v>
      </c>
      <c r="AX54" s="29" t="n">
        <v>83.1990555533535</v>
      </c>
      <c r="AY54" s="29" t="n">
        <v>15.52449596507943</v>
      </c>
      <c r="AZ54" s="29" t="n">
        <v>51.06750234367752</v>
      </c>
      <c r="BA54" s="29" t="n">
        <v>96.25449981444014</v>
      </c>
      <c r="BB54" s="29" t="n">
        <v>23.75621093666755</v>
      </c>
      <c r="BC54" s="29" t="n">
        <v>123.5024379647776</v>
      </c>
      <c r="BD54" s="29" t="n">
        <v>16.16487345364614</v>
      </c>
      <c r="BE54" s="29" t="n">
        <v>8.786434399051096</v>
      </c>
      <c r="BF54" s="29" t="n">
        <v>92.84705144195514</v>
      </c>
      <c r="BG54" s="29" t="n">
        <v>17.07686259942471</v>
      </c>
      <c r="BH54" s="29" t="n">
        <v>577.6128599764783</v>
      </c>
      <c r="BI54" s="29" t="n">
        <v>65.73153966603709</v>
      </c>
      <c r="BJ54" s="29" t="n">
        <v>115.4029906467946</v>
      </c>
      <c r="BK54" s="29" t="n">
        <v>1283.633159664498</v>
      </c>
      <c r="BL54" s="29" t="n">
        <v>233.777431732921</v>
      </c>
      <c r="BM54" s="29" t="n">
        <v>24.08169300110993</v>
      </c>
      <c r="BN54" s="29" t="n">
        <v>644.0387476712042</v>
      </c>
      <c r="BO54" s="29" t="n">
        <v>436.2685437262231</v>
      </c>
      <c r="BP54" s="29" t="n">
        <v>37.16544205950691</v>
      </c>
      <c r="BQ54" s="29" t="n">
        <v>26.33815926648884</v>
      </c>
      <c r="BR54" s="29" t="n">
        <v>0</v>
      </c>
      <c r="BS54" s="29">
        <f>SUM(C54:BR54)</f>
        <v/>
      </c>
      <c r="BT54" s="29" t="n">
        <v>0</v>
      </c>
      <c r="BU54" s="29" t="n">
        <v>0</v>
      </c>
      <c r="BV54" s="29" t="n">
        <v>80612.71923697901</v>
      </c>
      <c r="BW54" s="29" t="n">
        <v>0</v>
      </c>
      <c r="BX54" s="29">
        <f>SUM(BT54:BW54)</f>
        <v/>
      </c>
      <c r="BY54" s="29">
        <f>BS54+BX54</f>
        <v/>
      </c>
    </row>
    <row r="55">
      <c r="A55" s="30" t="inlineStr">
        <is>
          <t>4680</t>
        </is>
      </c>
      <c r="B55" s="30" t="inlineStr">
        <is>
          <t>Comércio por atacado e a varejo, exceto veículos automotores</t>
        </is>
      </c>
      <c r="C55" s="31" t="n">
        <v>513.3608345093447</v>
      </c>
      <c r="D55" s="31" t="n">
        <v>678.1057100264397</v>
      </c>
      <c r="E55" s="31" t="n">
        <v>42.08951231259213</v>
      </c>
      <c r="F55" s="31" t="n">
        <v>130.2532908588922</v>
      </c>
      <c r="G55" s="31" t="n">
        <v>988.3251316822013</v>
      </c>
      <c r="H55" s="31" t="n">
        <v>349.4808529122886</v>
      </c>
      <c r="I55" s="31" t="n">
        <v>101.8161658331096</v>
      </c>
      <c r="J55" s="31" t="n">
        <v>5319.146980856152</v>
      </c>
      <c r="K55" s="31" t="n">
        <v>409.9488476153301</v>
      </c>
      <c r="L55" s="31" t="n">
        <v>4523.411988608401</v>
      </c>
      <c r="M55" s="31" t="n">
        <v>508.6958619061709</v>
      </c>
      <c r="N55" s="31" t="n">
        <v>185.3102779792971</v>
      </c>
      <c r="O55" s="31" t="n">
        <v>538.2466825430492</v>
      </c>
      <c r="P55" s="31" t="n">
        <v>527.0527714393438</v>
      </c>
      <c r="Q55" s="31" t="n">
        <v>704.7507969490816</v>
      </c>
      <c r="R55" s="31" t="n">
        <v>222.8934106708716</v>
      </c>
      <c r="S55" s="31" t="n">
        <v>1432.972769765474</v>
      </c>
      <c r="T55" s="31" t="n">
        <v>200.7420958912887</v>
      </c>
      <c r="U55" s="31" t="n">
        <v>4986.41885348609</v>
      </c>
      <c r="V55" s="31" t="n">
        <v>392.9941264787572</v>
      </c>
      <c r="W55" s="31" t="n">
        <v>876.862483437515</v>
      </c>
      <c r="X55" s="31" t="n">
        <v>1011.538034413563</v>
      </c>
      <c r="Y55" s="31" t="n">
        <v>194.3816532965419</v>
      </c>
      <c r="Z55" s="31" t="n">
        <v>1403.345432678851</v>
      </c>
      <c r="AA55" s="31" t="n">
        <v>1235.87708879837</v>
      </c>
      <c r="AB55" s="31" t="n">
        <v>1200.596632965882</v>
      </c>
      <c r="AC55" s="31" t="n">
        <v>1829.950163708931</v>
      </c>
      <c r="AD55" s="31" t="n">
        <v>491.7630771255363</v>
      </c>
      <c r="AE55" s="31" t="n">
        <v>1280.390998832252</v>
      </c>
      <c r="AF55" s="31" t="n">
        <v>920.8403246668895</v>
      </c>
      <c r="AG55" s="31" t="n">
        <v>988.2142097235774</v>
      </c>
      <c r="AH55" s="31" t="n">
        <v>2326.234696375643</v>
      </c>
      <c r="AI55" s="31" t="n">
        <v>575.1174585929809</v>
      </c>
      <c r="AJ55" s="31" t="n">
        <v>262.9334488906732</v>
      </c>
      <c r="AK55" s="31" t="n">
        <v>255.1380660766022</v>
      </c>
      <c r="AL55" s="31" t="n">
        <v>631.3360725358625</v>
      </c>
      <c r="AM55" s="31" t="n">
        <v>203.6384239913899</v>
      </c>
      <c r="AN55" s="31" t="n">
        <v>370.4463353796718</v>
      </c>
      <c r="AO55" s="31" t="n">
        <v>225.0804566899802</v>
      </c>
      <c r="AP55" s="31" t="n">
        <v>2236.158695607861</v>
      </c>
      <c r="AQ55" s="31" t="n">
        <v>251.0650026921087</v>
      </c>
      <c r="AR55" s="31" t="n">
        <v>5788.832297027569</v>
      </c>
      <c r="AS55" s="31" t="n">
        <v>805.1970990477636</v>
      </c>
      <c r="AT55" s="31" t="n">
        <v>169.3518295230167</v>
      </c>
      <c r="AU55" s="31" t="n">
        <v>289.3970255441745</v>
      </c>
      <c r="AV55" s="31" t="n">
        <v>448.5497988691571</v>
      </c>
      <c r="AW55" s="31" t="n">
        <v>94.15165448669877</v>
      </c>
      <c r="AX55" s="31" t="n">
        <v>1544.70928268129</v>
      </c>
      <c r="AY55" s="31" t="n">
        <v>634.8627444422964</v>
      </c>
      <c r="AZ55" s="31" t="n">
        <v>566.9082713359358</v>
      </c>
      <c r="BA55" s="31" t="n">
        <v>5110.937126918921</v>
      </c>
      <c r="BB55" s="31" t="n">
        <v>760.6739254887548</v>
      </c>
      <c r="BC55" s="31" t="n">
        <v>1053.452101958585</v>
      </c>
      <c r="BD55" s="31" t="n">
        <v>114.5297091345419</v>
      </c>
      <c r="BE55" s="31" t="n">
        <v>582.5078413513779</v>
      </c>
      <c r="BF55" s="31" t="n">
        <v>241.1386710297752</v>
      </c>
      <c r="BG55" s="31" t="n">
        <v>210.190822661426</v>
      </c>
      <c r="BH55" s="31" t="n">
        <v>212.313867930845</v>
      </c>
      <c r="BI55" s="31" t="n">
        <v>846.21439702722</v>
      </c>
      <c r="BJ55" s="31" t="n">
        <v>88.89905758117874</v>
      </c>
      <c r="BK55" s="31" t="n">
        <v>1161.39588952927</v>
      </c>
      <c r="BL55" s="31" t="n">
        <v>520.3064590245991</v>
      </c>
      <c r="BM55" s="31" t="n">
        <v>330.6559259125062</v>
      </c>
      <c r="BN55" s="31" t="n">
        <v>1042.947103678342</v>
      </c>
      <c r="BO55" s="31" t="n">
        <v>1269.84856491551</v>
      </c>
      <c r="BP55" s="31" t="n">
        <v>122.7291524652888</v>
      </c>
      <c r="BQ55" s="31" t="n">
        <v>390.048740484049</v>
      </c>
      <c r="BR55" s="31" t="n">
        <v>0</v>
      </c>
      <c r="BS55" s="31">
        <f>SUM(C55:BR55)</f>
        <v/>
      </c>
      <c r="BT55" s="31" t="n">
        <v>0</v>
      </c>
      <c r="BU55" s="31" t="n">
        <v>0</v>
      </c>
      <c r="BV55" s="31" t="n">
        <v>66946.15504757065</v>
      </c>
      <c r="BW55" s="31" t="n">
        <v>0</v>
      </c>
      <c r="BX55" s="31">
        <f>SUM(BT55:BW55)</f>
        <v/>
      </c>
      <c r="BY55" s="31">
        <f>BS55+BX55</f>
        <v/>
      </c>
    </row>
    <row r="56">
      <c r="A56" s="28" t="inlineStr">
        <is>
          <t>4900</t>
        </is>
      </c>
      <c r="B56" s="28" t="inlineStr">
        <is>
          <t>Transporte terrestre</t>
        </is>
      </c>
      <c r="C56" s="29" t="n">
        <v>2676.625430710062</v>
      </c>
      <c r="D56" s="29" t="n">
        <v>516.7163121226253</v>
      </c>
      <c r="E56" s="29" t="n">
        <v>412.9415977585383</v>
      </c>
      <c r="F56" s="29" t="n">
        <v>660.0487077588598</v>
      </c>
      <c r="G56" s="29" t="n">
        <v>3894.853659382225</v>
      </c>
      <c r="H56" s="29" t="n">
        <v>2557.387383803615</v>
      </c>
      <c r="I56" s="29" t="n">
        <v>383.4649687092183</v>
      </c>
      <c r="J56" s="29" t="n">
        <v>5554.817746916108</v>
      </c>
      <c r="K56" s="29" t="n">
        <v>1531.073236352087</v>
      </c>
      <c r="L56" s="29" t="n">
        <v>6888.466683094161</v>
      </c>
      <c r="M56" s="29" t="n">
        <v>2324.369331777977</v>
      </c>
      <c r="N56" s="29" t="n">
        <v>168.2245142172665</v>
      </c>
      <c r="O56" s="29" t="n">
        <v>706.4920582430964</v>
      </c>
      <c r="P56" s="29" t="n">
        <v>439.7767091428222</v>
      </c>
      <c r="Q56" s="29" t="n">
        <v>660.8524147243181</v>
      </c>
      <c r="R56" s="29" t="n">
        <v>709.2239299939863</v>
      </c>
      <c r="S56" s="29" t="n">
        <v>1703.863474604011</v>
      </c>
      <c r="T56" s="29" t="n">
        <v>232.7269385336137</v>
      </c>
      <c r="U56" s="29" t="n">
        <v>2284.964434953491</v>
      </c>
      <c r="V56" s="29" t="n">
        <v>461.732989236667</v>
      </c>
      <c r="W56" s="29" t="n">
        <v>3318.840630778393</v>
      </c>
      <c r="X56" s="29" t="n">
        <v>1315.223285934992</v>
      </c>
      <c r="Y56" s="29" t="n">
        <v>945.1777785148755</v>
      </c>
      <c r="Z56" s="29" t="n">
        <v>1817.126491452791</v>
      </c>
      <c r="AA56" s="29" t="n">
        <v>1750.800057284035</v>
      </c>
      <c r="AB56" s="29" t="n">
        <v>1906.033940116521</v>
      </c>
      <c r="AC56" s="29" t="n">
        <v>2968.21207266543</v>
      </c>
      <c r="AD56" s="29" t="n">
        <v>331.3570295596742</v>
      </c>
      <c r="AE56" s="29" t="n">
        <v>1678.608330500614</v>
      </c>
      <c r="AF56" s="29" t="n">
        <v>991.0800632214778</v>
      </c>
      <c r="AG56" s="29" t="n">
        <v>988.5576931818434</v>
      </c>
      <c r="AH56" s="29" t="n">
        <v>1597.628478278032</v>
      </c>
      <c r="AI56" s="29" t="n">
        <v>3985.93703715139</v>
      </c>
      <c r="AJ56" s="29" t="n">
        <v>1352.461519558999</v>
      </c>
      <c r="AK56" s="29" t="n">
        <v>560.8994236092681</v>
      </c>
      <c r="AL56" s="29" t="n">
        <v>899.0469822835712</v>
      </c>
      <c r="AM56" s="29" t="n">
        <v>69.06284294856907</v>
      </c>
      <c r="AN56" s="29" t="n">
        <v>1964.193751033612</v>
      </c>
      <c r="AO56" s="29" t="n">
        <v>246.7729677475695</v>
      </c>
      <c r="AP56" s="29" t="n">
        <v>1804.77283497633</v>
      </c>
      <c r="AQ56" s="29" t="n">
        <v>1270.270139133089</v>
      </c>
      <c r="AR56" s="29" t="n">
        <v>22677.76647454677</v>
      </c>
      <c r="AS56" s="29" t="n">
        <v>21820.74272050078</v>
      </c>
      <c r="AT56" s="29" t="n">
        <v>214.3334125129006</v>
      </c>
      <c r="AU56" s="29" t="n">
        <v>152.5368114584561</v>
      </c>
      <c r="AV56" s="29" t="n">
        <v>3037.5300292232</v>
      </c>
      <c r="AW56" s="29" t="n">
        <v>67.235787823089</v>
      </c>
      <c r="AX56" s="29" t="n">
        <v>656.3506920445575</v>
      </c>
      <c r="AY56" s="29" t="n">
        <v>519.0451877262088</v>
      </c>
      <c r="AZ56" s="29" t="n">
        <v>358.5580427306193</v>
      </c>
      <c r="BA56" s="29" t="n">
        <v>687.1640850603424</v>
      </c>
      <c r="BB56" s="29" t="n">
        <v>385.44452227806</v>
      </c>
      <c r="BC56" s="29" t="n">
        <v>1894.930755445202</v>
      </c>
      <c r="BD56" s="29" t="n">
        <v>120.9004442040047</v>
      </c>
      <c r="BE56" s="29" t="n">
        <v>696.5518210804266</v>
      </c>
      <c r="BF56" s="29" t="n">
        <v>830.3438294087669</v>
      </c>
      <c r="BG56" s="29" t="n">
        <v>223.4588119422935</v>
      </c>
      <c r="BH56" s="29" t="n">
        <v>357.7828068981007</v>
      </c>
      <c r="BI56" s="29" t="n">
        <v>445.5869074141945</v>
      </c>
      <c r="BJ56" s="29" t="n">
        <v>90.97512101983884</v>
      </c>
      <c r="BK56" s="29" t="n">
        <v>2819.936716857994</v>
      </c>
      <c r="BL56" s="29" t="n">
        <v>1263.29946215413</v>
      </c>
      <c r="BM56" s="29" t="n">
        <v>894.82510927651</v>
      </c>
      <c r="BN56" s="29" t="n">
        <v>962.7763152459819</v>
      </c>
      <c r="BO56" s="29" t="n">
        <v>17.08898926469969</v>
      </c>
      <c r="BP56" s="29" t="n">
        <v>207.3948224432506</v>
      </c>
      <c r="BQ56" s="29" t="n">
        <v>1976.488314565691</v>
      </c>
      <c r="BR56" s="29" t="n">
        <v>0</v>
      </c>
      <c r="BS56" s="29">
        <f>SUM(C56:BR56)</f>
        <v/>
      </c>
      <c r="BT56" s="29" t="n">
        <v>0</v>
      </c>
      <c r="BU56" s="29" t="n">
        <v>0</v>
      </c>
      <c r="BV56" s="29" t="n">
        <v>62837.44144395304</v>
      </c>
      <c r="BW56" s="29" t="n">
        <v>0</v>
      </c>
      <c r="BX56" s="29">
        <f>SUM(BT56:BW56)</f>
        <v/>
      </c>
      <c r="BY56" s="29">
        <f>BS56+BX56</f>
        <v/>
      </c>
    </row>
    <row r="57">
      <c r="A57" s="30" t="inlineStr">
        <is>
          <t>5000</t>
        </is>
      </c>
      <c r="B57" s="30" t="inlineStr">
        <is>
          <t>Transporte aquaviário</t>
        </is>
      </c>
      <c r="C57" s="31" t="n">
        <v>0.01141196102707649</v>
      </c>
      <c r="D57" s="31" t="n">
        <v>0.004890840440175639</v>
      </c>
      <c r="E57" s="31" t="n">
        <v>0.01141196102707649</v>
      </c>
      <c r="F57" s="31" t="n">
        <v>0.03749644337467991</v>
      </c>
      <c r="G57" s="31" t="n">
        <v>3055.486846863781</v>
      </c>
      <c r="H57" s="31" t="n">
        <v>0.04238728381485555</v>
      </c>
      <c r="I57" s="31" t="n">
        <v>5.733142646658164</v>
      </c>
      <c r="J57" s="31" t="n">
        <v>720.3870316999239</v>
      </c>
      <c r="K57" s="31" t="n">
        <v>72.36931016801391</v>
      </c>
      <c r="L57" s="31" t="n">
        <v>269.6858745348034</v>
      </c>
      <c r="M57" s="31" t="n">
        <v>1.516022379110845</v>
      </c>
      <c r="N57" s="31" t="n">
        <v>0.7563809094086976</v>
      </c>
      <c r="O57" s="31" t="n">
        <v>7.557287973500075</v>
      </c>
      <c r="P57" s="31" t="n">
        <v>9.726983612775928</v>
      </c>
      <c r="Q57" s="31" t="n">
        <v>3.700390539707228</v>
      </c>
      <c r="R57" s="31" t="n">
        <v>80.72203669577229</v>
      </c>
      <c r="S57" s="31" t="n">
        <v>704.1868273325484</v>
      </c>
      <c r="T57" s="31" t="n">
        <v>16.50499767614135</v>
      </c>
      <c r="U57" s="31" t="n">
        <v>33.03771011477703</v>
      </c>
      <c r="V57" s="31" t="n">
        <v>4.446989768235573</v>
      </c>
      <c r="W57" s="31" t="n">
        <v>525.0054026312819</v>
      </c>
      <c r="X57" s="31" t="n">
        <v>8.699976199010846</v>
      </c>
      <c r="Y57" s="31" t="n">
        <v>25.89940413898534</v>
      </c>
      <c r="Z57" s="31" t="n">
        <v>2.438691863485515</v>
      </c>
      <c r="AA57" s="31" t="n">
        <v>30.48822827998601</v>
      </c>
      <c r="AB57" s="31" t="n">
        <v>74.52759384626269</v>
      </c>
      <c r="AC57" s="31" t="n">
        <v>224.5591811893329</v>
      </c>
      <c r="AD57" s="31" t="n">
        <v>7.866972122706064</v>
      </c>
      <c r="AE57" s="31" t="n">
        <v>21.72956199569305</v>
      </c>
      <c r="AF57" s="31" t="n">
        <v>53.09311255712689</v>
      </c>
      <c r="AG57" s="31" t="n">
        <v>33.72398897787654</v>
      </c>
      <c r="AH57" s="31" t="n">
        <v>198.0941389181056</v>
      </c>
      <c r="AI57" s="31" t="n">
        <v>156.5830615447125</v>
      </c>
      <c r="AJ57" s="31" t="n">
        <v>66.73235405001253</v>
      </c>
      <c r="AK57" s="31" t="n">
        <v>137.7882811316737</v>
      </c>
      <c r="AL57" s="31" t="n">
        <v>1.017225732884732</v>
      </c>
      <c r="AM57" s="31" t="n">
        <v>6.556374697020183</v>
      </c>
      <c r="AN57" s="31" t="n">
        <v>1.149347503441275</v>
      </c>
      <c r="AO57" s="31" t="n">
        <v>0.4026791962411276</v>
      </c>
      <c r="AP57" s="31" t="n">
        <v>7.076562566231541</v>
      </c>
      <c r="AQ57" s="31" t="n">
        <v>8.030481859761609</v>
      </c>
      <c r="AR57" s="31" t="n">
        <v>578.6371154821553</v>
      </c>
      <c r="AS57" s="31" t="n">
        <v>423.2452442224952</v>
      </c>
      <c r="AT57" s="31" t="n">
        <v>797.6254360368316</v>
      </c>
      <c r="AU57" s="31" t="n">
        <v>0.176070255846323</v>
      </c>
      <c r="AV57" s="31" t="n">
        <v>37.27630033891899</v>
      </c>
      <c r="AW57" s="31" t="n">
        <v>1.437907089411637</v>
      </c>
      <c r="AX57" s="31" t="n">
        <v>16.88051473926257</v>
      </c>
      <c r="AY57" s="31" t="n">
        <v>0.5086474057782665</v>
      </c>
      <c r="AZ57" s="31" t="n">
        <v>2.86256470163407</v>
      </c>
      <c r="BA57" s="31" t="n">
        <v>4.131129891801691</v>
      </c>
      <c r="BB57" s="31" t="n">
        <v>11.00023240736832</v>
      </c>
      <c r="BC57" s="31" t="n">
        <v>9.716469674482269</v>
      </c>
      <c r="BD57" s="31" t="n">
        <v>2.580733472266012</v>
      </c>
      <c r="BE57" s="31" t="n">
        <v>6.059682226705815</v>
      </c>
      <c r="BF57" s="31" t="n">
        <v>3.390775469173039</v>
      </c>
      <c r="BG57" s="31" t="n">
        <v>1.203146748283207</v>
      </c>
      <c r="BH57" s="31" t="n">
        <v>1.428125408531287</v>
      </c>
      <c r="BI57" s="31" t="n">
        <v>151.761521814761</v>
      </c>
      <c r="BJ57" s="31" t="n">
        <v>1.053091896112686</v>
      </c>
      <c r="BK57" s="31" t="n">
        <v>3.570685024501076</v>
      </c>
      <c r="BL57" s="31" t="n">
        <v>0.8203149163317988</v>
      </c>
      <c r="BM57" s="31" t="n">
        <v>4.802805312252478</v>
      </c>
      <c r="BN57" s="31" t="n">
        <v>0.5282107675389691</v>
      </c>
      <c r="BO57" s="31" t="n">
        <v>2.112843070155877</v>
      </c>
      <c r="BP57" s="31" t="n">
        <v>5.295080837891691</v>
      </c>
      <c r="BQ57" s="31" t="n">
        <v>3.791286161464611</v>
      </c>
      <c r="BR57" s="31" t="n">
        <v>0</v>
      </c>
      <c r="BS57" s="31">
        <f>SUM(C57:BR57)</f>
        <v/>
      </c>
      <c r="BT57" s="31" t="n">
        <v>0</v>
      </c>
      <c r="BU57" s="31" t="n">
        <v>0</v>
      </c>
      <c r="BV57" s="31" t="n">
        <v>4799.141109987987</v>
      </c>
      <c r="BW57" s="31" t="n">
        <v>0</v>
      </c>
      <c r="BX57" s="31">
        <f>SUM(BT57:BW57)</f>
        <v/>
      </c>
      <c r="BY57" s="31">
        <f>BS57+BX57</f>
        <v/>
      </c>
    </row>
    <row r="58">
      <c r="A58" s="28" t="inlineStr">
        <is>
          <t>5100</t>
        </is>
      </c>
      <c r="B58" s="28" t="inlineStr">
        <is>
          <t>Transporte aéreo</t>
        </is>
      </c>
      <c r="C58" s="29" t="n">
        <v>1.018012432996985</v>
      </c>
      <c r="D58" s="29" t="n">
        <v>0.007809903497932437</v>
      </c>
      <c r="E58" s="29" t="n">
        <v>5.017403652482852</v>
      </c>
      <c r="F58" s="29" t="n">
        <v>8.05978543558018</v>
      </c>
      <c r="G58" s="29" t="n">
        <v>1105.370722710637</v>
      </c>
      <c r="H58" s="29" t="n">
        <v>8.06925404556293</v>
      </c>
      <c r="I58" s="29" t="n">
        <v>19.03290231438201</v>
      </c>
      <c r="J58" s="29" t="n">
        <v>191.2900675672262</v>
      </c>
      <c r="K58" s="29" t="n">
        <v>9.419156177872114</v>
      </c>
      <c r="L58" s="29" t="n">
        <v>167.9456274882404</v>
      </c>
      <c r="M58" s="29" t="n">
        <v>40.14208222980965</v>
      </c>
      <c r="N58" s="29" t="n">
        <v>26.07490376027831</v>
      </c>
      <c r="O58" s="29" t="n">
        <v>32.68386106458343</v>
      </c>
      <c r="P58" s="29" t="n">
        <v>27.72581061632419</v>
      </c>
      <c r="Q58" s="29" t="n">
        <v>44.24256732945259</v>
      </c>
      <c r="R58" s="29" t="n">
        <v>30.07128763471087</v>
      </c>
      <c r="S58" s="29" t="n">
        <v>75.36265291993276</v>
      </c>
      <c r="T58" s="29" t="n">
        <v>24.13185892172033</v>
      </c>
      <c r="U58" s="29" t="n">
        <v>30.3209315328317</v>
      </c>
      <c r="V58" s="29" t="n">
        <v>4.269120672830916</v>
      </c>
      <c r="W58" s="29" t="n">
        <v>216.3626548242979</v>
      </c>
      <c r="X58" s="29" t="n">
        <v>192.2389350998952</v>
      </c>
      <c r="Y58" s="29" t="n">
        <v>9.309798302997697</v>
      </c>
      <c r="Z58" s="29" t="n">
        <v>99.51155160001727</v>
      </c>
      <c r="AA58" s="29" t="n">
        <v>36.84996033006967</v>
      </c>
      <c r="AB58" s="29" t="n">
        <v>102.4655542131101</v>
      </c>
      <c r="AC58" s="29" t="n">
        <v>75.63047599757653</v>
      </c>
      <c r="AD58" s="29" t="n">
        <v>11.03975318480071</v>
      </c>
      <c r="AE58" s="29" t="n">
        <v>43.54483504807747</v>
      </c>
      <c r="AF58" s="29" t="n">
        <v>238.4164498456812</v>
      </c>
      <c r="AG58" s="29" t="n">
        <v>143.2950172764698</v>
      </c>
      <c r="AH58" s="29" t="n">
        <v>190.5991423641017</v>
      </c>
      <c r="AI58" s="29" t="n">
        <v>251.3246712713298</v>
      </c>
      <c r="AJ58" s="29" t="n">
        <v>98.51139656912011</v>
      </c>
      <c r="AK58" s="29" t="n">
        <v>31.14551833407164</v>
      </c>
      <c r="AL58" s="29" t="n">
        <v>31.50062852646789</v>
      </c>
      <c r="AM58" s="29" t="n">
        <v>36.09899326949596</v>
      </c>
      <c r="AN58" s="29" t="n">
        <v>327.7713256211765</v>
      </c>
      <c r="AO58" s="29" t="n">
        <v>45.62826116957485</v>
      </c>
      <c r="AP58" s="29" t="n">
        <v>1345.125011057643</v>
      </c>
      <c r="AQ58" s="29" t="n">
        <v>216.7796629342969</v>
      </c>
      <c r="AR58" s="29" t="n">
        <v>2097.409981118555</v>
      </c>
      <c r="AS58" s="29" t="n">
        <v>199.4480259804333</v>
      </c>
      <c r="AT58" s="29" t="n">
        <v>80.14017684728027</v>
      </c>
      <c r="AU58" s="29" t="n">
        <v>11.27541535880373</v>
      </c>
      <c r="AV58" s="29" t="n">
        <v>556.661899534755</v>
      </c>
      <c r="AW58" s="29" t="n">
        <v>56.25296456066525</v>
      </c>
      <c r="AX58" s="29" t="n">
        <v>51.68813271363074</v>
      </c>
      <c r="AY58" s="29" t="n">
        <v>23.82794814231146</v>
      </c>
      <c r="AZ58" s="29" t="n">
        <v>139.1440635420278</v>
      </c>
      <c r="BA58" s="29" t="n">
        <v>196.6759298200257</v>
      </c>
      <c r="BB58" s="29" t="n">
        <v>458.6645474768878</v>
      </c>
      <c r="BC58" s="29" t="n">
        <v>2237.032116003323</v>
      </c>
      <c r="BD58" s="29" t="n">
        <v>47.04921231831121</v>
      </c>
      <c r="BE58" s="29" t="n">
        <v>592.3500530532017</v>
      </c>
      <c r="BF58" s="29" t="n">
        <v>286.934043740219</v>
      </c>
      <c r="BG58" s="29" t="n">
        <v>431.8522516548409</v>
      </c>
      <c r="BH58" s="29" t="n">
        <v>68.23634776536937</v>
      </c>
      <c r="BI58" s="29" t="n">
        <v>302.2138760872474</v>
      </c>
      <c r="BJ58" s="29" t="n">
        <v>22.53232224426484</v>
      </c>
      <c r="BK58" s="29" t="n">
        <v>967.9519127081943</v>
      </c>
      <c r="BL58" s="29" t="n">
        <v>278.2566023078696</v>
      </c>
      <c r="BM58" s="29" t="n">
        <v>1432.395780021612</v>
      </c>
      <c r="BN58" s="29" t="n">
        <v>344.7937939024981</v>
      </c>
      <c r="BO58" s="29" t="n">
        <v>3.318758218688239</v>
      </c>
      <c r="BP58" s="29" t="n">
        <v>79.1888254717699</v>
      </c>
      <c r="BQ58" s="29" t="n">
        <v>7736.932442862807</v>
      </c>
      <c r="BR58" s="29" t="n">
        <v>0</v>
      </c>
      <c r="BS58" s="29">
        <f>SUM(C58:BR58)</f>
        <v/>
      </c>
      <c r="BT58" s="29" t="n">
        <v>0</v>
      </c>
      <c r="BU58" s="29" t="n">
        <v>0</v>
      </c>
      <c r="BV58" s="29" t="n">
        <v>9694.892980027469</v>
      </c>
      <c r="BW58" s="29" t="n">
        <v>0</v>
      </c>
      <c r="BX58" s="29">
        <f>SUM(BT58:BW58)</f>
        <v/>
      </c>
      <c r="BY58" s="29">
        <f>BS58+BX58</f>
        <v/>
      </c>
    </row>
    <row r="59">
      <c r="A59" s="30" t="inlineStr">
        <is>
          <t>5280</t>
        </is>
      </c>
      <c r="B59" s="30" t="inlineStr">
        <is>
          <t>Armazenamento, atividades auxiliares dos transportes e correio</t>
        </is>
      </c>
      <c r="C59" s="31" t="n">
        <v>518.9060580947488</v>
      </c>
      <c r="D59" s="31" t="n">
        <v>38.18369499434471</v>
      </c>
      <c r="E59" s="31" t="n">
        <v>100.7909040437782</v>
      </c>
      <c r="F59" s="31" t="n">
        <v>29.25854368686759</v>
      </c>
      <c r="G59" s="31" t="n">
        <v>2769.376444437459</v>
      </c>
      <c r="H59" s="31" t="n">
        <v>2065.544543109644</v>
      </c>
      <c r="I59" s="31" t="n">
        <v>411.7947388398152</v>
      </c>
      <c r="J59" s="31" t="n">
        <v>1968.318584058859</v>
      </c>
      <c r="K59" s="31" t="n">
        <v>1749.580947392862</v>
      </c>
      <c r="L59" s="31" t="n">
        <v>2201.028657935557</v>
      </c>
      <c r="M59" s="31" t="n">
        <v>1588.172262324186</v>
      </c>
      <c r="N59" s="31" t="n">
        <v>29.74690470494593</v>
      </c>
      <c r="O59" s="31" t="n">
        <v>170.5035421443348</v>
      </c>
      <c r="P59" s="31" t="n">
        <v>91.93063089312625</v>
      </c>
      <c r="Q59" s="31" t="n">
        <v>142.0221593118277</v>
      </c>
      <c r="R59" s="31" t="n">
        <v>170.0054773768825</v>
      </c>
      <c r="S59" s="31" t="n">
        <v>970.5266186681682</v>
      </c>
      <c r="T59" s="31" t="n">
        <v>185.9183299324069</v>
      </c>
      <c r="U59" s="31" t="n">
        <v>485.9705111540004</v>
      </c>
      <c r="V59" s="31" t="n">
        <v>402.6677339081146</v>
      </c>
      <c r="W59" s="31" t="n">
        <v>904.787577833295</v>
      </c>
      <c r="X59" s="31" t="n">
        <v>568.4309627160919</v>
      </c>
      <c r="Y59" s="31" t="n">
        <v>274.4788813284384</v>
      </c>
      <c r="Z59" s="31" t="n">
        <v>457.7219559688651</v>
      </c>
      <c r="AA59" s="31" t="n">
        <v>210.0490876669986</v>
      </c>
      <c r="AB59" s="31" t="n">
        <v>284.6344026726151</v>
      </c>
      <c r="AC59" s="31" t="n">
        <v>2018.803845671055</v>
      </c>
      <c r="AD59" s="31" t="n">
        <v>93.64866112678683</v>
      </c>
      <c r="AE59" s="31" t="n">
        <v>712.2291126292847</v>
      </c>
      <c r="AF59" s="31" t="n">
        <v>628.1825135565255</v>
      </c>
      <c r="AG59" s="31" t="n">
        <v>733.7408417247611</v>
      </c>
      <c r="AH59" s="31" t="n">
        <v>368.6961631524314</v>
      </c>
      <c r="AI59" s="31" t="n">
        <v>3367.047504337489</v>
      </c>
      <c r="AJ59" s="31" t="n">
        <v>661.7289253405897</v>
      </c>
      <c r="AK59" s="31" t="n">
        <v>329.7288141027233</v>
      </c>
      <c r="AL59" s="31" t="n">
        <v>246.0607711983471</v>
      </c>
      <c r="AM59" s="31" t="n">
        <v>97.3657630154087</v>
      </c>
      <c r="AN59" s="31" t="n">
        <v>402.3055520320917</v>
      </c>
      <c r="AO59" s="31" t="n">
        <v>22.4107304017252</v>
      </c>
      <c r="AP59" s="31" t="n">
        <v>622.8763721175379</v>
      </c>
      <c r="AQ59" s="31" t="n">
        <v>735.8845161166299</v>
      </c>
      <c r="AR59" s="31" t="n">
        <v>8951.456872451079</v>
      </c>
      <c r="AS59" s="31" t="n">
        <v>5786.952665924457</v>
      </c>
      <c r="AT59" s="31" t="n">
        <v>2535.880974858151</v>
      </c>
      <c r="AU59" s="31" t="n">
        <v>2981.115456270936</v>
      </c>
      <c r="AV59" s="31" t="n">
        <v>2995.865634183654</v>
      </c>
      <c r="AW59" s="31" t="n">
        <v>53.36053063387991</v>
      </c>
      <c r="AX59" s="31" t="n">
        <v>209.6590561250336</v>
      </c>
      <c r="AY59" s="31" t="n">
        <v>94.83842287126294</v>
      </c>
      <c r="AZ59" s="31" t="n">
        <v>74.66094934949177</v>
      </c>
      <c r="BA59" s="31" t="n">
        <v>619.1724988364308</v>
      </c>
      <c r="BB59" s="31" t="n">
        <v>114.1316305735225</v>
      </c>
      <c r="BC59" s="31" t="n">
        <v>4565.115892102816</v>
      </c>
      <c r="BD59" s="31" t="n">
        <v>150.893868285725</v>
      </c>
      <c r="BE59" s="31" t="n">
        <v>418.0118912455051</v>
      </c>
      <c r="BF59" s="31" t="n">
        <v>217.5975606617208</v>
      </c>
      <c r="BG59" s="31" t="n">
        <v>201.6257813745677</v>
      </c>
      <c r="BH59" s="31" t="n">
        <v>175.3399092942255</v>
      </c>
      <c r="BI59" s="31" t="n">
        <v>664.6599397944955</v>
      </c>
      <c r="BJ59" s="31" t="n">
        <v>61.89551523378804</v>
      </c>
      <c r="BK59" s="31" t="n">
        <v>2937.615551198954</v>
      </c>
      <c r="BL59" s="31" t="n">
        <v>239.6709442359353</v>
      </c>
      <c r="BM59" s="31" t="n">
        <v>332.9012867164598</v>
      </c>
      <c r="BN59" s="31" t="n">
        <v>303.5143307661693</v>
      </c>
      <c r="BO59" s="31" t="n">
        <v>197.6732197517994</v>
      </c>
      <c r="BP59" s="31" t="n">
        <v>67.90536911640854</v>
      </c>
      <c r="BQ59" s="31" t="n">
        <v>1285.931067487778</v>
      </c>
      <c r="BR59" s="31" t="n">
        <v>0</v>
      </c>
      <c r="BS59" s="31">
        <f>SUM(C59:BR59)</f>
        <v/>
      </c>
      <c r="BT59" s="31" t="n">
        <v>0</v>
      </c>
      <c r="BU59" s="31" t="n">
        <v>0</v>
      </c>
      <c r="BV59" s="31" t="n">
        <v>21610.31066105836</v>
      </c>
      <c r="BW59" s="31" t="n">
        <v>0</v>
      </c>
      <c r="BX59" s="31">
        <f>SUM(BT59:BW59)</f>
        <v/>
      </c>
      <c r="BY59" s="31">
        <f>BS59+BX59</f>
        <v/>
      </c>
    </row>
    <row r="60">
      <c r="A60" s="28" t="inlineStr">
        <is>
          <t>5500</t>
        </is>
      </c>
      <c r="B60" s="28" t="inlineStr">
        <is>
          <t>Alojamento</t>
        </is>
      </c>
      <c r="C60" s="29" t="n">
        <v>3.916968823620022</v>
      </c>
      <c r="D60" s="29" t="n">
        <v>0.9810376322374952</v>
      </c>
      <c r="E60" s="29" t="n">
        <v>3.916673980783325</v>
      </c>
      <c r="F60" s="29" t="n">
        <v>9.801697868150937</v>
      </c>
      <c r="G60" s="29" t="n">
        <v>153.6178600806771</v>
      </c>
      <c r="H60" s="29" t="n">
        <v>62.55711597418274</v>
      </c>
      <c r="I60" s="29" t="n">
        <v>10.76494759504063</v>
      </c>
      <c r="J60" s="29" t="n">
        <v>201.177768246936</v>
      </c>
      <c r="K60" s="29" t="n">
        <v>31.49634942602478</v>
      </c>
      <c r="L60" s="29" t="n">
        <v>197.9866919488541</v>
      </c>
      <c r="M60" s="29" t="n">
        <v>45.01857730401272</v>
      </c>
      <c r="N60" s="29" t="n">
        <v>30.33342575625169</v>
      </c>
      <c r="O60" s="29" t="n">
        <v>29.69609743938231</v>
      </c>
      <c r="P60" s="29" t="n">
        <v>18.97050540038991</v>
      </c>
      <c r="Q60" s="29" t="n">
        <v>26.54653110614173</v>
      </c>
      <c r="R60" s="29" t="n">
        <v>6.887259527033525</v>
      </c>
      <c r="S60" s="29" t="n">
        <v>63.76208419134662</v>
      </c>
      <c r="T60" s="29" t="n">
        <v>11.79596232175114</v>
      </c>
      <c r="U60" s="29" t="n">
        <v>24.60968053046434</v>
      </c>
      <c r="V60" s="29" t="n">
        <v>9.922812191407864</v>
      </c>
      <c r="W60" s="29" t="n">
        <v>110.6229125898776</v>
      </c>
      <c r="X60" s="29" t="n">
        <v>114.476540002027</v>
      </c>
      <c r="Y60" s="29" t="n">
        <v>30.44750797504931</v>
      </c>
      <c r="Z60" s="29" t="n">
        <v>156.6218251669017</v>
      </c>
      <c r="AA60" s="29" t="n">
        <v>87.45245718699786</v>
      </c>
      <c r="AB60" s="29" t="n">
        <v>68.67613013864295</v>
      </c>
      <c r="AC60" s="29" t="n">
        <v>146.9234158435424</v>
      </c>
      <c r="AD60" s="29" t="n">
        <v>22.50917285320156</v>
      </c>
      <c r="AE60" s="29" t="n">
        <v>141.0140120311704</v>
      </c>
      <c r="AF60" s="29" t="n">
        <v>124.3249400708337</v>
      </c>
      <c r="AG60" s="29" t="n">
        <v>111.5698342329958</v>
      </c>
      <c r="AH60" s="29" t="n">
        <v>293.4932654919455</v>
      </c>
      <c r="AI60" s="29" t="n">
        <v>160.3908020081047</v>
      </c>
      <c r="AJ60" s="29" t="n">
        <v>93.07293261950544</v>
      </c>
      <c r="AK60" s="29" t="n">
        <v>48.92712464312793</v>
      </c>
      <c r="AL60" s="29" t="n">
        <v>86.2521028695713</v>
      </c>
      <c r="AM60" s="29" t="n">
        <v>36.19660873899306</v>
      </c>
      <c r="AN60" s="29" t="n">
        <v>135.7454432028419</v>
      </c>
      <c r="AO60" s="29" t="n">
        <v>14.98359216614034</v>
      </c>
      <c r="AP60" s="29" t="n">
        <v>1268.650601245145</v>
      </c>
      <c r="AQ60" s="29" t="n">
        <v>364.071208148414</v>
      </c>
      <c r="AR60" s="29" t="n">
        <v>1935.873765369711</v>
      </c>
      <c r="AS60" s="29" t="n">
        <v>172.2345957034802</v>
      </c>
      <c r="AT60" s="29" t="n">
        <v>4.961741936910107</v>
      </c>
      <c r="AU60" s="29" t="n">
        <v>70.47604657193217</v>
      </c>
      <c r="AV60" s="29" t="n">
        <v>151.9205589696623</v>
      </c>
      <c r="AW60" s="29" t="n">
        <v>1.180169026215212</v>
      </c>
      <c r="AX60" s="29" t="n">
        <v>29.48522980543735</v>
      </c>
      <c r="AY60" s="29" t="n">
        <v>105.9631331011806</v>
      </c>
      <c r="AZ60" s="29" t="n">
        <v>130.5503820955456</v>
      </c>
      <c r="BA60" s="29" t="n">
        <v>108.2296501181422</v>
      </c>
      <c r="BB60" s="29" t="n">
        <v>341.3662206755796</v>
      </c>
      <c r="BC60" s="29" t="n">
        <v>892.0059256207146</v>
      </c>
      <c r="BD60" s="29" t="n">
        <v>45.09853232997723</v>
      </c>
      <c r="BE60" s="29" t="n">
        <v>220.2881584724403</v>
      </c>
      <c r="BF60" s="29" t="n">
        <v>256.9570390614334</v>
      </c>
      <c r="BG60" s="29" t="n">
        <v>106.4959965150578</v>
      </c>
      <c r="BH60" s="29" t="n">
        <v>116.4377136837329</v>
      </c>
      <c r="BI60" s="29" t="n">
        <v>130.2678006424565</v>
      </c>
      <c r="BJ60" s="29" t="n">
        <v>39.3544388137645</v>
      </c>
      <c r="BK60" s="29" t="n">
        <v>1952.386465027832</v>
      </c>
      <c r="BL60" s="29" t="n">
        <v>320.0940992055769</v>
      </c>
      <c r="BM60" s="29" t="n">
        <v>253.0334700275894</v>
      </c>
      <c r="BN60" s="29" t="n">
        <v>326.6937127340367</v>
      </c>
      <c r="BO60" s="29" t="n">
        <v>1.734125916071332</v>
      </c>
      <c r="BP60" s="29" t="n">
        <v>121.956887155101</v>
      </c>
      <c r="BQ60" s="29" t="n">
        <v>7302.826826116936</v>
      </c>
      <c r="BR60" s="29" t="n">
        <v>0</v>
      </c>
      <c r="BS60" s="29">
        <f>SUM(C60:BR60)</f>
        <v/>
      </c>
      <c r="BT60" s="29" t="n">
        <v>0</v>
      </c>
      <c r="BU60" s="29" t="n">
        <v>0</v>
      </c>
      <c r="BV60" s="29" t="n">
        <v>6000.33313545247</v>
      </c>
      <c r="BW60" s="29" t="n">
        <v>0</v>
      </c>
      <c r="BX60" s="29">
        <f>SUM(BT60:BW60)</f>
        <v/>
      </c>
      <c r="BY60" s="29">
        <f>BS60+BX60</f>
        <v/>
      </c>
    </row>
    <row r="61">
      <c r="A61" s="30" t="inlineStr">
        <is>
          <t>5600</t>
        </is>
      </c>
      <c r="B61" s="30" t="inlineStr">
        <is>
          <t>Alimentação</t>
        </is>
      </c>
      <c r="C61" s="31" t="n">
        <v>5.87960531083972</v>
      </c>
      <c r="D61" s="31" t="n">
        <v>0.9543222802577411</v>
      </c>
      <c r="E61" s="31" t="n">
        <v>4.06242652808875</v>
      </c>
      <c r="F61" s="31" t="n">
        <v>4.746912282852614</v>
      </c>
      <c r="G61" s="31" t="n">
        <v>219.6918745569485</v>
      </c>
      <c r="H61" s="31" t="n">
        <v>17.82890506812539</v>
      </c>
      <c r="I61" s="31" t="n">
        <v>6.737022061228648</v>
      </c>
      <c r="J61" s="31" t="n">
        <v>8.46017766769074</v>
      </c>
      <c r="K61" s="31" t="n">
        <v>7.001352767390281</v>
      </c>
      <c r="L61" s="31" t="n">
        <v>76.2760697322429</v>
      </c>
      <c r="M61" s="31" t="n">
        <v>6.720508405603022</v>
      </c>
      <c r="N61" s="31" t="n">
        <v>0.8595725646343665</v>
      </c>
      <c r="O61" s="31" t="n">
        <v>7.934640029609994</v>
      </c>
      <c r="P61" s="31" t="n">
        <v>4.444545420171176</v>
      </c>
      <c r="Q61" s="31" t="n">
        <v>1.426069787283343</v>
      </c>
      <c r="R61" s="31" t="n">
        <v>1.618414306666878</v>
      </c>
      <c r="S61" s="31" t="n">
        <v>13.42375851071155</v>
      </c>
      <c r="T61" s="31" t="n">
        <v>11.56881751837922</v>
      </c>
      <c r="U61" s="31" t="n">
        <v>6.29911371855656</v>
      </c>
      <c r="V61" s="31" t="n">
        <v>2.119782448610725</v>
      </c>
      <c r="W61" s="31" t="n">
        <v>60.57715729873769</v>
      </c>
      <c r="X61" s="31" t="n">
        <v>79.14940299644144</v>
      </c>
      <c r="Y61" s="31" t="n">
        <v>2.689382195977841</v>
      </c>
      <c r="Z61" s="31" t="n">
        <v>153.3316728538886</v>
      </c>
      <c r="AA61" s="31" t="n">
        <v>15.80760136564565</v>
      </c>
      <c r="AB61" s="31" t="n">
        <v>5.638745564063965</v>
      </c>
      <c r="AC61" s="31" t="n">
        <v>26.30158071271963</v>
      </c>
      <c r="AD61" s="31" t="n">
        <v>34.13331903882444</v>
      </c>
      <c r="AE61" s="31" t="n">
        <v>28.30537368983282</v>
      </c>
      <c r="AF61" s="31" t="n">
        <v>9.222319192670719</v>
      </c>
      <c r="AG61" s="31" t="n">
        <v>3.755953054019004</v>
      </c>
      <c r="AH61" s="31" t="n">
        <v>74.92492402493947</v>
      </c>
      <c r="AI61" s="31" t="n">
        <v>311.8343088237189</v>
      </c>
      <c r="AJ61" s="31" t="n">
        <v>16.61518534166112</v>
      </c>
      <c r="AK61" s="31" t="n">
        <v>9.019874789561232</v>
      </c>
      <c r="AL61" s="31" t="n">
        <v>4.112354458245828</v>
      </c>
      <c r="AM61" s="31" t="n">
        <v>37.68699758300539</v>
      </c>
      <c r="AN61" s="31" t="n">
        <v>135.3310951834936</v>
      </c>
      <c r="AO61" s="31" t="n">
        <v>24.27951949046947</v>
      </c>
      <c r="AP61" s="31" t="n">
        <v>77.67723969432181</v>
      </c>
      <c r="AQ61" s="31" t="n">
        <v>139.8472290061576</v>
      </c>
      <c r="AR61" s="31" t="n">
        <v>484.3936142941232</v>
      </c>
      <c r="AS61" s="31" t="n">
        <v>67.79661688694871</v>
      </c>
      <c r="AT61" s="31" t="n">
        <v>15.02569718382144</v>
      </c>
      <c r="AU61" s="31" t="n">
        <v>759.6835239598435</v>
      </c>
      <c r="AV61" s="31" t="n">
        <v>44.511941928718</v>
      </c>
      <c r="AW61" s="31" t="n">
        <v>141.2701689576078</v>
      </c>
      <c r="AX61" s="31" t="n">
        <v>30.08066270754225</v>
      </c>
      <c r="AY61" s="31" t="n">
        <v>11.65859181836927</v>
      </c>
      <c r="AZ61" s="31" t="n">
        <v>271.0231059452135</v>
      </c>
      <c r="BA61" s="31" t="n">
        <v>129.6344279265181</v>
      </c>
      <c r="BB61" s="31" t="n">
        <v>31.77907259658422</v>
      </c>
      <c r="BC61" s="31" t="n">
        <v>2429.721047550215</v>
      </c>
      <c r="BD61" s="31" t="n">
        <v>50.07450687757591</v>
      </c>
      <c r="BE61" s="31" t="n">
        <v>726.4326527486919</v>
      </c>
      <c r="BF61" s="31" t="n">
        <v>20.78284643077685</v>
      </c>
      <c r="BG61" s="31" t="n">
        <v>147.8988436979741</v>
      </c>
      <c r="BH61" s="31" t="n">
        <v>25.20031034669532</v>
      </c>
      <c r="BI61" s="31" t="n">
        <v>770.1097339146821</v>
      </c>
      <c r="BJ61" s="31" t="n">
        <v>9.439798054573826</v>
      </c>
      <c r="BK61" s="31" t="n">
        <v>7762.413752777261</v>
      </c>
      <c r="BL61" s="31" t="n">
        <v>1566.193964084622</v>
      </c>
      <c r="BM61" s="31" t="n">
        <v>158.3709727083046</v>
      </c>
      <c r="BN61" s="31" t="n">
        <v>3393.778830088861</v>
      </c>
      <c r="BO61" s="31" t="n">
        <v>1950.659830890009</v>
      </c>
      <c r="BP61" s="31" t="n">
        <v>45.23236165698983</v>
      </c>
      <c r="BQ61" s="31" t="n">
        <v>6949.850427808713</v>
      </c>
      <c r="BR61" s="31" t="n">
        <v>0</v>
      </c>
      <c r="BS61" s="31">
        <f>SUM(C61:BR61)</f>
        <v/>
      </c>
      <c r="BT61" s="31" t="n">
        <v>0</v>
      </c>
      <c r="BU61" s="31" t="n">
        <v>0</v>
      </c>
      <c r="BV61" s="31" t="n">
        <v>126372.9210823615</v>
      </c>
      <c r="BW61" s="31" t="n">
        <v>0</v>
      </c>
      <c r="BX61" s="31">
        <f>SUM(BT61:BW61)</f>
        <v/>
      </c>
      <c r="BY61" s="31">
        <f>BS61+BX61</f>
        <v/>
      </c>
    </row>
    <row r="62">
      <c r="A62" s="28" t="inlineStr">
        <is>
          <t>5800</t>
        </is>
      </c>
      <c r="B62" s="28" t="inlineStr">
        <is>
          <t>Edição e edição integrada à impressão</t>
        </is>
      </c>
      <c r="C62" s="29" t="n">
        <v>0.3458661499741842</v>
      </c>
      <c r="D62" s="29" t="n">
        <v>0.06982489193053049</v>
      </c>
      <c r="E62" s="29" t="n">
        <v>0.2890689432147181</v>
      </c>
      <c r="F62" s="29" t="n">
        <v>0.04015704088799032</v>
      </c>
      <c r="G62" s="29" t="n">
        <v>0.6579831694436727</v>
      </c>
      <c r="H62" s="29" t="n">
        <v>1.078013304300999</v>
      </c>
      <c r="I62" s="29" t="n">
        <v>0.2853219724704071</v>
      </c>
      <c r="J62" s="29" t="n">
        <v>4.219427989690737</v>
      </c>
      <c r="K62" s="29" t="n">
        <v>1.455396920552337</v>
      </c>
      <c r="L62" s="29" t="n">
        <v>5.604727863377867</v>
      </c>
      <c r="M62" s="29" t="n">
        <v>18.80061541425663</v>
      </c>
      <c r="N62" s="29" t="n">
        <v>0.1238804419869733</v>
      </c>
      <c r="O62" s="29" t="n">
        <v>1.309201177606566</v>
      </c>
      <c r="P62" s="29" t="n">
        <v>1.182926695198089</v>
      </c>
      <c r="Q62" s="29" t="n">
        <v>0.682262710556057</v>
      </c>
      <c r="R62" s="29" t="n">
        <v>1.047791511557006</v>
      </c>
      <c r="S62" s="29" t="n">
        <v>10.23760266421405</v>
      </c>
      <c r="T62" s="29" t="n">
        <v>127.9066229604764</v>
      </c>
      <c r="U62" s="29" t="n">
        <v>0.5261809078903678</v>
      </c>
      <c r="V62" s="29" t="n">
        <v>0.5500394394259798</v>
      </c>
      <c r="W62" s="29" t="n">
        <v>154.7714225189496</v>
      </c>
      <c r="X62" s="29" t="n">
        <v>1.426984612256889</v>
      </c>
      <c r="Y62" s="29" t="n">
        <v>0.3914706727420879</v>
      </c>
      <c r="Z62" s="29" t="n">
        <v>1.268555369572808</v>
      </c>
      <c r="AA62" s="29" t="n">
        <v>2.278539814068769</v>
      </c>
      <c r="AB62" s="29" t="n">
        <v>1.172053648445493</v>
      </c>
      <c r="AC62" s="29" t="n">
        <v>1.507995206946305</v>
      </c>
      <c r="AD62" s="29" t="n">
        <v>0.1920735076841416</v>
      </c>
      <c r="AE62" s="29" t="n">
        <v>1.973209297695878</v>
      </c>
      <c r="AF62" s="29" t="n">
        <v>13.6554164829995</v>
      </c>
      <c r="AG62" s="29" t="n">
        <v>1.341427547164624</v>
      </c>
      <c r="AH62" s="29" t="n">
        <v>2.188390819293866</v>
      </c>
      <c r="AI62" s="29" t="n">
        <v>3.841141175370339</v>
      </c>
      <c r="AJ62" s="29" t="n">
        <v>4.944808537870379</v>
      </c>
      <c r="AK62" s="29" t="n">
        <v>0.6862101714562074</v>
      </c>
      <c r="AL62" s="29" t="n">
        <v>2.343909070493941</v>
      </c>
      <c r="AM62" s="29" t="n">
        <v>10.95756211538816</v>
      </c>
      <c r="AN62" s="29" t="n">
        <v>91.88112627412195</v>
      </c>
      <c r="AO62" s="29" t="n">
        <v>6.05522846263359</v>
      </c>
      <c r="AP62" s="29" t="n">
        <v>5.56897864883909</v>
      </c>
      <c r="AQ62" s="29" t="n">
        <v>14.30343087458179</v>
      </c>
      <c r="AR62" s="29" t="n">
        <v>720.4077645868434</v>
      </c>
      <c r="AS62" s="29" t="n">
        <v>5.806434634869371</v>
      </c>
      <c r="AT62" s="29" t="n">
        <v>0.1513531412714267</v>
      </c>
      <c r="AU62" s="29" t="n">
        <v>3.725958774444559</v>
      </c>
      <c r="AV62" s="29" t="n">
        <v>5.90434431938232</v>
      </c>
      <c r="AW62" s="29" t="n">
        <v>64.79588758349885</v>
      </c>
      <c r="AX62" s="29" t="n">
        <v>9.329638874713785</v>
      </c>
      <c r="AY62" s="29" t="n">
        <v>261.8157379102502</v>
      </c>
      <c r="AZ62" s="29" t="n">
        <v>36.85235701943451</v>
      </c>
      <c r="BA62" s="29" t="n">
        <v>242.5270414884806</v>
      </c>
      <c r="BB62" s="29" t="n">
        <v>83.37825611969403</v>
      </c>
      <c r="BC62" s="29" t="n">
        <v>2417.829652437805</v>
      </c>
      <c r="BD62" s="29" t="n">
        <v>66.86642691704434</v>
      </c>
      <c r="BE62" s="29" t="n">
        <v>298.0102026756516</v>
      </c>
      <c r="BF62" s="29" t="n">
        <v>197.3176657525985</v>
      </c>
      <c r="BG62" s="29" t="n">
        <v>3433.412753101914</v>
      </c>
      <c r="BH62" s="29" t="n">
        <v>27.13091880043302</v>
      </c>
      <c r="BI62" s="29" t="n">
        <v>137.0472271791462</v>
      </c>
      <c r="BJ62" s="29" t="n">
        <v>0.4429967364924934</v>
      </c>
      <c r="BK62" s="29" t="n">
        <v>1414.674651716891</v>
      </c>
      <c r="BL62" s="29" t="n">
        <v>3148.610727051483</v>
      </c>
      <c r="BM62" s="29" t="n">
        <v>1734.915577364196</v>
      </c>
      <c r="BN62" s="29" t="n">
        <v>68.20623637820697</v>
      </c>
      <c r="BO62" s="29" t="n">
        <v>130.8644907355674</v>
      </c>
      <c r="BP62" s="29" t="n">
        <v>33.37988919238835</v>
      </c>
      <c r="BQ62" s="29" t="n">
        <v>264.3467427747007</v>
      </c>
      <c r="BR62" s="29" t="n">
        <v>0</v>
      </c>
      <c r="BS62" s="29">
        <f>SUM(C62:BR62)</f>
        <v/>
      </c>
      <c r="BT62" s="29" t="n">
        <v>0</v>
      </c>
      <c r="BU62" s="29" t="n">
        <v>0</v>
      </c>
      <c r="BV62" s="29" t="n">
        <v>12494.87683778297</v>
      </c>
      <c r="BW62" s="29" t="n">
        <v>0</v>
      </c>
      <c r="BX62" s="29">
        <f>SUM(BT62:BW62)</f>
        <v/>
      </c>
      <c r="BY62" s="29">
        <f>BS62+BX62</f>
        <v/>
      </c>
    </row>
    <row r="63">
      <c r="A63" s="30" t="inlineStr">
        <is>
          <t>5980</t>
        </is>
      </c>
      <c r="B63" s="30" t="inlineStr">
        <is>
          <t>Atividades de televisão, rádio, cinema e  gravação/edição de som e imagem</t>
        </is>
      </c>
      <c r="C63" s="31" t="n">
        <v>0.001476033453325106</v>
      </c>
      <c r="D63" s="31" t="n">
        <v>0.0006892389423529006</v>
      </c>
      <c r="E63" s="31" t="n">
        <v>0.00123809011142811</v>
      </c>
      <c r="F63" s="31" t="n">
        <v>0.006209500443193884</v>
      </c>
      <c r="G63" s="31" t="n">
        <v>0.03596649532212692</v>
      </c>
      <c r="H63" s="31" t="n">
        <v>0.008960915015320731</v>
      </c>
      <c r="I63" s="31" t="n">
        <v>0.004282171389412871</v>
      </c>
      <c r="J63" s="31" t="n">
        <v>0.3716781018142887</v>
      </c>
      <c r="K63" s="31" t="n">
        <v>0.05021458108478982</v>
      </c>
      <c r="L63" s="31" t="n">
        <v>0.2561844955434913</v>
      </c>
      <c r="M63" s="31" t="n">
        <v>0.01946528677196302</v>
      </c>
      <c r="N63" s="31" t="n">
        <v>0.01832001979660253</v>
      </c>
      <c r="O63" s="31" t="n">
        <v>0.08461868993538824</v>
      </c>
      <c r="P63" s="31" t="n">
        <v>0.08500810344513254</v>
      </c>
      <c r="Q63" s="31" t="n">
        <v>0.06673507983269955</v>
      </c>
      <c r="R63" s="31" t="n">
        <v>0.01735000530769423</v>
      </c>
      <c r="S63" s="31" t="n">
        <v>0.1118078506876701</v>
      </c>
      <c r="T63" s="31" t="n">
        <v>0.01369992320247425</v>
      </c>
      <c r="U63" s="31" t="n">
        <v>0.04507980942587425</v>
      </c>
      <c r="V63" s="31" t="n">
        <v>0.03442234997191873</v>
      </c>
      <c r="W63" s="31" t="n">
        <v>0.07297309502705018</v>
      </c>
      <c r="X63" s="31" t="n">
        <v>0.07841254470697301</v>
      </c>
      <c r="Y63" s="31" t="n">
        <v>0.02550738206434208</v>
      </c>
      <c r="Z63" s="31" t="n">
        <v>0.1015904842837545</v>
      </c>
      <c r="AA63" s="31" t="n">
        <v>0.138293094576557</v>
      </c>
      <c r="AB63" s="31" t="n">
        <v>0.08989558705289369</v>
      </c>
      <c r="AC63" s="31" t="n">
        <v>0.1200437331268835</v>
      </c>
      <c r="AD63" s="31" t="n">
        <v>0.02679558326302584</v>
      </c>
      <c r="AE63" s="31" t="n">
        <v>0.1116507191666916</v>
      </c>
      <c r="AF63" s="31" t="n">
        <v>0.07355126971201564</v>
      </c>
      <c r="AG63" s="31" t="n">
        <v>0.07863697936010139</v>
      </c>
      <c r="AH63" s="31" t="n">
        <v>0.1832042417896909</v>
      </c>
      <c r="AI63" s="31" t="n">
        <v>0.03329763025623114</v>
      </c>
      <c r="AJ63" s="31" t="n">
        <v>0.03812541775578715</v>
      </c>
      <c r="AK63" s="31" t="n">
        <v>0.01956284234058245</v>
      </c>
      <c r="AL63" s="31" t="n">
        <v>0.0671616641939714</v>
      </c>
      <c r="AM63" s="31" t="n">
        <v>0.007471372873227047</v>
      </c>
      <c r="AN63" s="31" t="n">
        <v>0.1246933612224025</v>
      </c>
      <c r="AO63" s="31" t="n">
        <v>0.04424209506291343</v>
      </c>
      <c r="AP63" s="31" t="n">
        <v>0.2255885847431333</v>
      </c>
      <c r="AQ63" s="31" t="n">
        <v>0.607902244711202</v>
      </c>
      <c r="AR63" s="31" t="n">
        <v>4.723245848009586</v>
      </c>
      <c r="AS63" s="31" t="n">
        <v>1.169376496748165</v>
      </c>
      <c r="AT63" s="31" t="n">
        <v>0.01025846092326148</v>
      </c>
      <c r="AU63" s="31" t="n">
        <v>0.01910196171917656</v>
      </c>
      <c r="AV63" s="31" t="n">
        <v>0.3259714393374295</v>
      </c>
      <c r="AW63" s="31" t="n">
        <v>4.151494559651629</v>
      </c>
      <c r="AX63" s="31" t="n">
        <v>0.669453010250771</v>
      </c>
      <c r="AY63" s="31" t="n">
        <v>13.0795655712756</v>
      </c>
      <c r="AZ63" s="31" t="n">
        <v>3517.145905411247</v>
      </c>
      <c r="BA63" s="31" t="n">
        <v>3781.442585054092</v>
      </c>
      <c r="BB63" s="31" t="n">
        <v>1.201554259877106</v>
      </c>
      <c r="BC63" s="31" t="n">
        <v>3.054113702203291</v>
      </c>
      <c r="BD63" s="31" t="n">
        <v>0.2799852351986712</v>
      </c>
      <c r="BE63" s="31" t="n">
        <v>0.5976439039437871</v>
      </c>
      <c r="BF63" s="31" t="n">
        <v>0.1382584378488839</v>
      </c>
      <c r="BG63" s="31" t="n">
        <v>25260.65913559722</v>
      </c>
      <c r="BH63" s="31" t="n">
        <v>0.1549381339444321</v>
      </c>
      <c r="BI63" s="31" t="n">
        <v>16.43322634414159</v>
      </c>
      <c r="BJ63" s="31" t="n">
        <v>3.035869115386041</v>
      </c>
      <c r="BK63" s="31" t="n">
        <v>0.3489645414068088</v>
      </c>
      <c r="BL63" s="31" t="n">
        <v>0.08878874799098732</v>
      </c>
      <c r="BM63" s="31" t="n">
        <v>0.521614268026409</v>
      </c>
      <c r="BN63" s="31" t="n">
        <v>0.05730588515752966</v>
      </c>
      <c r="BO63" s="31" t="n">
        <v>0.2292235406301187</v>
      </c>
      <c r="BP63" s="31" t="n">
        <v>58.43239905612558</v>
      </c>
      <c r="BQ63" s="31" t="n">
        <v>0.3970795356986045</v>
      </c>
      <c r="BR63" s="31" t="n">
        <v>0</v>
      </c>
      <c r="BS63" s="31">
        <f>SUM(C63:BR63)</f>
        <v/>
      </c>
      <c r="BT63" s="31" t="n">
        <v>0</v>
      </c>
      <c r="BU63" s="31" t="n">
        <v>0</v>
      </c>
      <c r="BV63" s="31" t="n">
        <v>1394.024218371046</v>
      </c>
      <c r="BW63" s="31" t="n">
        <v>0</v>
      </c>
      <c r="BX63" s="31">
        <f>SUM(BT63:BW63)</f>
        <v/>
      </c>
      <c r="BY63" s="31">
        <f>BS63+BX63</f>
        <v/>
      </c>
    </row>
    <row r="64">
      <c r="A64" s="28" t="inlineStr">
        <is>
          <t>6100</t>
        </is>
      </c>
      <c r="B64" s="28" t="inlineStr">
        <is>
          <t>Telecomunicações</t>
        </is>
      </c>
      <c r="C64" s="29" t="n">
        <v>6.997403840389994</v>
      </c>
      <c r="D64" s="29" t="n">
        <v>3.998378060210396</v>
      </c>
      <c r="E64" s="29" t="n">
        <v>8.996385240476505</v>
      </c>
      <c r="F64" s="29" t="n">
        <v>36.99959825226694</v>
      </c>
      <c r="G64" s="29" t="n">
        <v>489.7766044035498</v>
      </c>
      <c r="H64" s="29" t="n">
        <v>90.9343181085338</v>
      </c>
      <c r="I64" s="29" t="n">
        <v>22.99008556115683</v>
      </c>
      <c r="J64" s="29" t="n">
        <v>617.4912973205137</v>
      </c>
      <c r="K64" s="29" t="n">
        <v>224.0449769650647</v>
      </c>
      <c r="L64" s="29" t="n">
        <v>1090.93018123211</v>
      </c>
      <c r="M64" s="29" t="n">
        <v>372.6267256869012</v>
      </c>
      <c r="N64" s="29" t="n">
        <v>24.22025607706131</v>
      </c>
      <c r="O64" s="29" t="n">
        <v>256.9045454343059</v>
      </c>
      <c r="P64" s="29" t="n">
        <v>528.9362145804627</v>
      </c>
      <c r="Q64" s="29" t="n">
        <v>177.2108426258719</v>
      </c>
      <c r="R64" s="29" t="n">
        <v>80.0542686460516</v>
      </c>
      <c r="S64" s="29" t="n">
        <v>339.1485778437077</v>
      </c>
      <c r="T64" s="29" t="n">
        <v>422.8068842293123</v>
      </c>
      <c r="U64" s="29" t="n">
        <v>202.9130840902633</v>
      </c>
      <c r="V64" s="29" t="n">
        <v>94.96545850535506</v>
      </c>
      <c r="W64" s="29" t="n">
        <v>281.8673882885334</v>
      </c>
      <c r="X64" s="29" t="n">
        <v>259.1692184494313</v>
      </c>
      <c r="Y64" s="29" t="n">
        <v>29.68848176984717</v>
      </c>
      <c r="Z64" s="29" t="n">
        <v>233.0437608054526</v>
      </c>
      <c r="AA64" s="29" t="n">
        <v>353.2289206282125</v>
      </c>
      <c r="AB64" s="29" t="n">
        <v>491.093482361298</v>
      </c>
      <c r="AC64" s="29" t="n">
        <v>190.2394128986081</v>
      </c>
      <c r="AD64" s="29" t="n">
        <v>61.9008201759153</v>
      </c>
      <c r="AE64" s="29" t="n">
        <v>406.9258255526315</v>
      </c>
      <c r="AF64" s="29" t="n">
        <v>734.2583918089159</v>
      </c>
      <c r="AG64" s="29" t="n">
        <v>492.1525933870847</v>
      </c>
      <c r="AH64" s="29" t="n">
        <v>551.1201590604154</v>
      </c>
      <c r="AI64" s="29" t="n">
        <v>1732.69273421503</v>
      </c>
      <c r="AJ64" s="29" t="n">
        <v>1557.883057790913</v>
      </c>
      <c r="AK64" s="29" t="n">
        <v>239.2978750512819</v>
      </c>
      <c r="AL64" s="29" t="n">
        <v>448.0722361685348</v>
      </c>
      <c r="AM64" s="29" t="n">
        <v>82.97852359446848</v>
      </c>
      <c r="AN64" s="29" t="n">
        <v>352.772799185286</v>
      </c>
      <c r="AO64" s="29" t="n">
        <v>178.0350864930563</v>
      </c>
      <c r="AP64" s="29" t="n">
        <v>1491.70652509764</v>
      </c>
      <c r="AQ64" s="29" t="n">
        <v>1273.826901437925</v>
      </c>
      <c r="AR64" s="29" t="n">
        <v>5717.775402880567</v>
      </c>
      <c r="AS64" s="29" t="n">
        <v>914.6674274315882</v>
      </c>
      <c r="AT64" s="29" t="n">
        <v>37.98867496236626</v>
      </c>
      <c r="AU64" s="29" t="n">
        <v>78.97471466476264</v>
      </c>
      <c r="AV64" s="29" t="n">
        <v>725.8853563143633</v>
      </c>
      <c r="AW64" s="29" t="n">
        <v>233.0034195610664</v>
      </c>
      <c r="AX64" s="29" t="n">
        <v>623.2066258741008</v>
      </c>
      <c r="AY64" s="29" t="n">
        <v>238.9519817349848</v>
      </c>
      <c r="AZ64" s="29" t="n">
        <v>353.8808894608188</v>
      </c>
      <c r="BA64" s="29" t="n">
        <v>27591.25333779953</v>
      </c>
      <c r="BB64" s="29" t="n">
        <v>1230.068768600013</v>
      </c>
      <c r="BC64" s="29" t="n">
        <v>10682.48890546918</v>
      </c>
      <c r="BD64" s="29" t="n">
        <v>567.9298365042898</v>
      </c>
      <c r="BE64" s="29" t="n">
        <v>2263.30082411878</v>
      </c>
      <c r="BF64" s="29" t="n">
        <v>439.7974107094517</v>
      </c>
      <c r="BG64" s="29" t="n">
        <v>1925.121242252504</v>
      </c>
      <c r="BH64" s="29" t="n">
        <v>128.3612393440488</v>
      </c>
      <c r="BI64" s="29" t="n">
        <v>1754.503850807731</v>
      </c>
      <c r="BJ64" s="29" t="n">
        <v>292.8795664752651</v>
      </c>
      <c r="BK64" s="29" t="n">
        <v>4595.931341483468</v>
      </c>
      <c r="BL64" s="29" t="n">
        <v>918.6014401860056</v>
      </c>
      <c r="BM64" s="29" t="n">
        <v>1116.854155995397</v>
      </c>
      <c r="BN64" s="29" t="n">
        <v>382.8497862006033</v>
      </c>
      <c r="BO64" s="29" t="n">
        <v>972.7753956205127</v>
      </c>
      <c r="BP64" s="29" t="n">
        <v>249.262144545777</v>
      </c>
      <c r="BQ64" s="29" t="n">
        <v>1836.374615227378</v>
      </c>
      <c r="BR64" s="29" t="n">
        <v>0</v>
      </c>
      <c r="BS64" s="29">
        <f>SUM(C64:BR64)</f>
        <v/>
      </c>
      <c r="BT64" s="29" t="n">
        <v>0</v>
      </c>
      <c r="BU64" s="29" t="n">
        <v>0</v>
      </c>
      <c r="BV64" s="29" t="n">
        <v>77313.41658180181</v>
      </c>
      <c r="BW64" s="29" t="n">
        <v>0</v>
      </c>
      <c r="BX64" s="29">
        <f>SUM(BT64:BW64)</f>
        <v/>
      </c>
      <c r="BY64" s="29">
        <f>BS64+BX64</f>
        <v/>
      </c>
    </row>
    <row r="65">
      <c r="A65" s="30" t="inlineStr">
        <is>
          <t>6280</t>
        </is>
      </c>
      <c r="B65" s="30" t="inlineStr">
        <is>
          <t>Desenvolvimento de sistemas e outros serviços de informação</t>
        </is>
      </c>
      <c r="C65" s="31" t="n">
        <v>12.70003870468271</v>
      </c>
      <c r="D65" s="31" t="n">
        <v>7.815340234520006</v>
      </c>
      <c r="E65" s="31" t="n">
        <v>0.9773744029338389</v>
      </c>
      <c r="F65" s="31" t="n">
        <v>1.005176686871003</v>
      </c>
      <c r="G65" s="31" t="n">
        <v>36.16420129072529</v>
      </c>
      <c r="H65" s="31" t="n">
        <v>169.3664845617846</v>
      </c>
      <c r="I65" s="31" t="n">
        <v>18.56614454761377</v>
      </c>
      <c r="J65" s="31" t="n">
        <v>304.6647331311383</v>
      </c>
      <c r="K65" s="31" t="n">
        <v>11.00483161558591</v>
      </c>
      <c r="L65" s="31" t="n">
        <v>485.6732734976732</v>
      </c>
      <c r="M65" s="31" t="n">
        <v>51.93321523849644</v>
      </c>
      <c r="N65" s="31" t="n">
        <v>32.58736652852581</v>
      </c>
      <c r="O65" s="31" t="n">
        <v>36.26695863972599</v>
      </c>
      <c r="P65" s="31" t="n">
        <v>36.49113927827658</v>
      </c>
      <c r="Q65" s="31" t="n">
        <v>11.28776828120319</v>
      </c>
      <c r="R65" s="31" t="n">
        <v>7.976252981922781</v>
      </c>
      <c r="S65" s="31" t="n">
        <v>106.1671845265746</v>
      </c>
      <c r="T65" s="31" t="n">
        <v>4.921405681264082</v>
      </c>
      <c r="U65" s="31" t="n">
        <v>30.35480806981106</v>
      </c>
      <c r="V65" s="31" t="n">
        <v>2.00574726086225</v>
      </c>
      <c r="W65" s="31" t="n">
        <v>247.6612877924217</v>
      </c>
      <c r="X65" s="31" t="n">
        <v>154.9132538830305</v>
      </c>
      <c r="Y65" s="31" t="n">
        <v>13.65960913347932</v>
      </c>
      <c r="Z65" s="31" t="n">
        <v>260.0308712639211</v>
      </c>
      <c r="AA65" s="31" t="n">
        <v>100.3850722042791</v>
      </c>
      <c r="AB65" s="31" t="n">
        <v>69.96702417373608</v>
      </c>
      <c r="AC65" s="31" t="n">
        <v>126.660229155912</v>
      </c>
      <c r="AD65" s="31" t="n">
        <v>16.97173573504624</v>
      </c>
      <c r="AE65" s="31" t="n">
        <v>79.49157130971955</v>
      </c>
      <c r="AF65" s="31" t="n">
        <v>160.1930806919023</v>
      </c>
      <c r="AG65" s="31" t="n">
        <v>254.0934675596068</v>
      </c>
      <c r="AH65" s="31" t="n">
        <v>154.6761496778793</v>
      </c>
      <c r="AI65" s="31" t="n">
        <v>790.2798855336478</v>
      </c>
      <c r="AJ65" s="31" t="n">
        <v>107.7761659814219</v>
      </c>
      <c r="AK65" s="31" t="n">
        <v>58.22773523055973</v>
      </c>
      <c r="AL65" s="31" t="n">
        <v>83.51230684718641</v>
      </c>
      <c r="AM65" s="31" t="n">
        <v>43.00580858548334</v>
      </c>
      <c r="AN65" s="31" t="n">
        <v>632.2603046325452</v>
      </c>
      <c r="AO65" s="31" t="n">
        <v>183.7910078123734</v>
      </c>
      <c r="AP65" s="31" t="n">
        <v>404.905357773555</v>
      </c>
      <c r="AQ65" s="31" t="n">
        <v>356.8094828769555</v>
      </c>
      <c r="AR65" s="31" t="n">
        <v>4676.521252423134</v>
      </c>
      <c r="AS65" s="31" t="n">
        <v>633.0639262764057</v>
      </c>
      <c r="AT65" s="31" t="n">
        <v>0.9812963032868099</v>
      </c>
      <c r="AU65" s="31" t="n">
        <v>599.785672372378</v>
      </c>
      <c r="AV65" s="31" t="n">
        <v>680.9964904238736</v>
      </c>
      <c r="AW65" s="31" t="n">
        <v>51.84013925903009</v>
      </c>
      <c r="AX65" s="31" t="n">
        <v>57.92439659643412</v>
      </c>
      <c r="AY65" s="31" t="n">
        <v>566.7342120434671</v>
      </c>
      <c r="AZ65" s="31" t="n">
        <v>708.3278827252267</v>
      </c>
      <c r="BA65" s="31" t="n">
        <v>2522.429986533317</v>
      </c>
      <c r="BB65" s="31" t="n">
        <v>4472.831976606293</v>
      </c>
      <c r="BC65" s="31" t="n">
        <v>11193.19852681986</v>
      </c>
      <c r="BD65" s="31" t="n">
        <v>225.7708724774815</v>
      </c>
      <c r="BE65" s="31" t="n">
        <v>1439.178643995772</v>
      </c>
      <c r="BF65" s="31" t="n">
        <v>51.93040008986352</v>
      </c>
      <c r="BG65" s="31" t="n">
        <v>2131.537109251751</v>
      </c>
      <c r="BH65" s="31" t="n">
        <v>257.3931050591003</v>
      </c>
      <c r="BI65" s="31" t="n">
        <v>663.5982584131912</v>
      </c>
      <c r="BJ65" s="31" t="n">
        <v>108.4513236486677</v>
      </c>
      <c r="BK65" s="31" t="n">
        <v>7542.303274091766</v>
      </c>
      <c r="BL65" s="31" t="n">
        <v>979.8052149975224</v>
      </c>
      <c r="BM65" s="31" t="n">
        <v>250.318954528715</v>
      </c>
      <c r="BN65" s="31" t="n">
        <v>1504.352514045746</v>
      </c>
      <c r="BO65" s="31" t="n">
        <v>0.2250160872234568</v>
      </c>
      <c r="BP65" s="31" t="n">
        <v>93.99424809781813</v>
      </c>
      <c r="BQ65" s="31" t="n">
        <v>1000.454395471524</v>
      </c>
      <c r="BR65" s="31" t="n">
        <v>0</v>
      </c>
      <c r="BS65" s="31">
        <f>SUM(C65:BR65)</f>
        <v/>
      </c>
      <c r="BT65" s="31" t="n">
        <v>0</v>
      </c>
      <c r="BU65" s="31" t="n">
        <v>0</v>
      </c>
      <c r="BV65" s="31" t="n">
        <v>38517.18838151666</v>
      </c>
      <c r="BW65" s="31" t="n">
        <v>0</v>
      </c>
      <c r="BX65" s="31">
        <f>SUM(BT65:BW65)</f>
        <v/>
      </c>
      <c r="BY65" s="31">
        <f>BS65+BX65</f>
        <v/>
      </c>
    </row>
    <row r="66">
      <c r="A66" s="28" t="inlineStr">
        <is>
          <t>6480</t>
        </is>
      </c>
      <c r="B66" s="28" t="inlineStr">
        <is>
          <t>Intermediação financeira, seguros e previdência complementar</t>
        </is>
      </c>
      <c r="C66" s="29" t="n">
        <v>4024.449759606885</v>
      </c>
      <c r="D66" s="29" t="n">
        <v>1559.38230463704</v>
      </c>
      <c r="E66" s="29" t="n">
        <v>341.0746655436399</v>
      </c>
      <c r="F66" s="29" t="n">
        <v>580.0279029501153</v>
      </c>
      <c r="G66" s="29" t="n">
        <v>3509.105329127834</v>
      </c>
      <c r="H66" s="29" t="n">
        <v>2170.654539024359</v>
      </c>
      <c r="I66" s="29" t="n">
        <v>341.1653961378136</v>
      </c>
      <c r="J66" s="29" t="n">
        <v>4041.489890124737</v>
      </c>
      <c r="K66" s="29" t="n">
        <v>1722.485807381055</v>
      </c>
      <c r="L66" s="29" t="n">
        <v>3660.001579427066</v>
      </c>
      <c r="M66" s="29" t="n">
        <v>1303.920879329321</v>
      </c>
      <c r="N66" s="29" t="n">
        <v>311.5533868327424</v>
      </c>
      <c r="O66" s="29" t="n">
        <v>875.5393335981436</v>
      </c>
      <c r="P66" s="29" t="n">
        <v>987.2256917643217</v>
      </c>
      <c r="Q66" s="29" t="n">
        <v>693.1488470735504</v>
      </c>
      <c r="R66" s="29" t="n">
        <v>458.3679467015426</v>
      </c>
      <c r="S66" s="29" t="n">
        <v>1730.385613696893</v>
      </c>
      <c r="T66" s="29" t="n">
        <v>397.626573570617</v>
      </c>
      <c r="U66" s="29" t="n">
        <v>2550.633479926394</v>
      </c>
      <c r="V66" s="29" t="n">
        <v>690.9114477967439</v>
      </c>
      <c r="W66" s="29" t="n">
        <v>2968.771501509558</v>
      </c>
      <c r="X66" s="29" t="n">
        <v>1148.290486571925</v>
      </c>
      <c r="Y66" s="29" t="n">
        <v>630.4530984476596</v>
      </c>
      <c r="Z66" s="29" t="n">
        <v>799.7363888298654</v>
      </c>
      <c r="AA66" s="29" t="n">
        <v>1697.901933241507</v>
      </c>
      <c r="AB66" s="29" t="n">
        <v>1905.692948413887</v>
      </c>
      <c r="AC66" s="29" t="n">
        <v>2822.659494827832</v>
      </c>
      <c r="AD66" s="29" t="n">
        <v>986.1190738463264</v>
      </c>
      <c r="AE66" s="29" t="n">
        <v>1624.302347636584</v>
      </c>
      <c r="AF66" s="29" t="n">
        <v>1353.103786489604</v>
      </c>
      <c r="AG66" s="29" t="n">
        <v>1428.642981826009</v>
      </c>
      <c r="AH66" s="29" t="n">
        <v>2252.03404785037</v>
      </c>
      <c r="AI66" s="29" t="n">
        <v>3434.490259957519</v>
      </c>
      <c r="AJ66" s="29" t="n">
        <v>1518.702369559425</v>
      </c>
      <c r="AK66" s="29" t="n">
        <v>884.7752838933542</v>
      </c>
      <c r="AL66" s="29" t="n">
        <v>907.0714521385206</v>
      </c>
      <c r="AM66" s="29" t="n">
        <v>512.3370729665068</v>
      </c>
      <c r="AN66" s="29" t="n">
        <v>4593.483865066823</v>
      </c>
      <c r="AO66" s="29" t="n">
        <v>937.1944901652587</v>
      </c>
      <c r="AP66" s="29" t="n">
        <v>8728.158198965786</v>
      </c>
      <c r="AQ66" s="29" t="n">
        <v>2803.739973340887</v>
      </c>
      <c r="AR66" s="29" t="n">
        <v>20311.53623431516</v>
      </c>
      <c r="AS66" s="29" t="n">
        <v>6767.754377704025</v>
      </c>
      <c r="AT66" s="29" t="n">
        <v>393.0527410840937</v>
      </c>
      <c r="AU66" s="29" t="n">
        <v>1048.874702349731</v>
      </c>
      <c r="AV66" s="29" t="n">
        <v>2584.468935698341</v>
      </c>
      <c r="AW66" s="29" t="n">
        <v>506.6940207582693</v>
      </c>
      <c r="AX66" s="29" t="n">
        <v>2515.566657990919</v>
      </c>
      <c r="AY66" s="29" t="n">
        <v>585.5722248378788</v>
      </c>
      <c r="AZ66" s="29" t="n">
        <v>857.1776084018389</v>
      </c>
      <c r="BA66" s="29" t="n">
        <v>5441.467155732009</v>
      </c>
      <c r="BB66" s="29" t="n">
        <v>1712.421170196896</v>
      </c>
      <c r="BC66" s="29" t="n">
        <v>52280.15927543727</v>
      </c>
      <c r="BD66" s="29" t="n">
        <v>16498.14905464157</v>
      </c>
      <c r="BE66" s="29" t="n">
        <v>3328.766064417195</v>
      </c>
      <c r="BF66" s="29" t="n">
        <v>1319.297836920682</v>
      </c>
      <c r="BG66" s="29" t="n">
        <v>661.8920998198746</v>
      </c>
      <c r="BH66" s="29" t="n">
        <v>1061.34898774568</v>
      </c>
      <c r="BI66" s="29" t="n">
        <v>3409.430594838587</v>
      </c>
      <c r="BJ66" s="29" t="n">
        <v>692.6496692013792</v>
      </c>
      <c r="BK66" s="29" t="n">
        <v>38549.19854744196</v>
      </c>
      <c r="BL66" s="29" t="n">
        <v>304.0132243742784</v>
      </c>
      <c r="BM66" s="29" t="n">
        <v>1250.004934273124</v>
      </c>
      <c r="BN66" s="29" t="n">
        <v>307.0120070095626</v>
      </c>
      <c r="BO66" s="29" t="n">
        <v>3279.8336767176</v>
      </c>
      <c r="BP66" s="29" t="n">
        <v>892.6111730464685</v>
      </c>
      <c r="BQ66" s="29" t="n">
        <v>2223.32307465647</v>
      </c>
      <c r="BR66" s="29" t="n">
        <v>0</v>
      </c>
      <c r="BS66" s="29">
        <f>SUM(C66:BR66)</f>
        <v/>
      </c>
      <c r="BT66" s="29" t="n">
        <v>0</v>
      </c>
      <c r="BU66" s="29" t="n">
        <v>0</v>
      </c>
      <c r="BV66" s="29" t="n">
        <v>190069.5214976605</v>
      </c>
      <c r="BW66" s="29" t="n">
        <v>0</v>
      </c>
      <c r="BX66" s="29">
        <f>SUM(BT66:BW66)</f>
        <v/>
      </c>
      <c r="BY66" s="29">
        <f>BS66+BX66</f>
        <v/>
      </c>
    </row>
    <row r="67">
      <c r="A67" s="30" t="inlineStr">
        <is>
          <t>6800</t>
        </is>
      </c>
      <c r="B67" s="30" t="inlineStr">
        <is>
          <t>Atividades imobiliárias</t>
        </is>
      </c>
      <c r="C67" s="31" t="n">
        <v>4.88044355923992</v>
      </c>
      <c r="D67" s="31" t="n">
        <v>2.09161866824568</v>
      </c>
      <c r="E67" s="31" t="n">
        <v>4.88044355923992</v>
      </c>
      <c r="F67" s="31" t="n">
        <v>16.03574312321688</v>
      </c>
      <c r="G67" s="31" t="n">
        <v>131.7719760994779</v>
      </c>
      <c r="H67" s="31" t="n">
        <v>18.12736179146256</v>
      </c>
      <c r="I67" s="31" t="n">
        <v>9.063680895731281</v>
      </c>
      <c r="J67" s="31" t="n">
        <v>291.4322011088981</v>
      </c>
      <c r="K67" s="31" t="n">
        <v>109.4613769715239</v>
      </c>
      <c r="L67" s="31" t="n">
        <v>218.2255477202993</v>
      </c>
      <c r="M67" s="31" t="n">
        <v>37.64913602842224</v>
      </c>
      <c r="N67" s="31" t="n">
        <v>18.12736179146256</v>
      </c>
      <c r="O67" s="31" t="n">
        <v>178.4847930236314</v>
      </c>
      <c r="P67" s="31" t="n">
        <v>190.3372988103569</v>
      </c>
      <c r="Q67" s="31" t="n">
        <v>55.7764978198848</v>
      </c>
      <c r="R67" s="31" t="n">
        <v>17.430155568714</v>
      </c>
      <c r="S67" s="31" t="n">
        <v>80.87592183883297</v>
      </c>
      <c r="T67" s="31" t="n">
        <v>35.55751736017656</v>
      </c>
      <c r="U67" s="31" t="n">
        <v>82.96754050707864</v>
      </c>
      <c r="V67" s="31" t="n">
        <v>69.720622274856</v>
      </c>
      <c r="W67" s="31" t="n">
        <v>94.12284007105561</v>
      </c>
      <c r="X67" s="31" t="n">
        <v>56.47370404263336</v>
      </c>
      <c r="Y67" s="31" t="n">
        <v>83.66474672982721</v>
      </c>
      <c r="Z67" s="31" t="n">
        <v>126.8915325402379</v>
      </c>
      <c r="AA67" s="31" t="n">
        <v>214.0423103838079</v>
      </c>
      <c r="AB67" s="31" t="n">
        <v>116.4334391990095</v>
      </c>
      <c r="AC67" s="31" t="n">
        <v>156.1741938956775</v>
      </c>
      <c r="AD67" s="31" t="n">
        <v>5.577649781988481</v>
      </c>
      <c r="AE67" s="31" t="n">
        <v>132.4691823222264</v>
      </c>
      <c r="AF67" s="31" t="n">
        <v>110.1585831942725</v>
      </c>
      <c r="AG67" s="31" t="n">
        <v>71.11503472035312</v>
      </c>
      <c r="AH67" s="31" t="n">
        <v>135.9552134359692</v>
      </c>
      <c r="AI67" s="31" t="n">
        <v>93.42563384830704</v>
      </c>
      <c r="AJ67" s="31" t="n">
        <v>141.5328632179577</v>
      </c>
      <c r="AK67" s="31" t="n">
        <v>38.3463422511708</v>
      </c>
      <c r="AL67" s="31" t="n">
        <v>129.6803574312322</v>
      </c>
      <c r="AM67" s="31" t="n">
        <v>27.8882489099424</v>
      </c>
      <c r="AN67" s="31" t="n">
        <v>491.5303870377349</v>
      </c>
      <c r="AO67" s="31" t="n">
        <v>172.2099370188944</v>
      </c>
      <c r="AP67" s="31" t="n">
        <v>888.937934004414</v>
      </c>
      <c r="AQ67" s="31" t="n">
        <v>2396.297787586801</v>
      </c>
      <c r="AR67" s="31" t="n">
        <v>17534.03929590354</v>
      </c>
      <c r="AS67" s="31" t="n">
        <v>672.1067987296119</v>
      </c>
      <c r="AT67" s="31" t="n">
        <v>40.43796091941648</v>
      </c>
      <c r="AU67" s="31" t="n">
        <v>75.29827205684448</v>
      </c>
      <c r="AV67" s="31" t="n">
        <v>1284.951068525596</v>
      </c>
      <c r="AW67" s="31" t="n">
        <v>614.9358884642299</v>
      </c>
      <c r="AX67" s="31" t="n">
        <v>2638.9255531033</v>
      </c>
      <c r="AY67" s="31" t="n">
        <v>217.5283414975507</v>
      </c>
      <c r="AZ67" s="31" t="n">
        <v>308.1651504548635</v>
      </c>
      <c r="BA67" s="31" t="n">
        <v>1766.720568444851</v>
      </c>
      <c r="BB67" s="31" t="n">
        <v>734.8553587769824</v>
      </c>
      <c r="BC67" s="31" t="n">
        <v>4155.349087581418</v>
      </c>
      <c r="BD67" s="31" t="n">
        <v>1103.677450610971</v>
      </c>
      <c r="BE67" s="31" t="n">
        <v>2286.139204392528</v>
      </c>
      <c r="BF67" s="31" t="n">
        <v>534.059966625397</v>
      </c>
      <c r="BG67" s="31" t="n">
        <v>514.5381923884373</v>
      </c>
      <c r="BH67" s="31" t="n">
        <v>610.7526511277385</v>
      </c>
      <c r="BI67" s="31" t="n">
        <v>1695.605533724498</v>
      </c>
      <c r="BJ67" s="31" t="n">
        <v>145.0188943317005</v>
      </c>
      <c r="BK67" s="31" t="n">
        <v>1375.587877482908</v>
      </c>
      <c r="BL67" s="31" t="n">
        <v>349.9975238197771</v>
      </c>
      <c r="BM67" s="31" t="n">
        <v>2053.969532217258</v>
      </c>
      <c r="BN67" s="31" t="n">
        <v>225.8948161705335</v>
      </c>
      <c r="BO67" s="31" t="n">
        <v>903.5792646821338</v>
      </c>
      <c r="BP67" s="31" t="n">
        <v>1959.149485923454</v>
      </c>
      <c r="BQ67" s="31" t="n">
        <v>1562.439145179523</v>
      </c>
      <c r="BR67" s="31" t="n">
        <v>0</v>
      </c>
      <c r="BS67" s="31">
        <f>SUM(C67:BR67)</f>
        <v/>
      </c>
      <c r="BT67" s="31" t="n">
        <v>0</v>
      </c>
      <c r="BU67" s="31" t="n">
        <v>0</v>
      </c>
      <c r="BV67" s="31" t="n">
        <v>289280.7663981846</v>
      </c>
      <c r="BW67" s="31" t="n">
        <v>0</v>
      </c>
      <c r="BX67" s="31">
        <f>SUM(BT67:BW67)</f>
        <v/>
      </c>
      <c r="BY67" s="31">
        <f>BS67+BX67</f>
        <v/>
      </c>
    </row>
    <row r="68">
      <c r="A68" s="28" t="inlineStr">
        <is>
          <t>6980</t>
        </is>
      </c>
      <c r="B68" s="28" t="inlineStr">
        <is>
          <t>Atividades jurídicas, contábeis, consultoria e sedes de empresas</t>
        </is>
      </c>
      <c r="C68" s="29" t="n">
        <v>14.3849609814743</v>
      </c>
      <c r="D68" s="29" t="n">
        <v>7.671815008913874</v>
      </c>
      <c r="E68" s="29" t="n">
        <v>41.23242871256357</v>
      </c>
      <c r="F68" s="29" t="n">
        <v>427.6501116064293</v>
      </c>
      <c r="G68" s="29" t="n">
        <v>4647.559497604526</v>
      </c>
      <c r="H68" s="29" t="n">
        <v>886.936170629319</v>
      </c>
      <c r="I68" s="29" t="n">
        <v>128.4889083338255</v>
      </c>
      <c r="J68" s="29" t="n">
        <v>2924.59928017357</v>
      </c>
      <c r="K68" s="29" t="n">
        <v>809.3126151046246</v>
      </c>
      <c r="L68" s="29" t="n">
        <v>4428.025211166754</v>
      </c>
      <c r="M68" s="29" t="n">
        <v>1146.790127617985</v>
      </c>
      <c r="N68" s="29" t="n">
        <v>624.2132368062938</v>
      </c>
      <c r="O68" s="29" t="n">
        <v>282.9423606193673</v>
      </c>
      <c r="P68" s="29" t="n">
        <v>182.2698143670475</v>
      </c>
      <c r="Q68" s="29" t="n">
        <v>156.3173233717199</v>
      </c>
      <c r="R68" s="29" t="n">
        <v>129.4516251486629</v>
      </c>
      <c r="S68" s="29" t="n">
        <v>1061.473925679941</v>
      </c>
      <c r="T68" s="29" t="n">
        <v>98.77735243067072</v>
      </c>
      <c r="U68" s="29" t="n">
        <v>3780.74425464461</v>
      </c>
      <c r="V68" s="29" t="n">
        <v>263.7140477184924</v>
      </c>
      <c r="W68" s="29" t="n">
        <v>2554.393794071244</v>
      </c>
      <c r="X68" s="29" t="n">
        <v>2532.322410412439</v>
      </c>
      <c r="Y68" s="29" t="n">
        <v>732.5932049666085</v>
      </c>
      <c r="Z68" s="29" t="n">
        <v>2842.061028548614</v>
      </c>
      <c r="AA68" s="29" t="n">
        <v>1048.113298876361</v>
      </c>
      <c r="AB68" s="29" t="n">
        <v>1414.343781900491</v>
      </c>
      <c r="AC68" s="29" t="n">
        <v>1178.488116814143</v>
      </c>
      <c r="AD68" s="29" t="n">
        <v>439.1512605882683</v>
      </c>
      <c r="AE68" s="29" t="n">
        <v>612.7615031266588</v>
      </c>
      <c r="AF68" s="29" t="n">
        <v>1952.250069371952</v>
      </c>
      <c r="AG68" s="29" t="n">
        <v>2101.810343758587</v>
      </c>
      <c r="AH68" s="29" t="n">
        <v>1181.355177379782</v>
      </c>
      <c r="AI68" s="29" t="n">
        <v>2184.282040597645</v>
      </c>
      <c r="AJ68" s="29" t="n">
        <v>878.3643601087961</v>
      </c>
      <c r="AK68" s="29" t="n">
        <v>234.9348896223156</v>
      </c>
      <c r="AL68" s="29" t="n">
        <v>356.749902718938</v>
      </c>
      <c r="AM68" s="29" t="n">
        <v>221.5051956154072</v>
      </c>
      <c r="AN68" s="29" t="n">
        <v>503.6239605851101</v>
      </c>
      <c r="AO68" s="29" t="n">
        <v>871.6669553766714</v>
      </c>
      <c r="AP68" s="29" t="n">
        <v>3740.938893382904</v>
      </c>
      <c r="AQ68" s="29" t="n">
        <v>4640.963680043197</v>
      </c>
      <c r="AR68" s="29" t="n">
        <v>13558.64025122056</v>
      </c>
      <c r="AS68" s="29" t="n">
        <v>1575.692448693144</v>
      </c>
      <c r="AT68" s="29" t="n">
        <v>103.5738837635324</v>
      </c>
      <c r="AU68" s="29" t="n">
        <v>368.2301613017942</v>
      </c>
      <c r="AV68" s="29" t="n">
        <v>1119.576192587728</v>
      </c>
      <c r="AW68" s="29" t="n">
        <v>152.7479002171737</v>
      </c>
      <c r="AX68" s="29" t="n">
        <v>526.6957371890098</v>
      </c>
      <c r="AY68" s="29" t="n">
        <v>474.7288637853463</v>
      </c>
      <c r="AZ68" s="29" t="n">
        <v>1609.079977310899</v>
      </c>
      <c r="BA68" s="29" t="n">
        <v>2389.307597493364</v>
      </c>
      <c r="BB68" s="29" t="n">
        <v>1673.526279601507</v>
      </c>
      <c r="BC68" s="29" t="n">
        <v>12825.49420303161</v>
      </c>
      <c r="BD68" s="29" t="n">
        <v>1226.880467520549</v>
      </c>
      <c r="BE68" s="29" t="n">
        <v>9595.234376284123</v>
      </c>
      <c r="BF68" s="29" t="n">
        <v>3318.797983099285</v>
      </c>
      <c r="BG68" s="29" t="n">
        <v>229.4067208308714</v>
      </c>
      <c r="BH68" s="29" t="n">
        <v>601.4827137784293</v>
      </c>
      <c r="BI68" s="29" t="n">
        <v>2537.898970925844</v>
      </c>
      <c r="BJ68" s="29" t="n">
        <v>784.399647288395</v>
      </c>
      <c r="BK68" s="29" t="n">
        <v>2948.135585579459</v>
      </c>
      <c r="BL68" s="29" t="n">
        <v>123.8588659245056</v>
      </c>
      <c r="BM68" s="29" t="n">
        <v>1151.582853299505</v>
      </c>
      <c r="BN68" s="29" t="n">
        <v>235.9858616596218</v>
      </c>
      <c r="BO68" s="29" t="n">
        <v>1032.140056774575</v>
      </c>
      <c r="BP68" s="29" t="n">
        <v>659.6520728954235</v>
      </c>
      <c r="BQ68" s="29" t="n">
        <v>2533.037715954746</v>
      </c>
      <c r="BR68" s="29" t="n">
        <v>0</v>
      </c>
      <c r="BS68" s="29">
        <f>SUM(C68:BR68)</f>
        <v/>
      </c>
      <c r="BT68" s="29" t="n">
        <v>0</v>
      </c>
      <c r="BU68" s="29" t="n">
        <v>0</v>
      </c>
      <c r="BV68" s="29" t="n">
        <v>14821.38417922158</v>
      </c>
      <c r="BW68" s="29" t="n">
        <v>0</v>
      </c>
      <c r="BX68" s="29">
        <f>SUM(BT68:BW68)</f>
        <v/>
      </c>
      <c r="BY68" s="29">
        <f>BS68+BX68</f>
        <v/>
      </c>
    </row>
    <row r="69">
      <c r="A69" s="30" t="inlineStr">
        <is>
          <t>7180</t>
        </is>
      </c>
      <c r="B69" s="30" t="inlineStr">
        <is>
          <t>Serviços de arquitetura, engenharia, testes/análises técnicas e P &amp; D</t>
        </is>
      </c>
      <c r="C69" s="31" t="n">
        <v>517.8389335618665</v>
      </c>
      <c r="D69" s="31" t="n">
        <v>21.01573651740166</v>
      </c>
      <c r="E69" s="31" t="n">
        <v>0.09218772263260733</v>
      </c>
      <c r="F69" s="31" t="n">
        <v>74.71129260359133</v>
      </c>
      <c r="G69" s="31" t="n">
        <v>2253.989380781341</v>
      </c>
      <c r="H69" s="31" t="n">
        <v>415.8349251444986</v>
      </c>
      <c r="I69" s="31" t="n">
        <v>110.0157008652626</v>
      </c>
      <c r="J69" s="31" t="n">
        <v>1068.442160494699</v>
      </c>
      <c r="K69" s="31" t="n">
        <v>397.2479833671039</v>
      </c>
      <c r="L69" s="31" t="n">
        <v>936.2380399597506</v>
      </c>
      <c r="M69" s="31" t="n">
        <v>246.4076535998449</v>
      </c>
      <c r="N69" s="31" t="n">
        <v>156.4854811467856</v>
      </c>
      <c r="O69" s="31" t="n">
        <v>184.4866765350585</v>
      </c>
      <c r="P69" s="31" t="n">
        <v>162.4109774457102</v>
      </c>
      <c r="Q69" s="31" t="n">
        <v>131.9620307497997</v>
      </c>
      <c r="R69" s="31" t="n">
        <v>45.21565686620923</v>
      </c>
      <c r="S69" s="31" t="n">
        <v>497.2278003179304</v>
      </c>
      <c r="T69" s="31" t="n">
        <v>50.620391691565</v>
      </c>
      <c r="U69" s="31" t="n">
        <v>225.8666903713947</v>
      </c>
      <c r="V69" s="31" t="n">
        <v>188.4131484251502</v>
      </c>
      <c r="W69" s="31" t="n">
        <v>794.5225729031991</v>
      </c>
      <c r="X69" s="31" t="n">
        <v>623.5494554602226</v>
      </c>
      <c r="Y69" s="31" t="n">
        <v>415.8276093244328</v>
      </c>
      <c r="Z69" s="31" t="n">
        <v>948.0264544973394</v>
      </c>
      <c r="AA69" s="31" t="n">
        <v>936.3500543141612</v>
      </c>
      <c r="AB69" s="31" t="n">
        <v>660.4254730113537</v>
      </c>
      <c r="AC69" s="31" t="n">
        <v>441.5504435448418</v>
      </c>
      <c r="AD69" s="31" t="n">
        <v>256.8198542872803</v>
      </c>
      <c r="AE69" s="31" t="n">
        <v>505.9120229835142</v>
      </c>
      <c r="AF69" s="31" t="n">
        <v>737.3327325393732</v>
      </c>
      <c r="AG69" s="31" t="n">
        <v>454.1955160047906</v>
      </c>
      <c r="AH69" s="31" t="n">
        <v>1824.459638468498</v>
      </c>
      <c r="AI69" s="31" t="n">
        <v>2550.894181800835</v>
      </c>
      <c r="AJ69" s="31" t="n">
        <v>930.3955486646951</v>
      </c>
      <c r="AK69" s="31" t="n">
        <v>190.5005762075304</v>
      </c>
      <c r="AL69" s="31" t="n">
        <v>272.7388900625031</v>
      </c>
      <c r="AM69" s="31" t="n">
        <v>144.868108306094</v>
      </c>
      <c r="AN69" s="31" t="n">
        <v>2928.764974089821</v>
      </c>
      <c r="AO69" s="31" t="n">
        <v>533.9421973335114</v>
      </c>
      <c r="AP69" s="31" t="n">
        <v>5516.648879086873</v>
      </c>
      <c r="AQ69" s="31" t="n">
        <v>147.1421315302801</v>
      </c>
      <c r="AR69" s="31" t="n">
        <v>1526.282080563937</v>
      </c>
      <c r="AS69" s="31" t="n">
        <v>521.2354304937413</v>
      </c>
      <c r="AT69" s="31" t="n">
        <v>16.11678281017834</v>
      </c>
      <c r="AU69" s="31" t="n">
        <v>0.6391233229999284</v>
      </c>
      <c r="AV69" s="31" t="n">
        <v>4448.444678731599</v>
      </c>
      <c r="AW69" s="31" t="n">
        <v>10.19381323180581</v>
      </c>
      <c r="AX69" s="31" t="n">
        <v>23.61483384205809</v>
      </c>
      <c r="AY69" s="31" t="n">
        <v>2.077818661273082</v>
      </c>
      <c r="AZ69" s="31" t="n">
        <v>2.613630479798165</v>
      </c>
      <c r="BA69" s="31" t="n">
        <v>30.31964886257935</v>
      </c>
      <c r="BB69" s="31" t="n">
        <v>335.2068512736227</v>
      </c>
      <c r="BC69" s="31" t="n">
        <v>989.5909172150293</v>
      </c>
      <c r="BD69" s="31" t="n">
        <v>28.13717255215948</v>
      </c>
      <c r="BE69" s="31" t="n">
        <v>19.44575489087455</v>
      </c>
      <c r="BF69" s="31" t="n">
        <v>3355.083194566457</v>
      </c>
      <c r="BG69" s="31" t="n">
        <v>4.354093156553641</v>
      </c>
      <c r="BH69" s="31" t="n">
        <v>84.80814237083418</v>
      </c>
      <c r="BI69" s="31" t="n">
        <v>39.37118395878598</v>
      </c>
      <c r="BJ69" s="31" t="n">
        <v>1.287667733947177</v>
      </c>
      <c r="BK69" s="31" t="n">
        <v>4658.259404641096</v>
      </c>
      <c r="BL69" s="31" t="n">
        <v>1220.753007050087</v>
      </c>
      <c r="BM69" s="31" t="n">
        <v>119.2116920965966</v>
      </c>
      <c r="BN69" s="31" t="n">
        <v>1238.428935444378</v>
      </c>
      <c r="BO69" s="31" t="n">
        <v>8.455404071744988</v>
      </c>
      <c r="BP69" s="31" t="n">
        <v>16.57702535364542</v>
      </c>
      <c r="BQ69" s="31" t="n">
        <v>13.30612928870613</v>
      </c>
      <c r="BR69" s="31" t="n">
        <v>0</v>
      </c>
      <c r="BS69" s="31">
        <f>SUM(C69:BR69)</f>
        <v/>
      </c>
      <c r="BT69" s="31" t="n">
        <v>0</v>
      </c>
      <c r="BU69" s="31" t="n">
        <v>0</v>
      </c>
      <c r="BV69" s="31" t="n">
        <v>16152.9708217218</v>
      </c>
      <c r="BW69" s="31" t="n">
        <v>0</v>
      </c>
      <c r="BX69" s="31">
        <f>SUM(BT69:BW69)</f>
        <v/>
      </c>
      <c r="BY69" s="31">
        <f>BS69+BX69</f>
        <v/>
      </c>
    </row>
    <row r="70">
      <c r="A70" s="28" t="inlineStr">
        <is>
          <t>7380</t>
        </is>
      </c>
      <c r="B70" s="28" t="inlineStr">
        <is>
          <t>Outras atividades profissionais, científicas e técnicas</t>
        </is>
      </c>
      <c r="C70" s="29" t="n">
        <v>10.43163214946979</v>
      </c>
      <c r="D70" s="29" t="n">
        <v>272.7792975999086</v>
      </c>
      <c r="E70" s="29" t="n">
        <v>52.15054633134044</v>
      </c>
      <c r="F70" s="29" t="n">
        <v>33.70312640835905</v>
      </c>
      <c r="G70" s="29" t="n">
        <v>292.0814671503194</v>
      </c>
      <c r="H70" s="29" t="n">
        <v>5.625080565691658</v>
      </c>
      <c r="I70" s="29" t="n">
        <v>0.8066955957483262</v>
      </c>
      <c r="J70" s="29" t="n">
        <v>1386.640521126842</v>
      </c>
      <c r="K70" s="29" t="n">
        <v>128.4186327759021</v>
      </c>
      <c r="L70" s="29" t="n">
        <v>2070.908712366792</v>
      </c>
      <c r="M70" s="29" t="n">
        <v>3576.626344222938</v>
      </c>
      <c r="N70" s="29" t="n">
        <v>314.5122720567939</v>
      </c>
      <c r="O70" s="29" t="n">
        <v>81.92048139278263</v>
      </c>
      <c r="P70" s="29" t="n">
        <v>270.461126740052</v>
      </c>
      <c r="Q70" s="29" t="n">
        <v>609.7917882785678</v>
      </c>
      <c r="R70" s="29" t="n">
        <v>20.8735508815816</v>
      </c>
      <c r="S70" s="29" t="n">
        <v>381.171672001931</v>
      </c>
      <c r="T70" s="29" t="n">
        <v>60.18711824030699</v>
      </c>
      <c r="U70" s="29" t="n">
        <v>106.748428197291</v>
      </c>
      <c r="V70" s="29" t="n">
        <v>43.35843294591918</v>
      </c>
      <c r="W70" s="29" t="n">
        <v>79.48977515884823</v>
      </c>
      <c r="X70" s="29" t="n">
        <v>354.670943040109</v>
      </c>
      <c r="Y70" s="29" t="n">
        <v>839.2270545519011</v>
      </c>
      <c r="Z70" s="29" t="n">
        <v>1319.051126741104</v>
      </c>
      <c r="AA70" s="29" t="n">
        <v>378.8073628876731</v>
      </c>
      <c r="AB70" s="29" t="n">
        <v>204.661682297412</v>
      </c>
      <c r="AC70" s="29" t="n">
        <v>150.9345203194134</v>
      </c>
      <c r="AD70" s="29" t="n">
        <v>12.85405125880574</v>
      </c>
      <c r="AE70" s="29" t="n">
        <v>365.9383171044635</v>
      </c>
      <c r="AF70" s="29" t="n">
        <v>1035.822509755444</v>
      </c>
      <c r="AG70" s="29" t="n">
        <v>537.596014470157</v>
      </c>
      <c r="AH70" s="29" t="n">
        <v>378.8191970663206</v>
      </c>
      <c r="AI70" s="29" t="n">
        <v>3787.648001385455</v>
      </c>
      <c r="AJ70" s="29" t="n">
        <v>141.2542750189947</v>
      </c>
      <c r="AK70" s="29" t="n">
        <v>244.7178478440936</v>
      </c>
      <c r="AL70" s="29" t="n">
        <v>291.2977506574633</v>
      </c>
      <c r="AM70" s="29" t="n">
        <v>52.15890836386743</v>
      </c>
      <c r="AN70" s="29" t="n">
        <v>1640.053421620275</v>
      </c>
      <c r="AO70" s="29" t="n">
        <v>149.2869846592232</v>
      </c>
      <c r="AP70" s="29" t="n">
        <v>1571.196830213998</v>
      </c>
      <c r="AQ70" s="29" t="n">
        <v>2304.219208529556</v>
      </c>
      <c r="AR70" s="29" t="n">
        <v>10505.92009323596</v>
      </c>
      <c r="AS70" s="29" t="n">
        <v>451.9262639594635</v>
      </c>
      <c r="AT70" s="29" t="n">
        <v>28.89669811455645</v>
      </c>
      <c r="AU70" s="29" t="n">
        <v>174.1234190785032</v>
      </c>
      <c r="AV70" s="29" t="n">
        <v>688.8179992604648</v>
      </c>
      <c r="AW70" s="29" t="n">
        <v>212.0214960501945</v>
      </c>
      <c r="AX70" s="29" t="n">
        <v>517.6059130168027</v>
      </c>
      <c r="AY70" s="29" t="n">
        <v>987.7190231862526</v>
      </c>
      <c r="AZ70" s="29" t="n">
        <v>1480.353204950772</v>
      </c>
      <c r="BA70" s="29" t="n">
        <v>3397.674188433741</v>
      </c>
      <c r="BB70" s="29" t="n">
        <v>1152.357125951942</v>
      </c>
      <c r="BC70" s="29" t="n">
        <v>9172.44036608637</v>
      </c>
      <c r="BD70" s="29" t="n">
        <v>569.21286857922</v>
      </c>
      <c r="BE70" s="29" t="n">
        <v>2689.290100270455</v>
      </c>
      <c r="BF70" s="29" t="n">
        <v>276.1778082285805</v>
      </c>
      <c r="BG70" s="29" t="n">
        <v>1096.11469958067</v>
      </c>
      <c r="BH70" s="29" t="n">
        <v>656.4884560198574</v>
      </c>
      <c r="BI70" s="29" t="n">
        <v>1102.957214220628</v>
      </c>
      <c r="BJ70" s="29" t="n">
        <v>126.0121479210673</v>
      </c>
      <c r="BK70" s="29" t="n">
        <v>2887.123484017929</v>
      </c>
      <c r="BL70" s="29" t="n">
        <v>565.7376976893597</v>
      </c>
      <c r="BM70" s="29" t="n">
        <v>1619.745695389948</v>
      </c>
      <c r="BN70" s="29" t="n">
        <v>737.3838690920894</v>
      </c>
      <c r="BO70" s="29" t="n">
        <v>23.58531800661626</v>
      </c>
      <c r="BP70" s="29" t="n">
        <v>977.0783582833536</v>
      </c>
      <c r="BQ70" s="29" t="n">
        <v>1216.020638501725</v>
      </c>
      <c r="BR70" s="29" t="n">
        <v>0</v>
      </c>
      <c r="BS70" s="29">
        <f>SUM(C70:BR70)</f>
        <v/>
      </c>
      <c r="BT70" s="29" t="n">
        <v>0</v>
      </c>
      <c r="BU70" s="29" t="n">
        <v>0</v>
      </c>
      <c r="BV70" s="29" t="n">
        <v>1876.935843449124</v>
      </c>
      <c r="BW70" s="29" t="n">
        <v>0</v>
      </c>
      <c r="BX70" s="29">
        <f>SUM(BT70:BW70)</f>
        <v/>
      </c>
      <c r="BY70" s="29">
        <f>BS70+BX70</f>
        <v/>
      </c>
    </row>
    <row r="71">
      <c r="A71" s="30" t="inlineStr">
        <is>
          <t>7700</t>
        </is>
      </c>
      <c r="B71" s="30" t="inlineStr">
        <is>
          <t>Aluguéis não-imobiliários e gestão de ativos de propriedade intelectual</t>
        </is>
      </c>
      <c r="C71" s="31" t="n">
        <v>272.4577016466713</v>
      </c>
      <c r="D71" s="31" t="n">
        <v>53.38272301184654</v>
      </c>
      <c r="E71" s="31" t="n">
        <v>118.8572233940329</v>
      </c>
      <c r="F71" s="31" t="n">
        <v>238.7311492363589</v>
      </c>
      <c r="G71" s="31" t="n">
        <v>7311.922043083666</v>
      </c>
      <c r="H71" s="31" t="n">
        <v>1035.833065653233</v>
      </c>
      <c r="I71" s="31" t="n">
        <v>173.5563024703177</v>
      </c>
      <c r="J71" s="31" t="n">
        <v>261.3710221522667</v>
      </c>
      <c r="K71" s="31" t="n">
        <v>370.1281200601884</v>
      </c>
      <c r="L71" s="31" t="n">
        <v>756.3232139934712</v>
      </c>
      <c r="M71" s="31" t="n">
        <v>317.4515045746474</v>
      </c>
      <c r="N71" s="31" t="n">
        <v>40.34701889488849</v>
      </c>
      <c r="O71" s="31" t="n">
        <v>59.30603605839421</v>
      </c>
      <c r="P71" s="31" t="n">
        <v>80.55658829704271</v>
      </c>
      <c r="Q71" s="31" t="n">
        <v>62.17691127102072</v>
      </c>
      <c r="R71" s="31" t="n">
        <v>98.67426264812062</v>
      </c>
      <c r="S71" s="31" t="n">
        <v>573.871313169774</v>
      </c>
      <c r="T71" s="31" t="n">
        <v>189.1754922358922</v>
      </c>
      <c r="U71" s="31" t="n">
        <v>335.8224611668707</v>
      </c>
      <c r="V71" s="31" t="n">
        <v>53.58092526833234</v>
      </c>
      <c r="W71" s="31" t="n">
        <v>352.4499521880547</v>
      </c>
      <c r="X71" s="31" t="n">
        <v>388.9957703760001</v>
      </c>
      <c r="Y71" s="31" t="n">
        <v>69.25253528440879</v>
      </c>
      <c r="Z71" s="31" t="n">
        <v>152.0703809119483</v>
      </c>
      <c r="AA71" s="31" t="n">
        <v>430.4512531106886</v>
      </c>
      <c r="AB71" s="31" t="n">
        <v>361.9875389574773</v>
      </c>
      <c r="AC71" s="31" t="n">
        <v>661.092200836651</v>
      </c>
      <c r="AD71" s="31" t="n">
        <v>199.6294930145448</v>
      </c>
      <c r="AE71" s="31" t="n">
        <v>553.3016091138361</v>
      </c>
      <c r="AF71" s="31" t="n">
        <v>414.0241686884941</v>
      </c>
      <c r="AG71" s="31" t="n">
        <v>195.5494201028875</v>
      </c>
      <c r="AH71" s="31" t="n">
        <v>596.9413746464805</v>
      </c>
      <c r="AI71" s="31" t="n">
        <v>1339.382022826948</v>
      </c>
      <c r="AJ71" s="31" t="n">
        <v>514.8528464273134</v>
      </c>
      <c r="AK71" s="31" t="n">
        <v>496.6047650050205</v>
      </c>
      <c r="AL71" s="31" t="n">
        <v>202.9028214506534</v>
      </c>
      <c r="AM71" s="31" t="n">
        <v>242.2431220365982</v>
      </c>
      <c r="AN71" s="31" t="n">
        <v>576.6347080789236</v>
      </c>
      <c r="AO71" s="31" t="n">
        <v>1262.960486241268</v>
      </c>
      <c r="AP71" s="31" t="n">
        <v>4065.071675952308</v>
      </c>
      <c r="AQ71" s="31" t="n">
        <v>709.2103471064388</v>
      </c>
      <c r="AR71" s="31" t="n">
        <v>4613.870104697327</v>
      </c>
      <c r="AS71" s="31" t="n">
        <v>3092.448178143691</v>
      </c>
      <c r="AT71" s="31" t="n">
        <v>845.2723241049388</v>
      </c>
      <c r="AU71" s="31" t="n">
        <v>2364.192089665408</v>
      </c>
      <c r="AV71" s="31" t="n">
        <v>1384.721564390949</v>
      </c>
      <c r="AW71" s="31" t="n">
        <v>107.7956463740712</v>
      </c>
      <c r="AX71" s="31" t="n">
        <v>700.8118908705936</v>
      </c>
      <c r="AY71" s="31" t="n">
        <v>593.4943645374678</v>
      </c>
      <c r="AZ71" s="31" t="n">
        <v>682.3138294197876</v>
      </c>
      <c r="BA71" s="31" t="n">
        <v>4393.436385382684</v>
      </c>
      <c r="BB71" s="31" t="n">
        <v>1290.41066251345</v>
      </c>
      <c r="BC71" s="31" t="n">
        <v>1501.800010633919</v>
      </c>
      <c r="BD71" s="31" t="n">
        <v>182.495420622254</v>
      </c>
      <c r="BE71" s="31" t="n">
        <v>488.05882589195</v>
      </c>
      <c r="BF71" s="31" t="n">
        <v>906.0872565751965</v>
      </c>
      <c r="BG71" s="31" t="n">
        <v>187.1908009036765</v>
      </c>
      <c r="BH71" s="31" t="n">
        <v>1201.293146288592</v>
      </c>
      <c r="BI71" s="31" t="n">
        <v>889.7990877776924</v>
      </c>
      <c r="BJ71" s="31" t="n">
        <v>258.2478449841051</v>
      </c>
      <c r="BK71" s="31" t="n">
        <v>3154.960573565732</v>
      </c>
      <c r="BL71" s="31" t="n">
        <v>1216.164165161434</v>
      </c>
      <c r="BM71" s="31" t="n">
        <v>1393.733014842812</v>
      </c>
      <c r="BN71" s="31" t="n">
        <v>1364.858258499903</v>
      </c>
      <c r="BO71" s="31" t="n">
        <v>561.2772355316929</v>
      </c>
      <c r="BP71" s="31" t="n">
        <v>375.9043535624639</v>
      </c>
      <c r="BQ71" s="31" t="n">
        <v>170.9042136988085</v>
      </c>
      <c r="BR71" s="31" t="n">
        <v>0</v>
      </c>
      <c r="BS71" s="31">
        <f>SUM(C71:BR71)</f>
        <v/>
      </c>
      <c r="BT71" s="31" t="n">
        <v>0</v>
      </c>
      <c r="BU71" s="31" t="n">
        <v>0</v>
      </c>
      <c r="BV71" s="31" t="n">
        <v>2618.705070055937</v>
      </c>
      <c r="BW71" s="31" t="n">
        <v>0</v>
      </c>
      <c r="BX71" s="31">
        <f>SUM(BT71:BW71)</f>
        <v/>
      </c>
      <c r="BY71" s="31">
        <f>BS71+BX71</f>
        <v/>
      </c>
    </row>
    <row r="72">
      <c r="A72" s="28" t="inlineStr">
        <is>
          <t>7880</t>
        </is>
      </c>
      <c r="B72" s="28" t="inlineStr">
        <is>
          <t>Outras atividades administrativas e serviços complementares</t>
        </is>
      </c>
      <c r="C72" s="29" t="n">
        <v>22.00266199427666</v>
      </c>
      <c r="D72" s="29" t="n">
        <v>12.0050756421642</v>
      </c>
      <c r="E72" s="29" t="n">
        <v>24.85958753091851</v>
      </c>
      <c r="F72" s="29" t="n">
        <v>468.1215645612126</v>
      </c>
      <c r="G72" s="29" t="n">
        <v>380.2584789130145</v>
      </c>
      <c r="H72" s="29" t="n">
        <v>321.7758683949759</v>
      </c>
      <c r="I72" s="29" t="n">
        <v>85.23982131685841</v>
      </c>
      <c r="J72" s="29" t="n">
        <v>418.9666508202392</v>
      </c>
      <c r="K72" s="29" t="n">
        <v>384.3916754259153</v>
      </c>
      <c r="L72" s="29" t="n">
        <v>708.8649263751887</v>
      </c>
      <c r="M72" s="29" t="n">
        <v>686.0242780495703</v>
      </c>
      <c r="N72" s="29" t="n">
        <v>110.2054586554379</v>
      </c>
      <c r="O72" s="29" t="n">
        <v>161.2391044727266</v>
      </c>
      <c r="P72" s="29" t="n">
        <v>101.7165365904787</v>
      </c>
      <c r="Q72" s="29" t="n">
        <v>154.149681437664</v>
      </c>
      <c r="R72" s="29" t="n">
        <v>29.06953191496399</v>
      </c>
      <c r="S72" s="29" t="n">
        <v>404.370915590377</v>
      </c>
      <c r="T72" s="29" t="n">
        <v>35.16841454015664</v>
      </c>
      <c r="U72" s="29" t="n">
        <v>149.5124907581222</v>
      </c>
      <c r="V72" s="29" t="n">
        <v>205.4856907806592</v>
      </c>
      <c r="W72" s="29" t="n">
        <v>359.5061939594381</v>
      </c>
      <c r="X72" s="29" t="n">
        <v>561.5392874683546</v>
      </c>
      <c r="Y72" s="29" t="n">
        <v>234.0044471121465</v>
      </c>
      <c r="Z72" s="29" t="n">
        <v>721.4467072736351</v>
      </c>
      <c r="AA72" s="29" t="n">
        <v>449.2999188732869</v>
      </c>
      <c r="AB72" s="29" t="n">
        <v>595.123131357429</v>
      </c>
      <c r="AC72" s="29" t="n">
        <v>356.0036322399144</v>
      </c>
      <c r="AD72" s="29" t="n">
        <v>281.2709966451822</v>
      </c>
      <c r="AE72" s="29" t="n">
        <v>479.16919425205</v>
      </c>
      <c r="AF72" s="29" t="n">
        <v>616.7377108841699</v>
      </c>
      <c r="AG72" s="29" t="n">
        <v>493.4913288275626</v>
      </c>
      <c r="AH72" s="29" t="n">
        <v>1301.869264951808</v>
      </c>
      <c r="AI72" s="29" t="n">
        <v>1284.217369180935</v>
      </c>
      <c r="AJ72" s="29" t="n">
        <v>340.074067447948</v>
      </c>
      <c r="AK72" s="29" t="n">
        <v>135.893695292548</v>
      </c>
      <c r="AL72" s="29" t="n">
        <v>184.2221273064913</v>
      </c>
      <c r="AM72" s="29" t="n">
        <v>177.3064100119345</v>
      </c>
      <c r="AN72" s="29" t="n">
        <v>1659.549331946436</v>
      </c>
      <c r="AO72" s="29" t="n">
        <v>280.6312184612771</v>
      </c>
      <c r="AP72" s="29" t="n">
        <v>1955.685661738237</v>
      </c>
      <c r="AQ72" s="29" t="n">
        <v>1484.968701350941</v>
      </c>
      <c r="AR72" s="29" t="n">
        <v>16475.7742247732</v>
      </c>
      <c r="AS72" s="29" t="n">
        <v>1409.153547201699</v>
      </c>
      <c r="AT72" s="29" t="n">
        <v>87.26370854891245</v>
      </c>
      <c r="AU72" s="29" t="n">
        <v>742.3352443163191</v>
      </c>
      <c r="AV72" s="29" t="n">
        <v>1971.171356447249</v>
      </c>
      <c r="AW72" s="29" t="n">
        <v>627.0062452065371</v>
      </c>
      <c r="AX72" s="29" t="n">
        <v>1232.422318357729</v>
      </c>
      <c r="AY72" s="29" t="n">
        <v>302.3497583636884</v>
      </c>
      <c r="AZ72" s="29" t="n">
        <v>633.621171948722</v>
      </c>
      <c r="BA72" s="29" t="n">
        <v>12461.18677401618</v>
      </c>
      <c r="BB72" s="29" t="n">
        <v>3446.385947381847</v>
      </c>
      <c r="BC72" s="29" t="n">
        <v>17576.50621498554</v>
      </c>
      <c r="BD72" s="29" t="n">
        <v>791.2899908412193</v>
      </c>
      <c r="BE72" s="29" t="n">
        <v>2163.012859758587</v>
      </c>
      <c r="BF72" s="29" t="n">
        <v>484.2166940858801</v>
      </c>
      <c r="BG72" s="29" t="n">
        <v>435.4816767370746</v>
      </c>
      <c r="BH72" s="29" t="n">
        <v>416.4746244912342</v>
      </c>
      <c r="BI72" s="29" t="n">
        <v>3794.734447239724</v>
      </c>
      <c r="BJ72" s="29" t="n">
        <v>277.3194980198739</v>
      </c>
      <c r="BK72" s="29" t="n">
        <v>15501.30600889861</v>
      </c>
      <c r="BL72" s="29" t="n">
        <v>7470.636700647337</v>
      </c>
      <c r="BM72" s="29" t="n">
        <v>2071.609942264182</v>
      </c>
      <c r="BN72" s="29" t="n">
        <v>6841.717246476313</v>
      </c>
      <c r="BO72" s="29" t="n">
        <v>1910.848224323403</v>
      </c>
      <c r="BP72" s="29" t="n">
        <v>595.795869484542</v>
      </c>
      <c r="BQ72" s="29" t="n">
        <v>4087.426509287238</v>
      </c>
      <c r="BR72" s="29" t="n">
        <v>0</v>
      </c>
      <c r="BS72" s="29">
        <f>SUM(C72:BR72)</f>
        <v/>
      </c>
      <c r="BT72" s="29" t="n">
        <v>0</v>
      </c>
      <c r="BU72" s="29" t="n">
        <v>0</v>
      </c>
      <c r="BV72" s="29" t="n">
        <v>29264.46632537065</v>
      </c>
      <c r="BW72" s="29" t="n">
        <v>0</v>
      </c>
      <c r="BX72" s="29">
        <f>SUM(BT72:BW72)</f>
        <v/>
      </c>
      <c r="BY72" s="29">
        <f>BS72+BX72</f>
        <v/>
      </c>
    </row>
    <row r="73">
      <c r="A73" s="30" t="inlineStr">
        <is>
          <t>8000</t>
        </is>
      </c>
      <c r="B73" s="30" t="inlineStr">
        <is>
          <t>Atividades de vigilância, segurança e investigação</t>
        </is>
      </c>
      <c r="C73" s="31" t="n">
        <v>1.001937538985903</v>
      </c>
      <c r="D73" s="31" t="n">
        <v>0.0009584592939444929</v>
      </c>
      <c r="E73" s="31" t="n">
        <v>3.001399580125962</v>
      </c>
      <c r="F73" s="31" t="n">
        <v>7.009440250153345</v>
      </c>
      <c r="G73" s="31" t="n">
        <v>55.04352689124035</v>
      </c>
      <c r="H73" s="31" t="n">
        <v>45.01506101956678</v>
      </c>
      <c r="I73" s="31" t="n">
        <v>8.007082210733438</v>
      </c>
      <c r="J73" s="31" t="n">
        <v>174.7567407809279</v>
      </c>
      <c r="K73" s="31" t="n">
        <v>96.0821380352796</v>
      </c>
      <c r="L73" s="31" t="n">
        <v>165.5166185034225</v>
      </c>
      <c r="M73" s="31" t="n">
        <v>75.03321171346926</v>
      </c>
      <c r="N73" s="31" t="n">
        <v>104.0362207347245</v>
      </c>
      <c r="O73" s="31" t="n">
        <v>27.14012717611687</v>
      </c>
      <c r="P73" s="31" t="n">
        <v>19.13760860896343</v>
      </c>
      <c r="Q73" s="31" t="n">
        <v>29.13488410948653</v>
      </c>
      <c r="R73" s="31" t="n">
        <v>30.03422759850666</v>
      </c>
      <c r="S73" s="31" t="n">
        <v>226.2295899246847</v>
      </c>
      <c r="T73" s="31" t="n">
        <v>16.02077679849657</v>
      </c>
      <c r="U73" s="31" t="n">
        <v>68.07812670699541</v>
      </c>
      <c r="V73" s="31" t="n">
        <v>1.057830441615312</v>
      </c>
      <c r="W73" s="31" t="n">
        <v>162.1379907471971</v>
      </c>
      <c r="X73" s="31" t="n">
        <v>122.1610853944017</v>
      </c>
      <c r="Y73" s="31" t="n">
        <v>21.03367606163829</v>
      </c>
      <c r="Z73" s="31" t="n">
        <v>135.1932937507578</v>
      </c>
      <c r="AA73" s="31" t="n">
        <v>134.2512810630835</v>
      </c>
      <c r="AB73" s="31" t="n">
        <v>300.1698522138101</v>
      </c>
      <c r="AC73" s="31" t="n">
        <v>52.22661665869085</v>
      </c>
      <c r="AD73" s="31" t="n">
        <v>37.05898179853767</v>
      </c>
      <c r="AE73" s="31" t="n">
        <v>139.2144391094796</v>
      </c>
      <c r="AF73" s="31" t="n">
        <v>105.1346993043318</v>
      </c>
      <c r="AG73" s="31" t="n">
        <v>69.15739407150043</v>
      </c>
      <c r="AH73" s="31" t="n">
        <v>194.3752125909721</v>
      </c>
      <c r="AI73" s="31" t="n">
        <v>447.0484896364288</v>
      </c>
      <c r="AJ73" s="31" t="n">
        <v>216.0456087730123</v>
      </c>
      <c r="AK73" s="31" t="n">
        <v>71.03323233386726</v>
      </c>
      <c r="AL73" s="31" t="n">
        <v>37.11465491917851</v>
      </c>
      <c r="AM73" s="31" t="n">
        <v>80.00889419881969</v>
      </c>
      <c r="AN73" s="31" t="n">
        <v>160.1409577126862</v>
      </c>
      <c r="AO73" s="31" t="n">
        <v>311.0506404217846</v>
      </c>
      <c r="AP73" s="31" t="n">
        <v>558.255102842563</v>
      </c>
      <c r="AQ73" s="31" t="n">
        <v>537.6871938418475</v>
      </c>
      <c r="AR73" s="31" t="n">
        <v>2680.650351274258</v>
      </c>
      <c r="AS73" s="31" t="n">
        <v>958.1927421773468</v>
      </c>
      <c r="AT73" s="31" t="n">
        <v>15.01159652104368</v>
      </c>
      <c r="AU73" s="31" t="n">
        <v>158.0215935219434</v>
      </c>
      <c r="AV73" s="31" t="n">
        <v>1605.368489453165</v>
      </c>
      <c r="AW73" s="31" t="n">
        <v>65.17634709587124</v>
      </c>
      <c r="AX73" s="31" t="n">
        <v>354.7567729681095</v>
      </c>
      <c r="AY73" s="31" t="n">
        <v>43.15060653864465</v>
      </c>
      <c r="AZ73" s="31" t="n">
        <v>195.1631497694854</v>
      </c>
      <c r="BA73" s="31" t="n">
        <v>523.0878228939546</v>
      </c>
      <c r="BB73" s="31" t="n">
        <v>249.2474973010623</v>
      </c>
      <c r="BC73" s="31" t="n">
        <v>4705.196663456607</v>
      </c>
      <c r="BD73" s="31" t="n">
        <v>113.3165050484854</v>
      </c>
      <c r="BE73" s="31" t="n">
        <v>457.69559159426</v>
      </c>
      <c r="BF73" s="31" t="n">
        <v>13.15943024048318</v>
      </c>
      <c r="BG73" s="31" t="n">
        <v>111.1679981699578</v>
      </c>
      <c r="BH73" s="31" t="n">
        <v>75.17514745576327</v>
      </c>
      <c r="BI73" s="31" t="n">
        <v>440.5339531426777</v>
      </c>
      <c r="BJ73" s="31" t="n">
        <v>32.04714643196228</v>
      </c>
      <c r="BK73" s="31" t="n">
        <v>4237.394481655503</v>
      </c>
      <c r="BL73" s="31" t="n">
        <v>1744.100369889034</v>
      </c>
      <c r="BM73" s="31" t="n">
        <v>783.590278530352</v>
      </c>
      <c r="BN73" s="31" t="n">
        <v>903.0647805658302</v>
      </c>
      <c r="BO73" s="31" t="n">
        <v>0.2591222633210037</v>
      </c>
      <c r="BP73" s="31" t="n">
        <v>96.56344532714465</v>
      </c>
      <c r="BQ73" s="31" t="n">
        <v>3.449679456905725</v>
      </c>
      <c r="BR73" s="31" t="n">
        <v>0</v>
      </c>
      <c r="BS73" s="31">
        <f>SUM(C73:BR73)</f>
        <v/>
      </c>
      <c r="BT73" s="31" t="n">
        <v>0</v>
      </c>
      <c r="BU73" s="31" t="n">
        <v>0</v>
      </c>
      <c r="BV73" s="31" t="n">
        <v>249.679197757909</v>
      </c>
      <c r="BW73" s="31" t="n">
        <v>0</v>
      </c>
      <c r="BX73" s="31">
        <f>SUM(BT73:BW73)</f>
        <v/>
      </c>
      <c r="BY73" s="31">
        <f>BS73+BX73</f>
        <v/>
      </c>
    </row>
    <row r="74">
      <c r="A74" s="28" t="inlineStr">
        <is>
          <t>8400</t>
        </is>
      </c>
      <c r="B74" s="28" t="inlineStr">
        <is>
          <t>Administração pública, defesa e seguridade social</t>
        </is>
      </c>
      <c r="C74" s="29" t="n">
        <v>201.4165085211317</v>
      </c>
      <c r="D74" s="29" t="n">
        <v>165.1363654341418</v>
      </c>
      <c r="E74" s="29" t="n">
        <v>14.8052985790464</v>
      </c>
      <c r="F74" s="29" t="n">
        <v>31.31142948328185</v>
      </c>
      <c r="G74" s="29" t="n">
        <v>339.7083998923843</v>
      </c>
      <c r="H74" s="29" t="n">
        <v>154.1475543947236</v>
      </c>
      <c r="I74" s="29" t="n">
        <v>28.69941973969487</v>
      </c>
      <c r="J74" s="29" t="n">
        <v>360.8212864353047</v>
      </c>
      <c r="K74" s="29" t="n">
        <v>118.8376941980909</v>
      </c>
      <c r="L74" s="29" t="n">
        <v>1560.497563572514</v>
      </c>
      <c r="M74" s="29" t="n">
        <v>462.2478998401539</v>
      </c>
      <c r="N74" s="29" t="n">
        <v>91.83202964741096</v>
      </c>
      <c r="O74" s="29" t="n">
        <v>38.77478617872181</v>
      </c>
      <c r="P74" s="29" t="n">
        <v>44.74206624394639</v>
      </c>
      <c r="Q74" s="29" t="n">
        <v>75.49272767362865</v>
      </c>
      <c r="R74" s="29" t="n">
        <v>33.01905271554589</v>
      </c>
      <c r="S74" s="29" t="n">
        <v>167.522633542327</v>
      </c>
      <c r="T74" s="29" t="n">
        <v>17.40660817654585</v>
      </c>
      <c r="U74" s="29" t="n">
        <v>162.7278965028731</v>
      </c>
      <c r="V74" s="29" t="n">
        <v>35.66771566831645</v>
      </c>
      <c r="W74" s="29" t="n">
        <v>612.9995506916671</v>
      </c>
      <c r="X74" s="29" t="n">
        <v>233.7589674169411</v>
      </c>
      <c r="Y74" s="29" t="n">
        <v>151.4715848814686</v>
      </c>
      <c r="Z74" s="29" t="n">
        <v>305.6183946099069</v>
      </c>
      <c r="AA74" s="29" t="n">
        <v>137.6827892666926</v>
      </c>
      <c r="AB74" s="29" t="n">
        <v>160.5142573520411</v>
      </c>
      <c r="AC74" s="29" t="n">
        <v>288.1205153094372</v>
      </c>
      <c r="AD74" s="29" t="n">
        <v>107.6303059789664</v>
      </c>
      <c r="AE74" s="29" t="n">
        <v>126.1312396194917</v>
      </c>
      <c r="AF74" s="29" t="n">
        <v>203.1181410937098</v>
      </c>
      <c r="AG74" s="29" t="n">
        <v>184.0642374013848</v>
      </c>
      <c r="AH74" s="29" t="n">
        <v>207.8440073818763</v>
      </c>
      <c r="AI74" s="29" t="n">
        <v>647.7826725795821</v>
      </c>
      <c r="AJ74" s="29" t="n">
        <v>129.3486623749531</v>
      </c>
      <c r="AK74" s="29" t="n">
        <v>60.87046157564015</v>
      </c>
      <c r="AL74" s="29" t="n">
        <v>65.07830730351728</v>
      </c>
      <c r="AM74" s="29" t="n">
        <v>42.36801304057414</v>
      </c>
      <c r="AN74" s="29" t="n">
        <v>390.1806965714179</v>
      </c>
      <c r="AO74" s="29" t="n">
        <v>102.0332865032225</v>
      </c>
      <c r="AP74" s="29" t="n">
        <v>487.1443464845662</v>
      </c>
      <c r="AQ74" s="29" t="n">
        <v>420.9918067706416</v>
      </c>
      <c r="AR74" s="29" t="n">
        <v>2158.62806113599</v>
      </c>
      <c r="AS74" s="29" t="n">
        <v>364.9030108511608</v>
      </c>
      <c r="AT74" s="29" t="n">
        <v>94.5127454524867</v>
      </c>
      <c r="AU74" s="29" t="n">
        <v>148.2401694376021</v>
      </c>
      <c r="AV74" s="29" t="n">
        <v>315.3489979004693</v>
      </c>
      <c r="AW74" s="29" t="n">
        <v>47.48366827929768</v>
      </c>
      <c r="AX74" s="29" t="n">
        <v>149.33486284996</v>
      </c>
      <c r="AY74" s="29" t="n">
        <v>117.3149837658162</v>
      </c>
      <c r="AZ74" s="29" t="n">
        <v>241.6826152205985</v>
      </c>
      <c r="BA74" s="29" t="n">
        <v>515.7446250664182</v>
      </c>
      <c r="BB74" s="29" t="n">
        <v>254.5939606174258</v>
      </c>
      <c r="BC74" s="29" t="n">
        <v>1672.878167984167</v>
      </c>
      <c r="BD74" s="29" t="n">
        <v>151.712987731645</v>
      </c>
      <c r="BE74" s="29" t="n">
        <v>642.9526776857185</v>
      </c>
      <c r="BF74" s="29" t="n">
        <v>403.0805927118693</v>
      </c>
      <c r="BG74" s="29" t="n">
        <v>215.3787078676669</v>
      </c>
      <c r="BH74" s="29" t="n">
        <v>101.3521790869243</v>
      </c>
      <c r="BI74" s="29" t="n">
        <v>364.9098843789925</v>
      </c>
      <c r="BJ74" s="29" t="n">
        <v>46.40569496430285</v>
      </c>
      <c r="BK74" s="29" t="n">
        <v>1178.947241760538</v>
      </c>
      <c r="BL74" s="29" t="n">
        <v>248.5542715766557</v>
      </c>
      <c r="BM74" s="29" t="n">
        <v>266.8666909592134</v>
      </c>
      <c r="BN74" s="29" t="n">
        <v>248.739434458116</v>
      </c>
      <c r="BO74" s="29" t="n">
        <v>186.0209882801658</v>
      </c>
      <c r="BP74" s="29" t="n">
        <v>153.521176409042</v>
      </c>
      <c r="BQ74" s="29" t="n">
        <v>539.0931159358529</v>
      </c>
      <c r="BR74" s="29" t="n">
        <v>0</v>
      </c>
      <c r="BS74" s="29">
        <f>SUM(C74:BR74)</f>
        <v/>
      </c>
      <c r="BT74" s="29" t="n">
        <v>0</v>
      </c>
      <c r="BU74" s="29" t="n">
        <v>0</v>
      </c>
      <c r="BV74" s="29" t="n">
        <v>504803.7884848671</v>
      </c>
      <c r="BW74" s="29" t="n">
        <v>0</v>
      </c>
      <c r="BX74" s="29">
        <f>SUM(BT74:BW74)</f>
        <v/>
      </c>
      <c r="BY74" s="29">
        <f>BS74+BX74</f>
        <v/>
      </c>
    </row>
    <row r="75">
      <c r="A75" s="30" t="inlineStr">
        <is>
          <t>8591</t>
        </is>
      </c>
      <c r="B75" s="30" t="inlineStr">
        <is>
          <t>Educação pública</t>
        </is>
      </c>
      <c r="C75" s="31" t="n">
        <v>0.9098195126272044</v>
      </c>
      <c r="D75" s="31" t="n">
        <v>0.3147958228791991</v>
      </c>
      <c r="E75" s="31" t="n">
        <v>0.1270676184024213</v>
      </c>
      <c r="F75" s="31" t="n">
        <v>2.342660558502983</v>
      </c>
      <c r="G75" s="31" t="n">
        <v>11.05766941793167</v>
      </c>
      <c r="H75" s="31" t="n">
        <v>23.52678344341735</v>
      </c>
      <c r="I75" s="31" t="n">
        <v>0.648954516840199</v>
      </c>
      <c r="J75" s="31" t="n">
        <v>26.72345222974207</v>
      </c>
      <c r="K75" s="31" t="n">
        <v>5.096941741267552</v>
      </c>
      <c r="L75" s="31" t="n">
        <v>19.50301626685868</v>
      </c>
      <c r="M75" s="31" t="n">
        <v>21.09134916681601</v>
      </c>
      <c r="N75" s="31" t="n">
        <v>6.477763261633312</v>
      </c>
      <c r="O75" s="31" t="n">
        <v>1.189134279047575</v>
      </c>
      <c r="P75" s="31" t="n">
        <v>4.41828393405544</v>
      </c>
      <c r="Q75" s="31" t="n">
        <v>6.906377578975142</v>
      </c>
      <c r="R75" s="31" t="n">
        <v>2.206806499330455</v>
      </c>
      <c r="S75" s="31" t="n">
        <v>9.185301934727836</v>
      </c>
      <c r="T75" s="31" t="n">
        <v>0.6222847565647988</v>
      </c>
      <c r="U75" s="31" t="n">
        <v>6.465358823735727</v>
      </c>
      <c r="V75" s="31" t="n">
        <v>0.7747134287526352</v>
      </c>
      <c r="W75" s="31" t="n">
        <v>26.31030740290316</v>
      </c>
      <c r="X75" s="31" t="n">
        <v>11.5998510354711</v>
      </c>
      <c r="Y75" s="31" t="n">
        <v>16.48289261709559</v>
      </c>
      <c r="Z75" s="31" t="n">
        <v>51.5281647181924</v>
      </c>
      <c r="AA75" s="31" t="n">
        <v>10.94334466807735</v>
      </c>
      <c r="AB75" s="31" t="n">
        <v>11.13573814120259</v>
      </c>
      <c r="AC75" s="31" t="n">
        <v>10.88651577400763</v>
      </c>
      <c r="AD75" s="31" t="n">
        <v>21.25875768025145</v>
      </c>
      <c r="AE75" s="31" t="n">
        <v>5.437598804719757</v>
      </c>
      <c r="AF75" s="31" t="n">
        <v>18.3406655508372</v>
      </c>
      <c r="AG75" s="31" t="n">
        <v>33.72871848492773</v>
      </c>
      <c r="AH75" s="31" t="n">
        <v>35.80047242529555</v>
      </c>
      <c r="AI75" s="31" t="n">
        <v>83.0070188187198</v>
      </c>
      <c r="AJ75" s="31" t="n">
        <v>37.31688621717331</v>
      </c>
      <c r="AK75" s="31" t="n">
        <v>9.351774002656716</v>
      </c>
      <c r="AL75" s="31" t="n">
        <v>7.052010264373692</v>
      </c>
      <c r="AM75" s="31" t="n">
        <v>1.342874919356677</v>
      </c>
      <c r="AN75" s="31" t="n">
        <v>26.77848978347781</v>
      </c>
      <c r="AO75" s="31" t="n">
        <v>4.326464009853319</v>
      </c>
      <c r="AP75" s="31" t="n">
        <v>23.52406031121897</v>
      </c>
      <c r="AQ75" s="31" t="n">
        <v>13.11407695283106</v>
      </c>
      <c r="AR75" s="31" t="n">
        <v>103.7740088559895</v>
      </c>
      <c r="AS75" s="31" t="n">
        <v>12.15587154631538</v>
      </c>
      <c r="AT75" s="31" t="n">
        <v>0.9421922787486003</v>
      </c>
      <c r="AU75" s="31" t="n">
        <v>1.935456519811476</v>
      </c>
      <c r="AV75" s="31" t="n">
        <v>12.6922953754063</v>
      </c>
      <c r="AW75" s="31" t="n">
        <v>2.157753030919183</v>
      </c>
      <c r="AX75" s="31" t="n">
        <v>4.983419230648786</v>
      </c>
      <c r="AY75" s="31" t="n">
        <v>2.431300781189529</v>
      </c>
      <c r="AZ75" s="31" t="n">
        <v>3.7614197633097</v>
      </c>
      <c r="BA75" s="31" t="n">
        <v>56.46924759744056</v>
      </c>
      <c r="BB75" s="31" t="n">
        <v>22.56160053053571</v>
      </c>
      <c r="BC75" s="31" t="n">
        <v>81.96897101565261</v>
      </c>
      <c r="BD75" s="31" t="n">
        <v>3.796230682617924</v>
      </c>
      <c r="BE75" s="31" t="n">
        <v>34.76772313237223</v>
      </c>
      <c r="BF75" s="31" t="n">
        <v>278.8033251086528</v>
      </c>
      <c r="BG75" s="31" t="n">
        <v>5.510637174021192</v>
      </c>
      <c r="BH75" s="31" t="n">
        <v>9.326658465243227</v>
      </c>
      <c r="BI75" s="31" t="n">
        <v>22.57765670387009</v>
      </c>
      <c r="BJ75" s="31" t="n">
        <v>2.975596252943427</v>
      </c>
      <c r="BK75" s="31" t="n">
        <v>49.13126843652677</v>
      </c>
      <c r="BL75" s="31" t="n">
        <v>21.52229011192573</v>
      </c>
      <c r="BM75" s="31" t="n">
        <v>7.69614041527276</v>
      </c>
      <c r="BN75" s="31" t="n">
        <v>19.69413693545361</v>
      </c>
      <c r="BO75" s="31" t="n">
        <v>11.61306189826957</v>
      </c>
      <c r="BP75" s="31" t="n">
        <v>4.03617102359298</v>
      </c>
      <c r="BQ75" s="31" t="n">
        <v>24.25266717360158</v>
      </c>
      <c r="BR75" s="31" t="n">
        <v>0</v>
      </c>
      <c r="BS75" s="31">
        <f>SUM(C75:BR75)</f>
        <v/>
      </c>
      <c r="BT75" s="31" t="n">
        <v>0</v>
      </c>
      <c r="BU75" s="31" t="n">
        <v>0</v>
      </c>
      <c r="BV75" s="31" t="n">
        <v>191723.0108806647</v>
      </c>
      <c r="BW75" s="31" t="n">
        <v>0</v>
      </c>
      <c r="BX75" s="31">
        <f>SUM(BT75:BW75)</f>
        <v/>
      </c>
      <c r="BY75" s="31">
        <f>BS75+BX75</f>
        <v/>
      </c>
    </row>
    <row r="76">
      <c r="A76" s="28" t="inlineStr">
        <is>
          <t>8592</t>
        </is>
      </c>
      <c r="B76" s="28" t="inlineStr">
        <is>
          <t>Educação privada</t>
        </is>
      </c>
      <c r="C76" s="29" t="n">
        <v>1.940062584333967</v>
      </c>
      <c r="D76" s="29" t="n">
        <v>0.9696230019782657</v>
      </c>
      <c r="E76" s="29" t="n">
        <v>0.007543474066747923</v>
      </c>
      <c r="F76" s="29" t="n">
        <v>1.017325536998849</v>
      </c>
      <c r="G76" s="29" t="n">
        <v>20.49553449292458</v>
      </c>
      <c r="H76" s="29" t="n">
        <v>86.57149293835063</v>
      </c>
      <c r="I76" s="29" t="n">
        <v>11.6096395744422</v>
      </c>
      <c r="J76" s="29" t="n">
        <v>4.88854076939665</v>
      </c>
      <c r="K76" s="29" t="n">
        <v>0.4112777599219239</v>
      </c>
      <c r="L76" s="29" t="n">
        <v>11.90656317856556</v>
      </c>
      <c r="M76" s="29" t="n">
        <v>1.33056530565738</v>
      </c>
      <c r="N76" s="29" t="n">
        <v>0.4018759654610232</v>
      </c>
      <c r="O76" s="29" t="n">
        <v>1.291299917663931</v>
      </c>
      <c r="P76" s="29" t="n">
        <v>0.601708764653325</v>
      </c>
      <c r="Q76" s="29" t="n">
        <v>0.6041038301252677</v>
      </c>
      <c r="R76" s="29" t="n">
        <v>0.185849232796572</v>
      </c>
      <c r="S76" s="29" t="n">
        <v>23.90157073565926</v>
      </c>
      <c r="T76" s="29" t="n">
        <v>0.08457914133432089</v>
      </c>
      <c r="U76" s="29" t="n">
        <v>4.988855614898425</v>
      </c>
      <c r="V76" s="29" t="n">
        <v>0.1288265616215735</v>
      </c>
      <c r="W76" s="29" t="n">
        <v>8.515267898688981</v>
      </c>
      <c r="X76" s="29" t="n">
        <v>16.07708481560685</v>
      </c>
      <c r="Y76" s="29" t="n">
        <v>1.204342695155792</v>
      </c>
      <c r="Z76" s="29" t="n">
        <v>3.611558112364678</v>
      </c>
      <c r="AA76" s="29" t="n">
        <v>2.939130710942891</v>
      </c>
      <c r="AB76" s="29" t="n">
        <v>0.7551275546638521</v>
      </c>
      <c r="AC76" s="29" t="n">
        <v>122.5451273797389</v>
      </c>
      <c r="AD76" s="29" t="n">
        <v>38.20209056039826</v>
      </c>
      <c r="AE76" s="29" t="n">
        <v>42.97733746148277</v>
      </c>
      <c r="AF76" s="29" t="n">
        <v>2.144793693257435</v>
      </c>
      <c r="AG76" s="29" t="n">
        <v>2.349501111506436</v>
      </c>
      <c r="AH76" s="29" t="n">
        <v>21.85889845175088</v>
      </c>
      <c r="AI76" s="29" t="n">
        <v>104.2371558951186</v>
      </c>
      <c r="AJ76" s="29" t="n">
        <v>5.687090486799983</v>
      </c>
      <c r="AK76" s="29" t="n">
        <v>0.7144421600157751</v>
      </c>
      <c r="AL76" s="29" t="n">
        <v>0.671382744550319</v>
      </c>
      <c r="AM76" s="29" t="n">
        <v>3.931687169780166</v>
      </c>
      <c r="AN76" s="29" t="n">
        <v>59.08942392110175</v>
      </c>
      <c r="AO76" s="29" t="n">
        <v>1.37534137457787</v>
      </c>
      <c r="AP76" s="29" t="n">
        <v>3.840264217038704</v>
      </c>
      <c r="AQ76" s="29" t="n">
        <v>23.99001515881204</v>
      </c>
      <c r="AR76" s="29" t="n">
        <v>408.0084347215517</v>
      </c>
      <c r="AS76" s="29" t="n">
        <v>628.028846549314</v>
      </c>
      <c r="AT76" s="29" t="n">
        <v>48.36684734954697</v>
      </c>
      <c r="AU76" s="29" t="n">
        <v>9.777157355944222</v>
      </c>
      <c r="AV76" s="29" t="n">
        <v>147.8642681369116</v>
      </c>
      <c r="AW76" s="29" t="n">
        <v>1.916387261601355</v>
      </c>
      <c r="AX76" s="29" t="n">
        <v>4.074931366743823</v>
      </c>
      <c r="AY76" s="29" t="n">
        <v>0.4326935146243913</v>
      </c>
      <c r="AZ76" s="29" t="n">
        <v>0.5183776560403829</v>
      </c>
      <c r="BA76" s="29" t="n">
        <v>48.98991470108277</v>
      </c>
      <c r="BB76" s="29" t="n">
        <v>2.013529021446714</v>
      </c>
      <c r="BC76" s="29" t="n">
        <v>1297.280316925867</v>
      </c>
      <c r="BD76" s="29" t="n">
        <v>1.705308958020001</v>
      </c>
      <c r="BE76" s="29" t="n">
        <v>1358.007619159565</v>
      </c>
      <c r="BF76" s="29" t="n">
        <v>136.8705271299715</v>
      </c>
      <c r="BG76" s="29" t="n">
        <v>333.14010962113</v>
      </c>
      <c r="BH76" s="29" t="n">
        <v>39.09652772103902</v>
      </c>
      <c r="BI76" s="29" t="n">
        <v>1029.696192573946</v>
      </c>
      <c r="BJ76" s="29" t="n">
        <v>92.97145479258241</v>
      </c>
      <c r="BK76" s="29" t="n">
        <v>364.416990600128</v>
      </c>
      <c r="BL76" s="29" t="n">
        <v>550.2469193532946</v>
      </c>
      <c r="BM76" s="29" t="n">
        <v>3.197205340971056</v>
      </c>
      <c r="BN76" s="29" t="n">
        <v>376.1611046939567</v>
      </c>
      <c r="BO76" s="29" t="n">
        <v>1.537907112801798</v>
      </c>
      <c r="BP76" s="29" t="n">
        <v>3.026168138991766</v>
      </c>
      <c r="BQ76" s="29" t="n">
        <v>242.9704632167893</v>
      </c>
      <c r="BR76" s="29" t="n">
        <v>0</v>
      </c>
      <c r="BS76" s="29">
        <f>SUM(C76:BR76)</f>
        <v/>
      </c>
      <c r="BT76" s="29" t="n">
        <v>0</v>
      </c>
      <c r="BU76" s="29" t="n">
        <v>0</v>
      </c>
      <c r="BV76" s="29" t="n">
        <v>55620.76090406541</v>
      </c>
      <c r="BW76" s="29" t="n">
        <v>0</v>
      </c>
      <c r="BX76" s="29">
        <f>SUM(BT76:BW76)</f>
        <v/>
      </c>
      <c r="BY76" s="29">
        <f>BS76+BX76</f>
        <v/>
      </c>
    </row>
    <row r="77">
      <c r="A77" s="30" t="inlineStr">
        <is>
          <t>8691</t>
        </is>
      </c>
      <c r="B77" s="30" t="inlineStr">
        <is>
          <t>Saúde pública</t>
        </is>
      </c>
      <c r="C77" s="31" t="n">
        <v>0.04261286529301372</v>
      </c>
      <c r="D77" s="31" t="n">
        <v>0.09484579070519769</v>
      </c>
      <c r="E77" s="31" t="n">
        <v>0.00160907754501314</v>
      </c>
      <c r="F77" s="31" t="n">
        <v>0.03765924169319704</v>
      </c>
      <c r="G77" s="31" t="n">
        <v>0.1809889402281344</v>
      </c>
      <c r="H77" s="31" t="n">
        <v>1.906812655185049</v>
      </c>
      <c r="I77" s="31" t="n">
        <v>0.007548477712125893</v>
      </c>
      <c r="J77" s="31" t="n">
        <v>1.543140597755844</v>
      </c>
      <c r="K77" s="31" t="n">
        <v>0.2956375965568645</v>
      </c>
      <c r="L77" s="31" t="n">
        <v>0.9769817911306956</v>
      </c>
      <c r="M77" s="31" t="n">
        <v>1.630304624477575</v>
      </c>
      <c r="N77" s="31" t="n">
        <v>0.4584974578510134</v>
      </c>
      <c r="O77" s="31" t="n">
        <v>0.0143646291500386</v>
      </c>
      <c r="P77" s="31" t="n">
        <v>0.3373558698770036</v>
      </c>
      <c r="Q77" s="31" t="n">
        <v>0.5748992257216771</v>
      </c>
      <c r="R77" s="31" t="n">
        <v>0.1797955815486303</v>
      </c>
      <c r="S77" s="31" t="n">
        <v>0.6296883298586999</v>
      </c>
      <c r="T77" s="31" t="n">
        <v>0.03396628043083656</v>
      </c>
      <c r="U77" s="31" t="n">
        <v>0.04531330203868787</v>
      </c>
      <c r="V77" s="31" t="n">
        <v>0.01392084955060459</v>
      </c>
      <c r="W77" s="31" t="n">
        <v>1.973216181035329</v>
      </c>
      <c r="X77" s="31" t="n">
        <v>0.6255274747533636</v>
      </c>
      <c r="Y77" s="31" t="n">
        <v>1.361517297693235</v>
      </c>
      <c r="Z77" s="31" t="n">
        <v>4.310274908239618</v>
      </c>
      <c r="AA77" s="31" t="n">
        <v>0.7725513583447308</v>
      </c>
      <c r="AB77" s="31" t="n">
        <v>0.6688073084140684</v>
      </c>
      <c r="AC77" s="31" t="n">
        <v>0.6237310586543136</v>
      </c>
      <c r="AD77" s="31" t="n">
        <v>1.806119968542981</v>
      </c>
      <c r="AE77" s="31" t="n">
        <v>0.2451270522699353</v>
      </c>
      <c r="AF77" s="31" t="n">
        <v>1.246853638617618</v>
      </c>
      <c r="AG77" s="31" t="n">
        <v>2.717840395716522</v>
      </c>
      <c r="AH77" s="31" t="n">
        <v>2.759195720011049</v>
      </c>
      <c r="AI77" s="31" t="n">
        <v>7.052056793079806</v>
      </c>
      <c r="AJ77" s="31" t="n">
        <v>3.228340278465742</v>
      </c>
      <c r="AK77" s="31" t="n">
        <v>0.8077787533898513</v>
      </c>
      <c r="AL77" s="31" t="n">
        <v>0.5506512977266721</v>
      </c>
      <c r="AM77" s="31" t="n">
        <v>0.03999974119471481</v>
      </c>
      <c r="AN77" s="31" t="n">
        <v>1.843014524022965</v>
      </c>
      <c r="AO77" s="31" t="n">
        <v>0.2166111185236557</v>
      </c>
      <c r="AP77" s="31" t="n">
        <v>0.9360279162826572</v>
      </c>
      <c r="AQ77" s="31" t="n">
        <v>0.07944190142230903</v>
      </c>
      <c r="AR77" s="31" t="n">
        <v>2.669541998337545</v>
      </c>
      <c r="AS77" s="31" t="n">
        <v>0.0500597904153972</v>
      </c>
      <c r="AT77" s="31" t="n">
        <v>0.002195699042629357</v>
      </c>
      <c r="AU77" s="31" t="n">
        <v>0.005578658915940534</v>
      </c>
      <c r="AV77" s="31" t="n">
        <v>0.2828672934449484</v>
      </c>
      <c r="AW77" s="31" t="n">
        <v>0.004705543657515014</v>
      </c>
      <c r="AX77" s="31" t="n">
        <v>0.01200273477854633</v>
      </c>
      <c r="AY77" s="31" t="n">
        <v>0.07730042184491166</v>
      </c>
      <c r="AZ77" s="31" t="n">
        <v>0.03521816630340674</v>
      </c>
      <c r="BA77" s="31" t="n">
        <v>1.917020329315255</v>
      </c>
      <c r="BB77" s="31" t="n">
        <v>1.105044152389117</v>
      </c>
      <c r="BC77" s="31" t="n">
        <v>0.5028796522747121</v>
      </c>
      <c r="BD77" s="31" t="n">
        <v>0.01951810127934247</v>
      </c>
      <c r="BE77" s="31" t="n">
        <v>0.1175192806736908</v>
      </c>
      <c r="BF77" s="31" t="n">
        <v>25.01612635021232</v>
      </c>
      <c r="BG77" s="31" t="n">
        <v>0.01931493445951508</v>
      </c>
      <c r="BH77" s="31" t="n">
        <v>0.6053979719351665</v>
      </c>
      <c r="BI77" s="31" t="n">
        <v>0.1555875274475988</v>
      </c>
      <c r="BJ77" s="31" t="n">
        <v>0.008193572393539822</v>
      </c>
      <c r="BK77" s="31" t="n">
        <v>1.431350148293454</v>
      </c>
      <c r="BL77" s="31" t="n">
        <v>0.1346987784257969</v>
      </c>
      <c r="BM77" s="31" t="n">
        <v>0.07302667487668955</v>
      </c>
      <c r="BN77" s="31" t="n">
        <v>0.4147370539519635</v>
      </c>
      <c r="BO77" s="31" t="n">
        <v>232.1913223315171</v>
      </c>
      <c r="BP77" s="31" t="n">
        <v>0.02017839149472241</v>
      </c>
      <c r="BQ77" s="31" t="n">
        <v>0.05582865667244731</v>
      </c>
      <c r="BR77" s="31" t="n">
        <v>0</v>
      </c>
      <c r="BS77" s="31">
        <f>SUM(C77:BR77)</f>
        <v/>
      </c>
      <c r="BT77" s="31" t="n">
        <v>0</v>
      </c>
      <c r="BU77" s="31" t="n">
        <v>0</v>
      </c>
      <c r="BV77" s="31" t="n">
        <v>114491.9765292591</v>
      </c>
      <c r="BW77" s="31" t="n">
        <v>0</v>
      </c>
      <c r="BX77" s="31">
        <f>SUM(BT77:BW77)</f>
        <v/>
      </c>
      <c r="BY77" s="31">
        <f>BS77+BX77</f>
        <v/>
      </c>
    </row>
    <row r="78">
      <c r="A78" s="28" t="inlineStr">
        <is>
          <t>8692</t>
        </is>
      </c>
      <c r="B78" s="28" t="inlineStr">
        <is>
          <t>Saúde privada</t>
        </is>
      </c>
      <c r="C78" s="29" t="n">
        <v>0.02616138235452441</v>
      </c>
      <c r="D78" s="29" t="n">
        <v>0.01121202100908189</v>
      </c>
      <c r="E78" s="29" t="n">
        <v>0.02616138235452441</v>
      </c>
      <c r="F78" s="29" t="n">
        <v>0.08661565877914008</v>
      </c>
      <c r="G78" s="29" t="n">
        <v>0.7063573235721592</v>
      </c>
      <c r="H78" s="29" t="n">
        <v>0.1392080354874944</v>
      </c>
      <c r="I78" s="29" t="n">
        <v>0.04858542437268819</v>
      </c>
      <c r="J78" s="29" t="n">
        <v>1.594392981698177</v>
      </c>
      <c r="K78" s="29" t="n">
        <v>0.5926739121942294</v>
      </c>
      <c r="L78" s="29" t="n">
        <v>1.188835625523399</v>
      </c>
      <c r="M78" s="29" t="n">
        <v>0.2366284234342905</v>
      </c>
      <c r="N78" s="29" t="n">
        <v>0.1070233143880603</v>
      </c>
      <c r="O78" s="29" t="n">
        <v>0.9567591261083214</v>
      </c>
      <c r="P78" s="29" t="n">
        <v>1.027519053297754</v>
      </c>
      <c r="Q78" s="29" t="n">
        <v>0.3114670167229168</v>
      </c>
      <c r="R78" s="29" t="n">
        <v>0.09737449466608933</v>
      </c>
      <c r="S78" s="29" t="n">
        <v>0.446668099874745</v>
      </c>
      <c r="T78" s="29" t="n">
        <v>0.1912611881972378</v>
      </c>
      <c r="U78" s="29" t="n">
        <v>0.4447435000269151</v>
      </c>
      <c r="V78" s="29" t="n">
        <v>0.373734033636063</v>
      </c>
      <c r="W78" s="29" t="n">
        <v>0.5472349631936487</v>
      </c>
      <c r="X78" s="29" t="n">
        <v>0.3152043570592774</v>
      </c>
      <c r="Y78" s="29" t="n">
        <v>0.4780382372913274</v>
      </c>
      <c r="Z78" s="29" t="n">
        <v>0.7721522872160179</v>
      </c>
      <c r="AA78" s="29" t="n">
        <v>1.163127428291007</v>
      </c>
      <c r="AB78" s="29" t="n">
        <v>0.6379292880719828</v>
      </c>
      <c r="AC78" s="29" t="n">
        <v>0.850300856201693</v>
      </c>
      <c r="AD78" s="29" t="n">
        <v>0.06996541630446629</v>
      </c>
      <c r="AE78" s="29" t="n">
        <v>0.714692481208439</v>
      </c>
      <c r="AF78" s="29" t="n">
        <v>0.6167730148588034</v>
      </c>
      <c r="AG78" s="29" t="n">
        <v>0.4409803392077334</v>
      </c>
      <c r="AH78" s="29" t="n">
        <v>0.7878961594464264</v>
      </c>
      <c r="AI78" s="29" t="n">
        <v>0.6538452380553479</v>
      </c>
      <c r="AJ78" s="29" t="n">
        <v>0.8296178409085322</v>
      </c>
      <c r="AK78" s="29" t="n">
        <v>0.2232881566566658</v>
      </c>
      <c r="AL78" s="29" t="n">
        <v>0.7069682613342979</v>
      </c>
      <c r="AM78" s="29" t="n">
        <v>0.1501504444972709</v>
      </c>
      <c r="AN78" s="29" t="n">
        <v>2.671607475533598</v>
      </c>
      <c r="AO78" s="29" t="n">
        <v>0.9270640493381492</v>
      </c>
      <c r="AP78" s="29" t="n">
        <v>4.77758871867387</v>
      </c>
      <c r="AQ78" s="29" t="n">
        <v>12.84523873607148</v>
      </c>
      <c r="AR78" s="29" t="n">
        <v>94.04226177151828</v>
      </c>
      <c r="AS78" s="29" t="n">
        <v>3.602796084251648</v>
      </c>
      <c r="AT78" s="29" t="n">
        <v>0.2167657395089166</v>
      </c>
      <c r="AU78" s="29" t="n">
        <v>0.4036327563269481</v>
      </c>
      <c r="AV78" s="29" t="n">
        <v>6.887918239912642</v>
      </c>
      <c r="AW78" s="29" t="n">
        <v>3.296334176670076</v>
      </c>
      <c r="AX78" s="29" t="n">
        <v>14.14583317312499</v>
      </c>
      <c r="AY78" s="29" t="n">
        <v>1.167363847030208</v>
      </c>
      <c r="AZ78" s="29" t="n">
        <v>1.651904428671398</v>
      </c>
      <c r="BA78" s="29" t="n">
        <v>9.511800768037109</v>
      </c>
      <c r="BB78" s="29" t="n">
        <v>3.962802632066546</v>
      </c>
      <c r="BC78" s="29" t="n">
        <v>22.27914622200927</v>
      </c>
      <c r="BD78" s="29" t="n">
        <v>5.916209752458878</v>
      </c>
      <c r="BE78" s="29" t="n">
        <v>12.25473896292651</v>
      </c>
      <c r="BF78" s="29" t="n">
        <v>3.418481759899615</v>
      </c>
      <c r="BG78" s="29" t="n">
        <v>2.758157168234145</v>
      </c>
      <c r="BH78" s="29" t="n">
        <v>3.287046755508825</v>
      </c>
      <c r="BI78" s="29" t="n">
        <v>9.091839022200435</v>
      </c>
      <c r="BJ78" s="29" t="n">
        <v>0.7773667899630111</v>
      </c>
      <c r="BK78" s="29" t="n">
        <v>61.13489990583565</v>
      </c>
      <c r="BL78" s="29" t="n">
        <v>3.831094936932895</v>
      </c>
      <c r="BM78" s="29" t="n">
        <v>11.01086146196126</v>
      </c>
      <c r="BN78" s="29" t="n">
        <v>11.96312375342007</v>
      </c>
      <c r="BO78" s="29" t="n">
        <v>11631.91318291714</v>
      </c>
      <c r="BP78" s="29" t="n">
        <v>10.50192634517337</v>
      </c>
      <c r="BQ78" s="29" t="n">
        <v>8.375379693784172</v>
      </c>
      <c r="BR78" s="29" t="n">
        <v>0</v>
      </c>
      <c r="BS78" s="29">
        <f>SUM(C78:BR78)</f>
        <v/>
      </c>
      <c r="BT78" s="29" t="n">
        <v>0</v>
      </c>
      <c r="BU78" s="29" t="n">
        <v>0</v>
      </c>
      <c r="BV78" s="29" t="n">
        <v>113729.8651421147</v>
      </c>
      <c r="BW78" s="29" t="n">
        <v>0</v>
      </c>
      <c r="BX78" s="29">
        <f>SUM(BT78:BW78)</f>
        <v/>
      </c>
      <c r="BY78" s="29">
        <f>BS78+BX78</f>
        <v/>
      </c>
    </row>
    <row r="79">
      <c r="A79" s="30" t="inlineStr">
        <is>
          <t>9080</t>
        </is>
      </c>
      <c r="B79" s="30" t="inlineStr">
        <is>
          <t>Atividades artísticas, criativas e de espetáculos</t>
        </is>
      </c>
      <c r="C79" s="31" t="n">
        <v>0.2549257989719984</v>
      </c>
      <c r="D79" s="31" t="n">
        <v>6.298873143935439</v>
      </c>
      <c r="E79" s="31" t="n">
        <v>1.216947217743015</v>
      </c>
      <c r="F79" s="31" t="n">
        <v>0.8265808068606315</v>
      </c>
      <c r="G79" s="31" t="n">
        <v>7.117345574021905</v>
      </c>
      <c r="H79" s="31" t="n">
        <v>0.1883564801797198</v>
      </c>
      <c r="I79" s="31" t="n">
        <v>0.04758982551630875</v>
      </c>
      <c r="J79" s="31" t="n">
        <v>33.29295003418525</v>
      </c>
      <c r="K79" s="31" t="n">
        <v>3.310050946052645</v>
      </c>
      <c r="L79" s="31" t="n">
        <v>48.71503244432093</v>
      </c>
      <c r="M79" s="31" t="n">
        <v>82.63115358656549</v>
      </c>
      <c r="N79" s="31" t="n">
        <v>7.328905045164555</v>
      </c>
      <c r="O79" s="31" t="n">
        <v>2.460956686260531</v>
      </c>
      <c r="P79" s="31" t="n">
        <v>6.839931857073092</v>
      </c>
      <c r="Q79" s="31" t="n">
        <v>14.30983834246697</v>
      </c>
      <c r="R79" s="31" t="n">
        <v>0.5517924805401324</v>
      </c>
      <c r="S79" s="31" t="n">
        <v>9.169089886978712</v>
      </c>
      <c r="T79" s="31" t="n">
        <v>1.497188171444092</v>
      </c>
      <c r="U79" s="31" t="n">
        <v>2.737207943753296</v>
      </c>
      <c r="V79" s="31" t="n">
        <v>1.225512843338438</v>
      </c>
      <c r="W79" s="31" t="n">
        <v>2.180130350704629</v>
      </c>
      <c r="X79" s="31" t="n">
        <v>8.44485918831136</v>
      </c>
      <c r="Y79" s="31" t="n">
        <v>19.60502581501197</v>
      </c>
      <c r="Z79" s="31" t="n">
        <v>30.90091380797409</v>
      </c>
      <c r="AA79" s="31" t="n">
        <v>9.482244673947264</v>
      </c>
      <c r="AB79" s="31" t="n">
        <v>5.149195846539001</v>
      </c>
      <c r="AC79" s="31" t="n">
        <v>4.054983514273136</v>
      </c>
      <c r="AD79" s="31" t="n">
        <v>0.3528877478881987</v>
      </c>
      <c r="AE79" s="31" t="n">
        <v>8.943520754118886</v>
      </c>
      <c r="AF79" s="31" t="n">
        <v>24.28159104463239</v>
      </c>
      <c r="AG79" s="31" t="n">
        <v>12.70084326780889</v>
      </c>
      <c r="AH79" s="31" t="n">
        <v>9.363288863994804</v>
      </c>
      <c r="AI79" s="31" t="n">
        <v>87.65752433470134</v>
      </c>
      <c r="AJ79" s="31" t="n">
        <v>3.66525781700092</v>
      </c>
      <c r="AK79" s="31" t="n">
        <v>5.770236339851269</v>
      </c>
      <c r="AL79" s="31" t="n">
        <v>7.143899793071037</v>
      </c>
      <c r="AM79" s="31" t="n">
        <v>1.283311617691017</v>
      </c>
      <c r="AN79" s="31" t="n">
        <v>39.23404373517337</v>
      </c>
      <c r="AO79" s="31" t="n">
        <v>3.935291346180038</v>
      </c>
      <c r="AP79" s="31" t="n">
        <v>38.77777765018557</v>
      </c>
      <c r="AQ79" s="31" t="n">
        <v>59.98132423483002</v>
      </c>
      <c r="AR79" s="31" t="n">
        <v>293.685137490406</v>
      </c>
      <c r="AS79" s="31" t="n">
        <v>12.3398848246912</v>
      </c>
      <c r="AT79" s="31" t="n">
        <v>0.7817990192209818</v>
      </c>
      <c r="AU79" s="31" t="n">
        <v>4.231291445327846</v>
      </c>
      <c r="AV79" s="31" t="n">
        <v>19.55039111400971</v>
      </c>
      <c r="AW79" s="31" t="n">
        <v>17.00224561078566</v>
      </c>
      <c r="AX79" s="31" t="n">
        <v>19.45762885522107</v>
      </c>
      <c r="AY79" s="31" t="n">
        <v>23.46725782792219</v>
      </c>
      <c r="AZ79" s="31" t="n">
        <v>1698.251847244319</v>
      </c>
      <c r="BA79" s="31" t="n">
        <v>425.6861029622095</v>
      </c>
      <c r="BB79" s="31" t="n">
        <v>28.70258111514975</v>
      </c>
      <c r="BC79" s="31" t="n">
        <v>223.4365186916598</v>
      </c>
      <c r="BD79" s="31" t="n">
        <v>16.27488828699219</v>
      </c>
      <c r="BE79" s="31" t="n">
        <v>68.57881827335292</v>
      </c>
      <c r="BF79" s="31" t="n">
        <v>7.89678966541307</v>
      </c>
      <c r="BG79" s="31" t="n">
        <v>68.20406626006576</v>
      </c>
      <c r="BH79" s="31" t="n">
        <v>16.88409644975533</v>
      </c>
      <c r="BI79" s="31" t="n">
        <v>47.2593765017133</v>
      </c>
      <c r="BJ79" s="31" t="n">
        <v>3.32395145888174</v>
      </c>
      <c r="BK79" s="31" t="n">
        <v>607.3313331695322</v>
      </c>
      <c r="BL79" s="31" t="n">
        <v>74.32130302720959</v>
      </c>
      <c r="BM79" s="31" t="n">
        <v>43.21715729793176</v>
      </c>
      <c r="BN79" s="31" t="n">
        <v>58.15020492880007</v>
      </c>
      <c r="BO79" s="31" t="n">
        <v>3.117981809977058</v>
      </c>
      <c r="BP79" s="31" t="n">
        <v>628.9731126768987</v>
      </c>
      <c r="BQ79" s="31" t="n">
        <v>911.1782387292315</v>
      </c>
      <c r="BR79" s="31" t="n">
        <v>0</v>
      </c>
      <c r="BS79" s="31">
        <f>SUM(C79:BR79)</f>
        <v/>
      </c>
      <c r="BT79" s="31" t="n">
        <v>0</v>
      </c>
      <c r="BU79" s="31" t="n">
        <v>0</v>
      </c>
      <c r="BV79" s="31" t="n">
        <v>19747.57233425816</v>
      </c>
      <c r="BW79" s="31" t="n">
        <v>0</v>
      </c>
      <c r="BX79" s="31">
        <f>SUM(BT79:BW79)</f>
        <v/>
      </c>
      <c r="BY79" s="31">
        <f>BS79+BX79</f>
        <v/>
      </c>
    </row>
    <row r="80">
      <c r="A80" s="28" t="inlineStr">
        <is>
          <t>9480</t>
        </is>
      </c>
      <c r="B80" s="28" t="inlineStr">
        <is>
          <t>Organizações associativas e outros serviços pessoais</t>
        </is>
      </c>
      <c r="C80" s="29" t="n">
        <v>83.02417602550163</v>
      </c>
      <c r="D80" s="29" t="n">
        <v>24.01289793580738</v>
      </c>
      <c r="E80" s="29" t="n">
        <v>15.9002047321779</v>
      </c>
      <c r="F80" s="29" t="n">
        <v>34.06689863866411</v>
      </c>
      <c r="G80" s="29" t="n">
        <v>255.9385413115809</v>
      </c>
      <c r="H80" s="29" t="n">
        <v>155.2269064931171</v>
      </c>
      <c r="I80" s="29" t="n">
        <v>28.35762560037188</v>
      </c>
      <c r="J80" s="29" t="n">
        <v>115.8735945497974</v>
      </c>
      <c r="K80" s="29" t="n">
        <v>61.56386671323011</v>
      </c>
      <c r="L80" s="29" t="n">
        <v>123.8446824131095</v>
      </c>
      <c r="M80" s="29" t="n">
        <v>81.25853197621784</v>
      </c>
      <c r="N80" s="29" t="n">
        <v>13.24936997580783</v>
      </c>
      <c r="O80" s="29" t="n">
        <v>48.09788691328589</v>
      </c>
      <c r="P80" s="29" t="n">
        <v>65.9629012163129</v>
      </c>
      <c r="Q80" s="29" t="n">
        <v>41.83872926978887</v>
      </c>
      <c r="R80" s="29" t="n">
        <v>34.21882482516501</v>
      </c>
      <c r="S80" s="29" t="n">
        <v>81.48386402134733</v>
      </c>
      <c r="T80" s="29" t="n">
        <v>41.51747850490109</v>
      </c>
      <c r="U80" s="29" t="n">
        <v>81.53741231595858</v>
      </c>
      <c r="V80" s="29" t="n">
        <v>23.3879183034252</v>
      </c>
      <c r="W80" s="29" t="n">
        <v>78.05932897784471</v>
      </c>
      <c r="X80" s="29" t="n">
        <v>43.10130202817512</v>
      </c>
      <c r="Y80" s="29" t="n">
        <v>29.26308322887927</v>
      </c>
      <c r="Z80" s="29" t="n">
        <v>65.41452784600743</v>
      </c>
      <c r="AA80" s="29" t="n">
        <v>116.6952302574779</v>
      </c>
      <c r="AB80" s="29" t="n">
        <v>109.4246982849708</v>
      </c>
      <c r="AC80" s="29" t="n">
        <v>88.19563105805619</v>
      </c>
      <c r="AD80" s="29" t="n">
        <v>34.30652591453348</v>
      </c>
      <c r="AE80" s="29" t="n">
        <v>162.2570481612509</v>
      </c>
      <c r="AF80" s="29" t="n">
        <v>251.3694526147316</v>
      </c>
      <c r="AG80" s="29" t="n">
        <v>107.2107293858682</v>
      </c>
      <c r="AH80" s="29" t="n">
        <v>174.7245044602271</v>
      </c>
      <c r="AI80" s="29" t="n">
        <v>223.233465970964</v>
      </c>
      <c r="AJ80" s="29" t="n">
        <v>120.4413475093495</v>
      </c>
      <c r="AK80" s="29" t="n">
        <v>38.26425409432488</v>
      </c>
      <c r="AL80" s="29" t="n">
        <v>74.41493036806419</v>
      </c>
      <c r="AM80" s="29" t="n">
        <v>1.399101165012555</v>
      </c>
      <c r="AN80" s="29" t="n">
        <v>269.2533864377179</v>
      </c>
      <c r="AO80" s="29" t="n">
        <v>0.5499941427126018</v>
      </c>
      <c r="AP80" s="29" t="n">
        <v>90.52153203074279</v>
      </c>
      <c r="AQ80" s="29" t="n">
        <v>56.53772858401221</v>
      </c>
      <c r="AR80" s="29" t="n">
        <v>1407.943126462241</v>
      </c>
      <c r="AS80" s="29" t="n">
        <v>263.3750313712681</v>
      </c>
      <c r="AT80" s="29" t="n">
        <v>4.039738837334203</v>
      </c>
      <c r="AU80" s="29" t="n">
        <v>6.275698169826285</v>
      </c>
      <c r="AV80" s="29" t="n">
        <v>730.938609573102</v>
      </c>
      <c r="AW80" s="29" t="n">
        <v>82.92890686200045</v>
      </c>
      <c r="AX80" s="29" t="n">
        <v>105.0605627159624</v>
      </c>
      <c r="AY80" s="29" t="n">
        <v>42.4480949945731</v>
      </c>
      <c r="AZ80" s="29" t="n">
        <v>110.488426649075</v>
      </c>
      <c r="BA80" s="29" t="n">
        <v>2928.924330673093</v>
      </c>
      <c r="BB80" s="29" t="n">
        <v>599.064581274215</v>
      </c>
      <c r="BC80" s="29" t="n">
        <v>1542.262793724053</v>
      </c>
      <c r="BD80" s="29" t="n">
        <v>67.24005691954399</v>
      </c>
      <c r="BE80" s="29" t="n">
        <v>233.3119188095349</v>
      </c>
      <c r="BF80" s="29" t="n">
        <v>50.12535132871679</v>
      </c>
      <c r="BG80" s="29" t="n">
        <v>237.0648871493314</v>
      </c>
      <c r="BH80" s="29" t="n">
        <v>55.45200532772944</v>
      </c>
      <c r="BI80" s="29" t="n">
        <v>733.7605266534454</v>
      </c>
      <c r="BJ80" s="29" t="n">
        <v>22.87891591057134</v>
      </c>
      <c r="BK80" s="29" t="n">
        <v>384.1418923346902</v>
      </c>
      <c r="BL80" s="29" t="n">
        <v>72.17959974694497</v>
      </c>
      <c r="BM80" s="29" t="n">
        <v>247.3730966817496</v>
      </c>
      <c r="BN80" s="29" t="n">
        <v>945.0120771535826</v>
      </c>
      <c r="BO80" s="29" t="n">
        <v>1198.056839807294</v>
      </c>
      <c r="BP80" s="29" t="n">
        <v>15.05068866630393</v>
      </c>
      <c r="BQ80" s="29" t="n">
        <v>214.8485212158812</v>
      </c>
      <c r="BR80" s="29" t="n">
        <v>0</v>
      </c>
      <c r="BS80" s="29">
        <f>SUM(C80:BR80)</f>
        <v/>
      </c>
      <c r="BT80" s="29" t="n">
        <v>0</v>
      </c>
      <c r="BU80" s="29" t="n">
        <v>0</v>
      </c>
      <c r="BV80" s="29" t="n">
        <v>94614.24485249985</v>
      </c>
      <c r="BW80" s="29" t="n">
        <v>0</v>
      </c>
      <c r="BX80" s="29">
        <f>SUM(BT80:BW80)</f>
        <v/>
      </c>
      <c r="BY80" s="29">
        <f>BS80+BX80</f>
        <v/>
      </c>
    </row>
    <row r="81">
      <c r="A81" s="30" t="inlineStr">
        <is>
          <t>9700</t>
        </is>
      </c>
      <c r="B81" s="30" t="inlineStr">
        <is>
          <t>Serviços domésticos</t>
        </is>
      </c>
      <c r="C81" s="31" t="n">
        <v>0</v>
      </c>
      <c r="D81" s="31" t="n">
        <v>0</v>
      </c>
      <c r="E81" s="31" t="n">
        <v>0</v>
      </c>
      <c r="F81" s="31" t="n">
        <v>0</v>
      </c>
      <c r="G81" s="31" t="n">
        <v>0</v>
      </c>
      <c r="H81" s="31" t="n">
        <v>0</v>
      </c>
      <c r="I81" s="31" t="n">
        <v>0</v>
      </c>
      <c r="J81" s="31" t="n">
        <v>0</v>
      </c>
      <c r="K81" s="31" t="n">
        <v>0</v>
      </c>
      <c r="L81" s="31" t="n">
        <v>0</v>
      </c>
      <c r="M81" s="31" t="n">
        <v>0</v>
      </c>
      <c r="N81" s="31" t="n">
        <v>0</v>
      </c>
      <c r="O81" s="31" t="n">
        <v>0</v>
      </c>
      <c r="P81" s="31" t="n">
        <v>0</v>
      </c>
      <c r="Q81" s="31" t="n">
        <v>0</v>
      </c>
      <c r="R81" s="31" t="n">
        <v>0</v>
      </c>
      <c r="S81" s="31" t="n">
        <v>0</v>
      </c>
      <c r="T81" s="31" t="n">
        <v>0</v>
      </c>
      <c r="U81" s="31" t="n">
        <v>0</v>
      </c>
      <c r="V81" s="31" t="n">
        <v>0</v>
      </c>
      <c r="W81" s="31" t="n">
        <v>0</v>
      </c>
      <c r="X81" s="31" t="n">
        <v>0</v>
      </c>
      <c r="Y81" s="31" t="n">
        <v>0</v>
      </c>
      <c r="Z81" s="31" t="n">
        <v>0</v>
      </c>
      <c r="AA81" s="31" t="n">
        <v>0</v>
      </c>
      <c r="AB81" s="31" t="n">
        <v>0</v>
      </c>
      <c r="AC81" s="31" t="n">
        <v>0</v>
      </c>
      <c r="AD81" s="31" t="n">
        <v>0</v>
      </c>
      <c r="AE81" s="31" t="n">
        <v>0</v>
      </c>
      <c r="AF81" s="31" t="n">
        <v>0</v>
      </c>
      <c r="AG81" s="31" t="n">
        <v>0</v>
      </c>
      <c r="AH81" s="31" t="n">
        <v>0</v>
      </c>
      <c r="AI81" s="31" t="n">
        <v>0</v>
      </c>
      <c r="AJ81" s="31" t="n">
        <v>0</v>
      </c>
      <c r="AK81" s="31" t="n">
        <v>0</v>
      </c>
      <c r="AL81" s="31" t="n">
        <v>0</v>
      </c>
      <c r="AM81" s="31" t="n">
        <v>0</v>
      </c>
      <c r="AN81" s="31" t="n">
        <v>0</v>
      </c>
      <c r="AO81" s="31" t="n">
        <v>0</v>
      </c>
      <c r="AP81" s="31" t="n">
        <v>0</v>
      </c>
      <c r="AQ81" s="31" t="n">
        <v>0</v>
      </c>
      <c r="AR81" s="31" t="n">
        <v>0</v>
      </c>
      <c r="AS81" s="31" t="n">
        <v>0</v>
      </c>
      <c r="AT81" s="31" t="n">
        <v>0</v>
      </c>
      <c r="AU81" s="31" t="n">
        <v>0</v>
      </c>
      <c r="AV81" s="31" t="n">
        <v>0</v>
      </c>
      <c r="AW81" s="31" t="n">
        <v>0</v>
      </c>
      <c r="AX81" s="31" t="n">
        <v>0</v>
      </c>
      <c r="AY81" s="31" t="n">
        <v>0</v>
      </c>
      <c r="AZ81" s="31" t="n">
        <v>0</v>
      </c>
      <c r="BA81" s="31" t="n">
        <v>0</v>
      </c>
      <c r="BB81" s="31" t="n">
        <v>0</v>
      </c>
      <c r="BC81" s="31" t="n">
        <v>0</v>
      </c>
      <c r="BD81" s="31" t="n">
        <v>0</v>
      </c>
      <c r="BE81" s="31" t="n">
        <v>0</v>
      </c>
      <c r="BF81" s="31" t="n">
        <v>0</v>
      </c>
      <c r="BG81" s="31" t="n">
        <v>0</v>
      </c>
      <c r="BH81" s="31" t="n">
        <v>0</v>
      </c>
      <c r="BI81" s="31" t="n">
        <v>0</v>
      </c>
      <c r="BJ81" s="31" t="n">
        <v>0</v>
      </c>
      <c r="BK81" s="31" t="n">
        <v>0</v>
      </c>
      <c r="BL81" s="31" t="n">
        <v>0</v>
      </c>
      <c r="BM81" s="31" t="n">
        <v>0</v>
      </c>
      <c r="BN81" s="31" t="n">
        <v>0</v>
      </c>
      <c r="BO81" s="31" t="n">
        <v>0</v>
      </c>
      <c r="BP81" s="31" t="n">
        <v>0</v>
      </c>
      <c r="BQ81" s="31" t="n">
        <v>0</v>
      </c>
      <c r="BR81" s="31" t="n">
        <v>0</v>
      </c>
      <c r="BS81" s="31">
        <f>SUM(C81:BR81)</f>
        <v/>
      </c>
      <c r="BT81" s="31" t="n">
        <v>0</v>
      </c>
      <c r="BU81" s="31" t="n">
        <v>0</v>
      </c>
      <c r="BV81" s="31" t="n">
        <v>44434</v>
      </c>
      <c r="BW81" s="31" t="n">
        <v>0</v>
      </c>
      <c r="BX81" s="31">
        <f>SUM(BT81:BW81)</f>
        <v/>
      </c>
      <c r="BY81" s="31">
        <f>BS81+BX81</f>
        <v/>
      </c>
    </row>
    <row r="82">
      <c r="B82" s="32" t="inlineStr">
        <is>
          <t>Total consumo intermedio</t>
        </is>
      </c>
      <c r="C82" s="33">
        <f>SUM(C14:C81)</f>
        <v/>
      </c>
      <c r="D82" s="33">
        <f>SUM(D14:D81)</f>
        <v/>
      </c>
      <c r="E82" s="33">
        <f>SUM(E14:E81)</f>
        <v/>
      </c>
      <c r="F82" s="33">
        <f>SUM(F14:F81)</f>
        <v/>
      </c>
      <c r="G82" s="33">
        <f>SUM(G14:G81)</f>
        <v/>
      </c>
      <c r="H82" s="33">
        <f>SUM(H14:H81)</f>
        <v/>
      </c>
      <c r="I82" s="33">
        <f>SUM(I14:I81)</f>
        <v/>
      </c>
      <c r="J82" s="33">
        <f>SUM(J14:J81)</f>
        <v/>
      </c>
      <c r="K82" s="33">
        <f>SUM(K14:K81)</f>
        <v/>
      </c>
      <c r="L82" s="33">
        <f>SUM(L14:L81)</f>
        <v/>
      </c>
      <c r="M82" s="33">
        <f>SUM(M14:M81)</f>
        <v/>
      </c>
      <c r="N82" s="33">
        <f>SUM(N14:N81)</f>
        <v/>
      </c>
      <c r="O82" s="33">
        <f>SUM(O14:O81)</f>
        <v/>
      </c>
      <c r="P82" s="33">
        <f>SUM(P14:P81)</f>
        <v/>
      </c>
      <c r="Q82" s="33">
        <f>SUM(Q14:Q81)</f>
        <v/>
      </c>
      <c r="R82" s="33">
        <f>SUM(R14:R81)</f>
        <v/>
      </c>
      <c r="S82" s="33">
        <f>SUM(S14:S81)</f>
        <v/>
      </c>
      <c r="T82" s="33">
        <f>SUM(T14:T81)</f>
        <v/>
      </c>
      <c r="U82" s="33">
        <f>SUM(U14:U81)</f>
        <v/>
      </c>
      <c r="V82" s="33">
        <f>SUM(V14:V81)</f>
        <v/>
      </c>
      <c r="W82" s="33">
        <f>SUM(W14:W81)</f>
        <v/>
      </c>
      <c r="X82" s="33">
        <f>SUM(X14:X81)</f>
        <v/>
      </c>
      <c r="Y82" s="33">
        <f>SUM(Y14:Y81)</f>
        <v/>
      </c>
      <c r="Z82" s="33">
        <f>SUM(Z14:Z81)</f>
        <v/>
      </c>
      <c r="AA82" s="33">
        <f>SUM(AA14:AA81)</f>
        <v/>
      </c>
      <c r="AB82" s="33">
        <f>SUM(AB14:AB81)</f>
        <v/>
      </c>
      <c r="AC82" s="33">
        <f>SUM(AC14:AC81)</f>
        <v/>
      </c>
      <c r="AD82" s="33">
        <f>SUM(AD14:AD81)</f>
        <v/>
      </c>
      <c r="AE82" s="33">
        <f>SUM(AE14:AE81)</f>
        <v/>
      </c>
      <c r="AF82" s="33">
        <f>SUM(AF14:AF81)</f>
        <v/>
      </c>
      <c r="AG82" s="33">
        <f>SUM(AG14:AG81)</f>
        <v/>
      </c>
      <c r="AH82" s="33">
        <f>SUM(AH14:AH81)</f>
        <v/>
      </c>
      <c r="AI82" s="33">
        <f>SUM(AI14:AI81)</f>
        <v/>
      </c>
      <c r="AJ82" s="33">
        <f>SUM(AJ14:AJ81)</f>
        <v/>
      </c>
      <c r="AK82" s="33">
        <f>SUM(AK14:AK81)</f>
        <v/>
      </c>
      <c r="AL82" s="33">
        <f>SUM(AL14:AL81)</f>
        <v/>
      </c>
      <c r="AM82" s="33">
        <f>SUM(AM14:AM81)</f>
        <v/>
      </c>
      <c r="AN82" s="33">
        <f>SUM(AN14:AN81)</f>
        <v/>
      </c>
      <c r="AO82" s="33">
        <f>SUM(AO14:AO81)</f>
        <v/>
      </c>
      <c r="AP82" s="33">
        <f>SUM(AP14:AP81)</f>
        <v/>
      </c>
      <c r="AQ82" s="33">
        <f>SUM(AQ14:AQ81)</f>
        <v/>
      </c>
      <c r="AR82" s="33">
        <f>SUM(AR14:AR81)</f>
        <v/>
      </c>
      <c r="AS82" s="33">
        <f>SUM(AS14:AS81)</f>
        <v/>
      </c>
      <c r="AT82" s="33">
        <f>SUM(AT14:AT81)</f>
        <v/>
      </c>
      <c r="AU82" s="33">
        <f>SUM(AU14:AU81)</f>
        <v/>
      </c>
      <c r="AV82" s="33">
        <f>SUM(AV14:AV81)</f>
        <v/>
      </c>
      <c r="AW82" s="33">
        <f>SUM(AW14:AW81)</f>
        <v/>
      </c>
      <c r="AX82" s="33">
        <f>SUM(AX14:AX81)</f>
        <v/>
      </c>
      <c r="AY82" s="33">
        <f>SUM(AY14:AY81)</f>
        <v/>
      </c>
      <c r="AZ82" s="33">
        <f>SUM(AZ14:AZ81)</f>
        <v/>
      </c>
      <c r="BA82" s="33">
        <f>SUM(BA14:BA81)</f>
        <v/>
      </c>
      <c r="BB82" s="33">
        <f>SUM(BB14:BB81)</f>
        <v/>
      </c>
      <c r="BC82" s="33">
        <f>SUM(BC14:BC81)</f>
        <v/>
      </c>
      <c r="BD82" s="33">
        <f>SUM(BD14:BD81)</f>
        <v/>
      </c>
      <c r="BE82" s="33">
        <f>SUM(BE14:BE81)</f>
        <v/>
      </c>
      <c r="BF82" s="33">
        <f>SUM(BF14:BF81)</f>
        <v/>
      </c>
      <c r="BG82" s="33">
        <f>SUM(BG14:BG81)</f>
        <v/>
      </c>
      <c r="BH82" s="33">
        <f>SUM(BH14:BH81)</f>
        <v/>
      </c>
      <c r="BI82" s="33">
        <f>SUM(BI14:BI81)</f>
        <v/>
      </c>
      <c r="BJ82" s="33">
        <f>SUM(BJ14:BJ81)</f>
        <v/>
      </c>
      <c r="BK82" s="33">
        <f>SUM(BK14:BK81)</f>
        <v/>
      </c>
      <c r="BL82" s="33">
        <f>SUM(BL14:BL81)</f>
        <v/>
      </c>
      <c r="BM82" s="33">
        <f>SUM(BM14:BM81)</f>
        <v/>
      </c>
      <c r="BN82" s="33">
        <f>SUM(BN14:BN81)</f>
        <v/>
      </c>
      <c r="BO82" s="33">
        <f>SUM(BO14:BO81)</f>
        <v/>
      </c>
      <c r="BP82" s="33">
        <f>SUM(BP14:BP81)</f>
        <v/>
      </c>
      <c r="BQ82" s="33">
        <f>SUM(BQ14:BQ81)</f>
        <v/>
      </c>
      <c r="BR82" s="33">
        <f>SUM(BR14:BR81)</f>
        <v/>
      </c>
      <c r="BS82" s="33">
        <f>SUM(BS14:BS81)</f>
        <v/>
      </c>
      <c r="BT82" s="33">
        <f>SUM(BT14:BT81)</f>
        <v/>
      </c>
      <c r="BU82" s="33">
        <f>SUM(BU14:BU81)</f>
        <v/>
      </c>
      <c r="BV82" s="33">
        <f>SUM(BV14:BV81)</f>
        <v/>
      </c>
      <c r="BW82" s="33">
        <f>SUM(BW14:BW81)</f>
        <v/>
      </c>
      <c r="BX82" s="33">
        <f>SUM(BX14:BX81)</f>
        <v/>
      </c>
      <c r="BY82" s="33">
        <f>SUM(BY14:BY81)</f>
        <v/>
      </c>
    </row>
    <row r="83"/>
    <row r="84">
      <c r="B84" s="32" t="inlineStr">
        <is>
          <t>Ajuste intermedio no asignado a matriz</t>
        </is>
      </c>
      <c r="C84" s="33" t="n">
        <v>7.275957614183426e-12</v>
      </c>
      <c r="D84" s="33" t="n">
        <v>-1.091393642127514e-11</v>
      </c>
      <c r="E84" s="33" t="n">
        <v>2.273736754432321e-13</v>
      </c>
      <c r="F84" s="33" t="n">
        <v>-6.821210263296962e-13</v>
      </c>
      <c r="G84" s="33" t="n">
        <v>-5.456968210637569e-12</v>
      </c>
      <c r="H84" s="33" t="n">
        <v>0</v>
      </c>
      <c r="I84" s="33" t="n">
        <v>1.13686837721616e-13</v>
      </c>
      <c r="J84" s="33" t="n">
        <v>-7.275957614183426e-12</v>
      </c>
      <c r="K84" s="33" t="n">
        <v>0</v>
      </c>
      <c r="L84" s="33" t="n">
        <v>7.275957614183426e-12</v>
      </c>
      <c r="M84" s="33" t="n">
        <v>0</v>
      </c>
      <c r="N84" s="33" t="n">
        <v>1.477928890381008e-12</v>
      </c>
      <c r="O84" s="33" t="n">
        <v>1.477928890381008e-12</v>
      </c>
      <c r="P84" s="33" t="n">
        <v>-4.547473508864641e-12</v>
      </c>
      <c r="Q84" s="33" t="n">
        <v>4.547473508864641e-12</v>
      </c>
      <c r="R84" s="33" t="n">
        <v>-1.13686837721616e-13</v>
      </c>
      <c r="S84" s="33" t="n">
        <v>7.275957614183426e-12</v>
      </c>
      <c r="T84" s="33" t="n">
        <v>6.821210263296962e-13</v>
      </c>
      <c r="U84" s="33" t="n">
        <v>-1.455191522836685e-11</v>
      </c>
      <c r="V84" s="33" t="n">
        <v>6.821210263296962e-13</v>
      </c>
      <c r="W84" s="33" t="n">
        <v>-1.091393642127514e-11</v>
      </c>
      <c r="X84" s="33" t="n">
        <v>1.364242052659392e-12</v>
      </c>
      <c r="Y84" s="33" t="n">
        <v>-9.094947017729282e-13</v>
      </c>
      <c r="Z84" s="33" t="n">
        <v>3.637978807091713e-12</v>
      </c>
      <c r="AA84" s="33" t="n">
        <v>-4.547473508864641e-13</v>
      </c>
      <c r="AB84" s="33" t="n">
        <v>2.046363078989089e-12</v>
      </c>
      <c r="AC84" s="33" t="n">
        <v>1.534772309241816e-12</v>
      </c>
      <c r="AD84" s="33" t="n">
        <v>-4.547473508864641e-13</v>
      </c>
      <c r="AE84" s="33" t="n">
        <v>9.094947017729282e-13</v>
      </c>
      <c r="AF84" s="33" t="n">
        <v>3.637978807091713e-12</v>
      </c>
      <c r="AG84" s="33" t="n">
        <v>-4.547473508864641e-13</v>
      </c>
      <c r="AH84" s="33" t="n">
        <v>-1.091393642127514e-11</v>
      </c>
      <c r="AI84" s="33" t="n">
        <v>0</v>
      </c>
      <c r="AJ84" s="33" t="n">
        <v>5.456968210637569e-12</v>
      </c>
      <c r="AK84" s="33" t="n">
        <v>0</v>
      </c>
      <c r="AL84" s="33" t="n">
        <v>0</v>
      </c>
      <c r="AM84" s="33" t="n">
        <v>3.637978807091713e-12</v>
      </c>
      <c r="AN84" s="33" t="n">
        <v>-3.637978807091713e-12</v>
      </c>
      <c r="AO84" s="33" t="n">
        <v>-1.364242052659392e-12</v>
      </c>
      <c r="AP84" s="33" t="n">
        <v>0</v>
      </c>
      <c r="AQ84" s="33" t="n">
        <v>2.728484105318785e-12</v>
      </c>
      <c r="AR84" s="33" t="n">
        <v>2.182787284255028e-11</v>
      </c>
      <c r="AS84" s="33" t="n">
        <v>4.547473508864641e-12</v>
      </c>
      <c r="AT84" s="33" t="n">
        <v>2.273736754432321e-13</v>
      </c>
      <c r="AU84" s="33" t="n">
        <v>0</v>
      </c>
      <c r="AV84" s="33" t="n">
        <v>4.547473508864641e-13</v>
      </c>
      <c r="AW84" s="33" t="n">
        <v>6.821210263296962e-13</v>
      </c>
      <c r="AX84" s="33" t="n">
        <v>1.455191522836685e-11</v>
      </c>
      <c r="AY84" s="33" t="n">
        <v>-4.547473508864641e-12</v>
      </c>
      <c r="AZ84" s="33" t="n">
        <v>0</v>
      </c>
      <c r="BA84" s="33" t="n">
        <v>-7.275957614183426e-12</v>
      </c>
      <c r="BB84" s="33" t="n">
        <v>9.094947017729282e-13</v>
      </c>
      <c r="BC84" s="33" t="n">
        <v>3.637978807091713e-12</v>
      </c>
      <c r="BD84" s="33" t="n">
        <v>2.728484105318785e-12</v>
      </c>
      <c r="BE84" s="33" t="n">
        <v>4.547473508864641e-13</v>
      </c>
      <c r="BF84" s="33" t="n">
        <v>-4.547473508864641e-13</v>
      </c>
      <c r="BG84" s="33" t="n">
        <v>0</v>
      </c>
      <c r="BH84" s="33" t="n">
        <v>2.273736754432321e-13</v>
      </c>
      <c r="BI84" s="33" t="n">
        <v>9.094947017729282e-13</v>
      </c>
      <c r="BJ84" s="33" t="n">
        <v>-1.13686837721616e-13</v>
      </c>
      <c r="BK84" s="33" t="n">
        <v>-1.091393642127514e-11</v>
      </c>
      <c r="BL84" s="33" t="n">
        <v>-1.818989403545856e-12</v>
      </c>
      <c r="BM84" s="33" t="n">
        <v>0</v>
      </c>
      <c r="BN84" s="33" t="n">
        <v>-1.818989403545856e-12</v>
      </c>
      <c r="BO84" s="33" t="n">
        <v>-7.275957614183426e-12</v>
      </c>
      <c r="BP84" s="33" t="n">
        <v>0</v>
      </c>
      <c r="BQ84" s="33" t="n">
        <v>0</v>
      </c>
      <c r="BR84" s="33" t="n">
        <v>0</v>
      </c>
      <c r="BY84" s="33">
        <f>SUM(C84:BR84)</f>
        <v/>
      </c>
    </row>
    <row r="85"/>
    <row r="86">
      <c r="B86" s="32" t="inlineStr">
        <is>
          <t>Valor agregado</t>
        </is>
      </c>
      <c r="C86" s="33" t="n">
        <v>124400</v>
      </c>
      <c r="D86" s="33" t="n">
        <v>48345</v>
      </c>
      <c r="E86" s="33" t="n">
        <v>17279</v>
      </c>
      <c r="F86" s="33" t="n">
        <v>7399</v>
      </c>
      <c r="G86" s="33" t="n">
        <v>98959</v>
      </c>
      <c r="H86" s="33" t="n">
        <v>51912</v>
      </c>
      <c r="I86" s="33" t="n">
        <v>4297</v>
      </c>
      <c r="J86" s="33" t="n">
        <v>25582</v>
      </c>
      <c r="K86" s="33" t="n">
        <v>13186</v>
      </c>
      <c r="L86" s="33" t="n">
        <v>31559</v>
      </c>
      <c r="M86" s="33" t="n">
        <v>18886</v>
      </c>
      <c r="N86" s="33" t="n">
        <v>3796</v>
      </c>
      <c r="O86" s="33" t="n">
        <v>11756</v>
      </c>
      <c r="P86" s="33" t="n">
        <v>25870</v>
      </c>
      <c r="Q86" s="33" t="n">
        <v>11413</v>
      </c>
      <c r="R86" s="33" t="n">
        <v>8866</v>
      </c>
      <c r="S86" s="33" t="n">
        <v>16861</v>
      </c>
      <c r="T86" s="33" t="n">
        <v>8685</v>
      </c>
      <c r="U86" s="34" t="n">
        <v>-10202</v>
      </c>
      <c r="V86" s="33" t="n">
        <v>4699</v>
      </c>
      <c r="W86" s="33" t="n">
        <v>14719</v>
      </c>
      <c r="X86" s="33" t="n">
        <v>10413</v>
      </c>
      <c r="Y86" s="33" t="n">
        <v>7185</v>
      </c>
      <c r="Z86" s="33" t="n">
        <v>19812</v>
      </c>
      <c r="AA86" s="33" t="n">
        <v>22858</v>
      </c>
      <c r="AB86" s="33" t="n">
        <v>25581</v>
      </c>
      <c r="AC86" s="33" t="n">
        <v>20702</v>
      </c>
      <c r="AD86" s="33" t="n">
        <v>7995</v>
      </c>
      <c r="AE86" s="33" t="n">
        <v>32518</v>
      </c>
      <c r="AF86" s="33" t="n">
        <v>15709</v>
      </c>
      <c r="AG86" s="33" t="n">
        <v>16216</v>
      </c>
      <c r="AH86" s="33" t="n">
        <v>34534</v>
      </c>
      <c r="AI86" s="33" t="n">
        <v>32552</v>
      </c>
      <c r="AJ86" s="33" t="n">
        <v>28311</v>
      </c>
      <c r="AK86" s="33" t="n">
        <v>10881</v>
      </c>
      <c r="AL86" s="33" t="n">
        <v>26051</v>
      </c>
      <c r="AM86" s="33" t="n">
        <v>18710</v>
      </c>
      <c r="AN86" s="33" t="n">
        <v>72152</v>
      </c>
      <c r="AO86" s="33" t="n">
        <v>27067</v>
      </c>
      <c r="AP86" s="33" t="n">
        <v>233544</v>
      </c>
      <c r="AQ86" s="33" t="n">
        <v>73946</v>
      </c>
      <c r="AR86" s="33" t="n">
        <v>404296</v>
      </c>
      <c r="AS86" s="33" t="n">
        <v>107085</v>
      </c>
      <c r="AT86" s="33" t="n">
        <v>4030</v>
      </c>
      <c r="AU86" s="33" t="n">
        <v>6507</v>
      </c>
      <c r="AV86" s="33" t="n">
        <v>47935</v>
      </c>
      <c r="AW86" s="33" t="n">
        <v>9600</v>
      </c>
      <c r="AX86" s="33" t="n">
        <v>72754</v>
      </c>
      <c r="AY86" s="33" t="n">
        <v>10395</v>
      </c>
      <c r="AZ86" s="33" t="n">
        <v>14397</v>
      </c>
      <c r="BA86" s="33" t="n">
        <v>57074</v>
      </c>
      <c r="BB86" s="33" t="n">
        <v>55140</v>
      </c>
      <c r="BC86" s="33" t="n">
        <v>239426</v>
      </c>
      <c r="BD86" s="33" t="n">
        <v>311380</v>
      </c>
      <c r="BE86" s="33" t="n">
        <v>87258</v>
      </c>
      <c r="BF86" s="33" t="n">
        <v>35632</v>
      </c>
      <c r="BG86" s="33" t="n">
        <v>22340</v>
      </c>
      <c r="BH86" s="33" t="n">
        <v>20396</v>
      </c>
      <c r="BI86" s="33" t="n">
        <v>98016</v>
      </c>
      <c r="BJ86" s="33" t="n">
        <v>20022</v>
      </c>
      <c r="BK86" s="33" t="n">
        <v>369696</v>
      </c>
      <c r="BL86" s="33" t="n">
        <v>154661</v>
      </c>
      <c r="BM86" s="33" t="n">
        <v>42023</v>
      </c>
      <c r="BN86" s="33" t="n">
        <v>73702</v>
      </c>
      <c r="BO86" s="33" t="n">
        <v>70520</v>
      </c>
      <c r="BP86" s="33" t="n">
        <v>14303</v>
      </c>
      <c r="BQ86" s="33" t="n">
        <v>52435</v>
      </c>
      <c r="BR86" s="33" t="n">
        <v>44434</v>
      </c>
      <c r="BY86" s="33">
        <f>SUM(C86:BR86)</f>
        <v/>
      </c>
    </row>
    <row r="87"/>
    <row r="88">
      <c r="B88" s="32" t="inlineStr">
        <is>
          <t>Produccion total</t>
        </is>
      </c>
      <c r="C88" s="33">
        <f>C82+C84+C86</f>
        <v/>
      </c>
      <c r="D88" s="33">
        <f>D82+D84+D86</f>
        <v/>
      </c>
      <c r="E88" s="33">
        <f>E82+E84+E86</f>
        <v/>
      </c>
      <c r="F88" s="33">
        <f>F82+F84+F86</f>
        <v/>
      </c>
      <c r="G88" s="33">
        <f>G82+G84+G86</f>
        <v/>
      </c>
      <c r="H88" s="33">
        <f>H82+H84+H86</f>
        <v/>
      </c>
      <c r="I88" s="33">
        <f>I82+I84+I86</f>
        <v/>
      </c>
      <c r="J88" s="33">
        <f>J82+J84+J86</f>
        <v/>
      </c>
      <c r="K88" s="33">
        <f>K82+K84+K86</f>
        <v/>
      </c>
      <c r="L88" s="33">
        <f>L82+L84+L86</f>
        <v/>
      </c>
      <c r="M88" s="33">
        <f>M82+M84+M86</f>
        <v/>
      </c>
      <c r="N88" s="33">
        <f>N82+N84+N86</f>
        <v/>
      </c>
      <c r="O88" s="33">
        <f>O82+O84+O86</f>
        <v/>
      </c>
      <c r="P88" s="33">
        <f>P82+P84+P86</f>
        <v/>
      </c>
      <c r="Q88" s="33">
        <f>Q82+Q84+Q86</f>
        <v/>
      </c>
      <c r="R88" s="33">
        <f>R82+R84+R86</f>
        <v/>
      </c>
      <c r="S88" s="33">
        <f>S82+S84+S86</f>
        <v/>
      </c>
      <c r="T88" s="33">
        <f>T82+T84+T86</f>
        <v/>
      </c>
      <c r="U88" s="33">
        <f>U82+U84+U86</f>
        <v/>
      </c>
      <c r="V88" s="33">
        <f>V82+V84+V86</f>
        <v/>
      </c>
      <c r="W88" s="33">
        <f>W82+W84+W86</f>
        <v/>
      </c>
      <c r="X88" s="33">
        <f>X82+X84+X86</f>
        <v/>
      </c>
      <c r="Y88" s="33">
        <f>Y82+Y84+Y86</f>
        <v/>
      </c>
      <c r="Z88" s="33">
        <f>Z82+Z84+Z86</f>
        <v/>
      </c>
      <c r="AA88" s="33">
        <f>AA82+AA84+AA86</f>
        <v/>
      </c>
      <c r="AB88" s="33">
        <f>AB82+AB84+AB86</f>
        <v/>
      </c>
      <c r="AC88" s="33">
        <f>AC82+AC84+AC86</f>
        <v/>
      </c>
      <c r="AD88" s="33">
        <f>AD82+AD84+AD86</f>
        <v/>
      </c>
      <c r="AE88" s="33">
        <f>AE82+AE84+AE86</f>
        <v/>
      </c>
      <c r="AF88" s="33">
        <f>AF82+AF84+AF86</f>
        <v/>
      </c>
      <c r="AG88" s="33">
        <f>AG82+AG84+AG86</f>
        <v/>
      </c>
      <c r="AH88" s="33">
        <f>AH82+AH84+AH86</f>
        <v/>
      </c>
      <c r="AI88" s="33">
        <f>AI82+AI84+AI86</f>
        <v/>
      </c>
      <c r="AJ88" s="33">
        <f>AJ82+AJ84+AJ86</f>
        <v/>
      </c>
      <c r="AK88" s="33">
        <f>AK82+AK84+AK86</f>
        <v/>
      </c>
      <c r="AL88" s="33">
        <f>AL82+AL84+AL86</f>
        <v/>
      </c>
      <c r="AM88" s="33">
        <f>AM82+AM84+AM86</f>
        <v/>
      </c>
      <c r="AN88" s="33">
        <f>AN82+AN84+AN86</f>
        <v/>
      </c>
      <c r="AO88" s="33">
        <f>AO82+AO84+AO86</f>
        <v/>
      </c>
      <c r="AP88" s="33">
        <f>AP82+AP84+AP86</f>
        <v/>
      </c>
      <c r="AQ88" s="33">
        <f>AQ82+AQ84+AQ86</f>
        <v/>
      </c>
      <c r="AR88" s="33">
        <f>AR82+AR84+AR86</f>
        <v/>
      </c>
      <c r="AS88" s="33">
        <f>AS82+AS84+AS86</f>
        <v/>
      </c>
      <c r="AT88" s="33">
        <f>AT82+AT84+AT86</f>
        <v/>
      </c>
      <c r="AU88" s="33">
        <f>AU82+AU84+AU86</f>
        <v/>
      </c>
      <c r="AV88" s="33">
        <f>AV82+AV84+AV86</f>
        <v/>
      </c>
      <c r="AW88" s="33">
        <f>AW82+AW84+AW86</f>
        <v/>
      </c>
      <c r="AX88" s="33">
        <f>AX82+AX84+AX86</f>
        <v/>
      </c>
      <c r="AY88" s="33">
        <f>AY82+AY84+AY86</f>
        <v/>
      </c>
      <c r="AZ88" s="33">
        <f>AZ82+AZ84+AZ86</f>
        <v/>
      </c>
      <c r="BA88" s="33">
        <f>BA82+BA84+BA86</f>
        <v/>
      </c>
      <c r="BB88" s="33">
        <f>BB82+BB84+BB86</f>
        <v/>
      </c>
      <c r="BC88" s="33">
        <f>BC82+BC84+BC86</f>
        <v/>
      </c>
      <c r="BD88" s="33">
        <f>BD82+BD84+BD86</f>
        <v/>
      </c>
      <c r="BE88" s="33">
        <f>BE82+BE84+BE86</f>
        <v/>
      </c>
      <c r="BF88" s="33">
        <f>BF82+BF84+BF86</f>
        <v/>
      </c>
      <c r="BG88" s="33">
        <f>BG82+BG84+BG86</f>
        <v/>
      </c>
      <c r="BH88" s="33">
        <f>BH82+BH84+BH86</f>
        <v/>
      </c>
      <c r="BI88" s="33">
        <f>BI82+BI84+BI86</f>
        <v/>
      </c>
      <c r="BJ88" s="33">
        <f>BJ82+BJ84+BJ86</f>
        <v/>
      </c>
      <c r="BK88" s="33">
        <f>BK82+BK84+BK86</f>
        <v/>
      </c>
      <c r="BL88" s="33">
        <f>BL82+BL84+BL86</f>
        <v/>
      </c>
      <c r="BM88" s="33">
        <f>BM82+BM84+BM86</f>
        <v/>
      </c>
      <c r="BN88" s="33">
        <f>BN82+BN84+BN86</f>
        <v/>
      </c>
      <c r="BO88" s="33">
        <f>BO82+BO84+BO86</f>
        <v/>
      </c>
      <c r="BP88" s="33">
        <f>BP82+BP84+BP86</f>
        <v/>
      </c>
      <c r="BQ88" s="33">
        <f>BQ82+BQ84+BQ86</f>
        <v/>
      </c>
      <c r="BR88" s="33">
        <f>BR82+BR84+BR86</f>
        <v/>
      </c>
      <c r="BY88" s="33">
        <f>SUM(C88:BR88)</f>
        <v/>
      </c>
    </row>
    <row r="89">
      <c r="B89" s="32" t="inlineStr">
        <is>
          <t>Produccion fuente</t>
        </is>
      </c>
      <c r="C89" s="33" t="n">
        <v>209241</v>
      </c>
      <c r="D89" s="33" t="n">
        <v>94213</v>
      </c>
      <c r="E89" s="33" t="n">
        <v>23693</v>
      </c>
      <c r="F89" s="33" t="n">
        <v>17265</v>
      </c>
      <c r="G89" s="33" t="n">
        <v>159027</v>
      </c>
      <c r="H89" s="33" t="n">
        <v>77063</v>
      </c>
      <c r="I89" s="33" t="n">
        <v>10533</v>
      </c>
      <c r="J89" s="33" t="n">
        <v>164010</v>
      </c>
      <c r="K89" s="33" t="n">
        <v>55818</v>
      </c>
      <c r="L89" s="33" t="n">
        <v>171317</v>
      </c>
      <c r="M89" s="33" t="n">
        <v>56908</v>
      </c>
      <c r="N89" s="33" t="n">
        <v>13087</v>
      </c>
      <c r="O89" s="33" t="n">
        <v>43173</v>
      </c>
      <c r="P89" s="33" t="n">
        <v>54296</v>
      </c>
      <c r="Q89" s="33" t="n">
        <v>32619</v>
      </c>
      <c r="R89" s="33" t="n">
        <v>22210</v>
      </c>
      <c r="S89" s="33" t="n">
        <v>58510</v>
      </c>
      <c r="T89" s="33" t="n">
        <v>19091</v>
      </c>
      <c r="U89" s="33" t="n">
        <v>253576</v>
      </c>
      <c r="V89" s="33" t="n">
        <v>23588</v>
      </c>
      <c r="W89" s="33" t="n">
        <v>105437</v>
      </c>
      <c r="X89" s="33" t="n">
        <v>50352</v>
      </c>
      <c r="Y89" s="33" t="n">
        <v>27643</v>
      </c>
      <c r="Z89" s="33" t="n">
        <v>42790</v>
      </c>
      <c r="AA89" s="33" t="n">
        <v>79842</v>
      </c>
      <c r="AB89" s="33" t="n">
        <v>72361</v>
      </c>
      <c r="AC89" s="33" t="n">
        <v>96034</v>
      </c>
      <c r="AD89" s="33" t="n">
        <v>40031</v>
      </c>
      <c r="AE89" s="33" t="n">
        <v>80782</v>
      </c>
      <c r="AF89" s="33" t="n">
        <v>68505</v>
      </c>
      <c r="AG89" s="33" t="n">
        <v>62609</v>
      </c>
      <c r="AH89" s="33" t="n">
        <v>107999</v>
      </c>
      <c r="AI89" s="33" t="n">
        <v>164711</v>
      </c>
      <c r="AJ89" s="33" t="n">
        <v>88005</v>
      </c>
      <c r="AK89" s="33" t="n">
        <v>37397</v>
      </c>
      <c r="AL89" s="33" t="n">
        <v>55725</v>
      </c>
      <c r="AM89" s="33" t="n">
        <v>45446</v>
      </c>
      <c r="AN89" s="33" t="n">
        <v>164366</v>
      </c>
      <c r="AO89" s="33" t="n">
        <v>46839</v>
      </c>
      <c r="AP89" s="33" t="n">
        <v>507895</v>
      </c>
      <c r="AQ89" s="33" t="n">
        <v>122008</v>
      </c>
      <c r="AR89" s="33" t="n">
        <v>622903</v>
      </c>
      <c r="AS89" s="33" t="n">
        <v>236960</v>
      </c>
      <c r="AT89" s="33" t="n">
        <v>12157</v>
      </c>
      <c r="AU89" s="33" t="n">
        <v>29117</v>
      </c>
      <c r="AV89" s="33" t="n">
        <v>81006</v>
      </c>
      <c r="AW89" s="33" t="n">
        <v>17261</v>
      </c>
      <c r="AX89" s="33" t="n">
        <v>151663</v>
      </c>
      <c r="AY89" s="33" t="n">
        <v>22566</v>
      </c>
      <c r="AZ89" s="33" t="n">
        <v>31112</v>
      </c>
      <c r="BA89" s="33" t="n">
        <v>143883</v>
      </c>
      <c r="BB89" s="33" t="n">
        <v>80788</v>
      </c>
      <c r="BC89" s="33" t="n">
        <v>398032</v>
      </c>
      <c r="BD89" s="33" t="n">
        <v>340359</v>
      </c>
      <c r="BE89" s="33" t="n">
        <v>124627</v>
      </c>
      <c r="BF89" s="33" t="n">
        <v>56103</v>
      </c>
      <c r="BG89" s="33" t="n">
        <v>66427</v>
      </c>
      <c r="BH89" s="33" t="n">
        <v>31358</v>
      </c>
      <c r="BI89" s="33" t="n">
        <v>143082</v>
      </c>
      <c r="BJ89" s="33" t="n">
        <v>24822</v>
      </c>
      <c r="BK89" s="33" t="n">
        <v>522385</v>
      </c>
      <c r="BL89" s="33" t="n">
        <v>193081</v>
      </c>
      <c r="BM89" s="33" t="n">
        <v>63272</v>
      </c>
      <c r="BN89" s="33" t="n">
        <v>114794</v>
      </c>
      <c r="BO89" s="33" t="n">
        <v>125360</v>
      </c>
      <c r="BP89" s="33" t="n">
        <v>24702</v>
      </c>
      <c r="BQ89" s="33" t="n">
        <v>110543</v>
      </c>
      <c r="BR89" s="33" t="n">
        <v>44434</v>
      </c>
      <c r="BY89" s="33">
        <f>SUM(C89:BR89)</f>
        <v/>
      </c>
    </row>
    <row r="90">
      <c r="B90" s="35" t="inlineStr">
        <is>
          <t>Check produccion total - fuente</t>
        </is>
      </c>
      <c r="C90" s="36">
        <f>C88-C89</f>
        <v/>
      </c>
      <c r="D90" s="36">
        <f>D88-D89</f>
        <v/>
      </c>
      <c r="E90" s="36">
        <f>E88-E89</f>
        <v/>
      </c>
      <c r="F90" s="36">
        <f>F88-F89</f>
        <v/>
      </c>
      <c r="G90" s="36">
        <f>G88-G89</f>
        <v/>
      </c>
      <c r="H90" s="36">
        <f>H88-H89</f>
        <v/>
      </c>
      <c r="I90" s="36">
        <f>I88-I89</f>
        <v/>
      </c>
      <c r="J90" s="36">
        <f>J88-J89</f>
        <v/>
      </c>
      <c r="K90" s="36">
        <f>K88-K89</f>
        <v/>
      </c>
      <c r="L90" s="36">
        <f>L88-L89</f>
        <v/>
      </c>
      <c r="M90" s="36">
        <f>M88-M89</f>
        <v/>
      </c>
      <c r="N90" s="36">
        <f>N88-N89</f>
        <v/>
      </c>
      <c r="O90" s="36">
        <f>O88-O89</f>
        <v/>
      </c>
      <c r="P90" s="36">
        <f>P88-P89</f>
        <v/>
      </c>
      <c r="Q90" s="36">
        <f>Q88-Q89</f>
        <v/>
      </c>
      <c r="R90" s="36">
        <f>R88-R89</f>
        <v/>
      </c>
      <c r="S90" s="36">
        <f>S88-S89</f>
        <v/>
      </c>
      <c r="T90" s="36">
        <f>T88-T89</f>
        <v/>
      </c>
      <c r="U90" s="36">
        <f>U88-U89</f>
        <v/>
      </c>
      <c r="V90" s="36">
        <f>V88-V89</f>
        <v/>
      </c>
      <c r="W90" s="36">
        <f>W88-W89</f>
        <v/>
      </c>
      <c r="X90" s="36">
        <f>X88-X89</f>
        <v/>
      </c>
      <c r="Y90" s="36">
        <f>Y88-Y89</f>
        <v/>
      </c>
      <c r="Z90" s="36">
        <f>Z88-Z89</f>
        <v/>
      </c>
      <c r="AA90" s="36">
        <f>AA88-AA89</f>
        <v/>
      </c>
      <c r="AB90" s="36">
        <f>AB88-AB89</f>
        <v/>
      </c>
      <c r="AC90" s="36">
        <f>AC88-AC89</f>
        <v/>
      </c>
      <c r="AD90" s="36">
        <f>AD88-AD89</f>
        <v/>
      </c>
      <c r="AE90" s="36">
        <f>AE88-AE89</f>
        <v/>
      </c>
      <c r="AF90" s="36">
        <f>AF88-AF89</f>
        <v/>
      </c>
      <c r="AG90" s="36">
        <f>AG88-AG89</f>
        <v/>
      </c>
      <c r="AH90" s="36">
        <f>AH88-AH89</f>
        <v/>
      </c>
      <c r="AI90" s="36">
        <f>AI88-AI89</f>
        <v/>
      </c>
      <c r="AJ90" s="36">
        <f>AJ88-AJ89</f>
        <v/>
      </c>
      <c r="AK90" s="36">
        <f>AK88-AK89</f>
        <v/>
      </c>
      <c r="AL90" s="36">
        <f>AL88-AL89</f>
        <v/>
      </c>
      <c r="AM90" s="36">
        <f>AM88-AM89</f>
        <v/>
      </c>
      <c r="AN90" s="36">
        <f>AN88-AN89</f>
        <v/>
      </c>
      <c r="AO90" s="36">
        <f>AO88-AO89</f>
        <v/>
      </c>
      <c r="AP90" s="36">
        <f>AP88-AP89</f>
        <v/>
      </c>
      <c r="AQ90" s="36">
        <f>AQ88-AQ89</f>
        <v/>
      </c>
      <c r="AR90" s="36">
        <f>AR88-AR89</f>
        <v/>
      </c>
      <c r="AS90" s="36">
        <f>AS88-AS89</f>
        <v/>
      </c>
      <c r="AT90" s="36">
        <f>AT88-AT89</f>
        <v/>
      </c>
      <c r="AU90" s="36">
        <f>AU88-AU89</f>
        <v/>
      </c>
      <c r="AV90" s="36">
        <f>AV88-AV89</f>
        <v/>
      </c>
      <c r="AW90" s="36">
        <f>AW88-AW89</f>
        <v/>
      </c>
      <c r="AX90" s="36">
        <f>AX88-AX89</f>
        <v/>
      </c>
      <c r="AY90" s="36">
        <f>AY88-AY89</f>
        <v/>
      </c>
      <c r="AZ90" s="36">
        <f>AZ88-AZ89</f>
        <v/>
      </c>
      <c r="BA90" s="36">
        <f>BA88-BA89</f>
        <v/>
      </c>
      <c r="BB90" s="36">
        <f>BB88-BB89</f>
        <v/>
      </c>
      <c r="BC90" s="36">
        <f>BC88-BC89</f>
        <v/>
      </c>
      <c r="BD90" s="36">
        <f>BD88-BD89</f>
        <v/>
      </c>
      <c r="BE90" s="36">
        <f>BE88-BE89</f>
        <v/>
      </c>
      <c r="BF90" s="36">
        <f>BF88-BF89</f>
        <v/>
      </c>
      <c r="BG90" s="36">
        <f>BG88-BG89</f>
        <v/>
      </c>
      <c r="BH90" s="36">
        <f>BH88-BH89</f>
        <v/>
      </c>
      <c r="BI90" s="36">
        <f>BI88-BI89</f>
        <v/>
      </c>
      <c r="BJ90" s="36">
        <f>BJ88-BJ89</f>
        <v/>
      </c>
      <c r="BK90" s="36">
        <f>BK88-BK89</f>
        <v/>
      </c>
      <c r="BL90" s="36">
        <f>BL88-BL89</f>
        <v/>
      </c>
      <c r="BM90" s="36">
        <f>BM88-BM89</f>
        <v/>
      </c>
      <c r="BN90" s="36">
        <f>BN88-BN89</f>
        <v/>
      </c>
      <c r="BO90" s="36">
        <f>BO88-BO89</f>
        <v/>
      </c>
      <c r="BP90" s="36">
        <f>BP88-BP89</f>
        <v/>
      </c>
      <c r="BQ90" s="36">
        <f>BQ88-BQ89</f>
        <v/>
      </c>
      <c r="BR90" s="36">
        <f>BR88-BR89</f>
        <v/>
      </c>
      <c r="BY90" s="36">
        <f>SUM(C90:BR90)</f>
        <v/>
      </c>
    </row>
    <row r="91"/>
    <row r="92">
      <c r="B92" s="28" t="inlineStr">
        <is>
          <t>Nota</t>
        </is>
      </c>
      <c r="C92" s="28" t="inlineStr">
        <is>
          <t>Z total = Z nacional + matriz importada/ajuste asignada. El residuo de ajuste no asignado queda como fila firmada.</t>
        </is>
      </c>
    </row>
  </sheetData>
  <mergeCells count="9">
    <mergeCell ref="BY10:BY12"/>
    <mergeCell ref="BX10:BX12"/>
    <mergeCell ref="A3:H4"/>
    <mergeCell ref="B10:B12"/>
    <mergeCell ref="A10:A12"/>
    <mergeCell ref="A1:H1"/>
    <mergeCell ref="C10:BR10"/>
    <mergeCell ref="BS10:BS12"/>
    <mergeCell ref="BT10:BW10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8"/>
  <sheetViews>
    <sheetView showGridLines="0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</cols>
  <sheetData>
    <row r="1">
      <c r="A1" s="16" t="inlineStr">
        <is>
          <t>Matriz de multiplicadores y validacion</t>
        </is>
      </c>
      <c r="B1" s="16" t="inlineStr"/>
      <c r="C1" s="16" t="inlineStr"/>
      <c r="D1" s="16" t="inlineStr"/>
      <c r="E1" s="16" t="inlineStr"/>
      <c r="F1" s="16" t="inlineStr"/>
      <c r="G1" s="16" t="inlineStr"/>
      <c r="H1" s="16" t="inlineStr"/>
    </row>
    <row r="2"/>
    <row r="3">
      <c r="A3" s="37" t="inlineStr">
        <is>
          <t>Codigo</t>
        </is>
      </c>
      <c r="B3" s="37" t="inlineStr">
        <is>
          <t>Actividad economica</t>
        </is>
      </c>
      <c r="C3" s="37" t="inlineStr">
        <is>
          <t>Produccion</t>
        </is>
      </c>
      <c r="D3" s="37" t="inlineStr">
        <is>
          <t>Valor agregado</t>
        </is>
      </c>
      <c r="E3" s="37" t="inlineStr">
        <is>
          <t>Multiplicador Leontief</t>
        </is>
      </c>
      <c r="F3" s="37" t="inlineStr">
        <is>
          <t>Indice atras Leontief</t>
        </is>
      </c>
      <c r="G3" s="37" t="inlineStr">
        <is>
          <t>Encadenamiento adelante Ghosh</t>
        </is>
      </c>
      <c r="H3" s="37" t="inlineStr">
        <is>
          <t>Indice adelante Ghosh</t>
        </is>
      </c>
    </row>
    <row r="4">
      <c r="A4" s="10" t="inlineStr">
        <is>
          <t>0191</t>
        </is>
      </c>
      <c r="B4" s="10" t="inlineStr">
        <is>
          <t>Agricultura, inclusive o apoio à agricultura e a pós-colheita</t>
        </is>
      </c>
      <c r="C4" s="11" t="n">
        <v>209241</v>
      </c>
      <c r="D4" s="11" t="n">
        <v>124400</v>
      </c>
      <c r="E4" s="11" t="n">
        <v>1.685865388445114</v>
      </c>
      <c r="F4" s="11" t="n">
        <v>0.8354272799741327</v>
      </c>
      <c r="G4" s="11" t="n">
        <v>1.945882503486446</v>
      </c>
      <c r="H4" s="11" t="n">
        <v>0.9645139821981329</v>
      </c>
    </row>
    <row r="5">
      <c r="A5" s="10" t="inlineStr">
        <is>
          <t>0192</t>
        </is>
      </c>
      <c r="B5" s="10" t="inlineStr">
        <is>
          <t>Pecuária, inclusive o apoio à pecuária</t>
        </is>
      </c>
      <c r="C5" s="11" t="n">
        <v>94213</v>
      </c>
      <c r="D5" s="11" t="n">
        <v>48345</v>
      </c>
      <c r="E5" s="11" t="n">
        <v>1.816973167569578</v>
      </c>
      <c r="F5" s="11" t="n">
        <v>0.900397482250141</v>
      </c>
      <c r="G5" s="11" t="n">
        <v>1.942568987329039</v>
      </c>
      <c r="H5" s="11" t="n">
        <v>0.9628715743660403</v>
      </c>
    </row>
    <row r="6">
      <c r="A6" s="10" t="inlineStr">
        <is>
          <t>0280</t>
        </is>
      </c>
      <c r="B6" s="10" t="inlineStr">
        <is>
          <t>Produção florestal; pesca e aquicultura</t>
        </is>
      </c>
      <c r="C6" s="11" t="n">
        <v>23693</v>
      </c>
      <c r="D6" s="11" t="n">
        <v>17279</v>
      </c>
      <c r="E6" s="11" t="n">
        <v>1.411803616028447</v>
      </c>
      <c r="F6" s="11" t="n">
        <v>0.6996165072729288</v>
      </c>
      <c r="G6" s="11" t="n">
        <v>2.139631010597068</v>
      </c>
      <c r="H6" s="11" t="n">
        <v>1.060549145576902</v>
      </c>
    </row>
    <row r="7">
      <c r="A7" s="10" t="inlineStr">
        <is>
          <t>0580</t>
        </is>
      </c>
      <c r="B7" s="10" t="inlineStr">
        <is>
          <t>Extração de carvão mineral e de minerais não-metálicos</t>
        </is>
      </c>
      <c r="C7" s="11" t="n">
        <v>17265</v>
      </c>
      <c r="D7" s="11" t="n">
        <v>7399</v>
      </c>
      <c r="E7" s="11" t="n">
        <v>2.037874232172296</v>
      </c>
      <c r="F7" s="11" t="n">
        <v>1.009864570672099</v>
      </c>
      <c r="G7" s="11" t="n">
        <v>2.955332402244222</v>
      </c>
      <c r="H7" s="11" t="n">
        <v>1.464867184375505</v>
      </c>
    </row>
    <row r="8">
      <c r="A8" s="10" t="inlineStr">
        <is>
          <t>0680</t>
        </is>
      </c>
      <c r="B8" s="10" t="inlineStr">
        <is>
          <t>Extração de petróleo e gás, inclusive as atividades de apoio</t>
        </is>
      </c>
      <c r="C8" s="11" t="n">
        <v>159027</v>
      </c>
      <c r="D8" s="11" t="n">
        <v>98959</v>
      </c>
      <c r="E8" s="11" t="n">
        <v>1.554209357143404</v>
      </c>
      <c r="F8" s="11" t="n">
        <v>0.7701853924091828</v>
      </c>
      <c r="G8" s="11" t="n">
        <v>2.907095131496941</v>
      </c>
      <c r="H8" s="11" t="n">
        <v>1.440957456005231</v>
      </c>
    </row>
    <row r="9">
      <c r="A9" s="10" t="inlineStr">
        <is>
          <t>0791</t>
        </is>
      </c>
      <c r="B9" s="10" t="inlineStr">
        <is>
          <t>Extração de minério de ferro, inclusive beneficiamentos e a aglomeração</t>
        </is>
      </c>
      <c r="C9" s="11" t="n">
        <v>77063</v>
      </c>
      <c r="D9" s="11" t="n">
        <v>51912</v>
      </c>
      <c r="E9" s="11" t="n">
        <v>1.577329644757908</v>
      </c>
      <c r="F9" s="11" t="n">
        <v>0.7816426054977198</v>
      </c>
      <c r="G9" s="11" t="n">
        <v>1.439720755897743</v>
      </c>
      <c r="H9" s="11" t="n">
        <v>0.713625204520942</v>
      </c>
    </row>
    <row r="10">
      <c r="A10" s="10" t="inlineStr">
        <is>
          <t>0792</t>
        </is>
      </c>
      <c r="B10" s="10" t="inlineStr">
        <is>
          <t>Extração de minerais metálicos não-ferrosos, inclusive beneficiamentos</t>
        </is>
      </c>
      <c r="C10" s="11" t="n">
        <v>10533</v>
      </c>
      <c r="D10" s="11" t="n">
        <v>4297</v>
      </c>
      <c r="E10" s="11" t="n">
        <v>2.037663149972442</v>
      </c>
      <c r="F10" s="11" t="n">
        <v>1.009759969302805</v>
      </c>
      <c r="G10" s="11" t="n">
        <v>2.817845978519384</v>
      </c>
      <c r="H10" s="11" t="n">
        <v>1.396719401656132</v>
      </c>
    </row>
    <row r="11">
      <c r="A11" s="10" t="inlineStr">
        <is>
          <t>1091</t>
        </is>
      </c>
      <c r="B11" s="10" t="inlineStr">
        <is>
          <t>Abate e produtos de carne, inclusive os produtos do laticínio e da pesca</t>
        </is>
      </c>
      <c r="C11" s="11" t="n">
        <v>164010</v>
      </c>
      <c r="D11" s="11" t="n">
        <v>25582</v>
      </c>
      <c r="E11" s="11" t="n">
        <v>3.216849240212364</v>
      </c>
      <c r="F11" s="11" t="n">
        <v>1.59410331883978</v>
      </c>
      <c r="G11" s="11" t="n">
        <v>1.286399547439163</v>
      </c>
      <c r="H11" s="11" t="n">
        <v>0.637628607058939</v>
      </c>
    </row>
    <row r="12">
      <c r="A12" s="10" t="inlineStr">
        <is>
          <t>1092</t>
        </is>
      </c>
      <c r="B12" s="10" t="inlineStr">
        <is>
          <t>Fabricação e refino de açúcar</t>
        </is>
      </c>
      <c r="C12" s="11" t="n">
        <v>55818</v>
      </c>
      <c r="D12" s="11" t="n">
        <v>13186</v>
      </c>
      <c r="E12" s="11" t="n">
        <v>2.406673304625969</v>
      </c>
      <c r="F12" s="11" t="n">
        <v>1.192622226217256</v>
      </c>
      <c r="G12" s="11" t="n">
        <v>1.716976134611568</v>
      </c>
      <c r="H12" s="11" t="n">
        <v>0.8510521503565673</v>
      </c>
    </row>
    <row r="13">
      <c r="A13" s="10" t="inlineStr">
        <is>
          <t>1093</t>
        </is>
      </c>
      <c r="B13" s="10" t="inlineStr">
        <is>
          <t>Outros produtos alimentares</t>
        </is>
      </c>
      <c r="C13" s="11" t="n">
        <v>171317</v>
      </c>
      <c r="D13" s="11" t="n">
        <v>31559</v>
      </c>
      <c r="E13" s="11" t="n">
        <v>2.7989750262773</v>
      </c>
      <c r="F13" s="11" t="n">
        <v>1.387026573382018</v>
      </c>
      <c r="G13" s="11" t="n">
        <v>1.479389456222809</v>
      </c>
      <c r="H13" s="11" t="n">
        <v>0.7332877566280719</v>
      </c>
    </row>
    <row r="14">
      <c r="A14" s="10" t="inlineStr">
        <is>
          <t>1100</t>
        </is>
      </c>
      <c r="B14" s="10" t="inlineStr">
        <is>
          <t>Fabricação de bebidas</t>
        </is>
      </c>
      <c r="C14" s="11" t="n">
        <v>56908</v>
      </c>
      <c r="D14" s="11" t="n">
        <v>18886</v>
      </c>
      <c r="E14" s="11" t="n">
        <v>2.174059779982864</v>
      </c>
      <c r="F14" s="11" t="n">
        <v>1.077351051241051</v>
      </c>
      <c r="G14" s="11" t="n">
        <v>1.577772119065287</v>
      </c>
      <c r="H14" s="11" t="n">
        <v>0.7820530103098524</v>
      </c>
    </row>
    <row r="15">
      <c r="A15" s="10" t="inlineStr">
        <is>
          <t>1200</t>
        </is>
      </c>
      <c r="B15" s="10" t="inlineStr">
        <is>
          <t>Fabricação de produtos do fumo</t>
        </is>
      </c>
      <c r="C15" s="11" t="n">
        <v>13087</v>
      </c>
      <c r="D15" s="11" t="n">
        <v>3796</v>
      </c>
      <c r="E15" s="11" t="n">
        <v>2.413237560637834</v>
      </c>
      <c r="F15" s="11" t="n">
        <v>1.195875130383053</v>
      </c>
      <c r="G15" s="11" t="n">
        <v>1.055800576907197</v>
      </c>
      <c r="H15" s="11" t="n">
        <v>0.5233278047442704</v>
      </c>
    </row>
    <row r="16">
      <c r="A16" s="10" t="inlineStr">
        <is>
          <t>1300</t>
        </is>
      </c>
      <c r="B16" s="10" t="inlineStr">
        <is>
          <t>Fabricação de produtos têxteis</t>
        </is>
      </c>
      <c r="C16" s="11" t="n">
        <v>43173</v>
      </c>
      <c r="D16" s="11" t="n">
        <v>11756</v>
      </c>
      <c r="E16" s="11" t="n">
        <v>2.452604310925679</v>
      </c>
      <c r="F16" s="11" t="n">
        <v>1.215383246119819</v>
      </c>
      <c r="G16" s="11" t="n">
        <v>1.996332086142411</v>
      </c>
      <c r="H16" s="11" t="n">
        <v>0.9895202853950398</v>
      </c>
    </row>
    <row r="17">
      <c r="A17" s="10" t="inlineStr">
        <is>
          <t>1400</t>
        </is>
      </c>
      <c r="B17" s="10" t="inlineStr">
        <is>
          <t>Confecção de artefatos do vestuário e acessórios</t>
        </is>
      </c>
      <c r="C17" s="11" t="n">
        <v>54296</v>
      </c>
      <c r="D17" s="11" t="n">
        <v>25870</v>
      </c>
      <c r="E17" s="11" t="n">
        <v>2.025125432707435</v>
      </c>
      <c r="F17" s="11" t="n">
        <v>1.003546928152794</v>
      </c>
      <c r="G17" s="11" t="n">
        <v>1.168009637123504</v>
      </c>
      <c r="H17" s="11" t="n">
        <v>0.5789463774556387</v>
      </c>
    </row>
    <row r="18">
      <c r="A18" s="10" t="inlineStr">
        <is>
          <t>1500</t>
        </is>
      </c>
      <c r="B18" s="10" t="inlineStr">
        <is>
          <t>Fabricação de calçados e de artefatos de couro</t>
        </is>
      </c>
      <c r="C18" s="11" t="n">
        <v>32619</v>
      </c>
      <c r="D18" s="11" t="n">
        <v>11413</v>
      </c>
      <c r="E18" s="11" t="n">
        <v>2.716920928404679</v>
      </c>
      <c r="F18" s="11" t="n">
        <v>1.346364826444038</v>
      </c>
      <c r="G18" s="11" t="n">
        <v>1.165804923257181</v>
      </c>
      <c r="H18" s="11" t="n">
        <v>0.577853568744422</v>
      </c>
    </row>
    <row r="19">
      <c r="A19" s="10" t="inlineStr">
        <is>
          <t>1600</t>
        </is>
      </c>
      <c r="B19" s="10" t="inlineStr">
        <is>
          <t>Fabricação de produtos da madeira</t>
        </is>
      </c>
      <c r="C19" s="11" t="n">
        <v>22210</v>
      </c>
      <c r="D19" s="11" t="n">
        <v>8866</v>
      </c>
      <c r="E19" s="11" t="n">
        <v>2.107055456167844</v>
      </c>
      <c r="F19" s="11" t="n">
        <v>1.044147190259649</v>
      </c>
      <c r="G19" s="11" t="n">
        <v>2.357534827490441</v>
      </c>
      <c r="H19" s="11" t="n">
        <v>1.168557351515048</v>
      </c>
    </row>
    <row r="20">
      <c r="A20" s="10" t="inlineStr">
        <is>
          <t>1700</t>
        </is>
      </c>
      <c r="B20" s="10" t="inlineStr">
        <is>
          <t>Fabricação de celulose, papel e produtos de papel</t>
        </is>
      </c>
      <c r="C20" s="11" t="n">
        <v>58510</v>
      </c>
      <c r="D20" s="11" t="n">
        <v>16861</v>
      </c>
      <c r="E20" s="11" t="n">
        <v>2.803810687791186</v>
      </c>
      <c r="F20" s="11" t="n">
        <v>1.389422875941588</v>
      </c>
      <c r="G20" s="11" t="n">
        <v>2.400267507126316</v>
      </c>
      <c r="H20" s="11" t="n">
        <v>1.189738623730481</v>
      </c>
    </row>
    <row r="21">
      <c r="A21" s="10" t="inlineStr">
        <is>
          <t>1800</t>
        </is>
      </c>
      <c r="B21" s="10" t="inlineStr">
        <is>
          <t>Impressão e reprodução de gravações</t>
        </is>
      </c>
      <c r="C21" s="11" t="n">
        <v>19091</v>
      </c>
      <c r="D21" s="11" t="n">
        <v>8685</v>
      </c>
      <c r="E21" s="11" t="n">
        <v>1.970497414464345</v>
      </c>
      <c r="F21" s="11" t="n">
        <v>0.9764761210741255</v>
      </c>
      <c r="G21" s="11" t="n">
        <v>3.264897858023095</v>
      </c>
      <c r="H21" s="11" t="n">
        <v>1.618309239571178</v>
      </c>
    </row>
    <row r="22">
      <c r="A22" s="10" t="inlineStr">
        <is>
          <t>1991</t>
        </is>
      </c>
      <c r="B22" s="10" t="inlineStr">
        <is>
          <t>Refino de petróleo e coquerias</t>
        </is>
      </c>
      <c r="C22" s="11" t="n">
        <v>253576</v>
      </c>
      <c r="D22" s="11" t="n">
        <v>-10202</v>
      </c>
      <c r="E22" s="11" t="n">
        <v>2.492323858785805</v>
      </c>
      <c r="F22" s="11" t="n">
        <v>1.235066190000167</v>
      </c>
      <c r="G22" s="11" t="n">
        <v>2.723467095058016</v>
      </c>
      <c r="H22" s="11" t="n">
        <v>1.34993869801157</v>
      </c>
    </row>
    <row r="23">
      <c r="A23" s="10" t="inlineStr">
        <is>
          <t>1992</t>
        </is>
      </c>
      <c r="B23" s="10" t="inlineStr">
        <is>
          <t>Fabricação de biocombustíveis</t>
        </is>
      </c>
      <c r="C23" s="11" t="n">
        <v>23588</v>
      </c>
      <c r="D23" s="11" t="n">
        <v>4699</v>
      </c>
      <c r="E23" s="11" t="n">
        <v>2.620175516933946</v>
      </c>
      <c r="F23" s="11" t="n">
        <v>1.298422827925688</v>
      </c>
      <c r="G23" s="11" t="n">
        <v>2.11521512868361</v>
      </c>
      <c r="H23" s="11" t="n">
        <v>1.048446945443525</v>
      </c>
    </row>
    <row r="24">
      <c r="A24" s="10" t="inlineStr">
        <is>
          <t>2091</t>
        </is>
      </c>
      <c r="B24" s="10" t="inlineStr">
        <is>
          <t>Fabricação de químicos orgânicos e inorgânicos, resinas e elastômeros</t>
        </is>
      </c>
      <c r="C24" s="11" t="n">
        <v>105437</v>
      </c>
      <c r="D24" s="11" t="n">
        <v>14719</v>
      </c>
      <c r="E24" s="11" t="n">
        <v>2.331909924760679</v>
      </c>
      <c r="F24" s="11" t="n">
        <v>1.155573380259193</v>
      </c>
      <c r="G24" s="11" t="n">
        <v>3.092775284651684</v>
      </c>
      <c r="H24" s="11" t="n">
        <v>1.532993385005858</v>
      </c>
    </row>
    <row r="25">
      <c r="A25" s="10" t="inlineStr">
        <is>
          <t>2092</t>
        </is>
      </c>
      <c r="B25" s="10" t="inlineStr">
        <is>
          <t>Fabricação de defensivos, desinfestantes, tintas e químicos diversos</t>
        </is>
      </c>
      <c r="C25" s="11" t="n">
        <v>50352</v>
      </c>
      <c r="D25" s="11" t="n">
        <v>10413</v>
      </c>
      <c r="E25" s="11" t="n">
        <v>2.698020157244118</v>
      </c>
      <c r="F25" s="11" t="n">
        <v>1.33699858644154</v>
      </c>
      <c r="G25" s="11" t="n">
        <v>2.782124110412697</v>
      </c>
      <c r="H25" s="11" t="n">
        <v>1.379013172632846</v>
      </c>
    </row>
    <row r="26">
      <c r="A26" s="10" t="inlineStr">
        <is>
          <t>2093</t>
        </is>
      </c>
      <c r="B26" s="10" t="inlineStr">
        <is>
          <t>Fabricação de produtos de limpeza, cosméticos/perfumaria e higiene pessoal</t>
        </is>
      </c>
      <c r="C26" s="11" t="n">
        <v>27643</v>
      </c>
      <c r="D26" s="11" t="n">
        <v>7185</v>
      </c>
      <c r="E26" s="11" t="n">
        <v>2.271761978704744</v>
      </c>
      <c r="F26" s="11" t="n">
        <v>1.12576718380131</v>
      </c>
      <c r="G26" s="11" t="n">
        <v>1.434768506768017</v>
      </c>
      <c r="H26" s="11" t="n">
        <v>0.7111705272624792</v>
      </c>
    </row>
    <row r="27">
      <c r="A27" s="10" t="inlineStr">
        <is>
          <t>2100</t>
        </is>
      </c>
      <c r="B27" s="10" t="inlineStr">
        <is>
          <t>Fabricação de produtos farmoquímicos e farmacêuticos</t>
        </is>
      </c>
      <c r="C27" s="11" t="n">
        <v>42790</v>
      </c>
      <c r="D27" s="11" t="n">
        <v>19812</v>
      </c>
      <c r="E27" s="11" t="n">
        <v>2.467857580504317</v>
      </c>
      <c r="F27" s="11" t="n">
        <v>1.222941973881913</v>
      </c>
      <c r="G27" s="11" t="n">
        <v>1.398855290871212</v>
      </c>
      <c r="H27" s="11" t="n">
        <v>0.6933694530372336</v>
      </c>
    </row>
    <row r="28">
      <c r="A28" s="10" t="inlineStr">
        <is>
          <t>2200</t>
        </is>
      </c>
      <c r="B28" s="10" t="inlineStr">
        <is>
          <t>Fabricação de produtos de borracha e de material plástico</t>
        </is>
      </c>
      <c r="C28" s="11" t="n">
        <v>79842</v>
      </c>
      <c r="D28" s="11" t="n">
        <v>22858</v>
      </c>
      <c r="E28" s="11" t="n">
        <v>2.553507947611829</v>
      </c>
      <c r="F28" s="11" t="n">
        <v>1.265385844971413</v>
      </c>
      <c r="G28" s="11" t="n">
        <v>2.513588031211946</v>
      </c>
      <c r="H28" s="11" t="n">
        <v>1.245908114825025</v>
      </c>
    </row>
    <row r="29">
      <c r="A29" s="10" t="inlineStr">
        <is>
          <t>2300</t>
        </is>
      </c>
      <c r="B29" s="10" t="inlineStr">
        <is>
          <t>Fabricação de produtos de minerais não-metálicos</t>
        </is>
      </c>
      <c r="C29" s="11" t="n">
        <v>72361</v>
      </c>
      <c r="D29" s="11" t="n">
        <v>25581</v>
      </c>
      <c r="E29" s="11" t="n">
        <v>2.367279064490337</v>
      </c>
      <c r="F29" s="11" t="n">
        <v>1.173100487940445</v>
      </c>
      <c r="G29" s="11" t="n">
        <v>2.345512337349275</v>
      </c>
      <c r="H29" s="11" t="n">
        <v>1.162598173701785</v>
      </c>
    </row>
    <row r="30">
      <c r="A30" s="10" t="inlineStr">
        <is>
          <t>2491</t>
        </is>
      </c>
      <c r="B30" s="10" t="inlineStr">
        <is>
          <t>Produção de ferro-gusa/ferroligas, siderurgia e tubos de aço sem costura</t>
        </is>
      </c>
      <c r="C30" s="11" t="n">
        <v>96034</v>
      </c>
      <c r="D30" s="11" t="n">
        <v>20702</v>
      </c>
      <c r="E30" s="11" t="n">
        <v>2.515943355171556</v>
      </c>
      <c r="F30" s="11" t="n">
        <v>1.246770785014189</v>
      </c>
      <c r="G30" s="11" t="n">
        <v>2.507013742111057</v>
      </c>
      <c r="H30" s="11" t="n">
        <v>1.242649442346364</v>
      </c>
    </row>
    <row r="31">
      <c r="A31" s="10" t="inlineStr">
        <is>
          <t>2492</t>
        </is>
      </c>
      <c r="B31" s="10" t="inlineStr">
        <is>
          <t>Metalurgia de metais não-ferrosos e a fundição de metais</t>
        </is>
      </c>
      <c r="C31" s="11" t="n">
        <v>40031</v>
      </c>
      <c r="D31" s="11" t="n">
        <v>7995</v>
      </c>
      <c r="E31" s="11" t="n">
        <v>2.456364799355653</v>
      </c>
      <c r="F31" s="11" t="n">
        <v>1.217246748770718</v>
      </c>
      <c r="G31" s="11" t="n">
        <v>2.50278623088924</v>
      </c>
      <c r="H31" s="11" t="n">
        <v>1.24055399533143</v>
      </c>
    </row>
    <row r="32">
      <c r="A32" s="10" t="inlineStr">
        <is>
          <t>2500</t>
        </is>
      </c>
      <c r="B32" s="10" t="inlineStr">
        <is>
          <t>Fabricação de produtos de metal, exceto máquinas e equipamentos</t>
        </is>
      </c>
      <c r="C32" s="11" t="n">
        <v>80782</v>
      </c>
      <c r="D32" s="11" t="n">
        <v>32518</v>
      </c>
      <c r="E32" s="11" t="n">
        <v>2.426864990208117</v>
      </c>
      <c r="F32" s="11" t="n">
        <v>1.202628176324308</v>
      </c>
      <c r="G32" s="11" t="n">
        <v>2.214884122396397</v>
      </c>
      <c r="H32" s="11" t="n">
        <v>1.097849793691228</v>
      </c>
    </row>
    <row r="33">
      <c r="A33" s="10" t="inlineStr">
        <is>
          <t>2600</t>
        </is>
      </c>
      <c r="B33" s="10" t="inlineStr">
        <is>
          <t>Fabricação de equipamentos de informática, produtos eletrônicos e ópticos</t>
        </is>
      </c>
      <c r="C33" s="11" t="n">
        <v>68505</v>
      </c>
      <c r="D33" s="11" t="n">
        <v>15709</v>
      </c>
      <c r="E33" s="11" t="n">
        <v>2.04495534958791</v>
      </c>
      <c r="F33" s="11" t="n">
        <v>1.013373604490724</v>
      </c>
      <c r="G33" s="11" t="n">
        <v>1.499474909616313</v>
      </c>
      <c r="H33" s="11" t="n">
        <v>0.743243496813881</v>
      </c>
    </row>
    <row r="34">
      <c r="A34" s="10" t="inlineStr">
        <is>
          <t>2700</t>
        </is>
      </c>
      <c r="B34" s="10" t="inlineStr">
        <is>
          <t>Fabricação de máquinas e equipamentos elétricos</t>
        </is>
      </c>
      <c r="C34" s="11" t="n">
        <v>62609</v>
      </c>
      <c r="D34" s="11" t="n">
        <v>16216</v>
      </c>
      <c r="E34" s="11" t="n">
        <v>2.535424784644282</v>
      </c>
      <c r="F34" s="11" t="n">
        <v>1.2564247691021</v>
      </c>
      <c r="G34" s="11" t="n">
        <v>1.907378644374216</v>
      </c>
      <c r="H34" s="11" t="n">
        <v>0.9454288059781949</v>
      </c>
    </row>
    <row r="35">
      <c r="A35" s="10" t="inlineStr">
        <is>
          <t>2800</t>
        </is>
      </c>
      <c r="B35" s="10" t="inlineStr">
        <is>
          <t>Fabricação de máquinas e equipamentos mecânicos</t>
        </is>
      </c>
      <c r="C35" s="11" t="n">
        <v>107999</v>
      </c>
      <c r="D35" s="11" t="n">
        <v>34534</v>
      </c>
      <c r="E35" s="11" t="n">
        <v>2.638449776647876</v>
      </c>
      <c r="F35" s="11" t="n">
        <v>1.307478601412105</v>
      </c>
      <c r="G35" s="11" t="n">
        <v>1.631180525494111</v>
      </c>
      <c r="H35" s="11" t="n">
        <v>0.8085259112559398</v>
      </c>
    </row>
    <row r="36">
      <c r="A36" s="10" t="inlineStr">
        <is>
          <t>2991</t>
        </is>
      </c>
      <c r="B36" s="10" t="inlineStr">
        <is>
          <t>Fabricação de automóveis, caminhões e ônibus, exceto peças</t>
        </is>
      </c>
      <c r="C36" s="11" t="n">
        <v>164711</v>
      </c>
      <c r="D36" s="11" t="n">
        <v>32552</v>
      </c>
      <c r="E36" s="11" t="n">
        <v>2.287123894643278</v>
      </c>
      <c r="F36" s="11" t="n">
        <v>1.133379751053526</v>
      </c>
      <c r="G36" s="11" t="n">
        <v>1.06852203317245</v>
      </c>
      <c r="H36" s="11" t="n">
        <v>0.5296334385221446</v>
      </c>
    </row>
    <row r="37">
      <c r="A37" s="10" t="inlineStr">
        <is>
          <t>2992</t>
        </is>
      </c>
      <c r="B37" s="10" t="inlineStr">
        <is>
          <t>Fabricação de peças e acessórios para veículos automotores</t>
        </is>
      </c>
      <c r="C37" s="11" t="n">
        <v>88005</v>
      </c>
      <c r="D37" s="11" t="n">
        <v>28311</v>
      </c>
      <c r="E37" s="11" t="n">
        <v>2.108419522009176</v>
      </c>
      <c r="F37" s="11" t="n">
        <v>1.044823150406491</v>
      </c>
      <c r="G37" s="11" t="n">
        <v>2.198390940703932</v>
      </c>
      <c r="H37" s="11" t="n">
        <v>1.08967463186886</v>
      </c>
    </row>
    <row r="38">
      <c r="A38" s="10" t="inlineStr">
        <is>
          <t>3000</t>
        </is>
      </c>
      <c r="B38" s="10" t="inlineStr">
        <is>
          <t>Fabricação de outros equipamentos de transporte, exceto veículos automotores</t>
        </is>
      </c>
      <c r="C38" s="11" t="n">
        <v>37397</v>
      </c>
      <c r="D38" s="11" t="n">
        <v>10881</v>
      </c>
      <c r="E38" s="11" t="n">
        <v>2.117625898617317</v>
      </c>
      <c r="F38" s="11" t="n">
        <v>1.049385352241153</v>
      </c>
      <c r="G38" s="11" t="n">
        <v>1.445254412740075</v>
      </c>
      <c r="H38" s="11" t="n">
        <v>0.7163680676627572</v>
      </c>
    </row>
    <row r="39">
      <c r="A39" s="10" t="inlineStr">
        <is>
          <t>3180</t>
        </is>
      </c>
      <c r="B39" s="10" t="inlineStr">
        <is>
          <t>Fabricação de móveis e de produtos de indústrias diversas</t>
        </is>
      </c>
      <c r="C39" s="11" t="n">
        <v>55725</v>
      </c>
      <c r="D39" s="11" t="n">
        <v>26051</v>
      </c>
      <c r="E39" s="11" t="n">
        <v>2.071061937842307</v>
      </c>
      <c r="F39" s="11" t="n">
        <v>1.026310672992315</v>
      </c>
      <c r="G39" s="11" t="n">
        <v>1.352121863532456</v>
      </c>
      <c r="H39" s="11" t="n">
        <v>0.6702051334940395</v>
      </c>
    </row>
    <row r="40">
      <c r="A40" s="10" t="inlineStr">
        <is>
          <t>3300</t>
        </is>
      </c>
      <c r="B40" s="10" t="inlineStr">
        <is>
          <t>Manutenção, reparação e instalação de máquinas e equipamentos</t>
        </is>
      </c>
      <c r="C40" s="11" t="n">
        <v>45446</v>
      </c>
      <c r="D40" s="11" t="n">
        <v>18710</v>
      </c>
      <c r="E40" s="11" t="n">
        <v>1.869046023264187</v>
      </c>
      <c r="F40" s="11" t="n">
        <v>0.9262020835496293</v>
      </c>
      <c r="G40" s="11" t="n">
        <v>2.885755934020733</v>
      </c>
      <c r="H40" s="11" t="n">
        <v>1.430380273519745</v>
      </c>
    </row>
    <row r="41">
      <c r="A41" s="10" t="inlineStr">
        <is>
          <t>3500</t>
        </is>
      </c>
      <c r="B41" s="10" t="inlineStr">
        <is>
          <t>Energia elétrica, gás natural e outras utilidades</t>
        </is>
      </c>
      <c r="C41" s="11" t="n">
        <v>164366</v>
      </c>
      <c r="D41" s="11" t="n">
        <v>72152</v>
      </c>
      <c r="E41" s="11" t="n">
        <v>1.865747631639368</v>
      </c>
      <c r="F41" s="11" t="n">
        <v>0.9245675720623544</v>
      </c>
      <c r="G41" s="11" t="n">
        <v>2.507198283638391</v>
      </c>
      <c r="H41" s="11" t="n">
        <v>1.242740913893639</v>
      </c>
    </row>
    <row r="42">
      <c r="A42" s="10" t="inlineStr">
        <is>
          <t>3680</t>
        </is>
      </c>
      <c r="B42" s="10" t="inlineStr">
        <is>
          <t>Água, esgoto e gestão de resíduos</t>
        </is>
      </c>
      <c r="C42" s="11" t="n">
        <v>46839</v>
      </c>
      <c r="D42" s="11" t="n">
        <v>27067</v>
      </c>
      <c r="E42" s="11" t="n">
        <v>1.675397541895181</v>
      </c>
      <c r="F42" s="11" t="n">
        <v>0.8302399591890122</v>
      </c>
      <c r="G42" s="11" t="n">
        <v>2.149088413317259</v>
      </c>
      <c r="H42" s="11" t="n">
        <v>1.065236888615117</v>
      </c>
    </row>
    <row r="43">
      <c r="A43" s="10" t="inlineStr">
        <is>
          <t>4180</t>
        </is>
      </c>
      <c r="B43" s="10" t="inlineStr">
        <is>
          <t>Construção</t>
        </is>
      </c>
      <c r="C43" s="11" t="n">
        <v>507895</v>
      </c>
      <c r="D43" s="11" t="n">
        <v>233544</v>
      </c>
      <c r="E43" s="11" t="n">
        <v>1.896843538324856</v>
      </c>
      <c r="F43" s="11" t="n">
        <v>0.9399770875068511</v>
      </c>
      <c r="G43" s="11" t="n">
        <v>1.242214629812293</v>
      </c>
      <c r="H43" s="11" t="n">
        <v>0.6157275052313455</v>
      </c>
    </row>
    <row r="44">
      <c r="A44" s="10" t="inlineStr">
        <is>
          <t>4500</t>
        </is>
      </c>
      <c r="B44" s="10" t="inlineStr">
        <is>
          <t>Comércio e reparação de veículos automotores e motocicletas</t>
        </is>
      </c>
      <c r="C44" s="11" t="n">
        <v>122008</v>
      </c>
      <c r="D44" s="11" t="n">
        <v>73946</v>
      </c>
      <c r="E44" s="11" t="n">
        <v>1.630169044948241</v>
      </c>
      <c r="F44" s="11" t="n">
        <v>0.8078270664155562</v>
      </c>
      <c r="G44" s="11" t="n">
        <v>1.697268285277545</v>
      </c>
      <c r="H44" s="11" t="n">
        <v>0.8412835768647653</v>
      </c>
    </row>
    <row r="45">
      <c r="A45" s="10" t="inlineStr">
        <is>
          <t>4680</t>
        </is>
      </c>
      <c r="B45" s="10" t="inlineStr">
        <is>
          <t>Comércio por atacado e a varejo, exceto veículos automotores</t>
        </is>
      </c>
      <c r="C45" s="11" t="n">
        <v>622903</v>
      </c>
      <c r="D45" s="11" t="n">
        <v>404296</v>
      </c>
      <c r="E45" s="11" t="n">
        <v>1.758900667500935</v>
      </c>
      <c r="F45" s="11" t="n">
        <v>0.8716197689723389</v>
      </c>
      <c r="G45" s="11" t="n">
        <v>2.784687682756498</v>
      </c>
      <c r="H45" s="11" t="n">
        <v>1.380283856430836</v>
      </c>
    </row>
    <row r="46">
      <c r="A46" s="10" t="inlineStr">
        <is>
          <t>4900</t>
        </is>
      </c>
      <c r="B46" s="10" t="inlineStr">
        <is>
          <t>Transporte terrestre</t>
        </is>
      </c>
      <c r="C46" s="11" t="n">
        <v>236960</v>
      </c>
      <c r="D46" s="11" t="n">
        <v>107085</v>
      </c>
      <c r="E46" s="11" t="n">
        <v>2.097200711046706</v>
      </c>
      <c r="F46" s="11" t="n">
        <v>1.039263690682625</v>
      </c>
      <c r="G46" s="11" t="n">
        <v>2.623735711124831</v>
      </c>
      <c r="H46" s="11" t="n">
        <v>1.300504924854569</v>
      </c>
    </row>
    <row r="47">
      <c r="A47" s="10" t="inlineStr">
        <is>
          <t>5000</t>
        </is>
      </c>
      <c r="B47" s="10" t="inlineStr">
        <is>
          <t>Transporte aquaviário</t>
        </is>
      </c>
      <c r="C47" s="11" t="n">
        <v>12157</v>
      </c>
      <c r="D47" s="11" t="n">
        <v>4030</v>
      </c>
      <c r="E47" s="11" t="n">
        <v>2.001072102617292</v>
      </c>
      <c r="F47" s="11" t="n">
        <v>0.991627347699184</v>
      </c>
      <c r="G47" s="11" t="n">
        <v>2.493808697984405</v>
      </c>
      <c r="H47" s="11" t="n">
        <v>1.236104108970439</v>
      </c>
    </row>
    <row r="48">
      <c r="A48" s="10" t="inlineStr">
        <is>
          <t>5100</t>
        </is>
      </c>
      <c r="B48" s="10" t="inlineStr">
        <is>
          <t>Transporte aéreo</t>
        </is>
      </c>
      <c r="C48" s="11" t="n">
        <v>29117</v>
      </c>
      <c r="D48" s="11" t="n">
        <v>6507</v>
      </c>
      <c r="E48" s="11" t="n">
        <v>1.932583675414582</v>
      </c>
      <c r="F48" s="11" t="n">
        <v>0.9576880422007549</v>
      </c>
      <c r="G48" s="11" t="n">
        <v>2.202670743015571</v>
      </c>
      <c r="H48" s="11" t="n">
        <v>1.091795997965335</v>
      </c>
    </row>
    <row r="49">
      <c r="A49" s="10" t="inlineStr">
        <is>
          <t>5280</t>
        </is>
      </c>
      <c r="B49" s="10" t="inlineStr">
        <is>
          <t>Armazenamento, atividades auxiliares dos transportes e correio</t>
        </is>
      </c>
      <c r="C49" s="11" t="n">
        <v>81006</v>
      </c>
      <c r="D49" s="11" t="n">
        <v>47935</v>
      </c>
      <c r="E49" s="11" t="n">
        <v>1.65022816136949</v>
      </c>
      <c r="F49" s="11" t="n">
        <v>0.8177673221354653</v>
      </c>
      <c r="G49" s="11" t="n">
        <v>2.546887101509449</v>
      </c>
      <c r="H49" s="11" t="n">
        <v>1.262413437648266</v>
      </c>
    </row>
    <row r="50">
      <c r="A50" s="10" t="inlineStr">
        <is>
          <t>5500</t>
        </is>
      </c>
      <c r="B50" s="10" t="inlineStr">
        <is>
          <t>Alojamento</t>
        </is>
      </c>
      <c r="C50" s="11" t="n">
        <v>17261</v>
      </c>
      <c r="D50" s="11" t="n">
        <v>9600</v>
      </c>
      <c r="E50" s="11" t="n">
        <v>1.675660232597721</v>
      </c>
      <c r="F50" s="11" t="n">
        <v>0.8303701350503836</v>
      </c>
      <c r="G50" s="11" t="n">
        <v>2.083582626804954</v>
      </c>
      <c r="H50" s="11" t="n">
        <v>1.032767689219572</v>
      </c>
    </row>
    <row r="51">
      <c r="A51" s="10" t="inlineStr">
        <is>
          <t>5600</t>
        </is>
      </c>
      <c r="B51" s="10" t="inlineStr">
        <is>
          <t>Alimentação</t>
        </is>
      </c>
      <c r="C51" s="11" t="n">
        <v>151663</v>
      </c>
      <c r="D51" s="11" t="n">
        <v>72754</v>
      </c>
      <c r="E51" s="11" t="n">
        <v>1.823737852223098</v>
      </c>
      <c r="F51" s="11" t="n">
        <v>0.9037497084354034</v>
      </c>
      <c r="G51" s="11" t="n">
        <v>1.236711980431654</v>
      </c>
      <c r="H51" s="11" t="n">
        <v>0.6130000115325992</v>
      </c>
    </row>
    <row r="52">
      <c r="A52" s="10" t="inlineStr">
        <is>
          <t>5800</t>
        </is>
      </c>
      <c r="B52" s="10" t="inlineStr">
        <is>
          <t>Edição e edição integrada à impressão</t>
        </is>
      </c>
      <c r="C52" s="11" t="n">
        <v>22566</v>
      </c>
      <c r="D52" s="11" t="n">
        <v>10395</v>
      </c>
      <c r="E52" s="11" t="n">
        <v>2.519325156406973</v>
      </c>
      <c r="F52" s="11" t="n">
        <v>1.248446629970069</v>
      </c>
      <c r="G52" s="11" t="n">
        <v>1.84418163463334</v>
      </c>
      <c r="H52" s="11" t="n">
        <v>0.9141039960685658</v>
      </c>
    </row>
    <row r="53">
      <c r="A53" s="10" t="inlineStr">
        <is>
          <t>5980</t>
        </is>
      </c>
      <c r="B53" s="10" t="inlineStr">
        <is>
          <t>Atividades de televisão, rádio, cinema e  gravação/edição de som e imagem</t>
        </is>
      </c>
      <c r="C53" s="11" t="n">
        <v>31112</v>
      </c>
      <c r="D53" s="11" t="n">
        <v>14397</v>
      </c>
      <c r="E53" s="11" t="n">
        <v>2.268758618164812</v>
      </c>
      <c r="F53" s="11" t="n">
        <v>1.12427887438832</v>
      </c>
      <c r="G53" s="11" t="n">
        <v>3.756091978123519</v>
      </c>
      <c r="H53" s="11" t="n">
        <v>1.861779025625332</v>
      </c>
    </row>
    <row r="54">
      <c r="A54" s="10" t="inlineStr">
        <is>
          <t>6100</t>
        </is>
      </c>
      <c r="B54" s="10" t="inlineStr">
        <is>
          <t>Telecomunicações</t>
        </is>
      </c>
      <c r="C54" s="11" t="n">
        <v>143883</v>
      </c>
      <c r="D54" s="11" t="n">
        <v>57074</v>
      </c>
      <c r="E54" s="11" t="n">
        <v>2.726066680538393</v>
      </c>
      <c r="F54" s="11" t="n">
        <v>1.350896985939544</v>
      </c>
      <c r="G54" s="11" t="n">
        <v>1.899880803690504</v>
      </c>
      <c r="H54" s="11" t="n">
        <v>0.9417123574450603</v>
      </c>
    </row>
    <row r="55">
      <c r="A55" s="10" t="inlineStr">
        <is>
          <t>6280</t>
        </is>
      </c>
      <c r="B55" s="10" t="inlineStr">
        <is>
          <t>Desenvolvimento de sistemas e outros serviços de informação</t>
        </is>
      </c>
      <c r="C55" s="11" t="n">
        <v>80788</v>
      </c>
      <c r="D55" s="11" t="n">
        <v>55140</v>
      </c>
      <c r="E55" s="11" t="n">
        <v>1.518915008185121</v>
      </c>
      <c r="F55" s="11" t="n">
        <v>0.7526953471476978</v>
      </c>
      <c r="G55" s="11" t="n">
        <v>2.018442467965254</v>
      </c>
      <c r="H55" s="11" t="n">
        <v>1.000479720192188</v>
      </c>
    </row>
    <row r="56">
      <c r="A56" s="10" t="inlineStr">
        <is>
          <t>6480</t>
        </is>
      </c>
      <c r="B56" s="10" t="inlineStr">
        <is>
          <t>Intermediação financeira, seguros e previdência complementar</t>
        </is>
      </c>
      <c r="C56" s="11" t="n">
        <v>398032</v>
      </c>
      <c r="D56" s="11" t="n">
        <v>239426</v>
      </c>
      <c r="E56" s="11" t="n">
        <v>1.59586321955237</v>
      </c>
      <c r="F56" s="11" t="n">
        <v>0.7908268820626566</v>
      </c>
      <c r="G56" s="11" t="n">
        <v>1.978632697060071</v>
      </c>
      <c r="H56" s="11" t="n">
        <v>0.9807472437464846</v>
      </c>
    </row>
    <row r="57">
      <c r="A57" s="10" t="inlineStr">
        <is>
          <t>6800</t>
        </is>
      </c>
      <c r="B57" s="10" t="inlineStr">
        <is>
          <t>Atividades imobiliárias</t>
        </is>
      </c>
      <c r="C57" s="11" t="n">
        <v>340359</v>
      </c>
      <c r="D57" s="11" t="n">
        <v>311380</v>
      </c>
      <c r="E57" s="11" t="n">
        <v>1.123695746520281</v>
      </c>
      <c r="F57" s="11" t="n">
        <v>0.5568452187631493</v>
      </c>
      <c r="G57" s="11" t="n">
        <v>1.325393892739827</v>
      </c>
      <c r="H57" s="11" t="n">
        <v>0.6569569021650234</v>
      </c>
    </row>
    <row r="58">
      <c r="A58" s="10" t="inlineStr">
        <is>
          <t>6980</t>
        </is>
      </c>
      <c r="B58" s="10" t="inlineStr">
        <is>
          <t>Atividades jurídicas, contábeis, consultoria e sedes de empresas</t>
        </is>
      </c>
      <c r="C58" s="11" t="n">
        <v>124627</v>
      </c>
      <c r="D58" s="11" t="n">
        <v>87258</v>
      </c>
      <c r="E58" s="11" t="n">
        <v>1.51295593985832</v>
      </c>
      <c r="F58" s="11" t="n">
        <v>0.7497423425498448</v>
      </c>
      <c r="G58" s="11" t="n">
        <v>2.892631620237917</v>
      </c>
      <c r="H58" s="11" t="n">
        <v>1.43378833925948</v>
      </c>
    </row>
    <row r="59">
      <c r="A59" s="10" t="inlineStr">
        <is>
          <t>7180</t>
        </is>
      </c>
      <c r="B59" s="10" t="inlineStr">
        <is>
          <t>Serviços de arquitetura, engenharia, testes/análises técnicas e P &amp; D</t>
        </is>
      </c>
      <c r="C59" s="11" t="n">
        <v>56103</v>
      </c>
      <c r="D59" s="11" t="n">
        <v>35632</v>
      </c>
      <c r="E59" s="11" t="n">
        <v>1.507612066587934</v>
      </c>
      <c r="F59" s="11" t="n">
        <v>0.7470941966531416</v>
      </c>
      <c r="G59" s="11" t="n">
        <v>2.342880012262354</v>
      </c>
      <c r="H59" s="11" t="n">
        <v>1.161293411288085</v>
      </c>
    </row>
    <row r="60">
      <c r="A60" s="10" t="inlineStr">
        <is>
          <t>7380</t>
        </is>
      </c>
      <c r="B60" s="10" t="inlineStr">
        <is>
          <t>Outras atividades profissionais, científicas e técnicas</t>
        </is>
      </c>
      <c r="C60" s="11" t="n">
        <v>66427</v>
      </c>
      <c r="D60" s="11" t="n">
        <v>22340</v>
      </c>
      <c r="E60" s="11" t="n">
        <v>2.27257328059896</v>
      </c>
      <c r="F60" s="11" t="n">
        <v>1.126169222860519</v>
      </c>
      <c r="G60" s="11" t="n">
        <v>2.918061247022627</v>
      </c>
      <c r="H60" s="11" t="n">
        <v>1.446393021480522</v>
      </c>
    </row>
    <row r="61">
      <c r="A61" s="10" t="inlineStr">
        <is>
          <t>7700</t>
        </is>
      </c>
      <c r="B61" s="10" t="inlineStr">
        <is>
          <t>Aluguéis não-imobiliários e gestão de ativos de propriedade intelectual</t>
        </is>
      </c>
      <c r="C61" s="11" t="n">
        <v>31358</v>
      </c>
      <c r="D61" s="11" t="n">
        <v>20396</v>
      </c>
      <c r="E61" s="11" t="n">
        <v>1.541891281968949</v>
      </c>
      <c r="F61" s="11" t="n">
        <v>0.7640811944654765</v>
      </c>
      <c r="G61" s="11" t="n">
        <v>2.921776935997956</v>
      </c>
      <c r="H61" s="11" t="n">
        <v>1.448234773982939</v>
      </c>
    </row>
    <row r="62">
      <c r="A62" s="10" t="inlineStr">
        <is>
          <t>7880</t>
        </is>
      </c>
      <c r="B62" s="10" t="inlineStr">
        <is>
          <t>Outras atividades administrativas e serviços complementares</t>
        </is>
      </c>
      <c r="C62" s="11" t="n">
        <v>143082</v>
      </c>
      <c r="D62" s="11" t="n">
        <v>98016</v>
      </c>
      <c r="E62" s="11" t="n">
        <v>1.522989197585178</v>
      </c>
      <c r="F62" s="11" t="n">
        <v>0.7547143036977981</v>
      </c>
      <c r="G62" s="11" t="n">
        <v>2.465824209001805</v>
      </c>
      <c r="H62" s="11" t="n">
        <v>1.222233060302275</v>
      </c>
    </row>
    <row r="63">
      <c r="A63" s="10" t="inlineStr">
        <is>
          <t>8000</t>
        </is>
      </c>
      <c r="B63" s="10" t="inlineStr">
        <is>
          <t>Atividades de vigilância, segurança e investigação</t>
        </is>
      </c>
      <c r="C63" s="11" t="n">
        <v>24822</v>
      </c>
      <c r="D63" s="11" t="n">
        <v>20022</v>
      </c>
      <c r="E63" s="11" t="n">
        <v>1.331646499062075</v>
      </c>
      <c r="F63" s="11" t="n">
        <v>0.6598948054948606</v>
      </c>
      <c r="G63" s="11" t="n">
        <v>2.839276961661864</v>
      </c>
      <c r="H63" s="11" t="n">
        <v>1.407342079467428</v>
      </c>
    </row>
    <row r="64">
      <c r="A64" s="10" t="inlineStr">
        <is>
          <t>8400</t>
        </is>
      </c>
      <c r="B64" s="10" t="inlineStr">
        <is>
          <t>Administração pública, defesa e seguridade social</t>
        </is>
      </c>
      <c r="C64" s="11" t="n">
        <v>522385</v>
      </c>
      <c r="D64" s="11" t="n">
        <v>369696</v>
      </c>
      <c r="E64" s="11" t="n">
        <v>1.437219065453793</v>
      </c>
      <c r="F64" s="11" t="n">
        <v>0.7122110832860944</v>
      </c>
      <c r="G64" s="11" t="n">
        <v>1.06708604618787</v>
      </c>
      <c r="H64" s="11" t="n">
        <v>0.5289216640329858</v>
      </c>
    </row>
    <row r="65">
      <c r="A65" s="10" t="inlineStr">
        <is>
          <t>8591</t>
        </is>
      </c>
      <c r="B65" s="10" t="inlineStr">
        <is>
          <t>Educação pública</t>
        </is>
      </c>
      <c r="C65" s="11" t="n">
        <v>193081</v>
      </c>
      <c r="D65" s="11" t="n">
        <v>154661</v>
      </c>
      <c r="E65" s="11" t="n">
        <v>1.295834448628649</v>
      </c>
      <c r="F65" s="11" t="n">
        <v>0.6421482142848186</v>
      </c>
      <c r="G65" s="11" t="n">
        <v>1.014036679771156</v>
      </c>
      <c r="H65" s="11" t="n">
        <v>0.5026267281547933</v>
      </c>
    </row>
    <row r="66">
      <c r="A66" s="10" t="inlineStr">
        <is>
          <t>8592</t>
        </is>
      </c>
      <c r="B66" s="10" t="inlineStr">
        <is>
          <t>Educação privada</t>
        </is>
      </c>
      <c r="C66" s="11" t="n">
        <v>63272</v>
      </c>
      <c r="D66" s="11" t="n">
        <v>42023</v>
      </c>
      <c r="E66" s="11" t="n">
        <v>1.509994211804493</v>
      </c>
      <c r="F66" s="11" t="n">
        <v>0.7482746640335227</v>
      </c>
      <c r="G66" s="11" t="n">
        <v>1.265270784555914</v>
      </c>
      <c r="H66" s="11" t="n">
        <v>0.6271557305152989</v>
      </c>
    </row>
    <row r="67">
      <c r="A67" s="10" t="inlineStr">
        <is>
          <t>8691</t>
        </is>
      </c>
      <c r="B67" s="10" t="inlineStr">
        <is>
          <t>Saúde pública</t>
        </is>
      </c>
      <c r="C67" s="11" t="n">
        <v>114794</v>
      </c>
      <c r="D67" s="11" t="n">
        <v>73702</v>
      </c>
      <c r="E67" s="11" t="n">
        <v>1.517836012793856</v>
      </c>
      <c r="F67" s="11" t="n">
        <v>0.7521606531021306</v>
      </c>
      <c r="G67" s="11" t="n">
        <v>1.003491232446856</v>
      </c>
      <c r="H67" s="11" t="n">
        <v>0.4973996749413553</v>
      </c>
    </row>
    <row r="68">
      <c r="A68" s="10" t="inlineStr">
        <is>
          <t>8692</t>
        </is>
      </c>
      <c r="B68" s="10" t="inlineStr">
        <is>
          <t>Saúde privada</t>
        </is>
      </c>
      <c r="C68" s="11" t="n">
        <v>125360</v>
      </c>
      <c r="D68" s="11" t="n">
        <v>70520</v>
      </c>
      <c r="E68" s="11" t="n">
        <v>1.559128879774049</v>
      </c>
      <c r="F68" s="11" t="n">
        <v>0.7726232521803484</v>
      </c>
      <c r="G68" s="11" t="n">
        <v>1.104805672594814</v>
      </c>
      <c r="H68" s="11" t="n">
        <v>0.5476181202720461</v>
      </c>
    </row>
    <row r="69">
      <c r="A69" s="10" t="inlineStr">
        <is>
          <t>9080</t>
        </is>
      </c>
      <c r="B69" s="10" t="inlineStr">
        <is>
          <t>Atividades artísticas, criativas e de espetáculos</t>
        </is>
      </c>
      <c r="C69" s="11" t="n">
        <v>24702</v>
      </c>
      <c r="D69" s="11" t="n">
        <v>14303</v>
      </c>
      <c r="E69" s="11" t="n">
        <v>1.617298001911508</v>
      </c>
      <c r="F69" s="11" t="n">
        <v>0.8014488463344588</v>
      </c>
      <c r="G69" s="11" t="n">
        <v>1.443533468170499</v>
      </c>
      <c r="H69" s="11" t="n">
        <v>0.7155150484815014</v>
      </c>
    </row>
    <row r="70">
      <c r="A70" s="10" t="inlineStr">
        <is>
          <t>9480</t>
        </is>
      </c>
      <c r="B70" s="10" t="inlineStr">
        <is>
          <t>Organizações associativas e outros serviços pessoais</t>
        </is>
      </c>
      <c r="C70" s="11" t="n">
        <v>110543</v>
      </c>
      <c r="D70" s="11" t="n">
        <v>52435</v>
      </c>
      <c r="E70" s="11" t="n">
        <v>1.753024976300123</v>
      </c>
      <c r="F70" s="11" t="n">
        <v>0.868708081745407</v>
      </c>
      <c r="G70" s="11" t="n">
        <v>1.282792748753153</v>
      </c>
      <c r="H70" s="11" t="n">
        <v>0.635840828116789</v>
      </c>
    </row>
    <row r="71">
      <c r="A71" s="10" t="inlineStr">
        <is>
          <t>9700</t>
        </is>
      </c>
      <c r="B71" s="10" t="inlineStr">
        <is>
          <t>Serviços domésticos</t>
        </is>
      </c>
      <c r="C71" s="11" t="n">
        <v>44434</v>
      </c>
      <c r="D71" s="11" t="n">
        <v>44434</v>
      </c>
      <c r="E71" s="11" t="n">
        <v>1</v>
      </c>
      <c r="F71" s="11" t="n">
        <v>0.4955480346771063</v>
      </c>
      <c r="G71" s="11" t="n">
        <v>1</v>
      </c>
      <c r="H71" s="11" t="n">
        <v>0.4956691786220438</v>
      </c>
    </row>
    <row r="72"/>
    <row r="73"/>
    <row r="74">
      <c r="A74" s="10" t="inlineStr">
        <is>
          <t>Validacion contable y matematica</t>
        </is>
      </c>
    </row>
    <row r="75">
      <c r="A75" s="10" t="inlineStr">
        <is>
          <t>prueba</t>
        </is>
      </c>
      <c r="B75" s="10" t="inlineStr">
        <is>
          <t>resultado</t>
        </is>
      </c>
      <c r="C75" s="10" t="inlineStr">
        <is>
          <t>lectura</t>
        </is>
      </c>
    </row>
    <row r="76">
      <c r="A76" s="10" t="inlineStr">
        <is>
          <t>sectores</t>
        </is>
      </c>
      <c r="B76" s="11" t="n">
        <v>68</v>
      </c>
      <c r="C76" s="10" t="inlineStr">
        <is>
          <t>Cantidad de sectores de la MIP.</t>
        </is>
      </c>
    </row>
    <row r="77">
      <c r="A77" s="10" t="inlineStr">
        <is>
          <t>cuadrada_Z_A_L</t>
        </is>
      </c>
      <c r="B77" s="38" t="b">
        <v>1</v>
      </c>
      <c r="C77" s="10" t="inlineStr">
        <is>
          <t>Z, A y L son matrices cuadradas.</t>
        </is>
      </c>
    </row>
    <row r="78">
      <c r="A78" s="10" t="inlineStr">
        <is>
          <t>max_abs_A_menos_Z_sobre_x</t>
        </is>
      </c>
      <c r="B78" s="11" t="n">
        <v>1.110223024625157e-16</v>
      </c>
      <c r="C78" s="10" t="inlineStr">
        <is>
          <t>Consistencia de coeficientes tecnicos.</t>
        </is>
      </c>
    </row>
    <row r="79">
      <c r="A79" s="10" t="inlineStr">
        <is>
          <t>max_abs_Leontief</t>
        </is>
      </c>
      <c r="B79" s="11" t="n">
        <v>1.554312234475219e-15</v>
      </c>
      <c r="C79" s="10" t="inlineStr">
        <is>
          <t>Residual (I-A)L - I.</t>
        </is>
      </c>
    </row>
    <row r="80">
      <c r="A80" s="10" t="inlineStr">
        <is>
          <t>max_abs_fila_x_menos_Z_menos_y</t>
        </is>
      </c>
      <c r="B80" s="11" t="n">
        <v>787.7762729105889</v>
      </c>
      <c r="C80" s="10" t="inlineStr">
        <is>
          <t>Cierre por filas: x = ventas intermedias + demanda final.</t>
        </is>
      </c>
    </row>
    <row r="81">
      <c r="A81" s="10" t="inlineStr">
        <is>
          <t>max_abs_columna_x_menos_Z_menos_ajuste_menos_v</t>
        </is>
      </c>
      <c r="B81" s="11" t="n">
        <v>634.0000000000291</v>
      </c>
      <c r="C81" s="10" t="inlineStr">
        <is>
          <t>Cierre por columnas con ajuste procesado.</t>
        </is>
      </c>
    </row>
    <row r="82">
      <c r="A82" s="10" t="inlineStr">
        <is>
          <t>max_abs_total_x_menos_Ztotal_menos_ajuste_no_asignado_menos_v</t>
        </is>
      </c>
      <c r="B82" s="11" t="n">
        <v>634.0000000000364</v>
      </c>
      <c r="C82" s="10" t="inlineStr">
        <is>
          <t>Cierre Cuadro 3.</t>
        </is>
      </c>
    </row>
    <row r="83">
      <c r="A83" s="10" t="inlineStr">
        <is>
          <t>sectores_y_negativa</t>
        </is>
      </c>
      <c r="B83" s="11" t="n">
        <v>0</v>
      </c>
      <c r="C83" s="10" t="inlineStr">
        <is>
          <t>Demanda final total negativa.</t>
        </is>
      </c>
    </row>
    <row r="84">
      <c r="A84" s="10" t="inlineStr">
        <is>
          <t>min_y</t>
        </is>
      </c>
      <c r="B84" s="11" t="n">
        <v>249.679197757909</v>
      </c>
      <c r="C84" s="10" t="inlineStr">
        <is>
          <t>Minimo de demanda final total.</t>
        </is>
      </c>
    </row>
    <row r="85">
      <c r="A85" s="10" t="inlineStr">
        <is>
          <t>sectores_va_negativo</t>
        </is>
      </c>
      <c r="B85" s="11" t="n">
        <v>1</v>
      </c>
      <c r="C85" s="10" t="inlineStr">
        <is>
          <t>Valor agregado negativo.</t>
        </is>
      </c>
    </row>
    <row r="86">
      <c r="A86" s="10" t="inlineStr">
        <is>
          <t>min_va</t>
        </is>
      </c>
      <c r="B86" s="11" t="n">
        <v>-10202</v>
      </c>
      <c r="C86" s="10" t="inlineStr">
        <is>
          <t>Minimo de valor agregado.</t>
        </is>
      </c>
    </row>
    <row r="87">
      <c r="A87" s="10" t="inlineStr">
        <is>
          <t>sectores_ajuste_negativo</t>
        </is>
      </c>
      <c r="B87" s="11" t="n">
        <v>18</v>
      </c>
      <c r="C87" s="10" t="inlineStr">
        <is>
          <t>Ajuste intermedio/importado con signo negativo.</t>
        </is>
      </c>
    </row>
    <row r="88">
      <c r="A88" s="10" t="inlineStr">
        <is>
          <t>min_ajuste</t>
        </is>
      </c>
      <c r="B88" s="11" t="n">
        <v>-45280.53271581482</v>
      </c>
      <c r="C88" s="10" t="inlineStr">
        <is>
          <t>Minimo de ajuste intermedio/importado.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</cols>
  <sheetData>
    <row r="1">
      <c r="A1" s="16" t="inlineStr">
        <is>
          <t>Principio</t>
        </is>
      </c>
      <c r="B1" s="16" t="inlineStr">
        <is>
          <t>La matriz no fuerza balances: muestra el cierre y sus diferencias.</t>
        </is>
      </c>
    </row>
    <row r="2">
      <c r="A2" s="10" t="inlineStr">
        <is>
          <t>Diseno</t>
        </is>
      </c>
      <c r="B2" s="10" t="inlineStr">
        <is>
          <t>Estructura inspirada en el anexo MIP de Colombia: cuadros con Z, demanda final, valor agregado y produccion en una misma hoja.</t>
        </is>
      </c>
    </row>
    <row r="3">
      <c r="A3" s="37" t="inlineStr">
        <is>
          <t>Colores</t>
        </is>
      </c>
      <c r="B3" s="37" t="inlineStr">
        <is>
          <t>Paleta CEPAL: azul institucional, celeste y grises tecnicos.</t>
        </is>
      </c>
    </row>
    <row r="4">
      <c r="A4" s="10" t="inlineStr">
        <is>
          <t>Fuente</t>
        </is>
      </c>
      <c r="B4" s="10" t="inlineStr">
        <is>
          <t>COU IBGE nivel 68</t>
        </is>
      </c>
    </row>
    <row r="5">
      <c r="A5" s="10" t="inlineStr">
        <is>
          <t>Ano</t>
        </is>
      </c>
      <c r="B5" s="10" t="inlineStr">
        <is>
          <t>2011</t>
        </is>
      </c>
    </row>
    <row r="6">
      <c r="A6" s="10" t="inlineStr">
        <is>
          <t>Archivo fuente COU/referencia</t>
        </is>
      </c>
      <c r="B6" s="10" t="inlineStr">
        <is>
          <t>data\processed\brasil\cou_brasil_2011.xlsx</t>
        </is>
      </c>
    </row>
    <row r="7">
      <c r="A7" s="10" t="inlineStr">
        <is>
          <t>Ajuste intermedio</t>
        </is>
      </c>
      <c r="B7" s="10" t="inlineStr">
        <is>
          <t>U_importada/ajuste transformado a industrias con D = V * diag(q)^-1.</t>
        </is>
      </c>
    </row>
    <row r="8">
      <c r="A8" s="10" t="inlineStr">
        <is>
          <t>Convencion</t>
        </is>
      </c>
      <c r="B8" s="10" t="inlineStr">
        <is>
          <t>Demanda final se presenta como Gasto de consumo final, Formacion bruta de capital, Exportaciones netas, Sin desglose fuente y Total.</t>
        </is>
      </c>
    </row>
    <row r="9">
      <c r="A9" s="10" t="inlineStr">
        <is>
          <t>Convencion</t>
        </is>
      </c>
      <c r="B9" s="10" t="inlineStr">
        <is>
          <t>Exportaciones netas se calcula como residuo frente al total MIP para evitar ambiguedad de signo en importaciones.</t>
        </is>
      </c>
    </row>
    <row r="10">
      <c r="A10" s="10" t="inlineStr">
        <is>
          <t>Alerta</t>
        </is>
      </c>
      <c r="B10" s="10" t="inlineStr">
        <is>
          <t>Un valor agregado negativo o ajuste negativo se conserva y se marca; no se maquilla.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2026-07-07T00:54:44Z</dcterms:created>
  <dcterms:modified xmlns:dcterms="http://purl.org/dc/terms/" xmlns:xsi="http://www.w3.org/2001/XMLSchema-instance" xsi:type="dcterms:W3CDTF">2026-07-07T00:54:46Z</dcterms:modified>
</cp:coreProperties>
</file>