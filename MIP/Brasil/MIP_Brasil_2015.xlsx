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2015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2015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IBGE nivel 68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68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224.4737316916289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229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228.9999999999927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440.072707192931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4258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19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-78531.9954223911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2015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6572.794106551334</v>
      </c>
      <c r="D14" s="29" t="n">
        <v>4155.371986485859</v>
      </c>
      <c r="E14" s="29" t="n">
        <v>159.3130499522346</v>
      </c>
      <c r="F14" s="29" t="n">
        <v>1.846363893100828</v>
      </c>
      <c r="G14" s="29" t="n">
        <v>5.400878358311454</v>
      </c>
      <c r="H14" s="29" t="n">
        <v>0.5292533849630827</v>
      </c>
      <c r="I14" s="29" t="n">
        <v>1.517200324571613</v>
      </c>
      <c r="J14" s="29" t="n">
        <v>6752.206748461277</v>
      </c>
      <c r="K14" s="29" t="n">
        <v>25102.19469162104</v>
      </c>
      <c r="L14" s="29" t="n">
        <v>58516.75955600307</v>
      </c>
      <c r="M14" s="29" t="n">
        <v>1856.209966259743</v>
      </c>
      <c r="N14" s="29" t="n">
        <v>4045.58194057283</v>
      </c>
      <c r="O14" s="29" t="n">
        <v>3746.35175358327</v>
      </c>
      <c r="P14" s="29" t="n">
        <v>559.044769731954</v>
      </c>
      <c r="Q14" s="29" t="n">
        <v>8.338308509675807</v>
      </c>
      <c r="R14" s="29" t="n">
        <v>114.9889260070036</v>
      </c>
      <c r="S14" s="29" t="n">
        <v>178.9120830130984</v>
      </c>
      <c r="T14" s="29" t="n">
        <v>0.1910123393111733</v>
      </c>
      <c r="U14" s="29" t="n">
        <v>7.8874893648516</v>
      </c>
      <c r="V14" s="29" t="n">
        <v>18099.29715429728</v>
      </c>
      <c r="W14" s="29" t="n">
        <v>15.43827394661931</v>
      </c>
      <c r="X14" s="29" t="n">
        <v>17.38443904832792</v>
      </c>
      <c r="Y14" s="29" t="n">
        <v>1.935680613748302</v>
      </c>
      <c r="Z14" s="29" t="n">
        <v>13.12307617689808</v>
      </c>
      <c r="AA14" s="29" t="n">
        <v>54.38051614000678</v>
      </c>
      <c r="AB14" s="29" t="n">
        <v>17.34435260006233</v>
      </c>
      <c r="AC14" s="29" t="n">
        <v>29.92045259315868</v>
      </c>
      <c r="AD14" s="29" t="n">
        <v>15.72337905575221</v>
      </c>
      <c r="AE14" s="29" t="n">
        <v>2.761887831786582</v>
      </c>
      <c r="AF14" s="29" t="n">
        <v>0.2296682341803616</v>
      </c>
      <c r="AG14" s="29" t="n">
        <v>0.3102343102538827</v>
      </c>
      <c r="AH14" s="29" t="n">
        <v>0.775341530042574</v>
      </c>
      <c r="AI14" s="29" t="n">
        <v>0.4407560923049732</v>
      </c>
      <c r="AJ14" s="29" t="n">
        <v>0.2853620907002116</v>
      </c>
      <c r="AK14" s="29" t="n">
        <v>0.6285652210428198</v>
      </c>
      <c r="AL14" s="29" t="n">
        <v>11.80098676951078</v>
      </c>
      <c r="AM14" s="29" t="n">
        <v>0.0649182716696128</v>
      </c>
      <c r="AN14" s="29" t="n">
        <v>0.6837522102688808</v>
      </c>
      <c r="AO14" s="29" t="n">
        <v>26.53849058451247</v>
      </c>
      <c r="AP14" s="29" t="n">
        <v>346.2249078946159</v>
      </c>
      <c r="AQ14" s="29" t="n">
        <v>2.017112397955907</v>
      </c>
      <c r="AR14" s="29" t="n">
        <v>10374.63281275969</v>
      </c>
      <c r="AS14" s="29" t="n">
        <v>0.75124628624294</v>
      </c>
      <c r="AT14" s="29" t="n">
        <v>0.02100912296787199</v>
      </c>
      <c r="AU14" s="29" t="n">
        <v>0.2633037705001866</v>
      </c>
      <c r="AV14" s="29" t="n">
        <v>8.413504663766316</v>
      </c>
      <c r="AW14" s="29" t="n">
        <v>252.8519707474478</v>
      </c>
      <c r="AX14" s="29" t="n">
        <v>3307.311936877958</v>
      </c>
      <c r="AY14" s="29" t="n">
        <v>0.1204715383215341</v>
      </c>
      <c r="AZ14" s="29" t="n">
        <v>0.5191400396674775</v>
      </c>
      <c r="BA14" s="29" t="n">
        <v>40.13869702287591</v>
      </c>
      <c r="BB14" s="29" t="n">
        <v>1.572370951938614</v>
      </c>
      <c r="BC14" s="29" t="n">
        <v>17.38367754257304</v>
      </c>
      <c r="BD14" s="29" t="n">
        <v>13.37465379788708</v>
      </c>
      <c r="BE14" s="29" t="n">
        <v>6.587563693866532</v>
      </c>
      <c r="BF14" s="29" t="n">
        <v>11.19949359717214</v>
      </c>
      <c r="BG14" s="29" t="n">
        <v>0.7349455326577605</v>
      </c>
      <c r="BH14" s="29" t="n">
        <v>0.5381363848744444</v>
      </c>
      <c r="BI14" s="29" t="n">
        <v>110.8049710560382</v>
      </c>
      <c r="BJ14" s="29" t="n">
        <v>0.1928383270024711</v>
      </c>
      <c r="BK14" s="29" t="n">
        <v>703.4882424471161</v>
      </c>
      <c r="BL14" s="29" t="n">
        <v>360.1033857722933</v>
      </c>
      <c r="BM14" s="29" t="n">
        <v>46.11750659495754</v>
      </c>
      <c r="BN14" s="29" t="n">
        <v>181.2130575699013</v>
      </c>
      <c r="BO14" s="29" t="n">
        <v>183.0430746486931</v>
      </c>
      <c r="BP14" s="29" t="n">
        <v>2.50866515632098</v>
      </c>
      <c r="BQ14" s="29" t="n">
        <v>230.9287811113052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163003.4351506577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801.5422540449688</v>
      </c>
      <c r="D15" s="31" t="n">
        <v>4823.573151636714</v>
      </c>
      <c r="E15" s="31" t="n">
        <v>149.6751771891002</v>
      </c>
      <c r="F15" s="31" t="n">
        <v>4.43201931963389</v>
      </c>
      <c r="G15" s="31" t="n">
        <v>14.09284738841465</v>
      </c>
      <c r="H15" s="31" t="n">
        <v>0.9138228215588545</v>
      </c>
      <c r="I15" s="31" t="n">
        <v>2.908655678357437</v>
      </c>
      <c r="J15" s="31" t="n">
        <v>80475.73811548296</v>
      </c>
      <c r="K15" s="31" t="n">
        <v>132.9887008380364</v>
      </c>
      <c r="L15" s="31" t="n">
        <v>3480.387104973559</v>
      </c>
      <c r="M15" s="31" t="n">
        <v>65.12992450953377</v>
      </c>
      <c r="N15" s="31" t="n">
        <v>163.7968798064526</v>
      </c>
      <c r="O15" s="31" t="n">
        <v>168.1719469118235</v>
      </c>
      <c r="P15" s="31" t="n">
        <v>132.5374023220993</v>
      </c>
      <c r="Q15" s="31" t="n">
        <v>9.706888859969641</v>
      </c>
      <c r="R15" s="31" t="n">
        <v>130.5581415190878</v>
      </c>
      <c r="S15" s="31" t="n">
        <v>184.2639010201113</v>
      </c>
      <c r="T15" s="31" t="n">
        <v>0.3662782874148407</v>
      </c>
      <c r="U15" s="31" t="n">
        <v>0.5134597891834645</v>
      </c>
      <c r="V15" s="31" t="n">
        <v>139.0380703684704</v>
      </c>
      <c r="W15" s="31" t="n">
        <v>48.47577387500082</v>
      </c>
      <c r="X15" s="31" t="n">
        <v>8.078019606306853</v>
      </c>
      <c r="Y15" s="31" t="n">
        <v>4.65409257948348</v>
      </c>
      <c r="Z15" s="31" t="n">
        <v>3.651121898721459</v>
      </c>
      <c r="AA15" s="31" t="n">
        <v>57.15032534623293</v>
      </c>
      <c r="AB15" s="31" t="n">
        <v>72.28838907950285</v>
      </c>
      <c r="AC15" s="31" t="n">
        <v>38.10707305857215</v>
      </c>
      <c r="AD15" s="31" t="n">
        <v>32.00732736377273</v>
      </c>
      <c r="AE15" s="31" t="n">
        <v>2.190559566707518</v>
      </c>
      <c r="AF15" s="31" t="n">
        <v>0.6299329406224721</v>
      </c>
      <c r="AG15" s="31" t="n">
        <v>1.06502117846567</v>
      </c>
      <c r="AH15" s="31" t="n">
        <v>1.711901775829554</v>
      </c>
      <c r="AI15" s="31" t="n">
        <v>0.8735005124910227</v>
      </c>
      <c r="AJ15" s="31" t="n">
        <v>0.7546668508605909</v>
      </c>
      <c r="AK15" s="31" t="n">
        <v>0.9102909622562303</v>
      </c>
      <c r="AL15" s="31" t="n">
        <v>5.732783833150648</v>
      </c>
      <c r="AM15" s="31" t="n">
        <v>0.2277029412706611</v>
      </c>
      <c r="AN15" s="31" t="n">
        <v>1.07941068950982</v>
      </c>
      <c r="AO15" s="31" t="n">
        <v>5.576660041392473</v>
      </c>
      <c r="AP15" s="31" t="n">
        <v>675.258566185076</v>
      </c>
      <c r="AQ15" s="31" t="n">
        <v>2.856650610457836</v>
      </c>
      <c r="AR15" s="31" t="n">
        <v>367.9951917877158</v>
      </c>
      <c r="AS15" s="31" t="n">
        <v>0.9033825439880275</v>
      </c>
      <c r="AT15" s="31" t="n">
        <v>0.0324470315713357</v>
      </c>
      <c r="AU15" s="31" t="n">
        <v>0.3441441584756991</v>
      </c>
      <c r="AV15" s="31" t="n">
        <v>15.65259676770603</v>
      </c>
      <c r="AW15" s="31" t="n">
        <v>275.7037068120541</v>
      </c>
      <c r="AX15" s="31" t="n">
        <v>1442.348000369243</v>
      </c>
      <c r="AY15" s="31" t="n">
        <v>0.3040278658661219</v>
      </c>
      <c r="AZ15" s="31" t="n">
        <v>1.008411183352384</v>
      </c>
      <c r="BA15" s="31" t="n">
        <v>75.96099861547165</v>
      </c>
      <c r="BB15" s="31" t="n">
        <v>3.297935272724577</v>
      </c>
      <c r="BC15" s="31" t="n">
        <v>32.02117194528682</v>
      </c>
      <c r="BD15" s="31" t="n">
        <v>27.26678406240563</v>
      </c>
      <c r="BE15" s="31" t="n">
        <v>5.64476447938087</v>
      </c>
      <c r="BF15" s="31" t="n">
        <v>13.66600489695325</v>
      </c>
      <c r="BG15" s="31" t="n">
        <v>6.425598026072834</v>
      </c>
      <c r="BH15" s="31" t="n">
        <v>0.9459849758391216</v>
      </c>
      <c r="BI15" s="31" t="n">
        <v>23.72193201753463</v>
      </c>
      <c r="BJ15" s="31" t="n">
        <v>0.3230028288889462</v>
      </c>
      <c r="BK15" s="31" t="n">
        <v>207.3430317793064</v>
      </c>
      <c r="BL15" s="31" t="n">
        <v>118.8598019104761</v>
      </c>
      <c r="BM15" s="31" t="n">
        <v>15.89508409283494</v>
      </c>
      <c r="BN15" s="31" t="n">
        <v>72.38474195935956</v>
      </c>
      <c r="BO15" s="31" t="n">
        <v>121.6587485513029</v>
      </c>
      <c r="BP15" s="31" t="n">
        <v>2.838526934286843</v>
      </c>
      <c r="BQ15" s="31" t="n">
        <v>39.5770495001731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42302.26241596859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1044.257689856113</v>
      </c>
      <c r="D16" s="29" t="n">
        <v>1267.293807110945</v>
      </c>
      <c r="E16" s="29" t="n">
        <v>1949.961355119466</v>
      </c>
      <c r="F16" s="29" t="n">
        <v>1.809074660139518</v>
      </c>
      <c r="G16" s="29" t="n">
        <v>1.105657511635257</v>
      </c>
      <c r="H16" s="29" t="n">
        <v>0.08383392931750482</v>
      </c>
      <c r="I16" s="29" t="n">
        <v>0.2087752234637009</v>
      </c>
      <c r="J16" s="29" t="n">
        <v>1625.824423581264</v>
      </c>
      <c r="K16" s="29" t="n">
        <v>0.6885313791979222</v>
      </c>
      <c r="L16" s="29" t="n">
        <v>314.4811317314609</v>
      </c>
      <c r="M16" s="29" t="n">
        <v>12.32052264177773</v>
      </c>
      <c r="N16" s="29" t="n">
        <v>13.11495890738411</v>
      </c>
      <c r="O16" s="29" t="n">
        <v>44.04539596487627</v>
      </c>
      <c r="P16" s="29" t="n">
        <v>12.60099636729237</v>
      </c>
      <c r="Q16" s="29" t="n">
        <v>14.20050718413621</v>
      </c>
      <c r="R16" s="29" t="n">
        <v>2223.390374821222</v>
      </c>
      <c r="S16" s="29" t="n">
        <v>2995.517798185014</v>
      </c>
      <c r="T16" s="29" t="n">
        <v>0.02906988391319413</v>
      </c>
      <c r="U16" s="29" t="n">
        <v>0.04594234997768682</v>
      </c>
      <c r="V16" s="29" t="n">
        <v>2.544994894926684</v>
      </c>
      <c r="W16" s="29" t="n">
        <v>139.4319751133465</v>
      </c>
      <c r="X16" s="29" t="n">
        <v>2.463410315859856</v>
      </c>
      <c r="Y16" s="29" t="n">
        <v>0.09117671416677936</v>
      </c>
      <c r="Z16" s="29" t="n">
        <v>0.1379469681838446</v>
      </c>
      <c r="AA16" s="29" t="n">
        <v>957.6321845547452</v>
      </c>
      <c r="AB16" s="29" t="n">
        <v>65.94295112624641</v>
      </c>
      <c r="AC16" s="29" t="n">
        <v>563.7352686418214</v>
      </c>
      <c r="AD16" s="29" t="n">
        <v>2.308565753304927</v>
      </c>
      <c r="AE16" s="29" t="n">
        <v>9.529875876755328</v>
      </c>
      <c r="AF16" s="29" t="n">
        <v>0.07104332592954196</v>
      </c>
      <c r="AG16" s="29" t="n">
        <v>0.1015786893413878</v>
      </c>
      <c r="AH16" s="29" t="n">
        <v>0.2021079095652825</v>
      </c>
      <c r="AI16" s="29" t="n">
        <v>0.09284243875083396</v>
      </c>
      <c r="AJ16" s="29" t="n">
        <v>0.07896701774646703</v>
      </c>
      <c r="AK16" s="29" t="n">
        <v>0.1117675864696863</v>
      </c>
      <c r="AL16" s="29" t="n">
        <v>2.961007080562769</v>
      </c>
      <c r="AM16" s="29" t="n">
        <v>0.02772125179321693</v>
      </c>
      <c r="AN16" s="29" t="n">
        <v>0.2008692695823663</v>
      </c>
      <c r="AO16" s="29" t="n">
        <v>0.4224983641438031</v>
      </c>
      <c r="AP16" s="29" t="n">
        <v>635.8240094203851</v>
      </c>
      <c r="AQ16" s="29" t="n">
        <v>0.3648135516865821</v>
      </c>
      <c r="AR16" s="29" t="n">
        <v>302.86275920174</v>
      </c>
      <c r="AS16" s="29" t="n">
        <v>0.1268740158911723</v>
      </c>
      <c r="AT16" s="29" t="n">
        <v>0.005205677759109605</v>
      </c>
      <c r="AU16" s="29" t="n">
        <v>0.03522815914476695</v>
      </c>
      <c r="AV16" s="29" t="n">
        <v>1.228581381467378</v>
      </c>
      <c r="AW16" s="29" t="n">
        <v>38.45564926174713</v>
      </c>
      <c r="AX16" s="29" t="n">
        <v>403.8778210458269</v>
      </c>
      <c r="AY16" s="29" t="n">
        <v>0.04156875977205329</v>
      </c>
      <c r="AZ16" s="29" t="n">
        <v>0.1186823716196276</v>
      </c>
      <c r="BA16" s="29" t="n">
        <v>5.481197153313636</v>
      </c>
      <c r="BB16" s="29" t="n">
        <v>0.3462130104449761</v>
      </c>
      <c r="BC16" s="29" t="n">
        <v>2.588962713625524</v>
      </c>
      <c r="BD16" s="29" t="n">
        <v>2.096860703131819</v>
      </c>
      <c r="BE16" s="29" t="n">
        <v>0.6078668464577036</v>
      </c>
      <c r="BF16" s="29" t="n">
        <v>3.721447637980142</v>
      </c>
      <c r="BG16" s="29" t="n">
        <v>0.1118212214180297</v>
      </c>
      <c r="BH16" s="29" t="n">
        <v>0.1230454679975878</v>
      </c>
      <c r="BI16" s="29" t="n">
        <v>1.743273141240998</v>
      </c>
      <c r="BJ16" s="29" t="n">
        <v>0.03728281648813597</v>
      </c>
      <c r="BK16" s="29" t="n">
        <v>69.78815170020809</v>
      </c>
      <c r="BL16" s="29" t="n">
        <v>71.54233409965704</v>
      </c>
      <c r="BM16" s="29" t="n">
        <v>7.006643802061618</v>
      </c>
      <c r="BN16" s="29" t="n">
        <v>33.55701250426686</v>
      </c>
      <c r="BO16" s="29" t="n">
        <v>17.30815250375596</v>
      </c>
      <c r="BP16" s="29" t="n">
        <v>0.3489715396952125</v>
      </c>
      <c r="BQ16" s="29" t="n">
        <v>3.22426396168465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17539.35670702769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165.7786007676939</v>
      </c>
      <c r="D17" s="31" t="n">
        <v>334.9808064798194</v>
      </c>
      <c r="E17" s="31" t="n">
        <v>11.67350902467457</v>
      </c>
      <c r="F17" s="31" t="n">
        <v>265.0634467789287</v>
      </c>
      <c r="G17" s="31" t="n">
        <v>439.4602130152617</v>
      </c>
      <c r="H17" s="31" t="n">
        <v>0.5656773254915639</v>
      </c>
      <c r="I17" s="31" t="n">
        <v>2.70312188375426</v>
      </c>
      <c r="J17" s="31" t="n">
        <v>58.35255358154904</v>
      </c>
      <c r="K17" s="31" t="n">
        <v>10.83383439206886</v>
      </c>
      <c r="L17" s="31" t="n">
        <v>245.503851988945</v>
      </c>
      <c r="M17" s="31" t="n">
        <v>13.36954416898252</v>
      </c>
      <c r="N17" s="31" t="n">
        <v>0.2717188461687148</v>
      </c>
      <c r="O17" s="31" t="n">
        <v>2.299757833840898</v>
      </c>
      <c r="P17" s="31" t="n">
        <v>1.154353160011227</v>
      </c>
      <c r="Q17" s="31" t="n">
        <v>2.390009464774441</v>
      </c>
      <c r="R17" s="31" t="n">
        <v>1.231356614910742</v>
      </c>
      <c r="S17" s="31" t="n">
        <v>15.9892465557701</v>
      </c>
      <c r="T17" s="31" t="n">
        <v>0.5807587010727787</v>
      </c>
      <c r="U17" s="31" t="n">
        <v>27.94707959037429</v>
      </c>
      <c r="V17" s="31" t="n">
        <v>185.8810548001607</v>
      </c>
      <c r="W17" s="31" t="n">
        <v>2764.01336379998</v>
      </c>
      <c r="X17" s="31" t="n">
        <v>85.57464172429891</v>
      </c>
      <c r="Y17" s="31" t="n">
        <v>7.661049013283267</v>
      </c>
      <c r="Z17" s="31" t="n">
        <v>4.670231329540952</v>
      </c>
      <c r="AA17" s="31" t="n">
        <v>10.91311047578593</v>
      </c>
      <c r="AB17" s="31" t="n">
        <v>4611.711984111059</v>
      </c>
      <c r="AC17" s="31" t="n">
        <v>1246.517972924253</v>
      </c>
      <c r="AD17" s="31" t="n">
        <v>287.2181651577718</v>
      </c>
      <c r="AE17" s="31" t="n">
        <v>5.222764240900823</v>
      </c>
      <c r="AF17" s="31" t="n">
        <v>1.235947416793881</v>
      </c>
      <c r="AG17" s="31" t="n">
        <v>37.8924594496612</v>
      </c>
      <c r="AH17" s="31" t="n">
        <v>5.905540845985538</v>
      </c>
      <c r="AI17" s="31" t="n">
        <v>12.3085730467292</v>
      </c>
      <c r="AJ17" s="31" t="n">
        <v>26.06541252016027</v>
      </c>
      <c r="AK17" s="31" t="n">
        <v>2.541519592290545</v>
      </c>
      <c r="AL17" s="31" t="n">
        <v>32.27513319063129</v>
      </c>
      <c r="AM17" s="31" t="n">
        <v>2.545011836970695</v>
      </c>
      <c r="AN17" s="31" t="n">
        <v>297.7655558101287</v>
      </c>
      <c r="AO17" s="31" t="n">
        <v>292.5462878863008</v>
      </c>
      <c r="AP17" s="31" t="n">
        <v>6077.174773025988</v>
      </c>
      <c r="AQ17" s="31" t="n">
        <v>2.331899951200155</v>
      </c>
      <c r="AR17" s="31" t="n">
        <v>80.97968440635159</v>
      </c>
      <c r="AS17" s="31" t="n">
        <v>0.8593872728198887</v>
      </c>
      <c r="AT17" s="31" t="n">
        <v>0.02602566257964431</v>
      </c>
      <c r="AU17" s="31" t="n">
        <v>0.03413046805947155</v>
      </c>
      <c r="AV17" s="31" t="n">
        <v>4.323105362393248</v>
      </c>
      <c r="AW17" s="31" t="n">
        <v>1.75107826193583</v>
      </c>
      <c r="AX17" s="31" t="n">
        <v>8.490692859846755</v>
      </c>
      <c r="AY17" s="31" t="n">
        <v>0.7563993987664099</v>
      </c>
      <c r="AZ17" s="31" t="n">
        <v>0.9120037230085465</v>
      </c>
      <c r="BA17" s="31" t="n">
        <v>5.602092021112512</v>
      </c>
      <c r="BB17" s="31" t="n">
        <v>0.9110550528127264</v>
      </c>
      <c r="BC17" s="31" t="n">
        <v>1.730084967111601</v>
      </c>
      <c r="BD17" s="31" t="n">
        <v>301.1665816989999</v>
      </c>
      <c r="BE17" s="31" t="n">
        <v>1.985302275021236</v>
      </c>
      <c r="BF17" s="31" t="n">
        <v>1.591793544837124</v>
      </c>
      <c r="BG17" s="31" t="n">
        <v>0.5569565551484991</v>
      </c>
      <c r="BH17" s="31" t="n">
        <v>0.3359485418592417</v>
      </c>
      <c r="BI17" s="31" t="n">
        <v>1.824870181252134</v>
      </c>
      <c r="BJ17" s="31" t="n">
        <v>0.1323578610510631</v>
      </c>
      <c r="BK17" s="31" t="n">
        <v>48.09326266003147</v>
      </c>
      <c r="BL17" s="31" t="n">
        <v>15.79726370407935</v>
      </c>
      <c r="BM17" s="31" t="n">
        <v>1.240527264261028</v>
      </c>
      <c r="BN17" s="31" t="n">
        <v>5.754344350778469</v>
      </c>
      <c r="BO17" s="31" t="n">
        <v>4.232655234488313</v>
      </c>
      <c r="BP17" s="31" t="n">
        <v>1.138931191977726</v>
      </c>
      <c r="BQ17" s="31" t="n">
        <v>2.981096774434359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1639.652716202434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8.931231790547947</v>
      </c>
      <c r="D18" s="29" t="n">
        <v>6.545788465019949</v>
      </c>
      <c r="E18" s="29" t="n">
        <v>0.400517940501111</v>
      </c>
      <c r="F18" s="29" t="n">
        <v>0.9910561394997585</v>
      </c>
      <c r="G18" s="29" t="n">
        <v>9772.156098876902</v>
      </c>
      <c r="H18" s="29" t="n">
        <v>138.9816821594943</v>
      </c>
      <c r="I18" s="29" t="n">
        <v>27.37099078154129</v>
      </c>
      <c r="J18" s="29" t="n">
        <v>76.46223143537325</v>
      </c>
      <c r="K18" s="29" t="n">
        <v>0.3480072402362613</v>
      </c>
      <c r="L18" s="29" t="n">
        <v>733.3133145688952</v>
      </c>
      <c r="M18" s="29" t="n">
        <v>147.8966537866192</v>
      </c>
      <c r="N18" s="29" t="n">
        <v>0.09835072902758667</v>
      </c>
      <c r="O18" s="29" t="n">
        <v>131.2378875646228</v>
      </c>
      <c r="P18" s="29" t="n">
        <v>0.8757688858485708</v>
      </c>
      <c r="Q18" s="29" t="n">
        <v>1.186686397279712</v>
      </c>
      <c r="R18" s="29" t="n">
        <v>40.00999900599824</v>
      </c>
      <c r="S18" s="29" t="n">
        <v>670.9225528920334</v>
      </c>
      <c r="T18" s="29" t="n">
        <v>0.1291130788019234</v>
      </c>
      <c r="U18" s="29" t="n">
        <v>94402.30149642384</v>
      </c>
      <c r="V18" s="29" t="n">
        <v>0.4206659194042969</v>
      </c>
      <c r="W18" s="29" t="n">
        <v>1727.606465782701</v>
      </c>
      <c r="X18" s="29" t="n">
        <v>85.65775768347225</v>
      </c>
      <c r="Y18" s="29" t="n">
        <v>29.51560906428605</v>
      </c>
      <c r="Z18" s="29" t="n">
        <v>36.91917416871693</v>
      </c>
      <c r="AA18" s="29" t="n">
        <v>93.60628329207461</v>
      </c>
      <c r="AB18" s="29" t="n">
        <v>593.7639408202461</v>
      </c>
      <c r="AC18" s="29" t="n">
        <v>346.7959579031755</v>
      </c>
      <c r="AD18" s="29" t="n">
        <v>294.2520589209918</v>
      </c>
      <c r="AE18" s="29" t="n">
        <v>355.4205294188815</v>
      </c>
      <c r="AF18" s="29" t="n">
        <v>0.5130162106160161</v>
      </c>
      <c r="AG18" s="29" t="n">
        <v>27.57692885802424</v>
      </c>
      <c r="AH18" s="29" t="n">
        <v>19.22517377008726</v>
      </c>
      <c r="AI18" s="29" t="n">
        <v>72.21092237898972</v>
      </c>
      <c r="AJ18" s="29" t="n">
        <v>136.1797725197469</v>
      </c>
      <c r="AK18" s="29" t="n">
        <v>0.3546307070470275</v>
      </c>
      <c r="AL18" s="29" t="n">
        <v>1.231140850428726</v>
      </c>
      <c r="AM18" s="29" t="n">
        <v>1.770025364352381</v>
      </c>
      <c r="AN18" s="29" t="n">
        <v>12617.69612588484</v>
      </c>
      <c r="AO18" s="29" t="n">
        <v>260.416030095918</v>
      </c>
      <c r="AP18" s="29" t="n">
        <v>489.4019158621476</v>
      </c>
      <c r="AQ18" s="29" t="n">
        <v>8.520387956644356</v>
      </c>
      <c r="AR18" s="29" t="n">
        <v>125.1251124437683</v>
      </c>
      <c r="AS18" s="29" t="n">
        <v>45.86876668502771</v>
      </c>
      <c r="AT18" s="29" t="n">
        <v>0.5780899453032604</v>
      </c>
      <c r="AU18" s="29" t="n">
        <v>0.2926371613247283</v>
      </c>
      <c r="AV18" s="29" t="n">
        <v>26.22708504081976</v>
      </c>
      <c r="AW18" s="29" t="n">
        <v>2.858034981382229</v>
      </c>
      <c r="AX18" s="29" t="n">
        <v>24.97187181896305</v>
      </c>
      <c r="AY18" s="29" t="n">
        <v>0.6171639257912089</v>
      </c>
      <c r="AZ18" s="29" t="n">
        <v>1.069971510419503</v>
      </c>
      <c r="BA18" s="29" t="n">
        <v>61.96708106801617</v>
      </c>
      <c r="BB18" s="29" t="n">
        <v>3.71979684105242</v>
      </c>
      <c r="BC18" s="29" t="n">
        <v>13.87358376494306</v>
      </c>
      <c r="BD18" s="29" t="n">
        <v>4.739362943761363</v>
      </c>
      <c r="BE18" s="29" t="n">
        <v>11.8152253884859</v>
      </c>
      <c r="BF18" s="29" t="n">
        <v>50.33282199488988</v>
      </c>
      <c r="BG18" s="29" t="n">
        <v>2.425832871592141</v>
      </c>
      <c r="BH18" s="29" t="n">
        <v>4.125550053085504</v>
      </c>
      <c r="BI18" s="29" t="n">
        <v>6.679153782938886</v>
      </c>
      <c r="BJ18" s="29" t="n">
        <v>0.6012779174094026</v>
      </c>
      <c r="BK18" s="29" t="n">
        <v>477.5560814517781</v>
      </c>
      <c r="BL18" s="29" t="n">
        <v>2.59603399525889</v>
      </c>
      <c r="BM18" s="29" t="n">
        <v>9.905023249306126</v>
      </c>
      <c r="BN18" s="29" t="n">
        <v>1.262840269626101</v>
      </c>
      <c r="BO18" s="29" t="n">
        <v>4.896550704539841</v>
      </c>
      <c r="BP18" s="29" t="n">
        <v>9.273009199059368</v>
      </c>
      <c r="BQ18" s="29" t="n">
        <v>14.20337161841417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47717.20472777816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0.004258423200520474</v>
      </c>
      <c r="G19" s="31" t="n">
        <v>1.636790509926683</v>
      </c>
      <c r="H19" s="31" t="n">
        <v>725.8045170130929</v>
      </c>
      <c r="I19" s="31" t="n">
        <v>56.89120765487992</v>
      </c>
      <c r="J19" s="31" t="n">
        <v>0.3789996648463222</v>
      </c>
      <c r="K19" s="31" t="n">
        <v>0.04684265520572522</v>
      </c>
      <c r="L19" s="31" t="n">
        <v>0.2129211600260237</v>
      </c>
      <c r="M19" s="31" t="n">
        <v>0.3960333576484041</v>
      </c>
      <c r="N19" s="31" t="n">
        <v>0.08091004080988901</v>
      </c>
      <c r="O19" s="31" t="n">
        <v>0</v>
      </c>
      <c r="P19" s="31" t="n">
        <v>0.07239319440884806</v>
      </c>
      <c r="Q19" s="31" t="n">
        <v>0.1149774264140528</v>
      </c>
      <c r="R19" s="31" t="n">
        <v>0.04684265520572522</v>
      </c>
      <c r="S19" s="31" t="n">
        <v>0.1490448120182166</v>
      </c>
      <c r="T19" s="31" t="n">
        <v>0.004258423200520474</v>
      </c>
      <c r="U19" s="31" t="n">
        <v>0</v>
      </c>
      <c r="V19" s="31" t="n">
        <v>0</v>
      </c>
      <c r="W19" s="31" t="n">
        <v>0.4556512824556908</v>
      </c>
      <c r="X19" s="31" t="n">
        <v>0.1234942728150937</v>
      </c>
      <c r="Y19" s="31" t="n">
        <v>0.340673856041638</v>
      </c>
      <c r="Z19" s="31" t="n">
        <v>1.022021568124914</v>
      </c>
      <c r="AA19" s="31" t="n">
        <v>0.161820081619778</v>
      </c>
      <c r="AB19" s="31" t="n">
        <v>105.1731897721242</v>
      </c>
      <c r="AC19" s="31" t="n">
        <v>9523.866289371492</v>
      </c>
      <c r="AD19" s="31" t="n">
        <v>228.3540684501353</v>
      </c>
      <c r="AE19" s="31" t="n">
        <v>0.04258423200520475</v>
      </c>
      <c r="AF19" s="31" t="n">
        <v>0.2129211600260237</v>
      </c>
      <c r="AG19" s="31" t="n">
        <v>0.638763480078071</v>
      </c>
      <c r="AH19" s="31" t="n">
        <v>0.4982355144608955</v>
      </c>
      <c r="AI19" s="31" t="n">
        <v>1.013504721723873</v>
      </c>
      <c r="AJ19" s="31" t="n">
        <v>0.7892115417602371</v>
      </c>
      <c r="AK19" s="31" t="n">
        <v>0.1447863888176961</v>
      </c>
      <c r="AL19" s="31" t="n">
        <v>0.1107190032135323</v>
      </c>
      <c r="AM19" s="31" t="n">
        <v>0.004258423200520474</v>
      </c>
      <c r="AN19" s="31" t="n">
        <v>0.5152692072629774</v>
      </c>
      <c r="AO19" s="31" t="n">
        <v>0.04684265520572522</v>
      </c>
      <c r="AP19" s="31" t="n">
        <v>0.1107190032135323</v>
      </c>
      <c r="AQ19" s="31" t="n">
        <v>0</v>
      </c>
      <c r="AR19" s="31" t="n">
        <v>0.7026398280858782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0.008516846401040949</v>
      </c>
      <c r="AZ19" s="31" t="n">
        <v>0</v>
      </c>
      <c r="BA19" s="31" t="n">
        <v>0.3832580880468427</v>
      </c>
      <c r="BB19" s="31" t="n">
        <v>0.323640163239556</v>
      </c>
      <c r="BC19" s="31" t="n">
        <v>0.03832580880468427</v>
      </c>
      <c r="BD19" s="31" t="n">
        <v>0</v>
      </c>
      <c r="BE19" s="31" t="n">
        <v>0</v>
      </c>
      <c r="BF19" s="31" t="n">
        <v>7.295718709321292</v>
      </c>
      <c r="BG19" s="31" t="n">
        <v>0</v>
      </c>
      <c r="BH19" s="31" t="n">
        <v>0.1447863888176961</v>
      </c>
      <c r="BI19" s="31" t="n">
        <v>0.0170336928020819</v>
      </c>
      <c r="BJ19" s="31" t="n">
        <v>0</v>
      </c>
      <c r="BK19" s="31" t="n">
        <v>0</v>
      </c>
      <c r="BL19" s="31" t="n">
        <v>0</v>
      </c>
      <c r="BM19" s="31" t="n">
        <v>0.004258423200520474</v>
      </c>
      <c r="BN19" s="31" t="n">
        <v>0</v>
      </c>
      <c r="BO19" s="31" t="n">
        <v>0.05110107840624569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42094.56569999622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4.637229375311414</v>
      </c>
      <c r="D20" s="29" t="n">
        <v>2.224184235812534</v>
      </c>
      <c r="E20" s="29" t="n">
        <v>0.09666609876782796</v>
      </c>
      <c r="F20" s="29" t="n">
        <v>12.70100149737745</v>
      </c>
      <c r="G20" s="29" t="n">
        <v>52.7105280458206</v>
      </c>
      <c r="H20" s="29" t="n">
        <v>8.124315477528599</v>
      </c>
      <c r="I20" s="29" t="n">
        <v>1012.507258840136</v>
      </c>
      <c r="J20" s="29" t="n">
        <v>7.847393946323725</v>
      </c>
      <c r="K20" s="29" t="n">
        <v>0.1883913721203956</v>
      </c>
      <c r="L20" s="29" t="n">
        <v>19.72305487113967</v>
      </c>
      <c r="M20" s="29" t="n">
        <v>0.9803627736975783</v>
      </c>
      <c r="N20" s="29" t="n">
        <v>0.02730988713535725</v>
      </c>
      <c r="O20" s="29" t="n">
        <v>0.9678363412063712</v>
      </c>
      <c r="P20" s="29" t="n">
        <v>0.005362458845099856</v>
      </c>
      <c r="Q20" s="29" t="n">
        <v>0.752214794227605</v>
      </c>
      <c r="R20" s="29" t="n">
        <v>2.47265403231477</v>
      </c>
      <c r="S20" s="29" t="n">
        <v>6.536332721072743</v>
      </c>
      <c r="T20" s="29" t="n">
        <v>3.362466275240807</v>
      </c>
      <c r="U20" s="29" t="n">
        <v>1.875856468558087</v>
      </c>
      <c r="V20" s="29" t="n">
        <v>1.507670029418613</v>
      </c>
      <c r="W20" s="29" t="n">
        <v>30.6856247912941</v>
      </c>
      <c r="X20" s="29" t="n">
        <v>19.86259535226054</v>
      </c>
      <c r="Y20" s="29" t="n">
        <v>6.458664794135943</v>
      </c>
      <c r="Z20" s="29" t="n">
        <v>5.611481017118704</v>
      </c>
      <c r="AA20" s="29" t="n">
        <v>7.220308738516319</v>
      </c>
      <c r="AB20" s="29" t="n">
        <v>54.82471238368263</v>
      </c>
      <c r="AC20" s="29" t="n">
        <v>1419.367798028221</v>
      </c>
      <c r="AD20" s="29" t="n">
        <v>6608.680032561334</v>
      </c>
      <c r="AE20" s="29" t="n">
        <v>20.52215904426025</v>
      </c>
      <c r="AF20" s="29" t="n">
        <v>1.294429145955607</v>
      </c>
      <c r="AG20" s="29" t="n">
        <v>51.55348995302168</v>
      </c>
      <c r="AH20" s="29" t="n">
        <v>19.01344218988449</v>
      </c>
      <c r="AI20" s="29" t="n">
        <v>4.63982417680094</v>
      </c>
      <c r="AJ20" s="29" t="n">
        <v>26.88785068637737</v>
      </c>
      <c r="AK20" s="29" t="n">
        <v>8.422135600731552</v>
      </c>
      <c r="AL20" s="29" t="n">
        <v>18.79583918522378</v>
      </c>
      <c r="AM20" s="29" t="n">
        <v>9.082678117108035</v>
      </c>
      <c r="AN20" s="29" t="n">
        <v>0.4370552875015836</v>
      </c>
      <c r="AO20" s="29" t="n">
        <v>3.559339801900869</v>
      </c>
      <c r="AP20" s="29" t="n">
        <v>52.11765714203947</v>
      </c>
      <c r="AQ20" s="29" t="n">
        <v>0.3954853258617242</v>
      </c>
      <c r="AR20" s="29" t="n">
        <v>10.63486324805918</v>
      </c>
      <c r="AS20" s="29" t="n">
        <v>0.1397808952002193</v>
      </c>
      <c r="AT20" s="29" t="n">
        <v>0.08643265685335191</v>
      </c>
      <c r="AU20" s="29" t="n">
        <v>0</v>
      </c>
      <c r="AV20" s="29" t="n">
        <v>0.3590395605142156</v>
      </c>
      <c r="AW20" s="29" t="n">
        <v>0.02188765915891927</v>
      </c>
      <c r="AX20" s="29" t="n">
        <v>0.05453824287697494</v>
      </c>
      <c r="AY20" s="29" t="n">
        <v>0.0006308775111882183</v>
      </c>
      <c r="AZ20" s="29" t="n">
        <v>0</v>
      </c>
      <c r="BA20" s="29" t="n">
        <v>0.07232781102258101</v>
      </c>
      <c r="BB20" s="29" t="n">
        <v>0.02752610388833049</v>
      </c>
      <c r="BC20" s="29" t="n">
        <v>0.190601870347739</v>
      </c>
      <c r="BD20" s="29" t="n">
        <v>1.561157955642734</v>
      </c>
      <c r="BE20" s="29" t="n">
        <v>0</v>
      </c>
      <c r="BF20" s="29" t="n">
        <v>0.918185227835691</v>
      </c>
      <c r="BG20" s="29" t="n">
        <v>0.07373152188443131</v>
      </c>
      <c r="BH20" s="29" t="n">
        <v>0.01072491769019971</v>
      </c>
      <c r="BI20" s="29" t="n">
        <v>1.198611388619984</v>
      </c>
      <c r="BJ20" s="29" t="n">
        <v>0.003552758463178196</v>
      </c>
      <c r="BK20" s="29" t="n">
        <v>0.5239788153702972</v>
      </c>
      <c r="BL20" s="29" t="n">
        <v>1.55866594861865</v>
      </c>
      <c r="BM20" s="29" t="n">
        <v>0.0003154387555941092</v>
      </c>
      <c r="BN20" s="29" t="n">
        <v>4.274676757528977</v>
      </c>
      <c r="BO20" s="29" t="n">
        <v>0.5712146935600276</v>
      </c>
      <c r="BP20" s="29" t="n">
        <v>0.04027875560432034</v>
      </c>
      <c r="BQ20" s="29" t="n">
        <v>0.3444467189283189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6571.65213731078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59.55767735414158</v>
      </c>
      <c r="D21" s="31" t="n">
        <v>1958.094211746583</v>
      </c>
      <c r="E21" s="31" t="n">
        <v>49.36562074966444</v>
      </c>
      <c r="F21" s="31" t="n">
        <v>3.309158631068233</v>
      </c>
      <c r="G21" s="31" t="n">
        <v>2.040543705772328</v>
      </c>
      <c r="H21" s="31" t="n">
        <v>2.530966283281613</v>
      </c>
      <c r="I21" s="31" t="n">
        <v>1.204064680528476</v>
      </c>
      <c r="J21" s="31" t="n">
        <v>18212.4316644986</v>
      </c>
      <c r="K21" s="31" t="n">
        <v>6.05614738226229</v>
      </c>
      <c r="L21" s="31" t="n">
        <v>1930.194771564228</v>
      </c>
      <c r="M21" s="31" t="n">
        <v>35.48107854966886</v>
      </c>
      <c r="N21" s="31" t="n">
        <v>3.062143021366738</v>
      </c>
      <c r="O21" s="31" t="n">
        <v>9.798086690198414</v>
      </c>
      <c r="P21" s="31" t="n">
        <v>12.43048736254907</v>
      </c>
      <c r="Q21" s="31" t="n">
        <v>2434.720735500237</v>
      </c>
      <c r="R21" s="31" t="n">
        <v>4.987638621441673</v>
      </c>
      <c r="S21" s="31" t="n">
        <v>33.58228635690668</v>
      </c>
      <c r="T21" s="31" t="n">
        <v>1.746385211733287</v>
      </c>
      <c r="U21" s="31" t="n">
        <v>8.831225055059893</v>
      </c>
      <c r="V21" s="31" t="n">
        <v>748.3050726430364</v>
      </c>
      <c r="W21" s="31" t="n">
        <v>14.47995473650475</v>
      </c>
      <c r="X21" s="31" t="n">
        <v>34.58307308594942</v>
      </c>
      <c r="Y21" s="31" t="n">
        <v>1460.002154379557</v>
      </c>
      <c r="Z21" s="31" t="n">
        <v>26.34204797521466</v>
      </c>
      <c r="AA21" s="31" t="n">
        <v>32.31590492551457</v>
      </c>
      <c r="AB21" s="31" t="n">
        <v>20.42049857960466</v>
      </c>
      <c r="AC21" s="31" t="n">
        <v>24.29926136146874</v>
      </c>
      <c r="AD21" s="31" t="n">
        <v>7.479547864398016</v>
      </c>
      <c r="AE21" s="31" t="n">
        <v>69.61695259768273</v>
      </c>
      <c r="AF21" s="31" t="n">
        <v>14.00555699330268</v>
      </c>
      <c r="AG21" s="31" t="n">
        <v>19.77029178158953</v>
      </c>
      <c r="AH21" s="31" t="n">
        <v>44.11186328951185</v>
      </c>
      <c r="AI21" s="31" t="n">
        <v>5.579542200697612</v>
      </c>
      <c r="AJ21" s="31" t="n">
        <v>2.280805321074004</v>
      </c>
      <c r="AK21" s="31" t="n">
        <v>3.982942081135169</v>
      </c>
      <c r="AL21" s="31" t="n">
        <v>13.33841365767944</v>
      </c>
      <c r="AM21" s="31" t="n">
        <v>2.970500181372992</v>
      </c>
      <c r="AN21" s="31" t="n">
        <v>1.060939419149101</v>
      </c>
      <c r="AO21" s="31" t="n">
        <v>0.6562573939304687</v>
      </c>
      <c r="AP21" s="31" t="n">
        <v>6.662328072650438</v>
      </c>
      <c r="AQ21" s="31" t="n">
        <v>1.64438219324884</v>
      </c>
      <c r="AR21" s="31" t="n">
        <v>465.0543705591588</v>
      </c>
      <c r="AS21" s="31" t="n">
        <v>2.447996649354634</v>
      </c>
      <c r="AT21" s="31" t="n">
        <v>0.04565361400370392</v>
      </c>
      <c r="AU21" s="31" t="n">
        <v>0.5193185664932376</v>
      </c>
      <c r="AV21" s="31" t="n">
        <v>0.8384254411509316</v>
      </c>
      <c r="AW21" s="31" t="n">
        <v>414.4580575046091</v>
      </c>
      <c r="AX21" s="31" t="n">
        <v>13872.88932145635</v>
      </c>
      <c r="AY21" s="31" t="n">
        <v>8.020298792033321</v>
      </c>
      <c r="AZ21" s="31" t="n">
        <v>9.282729125297884</v>
      </c>
      <c r="BA21" s="31" t="n">
        <v>58.17456199313322</v>
      </c>
      <c r="BB21" s="31" t="n">
        <v>6.236690592471284</v>
      </c>
      <c r="BC21" s="31" t="n">
        <v>2.647668598412644</v>
      </c>
      <c r="BD21" s="31" t="n">
        <v>0.4617920927917565</v>
      </c>
      <c r="BE21" s="31" t="n">
        <v>8.34420828626885</v>
      </c>
      <c r="BF21" s="31" t="n">
        <v>5.323703587016936</v>
      </c>
      <c r="BG21" s="31" t="n">
        <v>4.31096193365673</v>
      </c>
      <c r="BH21" s="31" t="n">
        <v>0.4934620831056027</v>
      </c>
      <c r="BI21" s="31" t="n">
        <v>6.10099772024218</v>
      </c>
      <c r="BJ21" s="31" t="n">
        <v>0.7881023179419496</v>
      </c>
      <c r="BK21" s="31" t="n">
        <v>1484.813319182692</v>
      </c>
      <c r="BL21" s="31" t="n">
        <v>1346.959806430815</v>
      </c>
      <c r="BM21" s="31" t="n">
        <v>188.3497403548037</v>
      </c>
      <c r="BN21" s="31" t="n">
        <v>665.6082349914433</v>
      </c>
      <c r="BO21" s="31" t="n">
        <v>638.1577580813984</v>
      </c>
      <c r="BP21" s="31" t="n">
        <v>4.623468027894337</v>
      </c>
      <c r="BQ21" s="31" t="n">
        <v>224.8100316003218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208454.699449422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48.71950918235878</v>
      </c>
      <c r="D22" s="29" t="n">
        <v>103.7766032457517</v>
      </c>
      <c r="E22" s="29" t="n">
        <v>2.168931436260461</v>
      </c>
      <c r="F22" s="29" t="n">
        <v>1.639935852809627</v>
      </c>
      <c r="G22" s="29" t="n">
        <v>204.2100329664957</v>
      </c>
      <c r="H22" s="29" t="n">
        <v>7.824064021565247</v>
      </c>
      <c r="I22" s="29" t="n">
        <v>2.710443627849934</v>
      </c>
      <c r="J22" s="29" t="n">
        <v>403.7994927018842</v>
      </c>
      <c r="K22" s="29" t="n">
        <v>1098.052727008693</v>
      </c>
      <c r="L22" s="29" t="n">
        <v>4072.506108026885</v>
      </c>
      <c r="M22" s="29" t="n">
        <v>892.0903412427845</v>
      </c>
      <c r="N22" s="29" t="n">
        <v>1.682679720075999</v>
      </c>
      <c r="O22" s="29" t="n">
        <v>5.928343767856882</v>
      </c>
      <c r="P22" s="29" t="n">
        <v>7.132657910935933</v>
      </c>
      <c r="Q22" s="29" t="n">
        <v>9.092840093208524</v>
      </c>
      <c r="R22" s="29" t="n">
        <v>5.272068446210763</v>
      </c>
      <c r="S22" s="29" t="n">
        <v>19.45659939820109</v>
      </c>
      <c r="T22" s="29" t="n">
        <v>0.6538605687825145</v>
      </c>
      <c r="U22" s="29" t="n">
        <v>6242.62413258468</v>
      </c>
      <c r="V22" s="29" t="n">
        <v>684.6900552492777</v>
      </c>
      <c r="W22" s="29" t="n">
        <v>111.0983397934694</v>
      </c>
      <c r="X22" s="29" t="n">
        <v>474.1097519466348</v>
      </c>
      <c r="Y22" s="29" t="n">
        <v>412.8811147575101</v>
      </c>
      <c r="Z22" s="29" t="n">
        <v>275.3006173098109</v>
      </c>
      <c r="AA22" s="29" t="n">
        <v>15.52906749448634</v>
      </c>
      <c r="AB22" s="29" t="n">
        <v>10.76202138280206</v>
      </c>
      <c r="AC22" s="29" t="n">
        <v>13.51191861228645</v>
      </c>
      <c r="AD22" s="29" t="n">
        <v>4.097508670222874</v>
      </c>
      <c r="AE22" s="29" t="n">
        <v>25.36648680830294</v>
      </c>
      <c r="AF22" s="29" t="n">
        <v>7.789866296052636</v>
      </c>
      <c r="AG22" s="29" t="n">
        <v>12.68683346178701</v>
      </c>
      <c r="AH22" s="29" t="n">
        <v>77.39291471788383</v>
      </c>
      <c r="AI22" s="29" t="n">
        <v>9.166982793922433</v>
      </c>
      <c r="AJ22" s="29" t="n">
        <v>0.6788122856413754</v>
      </c>
      <c r="AK22" s="29" t="n">
        <v>5.180489222346182</v>
      </c>
      <c r="AL22" s="29" t="n">
        <v>7.12971283918437</v>
      </c>
      <c r="AM22" s="29" t="n">
        <v>28.1707930236653</v>
      </c>
      <c r="AN22" s="29" t="n">
        <v>2.4182870128268</v>
      </c>
      <c r="AO22" s="29" t="n">
        <v>1.404963443364715</v>
      </c>
      <c r="AP22" s="29" t="n">
        <v>139.8181381821238</v>
      </c>
      <c r="AQ22" s="29" t="n">
        <v>54.59391608389122</v>
      </c>
      <c r="AR22" s="29" t="n">
        <v>185.687875337027</v>
      </c>
      <c r="AS22" s="29" t="n">
        <v>236.9582524074514</v>
      </c>
      <c r="AT22" s="29" t="n">
        <v>0.5195347684884953</v>
      </c>
      <c r="AU22" s="29" t="n">
        <v>2.675523281977104</v>
      </c>
      <c r="AV22" s="29" t="n">
        <v>17.97200231065729</v>
      </c>
      <c r="AW22" s="29" t="n">
        <v>2.148973547093183</v>
      </c>
      <c r="AX22" s="29" t="n">
        <v>753.5296611940644</v>
      </c>
      <c r="AY22" s="29" t="n">
        <v>4.594027274769087</v>
      </c>
      <c r="AZ22" s="29" t="n">
        <v>5.574521676666842</v>
      </c>
      <c r="BA22" s="29" t="n">
        <v>36.61144254405716</v>
      </c>
      <c r="BB22" s="29" t="n">
        <v>6.627705571845701</v>
      </c>
      <c r="BC22" s="29" t="n">
        <v>20.27018200211936</v>
      </c>
      <c r="BD22" s="29" t="n">
        <v>0.8500604927610524</v>
      </c>
      <c r="BE22" s="29" t="n">
        <v>22.18409251466059</v>
      </c>
      <c r="BF22" s="29" t="n">
        <v>32.69539066140491</v>
      </c>
      <c r="BG22" s="29" t="n">
        <v>10.63330208111436</v>
      </c>
      <c r="BH22" s="29" t="n">
        <v>14.06093215053029</v>
      </c>
      <c r="BI22" s="29" t="n">
        <v>20.08699702534971</v>
      </c>
      <c r="BJ22" s="29" t="n">
        <v>23.99547574347477</v>
      </c>
      <c r="BK22" s="29" t="n">
        <v>237.5430978386423</v>
      </c>
      <c r="BL22" s="29" t="n">
        <v>95.80724709475359</v>
      </c>
      <c r="BM22" s="29" t="n">
        <v>8.214550460885622</v>
      </c>
      <c r="BN22" s="29" t="n">
        <v>39.42157917983049</v>
      </c>
      <c r="BO22" s="29" t="n">
        <v>40.48883419165558</v>
      </c>
      <c r="BP22" s="29" t="n">
        <v>1.848034975637216</v>
      </c>
      <c r="BQ22" s="29" t="n">
        <v>47.23315936302673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30694.53123907988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1308.444696125928</v>
      </c>
      <c r="D23" s="31" t="n">
        <v>10387.2342927941</v>
      </c>
      <c r="E23" s="31" t="n">
        <v>768.9999221783751</v>
      </c>
      <c r="F23" s="31" t="n">
        <v>126.0803353867595</v>
      </c>
      <c r="G23" s="31" t="n">
        <v>98.01912564673694</v>
      </c>
      <c r="H23" s="31" t="n">
        <v>23.65338742121155</v>
      </c>
      <c r="I23" s="31" t="n">
        <v>14.9084910474402</v>
      </c>
      <c r="J23" s="31" t="n">
        <v>19155.53208737892</v>
      </c>
      <c r="K23" s="31" t="n">
        <v>47.71895048435567</v>
      </c>
      <c r="L23" s="31" t="n">
        <v>22468.2230210079</v>
      </c>
      <c r="M23" s="31" t="n">
        <v>1825.086247934373</v>
      </c>
      <c r="N23" s="31" t="n">
        <v>15.96922651593219</v>
      </c>
      <c r="O23" s="31" t="n">
        <v>76.82444185340738</v>
      </c>
      <c r="P23" s="31" t="n">
        <v>69.26366229561837</v>
      </c>
      <c r="Q23" s="31" t="n">
        <v>117.1353925795085</v>
      </c>
      <c r="R23" s="31" t="n">
        <v>46.72165504382495</v>
      </c>
      <c r="S23" s="31" t="n">
        <v>624.9794826629296</v>
      </c>
      <c r="T23" s="31" t="n">
        <v>19.15294657450534</v>
      </c>
      <c r="U23" s="31" t="n">
        <v>1439.894868285274</v>
      </c>
      <c r="V23" s="31" t="n">
        <v>1751.449905663228</v>
      </c>
      <c r="W23" s="31" t="n">
        <v>442.8187540574448</v>
      </c>
      <c r="X23" s="31" t="n">
        <v>782.0157907080825</v>
      </c>
      <c r="Y23" s="31" t="n">
        <v>892.5730303108808</v>
      </c>
      <c r="Z23" s="31" t="n">
        <v>272.6545466579948</v>
      </c>
      <c r="AA23" s="31" t="n">
        <v>230.9167964045145</v>
      </c>
      <c r="AB23" s="31" t="n">
        <v>133.666329503791</v>
      </c>
      <c r="AC23" s="31" t="n">
        <v>154.132815604694</v>
      </c>
      <c r="AD23" s="31" t="n">
        <v>44.0731052540191</v>
      </c>
      <c r="AE23" s="31" t="n">
        <v>136.3706534546364</v>
      </c>
      <c r="AF23" s="31" t="n">
        <v>71.81688339549463</v>
      </c>
      <c r="AG23" s="31" t="n">
        <v>104.7897113174258</v>
      </c>
      <c r="AH23" s="31" t="n">
        <v>225.6731336872678</v>
      </c>
      <c r="AI23" s="31" t="n">
        <v>14.16054945451355</v>
      </c>
      <c r="AJ23" s="31" t="n">
        <v>5.674293911067193</v>
      </c>
      <c r="AK23" s="31" t="n">
        <v>19.76927904670878</v>
      </c>
      <c r="AL23" s="31" t="n">
        <v>89.82029802531963</v>
      </c>
      <c r="AM23" s="31" t="n">
        <v>20.48420798453193</v>
      </c>
      <c r="AN23" s="31" t="n">
        <v>7.180314477321144</v>
      </c>
      <c r="AO23" s="31" t="n">
        <v>15.93117969087081</v>
      </c>
      <c r="AP23" s="31" t="n">
        <v>80.83517314195295</v>
      </c>
      <c r="AQ23" s="31" t="n">
        <v>84.77015325311149</v>
      </c>
      <c r="AR23" s="31" t="n">
        <v>3306.993526988162</v>
      </c>
      <c r="AS23" s="31" t="n">
        <v>61.59739840495192</v>
      </c>
      <c r="AT23" s="31" t="n">
        <v>0.3401841405857403</v>
      </c>
      <c r="AU23" s="31" t="n">
        <v>25.76824671902537</v>
      </c>
      <c r="AV23" s="31" t="n">
        <v>23.51033094048505</v>
      </c>
      <c r="AW23" s="31" t="n">
        <v>199.0776362064927</v>
      </c>
      <c r="AX23" s="31" t="n">
        <v>9115.882785039956</v>
      </c>
      <c r="AY23" s="31" t="n">
        <v>43.12552952858133</v>
      </c>
      <c r="AZ23" s="31" t="n">
        <v>50.39626772755611</v>
      </c>
      <c r="BA23" s="31" t="n">
        <v>321.9367052116246</v>
      </c>
      <c r="BB23" s="31" t="n">
        <v>36.00692672320193</v>
      </c>
      <c r="BC23" s="31" t="n">
        <v>166.2659324273084</v>
      </c>
      <c r="BD23" s="31" t="n">
        <v>19.87368024660802</v>
      </c>
      <c r="BE23" s="31" t="n">
        <v>77.70209527377786</v>
      </c>
      <c r="BF23" s="31" t="n">
        <v>23.18984627091892</v>
      </c>
      <c r="BG23" s="31" t="n">
        <v>45.50908195203716</v>
      </c>
      <c r="BH23" s="31" t="n">
        <v>7.290463553871413</v>
      </c>
      <c r="BI23" s="31" t="n">
        <v>46.30930856071122</v>
      </c>
      <c r="BJ23" s="31" t="n">
        <v>9.911086636594646</v>
      </c>
      <c r="BK23" s="31" t="n">
        <v>987.5442786674641</v>
      </c>
      <c r="BL23" s="31" t="n">
        <v>1113.380288976017</v>
      </c>
      <c r="BM23" s="31" t="n">
        <v>131.1951178719674</v>
      </c>
      <c r="BN23" s="31" t="n">
        <v>932.4758766114199</v>
      </c>
      <c r="BO23" s="31" t="n">
        <v>460.0385828173829</v>
      </c>
      <c r="BP23" s="31" t="n">
        <v>42.48289782323571</v>
      </c>
      <c r="BQ23" s="31" t="n">
        <v>683.021069595843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171080.6617928193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1.103164085554377</v>
      </c>
      <c r="D24" s="29" t="n">
        <v>1.97920809686458</v>
      </c>
      <c r="E24" s="29" t="n">
        <v>0.1252277746586546</v>
      </c>
      <c r="F24" s="29" t="n">
        <v>2.581232926119587</v>
      </c>
      <c r="G24" s="29" t="n">
        <v>9.364719899847067</v>
      </c>
      <c r="H24" s="29" t="n">
        <v>6.063992199400844</v>
      </c>
      <c r="I24" s="29" t="n">
        <v>2.857018988769191</v>
      </c>
      <c r="J24" s="29" t="n">
        <v>517.6161202152141</v>
      </c>
      <c r="K24" s="29" t="n">
        <v>8.415126040693643</v>
      </c>
      <c r="L24" s="29" t="n">
        <v>175.0060427456329</v>
      </c>
      <c r="M24" s="29" t="n">
        <v>7309.658330827147</v>
      </c>
      <c r="N24" s="29" t="n">
        <v>4.798112364910152</v>
      </c>
      <c r="O24" s="29" t="n">
        <v>15.81256900062341</v>
      </c>
      <c r="P24" s="29" t="n">
        <v>20.15753446399094</v>
      </c>
      <c r="Q24" s="29" t="n">
        <v>25.25659594171577</v>
      </c>
      <c r="R24" s="29" t="n">
        <v>8.032613022459925</v>
      </c>
      <c r="S24" s="29" t="n">
        <v>48.52568576144064</v>
      </c>
      <c r="T24" s="29" t="n">
        <v>2.060158796335847</v>
      </c>
      <c r="U24" s="29" t="n">
        <v>57.63964345433197</v>
      </c>
      <c r="V24" s="29" t="n">
        <v>13.02088930042375</v>
      </c>
      <c r="W24" s="29" t="n">
        <v>22.34419913997218</v>
      </c>
      <c r="X24" s="29" t="n">
        <v>35.02081596239452</v>
      </c>
      <c r="Y24" s="29" t="n">
        <v>7.485031849038554</v>
      </c>
      <c r="Z24" s="29" t="n">
        <v>39.06377029718668</v>
      </c>
      <c r="AA24" s="29" t="n">
        <v>42.29335705950685</v>
      </c>
      <c r="AB24" s="29" t="n">
        <v>31.22898921988463</v>
      </c>
      <c r="AC24" s="29" t="n">
        <v>41.7116195075638</v>
      </c>
      <c r="AD24" s="29" t="n">
        <v>11.39037674784162</v>
      </c>
      <c r="AE24" s="29" t="n">
        <v>47.57448535733181</v>
      </c>
      <c r="AF24" s="29" t="n">
        <v>23.06934104751113</v>
      </c>
      <c r="AG24" s="29" t="n">
        <v>33.35311276162869</v>
      </c>
      <c r="AH24" s="29" t="n">
        <v>95.70463911963597</v>
      </c>
      <c r="AI24" s="29" t="n">
        <v>9.002650809136188</v>
      </c>
      <c r="AJ24" s="29" t="n">
        <v>3.738040555762876</v>
      </c>
      <c r="AK24" s="29" t="n">
        <v>11.1686418771212</v>
      </c>
      <c r="AL24" s="29" t="n">
        <v>20.30980934343137</v>
      </c>
      <c r="AM24" s="29" t="n">
        <v>18.06284464803948</v>
      </c>
      <c r="AN24" s="29" t="n">
        <v>5.842175898857167</v>
      </c>
      <c r="AO24" s="29" t="n">
        <v>1.630971424328235</v>
      </c>
      <c r="AP24" s="29" t="n">
        <v>49.35626179755741</v>
      </c>
      <c r="AQ24" s="29" t="n">
        <v>5.547157849808497</v>
      </c>
      <c r="AR24" s="29" t="n">
        <v>208.9582040198136</v>
      </c>
      <c r="AS24" s="29" t="n">
        <v>7.387010358283317</v>
      </c>
      <c r="AT24" s="29" t="n">
        <v>0.2937175777753919</v>
      </c>
      <c r="AU24" s="29" t="n">
        <v>7.740584287057098</v>
      </c>
      <c r="AV24" s="29" t="n">
        <v>3.090146209114723</v>
      </c>
      <c r="AW24" s="29" t="n">
        <v>467.2268612487019</v>
      </c>
      <c r="AX24" s="29" t="n">
        <v>23315.5822120404</v>
      </c>
      <c r="AY24" s="29" t="n">
        <v>13.04659825671208</v>
      </c>
      <c r="AZ24" s="29" t="n">
        <v>15.21622459678806</v>
      </c>
      <c r="BA24" s="29" t="n">
        <v>94.11946699499913</v>
      </c>
      <c r="BB24" s="29" t="n">
        <v>10.59097995917268</v>
      </c>
      <c r="BC24" s="29" t="n">
        <v>119.465884435112</v>
      </c>
      <c r="BD24" s="29" t="n">
        <v>2.686249450055338</v>
      </c>
      <c r="BE24" s="29" t="n">
        <v>17.52479339228748</v>
      </c>
      <c r="BF24" s="29" t="n">
        <v>2.869067922737734</v>
      </c>
      <c r="BG24" s="29" t="n">
        <v>5.644409570115864</v>
      </c>
      <c r="BH24" s="29" t="n">
        <v>1.258480480172113</v>
      </c>
      <c r="BI24" s="29" t="n">
        <v>14.13492678211816</v>
      </c>
      <c r="BJ24" s="29" t="n">
        <v>1.700794921111875</v>
      </c>
      <c r="BK24" s="29" t="n">
        <v>66.95385483088171</v>
      </c>
      <c r="BL24" s="29" t="n">
        <v>68.75954704603872</v>
      </c>
      <c r="BM24" s="29" t="n">
        <v>11.91828220272756</v>
      </c>
      <c r="BN24" s="29" t="n">
        <v>34.7765130728495</v>
      </c>
      <c r="BO24" s="29" t="n">
        <v>147.5638110293882</v>
      </c>
      <c r="BP24" s="29" t="n">
        <v>26.83337963120877</v>
      </c>
      <c r="BQ24" s="29" t="n">
        <v>14.9250810691701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42978.42911710204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0.09389831530872716</v>
      </c>
      <c r="D25" s="31" t="n">
        <v>0.03604816943650378</v>
      </c>
      <c r="E25" s="31" t="n">
        <v>0.004640780564819348</v>
      </c>
      <c r="F25" s="31" t="n">
        <v>0.05178493800804654</v>
      </c>
      <c r="G25" s="31" t="n">
        <v>0.3664876922345128</v>
      </c>
      <c r="H25" s="31" t="n">
        <v>0.4658384709080844</v>
      </c>
      <c r="I25" s="31" t="n">
        <v>0.1424532395967867</v>
      </c>
      <c r="J25" s="31" t="n">
        <v>9.349291079887173</v>
      </c>
      <c r="K25" s="31" t="n">
        <v>0.4145365873695979</v>
      </c>
      <c r="L25" s="31" t="n">
        <v>6.199534451963857</v>
      </c>
      <c r="M25" s="31" t="n">
        <v>0.4193767117715959</v>
      </c>
      <c r="N25" s="31" t="n">
        <v>538.4534579336897</v>
      </c>
      <c r="O25" s="31" t="n">
        <v>0.8963732665680417</v>
      </c>
      <c r="P25" s="31" t="n">
        <v>1.088859963585557</v>
      </c>
      <c r="Q25" s="31" t="n">
        <v>1.424390245146225</v>
      </c>
      <c r="R25" s="31" t="n">
        <v>0.5065316293245675</v>
      </c>
      <c r="S25" s="31" t="n">
        <v>3.9279829520346</v>
      </c>
      <c r="T25" s="31" t="n">
        <v>0.3282366309911378</v>
      </c>
      <c r="U25" s="31" t="n">
        <v>0.7086352458136612</v>
      </c>
      <c r="V25" s="31" t="n">
        <v>0.608876185879602</v>
      </c>
      <c r="W25" s="31" t="n">
        <v>1.187589799913438</v>
      </c>
      <c r="X25" s="31" t="n">
        <v>1.613607506194999</v>
      </c>
      <c r="Y25" s="31" t="n">
        <v>0.5072636787254442</v>
      </c>
      <c r="Z25" s="31" t="n">
        <v>2.313748461250043</v>
      </c>
      <c r="AA25" s="31" t="n">
        <v>2.496261956262158</v>
      </c>
      <c r="AB25" s="31" t="n">
        <v>1.941530149947935</v>
      </c>
      <c r="AC25" s="31" t="n">
        <v>1.953386878070745</v>
      </c>
      <c r="AD25" s="31" t="n">
        <v>0.7033981215887728</v>
      </c>
      <c r="AE25" s="31" t="n">
        <v>2.019123922051933</v>
      </c>
      <c r="AF25" s="31" t="n">
        <v>1.332485225749228</v>
      </c>
      <c r="AG25" s="31" t="n">
        <v>1.794810172280822</v>
      </c>
      <c r="AH25" s="31" t="n">
        <v>5.113055826173504</v>
      </c>
      <c r="AI25" s="31" t="n">
        <v>0.6151737220568287</v>
      </c>
      <c r="AJ25" s="31" t="n">
        <v>0.3204556892050305</v>
      </c>
      <c r="AK25" s="31" t="n">
        <v>0.4217943094315977</v>
      </c>
      <c r="AL25" s="31" t="n">
        <v>1.114265911426064</v>
      </c>
      <c r="AM25" s="31" t="n">
        <v>0.9339004769679848</v>
      </c>
      <c r="AN25" s="31" t="n">
        <v>0.2235500856858076</v>
      </c>
      <c r="AO25" s="31" t="n">
        <v>0.05622931788823188</v>
      </c>
      <c r="AP25" s="31" t="n">
        <v>0.6378705158058685</v>
      </c>
      <c r="AQ25" s="31" t="n">
        <v>0.282512133991913</v>
      </c>
      <c r="AR25" s="31" t="n">
        <v>10.35870547014264</v>
      </c>
      <c r="AS25" s="31" t="n">
        <v>0.07368385101773534</v>
      </c>
      <c r="AT25" s="31" t="n">
        <v>0.0273880726847505</v>
      </c>
      <c r="AU25" s="31" t="n">
        <v>0.008208009321841733</v>
      </c>
      <c r="AV25" s="31" t="n">
        <v>0.1655923227829179</v>
      </c>
      <c r="AW25" s="31" t="n">
        <v>0.07790591819443855</v>
      </c>
      <c r="AX25" s="31" t="n">
        <v>0.3823464147386381</v>
      </c>
      <c r="AY25" s="31" t="n">
        <v>0.8709312648815188</v>
      </c>
      <c r="AZ25" s="31" t="n">
        <v>0.779996078344137</v>
      </c>
      <c r="BA25" s="31" t="n">
        <v>4.832087780941813</v>
      </c>
      <c r="BB25" s="31" t="n">
        <v>0.6747224001584237</v>
      </c>
      <c r="BC25" s="31" t="n">
        <v>0.5923200396297086</v>
      </c>
      <c r="BD25" s="31" t="n">
        <v>0.1193193403723264</v>
      </c>
      <c r="BE25" s="31" t="n">
        <v>1.036667589429163</v>
      </c>
      <c r="BF25" s="31" t="n">
        <v>1.101365440594929</v>
      </c>
      <c r="BG25" s="31" t="n">
        <v>0.3513046922871802</v>
      </c>
      <c r="BH25" s="31" t="n">
        <v>0.1656056047717669</v>
      </c>
      <c r="BI25" s="31" t="n">
        <v>0.9775049834546097</v>
      </c>
      <c r="BJ25" s="31" t="n">
        <v>0.07453167157914183</v>
      </c>
      <c r="BK25" s="31" t="n">
        <v>0.2555609803240785</v>
      </c>
      <c r="BL25" s="31" t="n">
        <v>0.1709548606151794</v>
      </c>
      <c r="BM25" s="31" t="n">
        <v>0.2453062623555892</v>
      </c>
      <c r="BN25" s="31" t="n">
        <v>0.05060917764425097</v>
      </c>
      <c r="BO25" s="31" t="n">
        <v>0.2325859535967446</v>
      </c>
      <c r="BP25" s="31" t="n">
        <v>0.1732386806975051</v>
      </c>
      <c r="BQ25" s="31" t="n">
        <v>0.222311753887892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14466.89326643179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449.4117546429547</v>
      </c>
      <c r="D26" s="29" t="n">
        <v>9.615299800397601</v>
      </c>
      <c r="E26" s="29" t="n">
        <v>1.180754640461878</v>
      </c>
      <c r="F26" s="29" t="n">
        <v>140.7677970733063</v>
      </c>
      <c r="G26" s="29" t="n">
        <v>88.81656886920346</v>
      </c>
      <c r="H26" s="29" t="n">
        <v>3.34645364069407</v>
      </c>
      <c r="I26" s="29" t="n">
        <v>5.922688392910339</v>
      </c>
      <c r="J26" s="29" t="n">
        <v>43.71341154690557</v>
      </c>
      <c r="K26" s="29" t="n">
        <v>70.31130584397678</v>
      </c>
      <c r="L26" s="29" t="n">
        <v>221.7548124448004</v>
      </c>
      <c r="M26" s="29" t="n">
        <v>16.61741065314957</v>
      </c>
      <c r="N26" s="29" t="n">
        <v>1.089139045487149</v>
      </c>
      <c r="O26" s="29" t="n">
        <v>7680.351292214158</v>
      </c>
      <c r="P26" s="29" t="n">
        <v>12877.73528856324</v>
      </c>
      <c r="Q26" s="29" t="n">
        <v>2567.878066889569</v>
      </c>
      <c r="R26" s="29" t="n">
        <v>12.54007756665644</v>
      </c>
      <c r="S26" s="29" t="n">
        <v>105.4819041802882</v>
      </c>
      <c r="T26" s="29" t="n">
        <v>5.765356101490125</v>
      </c>
      <c r="U26" s="29" t="n">
        <v>4.114957410303548</v>
      </c>
      <c r="V26" s="29" t="n">
        <v>3.126099771614686</v>
      </c>
      <c r="W26" s="29" t="n">
        <v>31.12224092062685</v>
      </c>
      <c r="X26" s="29" t="n">
        <v>60.46772576025661</v>
      </c>
      <c r="Y26" s="29" t="n">
        <v>23.38499882950681</v>
      </c>
      <c r="Z26" s="29" t="n">
        <v>95.53987988431608</v>
      </c>
      <c r="AA26" s="29" t="n">
        <v>575.3988050442582</v>
      </c>
      <c r="AB26" s="29" t="n">
        <v>47.42092893799629</v>
      </c>
      <c r="AC26" s="29" t="n">
        <v>10.85840966941867</v>
      </c>
      <c r="AD26" s="29" t="n">
        <v>4.606061756054044</v>
      </c>
      <c r="AE26" s="29" t="n">
        <v>61.89360513112679</v>
      </c>
      <c r="AF26" s="29" t="n">
        <v>11.70002515132928</v>
      </c>
      <c r="AG26" s="29" t="n">
        <v>57.52219974174135</v>
      </c>
      <c r="AH26" s="29" t="n">
        <v>40.24103641335801</v>
      </c>
      <c r="AI26" s="29" t="n">
        <v>46.20227655084211</v>
      </c>
      <c r="AJ26" s="29" t="n">
        <v>1019.501707702616</v>
      </c>
      <c r="AK26" s="29" t="n">
        <v>86.38116349476607</v>
      </c>
      <c r="AL26" s="29" t="n">
        <v>1162.086587864726</v>
      </c>
      <c r="AM26" s="29" t="n">
        <v>14.21425461742005</v>
      </c>
      <c r="AN26" s="29" t="n">
        <v>26.17639143496969</v>
      </c>
      <c r="AO26" s="29" t="n">
        <v>9.1588537845132</v>
      </c>
      <c r="AP26" s="29" t="n">
        <v>530.9708306584768</v>
      </c>
      <c r="AQ26" s="29" t="n">
        <v>22.1608645562598</v>
      </c>
      <c r="AR26" s="29" t="n">
        <v>203.0723478914613</v>
      </c>
      <c r="AS26" s="29" t="n">
        <v>40.04191016205781</v>
      </c>
      <c r="AT26" s="29" t="n">
        <v>8.580310846068098</v>
      </c>
      <c r="AU26" s="29" t="n">
        <v>1.742299026346209</v>
      </c>
      <c r="AV26" s="29" t="n">
        <v>6.252627777355844</v>
      </c>
      <c r="AW26" s="29" t="n">
        <v>202.0688422760804</v>
      </c>
      <c r="AX26" s="29" t="n">
        <v>134.5418479073533</v>
      </c>
      <c r="AY26" s="29" t="n">
        <v>3.282197350775956</v>
      </c>
      <c r="AZ26" s="29" t="n">
        <v>7.902497653840329</v>
      </c>
      <c r="BA26" s="29" t="n">
        <v>19.49906181583712</v>
      </c>
      <c r="BB26" s="29" t="n">
        <v>4.763745107234253</v>
      </c>
      <c r="BC26" s="29" t="n">
        <v>15.7877561167713</v>
      </c>
      <c r="BD26" s="29" t="n">
        <v>5.887847711576702</v>
      </c>
      <c r="BE26" s="29" t="n">
        <v>14.18193300541459</v>
      </c>
      <c r="BF26" s="29" t="n">
        <v>6.668938395225687</v>
      </c>
      <c r="BG26" s="29" t="n">
        <v>4.757546806046793</v>
      </c>
      <c r="BH26" s="29" t="n">
        <v>3.822878982002333</v>
      </c>
      <c r="BI26" s="29" t="n">
        <v>17.53800309678327</v>
      </c>
      <c r="BJ26" s="29" t="n">
        <v>1.676122050873386</v>
      </c>
      <c r="BK26" s="29" t="n">
        <v>35.89879495518313</v>
      </c>
      <c r="BL26" s="29" t="n">
        <v>38.56660924462847</v>
      </c>
      <c r="BM26" s="29" t="n">
        <v>7.847461454533521</v>
      </c>
      <c r="BN26" s="29" t="n">
        <v>24.28860719141759</v>
      </c>
      <c r="BO26" s="29" t="n">
        <v>44.31130702808152</v>
      </c>
      <c r="BP26" s="29" t="n">
        <v>8.442750120964453</v>
      </c>
      <c r="BQ26" s="29" t="n">
        <v>532.3545494211567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16789.62121281197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4.732029250200373</v>
      </c>
      <c r="D27" s="31" t="n">
        <v>0.8923198454432633</v>
      </c>
      <c r="E27" s="31" t="n">
        <v>6.156319922023077</v>
      </c>
      <c r="F27" s="31" t="n">
        <v>3.563829327455137</v>
      </c>
      <c r="G27" s="31" t="n">
        <v>66.01474751690978</v>
      </c>
      <c r="H27" s="31" t="n">
        <v>0.7147782055468065</v>
      </c>
      <c r="I27" s="31" t="n">
        <v>0.3807355439640003</v>
      </c>
      <c r="J27" s="31" t="n">
        <v>41.62098404902512</v>
      </c>
      <c r="K27" s="31" t="n">
        <v>2.349345574358074</v>
      </c>
      <c r="L27" s="31" t="n">
        <v>29.88468418636641</v>
      </c>
      <c r="M27" s="31" t="n">
        <v>1.544408119752879</v>
      </c>
      <c r="N27" s="31" t="n">
        <v>1.065194887759663</v>
      </c>
      <c r="O27" s="31" t="n">
        <v>57.86011559217199</v>
      </c>
      <c r="P27" s="31" t="n">
        <v>1526.727851804124</v>
      </c>
      <c r="Q27" s="31" t="n">
        <v>51.63560674221927</v>
      </c>
      <c r="R27" s="31" t="n">
        <v>1.573542194163281</v>
      </c>
      <c r="S27" s="31" t="n">
        <v>11.11113592273063</v>
      </c>
      <c r="T27" s="31" t="n">
        <v>0.5032220631986668</v>
      </c>
      <c r="U27" s="31" t="n">
        <v>2.999091113528102</v>
      </c>
      <c r="V27" s="31" t="n">
        <v>2.63355870256662</v>
      </c>
      <c r="W27" s="31" t="n">
        <v>4.928458366081436</v>
      </c>
      <c r="X27" s="31" t="n">
        <v>11.53087058965193</v>
      </c>
      <c r="Y27" s="31" t="n">
        <v>0.801891448651281</v>
      </c>
      <c r="Z27" s="31" t="n">
        <v>8.797007653939586</v>
      </c>
      <c r="AA27" s="31" t="n">
        <v>12.20016519684115</v>
      </c>
      <c r="AB27" s="31" t="n">
        <v>16.71779279098094</v>
      </c>
      <c r="AC27" s="31" t="n">
        <v>11.22880043145569</v>
      </c>
      <c r="AD27" s="31" t="n">
        <v>2.537704865919665</v>
      </c>
      <c r="AE27" s="31" t="n">
        <v>46.18069125081443</v>
      </c>
      <c r="AF27" s="31" t="n">
        <v>4.962368837524915</v>
      </c>
      <c r="AG27" s="31" t="n">
        <v>7.621387543671275</v>
      </c>
      <c r="AH27" s="31" t="n">
        <v>17.09870848853492</v>
      </c>
      <c r="AI27" s="31" t="n">
        <v>1.766058281588194</v>
      </c>
      <c r="AJ27" s="31" t="n">
        <v>14.3114609951521</v>
      </c>
      <c r="AK27" s="31" t="n">
        <v>2.020906342532659</v>
      </c>
      <c r="AL27" s="31" t="n">
        <v>19.4480366081791</v>
      </c>
      <c r="AM27" s="31" t="n">
        <v>1.437332290329958</v>
      </c>
      <c r="AN27" s="31" t="n">
        <v>86.64187794536491</v>
      </c>
      <c r="AO27" s="31" t="n">
        <v>68.84871193779904</v>
      </c>
      <c r="AP27" s="31" t="n">
        <v>35.36191402338137</v>
      </c>
      <c r="AQ27" s="31" t="n">
        <v>1.871882744856245</v>
      </c>
      <c r="AR27" s="31" t="n">
        <v>297.1635759567481</v>
      </c>
      <c r="AS27" s="31" t="n">
        <v>128.0459859753853</v>
      </c>
      <c r="AT27" s="31" t="n">
        <v>5.174508171450084</v>
      </c>
      <c r="AU27" s="31" t="n">
        <v>130.1865418606814</v>
      </c>
      <c r="AV27" s="31" t="n">
        <v>65.68771414358537</v>
      </c>
      <c r="AW27" s="31" t="n">
        <v>66.37640103210818</v>
      </c>
      <c r="AX27" s="31" t="n">
        <v>132.1198747528805</v>
      </c>
      <c r="AY27" s="31" t="n">
        <v>2.885871146936321</v>
      </c>
      <c r="AZ27" s="31" t="n">
        <v>91.7603754092021</v>
      </c>
      <c r="BA27" s="31" t="n">
        <v>53.57577507627393</v>
      </c>
      <c r="BB27" s="31" t="n">
        <v>2.799286662252551</v>
      </c>
      <c r="BC27" s="31" t="n">
        <v>504.2555273180431</v>
      </c>
      <c r="BD27" s="31" t="n">
        <v>27.94273549368801</v>
      </c>
      <c r="BE27" s="31" t="n">
        <v>10.18312485177522</v>
      </c>
      <c r="BF27" s="31" t="n">
        <v>123.1505159049897</v>
      </c>
      <c r="BG27" s="31" t="n">
        <v>24.02627765354343</v>
      </c>
      <c r="BH27" s="31" t="n">
        <v>1.666717754290196</v>
      </c>
      <c r="BI27" s="31" t="n">
        <v>101.7015863922216</v>
      </c>
      <c r="BJ27" s="31" t="n">
        <v>140.9139291960833</v>
      </c>
      <c r="BK27" s="31" t="n">
        <v>316.9925398630791</v>
      </c>
      <c r="BL27" s="31" t="n">
        <v>422.0255083834404</v>
      </c>
      <c r="BM27" s="31" t="n">
        <v>1.634049092630158</v>
      </c>
      <c r="BN27" s="31" t="n">
        <v>30.31392792905847</v>
      </c>
      <c r="BO27" s="31" t="n">
        <v>51.13604192586229</v>
      </c>
      <c r="BP27" s="31" t="n">
        <v>90.4308460718791</v>
      </c>
      <c r="BQ27" s="31" t="n">
        <v>653.5117988711338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55635.98910623023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2.600402725416255</v>
      </c>
      <c r="D28" s="29" t="n">
        <v>4.12582702829499</v>
      </c>
      <c r="E28" s="29" t="n">
        <v>0.0878905286530576</v>
      </c>
      <c r="F28" s="29" t="n">
        <v>6.672290090716019</v>
      </c>
      <c r="G28" s="29" t="n">
        <v>8.296695259262894</v>
      </c>
      <c r="H28" s="29" t="n">
        <v>2.518737144900779</v>
      </c>
      <c r="I28" s="29" t="n">
        <v>1.08659049399597</v>
      </c>
      <c r="J28" s="29" t="n">
        <v>62.74925551853929</v>
      </c>
      <c r="K28" s="29" t="n">
        <v>2.685177384400015</v>
      </c>
      <c r="L28" s="29" t="n">
        <v>51.12709756741887</v>
      </c>
      <c r="M28" s="29" t="n">
        <v>5.481767841361667</v>
      </c>
      <c r="N28" s="29" t="n">
        <v>1.410487924061875</v>
      </c>
      <c r="O28" s="29" t="n">
        <v>12.44114551004211</v>
      </c>
      <c r="P28" s="29" t="n">
        <v>17.23269852893569</v>
      </c>
      <c r="Q28" s="29" t="n">
        <v>3710.90834489817</v>
      </c>
      <c r="R28" s="29" t="n">
        <v>3.874197514507137</v>
      </c>
      <c r="S28" s="29" t="n">
        <v>85.86275636545473</v>
      </c>
      <c r="T28" s="29" t="n">
        <v>2.892036976942089</v>
      </c>
      <c r="U28" s="29" t="n">
        <v>63.0400316580479</v>
      </c>
      <c r="V28" s="29" t="n">
        <v>6.506129291242551</v>
      </c>
      <c r="W28" s="29" t="n">
        <v>13.55920607338662</v>
      </c>
      <c r="X28" s="29" t="n">
        <v>22.73121770813326</v>
      </c>
      <c r="Y28" s="29" t="n">
        <v>13.12149174332757</v>
      </c>
      <c r="Z28" s="29" t="n">
        <v>16.84981698306398</v>
      </c>
      <c r="AA28" s="29" t="n">
        <v>38.67061696200398</v>
      </c>
      <c r="AB28" s="29" t="n">
        <v>12.70369028022361</v>
      </c>
      <c r="AC28" s="29" t="n">
        <v>12.77965483696189</v>
      </c>
      <c r="AD28" s="29" t="n">
        <v>3.838990385958006</v>
      </c>
      <c r="AE28" s="29" t="n">
        <v>37.92081360504464</v>
      </c>
      <c r="AF28" s="29" t="n">
        <v>7.396243813604521</v>
      </c>
      <c r="AG28" s="29" t="n">
        <v>12.95321691411581</v>
      </c>
      <c r="AH28" s="29" t="n">
        <v>22.90768678152333</v>
      </c>
      <c r="AI28" s="29" t="n">
        <v>35.87597491510741</v>
      </c>
      <c r="AJ28" s="29" t="n">
        <v>15.09471490155923</v>
      </c>
      <c r="AK28" s="29" t="n">
        <v>4.26890036179194</v>
      </c>
      <c r="AL28" s="29" t="n">
        <v>44.97768335940312</v>
      </c>
      <c r="AM28" s="29" t="n">
        <v>3.400539581185884</v>
      </c>
      <c r="AN28" s="29" t="n">
        <v>118.1528592472535</v>
      </c>
      <c r="AO28" s="29" t="n">
        <v>1.366213879192104</v>
      </c>
      <c r="AP28" s="29" t="n">
        <v>45.32335420041327</v>
      </c>
      <c r="AQ28" s="29" t="n">
        <v>10.888929696948</v>
      </c>
      <c r="AR28" s="29" t="n">
        <v>64.34758887078283</v>
      </c>
      <c r="AS28" s="29" t="n">
        <v>18.91870067139435</v>
      </c>
      <c r="AT28" s="29" t="n">
        <v>0.1107892734982568</v>
      </c>
      <c r="AU28" s="29" t="n">
        <v>2.004426451717243</v>
      </c>
      <c r="AV28" s="29" t="n">
        <v>0.9735519339767773</v>
      </c>
      <c r="AW28" s="29" t="n">
        <v>1.795660668456491</v>
      </c>
      <c r="AX28" s="29" t="n">
        <v>20.37940332172409</v>
      </c>
      <c r="AY28" s="29" t="n">
        <v>5.164047423242758</v>
      </c>
      <c r="AZ28" s="29" t="n">
        <v>26.52449170545736</v>
      </c>
      <c r="BA28" s="29" t="n">
        <v>26.53511537491074</v>
      </c>
      <c r="BB28" s="29" t="n">
        <v>5.728394640385539</v>
      </c>
      <c r="BC28" s="29" t="n">
        <v>4.200027343342683</v>
      </c>
      <c r="BD28" s="29" t="n">
        <v>0.8994878283924954</v>
      </c>
      <c r="BE28" s="29" t="n">
        <v>4.869388060498249</v>
      </c>
      <c r="BF28" s="29" t="n">
        <v>4.450919992272302</v>
      </c>
      <c r="BG28" s="29" t="n">
        <v>4.590996293804472</v>
      </c>
      <c r="BH28" s="29" t="n">
        <v>1.532372793735448</v>
      </c>
      <c r="BI28" s="29" t="n">
        <v>7.842493072471356</v>
      </c>
      <c r="BJ28" s="29" t="n">
        <v>46.84782710774964</v>
      </c>
      <c r="BK28" s="29" t="n">
        <v>27.69377244504637</v>
      </c>
      <c r="BL28" s="29" t="n">
        <v>5.680299377412077</v>
      </c>
      <c r="BM28" s="29" t="n">
        <v>0.9008861009978162</v>
      </c>
      <c r="BN28" s="29" t="n">
        <v>5.495959940372281</v>
      </c>
      <c r="BO28" s="29" t="n">
        <v>10.67123306928594</v>
      </c>
      <c r="BP28" s="29" t="n">
        <v>1.298514539122876</v>
      </c>
      <c r="BQ28" s="29" t="n">
        <v>4.310842827525989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35381.76031495392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429.3922142105448</v>
      </c>
      <c r="D29" s="31" t="n">
        <v>338.4508523840998</v>
      </c>
      <c r="E29" s="31" t="n">
        <v>21.51620247572957</v>
      </c>
      <c r="F29" s="31" t="n">
        <v>4.458999204969516</v>
      </c>
      <c r="G29" s="31" t="n">
        <v>2.313882064030679</v>
      </c>
      <c r="H29" s="31" t="n">
        <v>0.6911568552259696</v>
      </c>
      <c r="I29" s="31" t="n">
        <v>0.3290331186741894</v>
      </c>
      <c r="J29" s="31" t="n">
        <v>52.92315429730772</v>
      </c>
      <c r="K29" s="31" t="n">
        <v>1.132909629509284</v>
      </c>
      <c r="L29" s="31" t="n">
        <v>302.7992384235844</v>
      </c>
      <c r="M29" s="31" t="n">
        <v>91.52368714174789</v>
      </c>
      <c r="N29" s="31" t="n">
        <v>0.3541967908813144</v>
      </c>
      <c r="O29" s="31" t="n">
        <v>26.20622348973996</v>
      </c>
      <c r="P29" s="31" t="n">
        <v>2.696978775382543</v>
      </c>
      <c r="Q29" s="31" t="n">
        <v>2.133324057988981</v>
      </c>
      <c r="R29" s="31" t="n">
        <v>3077.295373306244</v>
      </c>
      <c r="S29" s="31" t="n">
        <v>401.1600212593578</v>
      </c>
      <c r="T29" s="31" t="n">
        <v>1.375087155654099</v>
      </c>
      <c r="U29" s="31" t="n">
        <v>1.59601007564501</v>
      </c>
      <c r="V29" s="31" t="n">
        <v>1.342273910008855</v>
      </c>
      <c r="W29" s="31" t="n">
        <v>19.98364989295971</v>
      </c>
      <c r="X29" s="31" t="n">
        <v>41.76055448012226</v>
      </c>
      <c r="Y29" s="31" t="n">
        <v>3.05847574093949</v>
      </c>
      <c r="Z29" s="31" t="n">
        <v>3.613084492318248</v>
      </c>
      <c r="AA29" s="31" t="n">
        <v>20.51619438330851</v>
      </c>
      <c r="AB29" s="31" t="n">
        <v>40.70677100559503</v>
      </c>
      <c r="AC29" s="31" t="n">
        <v>28.9406594756514</v>
      </c>
      <c r="AD29" s="31" t="n">
        <v>1.403096841190074</v>
      </c>
      <c r="AE29" s="31" t="n">
        <v>215.9355850367055</v>
      </c>
      <c r="AF29" s="31" t="n">
        <v>3.592691803370475</v>
      </c>
      <c r="AG29" s="31" t="n">
        <v>8.546416542843167</v>
      </c>
      <c r="AH29" s="31" t="n">
        <v>291.5029193929888</v>
      </c>
      <c r="AI29" s="31" t="n">
        <v>120.9764686343756</v>
      </c>
      <c r="AJ29" s="31" t="n">
        <v>63.47748360506316</v>
      </c>
      <c r="AK29" s="31" t="n">
        <v>303.9869107213903</v>
      </c>
      <c r="AL29" s="31" t="n">
        <v>5267.274414190647</v>
      </c>
      <c r="AM29" s="31" t="n">
        <v>3.177160941584933</v>
      </c>
      <c r="AN29" s="31" t="n">
        <v>438.9646343218325</v>
      </c>
      <c r="AO29" s="31" t="n">
        <v>6.747122185600524</v>
      </c>
      <c r="AP29" s="31" t="n">
        <v>5252.944609692917</v>
      </c>
      <c r="AQ29" s="31" t="n">
        <v>14.37616347052536</v>
      </c>
      <c r="AR29" s="31" t="n">
        <v>2187.053031073739</v>
      </c>
      <c r="AS29" s="31" t="n">
        <v>4.058549302355629</v>
      </c>
      <c r="AT29" s="31" t="n">
        <v>0.2628475784567493</v>
      </c>
      <c r="AU29" s="31" t="n">
        <v>0.4544689990701978</v>
      </c>
      <c r="AV29" s="31" t="n">
        <v>85.8453292580884</v>
      </c>
      <c r="AW29" s="31" t="n">
        <v>4.249312416574779</v>
      </c>
      <c r="AX29" s="31" t="n">
        <v>18.16080343281003</v>
      </c>
      <c r="AY29" s="31" t="n">
        <v>1.629881271371532</v>
      </c>
      <c r="AZ29" s="31" t="n">
        <v>119.0717113411768</v>
      </c>
      <c r="BA29" s="31" t="n">
        <v>14.04189907978648</v>
      </c>
      <c r="BB29" s="31" t="n">
        <v>6.084363052940629</v>
      </c>
      <c r="BC29" s="31" t="n">
        <v>21.17736740575939</v>
      </c>
      <c r="BD29" s="31" t="n">
        <v>409.0161947313305</v>
      </c>
      <c r="BE29" s="31" t="n">
        <v>19.20394290375755</v>
      </c>
      <c r="BF29" s="31" t="n">
        <v>3.974411151049615</v>
      </c>
      <c r="BG29" s="31" t="n">
        <v>3.741076380049041</v>
      </c>
      <c r="BH29" s="31" t="n">
        <v>4.110468760749418</v>
      </c>
      <c r="BI29" s="31" t="n">
        <v>106.5876694284536</v>
      </c>
      <c r="BJ29" s="31" t="n">
        <v>1.008385477795409</v>
      </c>
      <c r="BK29" s="31" t="n">
        <v>61.06311693919756</v>
      </c>
      <c r="BL29" s="31" t="n">
        <v>24.96509913771326</v>
      </c>
      <c r="BM29" s="31" t="n">
        <v>15.05951627373116</v>
      </c>
      <c r="BN29" s="31" t="n">
        <v>4.782352145717581</v>
      </c>
      <c r="BO29" s="31" t="n">
        <v>9.241010576134061</v>
      </c>
      <c r="BP29" s="31" t="n">
        <v>14.10280240756161</v>
      </c>
      <c r="BQ29" s="31" t="n">
        <v>194.3667625844964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6343.493723839407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381.2384090725174</v>
      </c>
      <c r="D30" s="29" t="n">
        <v>128.793546247844</v>
      </c>
      <c r="E30" s="29" t="n">
        <v>15.95995355133763</v>
      </c>
      <c r="F30" s="29" t="n">
        <v>5.415451949196552</v>
      </c>
      <c r="G30" s="29" t="n">
        <v>53.92849696202891</v>
      </c>
      <c r="H30" s="29" t="n">
        <v>68.13851083074323</v>
      </c>
      <c r="I30" s="29" t="n">
        <v>21.77230265253359</v>
      </c>
      <c r="J30" s="29" t="n">
        <v>2497.553544134202</v>
      </c>
      <c r="K30" s="29" t="n">
        <v>17.56164489474471</v>
      </c>
      <c r="L30" s="29" t="n">
        <v>2758.513432937134</v>
      </c>
      <c r="M30" s="29" t="n">
        <v>209.2621804550527</v>
      </c>
      <c r="N30" s="29" t="n">
        <v>516.1328157498516</v>
      </c>
      <c r="O30" s="29" t="n">
        <v>492.9231661002779</v>
      </c>
      <c r="P30" s="29" t="n">
        <v>270.261539598462</v>
      </c>
      <c r="Q30" s="29" t="n">
        <v>535.7128896450469</v>
      </c>
      <c r="R30" s="29" t="n">
        <v>588.7163918520201</v>
      </c>
      <c r="S30" s="29" t="n">
        <v>10539.13730855994</v>
      </c>
      <c r="T30" s="29" t="n">
        <v>1017.276782715772</v>
      </c>
      <c r="U30" s="29" t="n">
        <v>115.8518151858326</v>
      </c>
      <c r="V30" s="29" t="n">
        <v>43.99227971417007</v>
      </c>
      <c r="W30" s="29" t="n">
        <v>84.3523084950674</v>
      </c>
      <c r="X30" s="29" t="n">
        <v>162.4457427480095</v>
      </c>
      <c r="Y30" s="29" t="n">
        <v>1217.650552838777</v>
      </c>
      <c r="Z30" s="29" t="n">
        <v>737.9723641242614</v>
      </c>
      <c r="AA30" s="29" t="n">
        <v>1658.828201923157</v>
      </c>
      <c r="AB30" s="29" t="n">
        <v>1546.480079358505</v>
      </c>
      <c r="AC30" s="29" t="n">
        <v>34.27870092981266</v>
      </c>
      <c r="AD30" s="29" t="n">
        <v>15.32791449285966</v>
      </c>
      <c r="AE30" s="29" t="n">
        <v>1031.199614393199</v>
      </c>
      <c r="AF30" s="29" t="n">
        <v>761.6020959685884</v>
      </c>
      <c r="AG30" s="29" t="n">
        <v>350.5260309515156</v>
      </c>
      <c r="AH30" s="29" t="n">
        <v>230.0341973647622</v>
      </c>
      <c r="AI30" s="29" t="n">
        <v>209.7994912269138</v>
      </c>
      <c r="AJ30" s="29" t="n">
        <v>489.193442990124</v>
      </c>
      <c r="AK30" s="29" t="n">
        <v>61.85697016410811</v>
      </c>
      <c r="AL30" s="29" t="n">
        <v>775.9865154768418</v>
      </c>
      <c r="AM30" s="29" t="n">
        <v>60.38553554986512</v>
      </c>
      <c r="AN30" s="29" t="n">
        <v>74.46952407957713</v>
      </c>
      <c r="AO30" s="29" t="n">
        <v>48.44649065212104</v>
      </c>
      <c r="AP30" s="29" t="n">
        <v>445.7529593291808</v>
      </c>
      <c r="AQ30" s="29" t="n">
        <v>545.3708299185906</v>
      </c>
      <c r="AR30" s="29" t="n">
        <v>4850.429156160525</v>
      </c>
      <c r="AS30" s="29" t="n">
        <v>142.9032299163964</v>
      </c>
      <c r="AT30" s="29" t="n">
        <v>39.9774507351117</v>
      </c>
      <c r="AU30" s="29" t="n">
        <v>17.6984097399421</v>
      </c>
      <c r="AV30" s="29" t="n">
        <v>242.5165244167178</v>
      </c>
      <c r="AW30" s="29" t="n">
        <v>162.2888218522308</v>
      </c>
      <c r="AX30" s="29" t="n">
        <v>954.7721706187111</v>
      </c>
      <c r="AY30" s="29" t="n">
        <v>938.8003679415108</v>
      </c>
      <c r="AZ30" s="29" t="n">
        <v>95.74584459108785</v>
      </c>
      <c r="BA30" s="29" t="n">
        <v>75.18571999942021</v>
      </c>
      <c r="BB30" s="29" t="n">
        <v>309.5395784892739</v>
      </c>
      <c r="BC30" s="29" t="n">
        <v>1434.700241286714</v>
      </c>
      <c r="BD30" s="29" t="n">
        <v>226.7431222411806</v>
      </c>
      <c r="BE30" s="29" t="n">
        <v>1306.574297490192</v>
      </c>
      <c r="BF30" s="29" t="n">
        <v>366.848191419233</v>
      </c>
      <c r="BG30" s="29" t="n">
        <v>421.344236998646</v>
      </c>
      <c r="BH30" s="29" t="n">
        <v>352.5491861276864</v>
      </c>
      <c r="BI30" s="29" t="n">
        <v>1380.925403722278</v>
      </c>
      <c r="BJ30" s="29" t="n">
        <v>35.704016179532</v>
      </c>
      <c r="BK30" s="29" t="n">
        <v>567.0162616086983</v>
      </c>
      <c r="BL30" s="29" t="n">
        <v>635.7726802737766</v>
      </c>
      <c r="BM30" s="29" t="n">
        <v>367.172503228284</v>
      </c>
      <c r="BN30" s="29" t="n">
        <v>103.6156545359388</v>
      </c>
      <c r="BO30" s="29" t="n">
        <v>660.7370655774254</v>
      </c>
      <c r="BP30" s="29" t="n">
        <v>61.78278489311126</v>
      </c>
      <c r="BQ30" s="29" t="n">
        <v>454.3660102154259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33311.14168348019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6.983405944040435</v>
      </c>
      <c r="D31" s="31" t="n">
        <v>1.188216447263663</v>
      </c>
      <c r="E31" s="31" t="n">
        <v>2.784484713774838</v>
      </c>
      <c r="F31" s="31" t="n">
        <v>0.2870079978662153</v>
      </c>
      <c r="G31" s="31" t="n">
        <v>6.120310692231687</v>
      </c>
      <c r="H31" s="31" t="n">
        <v>8.223352852267674</v>
      </c>
      <c r="I31" s="31" t="n">
        <v>3.978652255309671</v>
      </c>
      <c r="J31" s="31" t="n">
        <v>68.34452978947297</v>
      </c>
      <c r="K31" s="31" t="n">
        <v>9.483776266867</v>
      </c>
      <c r="L31" s="31" t="n">
        <v>90.12135860720441</v>
      </c>
      <c r="M31" s="31" t="n">
        <v>189.7199738619169</v>
      </c>
      <c r="N31" s="31" t="n">
        <v>4.231018129061892</v>
      </c>
      <c r="O31" s="31" t="n">
        <v>13.19204887847201</v>
      </c>
      <c r="P31" s="31" t="n">
        <v>18.46239539970185</v>
      </c>
      <c r="Q31" s="31" t="n">
        <v>10.08870453451219</v>
      </c>
      <c r="R31" s="31" t="n">
        <v>16.3963238926189</v>
      </c>
      <c r="S31" s="31" t="n">
        <v>154.5674309686221</v>
      </c>
      <c r="T31" s="31" t="n">
        <v>946.1578973360266</v>
      </c>
      <c r="U31" s="31" t="n">
        <v>6.483042184064567</v>
      </c>
      <c r="V31" s="31" t="n">
        <v>7.921191042107767</v>
      </c>
      <c r="W31" s="31" t="n">
        <v>4.060621138053085</v>
      </c>
      <c r="X31" s="31" t="n">
        <v>17.17170114662779</v>
      </c>
      <c r="Y31" s="31" t="n">
        <v>11.42992699135547</v>
      </c>
      <c r="Z31" s="31" t="n">
        <v>15.34737685482375</v>
      </c>
      <c r="AA31" s="31" t="n">
        <v>44.47211773299578</v>
      </c>
      <c r="AB31" s="31" t="n">
        <v>24.51680777325514</v>
      </c>
      <c r="AC31" s="31" t="n">
        <v>14.76361018683032</v>
      </c>
      <c r="AD31" s="31" t="n">
        <v>1.739790286162361</v>
      </c>
      <c r="AE31" s="31" t="n">
        <v>25.32597759028176</v>
      </c>
      <c r="AF31" s="31" t="n">
        <v>247.5134102850352</v>
      </c>
      <c r="AG31" s="31" t="n">
        <v>18.01725278122972</v>
      </c>
      <c r="AH31" s="31" t="n">
        <v>25.38203909965769</v>
      </c>
      <c r="AI31" s="31" t="n">
        <v>19.24804207075362</v>
      </c>
      <c r="AJ31" s="31" t="n">
        <v>18.88227855075114</v>
      </c>
      <c r="AK31" s="31" t="n">
        <v>5.166507308433944</v>
      </c>
      <c r="AL31" s="31" t="n">
        <v>34.78355535224236</v>
      </c>
      <c r="AM31" s="31" t="n">
        <v>6.724828873326209</v>
      </c>
      <c r="AN31" s="31" t="n">
        <v>29.26132152687056</v>
      </c>
      <c r="AO31" s="31" t="n">
        <v>8.86818429553017</v>
      </c>
      <c r="AP31" s="31" t="n">
        <v>55.07857629729136</v>
      </c>
      <c r="AQ31" s="31" t="n">
        <v>93.52118498113947</v>
      </c>
      <c r="AR31" s="31" t="n">
        <v>5288.692123614676</v>
      </c>
      <c r="AS31" s="31" t="n">
        <v>44.86440908308016</v>
      </c>
      <c r="AT31" s="31" t="n">
        <v>1.523885607607795</v>
      </c>
      <c r="AU31" s="31" t="n">
        <v>33.88946205926371</v>
      </c>
      <c r="AV31" s="31" t="n">
        <v>53.71568776826464</v>
      </c>
      <c r="AW31" s="31" t="n">
        <v>8.545130094227254</v>
      </c>
      <c r="AX31" s="31" t="n">
        <v>70.15890051739839</v>
      </c>
      <c r="AY31" s="31" t="n">
        <v>1492.037917491579</v>
      </c>
      <c r="AZ31" s="31" t="n">
        <v>228.6880644359246</v>
      </c>
      <c r="BA31" s="31" t="n">
        <v>598.4619081394309</v>
      </c>
      <c r="BB31" s="31" t="n">
        <v>555.3579708325642</v>
      </c>
      <c r="BC31" s="31" t="n">
        <v>1364.613491829857</v>
      </c>
      <c r="BD31" s="31" t="n">
        <v>244.4558671866164</v>
      </c>
      <c r="BE31" s="31" t="n">
        <v>444.5457734880458</v>
      </c>
      <c r="BF31" s="31" t="n">
        <v>220.0089319776419</v>
      </c>
      <c r="BG31" s="31" t="n">
        <v>2611.931800048494</v>
      </c>
      <c r="BH31" s="31" t="n">
        <v>52.24974063357543</v>
      </c>
      <c r="BI31" s="31" t="n">
        <v>939.352163033063</v>
      </c>
      <c r="BJ31" s="31" t="n">
        <v>2.741035213310896</v>
      </c>
      <c r="BK31" s="31" t="n">
        <v>857.7854601740057</v>
      </c>
      <c r="BL31" s="31" t="n">
        <v>214.2571201924876</v>
      </c>
      <c r="BM31" s="31" t="n">
        <v>31.93804929702137</v>
      </c>
      <c r="BN31" s="31" t="n">
        <v>105.0104350265574</v>
      </c>
      <c r="BO31" s="31" t="n">
        <v>81.89222606167071</v>
      </c>
      <c r="BP31" s="31" t="n">
        <v>274.592063815347</v>
      </c>
      <c r="BQ31" s="31" t="n">
        <v>335.1417627393773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1030.52242830153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9767.24785439329</v>
      </c>
      <c r="D32" s="29" t="n">
        <v>3633.3801777855</v>
      </c>
      <c r="E32" s="29" t="n">
        <v>525.5766910561639</v>
      </c>
      <c r="F32" s="29" t="n">
        <v>976.0145112067153</v>
      </c>
      <c r="G32" s="29" t="n">
        <v>2085.525951812815</v>
      </c>
      <c r="H32" s="29" t="n">
        <v>2780.640934419994</v>
      </c>
      <c r="I32" s="29" t="n">
        <v>1292.193051433409</v>
      </c>
      <c r="J32" s="29" t="n">
        <v>2536.765063811299</v>
      </c>
      <c r="K32" s="29" t="n">
        <v>980.3297757502521</v>
      </c>
      <c r="L32" s="29" t="n">
        <v>3190.651422679522</v>
      </c>
      <c r="M32" s="29" t="n">
        <v>651.3794871264296</v>
      </c>
      <c r="N32" s="29" t="n">
        <v>18.64470162728234</v>
      </c>
      <c r="O32" s="29" t="n">
        <v>221.4551225499355</v>
      </c>
      <c r="P32" s="29" t="n">
        <v>101.8326410767007</v>
      </c>
      <c r="Q32" s="29" t="n">
        <v>194.0379865054952</v>
      </c>
      <c r="R32" s="29" t="n">
        <v>194.0975607457895</v>
      </c>
      <c r="S32" s="29" t="n">
        <v>1438.233371140991</v>
      </c>
      <c r="T32" s="29" t="n">
        <v>24.61725094381368</v>
      </c>
      <c r="U32" s="29" t="n">
        <v>105246.3657455369</v>
      </c>
      <c r="V32" s="29" t="n">
        <v>935.598946641799</v>
      </c>
      <c r="W32" s="29" t="n">
        <v>9884.635247125403</v>
      </c>
      <c r="X32" s="29" t="n">
        <v>971.9495514503934</v>
      </c>
      <c r="Y32" s="29" t="n">
        <v>458.5776512532645</v>
      </c>
      <c r="Z32" s="29" t="n">
        <v>173.8097617210812</v>
      </c>
      <c r="AA32" s="29" t="n">
        <v>1444.946655800353</v>
      </c>
      <c r="AB32" s="29" t="n">
        <v>3539.038489043271</v>
      </c>
      <c r="AC32" s="29" t="n">
        <v>2567.755412731856</v>
      </c>
      <c r="AD32" s="29" t="n">
        <v>1591.905848392124</v>
      </c>
      <c r="AE32" s="29" t="n">
        <v>386.3032175378149</v>
      </c>
      <c r="AF32" s="29" t="n">
        <v>180.3198085586542</v>
      </c>
      <c r="AG32" s="29" t="n">
        <v>694.6792398751289</v>
      </c>
      <c r="AH32" s="29" t="n">
        <v>449.2220538877227</v>
      </c>
      <c r="AI32" s="29" t="n">
        <v>875.7075044667732</v>
      </c>
      <c r="AJ32" s="29" t="n">
        <v>318.1944645473095</v>
      </c>
      <c r="AK32" s="29" t="n">
        <v>156.8598959053525</v>
      </c>
      <c r="AL32" s="29" t="n">
        <v>272.7229422837677</v>
      </c>
      <c r="AM32" s="29" t="n">
        <v>305.1492628262528</v>
      </c>
      <c r="AN32" s="29" t="n">
        <v>6310.163378830935</v>
      </c>
      <c r="AO32" s="29" t="n">
        <v>805.6053351838133</v>
      </c>
      <c r="AP32" s="29" t="n">
        <v>8113.830750222749</v>
      </c>
      <c r="AQ32" s="29" t="n">
        <v>784.7280956464043</v>
      </c>
      <c r="AR32" s="29" t="n">
        <v>13659.24895749223</v>
      </c>
      <c r="AS32" s="29" t="n">
        <v>61980.53660748151</v>
      </c>
      <c r="AT32" s="29" t="n">
        <v>1284.240619487913</v>
      </c>
      <c r="AU32" s="29" t="n">
        <v>6368.654430619893</v>
      </c>
      <c r="AV32" s="29" t="n">
        <v>1639.962325329067</v>
      </c>
      <c r="AW32" s="29" t="n">
        <v>71.80178947102739</v>
      </c>
      <c r="AX32" s="29" t="n">
        <v>1391.586420613894</v>
      </c>
      <c r="AY32" s="29" t="n">
        <v>29.85071190127109</v>
      </c>
      <c r="AZ32" s="29" t="n">
        <v>54.93448526208269</v>
      </c>
      <c r="BA32" s="29" t="n">
        <v>96.52365623550864</v>
      </c>
      <c r="BB32" s="29" t="n">
        <v>132.8397085640108</v>
      </c>
      <c r="BC32" s="29" t="n">
        <v>592.6739740849904</v>
      </c>
      <c r="BD32" s="29" t="n">
        <v>85.83455511235348</v>
      </c>
      <c r="BE32" s="29" t="n">
        <v>505.2527995476513</v>
      </c>
      <c r="BF32" s="29" t="n">
        <v>426.721843457091</v>
      </c>
      <c r="BG32" s="29" t="n">
        <v>102.1293493752368</v>
      </c>
      <c r="BH32" s="29" t="n">
        <v>597.3103913137952</v>
      </c>
      <c r="BI32" s="29" t="n">
        <v>459.854427678213</v>
      </c>
      <c r="BJ32" s="29" t="n">
        <v>383.7881921969321</v>
      </c>
      <c r="BK32" s="29" t="n">
        <v>1577.555124083027</v>
      </c>
      <c r="BL32" s="29" t="n">
        <v>329.2805225175139</v>
      </c>
      <c r="BM32" s="29" t="n">
        <v>110.9211695595191</v>
      </c>
      <c r="BN32" s="29" t="n">
        <v>71.63924584672745</v>
      </c>
      <c r="BO32" s="29" t="n">
        <v>274.4864216327382</v>
      </c>
      <c r="BP32" s="29" t="n">
        <v>129.5573644496588</v>
      </c>
      <c r="BQ32" s="29" t="n">
        <v>556.6384888112202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103354.4779396748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76.37411488964797</v>
      </c>
      <c r="D33" s="31" t="n">
        <v>97.59380085237167</v>
      </c>
      <c r="E33" s="31" t="n">
        <v>3.173796003525055</v>
      </c>
      <c r="F33" s="31" t="n">
        <v>2.239909016229141</v>
      </c>
      <c r="G33" s="31" t="n">
        <v>390.1907325651538</v>
      </c>
      <c r="H33" s="31" t="n">
        <v>1.907323864257433</v>
      </c>
      <c r="I33" s="31" t="n">
        <v>0.6374774622567222</v>
      </c>
      <c r="J33" s="31" t="n">
        <v>140.5902471956564</v>
      </c>
      <c r="K33" s="31" t="n">
        <v>277.9577436285655</v>
      </c>
      <c r="L33" s="31" t="n">
        <v>982.4197366028272</v>
      </c>
      <c r="M33" s="31" t="n">
        <v>218.1987510733064</v>
      </c>
      <c r="N33" s="31" t="n">
        <v>0.199934990552846</v>
      </c>
      <c r="O33" s="31" t="n">
        <v>1.026330595405651</v>
      </c>
      <c r="P33" s="31" t="n">
        <v>1.012528674505785</v>
      </c>
      <c r="Q33" s="31" t="n">
        <v>1.206275093470459</v>
      </c>
      <c r="R33" s="31" t="n">
        <v>5.514294939237542</v>
      </c>
      <c r="S33" s="31" t="n">
        <v>2.962896738460222</v>
      </c>
      <c r="T33" s="31" t="n">
        <v>0.0954019884479473</v>
      </c>
      <c r="U33" s="31" t="n">
        <v>12422.27816901995</v>
      </c>
      <c r="V33" s="31" t="n">
        <v>354.3774020247733</v>
      </c>
      <c r="W33" s="31" t="n">
        <v>197.481330123454</v>
      </c>
      <c r="X33" s="31" t="n">
        <v>252.8222101459137</v>
      </c>
      <c r="Y33" s="31" t="n">
        <v>824.1200522776406</v>
      </c>
      <c r="Z33" s="31" t="n">
        <v>521.8614434911809</v>
      </c>
      <c r="AA33" s="31" t="n">
        <v>2.354960510150379</v>
      </c>
      <c r="AB33" s="31" t="n">
        <v>1.351506109032142</v>
      </c>
      <c r="AC33" s="31" t="n">
        <v>1.749848771704843</v>
      </c>
      <c r="AD33" s="31" t="n">
        <v>0.5601970413268765</v>
      </c>
      <c r="AE33" s="31" t="n">
        <v>27.29812161354245</v>
      </c>
      <c r="AF33" s="31" t="n">
        <v>1.012626300633217</v>
      </c>
      <c r="AG33" s="31" t="n">
        <v>2.955403864875104</v>
      </c>
      <c r="AH33" s="31" t="n">
        <v>16.62991961413651</v>
      </c>
      <c r="AI33" s="31" t="n">
        <v>8.568622343737296</v>
      </c>
      <c r="AJ33" s="31" t="n">
        <v>0.5601895374835794</v>
      </c>
      <c r="AK33" s="31" t="n">
        <v>1.066557538866996</v>
      </c>
      <c r="AL33" s="31" t="n">
        <v>2.210219044383605</v>
      </c>
      <c r="AM33" s="31" t="n">
        <v>6.929023176227778</v>
      </c>
      <c r="AN33" s="31" t="n">
        <v>3.984489209670687</v>
      </c>
      <c r="AO33" s="31" t="n">
        <v>1.971713182444923</v>
      </c>
      <c r="AP33" s="31" t="n">
        <v>251.9098254690101</v>
      </c>
      <c r="AQ33" s="31" t="n">
        <v>105.302060142308</v>
      </c>
      <c r="AR33" s="31" t="n">
        <v>217.2411485743105</v>
      </c>
      <c r="AS33" s="31" t="n">
        <v>471.4438432265212</v>
      </c>
      <c r="AT33" s="31" t="n">
        <v>0.1542407048525818</v>
      </c>
      <c r="AU33" s="31" t="n">
        <v>5.210350689637999</v>
      </c>
      <c r="AV33" s="31" t="n">
        <v>33.47911295178168</v>
      </c>
      <c r="AW33" s="31" t="n">
        <v>1.435671237119661</v>
      </c>
      <c r="AX33" s="31" t="n">
        <v>207.2182228824462</v>
      </c>
      <c r="AY33" s="31" t="n">
        <v>0.6303932317176063</v>
      </c>
      <c r="AZ33" s="31" t="n">
        <v>1.243473813323606</v>
      </c>
      <c r="BA33" s="31" t="n">
        <v>11.31406724682939</v>
      </c>
      <c r="BB33" s="31" t="n">
        <v>6.581298536404513</v>
      </c>
      <c r="BC33" s="31" t="n">
        <v>34.64542907354448</v>
      </c>
      <c r="BD33" s="31" t="n">
        <v>0.8255306961884681</v>
      </c>
      <c r="BE33" s="31" t="n">
        <v>34.91345116942383</v>
      </c>
      <c r="BF33" s="31" t="n">
        <v>60.87062825807462</v>
      </c>
      <c r="BG33" s="31" t="n">
        <v>17.95400519835108</v>
      </c>
      <c r="BH33" s="31" t="n">
        <v>27.57140650940702</v>
      </c>
      <c r="BI33" s="31" t="n">
        <v>25.38595459031274</v>
      </c>
      <c r="BJ33" s="31" t="n">
        <v>46.9259231758087</v>
      </c>
      <c r="BK33" s="31" t="n">
        <v>370.294993459091</v>
      </c>
      <c r="BL33" s="31" t="n">
        <v>79.44204466979218</v>
      </c>
      <c r="BM33" s="31" t="n">
        <v>3.271628293022572</v>
      </c>
      <c r="BN33" s="31" t="n">
        <v>23.64263042174177</v>
      </c>
      <c r="BO33" s="31" t="n">
        <v>44.16629517126461</v>
      </c>
      <c r="BP33" s="31" t="n">
        <v>1.808190855303363</v>
      </c>
      <c r="BQ33" s="31" t="n">
        <v>82.08579977648462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23818.57369437851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35088.10048254608</v>
      </c>
      <c r="D34" s="29" t="n">
        <v>3732.495190313529</v>
      </c>
      <c r="E34" s="29" t="n">
        <v>269.767312034407</v>
      </c>
      <c r="F34" s="29" t="n">
        <v>250.0837389007943</v>
      </c>
      <c r="G34" s="29" t="n">
        <v>2973.934881946104</v>
      </c>
      <c r="H34" s="29" t="n">
        <v>199.0955880931109</v>
      </c>
      <c r="I34" s="29" t="n">
        <v>143.8096253025712</v>
      </c>
      <c r="J34" s="29" t="n">
        <v>571.0613118238657</v>
      </c>
      <c r="K34" s="29" t="n">
        <v>225.786669781161</v>
      </c>
      <c r="L34" s="29" t="n">
        <v>1049.17392114666</v>
      </c>
      <c r="M34" s="29" t="n">
        <v>111.6135849421234</v>
      </c>
      <c r="N34" s="29" t="n">
        <v>19.06303857271427</v>
      </c>
      <c r="O34" s="29" t="n">
        <v>3323.545232789066</v>
      </c>
      <c r="P34" s="29" t="n">
        <v>167.959117534223</v>
      </c>
      <c r="Q34" s="29" t="n">
        <v>1400.371999055076</v>
      </c>
      <c r="R34" s="29" t="n">
        <v>450.968111101902</v>
      </c>
      <c r="S34" s="29" t="n">
        <v>3527.467147992535</v>
      </c>
      <c r="T34" s="29" t="n">
        <v>73.77479098755019</v>
      </c>
      <c r="U34" s="29" t="n">
        <v>1643.67961106564</v>
      </c>
      <c r="V34" s="29" t="n">
        <v>607.6768256460142</v>
      </c>
      <c r="W34" s="29" t="n">
        <v>28414.35164596785</v>
      </c>
      <c r="X34" s="29" t="n">
        <v>11467.39686818047</v>
      </c>
      <c r="Y34" s="29" t="n">
        <v>3904.902703518029</v>
      </c>
      <c r="Z34" s="29" t="n">
        <v>1713.120707511845</v>
      </c>
      <c r="AA34" s="29" t="n">
        <v>13178.73202559703</v>
      </c>
      <c r="AB34" s="29" t="n">
        <v>2315.984221165938</v>
      </c>
      <c r="AC34" s="29" t="n">
        <v>780.6109600350318</v>
      </c>
      <c r="AD34" s="29" t="n">
        <v>862.1649750329318</v>
      </c>
      <c r="AE34" s="29" t="n">
        <v>1225.816140434106</v>
      </c>
      <c r="AF34" s="29" t="n">
        <v>159.0215606254595</v>
      </c>
      <c r="AG34" s="29" t="n">
        <v>2333.104524169046</v>
      </c>
      <c r="AH34" s="29" t="n">
        <v>275.5778937453362</v>
      </c>
      <c r="AI34" s="29" t="n">
        <v>119.4304689483924</v>
      </c>
      <c r="AJ34" s="29" t="n">
        <v>877.5266979327619</v>
      </c>
      <c r="AK34" s="29" t="n">
        <v>411.7417980087363</v>
      </c>
      <c r="AL34" s="29" t="n">
        <v>1625.140509307387</v>
      </c>
      <c r="AM34" s="29" t="n">
        <v>173.377071029244</v>
      </c>
      <c r="AN34" s="29" t="n">
        <v>161.0562404247256</v>
      </c>
      <c r="AO34" s="29" t="n">
        <v>623.7722337697098</v>
      </c>
      <c r="AP34" s="29" t="n">
        <v>470.8922096935997</v>
      </c>
      <c r="AQ34" s="29" t="n">
        <v>72.32084858028493</v>
      </c>
      <c r="AR34" s="29" t="n">
        <v>1177.288101921259</v>
      </c>
      <c r="AS34" s="29" t="n">
        <v>64.53570604848817</v>
      </c>
      <c r="AT34" s="29" t="n">
        <v>2.045174749353977</v>
      </c>
      <c r="AU34" s="29" t="n">
        <v>1.796655097595753</v>
      </c>
      <c r="AV34" s="29" t="n">
        <v>36.71472479593226</v>
      </c>
      <c r="AW34" s="29" t="n">
        <v>18.73087623775108</v>
      </c>
      <c r="AX34" s="29" t="n">
        <v>91.40778389090235</v>
      </c>
      <c r="AY34" s="29" t="n">
        <v>16.67964719326437</v>
      </c>
      <c r="AZ34" s="29" t="n">
        <v>20.50965895822239</v>
      </c>
      <c r="BA34" s="29" t="n">
        <v>111.9586934561005</v>
      </c>
      <c r="BB34" s="29" t="n">
        <v>26.6269065440731</v>
      </c>
      <c r="BC34" s="29" t="n">
        <v>73.14800266977784</v>
      </c>
      <c r="BD34" s="29" t="n">
        <v>49.28942731510676</v>
      </c>
      <c r="BE34" s="29" t="n">
        <v>75.51526485466364</v>
      </c>
      <c r="BF34" s="29" t="n">
        <v>49.02548045166077</v>
      </c>
      <c r="BG34" s="29" t="n">
        <v>21.55624137566849</v>
      </c>
      <c r="BH34" s="29" t="n">
        <v>17.12207178359267</v>
      </c>
      <c r="BI34" s="29" t="n">
        <v>86.55704320590741</v>
      </c>
      <c r="BJ34" s="29" t="n">
        <v>4.078575302289693</v>
      </c>
      <c r="BK34" s="29" t="n">
        <v>67.0091654077515</v>
      </c>
      <c r="BL34" s="29" t="n">
        <v>73.92672424850974</v>
      </c>
      <c r="BM34" s="29" t="n">
        <v>51.43235205921128</v>
      </c>
      <c r="BN34" s="29" t="n">
        <v>243.52481473149</v>
      </c>
      <c r="BO34" s="29" t="n">
        <v>519.6352225491308</v>
      </c>
      <c r="BP34" s="29" t="n">
        <v>49.36247931579203</v>
      </c>
      <c r="BQ34" s="29" t="n">
        <v>285.2157790915088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15302.54660118125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19101.40892389166</v>
      </c>
      <c r="D35" s="31" t="n">
        <v>2218.848729728154</v>
      </c>
      <c r="E35" s="31" t="n">
        <v>73.65963908905836</v>
      </c>
      <c r="F35" s="31" t="n">
        <v>1639.59653334603</v>
      </c>
      <c r="G35" s="31" t="n">
        <v>394.0914734293078</v>
      </c>
      <c r="H35" s="31" t="n">
        <v>177.1732877326777</v>
      </c>
      <c r="I35" s="31" t="n">
        <v>133.3504824841816</v>
      </c>
      <c r="J35" s="31" t="n">
        <v>854.0596496777499</v>
      </c>
      <c r="K35" s="31" t="n">
        <v>36.08468395070835</v>
      </c>
      <c r="L35" s="31" t="n">
        <v>2247.961440434743</v>
      </c>
      <c r="M35" s="31" t="n">
        <v>121.2602669225726</v>
      </c>
      <c r="N35" s="31" t="n">
        <v>6.073557086129248</v>
      </c>
      <c r="O35" s="31" t="n">
        <v>370.8495607861079</v>
      </c>
      <c r="P35" s="31" t="n">
        <v>48.1674621773823</v>
      </c>
      <c r="Q35" s="31" t="n">
        <v>239.9344239927148</v>
      </c>
      <c r="R35" s="31" t="n">
        <v>583.8897399448571</v>
      </c>
      <c r="S35" s="31" t="n">
        <v>1535.565399117328</v>
      </c>
      <c r="T35" s="31" t="n">
        <v>826.0365726663753</v>
      </c>
      <c r="U35" s="31" t="n">
        <v>538.7212264011683</v>
      </c>
      <c r="V35" s="31" t="n">
        <v>154.028858861994</v>
      </c>
      <c r="W35" s="31" t="n">
        <v>1654.974749011002</v>
      </c>
      <c r="X35" s="31" t="n">
        <v>7444.699872402445</v>
      </c>
      <c r="Y35" s="31" t="n">
        <v>1567.460801206894</v>
      </c>
      <c r="Z35" s="31" t="n">
        <v>839.7477254717799</v>
      </c>
      <c r="AA35" s="31" t="n">
        <v>2914.418292554635</v>
      </c>
      <c r="AB35" s="31" t="n">
        <v>1109.174670049989</v>
      </c>
      <c r="AC35" s="31" t="n">
        <v>369.5853148331379</v>
      </c>
      <c r="AD35" s="31" t="n">
        <v>81.28307932557041</v>
      </c>
      <c r="AE35" s="31" t="n">
        <v>677.3385266207987</v>
      </c>
      <c r="AF35" s="31" t="n">
        <v>304.2782679981473</v>
      </c>
      <c r="AG35" s="31" t="n">
        <v>270.8144174187903</v>
      </c>
      <c r="AH35" s="31" t="n">
        <v>243.1464549211227</v>
      </c>
      <c r="AI35" s="31" t="n">
        <v>473.2080892929285</v>
      </c>
      <c r="AJ35" s="31" t="n">
        <v>216.5989484982308</v>
      </c>
      <c r="AK35" s="31" t="n">
        <v>173.7148865421406</v>
      </c>
      <c r="AL35" s="31" t="n">
        <v>607.4294912531462</v>
      </c>
      <c r="AM35" s="31" t="n">
        <v>618.2914488033836</v>
      </c>
      <c r="AN35" s="31" t="n">
        <v>151.2175715844884</v>
      </c>
      <c r="AO35" s="31" t="n">
        <v>297.6188784845253</v>
      </c>
      <c r="AP35" s="31" t="n">
        <v>7831.053714967438</v>
      </c>
      <c r="AQ35" s="31" t="n">
        <v>954.2633218035216</v>
      </c>
      <c r="AR35" s="31" t="n">
        <v>1627.503974689544</v>
      </c>
      <c r="AS35" s="31" t="n">
        <v>226.7597902083849</v>
      </c>
      <c r="AT35" s="31" t="n">
        <v>1.092774428122695</v>
      </c>
      <c r="AU35" s="31" t="n">
        <v>4.352933949321631</v>
      </c>
      <c r="AV35" s="31" t="n">
        <v>46.11850975397047</v>
      </c>
      <c r="AW35" s="31" t="n">
        <v>23.6797276803992</v>
      </c>
      <c r="AX35" s="31" t="n">
        <v>66.73575512771239</v>
      </c>
      <c r="AY35" s="31" t="n">
        <v>157.3419352950308</v>
      </c>
      <c r="AZ35" s="31" t="n">
        <v>120.8136963832766</v>
      </c>
      <c r="BA35" s="31" t="n">
        <v>31.17601124877359</v>
      </c>
      <c r="BB35" s="31" t="n">
        <v>12.61203968638197</v>
      </c>
      <c r="BC35" s="31" t="n">
        <v>62.60331752979492</v>
      </c>
      <c r="BD35" s="31" t="n">
        <v>1113.266820724685</v>
      </c>
      <c r="BE35" s="31" t="n">
        <v>34.42684311256883</v>
      </c>
      <c r="BF35" s="31" t="n">
        <v>37.38694091017707</v>
      </c>
      <c r="BG35" s="31" t="n">
        <v>29.43987774951922</v>
      </c>
      <c r="BH35" s="31" t="n">
        <v>23.64121598331553</v>
      </c>
      <c r="BI35" s="31" t="n">
        <v>1393.177869528996</v>
      </c>
      <c r="BJ35" s="31" t="n">
        <v>2.262257684977246</v>
      </c>
      <c r="BK35" s="31" t="n">
        <v>164.6489905655564</v>
      </c>
      <c r="BL35" s="31" t="n">
        <v>268.9265037108219</v>
      </c>
      <c r="BM35" s="31" t="n">
        <v>25.58019828801369</v>
      </c>
      <c r="BN35" s="31" t="n">
        <v>589.1933384285871</v>
      </c>
      <c r="BO35" s="31" t="n">
        <v>48.64234850327232</v>
      </c>
      <c r="BP35" s="31" t="n">
        <v>32.56682369598818</v>
      </c>
      <c r="BQ35" s="31" t="n">
        <v>116.8303001088811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8122.089093237666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671.9292387111701</v>
      </c>
      <c r="D36" s="29" t="n">
        <v>98.7766012619924</v>
      </c>
      <c r="E36" s="29" t="n">
        <v>3.204974162250104</v>
      </c>
      <c r="F36" s="29" t="n">
        <v>21.69930893960141</v>
      </c>
      <c r="G36" s="29" t="n">
        <v>74.79932367042319</v>
      </c>
      <c r="H36" s="29" t="n">
        <v>36.00677163603382</v>
      </c>
      <c r="I36" s="29" t="n">
        <v>12.04900981723343</v>
      </c>
      <c r="J36" s="29" t="n">
        <v>130.1022168511139</v>
      </c>
      <c r="K36" s="29" t="n">
        <v>9.876952413371251</v>
      </c>
      <c r="L36" s="29" t="n">
        <v>221.0442129398087</v>
      </c>
      <c r="M36" s="29" t="n">
        <v>33.61833879118251</v>
      </c>
      <c r="N36" s="29" t="n">
        <v>8.955493226972136</v>
      </c>
      <c r="O36" s="29" t="n">
        <v>53.22298497746264</v>
      </c>
      <c r="P36" s="29" t="n">
        <v>46.81922911871148</v>
      </c>
      <c r="Q36" s="29" t="n">
        <v>27.80030819565553</v>
      </c>
      <c r="R36" s="29" t="n">
        <v>27.05855090392457</v>
      </c>
      <c r="S36" s="29" t="n">
        <v>162.5387860111594</v>
      </c>
      <c r="T36" s="29" t="n">
        <v>33.07039709034154</v>
      </c>
      <c r="U36" s="29" t="n">
        <v>143.4431094199459</v>
      </c>
      <c r="V36" s="29" t="n">
        <v>15.33457188201363</v>
      </c>
      <c r="W36" s="29" t="n">
        <v>297.8047275790365</v>
      </c>
      <c r="X36" s="29" t="n">
        <v>379.2979025383602</v>
      </c>
      <c r="Y36" s="29" t="n">
        <v>827.4397270864392</v>
      </c>
      <c r="Z36" s="29" t="n">
        <v>65.10357486108931</v>
      </c>
      <c r="AA36" s="29" t="n">
        <v>126.3599349462145</v>
      </c>
      <c r="AB36" s="29" t="n">
        <v>80.96516153268109</v>
      </c>
      <c r="AC36" s="29" t="n">
        <v>34.56434627866363</v>
      </c>
      <c r="AD36" s="29" t="n">
        <v>32.09678561436461</v>
      </c>
      <c r="AE36" s="29" t="n">
        <v>291.925245005431</v>
      </c>
      <c r="AF36" s="29" t="n">
        <v>41.78135781159577</v>
      </c>
      <c r="AG36" s="29" t="n">
        <v>33.17741738879488</v>
      </c>
      <c r="AH36" s="29" t="n">
        <v>66.22042639277424</v>
      </c>
      <c r="AI36" s="29" t="n">
        <v>31.16241938539284</v>
      </c>
      <c r="AJ36" s="29" t="n">
        <v>30.72637833767909</v>
      </c>
      <c r="AK36" s="29" t="n">
        <v>15.08658140344281</v>
      </c>
      <c r="AL36" s="29" t="n">
        <v>43.91422838996068</v>
      </c>
      <c r="AM36" s="29" t="n">
        <v>23.26965021005105</v>
      </c>
      <c r="AN36" s="29" t="n">
        <v>21.06691806979537</v>
      </c>
      <c r="AO36" s="29" t="n">
        <v>32.6311483953971</v>
      </c>
      <c r="AP36" s="29" t="n">
        <v>196.2508025204913</v>
      </c>
      <c r="AQ36" s="29" t="n">
        <v>114.6931904426022</v>
      </c>
      <c r="AR36" s="29" t="n">
        <v>1337.259978757584</v>
      </c>
      <c r="AS36" s="29" t="n">
        <v>168.0118830900048</v>
      </c>
      <c r="AT36" s="29" t="n">
        <v>6.105630491282642</v>
      </c>
      <c r="AU36" s="29" t="n">
        <v>1.020569387783709</v>
      </c>
      <c r="AV36" s="29" t="n">
        <v>59.7950196263756</v>
      </c>
      <c r="AW36" s="29" t="n">
        <v>48.26042465300853</v>
      </c>
      <c r="AX36" s="29" t="n">
        <v>68.01426433152648</v>
      </c>
      <c r="AY36" s="29" t="n">
        <v>39.35068384782575</v>
      </c>
      <c r="AZ36" s="29" t="n">
        <v>34.79066230837152</v>
      </c>
      <c r="BA36" s="29" t="n">
        <v>96.53248624138568</v>
      </c>
      <c r="BB36" s="29" t="n">
        <v>18.42195384556062</v>
      </c>
      <c r="BC36" s="29" t="n">
        <v>49.93304060779683</v>
      </c>
      <c r="BD36" s="29" t="n">
        <v>13.54755352832239</v>
      </c>
      <c r="BE36" s="29" t="n">
        <v>183.0917191729456</v>
      </c>
      <c r="BF36" s="29" t="n">
        <v>78.015597944002</v>
      </c>
      <c r="BG36" s="29" t="n">
        <v>189.7140914451331</v>
      </c>
      <c r="BH36" s="29" t="n">
        <v>70.25485501249736</v>
      </c>
      <c r="BI36" s="29" t="n">
        <v>920.8268792132328</v>
      </c>
      <c r="BJ36" s="29" t="n">
        <v>1.961704607033702</v>
      </c>
      <c r="BK36" s="29" t="n">
        <v>128.3575915487651</v>
      </c>
      <c r="BL36" s="29" t="n">
        <v>124.6745023125513</v>
      </c>
      <c r="BM36" s="29" t="n">
        <v>82.30452252372773</v>
      </c>
      <c r="BN36" s="29" t="n">
        <v>68.09437891069049</v>
      </c>
      <c r="BO36" s="29" t="n">
        <v>470.1757069102118</v>
      </c>
      <c r="BP36" s="29" t="n">
        <v>107.9639036918597</v>
      </c>
      <c r="BQ36" s="29" t="n">
        <v>660.9363596456247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30830.63138366116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508.6589530837293</v>
      </c>
      <c r="D37" s="31" t="n">
        <v>2002.998691721037</v>
      </c>
      <c r="E37" s="31" t="n">
        <v>14.36579657665063</v>
      </c>
      <c r="F37" s="31" t="n">
        <v>5.21578661978296</v>
      </c>
      <c r="G37" s="31" t="n">
        <v>220.3121743949624</v>
      </c>
      <c r="H37" s="31" t="n">
        <v>4.426807010438242</v>
      </c>
      <c r="I37" s="31" t="n">
        <v>1.262379219253004</v>
      </c>
      <c r="J37" s="31" t="n">
        <v>74.49467282546993</v>
      </c>
      <c r="K37" s="31" t="n">
        <v>2.090576154274331</v>
      </c>
      <c r="L37" s="31" t="n">
        <v>227.8872753039496</v>
      </c>
      <c r="M37" s="31" t="n">
        <v>7.825812495840871</v>
      </c>
      <c r="N37" s="31" t="n">
        <v>1.045809142021228</v>
      </c>
      <c r="O37" s="31" t="n">
        <v>10.45040078685166</v>
      </c>
      <c r="P37" s="31" t="n">
        <v>6.852074193802435</v>
      </c>
      <c r="Q37" s="31" t="n">
        <v>8.5970044918579</v>
      </c>
      <c r="R37" s="31" t="n">
        <v>2.791062243356392</v>
      </c>
      <c r="S37" s="31" t="n">
        <v>17.31765980939344</v>
      </c>
      <c r="T37" s="31" t="n">
        <v>1.428086764860062</v>
      </c>
      <c r="U37" s="31" t="n">
        <v>3.128463104504423</v>
      </c>
      <c r="V37" s="31" t="n">
        <v>6.101675147698707</v>
      </c>
      <c r="W37" s="31" t="n">
        <v>102.2933356352591</v>
      </c>
      <c r="X37" s="31" t="n">
        <v>320.4111893938584</v>
      </c>
      <c r="Y37" s="31" t="n">
        <v>41.2565820501811</v>
      </c>
      <c r="Z37" s="31" t="n">
        <v>3037.279129974222</v>
      </c>
      <c r="AA37" s="31" t="n">
        <v>36.42963526788536</v>
      </c>
      <c r="AB37" s="31" t="n">
        <v>9.864518484092585</v>
      </c>
      <c r="AC37" s="31" t="n">
        <v>9.655882232103512</v>
      </c>
      <c r="AD37" s="31" t="n">
        <v>5.713876215074382</v>
      </c>
      <c r="AE37" s="31" t="n">
        <v>12.43334126005206</v>
      </c>
      <c r="AF37" s="31" t="n">
        <v>5.097396742414576</v>
      </c>
      <c r="AG37" s="31" t="n">
        <v>10.64514829612285</v>
      </c>
      <c r="AH37" s="31" t="n">
        <v>13.53505325907573</v>
      </c>
      <c r="AI37" s="31" t="n">
        <v>8.370034294199252</v>
      </c>
      <c r="AJ37" s="31" t="n">
        <v>5.070886026028518</v>
      </c>
      <c r="AK37" s="31" t="n">
        <v>2.300603178864722</v>
      </c>
      <c r="AL37" s="31" t="n">
        <v>9.216839698328041</v>
      </c>
      <c r="AM37" s="31" t="n">
        <v>1.834838051069676</v>
      </c>
      <c r="AN37" s="31" t="n">
        <v>5.779011969263228</v>
      </c>
      <c r="AO37" s="31" t="n">
        <v>2.958404226336605</v>
      </c>
      <c r="AP37" s="31" t="n">
        <v>16.35285585803076</v>
      </c>
      <c r="AQ37" s="31" t="n">
        <v>10.31620585485666</v>
      </c>
      <c r="AR37" s="31" t="n">
        <v>323.6535794690979</v>
      </c>
      <c r="AS37" s="31" t="n">
        <v>5.984644058260305</v>
      </c>
      <c r="AT37" s="31" t="n">
        <v>0.3437924846901713</v>
      </c>
      <c r="AU37" s="31" t="n">
        <v>0.4834847569528847</v>
      </c>
      <c r="AV37" s="31" t="n">
        <v>6.810545247489627</v>
      </c>
      <c r="AW37" s="31" t="n">
        <v>3.986780930325425</v>
      </c>
      <c r="AX37" s="31" t="n">
        <v>27.94468100152249</v>
      </c>
      <c r="AY37" s="31" t="n">
        <v>2.330558988436718</v>
      </c>
      <c r="AZ37" s="31" t="n">
        <v>3.319660497919419</v>
      </c>
      <c r="BA37" s="31" t="n">
        <v>20.10355900274874</v>
      </c>
      <c r="BB37" s="31" t="n">
        <v>6.331685851664806</v>
      </c>
      <c r="BC37" s="31" t="n">
        <v>14.33336728136256</v>
      </c>
      <c r="BD37" s="31" t="n">
        <v>4.966929955655336</v>
      </c>
      <c r="BE37" s="31" t="n">
        <v>15.56896116162684</v>
      </c>
      <c r="BF37" s="31" t="n">
        <v>24.24119298603806</v>
      </c>
      <c r="BG37" s="31" t="n">
        <v>31.76014844181796</v>
      </c>
      <c r="BH37" s="31" t="n">
        <v>4.829009366051089</v>
      </c>
      <c r="BI37" s="31" t="n">
        <v>33.39462839696763</v>
      </c>
      <c r="BJ37" s="31" t="n">
        <v>0.7645341717343043</v>
      </c>
      <c r="BK37" s="31" t="n">
        <v>292.7181754970959</v>
      </c>
      <c r="BL37" s="31" t="n">
        <v>272.9963789830529</v>
      </c>
      <c r="BM37" s="31" t="n">
        <v>119.9701899145358</v>
      </c>
      <c r="BN37" s="31" t="n">
        <v>2718.654490480022</v>
      </c>
      <c r="BO37" s="31" t="n">
        <v>5358.793369212528</v>
      </c>
      <c r="BP37" s="31" t="n">
        <v>13.77450391857497</v>
      </c>
      <c r="BQ37" s="31" t="n">
        <v>387.6840613560171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41482.1489449324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555.8591838109021</v>
      </c>
      <c r="D38" s="29" t="n">
        <v>190.8278551000303</v>
      </c>
      <c r="E38" s="29" t="n">
        <v>37.67973436451101</v>
      </c>
      <c r="F38" s="29" t="n">
        <v>140.2828633312439</v>
      </c>
      <c r="G38" s="29" t="n">
        <v>141.6807928752891</v>
      </c>
      <c r="H38" s="29" t="n">
        <v>365.1566424488917</v>
      </c>
      <c r="I38" s="29" t="n">
        <v>70.12068085905028</v>
      </c>
      <c r="J38" s="29" t="n">
        <v>2391.73179534572</v>
      </c>
      <c r="K38" s="29" t="n">
        <v>125.473617256459</v>
      </c>
      <c r="L38" s="29" t="n">
        <v>6143.013903684392</v>
      </c>
      <c r="M38" s="29" t="n">
        <v>2686.383333172118</v>
      </c>
      <c r="N38" s="29" t="n">
        <v>5.595556232980002</v>
      </c>
      <c r="O38" s="29" t="n">
        <v>215.9812982499398</v>
      </c>
      <c r="P38" s="29" t="n">
        <v>227.6901034538548</v>
      </c>
      <c r="Q38" s="29" t="n">
        <v>688.8847441446559</v>
      </c>
      <c r="R38" s="29" t="n">
        <v>189.1512425443023</v>
      </c>
      <c r="S38" s="29" t="n">
        <v>683.2172331103556</v>
      </c>
      <c r="T38" s="29" t="n">
        <v>795.8193883555</v>
      </c>
      <c r="U38" s="29" t="n">
        <v>89.75980600533407</v>
      </c>
      <c r="V38" s="29" t="n">
        <v>39.02852069750295</v>
      </c>
      <c r="W38" s="29" t="n">
        <v>1067.873750149234</v>
      </c>
      <c r="X38" s="29" t="n">
        <v>621.6993939379411</v>
      </c>
      <c r="Y38" s="29" t="n">
        <v>1442.981067489649</v>
      </c>
      <c r="Z38" s="29" t="n">
        <v>413.1378284103711</v>
      </c>
      <c r="AA38" s="29" t="n">
        <v>13434.17604002481</v>
      </c>
      <c r="AB38" s="29" t="n">
        <v>1894.76642232805</v>
      </c>
      <c r="AC38" s="29" t="n">
        <v>407.8189208788725</v>
      </c>
      <c r="AD38" s="29" t="n">
        <v>51.38736807028307</v>
      </c>
      <c r="AE38" s="29" t="n">
        <v>696.7639271848805</v>
      </c>
      <c r="AF38" s="29" t="n">
        <v>1048.409348181112</v>
      </c>
      <c r="AG38" s="29" t="n">
        <v>1860.234107118062</v>
      </c>
      <c r="AH38" s="29" t="n">
        <v>1856.194433614578</v>
      </c>
      <c r="AI38" s="29" t="n">
        <v>6402.564021649725</v>
      </c>
      <c r="AJ38" s="29" t="n">
        <v>2764.063279967216</v>
      </c>
      <c r="AK38" s="29" t="n">
        <v>919.7488537887401</v>
      </c>
      <c r="AL38" s="29" t="n">
        <v>2200.550175878002</v>
      </c>
      <c r="AM38" s="29" t="n">
        <v>1093.095631034853</v>
      </c>
      <c r="AN38" s="29" t="n">
        <v>265.8918834237088</v>
      </c>
      <c r="AO38" s="29" t="n">
        <v>324.7649213261129</v>
      </c>
      <c r="AP38" s="29" t="n">
        <v>11749.51184625789</v>
      </c>
      <c r="AQ38" s="29" t="n">
        <v>1596.638428185744</v>
      </c>
      <c r="AR38" s="29" t="n">
        <v>5239.807774049001</v>
      </c>
      <c r="AS38" s="29" t="n">
        <v>4748.820647349568</v>
      </c>
      <c r="AT38" s="29" t="n">
        <v>2.744872857778768</v>
      </c>
      <c r="AU38" s="29" t="n">
        <v>748.5060394982771</v>
      </c>
      <c r="AV38" s="29" t="n">
        <v>123.1893764422389</v>
      </c>
      <c r="AW38" s="29" t="n">
        <v>26.18846019927031</v>
      </c>
      <c r="AX38" s="29" t="n">
        <v>444.1651508035506</v>
      </c>
      <c r="AY38" s="29" t="n">
        <v>18.91147007750829</v>
      </c>
      <c r="AZ38" s="29" t="n">
        <v>11.16561930686495</v>
      </c>
      <c r="BA38" s="29" t="n">
        <v>55.91157100514367</v>
      </c>
      <c r="BB38" s="29" t="n">
        <v>24.13302940282284</v>
      </c>
      <c r="BC38" s="29" t="n">
        <v>96.39404761658469</v>
      </c>
      <c r="BD38" s="29" t="n">
        <v>111.4281082487767</v>
      </c>
      <c r="BE38" s="29" t="n">
        <v>514.6969390678067</v>
      </c>
      <c r="BF38" s="29" t="n">
        <v>30.24376054946907</v>
      </c>
      <c r="BG38" s="29" t="n">
        <v>26.27276246859494</v>
      </c>
      <c r="BH38" s="29" t="n">
        <v>286.3630886195153</v>
      </c>
      <c r="BI38" s="29" t="n">
        <v>459.4960753301672</v>
      </c>
      <c r="BJ38" s="29" t="n">
        <v>4.03398894762802</v>
      </c>
      <c r="BK38" s="29" t="n">
        <v>164.2646532167036</v>
      </c>
      <c r="BL38" s="29" t="n">
        <v>197.8830717772908</v>
      </c>
      <c r="BM38" s="29" t="n">
        <v>40.79998483631189</v>
      </c>
      <c r="BN38" s="29" t="n">
        <v>426.4026734883194</v>
      </c>
      <c r="BO38" s="29" t="n">
        <v>487.6535020545622</v>
      </c>
      <c r="BP38" s="29" t="n">
        <v>38.77756768231838</v>
      </c>
      <c r="BQ38" s="29" t="n">
        <v>136.8943858440774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18810.14388303173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2829.450607389112</v>
      </c>
      <c r="D39" s="31" t="n">
        <v>1787.900433750099</v>
      </c>
      <c r="E39" s="31" t="n">
        <v>67.52747110059512</v>
      </c>
      <c r="F39" s="31" t="n">
        <v>73.77490886977107</v>
      </c>
      <c r="G39" s="31" t="n">
        <v>106.6054710757378</v>
      </c>
      <c r="H39" s="31" t="n">
        <v>9.964362645640042</v>
      </c>
      <c r="I39" s="31" t="n">
        <v>16.45190711883434</v>
      </c>
      <c r="J39" s="31" t="n">
        <v>59.11827072709213</v>
      </c>
      <c r="K39" s="31" t="n">
        <v>99.25035661340175</v>
      </c>
      <c r="L39" s="31" t="n">
        <v>1326.598329702047</v>
      </c>
      <c r="M39" s="31" t="n">
        <v>1450.833290562866</v>
      </c>
      <c r="N39" s="31" t="n">
        <v>1.655090629086006</v>
      </c>
      <c r="O39" s="31" t="n">
        <v>28.94136526005882</v>
      </c>
      <c r="P39" s="31" t="n">
        <v>54.34390396192931</v>
      </c>
      <c r="Q39" s="31" t="n">
        <v>22.90783003699217</v>
      </c>
      <c r="R39" s="31" t="n">
        <v>11.85618538418899</v>
      </c>
      <c r="S39" s="31" t="n">
        <v>209.2092521818544</v>
      </c>
      <c r="T39" s="31" t="n">
        <v>16.15841729310518</v>
      </c>
      <c r="U39" s="31" t="n">
        <v>179.2550018216606</v>
      </c>
      <c r="V39" s="31" t="n">
        <v>12.40878698021102</v>
      </c>
      <c r="W39" s="31" t="n">
        <v>580.2540535517284</v>
      </c>
      <c r="X39" s="31" t="n">
        <v>213.5651734930908</v>
      </c>
      <c r="Y39" s="31" t="n">
        <v>297.0652170401051</v>
      </c>
      <c r="Z39" s="31" t="n">
        <v>71.53540584796488</v>
      </c>
      <c r="AA39" s="31" t="n">
        <v>421.882960723512</v>
      </c>
      <c r="AB39" s="31" t="n">
        <v>8630.685542946398</v>
      </c>
      <c r="AC39" s="31" t="n">
        <v>295.835759865204</v>
      </c>
      <c r="AD39" s="31" t="n">
        <v>38.84198450840048</v>
      </c>
      <c r="AE39" s="31" t="n">
        <v>166.9829950112392</v>
      </c>
      <c r="AF39" s="31" t="n">
        <v>17.39531840614748</v>
      </c>
      <c r="AG39" s="31" t="n">
        <v>277.5399126062682</v>
      </c>
      <c r="AH39" s="31" t="n">
        <v>301.701158740985</v>
      </c>
      <c r="AI39" s="31" t="n">
        <v>1560.983883911093</v>
      </c>
      <c r="AJ39" s="31" t="n">
        <v>90.73514882329256</v>
      </c>
      <c r="AK39" s="31" t="n">
        <v>168.3589366690286</v>
      </c>
      <c r="AL39" s="31" t="n">
        <v>436.7664778151664</v>
      </c>
      <c r="AM39" s="31" t="n">
        <v>202.2206339609925</v>
      </c>
      <c r="AN39" s="31" t="n">
        <v>1853.322911473778</v>
      </c>
      <c r="AO39" s="31" t="n">
        <v>749.3979376240947</v>
      </c>
      <c r="AP39" s="31" t="n">
        <v>52080.87015655769</v>
      </c>
      <c r="AQ39" s="31" t="n">
        <v>207.7884488509624</v>
      </c>
      <c r="AR39" s="31" t="n">
        <v>283.0561120296412</v>
      </c>
      <c r="AS39" s="31" t="n">
        <v>24.5126285476402</v>
      </c>
      <c r="AT39" s="31" t="n">
        <v>2.070050682224623</v>
      </c>
      <c r="AU39" s="31" t="n">
        <v>0.7572855835266044</v>
      </c>
      <c r="AV39" s="31" t="n">
        <v>22.95993049351217</v>
      </c>
      <c r="AW39" s="31" t="n">
        <v>171.6219497594829</v>
      </c>
      <c r="AX39" s="31" t="n">
        <v>525.9885292415464</v>
      </c>
      <c r="AY39" s="31" t="n">
        <v>6.704485236525067</v>
      </c>
      <c r="AZ39" s="31" t="n">
        <v>6.783866688552391</v>
      </c>
      <c r="BA39" s="31" t="n">
        <v>29.40794678483745</v>
      </c>
      <c r="BB39" s="31" t="n">
        <v>10.69947608613636</v>
      </c>
      <c r="BC39" s="31" t="n">
        <v>34.41072267031471</v>
      </c>
      <c r="BD39" s="31" t="n">
        <v>2210.4350998789</v>
      </c>
      <c r="BE39" s="31" t="n">
        <v>32.71482515605143</v>
      </c>
      <c r="BF39" s="31" t="n">
        <v>12.87440349417179</v>
      </c>
      <c r="BG39" s="31" t="n">
        <v>7.661256676434062</v>
      </c>
      <c r="BH39" s="31" t="n">
        <v>9.000531981718501</v>
      </c>
      <c r="BI39" s="31" t="n">
        <v>90.36357212307567</v>
      </c>
      <c r="BJ39" s="31" t="n">
        <v>1.752383316678653</v>
      </c>
      <c r="BK39" s="31" t="n">
        <v>291.0991297486765</v>
      </c>
      <c r="BL39" s="31" t="n">
        <v>142.1400919277114</v>
      </c>
      <c r="BM39" s="31" t="n">
        <v>23.05674713499169</v>
      </c>
      <c r="BN39" s="31" t="n">
        <v>124.0451712638726</v>
      </c>
      <c r="BO39" s="31" t="n">
        <v>133.3768616033645</v>
      </c>
      <c r="BP39" s="31" t="n">
        <v>22.40147340273771</v>
      </c>
      <c r="BQ39" s="31" t="n">
        <v>219.6154308524667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8101.493436416915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192.3281655764767</v>
      </c>
      <c r="D40" s="29" t="n">
        <v>319.1456474939651</v>
      </c>
      <c r="E40" s="29" t="n">
        <v>19.26756429734203</v>
      </c>
      <c r="F40" s="29" t="n">
        <v>80.82144979431573</v>
      </c>
      <c r="G40" s="29" t="n">
        <v>1425.728282250537</v>
      </c>
      <c r="H40" s="29" t="n">
        <v>42.84430534687519</v>
      </c>
      <c r="I40" s="29" t="n">
        <v>119.6869082831124</v>
      </c>
      <c r="J40" s="29" t="n">
        <v>262.4438996729363</v>
      </c>
      <c r="K40" s="29" t="n">
        <v>6.991012577147293</v>
      </c>
      <c r="L40" s="29" t="n">
        <v>123.2008396908829</v>
      </c>
      <c r="M40" s="29" t="n">
        <v>120.7653951207173</v>
      </c>
      <c r="N40" s="29" t="n">
        <v>1.28536656094853</v>
      </c>
      <c r="O40" s="29" t="n">
        <v>9.072309063996238</v>
      </c>
      <c r="P40" s="29" t="n">
        <v>9.461496687117052</v>
      </c>
      <c r="Q40" s="29" t="n">
        <v>7.224156524142283</v>
      </c>
      <c r="R40" s="29" t="n">
        <v>16.58131302798638</v>
      </c>
      <c r="S40" s="29" t="n">
        <v>149.7805526525007</v>
      </c>
      <c r="T40" s="29" t="n">
        <v>9.587373163555132</v>
      </c>
      <c r="U40" s="29" t="n">
        <v>15.549250387546</v>
      </c>
      <c r="V40" s="29" t="n">
        <v>9.729284018608574</v>
      </c>
      <c r="W40" s="29" t="n">
        <v>60.28756083386952</v>
      </c>
      <c r="X40" s="29" t="n">
        <v>52.068458759969</v>
      </c>
      <c r="Y40" s="29" t="n">
        <v>37.5332332976331</v>
      </c>
      <c r="Z40" s="29" t="n">
        <v>19.63624174710364</v>
      </c>
      <c r="AA40" s="29" t="n">
        <v>614.4986621495538</v>
      </c>
      <c r="AB40" s="29" t="n">
        <v>723.6437751475819</v>
      </c>
      <c r="AC40" s="29" t="n">
        <v>8326.127420662755</v>
      </c>
      <c r="AD40" s="29" t="n">
        <v>733.7923909024186</v>
      </c>
      <c r="AE40" s="29" t="n">
        <v>14703.43232574718</v>
      </c>
      <c r="AF40" s="29" t="n">
        <v>73.86758546699892</v>
      </c>
      <c r="AG40" s="29" t="n">
        <v>2633.948319095021</v>
      </c>
      <c r="AH40" s="29" t="n">
        <v>7150.800140816137</v>
      </c>
      <c r="AI40" s="29" t="n">
        <v>5083.583244650996</v>
      </c>
      <c r="AJ40" s="29" t="n">
        <v>5399.881874349908</v>
      </c>
      <c r="AK40" s="29" t="n">
        <v>1292.800492236975</v>
      </c>
      <c r="AL40" s="29" t="n">
        <v>1104.273289846526</v>
      </c>
      <c r="AM40" s="29" t="n">
        <v>1115.244765236296</v>
      </c>
      <c r="AN40" s="29" t="n">
        <v>336.3709900882493</v>
      </c>
      <c r="AO40" s="29" t="n">
        <v>106.1020310924301</v>
      </c>
      <c r="AP40" s="29" t="n">
        <v>15734.97101791902</v>
      </c>
      <c r="AQ40" s="29" t="n">
        <v>58.00783991478864</v>
      </c>
      <c r="AR40" s="29" t="n">
        <v>1430.669210630723</v>
      </c>
      <c r="AS40" s="29" t="n">
        <v>48.79981010044523</v>
      </c>
      <c r="AT40" s="29" t="n">
        <v>7.847107294270538</v>
      </c>
      <c r="AU40" s="29" t="n">
        <v>4.74645175357815</v>
      </c>
      <c r="AV40" s="29" t="n">
        <v>46.19006819801893</v>
      </c>
      <c r="AW40" s="29" t="n">
        <v>16.86660500735014</v>
      </c>
      <c r="AX40" s="29" t="n">
        <v>107.9083582788441</v>
      </c>
      <c r="AY40" s="29" t="n">
        <v>7.033448743391052</v>
      </c>
      <c r="AZ40" s="29" t="n">
        <v>7.091245385096636</v>
      </c>
      <c r="BA40" s="29" t="n">
        <v>40.18258368769181</v>
      </c>
      <c r="BB40" s="29" t="n">
        <v>35.33494740980372</v>
      </c>
      <c r="BC40" s="29" t="n">
        <v>61.44642906841334</v>
      </c>
      <c r="BD40" s="29" t="n">
        <v>34.00064193557352</v>
      </c>
      <c r="BE40" s="29" t="n">
        <v>58.53580509206402</v>
      </c>
      <c r="BF40" s="29" t="n">
        <v>37.47428809842652</v>
      </c>
      <c r="BG40" s="29" t="n">
        <v>10.99023321913374</v>
      </c>
      <c r="BH40" s="29" t="n">
        <v>228.1410120760833</v>
      </c>
      <c r="BI40" s="29" t="n">
        <v>47.11651131115307</v>
      </c>
      <c r="BJ40" s="29" t="n">
        <v>6.188440381417935</v>
      </c>
      <c r="BK40" s="29" t="n">
        <v>176.7626606769788</v>
      </c>
      <c r="BL40" s="29" t="n">
        <v>43.8736140403977</v>
      </c>
      <c r="BM40" s="29" t="n">
        <v>42.47362451750929</v>
      </c>
      <c r="BN40" s="29" t="n">
        <v>19.52404089374528</v>
      </c>
      <c r="BO40" s="29" t="n">
        <v>22.67230749054111</v>
      </c>
      <c r="BP40" s="29" t="n">
        <v>42.6517781488338</v>
      </c>
      <c r="BQ40" s="29" t="n">
        <v>36.52599592688425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30668.55463163885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121.5417593779403</v>
      </c>
      <c r="D41" s="31" t="n">
        <v>28.30169272718573</v>
      </c>
      <c r="E41" s="31" t="n">
        <v>1.983171944417379</v>
      </c>
      <c r="F41" s="31" t="n">
        <v>5.34346302990068</v>
      </c>
      <c r="G41" s="31" t="n">
        <v>58.85549966323788</v>
      </c>
      <c r="H41" s="31" t="n">
        <v>14.91633266134248</v>
      </c>
      <c r="I41" s="31" t="n">
        <v>87.52036093291929</v>
      </c>
      <c r="J41" s="31" t="n">
        <v>312.075470380603</v>
      </c>
      <c r="K41" s="31" t="n">
        <v>5.088403939574335</v>
      </c>
      <c r="L41" s="31" t="n">
        <v>440.4895460533052</v>
      </c>
      <c r="M41" s="31" t="n">
        <v>24.71031323782971</v>
      </c>
      <c r="N41" s="31" t="n">
        <v>0.7646659934657394</v>
      </c>
      <c r="O41" s="31" t="n">
        <v>10.05393625143331</v>
      </c>
      <c r="P41" s="31" t="n">
        <v>7.924627812112382</v>
      </c>
      <c r="Q41" s="31" t="n">
        <v>8.075279921803967</v>
      </c>
      <c r="R41" s="31" t="n">
        <v>4.023209305880587</v>
      </c>
      <c r="S41" s="31" t="n">
        <v>269.2563719164429</v>
      </c>
      <c r="T41" s="31" t="n">
        <v>246.7912193410276</v>
      </c>
      <c r="U41" s="31" t="n">
        <v>4.908817550790017</v>
      </c>
      <c r="V41" s="31" t="n">
        <v>3.679388406337668</v>
      </c>
      <c r="W41" s="31" t="n">
        <v>522.2422360599061</v>
      </c>
      <c r="X41" s="31" t="n">
        <v>252.1647961281531</v>
      </c>
      <c r="Y41" s="31" t="n">
        <v>32.15277125236221</v>
      </c>
      <c r="Z41" s="31" t="n">
        <v>19.62085999517858</v>
      </c>
      <c r="AA41" s="31" t="n">
        <v>90.78411620263222</v>
      </c>
      <c r="AB41" s="31" t="n">
        <v>124.632248849572</v>
      </c>
      <c r="AC41" s="31" t="n">
        <v>1526.391503313145</v>
      </c>
      <c r="AD41" s="31" t="n">
        <v>9163.584849644329</v>
      </c>
      <c r="AE41" s="31" t="n">
        <v>2439.481962388122</v>
      </c>
      <c r="AF41" s="31" t="n">
        <v>171.1137168844689</v>
      </c>
      <c r="AG41" s="31" t="n">
        <v>7014.842322536927</v>
      </c>
      <c r="AH41" s="31" t="n">
        <v>1695.346124182989</v>
      </c>
      <c r="AI41" s="31" t="n">
        <v>495.2257185051005</v>
      </c>
      <c r="AJ41" s="31" t="n">
        <v>3763.287131772909</v>
      </c>
      <c r="AK41" s="31" t="n">
        <v>1006.787774946176</v>
      </c>
      <c r="AL41" s="31" t="n">
        <v>2069.077418066758</v>
      </c>
      <c r="AM41" s="31" t="n">
        <v>1252.75829175586</v>
      </c>
      <c r="AN41" s="31" t="n">
        <v>78.22009381370954</v>
      </c>
      <c r="AO41" s="31" t="n">
        <v>117.4290205041665</v>
      </c>
      <c r="AP41" s="31" t="n">
        <v>3379.069781490206</v>
      </c>
      <c r="AQ41" s="31" t="n">
        <v>466.6831371168768</v>
      </c>
      <c r="AR41" s="31" t="n">
        <v>495.3380507503412</v>
      </c>
      <c r="AS41" s="31" t="n">
        <v>53.46914001064293</v>
      </c>
      <c r="AT41" s="31" t="n">
        <v>1.76533951872511</v>
      </c>
      <c r="AU41" s="31" t="n">
        <v>1.565949177215822</v>
      </c>
      <c r="AV41" s="31" t="n">
        <v>31.38673472009979</v>
      </c>
      <c r="AW41" s="31" t="n">
        <v>14.6669648447987</v>
      </c>
      <c r="AX41" s="31" t="n">
        <v>65.80392184877711</v>
      </c>
      <c r="AY41" s="31" t="n">
        <v>4.132164696889619</v>
      </c>
      <c r="AZ41" s="31" t="n">
        <v>6.515686090384566</v>
      </c>
      <c r="BA41" s="31" t="n">
        <v>39.5305213799406</v>
      </c>
      <c r="BB41" s="31" t="n">
        <v>19.13459901470537</v>
      </c>
      <c r="BC41" s="31" t="n">
        <v>69.80996807137885</v>
      </c>
      <c r="BD41" s="31" t="n">
        <v>68.71883393527506</v>
      </c>
      <c r="BE41" s="31" t="n">
        <v>63.60939434034161</v>
      </c>
      <c r="BF41" s="31" t="n">
        <v>13.94056375454437</v>
      </c>
      <c r="BG41" s="31" t="n">
        <v>12.29576860228012</v>
      </c>
      <c r="BH41" s="31" t="n">
        <v>14.56254429711382</v>
      </c>
      <c r="BI41" s="31" t="n">
        <v>43.48004849512365</v>
      </c>
      <c r="BJ41" s="31" t="n">
        <v>3.554346621136188</v>
      </c>
      <c r="BK41" s="31" t="n">
        <v>59.97853526746185</v>
      </c>
      <c r="BL41" s="31" t="n">
        <v>13.68019849123422</v>
      </c>
      <c r="BM41" s="31" t="n">
        <v>49.27706686319377</v>
      </c>
      <c r="BN41" s="31" t="n">
        <v>15.25402840726075</v>
      </c>
      <c r="BO41" s="31" t="n">
        <v>55.59095721549549</v>
      </c>
      <c r="BP41" s="31" t="n">
        <v>46.5566663705796</v>
      </c>
      <c r="BQ41" s="31" t="n">
        <v>46.16934219987479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18514.99292504058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358.9449893440616</v>
      </c>
      <c r="D42" s="29" t="n">
        <v>521.4291025016754</v>
      </c>
      <c r="E42" s="29" t="n">
        <v>45.85742914687707</v>
      </c>
      <c r="F42" s="29" t="n">
        <v>48.41766834229964</v>
      </c>
      <c r="G42" s="29" t="n">
        <v>1136.024114236022</v>
      </c>
      <c r="H42" s="29" t="n">
        <v>485.6691738212979</v>
      </c>
      <c r="I42" s="29" t="n">
        <v>217.6527470005275</v>
      </c>
      <c r="J42" s="29" t="n">
        <v>1954.11166873075</v>
      </c>
      <c r="K42" s="29" t="n">
        <v>61.61078412394409</v>
      </c>
      <c r="L42" s="29" t="n">
        <v>1827.546361010382</v>
      </c>
      <c r="M42" s="29" t="n">
        <v>3140.092040174054</v>
      </c>
      <c r="N42" s="29" t="n">
        <v>14.37005783793932</v>
      </c>
      <c r="O42" s="29" t="n">
        <v>63.2968049028871</v>
      </c>
      <c r="P42" s="29" t="n">
        <v>72.76012131485399</v>
      </c>
      <c r="Q42" s="29" t="n">
        <v>55.13337442792912</v>
      </c>
      <c r="R42" s="29" t="n">
        <v>329.9522951929748</v>
      </c>
      <c r="S42" s="29" t="n">
        <v>127.1422637072237</v>
      </c>
      <c r="T42" s="29" t="n">
        <v>29.51714255695725</v>
      </c>
      <c r="U42" s="29" t="n">
        <v>271.6076174061349</v>
      </c>
      <c r="V42" s="29" t="n">
        <v>54.31381893244711</v>
      </c>
      <c r="W42" s="29" t="n">
        <v>337.3146178617694</v>
      </c>
      <c r="X42" s="29" t="n">
        <v>644.225978334121</v>
      </c>
      <c r="Y42" s="29" t="n">
        <v>746.7130279368334</v>
      </c>
      <c r="Z42" s="29" t="n">
        <v>133.5077220744611</v>
      </c>
      <c r="AA42" s="29" t="n">
        <v>213.7779765659883</v>
      </c>
      <c r="AB42" s="29" t="n">
        <v>215.980369124746</v>
      </c>
      <c r="AC42" s="29" t="n">
        <v>1931.37738346295</v>
      </c>
      <c r="AD42" s="29" t="n">
        <v>261.1112052769771</v>
      </c>
      <c r="AE42" s="29" t="n">
        <v>6358.947999079371</v>
      </c>
      <c r="AF42" s="29" t="n">
        <v>744.7030802689138</v>
      </c>
      <c r="AG42" s="29" t="n">
        <v>1884.115395492482</v>
      </c>
      <c r="AH42" s="29" t="n">
        <v>4386.403149158525</v>
      </c>
      <c r="AI42" s="29" t="n">
        <v>2539.953217032939</v>
      </c>
      <c r="AJ42" s="29" t="n">
        <v>1539.867227423568</v>
      </c>
      <c r="AK42" s="29" t="n">
        <v>2310.06300720423</v>
      </c>
      <c r="AL42" s="29" t="n">
        <v>1050.780620585728</v>
      </c>
      <c r="AM42" s="29" t="n">
        <v>2449.700631382653</v>
      </c>
      <c r="AN42" s="29" t="n">
        <v>2237.953401801053</v>
      </c>
      <c r="AO42" s="29" t="n">
        <v>414.2850823731983</v>
      </c>
      <c r="AP42" s="29" t="n">
        <v>20136.77947385409</v>
      </c>
      <c r="AQ42" s="29" t="n">
        <v>305.3256503370237</v>
      </c>
      <c r="AR42" s="29" t="n">
        <v>1360.649999406277</v>
      </c>
      <c r="AS42" s="29" t="n">
        <v>132.4725202808304</v>
      </c>
      <c r="AT42" s="29" t="n">
        <v>9.751953509083467</v>
      </c>
      <c r="AU42" s="29" t="n">
        <v>4.52604860745919</v>
      </c>
      <c r="AV42" s="29" t="n">
        <v>40.79430744677856</v>
      </c>
      <c r="AW42" s="29" t="n">
        <v>143.9465168340935</v>
      </c>
      <c r="AX42" s="29" t="n">
        <v>1630.807609467566</v>
      </c>
      <c r="AY42" s="29" t="n">
        <v>9.948011696581805</v>
      </c>
      <c r="AZ42" s="29" t="n">
        <v>17.57471363200035</v>
      </c>
      <c r="BA42" s="29" t="n">
        <v>72.50846098942198</v>
      </c>
      <c r="BB42" s="29" t="n">
        <v>23.88999858617298</v>
      </c>
      <c r="BC42" s="29" t="n">
        <v>44.38218060559687</v>
      </c>
      <c r="BD42" s="29" t="n">
        <v>321.5080694724289</v>
      </c>
      <c r="BE42" s="29" t="n">
        <v>52.6497160599335</v>
      </c>
      <c r="BF42" s="29" t="n">
        <v>29.37882912110727</v>
      </c>
      <c r="BG42" s="29" t="n">
        <v>10.9525037513111</v>
      </c>
      <c r="BH42" s="29" t="n">
        <v>19.26843059741182</v>
      </c>
      <c r="BI42" s="29" t="n">
        <v>233.4482950608674</v>
      </c>
      <c r="BJ42" s="29" t="n">
        <v>68.95768785794816</v>
      </c>
      <c r="BK42" s="29" t="n">
        <v>658.8107481714259</v>
      </c>
      <c r="BL42" s="29" t="n">
        <v>81.99561324912008</v>
      </c>
      <c r="BM42" s="29" t="n">
        <v>29.08410467564105</v>
      </c>
      <c r="BN42" s="29" t="n">
        <v>113.8444149739956</v>
      </c>
      <c r="BO42" s="29" t="n">
        <v>37.55505291694716</v>
      </c>
      <c r="BP42" s="29" t="n">
        <v>30.96522793529296</v>
      </c>
      <c r="BQ42" s="29" t="n">
        <v>101.8154526828428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24329.06731908912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3.255383879583563</v>
      </c>
      <c r="D43" s="31" t="n">
        <v>5.052050611384907</v>
      </c>
      <c r="E43" s="31" t="n">
        <v>0.9994108545626256</v>
      </c>
      <c r="F43" s="31" t="n">
        <v>6.825413840350061</v>
      </c>
      <c r="G43" s="31" t="n">
        <v>268.3423181437082</v>
      </c>
      <c r="H43" s="31" t="n">
        <v>61.98236163487781</v>
      </c>
      <c r="I43" s="31" t="n">
        <v>21.4815386881036</v>
      </c>
      <c r="J43" s="31" t="n">
        <v>92.1272548233824</v>
      </c>
      <c r="K43" s="31" t="n">
        <v>6.028285421246719</v>
      </c>
      <c r="L43" s="31" t="n">
        <v>58.07839414297383</v>
      </c>
      <c r="M43" s="31" t="n">
        <v>13.87949979727911</v>
      </c>
      <c r="N43" s="31" t="n">
        <v>2.383605999581194</v>
      </c>
      <c r="O43" s="31" t="n">
        <v>9.300492049435704</v>
      </c>
      <c r="P43" s="31" t="n">
        <v>14.45352685471713</v>
      </c>
      <c r="Q43" s="31" t="n">
        <v>13.96535284994858</v>
      </c>
      <c r="R43" s="31" t="n">
        <v>8.43361382308388</v>
      </c>
      <c r="S43" s="31" t="n">
        <v>31.9697752364255</v>
      </c>
      <c r="T43" s="31" t="n">
        <v>161.5906664238356</v>
      </c>
      <c r="U43" s="31" t="n">
        <v>8.447080695699345</v>
      </c>
      <c r="V43" s="31" t="n">
        <v>7.948359081772015</v>
      </c>
      <c r="W43" s="31" t="n">
        <v>18.30385720440392</v>
      </c>
      <c r="X43" s="31" t="n">
        <v>19.06471118660312</v>
      </c>
      <c r="Y43" s="31" t="n">
        <v>6.173218164702048</v>
      </c>
      <c r="Z43" s="31" t="n">
        <v>23.53559339752275</v>
      </c>
      <c r="AA43" s="31" t="n">
        <v>30.66094230418006</v>
      </c>
      <c r="AB43" s="31" t="n">
        <v>28.80129581301382</v>
      </c>
      <c r="AC43" s="31" t="n">
        <v>52.1264578117317</v>
      </c>
      <c r="AD43" s="31" t="n">
        <v>16.43408838233567</v>
      </c>
      <c r="AE43" s="31" t="n">
        <v>33.87986914167858</v>
      </c>
      <c r="AF43" s="31" t="n">
        <v>14093.32548282851</v>
      </c>
      <c r="AG43" s="31" t="n">
        <v>397.9005987890391</v>
      </c>
      <c r="AH43" s="31" t="n">
        <v>791.6245689749918</v>
      </c>
      <c r="AI43" s="31" t="n">
        <v>296.4432195096847</v>
      </c>
      <c r="AJ43" s="31" t="n">
        <v>111.306834156621</v>
      </c>
      <c r="AK43" s="31" t="n">
        <v>114.3608154874623</v>
      </c>
      <c r="AL43" s="31" t="n">
        <v>65.23753257941095</v>
      </c>
      <c r="AM43" s="31" t="n">
        <v>633.3609118920119</v>
      </c>
      <c r="AN43" s="31" t="n">
        <v>272.3121724116001</v>
      </c>
      <c r="AO43" s="31" t="n">
        <v>21.94631543438689</v>
      </c>
      <c r="AP43" s="31" t="n">
        <v>674.2316402425008</v>
      </c>
      <c r="AQ43" s="31" t="n">
        <v>49.08628763275129</v>
      </c>
      <c r="AR43" s="31" t="n">
        <v>375.3071181153916</v>
      </c>
      <c r="AS43" s="31" t="n">
        <v>61.42174264250616</v>
      </c>
      <c r="AT43" s="31" t="n">
        <v>9.453232626103111</v>
      </c>
      <c r="AU43" s="31" t="n">
        <v>8.526033738671993</v>
      </c>
      <c r="AV43" s="31" t="n">
        <v>145.6057294783428</v>
      </c>
      <c r="AW43" s="31" t="n">
        <v>3.369410033279375</v>
      </c>
      <c r="AX43" s="31" t="n">
        <v>9.82667766084959</v>
      </c>
      <c r="AY43" s="31" t="n">
        <v>10.18310867909563</v>
      </c>
      <c r="AZ43" s="31" t="n">
        <v>301.6464780091174</v>
      </c>
      <c r="BA43" s="31" t="n">
        <v>359.3782195030237</v>
      </c>
      <c r="BB43" s="31" t="n">
        <v>2038.163381063378</v>
      </c>
      <c r="BC43" s="31" t="n">
        <v>420.2323875081167</v>
      </c>
      <c r="BD43" s="31" t="n">
        <v>17.19835128541047</v>
      </c>
      <c r="BE43" s="31" t="n">
        <v>388.6152433729833</v>
      </c>
      <c r="BF43" s="31" t="n">
        <v>872.6582666620503</v>
      </c>
      <c r="BG43" s="31" t="n">
        <v>120.6674378834652</v>
      </c>
      <c r="BH43" s="31" t="n">
        <v>48.84986769823099</v>
      </c>
      <c r="BI43" s="31" t="n">
        <v>1037.974836470438</v>
      </c>
      <c r="BJ43" s="31" t="n">
        <v>131.7380000076573</v>
      </c>
      <c r="BK43" s="31" t="n">
        <v>256.2554287147764</v>
      </c>
      <c r="BL43" s="31" t="n">
        <v>606.3792786436709</v>
      </c>
      <c r="BM43" s="31" t="n">
        <v>128.3096240100407</v>
      </c>
      <c r="BN43" s="31" t="n">
        <v>195.8874588972014</v>
      </c>
      <c r="BO43" s="31" t="n">
        <v>210.5862973653931</v>
      </c>
      <c r="BP43" s="31" t="n">
        <v>59.09005527032275</v>
      </c>
      <c r="BQ43" s="31" t="n">
        <v>683.6890227156924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58161.19266892361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42.63663535167974</v>
      </c>
      <c r="D44" s="29" t="n">
        <v>87.85309242972507</v>
      </c>
      <c r="E44" s="29" t="n">
        <v>6.614314644713362</v>
      </c>
      <c r="F44" s="29" t="n">
        <v>22.31686541258289</v>
      </c>
      <c r="G44" s="29" t="n">
        <v>213.9486210213719</v>
      </c>
      <c r="H44" s="29" t="n">
        <v>60.02991266462309</v>
      </c>
      <c r="I44" s="29" t="n">
        <v>28.21516585978065</v>
      </c>
      <c r="J44" s="29" t="n">
        <v>114.1257341537477</v>
      </c>
      <c r="K44" s="29" t="n">
        <v>19.17419572747879</v>
      </c>
      <c r="L44" s="29" t="n">
        <v>130.1938913491499</v>
      </c>
      <c r="M44" s="29" t="n">
        <v>54.55530170590644</v>
      </c>
      <c r="N44" s="29" t="n">
        <v>3.208730855932265</v>
      </c>
      <c r="O44" s="29" t="n">
        <v>39.68159080282027</v>
      </c>
      <c r="P44" s="29" t="n">
        <v>12.02048136343229</v>
      </c>
      <c r="Q44" s="29" t="n">
        <v>16.39663185346995</v>
      </c>
      <c r="R44" s="29" t="n">
        <v>24.37255242098238</v>
      </c>
      <c r="S44" s="29" t="n">
        <v>67.0275884105283</v>
      </c>
      <c r="T44" s="29" t="n">
        <v>15.84796126714228</v>
      </c>
      <c r="U44" s="29" t="n">
        <v>11.54722469862628</v>
      </c>
      <c r="V44" s="29" t="n">
        <v>10.98308753385468</v>
      </c>
      <c r="W44" s="29" t="n">
        <v>91.33739218978391</v>
      </c>
      <c r="X44" s="29" t="n">
        <v>38.14035336747231</v>
      </c>
      <c r="Y44" s="29" t="n">
        <v>23.83086124176549</v>
      </c>
      <c r="Z44" s="29" t="n">
        <v>25.64296885374721</v>
      </c>
      <c r="AA44" s="29" t="n">
        <v>120.117567965581</v>
      </c>
      <c r="AB44" s="29" t="n">
        <v>127.7596261912456</v>
      </c>
      <c r="AC44" s="29" t="n">
        <v>72.79496783577153</v>
      </c>
      <c r="AD44" s="29" t="n">
        <v>159.3263999540385</v>
      </c>
      <c r="AE44" s="29" t="n">
        <v>142.675077927495</v>
      </c>
      <c r="AF44" s="29" t="n">
        <v>1640.127112017291</v>
      </c>
      <c r="AG44" s="29" t="n">
        <v>6534.656965503972</v>
      </c>
      <c r="AH44" s="29" t="n">
        <v>2437.449982522934</v>
      </c>
      <c r="AI44" s="29" t="n">
        <v>931.3899275329194</v>
      </c>
      <c r="AJ44" s="29" t="n">
        <v>710.8220145605382</v>
      </c>
      <c r="AK44" s="29" t="n">
        <v>425.7191880555004</v>
      </c>
      <c r="AL44" s="29" t="n">
        <v>250.1360086284339</v>
      </c>
      <c r="AM44" s="29" t="n">
        <v>1976.054660455369</v>
      </c>
      <c r="AN44" s="29" t="n">
        <v>5145.264443484708</v>
      </c>
      <c r="AO44" s="29" t="n">
        <v>154.9874979040138</v>
      </c>
      <c r="AP44" s="29" t="n">
        <v>7974.40936371436</v>
      </c>
      <c r="AQ44" s="29" t="n">
        <v>393.676396783129</v>
      </c>
      <c r="AR44" s="29" t="n">
        <v>978.552688395032</v>
      </c>
      <c r="AS44" s="29" t="n">
        <v>923.9121553613279</v>
      </c>
      <c r="AT44" s="29" t="n">
        <v>16.36563359590617</v>
      </c>
      <c r="AU44" s="29" t="n">
        <v>1.761852930649456</v>
      </c>
      <c r="AV44" s="29" t="n">
        <v>80.09202755000892</v>
      </c>
      <c r="AW44" s="29" t="n">
        <v>32.47548685729652</v>
      </c>
      <c r="AX44" s="29" t="n">
        <v>53.63612167612181</v>
      </c>
      <c r="AY44" s="29" t="n">
        <v>9.733955970223034</v>
      </c>
      <c r="AZ44" s="29" t="n">
        <v>51.62385396511006</v>
      </c>
      <c r="BA44" s="29" t="n">
        <v>664.6808395267299</v>
      </c>
      <c r="BB44" s="29" t="n">
        <v>28.2915370451667</v>
      </c>
      <c r="BC44" s="29" t="n">
        <v>67.37165807516998</v>
      </c>
      <c r="BD44" s="29" t="n">
        <v>376.49840683015</v>
      </c>
      <c r="BE44" s="29" t="n">
        <v>574.2536769399146</v>
      </c>
      <c r="BF44" s="29" t="n">
        <v>73.86697009530383</v>
      </c>
      <c r="BG44" s="29" t="n">
        <v>37.53849532499478</v>
      </c>
      <c r="BH44" s="29" t="n">
        <v>32.16592920163234</v>
      </c>
      <c r="BI44" s="29" t="n">
        <v>472.3190451250877</v>
      </c>
      <c r="BJ44" s="29" t="n">
        <v>3.852482757894461</v>
      </c>
      <c r="BK44" s="29" t="n">
        <v>89.95012147574246</v>
      </c>
      <c r="BL44" s="29" t="n">
        <v>55.49630151577622</v>
      </c>
      <c r="BM44" s="29" t="n">
        <v>20.2320045861804</v>
      </c>
      <c r="BN44" s="29" t="n">
        <v>18.05136419858902</v>
      </c>
      <c r="BO44" s="29" t="n">
        <v>16.02060408685621</v>
      </c>
      <c r="BP44" s="29" t="n">
        <v>67.01975115487694</v>
      </c>
      <c r="BQ44" s="29" t="n">
        <v>681.3902099541571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36213.6927574203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31.98320318742661</v>
      </c>
      <c r="D45" s="31" t="n">
        <v>43.05540384970985</v>
      </c>
      <c r="E45" s="31" t="n">
        <v>7.613890970335301</v>
      </c>
      <c r="F45" s="31" t="n">
        <v>147.2968205080784</v>
      </c>
      <c r="G45" s="31" t="n">
        <v>2752.978454783039</v>
      </c>
      <c r="H45" s="31" t="n">
        <v>2114.500229088149</v>
      </c>
      <c r="I45" s="31" t="n">
        <v>785.4694283384465</v>
      </c>
      <c r="J45" s="31" t="n">
        <v>245.8614311335419</v>
      </c>
      <c r="K45" s="31" t="n">
        <v>18.12594761676751</v>
      </c>
      <c r="L45" s="31" t="n">
        <v>191.0588714755944</v>
      </c>
      <c r="M45" s="31" t="n">
        <v>116.291492200754</v>
      </c>
      <c r="N45" s="31" t="n">
        <v>6.049775877660505</v>
      </c>
      <c r="O45" s="31" t="n">
        <v>24.11045361233646</v>
      </c>
      <c r="P45" s="31" t="n">
        <v>26.9248603549547</v>
      </c>
      <c r="Q45" s="31" t="n">
        <v>33.22743275233599</v>
      </c>
      <c r="R45" s="31" t="n">
        <v>73.765859188428</v>
      </c>
      <c r="S45" s="31" t="n">
        <v>97.21589706411731</v>
      </c>
      <c r="T45" s="31" t="n">
        <v>27.53958358688304</v>
      </c>
      <c r="U45" s="31" t="n">
        <v>150.5596303443816</v>
      </c>
      <c r="V45" s="31" t="n">
        <v>23.50316545236092</v>
      </c>
      <c r="W45" s="31" t="n">
        <v>61.06715435113289</v>
      </c>
      <c r="X45" s="31" t="n">
        <v>64.56838567358182</v>
      </c>
      <c r="Y45" s="31" t="n">
        <v>36.80953932590631</v>
      </c>
      <c r="Z45" s="31" t="n">
        <v>58.91201943118286</v>
      </c>
      <c r="AA45" s="31" t="n">
        <v>156.7029165280397</v>
      </c>
      <c r="AB45" s="31" t="n">
        <v>95.64055518173778</v>
      </c>
      <c r="AC45" s="31" t="n">
        <v>242.643968277194</v>
      </c>
      <c r="AD45" s="31" t="n">
        <v>98.43117919964564</v>
      </c>
      <c r="AE45" s="31" t="n">
        <v>331.521882000859</v>
      </c>
      <c r="AF45" s="31" t="n">
        <v>167.408847124884</v>
      </c>
      <c r="AG45" s="31" t="n">
        <v>640.9280861765307</v>
      </c>
      <c r="AH45" s="31" t="n">
        <v>14060.80006589556</v>
      </c>
      <c r="AI45" s="31" t="n">
        <v>1971.211012384172</v>
      </c>
      <c r="AJ45" s="31" t="n">
        <v>375.9308456633905</v>
      </c>
      <c r="AK45" s="31" t="n">
        <v>767.4937517655283</v>
      </c>
      <c r="AL45" s="31" t="n">
        <v>92.52585563156049</v>
      </c>
      <c r="AM45" s="31" t="n">
        <v>7169.41774380161</v>
      </c>
      <c r="AN45" s="31" t="n">
        <v>260.7346312255825</v>
      </c>
      <c r="AO45" s="31" t="n">
        <v>84.45536665317994</v>
      </c>
      <c r="AP45" s="31" t="n">
        <v>3772.038459419217</v>
      </c>
      <c r="AQ45" s="31" t="n">
        <v>585.29541853411</v>
      </c>
      <c r="AR45" s="31" t="n">
        <v>653.1754261133177</v>
      </c>
      <c r="AS45" s="31" t="n">
        <v>356.709953907119</v>
      </c>
      <c r="AT45" s="31" t="n">
        <v>113.7334947954131</v>
      </c>
      <c r="AU45" s="31" t="n">
        <v>14.35864980634803</v>
      </c>
      <c r="AV45" s="31" t="n">
        <v>194.9068771087905</v>
      </c>
      <c r="AW45" s="31" t="n">
        <v>11.10798293633453</v>
      </c>
      <c r="AX45" s="31" t="n">
        <v>59.58569439816783</v>
      </c>
      <c r="AY45" s="31" t="n">
        <v>22.03128096960867</v>
      </c>
      <c r="AZ45" s="31" t="n">
        <v>19.26555820585967</v>
      </c>
      <c r="BA45" s="31" t="n">
        <v>159.5268399355953</v>
      </c>
      <c r="BB45" s="31" t="n">
        <v>33.77654492547721</v>
      </c>
      <c r="BC45" s="31" t="n">
        <v>21.16238837203842</v>
      </c>
      <c r="BD45" s="31" t="n">
        <v>24.48284258686398</v>
      </c>
      <c r="BE45" s="31" t="n">
        <v>48.30759325338896</v>
      </c>
      <c r="BF45" s="31" t="n">
        <v>59.60362320382274</v>
      </c>
      <c r="BG45" s="31" t="n">
        <v>10.49620962309993</v>
      </c>
      <c r="BH45" s="31" t="n">
        <v>25.82789621518582</v>
      </c>
      <c r="BI45" s="31" t="n">
        <v>926.8193088033941</v>
      </c>
      <c r="BJ45" s="31" t="n">
        <v>6.596823093854773</v>
      </c>
      <c r="BK45" s="31" t="n">
        <v>104.627622765967</v>
      </c>
      <c r="BL45" s="31" t="n">
        <v>24.87571683175164</v>
      </c>
      <c r="BM45" s="31" t="n">
        <v>7.310038171155716</v>
      </c>
      <c r="BN45" s="31" t="n">
        <v>100.1304167476505</v>
      </c>
      <c r="BO45" s="31" t="n">
        <v>22.10947076840424</v>
      </c>
      <c r="BP45" s="31" t="n">
        <v>17.19093187836728</v>
      </c>
      <c r="BQ45" s="31" t="n">
        <v>41.69465787716997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79546.60828319276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10.6380541388133</v>
      </c>
      <c r="D46" s="29" t="n">
        <v>4.889341955137111</v>
      </c>
      <c r="E46" s="29" t="n">
        <v>1.080767461159126</v>
      </c>
      <c r="F46" s="29" t="n">
        <v>3.844543596812046</v>
      </c>
      <c r="G46" s="29" t="n">
        <v>17.3651620013744</v>
      </c>
      <c r="H46" s="29" t="n">
        <v>38.56466488468867</v>
      </c>
      <c r="I46" s="29" t="n">
        <v>7.465984865554996</v>
      </c>
      <c r="J46" s="29" t="n">
        <v>4.720385859426984</v>
      </c>
      <c r="K46" s="29" t="n">
        <v>37.57417225726073</v>
      </c>
      <c r="L46" s="29" t="n">
        <v>5.434295377267038</v>
      </c>
      <c r="M46" s="29" t="n">
        <v>7.300339824637623</v>
      </c>
      <c r="N46" s="29" t="n">
        <v>0.4384588447785565</v>
      </c>
      <c r="O46" s="29" t="n">
        <v>0.8607112671027727</v>
      </c>
      <c r="P46" s="29" t="n">
        <v>0.6369556190387158</v>
      </c>
      <c r="Q46" s="29" t="n">
        <v>0.9238078683545943</v>
      </c>
      <c r="R46" s="29" t="n">
        <v>1.038998690248349</v>
      </c>
      <c r="S46" s="29" t="n">
        <v>2.069792713062915</v>
      </c>
      <c r="T46" s="29" t="n">
        <v>0.2482780960118842</v>
      </c>
      <c r="U46" s="29" t="n">
        <v>0.3930747714272312</v>
      </c>
      <c r="V46" s="29" t="n">
        <v>0.5354997857232213</v>
      </c>
      <c r="W46" s="29" t="n">
        <v>4.235451843386834</v>
      </c>
      <c r="X46" s="29" t="n">
        <v>22.05688671723615</v>
      </c>
      <c r="Y46" s="29" t="n">
        <v>2.638543577504412</v>
      </c>
      <c r="Z46" s="29" t="n">
        <v>7.210337368049406</v>
      </c>
      <c r="AA46" s="29" t="n">
        <v>10.01410458078145</v>
      </c>
      <c r="AB46" s="29" t="n">
        <v>18.62207867756862</v>
      </c>
      <c r="AC46" s="29" t="n">
        <v>4.44178858457304</v>
      </c>
      <c r="AD46" s="29" t="n">
        <v>6.129030819951959</v>
      </c>
      <c r="AE46" s="29" t="n">
        <v>7.583615302733369</v>
      </c>
      <c r="AF46" s="29" t="n">
        <v>52.79760088399561</v>
      </c>
      <c r="AG46" s="29" t="n">
        <v>114.1554995998397</v>
      </c>
      <c r="AH46" s="29" t="n">
        <v>215.0807445019765</v>
      </c>
      <c r="AI46" s="29" t="n">
        <v>4981.550648478274</v>
      </c>
      <c r="AJ46" s="29" t="n">
        <v>211.8774555162072</v>
      </c>
      <c r="AK46" s="29" t="n">
        <v>186.8570023012864</v>
      </c>
      <c r="AL46" s="29" t="n">
        <v>7.355679199994929</v>
      </c>
      <c r="AM46" s="29" t="n">
        <v>102.39674602928</v>
      </c>
      <c r="AN46" s="29" t="n">
        <v>111.6253197053414</v>
      </c>
      <c r="AO46" s="29" t="n">
        <v>29.40030368987164</v>
      </c>
      <c r="AP46" s="29" t="n">
        <v>206.6539827936301</v>
      </c>
      <c r="AQ46" s="29" t="n">
        <v>574.1953145151624</v>
      </c>
      <c r="AR46" s="29" t="n">
        <v>177.8470179157029</v>
      </c>
      <c r="AS46" s="29" t="n">
        <v>991.2857394544674</v>
      </c>
      <c r="AT46" s="29" t="n">
        <v>0.7963287755645317</v>
      </c>
      <c r="AU46" s="29" t="n">
        <v>0.1290969153850094</v>
      </c>
      <c r="AV46" s="29" t="n">
        <v>20.78718715402148</v>
      </c>
      <c r="AW46" s="29" t="n">
        <v>1.136534679546155</v>
      </c>
      <c r="AX46" s="29" t="n">
        <v>7.861033381494088</v>
      </c>
      <c r="AY46" s="29" t="n">
        <v>0.5684605255670757</v>
      </c>
      <c r="AZ46" s="29" t="n">
        <v>3.262709509525932</v>
      </c>
      <c r="BA46" s="29" t="n">
        <v>15.31218604050568</v>
      </c>
      <c r="BB46" s="29" t="n">
        <v>2.574658510704361</v>
      </c>
      <c r="BC46" s="29" t="n">
        <v>7.967670581987961</v>
      </c>
      <c r="BD46" s="29" t="n">
        <v>9.282298584175946</v>
      </c>
      <c r="BE46" s="29" t="n">
        <v>11.7173019695821</v>
      </c>
      <c r="BF46" s="29" t="n">
        <v>31.23519638808728</v>
      </c>
      <c r="BG46" s="29" t="n">
        <v>1.695612481146628</v>
      </c>
      <c r="BH46" s="29" t="n">
        <v>40.78990743461408</v>
      </c>
      <c r="BI46" s="29" t="n">
        <v>16.01281330705154</v>
      </c>
      <c r="BJ46" s="29" t="n">
        <v>6.736140387633325</v>
      </c>
      <c r="BK46" s="29" t="n">
        <v>95.93890610911683</v>
      </c>
      <c r="BL46" s="29" t="n">
        <v>18.23220080759583</v>
      </c>
      <c r="BM46" s="29" t="n">
        <v>1.626039423840596</v>
      </c>
      <c r="BN46" s="29" t="n">
        <v>46.05459226320635</v>
      </c>
      <c r="BO46" s="29" t="n">
        <v>27.36983148198487</v>
      </c>
      <c r="BP46" s="29" t="n">
        <v>4.50670753149469</v>
      </c>
      <c r="BQ46" s="29" t="n">
        <v>11.27732111623767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137869.6834231965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20.52833501459629</v>
      </c>
      <c r="D47" s="31" t="n">
        <v>20.40095465137644</v>
      </c>
      <c r="E47" s="31" t="n">
        <v>1.44696748132242</v>
      </c>
      <c r="F47" s="31" t="n">
        <v>9.416458590952875</v>
      </c>
      <c r="G47" s="31" t="n">
        <v>62.23462052038421</v>
      </c>
      <c r="H47" s="31" t="n">
        <v>37.97365982612356</v>
      </c>
      <c r="I47" s="31" t="n">
        <v>13.21288363472133</v>
      </c>
      <c r="J47" s="31" t="n">
        <v>44.1150958992611</v>
      </c>
      <c r="K47" s="31" t="n">
        <v>3.417265793260054</v>
      </c>
      <c r="L47" s="31" t="n">
        <v>60.84733767659672</v>
      </c>
      <c r="M47" s="31" t="n">
        <v>66.49979411268154</v>
      </c>
      <c r="N47" s="31" t="n">
        <v>0.4564860879157148</v>
      </c>
      <c r="O47" s="31" t="n">
        <v>20.58802199999671</v>
      </c>
      <c r="P47" s="31" t="n">
        <v>5.991540032033381</v>
      </c>
      <c r="Q47" s="31" t="n">
        <v>14.10254585881334</v>
      </c>
      <c r="R47" s="31" t="n">
        <v>7.86338962474382</v>
      </c>
      <c r="S47" s="31" t="n">
        <v>7.922761555463967</v>
      </c>
      <c r="T47" s="31" t="n">
        <v>5.020677086427493</v>
      </c>
      <c r="U47" s="31" t="n">
        <v>5.772587673084515</v>
      </c>
      <c r="V47" s="31" t="n">
        <v>4.12734858641828</v>
      </c>
      <c r="W47" s="31" t="n">
        <v>44.08056223899086</v>
      </c>
      <c r="X47" s="31" t="n">
        <v>18.91409610273987</v>
      </c>
      <c r="Y47" s="31" t="n">
        <v>20.01798767540451</v>
      </c>
      <c r="Z47" s="31" t="n">
        <v>7.415778735480811</v>
      </c>
      <c r="AA47" s="31" t="n">
        <v>59.32359581059249</v>
      </c>
      <c r="AB47" s="31" t="n">
        <v>76.86061015839483</v>
      </c>
      <c r="AC47" s="31" t="n">
        <v>66.95711815666556</v>
      </c>
      <c r="AD47" s="31" t="n">
        <v>13.59842300262073</v>
      </c>
      <c r="AE47" s="31" t="n">
        <v>140.1485236910807</v>
      </c>
      <c r="AF47" s="31" t="n">
        <v>66.65155037726407</v>
      </c>
      <c r="AG47" s="31" t="n">
        <v>155.8161250308101</v>
      </c>
      <c r="AH47" s="31" t="n">
        <v>333.9695621192332</v>
      </c>
      <c r="AI47" s="31" t="n">
        <v>28660.93675008111</v>
      </c>
      <c r="AJ47" s="31" t="n">
        <v>7132.032532999359</v>
      </c>
      <c r="AK47" s="31" t="n">
        <v>139.0021043116131</v>
      </c>
      <c r="AL47" s="31" t="n">
        <v>35.59089068204659</v>
      </c>
      <c r="AM47" s="31" t="n">
        <v>190.8702210373161</v>
      </c>
      <c r="AN47" s="31" t="n">
        <v>135.0570222941978</v>
      </c>
      <c r="AO47" s="31" t="n">
        <v>18.25694038461262</v>
      </c>
      <c r="AP47" s="31" t="n">
        <v>727.6996317513494</v>
      </c>
      <c r="AQ47" s="31" t="n">
        <v>10445.25220026928</v>
      </c>
      <c r="AR47" s="31" t="n">
        <v>206.4031400974244</v>
      </c>
      <c r="AS47" s="31" t="n">
        <v>8174.622316184322</v>
      </c>
      <c r="AT47" s="31" t="n">
        <v>2.36106264622234</v>
      </c>
      <c r="AU47" s="31" t="n">
        <v>8.077292852712091</v>
      </c>
      <c r="AV47" s="31" t="n">
        <v>15.37045196702316</v>
      </c>
      <c r="AW47" s="31" t="n">
        <v>9.567592114546752</v>
      </c>
      <c r="AX47" s="31" t="n">
        <v>48.90310699451462</v>
      </c>
      <c r="AY47" s="31" t="n">
        <v>1.210721298350651</v>
      </c>
      <c r="AZ47" s="31" t="n">
        <v>3.071242989957396</v>
      </c>
      <c r="BA47" s="31" t="n">
        <v>21.79140994893226</v>
      </c>
      <c r="BB47" s="31" t="n">
        <v>6.887254280764876</v>
      </c>
      <c r="BC47" s="31" t="n">
        <v>23.16010398605813</v>
      </c>
      <c r="BD47" s="31" t="n">
        <v>24.93222339572427</v>
      </c>
      <c r="BE47" s="31" t="n">
        <v>29.24407340612079</v>
      </c>
      <c r="BF47" s="31" t="n">
        <v>42.20960938426169</v>
      </c>
      <c r="BG47" s="31" t="n">
        <v>4.238789562661622</v>
      </c>
      <c r="BH47" s="31" t="n">
        <v>147.170313811991</v>
      </c>
      <c r="BI47" s="31" t="n">
        <v>37.68750312729343</v>
      </c>
      <c r="BJ47" s="31" t="n">
        <v>2.766768901487293</v>
      </c>
      <c r="BK47" s="31" t="n">
        <v>603.4847405507985</v>
      </c>
      <c r="BL47" s="31" t="n">
        <v>230.8328514061683</v>
      </c>
      <c r="BM47" s="31" t="n">
        <v>15.5598762787357</v>
      </c>
      <c r="BN47" s="31" t="n">
        <v>92.79039417553797</v>
      </c>
      <c r="BO47" s="31" t="n">
        <v>12.10855353196172</v>
      </c>
      <c r="BP47" s="31" t="n">
        <v>15.68573796183428</v>
      </c>
      <c r="BQ47" s="31" t="n">
        <v>25.52565511324763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11790.84020076191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3.243169733662178</v>
      </c>
      <c r="D48" s="29" t="n">
        <v>4.454016944841061</v>
      </c>
      <c r="E48" s="29" t="n">
        <v>0.6773080573493435</v>
      </c>
      <c r="F48" s="29" t="n">
        <v>3.222306448865656</v>
      </c>
      <c r="G48" s="29" t="n">
        <v>31.5006111882428</v>
      </c>
      <c r="H48" s="29" t="n">
        <v>18.87758095146783</v>
      </c>
      <c r="I48" s="29" t="n">
        <v>8.200411891877803</v>
      </c>
      <c r="J48" s="29" t="n">
        <v>53.65835045657747</v>
      </c>
      <c r="K48" s="29" t="n">
        <v>3.616998191395084</v>
      </c>
      <c r="L48" s="29" t="n">
        <v>39.72595573150971</v>
      </c>
      <c r="M48" s="29" t="n">
        <v>27.86303707761117</v>
      </c>
      <c r="N48" s="29" t="n">
        <v>1.251840766460912</v>
      </c>
      <c r="O48" s="29" t="n">
        <v>4.172514603058209</v>
      </c>
      <c r="P48" s="29" t="n">
        <v>7.432534502673762</v>
      </c>
      <c r="Q48" s="29" t="n">
        <v>6.512093763973207</v>
      </c>
      <c r="R48" s="29" t="n">
        <v>5.739200299517931</v>
      </c>
      <c r="S48" s="29" t="n">
        <v>17.85054628439662</v>
      </c>
      <c r="T48" s="29" t="n">
        <v>4.176107228443493</v>
      </c>
      <c r="U48" s="29" t="n">
        <v>6.230156100173462</v>
      </c>
      <c r="V48" s="29" t="n">
        <v>4.806420346486929</v>
      </c>
      <c r="W48" s="29" t="n">
        <v>10.7505295132489</v>
      </c>
      <c r="X48" s="29" t="n">
        <v>12.90589098019668</v>
      </c>
      <c r="Y48" s="29" t="n">
        <v>7.759338818030462</v>
      </c>
      <c r="Z48" s="29" t="n">
        <v>12.19959154042552</v>
      </c>
      <c r="AA48" s="29" t="n">
        <v>15.82134038114027</v>
      </c>
      <c r="AB48" s="29" t="n">
        <v>16.28898769973898</v>
      </c>
      <c r="AC48" s="29" t="n">
        <v>45.90060806672316</v>
      </c>
      <c r="AD48" s="29" t="n">
        <v>10.06204801896541</v>
      </c>
      <c r="AE48" s="29" t="n">
        <v>61.17334803365095</v>
      </c>
      <c r="AF48" s="29" t="n">
        <v>17.57406830721612</v>
      </c>
      <c r="AG48" s="29" t="n">
        <v>30.61878951283249</v>
      </c>
      <c r="AH48" s="29" t="n">
        <v>124.2600451680709</v>
      </c>
      <c r="AI48" s="29" t="n">
        <v>118.5258577653269</v>
      </c>
      <c r="AJ48" s="29" t="n">
        <v>41.65922239489215</v>
      </c>
      <c r="AK48" s="29" t="n">
        <v>9371.281682492947</v>
      </c>
      <c r="AL48" s="29" t="n">
        <v>17.69577998233335</v>
      </c>
      <c r="AM48" s="29" t="n">
        <v>1535.334023338168</v>
      </c>
      <c r="AN48" s="29" t="n">
        <v>27.18796352365908</v>
      </c>
      <c r="AO48" s="29" t="n">
        <v>7.148764573803405</v>
      </c>
      <c r="AP48" s="29" t="n">
        <v>204.8108290540568</v>
      </c>
      <c r="AQ48" s="29" t="n">
        <v>149.1145729989935</v>
      </c>
      <c r="AR48" s="29" t="n">
        <v>84.45552107695752</v>
      </c>
      <c r="AS48" s="29" t="n">
        <v>979.9230987539346</v>
      </c>
      <c r="AT48" s="29" t="n">
        <v>4.310224251618588</v>
      </c>
      <c r="AU48" s="29" t="n">
        <v>1.831448517590094</v>
      </c>
      <c r="AV48" s="29" t="n">
        <v>11.31101443119298</v>
      </c>
      <c r="AW48" s="29" t="n">
        <v>1.987314970976502</v>
      </c>
      <c r="AX48" s="29" t="n">
        <v>16.60059156140365</v>
      </c>
      <c r="AY48" s="29" t="n">
        <v>4.473804114280224</v>
      </c>
      <c r="AZ48" s="29" t="n">
        <v>3.909352818815508</v>
      </c>
      <c r="BA48" s="29" t="n">
        <v>23.2742174759857</v>
      </c>
      <c r="BB48" s="29" t="n">
        <v>6.134279665645975</v>
      </c>
      <c r="BC48" s="29" t="n">
        <v>6.075591605820761</v>
      </c>
      <c r="BD48" s="29" t="n">
        <v>4.960233913440737</v>
      </c>
      <c r="BE48" s="29" t="n">
        <v>9.452178198230552</v>
      </c>
      <c r="BF48" s="29" t="n">
        <v>8.041829924043778</v>
      </c>
      <c r="BG48" s="29" t="n">
        <v>2.41327077724871</v>
      </c>
      <c r="BH48" s="29" t="n">
        <v>5.016634328428669</v>
      </c>
      <c r="BI48" s="29" t="n">
        <v>14.17181292314727</v>
      </c>
      <c r="BJ48" s="29" t="n">
        <v>1.607434758405249</v>
      </c>
      <c r="BK48" s="29" t="n">
        <v>240.183460255559</v>
      </c>
      <c r="BL48" s="29" t="n">
        <v>4.096741686225442</v>
      </c>
      <c r="BM48" s="29" t="n">
        <v>3.298230163932979</v>
      </c>
      <c r="BN48" s="29" t="n">
        <v>8.050026279827707</v>
      </c>
      <c r="BO48" s="29" t="n">
        <v>18.9895659120891</v>
      </c>
      <c r="BP48" s="29" t="n">
        <v>4.891955598897058</v>
      </c>
      <c r="BQ48" s="29" t="n">
        <v>66.35341048589312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37387.83590519313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36.28062038636227</v>
      </c>
      <c r="D49" s="31" t="n">
        <v>26.78008144239697</v>
      </c>
      <c r="E49" s="31" t="n">
        <v>6.870979731525008</v>
      </c>
      <c r="F49" s="31" t="n">
        <v>13.56892642229057</v>
      </c>
      <c r="G49" s="31" t="n">
        <v>56.12435716042988</v>
      </c>
      <c r="H49" s="31" t="n">
        <v>24.95695414019824</v>
      </c>
      <c r="I49" s="31" t="n">
        <v>9.340395734012208</v>
      </c>
      <c r="J49" s="31" t="n">
        <v>114.4925314483951</v>
      </c>
      <c r="K49" s="31" t="n">
        <v>8.606483325483989</v>
      </c>
      <c r="L49" s="31" t="n">
        <v>149.6441094374522</v>
      </c>
      <c r="M49" s="31" t="n">
        <v>65.25901971025263</v>
      </c>
      <c r="N49" s="31" t="n">
        <v>2.218642181722486</v>
      </c>
      <c r="O49" s="31" t="n">
        <v>47.4233910162911</v>
      </c>
      <c r="P49" s="31" t="n">
        <v>726.587413959457</v>
      </c>
      <c r="Q49" s="31" t="n">
        <v>162.795307144733</v>
      </c>
      <c r="R49" s="31" t="n">
        <v>36.98585660749493</v>
      </c>
      <c r="S49" s="31" t="n">
        <v>45.36458452561184</v>
      </c>
      <c r="T49" s="31" t="n">
        <v>14.81926621831369</v>
      </c>
      <c r="U49" s="31" t="n">
        <v>25.16328361584805</v>
      </c>
      <c r="V49" s="31" t="n">
        <v>6.980084391166061</v>
      </c>
      <c r="W49" s="31" t="n">
        <v>103.0299769175274</v>
      </c>
      <c r="X49" s="31" t="n">
        <v>69.36679190775091</v>
      </c>
      <c r="Y49" s="31" t="n">
        <v>33.51739826176236</v>
      </c>
      <c r="Z49" s="31" t="n">
        <v>69.05419044284213</v>
      </c>
      <c r="AA49" s="31" t="n">
        <v>183.7846693100054</v>
      </c>
      <c r="AB49" s="31" t="n">
        <v>120.149074235941</v>
      </c>
      <c r="AC49" s="31" t="n">
        <v>43.69294094868019</v>
      </c>
      <c r="AD49" s="31" t="n">
        <v>17.74909964456872</v>
      </c>
      <c r="AE49" s="31" t="n">
        <v>82.87407219609</v>
      </c>
      <c r="AF49" s="31" t="n">
        <v>57.41659960790911</v>
      </c>
      <c r="AG49" s="31" t="n">
        <v>74.0939929497211</v>
      </c>
      <c r="AH49" s="31" t="n">
        <v>415.5755561068743</v>
      </c>
      <c r="AI49" s="31" t="n">
        <v>216.2491449355211</v>
      </c>
      <c r="AJ49" s="31" t="n">
        <v>315.8733068906547</v>
      </c>
      <c r="AK49" s="31" t="n">
        <v>64.40177134005894</v>
      </c>
      <c r="AL49" s="31" t="n">
        <v>1872.834577919751</v>
      </c>
      <c r="AM49" s="31" t="n">
        <v>136.8411058476066</v>
      </c>
      <c r="AN49" s="31" t="n">
        <v>72.58683598427561</v>
      </c>
      <c r="AO49" s="31" t="n">
        <v>28.89169647052217</v>
      </c>
      <c r="AP49" s="31" t="n">
        <v>925.1282832601936</v>
      </c>
      <c r="AQ49" s="31" t="n">
        <v>48.27725445194018</v>
      </c>
      <c r="AR49" s="31" t="n">
        <v>439.2989567094893</v>
      </c>
      <c r="AS49" s="31" t="n">
        <v>67.96097381062857</v>
      </c>
      <c r="AT49" s="31" t="n">
        <v>45.20984388181564</v>
      </c>
      <c r="AU49" s="31" t="n">
        <v>2.452376216392045</v>
      </c>
      <c r="AV49" s="31" t="n">
        <v>98.44708776350627</v>
      </c>
      <c r="AW49" s="31" t="n">
        <v>9.312094387710831</v>
      </c>
      <c r="AX49" s="31" t="n">
        <v>31.98703089918531</v>
      </c>
      <c r="AY49" s="31" t="n">
        <v>7.274306137161545</v>
      </c>
      <c r="AZ49" s="31" t="n">
        <v>34.53855301798912</v>
      </c>
      <c r="BA49" s="31" t="n">
        <v>39.67014392488663</v>
      </c>
      <c r="BB49" s="31" t="n">
        <v>49.47392621236779</v>
      </c>
      <c r="BC49" s="31" t="n">
        <v>132.9881147141851</v>
      </c>
      <c r="BD49" s="31" t="n">
        <v>83.40489571964295</v>
      </c>
      <c r="BE49" s="31" t="n">
        <v>151.2156248291944</v>
      </c>
      <c r="BF49" s="31" t="n">
        <v>212.9053262130336</v>
      </c>
      <c r="BG49" s="31" t="n">
        <v>149.2444886209825</v>
      </c>
      <c r="BH49" s="31" t="n">
        <v>272.5315429069542</v>
      </c>
      <c r="BI49" s="31" t="n">
        <v>116.6600978902954</v>
      </c>
      <c r="BJ49" s="31" t="n">
        <v>11.10826205977915</v>
      </c>
      <c r="BK49" s="31" t="n">
        <v>466.0039638991562</v>
      </c>
      <c r="BL49" s="31" t="n">
        <v>552.6542466793792</v>
      </c>
      <c r="BM49" s="31" t="n">
        <v>21.60248332376268</v>
      </c>
      <c r="BN49" s="31" t="n">
        <v>1268.00369196635</v>
      </c>
      <c r="BO49" s="31" t="n">
        <v>6182.657407750521</v>
      </c>
      <c r="BP49" s="31" t="n">
        <v>96.14344040216173</v>
      </c>
      <c r="BQ49" s="31" t="n">
        <v>74.56388761141699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53248.91511430519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59.14132108650233</v>
      </c>
      <c r="D50" s="29" t="n">
        <v>26.69339924672782</v>
      </c>
      <c r="E50" s="29" t="n">
        <v>76.69784627992676</v>
      </c>
      <c r="F50" s="29" t="n">
        <v>622.63271317645</v>
      </c>
      <c r="G50" s="29" t="n">
        <v>2548.204571080481</v>
      </c>
      <c r="H50" s="29" t="n">
        <v>939.2877366317306</v>
      </c>
      <c r="I50" s="29" t="n">
        <v>692.8900630263439</v>
      </c>
      <c r="J50" s="29" t="n">
        <v>904.6775867436149</v>
      </c>
      <c r="K50" s="29" t="n">
        <v>416.4702220101402</v>
      </c>
      <c r="L50" s="29" t="n">
        <v>486.6769643153225</v>
      </c>
      <c r="M50" s="29" t="n">
        <v>333.2886512257567</v>
      </c>
      <c r="N50" s="29" t="n">
        <v>10.68996861168131</v>
      </c>
      <c r="O50" s="29" t="n">
        <v>139.5272015044322</v>
      </c>
      <c r="P50" s="29" t="n">
        <v>232.8905639369191</v>
      </c>
      <c r="Q50" s="29" t="n">
        <v>148.3724807667641</v>
      </c>
      <c r="R50" s="29" t="n">
        <v>432.8305804440049</v>
      </c>
      <c r="S50" s="29" t="n">
        <v>2126.482862974912</v>
      </c>
      <c r="T50" s="29" t="n">
        <v>1007.656765249399</v>
      </c>
      <c r="U50" s="29" t="n">
        <v>439.5078888722092</v>
      </c>
      <c r="V50" s="29" t="n">
        <v>585.3055259034611</v>
      </c>
      <c r="W50" s="29" t="n">
        <v>826.6923714851064</v>
      </c>
      <c r="X50" s="29" t="n">
        <v>439.4763044541136</v>
      </c>
      <c r="Y50" s="29" t="n">
        <v>115.7380934298903</v>
      </c>
      <c r="Z50" s="29" t="n">
        <v>526.4555245177716</v>
      </c>
      <c r="AA50" s="29" t="n">
        <v>419.7705911591628</v>
      </c>
      <c r="AB50" s="29" t="n">
        <v>2234.784686239243</v>
      </c>
      <c r="AC50" s="29" t="n">
        <v>6620.111478446887</v>
      </c>
      <c r="AD50" s="29" t="n">
        <v>1542.417831908565</v>
      </c>
      <c r="AE50" s="29" t="n">
        <v>633.9476211646763</v>
      </c>
      <c r="AF50" s="29" t="n">
        <v>91.6766767251122</v>
      </c>
      <c r="AG50" s="29" t="n">
        <v>472.8726294375386</v>
      </c>
      <c r="AH50" s="29" t="n">
        <v>1204.107946547162</v>
      </c>
      <c r="AI50" s="29" t="n">
        <v>177.1240963917844</v>
      </c>
      <c r="AJ50" s="29" t="n">
        <v>465.969812991447</v>
      </c>
      <c r="AK50" s="29" t="n">
        <v>658.3707536476207</v>
      </c>
      <c r="AL50" s="29" t="n">
        <v>606.5484090585102</v>
      </c>
      <c r="AM50" s="29" t="n">
        <v>800.0240419253986</v>
      </c>
      <c r="AN50" s="29" t="n">
        <v>1285.421943381333</v>
      </c>
      <c r="AO50" s="29" t="n">
        <v>833.7514921203073</v>
      </c>
      <c r="AP50" s="29" t="n">
        <v>2056.997929199625</v>
      </c>
      <c r="AQ50" s="29" t="n">
        <v>637.9654409310422</v>
      </c>
      <c r="AR50" s="29" t="n">
        <v>3523.311019230199</v>
      </c>
      <c r="AS50" s="29" t="n">
        <v>824.9683503408256</v>
      </c>
      <c r="AT50" s="29" t="n">
        <v>1059.390484687395</v>
      </c>
      <c r="AU50" s="29" t="n">
        <v>516.2838404439461</v>
      </c>
      <c r="AV50" s="29" t="n">
        <v>2440.711336324177</v>
      </c>
      <c r="AW50" s="29" t="n">
        <v>6.636270465385711</v>
      </c>
      <c r="AX50" s="29" t="n">
        <v>188.7510095261916</v>
      </c>
      <c r="AY50" s="29" t="n">
        <v>508.1335001055858</v>
      </c>
      <c r="AZ50" s="29" t="n">
        <v>126.796663798485</v>
      </c>
      <c r="BA50" s="29" t="n">
        <v>437.4751875027282</v>
      </c>
      <c r="BB50" s="29" t="n">
        <v>721.3115023554027</v>
      </c>
      <c r="BC50" s="29" t="n">
        <v>272.4179174672863</v>
      </c>
      <c r="BD50" s="29" t="n">
        <v>82.41378579946957</v>
      </c>
      <c r="BE50" s="29" t="n">
        <v>746.6217817129858</v>
      </c>
      <c r="BF50" s="29" t="n">
        <v>173.7089251373656</v>
      </c>
      <c r="BG50" s="29" t="n">
        <v>108.3548204671288</v>
      </c>
      <c r="BH50" s="29" t="n">
        <v>794.8132310645473</v>
      </c>
      <c r="BI50" s="29" t="n">
        <v>706.0859565296448</v>
      </c>
      <c r="BJ50" s="29" t="n">
        <v>172.7178925429845</v>
      </c>
      <c r="BK50" s="29" t="n">
        <v>938.4328746506629</v>
      </c>
      <c r="BL50" s="29" t="n">
        <v>103.4272815952398</v>
      </c>
      <c r="BM50" s="29" t="n">
        <v>0.7228461821777332</v>
      </c>
      <c r="BN50" s="29" t="n">
        <v>857.762821519877</v>
      </c>
      <c r="BO50" s="29" t="n">
        <v>337.3996723096409</v>
      </c>
      <c r="BP50" s="29" t="n">
        <v>449.3863245444436</v>
      </c>
      <c r="BQ50" s="29" t="n">
        <v>407.7585994679337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11073.99322665724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6181.204199235562</v>
      </c>
      <c r="D51" s="31" t="n">
        <v>4144.259948279288</v>
      </c>
      <c r="E51" s="31" t="n">
        <v>340.2987083133298</v>
      </c>
      <c r="F51" s="31" t="n">
        <v>577.267828310497</v>
      </c>
      <c r="G51" s="31" t="n">
        <v>261.6055403444335</v>
      </c>
      <c r="H51" s="31" t="n">
        <v>957.8568075052225</v>
      </c>
      <c r="I51" s="31" t="n">
        <v>396.8403586480917</v>
      </c>
      <c r="J51" s="31" t="n">
        <v>1371.451860760106</v>
      </c>
      <c r="K51" s="31" t="n">
        <v>48.12929084929007</v>
      </c>
      <c r="L51" s="31" t="n">
        <v>2716.173930222104</v>
      </c>
      <c r="M51" s="31" t="n">
        <v>601.7830633272476</v>
      </c>
      <c r="N51" s="31" t="n">
        <v>52.63098355036566</v>
      </c>
      <c r="O51" s="31" t="n">
        <v>1257.887637753623</v>
      </c>
      <c r="P51" s="31" t="n">
        <v>207.0269607344103</v>
      </c>
      <c r="Q51" s="31" t="n">
        <v>245.1581521798235</v>
      </c>
      <c r="R51" s="31" t="n">
        <v>731.5152293129332</v>
      </c>
      <c r="S51" s="31" t="n">
        <v>1798.188871434506</v>
      </c>
      <c r="T51" s="31" t="n">
        <v>132.5974139394103</v>
      </c>
      <c r="U51" s="31" t="n">
        <v>35.27268498668339</v>
      </c>
      <c r="V51" s="31" t="n">
        <v>145.6191966938494</v>
      </c>
      <c r="W51" s="31" t="n">
        <v>3796.620944386234</v>
      </c>
      <c r="X51" s="31" t="n">
        <v>600.3297572338868</v>
      </c>
      <c r="Y51" s="31" t="n">
        <v>186.1795615003443</v>
      </c>
      <c r="Z51" s="31" t="n">
        <v>267.2792458352935</v>
      </c>
      <c r="AA51" s="31" t="n">
        <v>1850.319942230782</v>
      </c>
      <c r="AB51" s="31" t="n">
        <v>3823.730250635982</v>
      </c>
      <c r="AC51" s="31" t="n">
        <v>2988.676228568164</v>
      </c>
      <c r="AD51" s="31" t="n">
        <v>2318.24721562054</v>
      </c>
      <c r="AE51" s="31" t="n">
        <v>1094.741510974296</v>
      </c>
      <c r="AF51" s="31" t="n">
        <v>143.6247409860474</v>
      </c>
      <c r="AG51" s="31" t="n">
        <v>547.5347516744253</v>
      </c>
      <c r="AH51" s="31" t="n">
        <v>584.9625035062853</v>
      </c>
      <c r="AI51" s="31" t="n">
        <v>421.9662055293635</v>
      </c>
      <c r="AJ51" s="31" t="n">
        <v>987.8212186131406</v>
      </c>
      <c r="AK51" s="31" t="n">
        <v>271.4677604595152</v>
      </c>
      <c r="AL51" s="31" t="n">
        <v>347.1662946691723</v>
      </c>
      <c r="AM51" s="31" t="n">
        <v>216.3972058285363</v>
      </c>
      <c r="AN51" s="31" t="n">
        <v>78333.10036370307</v>
      </c>
      <c r="AO51" s="31" t="n">
        <v>2867.08361476495</v>
      </c>
      <c r="AP51" s="31" t="n">
        <v>555.1307714920464</v>
      </c>
      <c r="AQ51" s="31" t="n">
        <v>1253.449629919204</v>
      </c>
      <c r="AR51" s="31" t="n">
        <v>16977.61865178813</v>
      </c>
      <c r="AS51" s="31" t="n">
        <v>1182.987730995647</v>
      </c>
      <c r="AT51" s="31" t="n">
        <v>51.69528217778986</v>
      </c>
      <c r="AU51" s="31" t="n">
        <v>36.20183999284069</v>
      </c>
      <c r="AV51" s="31" t="n">
        <v>1013.324721366712</v>
      </c>
      <c r="AW51" s="31" t="n">
        <v>1150.133046942154</v>
      </c>
      <c r="AX51" s="31" t="n">
        <v>1527.607954377581</v>
      </c>
      <c r="AY51" s="31" t="n">
        <v>144.6519895666998</v>
      </c>
      <c r="AZ51" s="31" t="n">
        <v>347.4236350444712</v>
      </c>
      <c r="BA51" s="31" t="n">
        <v>1729.865887836018</v>
      </c>
      <c r="BB51" s="31" t="n">
        <v>511.9334485010268</v>
      </c>
      <c r="BC51" s="31" t="n">
        <v>2213.058794978885</v>
      </c>
      <c r="BD51" s="31" t="n">
        <v>420.5991535358217</v>
      </c>
      <c r="BE51" s="31" t="n">
        <v>1022.670941031374</v>
      </c>
      <c r="BF51" s="31" t="n">
        <v>285.2257192178092</v>
      </c>
      <c r="BG51" s="31" t="n">
        <v>171.5711950268315</v>
      </c>
      <c r="BH51" s="31" t="n">
        <v>155.3309656512641</v>
      </c>
      <c r="BI51" s="31" t="n">
        <v>5890.607834606129</v>
      </c>
      <c r="BJ51" s="31" t="n">
        <v>89.90884837159736</v>
      </c>
      <c r="BK51" s="31" t="n">
        <v>4949.502022537525</v>
      </c>
      <c r="BL51" s="31" t="n">
        <v>1531.373067649979</v>
      </c>
      <c r="BM51" s="31" t="n">
        <v>2111.987781361654</v>
      </c>
      <c r="BN51" s="31" t="n">
        <v>1160.87598529461</v>
      </c>
      <c r="BO51" s="31" t="n">
        <v>1385.039663910283</v>
      </c>
      <c r="BP51" s="31" t="n">
        <v>871.1621918762971</v>
      </c>
      <c r="BQ51" s="31" t="n">
        <v>2920.522738088898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85241.5205237599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3.466842538411764</v>
      </c>
      <c r="D52" s="29" t="n">
        <v>1.023231998686513</v>
      </c>
      <c r="E52" s="29" t="n">
        <v>0.9777302175009873</v>
      </c>
      <c r="F52" s="29" t="n">
        <v>25.75123011364855</v>
      </c>
      <c r="G52" s="29" t="n">
        <v>40.58077151989283</v>
      </c>
      <c r="H52" s="29" t="n">
        <v>162.547267173863</v>
      </c>
      <c r="I52" s="29" t="n">
        <v>60.0904401081575</v>
      </c>
      <c r="J52" s="29" t="n">
        <v>132.0125326217783</v>
      </c>
      <c r="K52" s="29" t="n">
        <v>48.27292430021415</v>
      </c>
      <c r="L52" s="29" t="n">
        <v>262.5335920405226</v>
      </c>
      <c r="M52" s="29" t="n">
        <v>472.8563961655232</v>
      </c>
      <c r="N52" s="29" t="n">
        <v>0.9705677094949468</v>
      </c>
      <c r="O52" s="29" t="n">
        <v>53.9024772461358</v>
      </c>
      <c r="P52" s="29" t="n">
        <v>25.82775681735986</v>
      </c>
      <c r="Q52" s="29" t="n">
        <v>19.80321966544315</v>
      </c>
      <c r="R52" s="29" t="n">
        <v>187.822575015872</v>
      </c>
      <c r="S52" s="29" t="n">
        <v>303.9546938452057</v>
      </c>
      <c r="T52" s="29" t="n">
        <v>7.258462854596421</v>
      </c>
      <c r="U52" s="29" t="n">
        <v>376.3956316699916</v>
      </c>
      <c r="V52" s="29" t="n">
        <v>25.35035780052538</v>
      </c>
      <c r="W52" s="29" t="n">
        <v>550.0902876981468</v>
      </c>
      <c r="X52" s="29" t="n">
        <v>378.5224645838513</v>
      </c>
      <c r="Y52" s="29" t="n">
        <v>111.7009806409403</v>
      </c>
      <c r="Z52" s="29" t="n">
        <v>68.17396277545001</v>
      </c>
      <c r="AA52" s="29" t="n">
        <v>460.4813488402501</v>
      </c>
      <c r="AB52" s="29" t="n">
        <v>677.6212220153579</v>
      </c>
      <c r="AC52" s="29" t="n">
        <v>4289.086697378505</v>
      </c>
      <c r="AD52" s="29" t="n">
        <v>2087.10960797589</v>
      </c>
      <c r="AE52" s="29" t="n">
        <v>149.9760261035939</v>
      </c>
      <c r="AF52" s="29" t="n">
        <v>18.39386932702935</v>
      </c>
      <c r="AG52" s="29" t="n">
        <v>54.32891981906909</v>
      </c>
      <c r="AH52" s="29" t="n">
        <v>89.88425263132579</v>
      </c>
      <c r="AI52" s="29" t="n">
        <v>79.37548558779162</v>
      </c>
      <c r="AJ52" s="29" t="n">
        <v>228.0043427167539</v>
      </c>
      <c r="AK52" s="29" t="n">
        <v>117.5115519298268</v>
      </c>
      <c r="AL52" s="29" t="n">
        <v>69.64590929840655</v>
      </c>
      <c r="AM52" s="29" t="n">
        <v>23.96199043659238</v>
      </c>
      <c r="AN52" s="29" t="n">
        <v>66.04083058250419</v>
      </c>
      <c r="AO52" s="29" t="n">
        <v>844.7812343921456</v>
      </c>
      <c r="AP52" s="29" t="n">
        <v>250.1461644759644</v>
      </c>
      <c r="AQ52" s="29" t="n">
        <v>310.1944512919895</v>
      </c>
      <c r="AR52" s="29" t="n">
        <v>3487.12196270192</v>
      </c>
      <c r="AS52" s="29" t="n">
        <v>241.9115714948206</v>
      </c>
      <c r="AT52" s="29" t="n">
        <v>8.141646965167013</v>
      </c>
      <c r="AU52" s="29" t="n">
        <v>5.660422699888817</v>
      </c>
      <c r="AV52" s="29" t="n">
        <v>629.2141290024356</v>
      </c>
      <c r="AW52" s="29" t="n">
        <v>294.9748855823956</v>
      </c>
      <c r="AX52" s="29" t="n">
        <v>991.6673352918182</v>
      </c>
      <c r="AY52" s="29" t="n">
        <v>29.02599261824451</v>
      </c>
      <c r="AZ52" s="29" t="n">
        <v>46.23859311519527</v>
      </c>
      <c r="BA52" s="29" t="n">
        <v>45.26240460596601</v>
      </c>
      <c r="BB52" s="29" t="n">
        <v>87.34893004873906</v>
      </c>
      <c r="BC52" s="29" t="n">
        <v>475.3108182856134</v>
      </c>
      <c r="BD52" s="29" t="n">
        <v>330.0197763600421</v>
      </c>
      <c r="BE52" s="29" t="n">
        <v>449.8856522749791</v>
      </c>
      <c r="BF52" s="29" t="n">
        <v>60.16440009659879</v>
      </c>
      <c r="BG52" s="29" t="n">
        <v>27.48600551792952</v>
      </c>
      <c r="BH52" s="29" t="n">
        <v>41.1820015366483</v>
      </c>
      <c r="BI52" s="29" t="n">
        <v>3633.297495798407</v>
      </c>
      <c r="BJ52" s="29" t="n">
        <v>26.30213271029777</v>
      </c>
      <c r="BK52" s="29" t="n">
        <v>9212.917472512885</v>
      </c>
      <c r="BL52" s="29" t="n">
        <v>1177.956258095364</v>
      </c>
      <c r="BM52" s="29" t="n">
        <v>201.6394680832629</v>
      </c>
      <c r="BN52" s="29" t="n">
        <v>1517.564988677773</v>
      </c>
      <c r="BO52" s="29" t="n">
        <v>1658.37637917663</v>
      </c>
      <c r="BP52" s="29" t="n">
        <v>94.2442018248783</v>
      </c>
      <c r="BQ52" s="29" t="n">
        <v>1496.461312501029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23439.19346049687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86.54072479776546</v>
      </c>
      <c r="D53" s="31" t="n">
        <v>179.3151174756213</v>
      </c>
      <c r="E53" s="31" t="n">
        <v>10.74373532373032</v>
      </c>
      <c r="F53" s="31" t="n">
        <v>5.580677289214399</v>
      </c>
      <c r="G53" s="31" t="n">
        <v>1881.915163421342</v>
      </c>
      <c r="H53" s="31" t="n">
        <v>1071.684048217292</v>
      </c>
      <c r="I53" s="31" t="n">
        <v>314.192322034439</v>
      </c>
      <c r="J53" s="31" t="n">
        <v>6.538497394554498</v>
      </c>
      <c r="K53" s="31" t="n">
        <v>6.809192229152761</v>
      </c>
      <c r="L53" s="31" t="n">
        <v>17.3422091857703</v>
      </c>
      <c r="M53" s="31" t="n">
        <v>3.324201890335453</v>
      </c>
      <c r="N53" s="31" t="n">
        <v>0.4618475015353802</v>
      </c>
      <c r="O53" s="31" t="n">
        <v>23.61560857427567</v>
      </c>
      <c r="P53" s="31" t="n">
        <v>3.160723736858837</v>
      </c>
      <c r="Q53" s="31" t="n">
        <v>1.133519059031781</v>
      </c>
      <c r="R53" s="31" t="n">
        <v>1.012835026720059</v>
      </c>
      <c r="S53" s="31" t="n">
        <v>25.25790589056439</v>
      </c>
      <c r="T53" s="31" t="n">
        <v>17.92726480228362</v>
      </c>
      <c r="U53" s="31" t="n">
        <v>24.51504224899047</v>
      </c>
      <c r="V53" s="31" t="n">
        <v>27.07796936403526</v>
      </c>
      <c r="W53" s="31" t="n">
        <v>70.72081321258685</v>
      </c>
      <c r="X53" s="31" t="n">
        <v>5.664660005527725</v>
      </c>
      <c r="Y53" s="31" t="n">
        <v>1.770483137834913</v>
      </c>
      <c r="Z53" s="31" t="n">
        <v>3.314938320186681</v>
      </c>
      <c r="AA53" s="31" t="n">
        <v>6.374822082832187</v>
      </c>
      <c r="AB53" s="31" t="n">
        <v>28.84473532927383</v>
      </c>
      <c r="AC53" s="31" t="n">
        <v>108.4749355629719</v>
      </c>
      <c r="AD53" s="31" t="n">
        <v>1477.294201383081</v>
      </c>
      <c r="AE53" s="31" t="n">
        <v>56.99144374218558</v>
      </c>
      <c r="AF53" s="31" t="n">
        <v>73.06510542128576</v>
      </c>
      <c r="AG53" s="31" t="n">
        <v>13.63512069577252</v>
      </c>
      <c r="AH53" s="31" t="n">
        <v>84.49134494270619</v>
      </c>
      <c r="AI53" s="31" t="n">
        <v>226.544985566778</v>
      </c>
      <c r="AJ53" s="31" t="n">
        <v>25.09805841973125</v>
      </c>
      <c r="AK53" s="31" t="n">
        <v>219.7948621869917</v>
      </c>
      <c r="AL53" s="31" t="n">
        <v>18.24771776470286</v>
      </c>
      <c r="AM53" s="31" t="n">
        <v>5.805473207522074</v>
      </c>
      <c r="AN53" s="31" t="n">
        <v>14.51160781313069</v>
      </c>
      <c r="AO53" s="31" t="n">
        <v>3938.062333636944</v>
      </c>
      <c r="AP53" s="31" t="n">
        <v>61087.91162362863</v>
      </c>
      <c r="AQ53" s="31" t="n">
        <v>491.030393226861</v>
      </c>
      <c r="AR53" s="31" t="n">
        <v>912.9780075218322</v>
      </c>
      <c r="AS53" s="31" t="n">
        <v>277.7970811109217</v>
      </c>
      <c r="AT53" s="31" t="n">
        <v>11.32850239474877</v>
      </c>
      <c r="AU53" s="31" t="n">
        <v>22.19287247481363</v>
      </c>
      <c r="AV53" s="31" t="n">
        <v>1312.04700408217</v>
      </c>
      <c r="AW53" s="31" t="n">
        <v>269.947308784363</v>
      </c>
      <c r="AX53" s="31" t="n">
        <v>400.9433059722751</v>
      </c>
      <c r="AY53" s="31" t="n">
        <v>16.46820897619866</v>
      </c>
      <c r="AZ53" s="31" t="n">
        <v>222.4372679494375</v>
      </c>
      <c r="BA53" s="31" t="n">
        <v>4673.451475049541</v>
      </c>
      <c r="BB53" s="31" t="n">
        <v>811.3110707242384</v>
      </c>
      <c r="BC53" s="31" t="n">
        <v>1712.043075321942</v>
      </c>
      <c r="BD53" s="31" t="n">
        <v>1586.402355172752</v>
      </c>
      <c r="BE53" s="31" t="n">
        <v>288.0855784709555</v>
      </c>
      <c r="BF53" s="31" t="n">
        <v>754.0092819601102</v>
      </c>
      <c r="BG53" s="31" t="n">
        <v>10.94449370659052</v>
      </c>
      <c r="BH53" s="31" t="n">
        <v>187.8219714062692</v>
      </c>
      <c r="BI53" s="31" t="n">
        <v>2612.811271107586</v>
      </c>
      <c r="BJ53" s="31" t="n">
        <v>12.02433901780963</v>
      </c>
      <c r="BK53" s="31" t="n">
        <v>12209.21018990156</v>
      </c>
      <c r="BL53" s="31" t="n">
        <v>1219.554899949237</v>
      </c>
      <c r="BM53" s="31" t="n">
        <v>386.7124987198883</v>
      </c>
      <c r="BN53" s="31" t="n">
        <v>3441.150909979222</v>
      </c>
      <c r="BO53" s="31" t="n">
        <v>18.21996790973908</v>
      </c>
      <c r="BP53" s="31" t="n">
        <v>134.342676756207</v>
      </c>
      <c r="BQ53" s="31" t="n">
        <v>373.8382888284103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526764.127832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402.402533326935</v>
      </c>
      <c r="D54" s="29" t="n">
        <v>90.33829627431308</v>
      </c>
      <c r="E54" s="29" t="n">
        <v>47.51319143750995</v>
      </c>
      <c r="F54" s="29" t="n">
        <v>155.0361160386652</v>
      </c>
      <c r="G54" s="29" t="n">
        <v>246.9231623065247</v>
      </c>
      <c r="H54" s="29" t="n">
        <v>1459.777491563619</v>
      </c>
      <c r="I54" s="29" t="n">
        <v>208.3867911196645</v>
      </c>
      <c r="J54" s="29" t="n">
        <v>45.05350771744272</v>
      </c>
      <c r="K54" s="29" t="n">
        <v>17.47028548876099</v>
      </c>
      <c r="L54" s="29" t="n">
        <v>70.23460802437106</v>
      </c>
      <c r="M54" s="29" t="n">
        <v>83.51155838875675</v>
      </c>
      <c r="N54" s="29" t="n">
        <v>0.8254280631074206</v>
      </c>
      <c r="O54" s="29" t="n">
        <v>10.70468691450314</v>
      </c>
      <c r="P54" s="29" t="n">
        <v>2.971471469859621</v>
      </c>
      <c r="Q54" s="29" t="n">
        <v>11.54128122999501</v>
      </c>
      <c r="R54" s="29" t="n">
        <v>2.394403542229496</v>
      </c>
      <c r="S54" s="29" t="n">
        <v>13.85088071753656</v>
      </c>
      <c r="T54" s="29" t="n">
        <v>2.026181125447524</v>
      </c>
      <c r="U54" s="29" t="n">
        <v>8.303199480174687</v>
      </c>
      <c r="V54" s="29" t="n">
        <v>18.15590637911404</v>
      </c>
      <c r="W54" s="29" t="n">
        <v>9.067153468788401</v>
      </c>
      <c r="X54" s="29" t="n">
        <v>29.91585386490009</v>
      </c>
      <c r="Y54" s="29" t="n">
        <v>2.725276144323713</v>
      </c>
      <c r="Z54" s="29" t="n">
        <v>102.9907525053738</v>
      </c>
      <c r="AA54" s="29" t="n">
        <v>402.2758105714435</v>
      </c>
      <c r="AB54" s="29" t="n">
        <v>706.2920780768479</v>
      </c>
      <c r="AC54" s="29" t="n">
        <v>26.94338733278878</v>
      </c>
      <c r="AD54" s="29" t="n">
        <v>110.2705828842239</v>
      </c>
      <c r="AE54" s="29" t="n">
        <v>14.81799077089985</v>
      </c>
      <c r="AF54" s="29" t="n">
        <v>1083.135219650663</v>
      </c>
      <c r="AG54" s="29" t="n">
        <v>69.11127649768041</v>
      </c>
      <c r="AH54" s="29" t="n">
        <v>5217.031904496149</v>
      </c>
      <c r="AI54" s="29" t="n">
        <v>933.0365894540628</v>
      </c>
      <c r="AJ54" s="29" t="n">
        <v>86.60604211706416</v>
      </c>
      <c r="AK54" s="29" t="n">
        <v>8.322246764658846</v>
      </c>
      <c r="AL54" s="29" t="n">
        <v>103.1615196996276</v>
      </c>
      <c r="AM54" s="29" t="n">
        <v>155.216437230472</v>
      </c>
      <c r="AN54" s="29" t="n">
        <v>843.7195698456806</v>
      </c>
      <c r="AO54" s="29" t="n">
        <v>1369.719993067802</v>
      </c>
      <c r="AP54" s="29" t="n">
        <v>1272.993962129656</v>
      </c>
      <c r="AQ54" s="29" t="n">
        <v>2940.39930185188</v>
      </c>
      <c r="AR54" s="29" t="n">
        <v>7757.800571581097</v>
      </c>
      <c r="AS54" s="29" t="n">
        <v>13557.44509131285</v>
      </c>
      <c r="AT54" s="29" t="n">
        <v>20.42427898198889</v>
      </c>
      <c r="AU54" s="29" t="n">
        <v>45.12130056396844</v>
      </c>
      <c r="AV54" s="29" t="n">
        <v>970.1967321236837</v>
      </c>
      <c r="AW54" s="29" t="n">
        <v>1.277324177631631</v>
      </c>
      <c r="AX54" s="29" t="n">
        <v>224.4869622847785</v>
      </c>
      <c r="AY54" s="29" t="n">
        <v>23.20219684695702</v>
      </c>
      <c r="AZ54" s="29" t="n">
        <v>129.0095129326634</v>
      </c>
      <c r="BA54" s="29" t="n">
        <v>104.4816826498477</v>
      </c>
      <c r="BB54" s="29" t="n">
        <v>29.08307668831703</v>
      </c>
      <c r="BC54" s="29" t="n">
        <v>267.9286474576273</v>
      </c>
      <c r="BD54" s="29" t="n">
        <v>65.56145944514928</v>
      </c>
      <c r="BE54" s="29" t="n">
        <v>7.910095871401712</v>
      </c>
      <c r="BF54" s="29" t="n">
        <v>230.1335230588581</v>
      </c>
      <c r="BG54" s="29" t="n">
        <v>45.06823705301712</v>
      </c>
      <c r="BH54" s="29" t="n">
        <v>1901.159577836576</v>
      </c>
      <c r="BI54" s="29" t="n">
        <v>156.2182732177095</v>
      </c>
      <c r="BJ54" s="29" t="n">
        <v>344.0553753869725</v>
      </c>
      <c r="BK54" s="29" t="n">
        <v>3439.961627042211</v>
      </c>
      <c r="BL54" s="29" t="n">
        <v>620.8950748197054</v>
      </c>
      <c r="BM54" s="29" t="n">
        <v>19.06293915552749</v>
      </c>
      <c r="BN54" s="29" t="n">
        <v>2293.99132261106</v>
      </c>
      <c r="BO54" s="29" t="n">
        <v>1394.675874079242</v>
      </c>
      <c r="BP54" s="29" t="n">
        <v>114.1916458119552</v>
      </c>
      <c r="BQ54" s="29" t="n">
        <v>81.09813754460821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94096.98742084642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549.4296753919716</v>
      </c>
      <c r="D55" s="31" t="n">
        <v>562.2056514240829</v>
      </c>
      <c r="E55" s="31" t="n">
        <v>30.56414084657575</v>
      </c>
      <c r="F55" s="31" t="n">
        <v>666.802334529197</v>
      </c>
      <c r="G55" s="31" t="n">
        <v>1937.772186490031</v>
      </c>
      <c r="H55" s="31" t="n">
        <v>1368.271197133792</v>
      </c>
      <c r="I55" s="31" t="n">
        <v>995.0910055935467</v>
      </c>
      <c r="J55" s="31" t="n">
        <v>118181.941277305</v>
      </c>
      <c r="K55" s="31" t="n">
        <v>5351.634055408434</v>
      </c>
      <c r="L55" s="31" t="n">
        <v>75988.96760651811</v>
      </c>
      <c r="M55" s="31" t="n">
        <v>3738.357276277223</v>
      </c>
      <c r="N55" s="31" t="n">
        <v>3216.408722298597</v>
      </c>
      <c r="O55" s="31" t="n">
        <v>10389.70103329449</v>
      </c>
      <c r="P55" s="31" t="n">
        <v>13373.3628662075</v>
      </c>
      <c r="Q55" s="31" t="n">
        <v>16981.8068021398</v>
      </c>
      <c r="R55" s="31" t="n">
        <v>4763.832399581297</v>
      </c>
      <c r="S55" s="31" t="n">
        <v>32105.07600050645</v>
      </c>
      <c r="T55" s="31" t="n">
        <v>1371.274106419397</v>
      </c>
      <c r="U55" s="31" t="n">
        <v>11411.4959701038</v>
      </c>
      <c r="V55" s="31" t="n">
        <v>8194.433445500486</v>
      </c>
      <c r="W55" s="31" t="n">
        <v>14006.72217880841</v>
      </c>
      <c r="X55" s="31" t="n">
        <v>20769.41601192814</v>
      </c>
      <c r="Y55" s="31" t="n">
        <v>1633.441052543991</v>
      </c>
      <c r="Z55" s="31" t="n">
        <v>24811.40634634744</v>
      </c>
      <c r="AA55" s="31" t="n">
        <v>27787.12192943109</v>
      </c>
      <c r="AB55" s="31" t="n">
        <v>20919.75913515613</v>
      </c>
      <c r="AC55" s="31" t="n">
        <v>26306.81719813028</v>
      </c>
      <c r="AD55" s="31" t="n">
        <v>7627.759395793333</v>
      </c>
      <c r="AE55" s="31" t="n">
        <v>23705.73742967565</v>
      </c>
      <c r="AF55" s="31" t="n">
        <v>14773.02493812473</v>
      </c>
      <c r="AG55" s="31" t="n">
        <v>19720.82116060958</v>
      </c>
      <c r="AH55" s="31" t="n">
        <v>42318.83403772052</v>
      </c>
      <c r="AI55" s="31" t="n">
        <v>1569.797888972472</v>
      </c>
      <c r="AJ55" s="31" t="n">
        <v>615.4060921870696</v>
      </c>
      <c r="AK55" s="31" t="n">
        <v>3511.484605572402</v>
      </c>
      <c r="AL55" s="31" t="n">
        <v>12275.85510967235</v>
      </c>
      <c r="AM55" s="31" t="n">
        <v>458.4411567430506</v>
      </c>
      <c r="AN55" s="31" t="n">
        <v>510.1061862305492</v>
      </c>
      <c r="AO55" s="31" t="n">
        <v>340.5969491606238</v>
      </c>
      <c r="AP55" s="31" t="n">
        <v>1267.53837592678</v>
      </c>
      <c r="AQ55" s="31" t="n">
        <v>229.0136139464633</v>
      </c>
      <c r="AR55" s="31" t="n">
        <v>106535.18405878</v>
      </c>
      <c r="AS55" s="31" t="n">
        <v>756.7382884928332</v>
      </c>
      <c r="AT55" s="31" t="n">
        <v>185.9685614585833</v>
      </c>
      <c r="AU55" s="31" t="n">
        <v>237.1033011796218</v>
      </c>
      <c r="AV55" s="31" t="n">
        <v>510.0941831335442</v>
      </c>
      <c r="AW55" s="31" t="n">
        <v>100.7154967490586</v>
      </c>
      <c r="AX55" s="31" t="n">
        <v>1796.606843607573</v>
      </c>
      <c r="AY55" s="31" t="n">
        <v>8790.579647756609</v>
      </c>
      <c r="AZ55" s="31" t="n">
        <v>10130.21584890448</v>
      </c>
      <c r="BA55" s="31" t="n">
        <v>63195.68964986596</v>
      </c>
      <c r="BB55" s="31" t="n">
        <v>6713.269316384744</v>
      </c>
      <c r="BC55" s="31" t="n">
        <v>1616.40141430879</v>
      </c>
      <c r="BD55" s="31" t="n">
        <v>116.864116392634</v>
      </c>
      <c r="BE55" s="31" t="n">
        <v>8011.364719645072</v>
      </c>
      <c r="BF55" s="31" t="n">
        <v>936.7034785362233</v>
      </c>
      <c r="BG55" s="31" t="n">
        <v>3251.391388282854</v>
      </c>
      <c r="BH55" s="31" t="n">
        <v>194.5612856595728</v>
      </c>
      <c r="BI55" s="31" t="n">
        <v>5991.344079218296</v>
      </c>
      <c r="BJ55" s="31" t="n">
        <v>823.5780251691822</v>
      </c>
      <c r="BK55" s="31" t="n">
        <v>982.7818897288139</v>
      </c>
      <c r="BL55" s="31" t="n">
        <v>413.2290992157227</v>
      </c>
      <c r="BM55" s="31" t="n">
        <v>543.4448837553991</v>
      </c>
      <c r="BN55" s="31" t="n">
        <v>907.0375021829605</v>
      </c>
      <c r="BO55" s="31" t="n">
        <v>1156.079361062958</v>
      </c>
      <c r="BP55" s="31" t="n">
        <v>505.6419282778409</v>
      </c>
      <c r="BQ55" s="31" t="n">
        <v>663.1151121033909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152734.2942428045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5887.405726901296</v>
      </c>
      <c r="D56" s="29" t="n">
        <v>988.4837351193505</v>
      </c>
      <c r="E56" s="29" t="n">
        <v>597.6348492945921</v>
      </c>
      <c r="F56" s="29" t="n">
        <v>1068.545030584885</v>
      </c>
      <c r="G56" s="29" t="n">
        <v>7398.83086628077</v>
      </c>
      <c r="H56" s="29" t="n">
        <v>2862.964123969067</v>
      </c>
      <c r="I56" s="29" t="n">
        <v>1045.205546447855</v>
      </c>
      <c r="J56" s="29" t="n">
        <v>12152.1905568121</v>
      </c>
      <c r="K56" s="29" t="n">
        <v>2218.248344601343</v>
      </c>
      <c r="L56" s="29" t="n">
        <v>16310.32647522573</v>
      </c>
      <c r="M56" s="29" t="n">
        <v>3933.92055794743</v>
      </c>
      <c r="N56" s="29" t="n">
        <v>198.0332974579619</v>
      </c>
      <c r="O56" s="29" t="n">
        <v>1115.242313516344</v>
      </c>
      <c r="P56" s="29" t="n">
        <v>880.2722229572754</v>
      </c>
      <c r="Q56" s="29" t="n">
        <v>1185.723020571014</v>
      </c>
      <c r="R56" s="29" t="n">
        <v>1072.770436677305</v>
      </c>
      <c r="S56" s="29" t="n">
        <v>3529.819150327498</v>
      </c>
      <c r="T56" s="29" t="n">
        <v>395.2493590402087</v>
      </c>
      <c r="U56" s="29" t="n">
        <v>4689.838050096081</v>
      </c>
      <c r="V56" s="29" t="n">
        <v>1277.224648389344</v>
      </c>
      <c r="W56" s="29" t="n">
        <v>5955.61178176757</v>
      </c>
      <c r="X56" s="29" t="n">
        <v>2431.199020085823</v>
      </c>
      <c r="Y56" s="29" t="n">
        <v>1836.371346531518</v>
      </c>
      <c r="Z56" s="29" t="n">
        <v>3615.007695080707</v>
      </c>
      <c r="AA56" s="29" t="n">
        <v>3162.755340646697</v>
      </c>
      <c r="AB56" s="29" t="n">
        <v>3476.74391399739</v>
      </c>
      <c r="AC56" s="29" t="n">
        <v>5709.107666171092</v>
      </c>
      <c r="AD56" s="29" t="n">
        <v>692.0667649147205</v>
      </c>
      <c r="AE56" s="29" t="n">
        <v>2942.617835404896</v>
      </c>
      <c r="AF56" s="29" t="n">
        <v>1695.166811373777</v>
      </c>
      <c r="AG56" s="29" t="n">
        <v>1709.928669921421</v>
      </c>
      <c r="AH56" s="29" t="n">
        <v>2437.156365960134</v>
      </c>
      <c r="AI56" s="29" t="n">
        <v>5030.140100149322</v>
      </c>
      <c r="AJ56" s="29" t="n">
        <v>1699.199166075881</v>
      </c>
      <c r="AK56" s="29" t="n">
        <v>835.459261962191</v>
      </c>
      <c r="AL56" s="29" t="n">
        <v>1732.532365661184</v>
      </c>
      <c r="AM56" s="29" t="n">
        <v>152.7242434616019</v>
      </c>
      <c r="AN56" s="29" t="n">
        <v>5593.866625174698</v>
      </c>
      <c r="AO56" s="29" t="n">
        <v>376.3830512220882</v>
      </c>
      <c r="AP56" s="29" t="n">
        <v>2767.417935165614</v>
      </c>
      <c r="AQ56" s="29" t="n">
        <v>1740.059776438146</v>
      </c>
      <c r="AR56" s="29" t="n">
        <v>51091.05417824216</v>
      </c>
      <c r="AS56" s="29" t="n">
        <v>45142.26568984468</v>
      </c>
      <c r="AT56" s="29" t="n">
        <v>296.6988622091968</v>
      </c>
      <c r="AU56" s="29" t="n">
        <v>207.9726598210993</v>
      </c>
      <c r="AV56" s="29" t="n">
        <v>6440.275283348933</v>
      </c>
      <c r="AW56" s="29" t="n">
        <v>92.4271279543304</v>
      </c>
      <c r="AX56" s="29" t="n">
        <v>1169.701101191386</v>
      </c>
      <c r="AY56" s="29" t="n">
        <v>665.2270701222105</v>
      </c>
      <c r="AZ56" s="29" t="n">
        <v>473.6524900618923</v>
      </c>
      <c r="BA56" s="29" t="n">
        <v>753.5875323991635</v>
      </c>
      <c r="BB56" s="29" t="n">
        <v>569.287512497402</v>
      </c>
      <c r="BC56" s="29" t="n">
        <v>2388.134322214547</v>
      </c>
      <c r="BD56" s="29" t="n">
        <v>156.3175017149376</v>
      </c>
      <c r="BE56" s="29" t="n">
        <v>1315.818251974669</v>
      </c>
      <c r="BF56" s="29" t="n">
        <v>1188.416165533103</v>
      </c>
      <c r="BG56" s="29" t="n">
        <v>310.6203030092001</v>
      </c>
      <c r="BH56" s="29" t="n">
        <v>619.9089579060833</v>
      </c>
      <c r="BI56" s="29" t="n">
        <v>580.128300843072</v>
      </c>
      <c r="BJ56" s="29" t="n">
        <v>136.5122839806074</v>
      </c>
      <c r="BK56" s="29" t="n">
        <v>4285.110113016921</v>
      </c>
      <c r="BL56" s="29" t="n">
        <v>1942.238001425092</v>
      </c>
      <c r="BM56" s="29" t="n">
        <v>1327.127757552917</v>
      </c>
      <c r="BN56" s="29" t="n">
        <v>1354.98398058814</v>
      </c>
      <c r="BO56" s="29" t="n">
        <v>22.96771797789538</v>
      </c>
      <c r="BP56" s="29" t="n">
        <v>323.5957257127704</v>
      </c>
      <c r="BQ56" s="29" t="n">
        <v>2317.586390903894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83283.92419536067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0.01717880474231793</v>
      </c>
      <c r="D57" s="31" t="n">
        <v>0.01227057481594138</v>
      </c>
      <c r="E57" s="31" t="n">
        <v>0.01717880474231793</v>
      </c>
      <c r="F57" s="31" t="n">
        <v>0.05153641422695378</v>
      </c>
      <c r="G57" s="31" t="n">
        <v>5268.361603524933</v>
      </c>
      <c r="H57" s="31" t="n">
        <v>0.06871521896927171</v>
      </c>
      <c r="I57" s="31" t="n">
        <v>11.66545358334823</v>
      </c>
      <c r="J57" s="31" t="n">
        <v>1333.270352922789</v>
      </c>
      <c r="K57" s="31" t="n">
        <v>80.3603774975346</v>
      </c>
      <c r="L57" s="31" t="n">
        <v>396.0634295072699</v>
      </c>
      <c r="M57" s="31" t="n">
        <v>1.462223288436655</v>
      </c>
      <c r="N57" s="31" t="n">
        <v>0.6992081496968798</v>
      </c>
      <c r="O57" s="31" t="n">
        <v>9.811001130425012</v>
      </c>
      <c r="P57" s="31" t="n">
        <v>15.76029838285057</v>
      </c>
      <c r="Q57" s="31" t="n">
        <v>6.685317126570265</v>
      </c>
      <c r="R57" s="31" t="n">
        <v>138.8076824326602</v>
      </c>
      <c r="S57" s="31" t="n">
        <v>1285.013578478136</v>
      </c>
      <c r="T57" s="31" t="n">
        <v>19.49395905314068</v>
      </c>
      <c r="U57" s="31" t="n">
        <v>58.48433127438522</v>
      </c>
      <c r="V57" s="31" t="n">
        <v>10.77503908133445</v>
      </c>
      <c r="W57" s="31" t="n">
        <v>713.3581290540553</v>
      </c>
      <c r="X57" s="31" t="n">
        <v>11.85932866544011</v>
      </c>
      <c r="Y57" s="31" t="n">
        <v>43.62469308302475</v>
      </c>
      <c r="Z57" s="31" t="n">
        <v>2.558998062170035</v>
      </c>
      <c r="AA57" s="31" t="n">
        <v>43.53901367412494</v>
      </c>
      <c r="AB57" s="31" t="n">
        <v>121.1882379817718</v>
      </c>
      <c r="AC57" s="31" t="n">
        <v>334.8804302326247</v>
      </c>
      <c r="AD57" s="31" t="n">
        <v>12.28613005422309</v>
      </c>
      <c r="AE57" s="31" t="n">
        <v>32.90385914569222</v>
      </c>
      <c r="AF57" s="31" t="n">
        <v>48.22956456524669</v>
      </c>
      <c r="AG57" s="31" t="n">
        <v>46.10739896652417</v>
      </c>
      <c r="AH57" s="31" t="n">
        <v>252.8150866801095</v>
      </c>
      <c r="AI57" s="31" t="n">
        <v>208.0251182191939</v>
      </c>
      <c r="AJ57" s="31" t="n">
        <v>70.11051901832245</v>
      </c>
      <c r="AK57" s="31" t="n">
        <v>171.183906861267</v>
      </c>
      <c r="AL57" s="31" t="n">
        <v>1.251384016414242</v>
      </c>
      <c r="AM57" s="31" t="n">
        <v>5.951751367388749</v>
      </c>
      <c r="AN57" s="31" t="n">
        <v>3.15844595762331</v>
      </c>
      <c r="AO57" s="31" t="n">
        <v>0.6822439597663406</v>
      </c>
      <c r="AP57" s="31" t="n">
        <v>7.363511315657342</v>
      </c>
      <c r="AQ57" s="31" t="n">
        <v>10.39765586940517</v>
      </c>
      <c r="AR57" s="31" t="n">
        <v>1246.481556023005</v>
      </c>
      <c r="AS57" s="31" t="n">
        <v>724.7839378302583</v>
      </c>
      <c r="AT57" s="31" t="n">
        <v>1117.03858091466</v>
      </c>
      <c r="AU57" s="31" t="n">
        <v>0.3141267152880993</v>
      </c>
      <c r="AV57" s="31" t="n">
        <v>63.76580128997816</v>
      </c>
      <c r="AW57" s="31" t="n">
        <v>2.935121495973177</v>
      </c>
      <c r="AX57" s="31" t="n">
        <v>28.01817339435245</v>
      </c>
      <c r="AY57" s="31" t="n">
        <v>0.6601569250976461</v>
      </c>
      <c r="AZ57" s="31" t="n">
        <v>3.054729284734067</v>
      </c>
      <c r="BA57" s="31" t="n">
        <v>6.36106598458401</v>
      </c>
      <c r="BB57" s="31" t="n">
        <v>19.38971979859425</v>
      </c>
      <c r="BC57" s="31" t="n">
        <v>14.8817531367737</v>
      </c>
      <c r="BD57" s="31" t="n">
        <v>5.0652932840206</v>
      </c>
      <c r="BE57" s="31" t="n">
        <v>13.32808375026374</v>
      </c>
      <c r="BF57" s="31" t="n">
        <v>4.264607961585886</v>
      </c>
      <c r="BG57" s="31" t="n">
        <v>2.441844388372334</v>
      </c>
      <c r="BH57" s="31" t="n">
        <v>2.805053402924199</v>
      </c>
      <c r="BI57" s="31" t="n">
        <v>254.8731373229437</v>
      </c>
      <c r="BJ57" s="31" t="n">
        <v>1.290649855825254</v>
      </c>
      <c r="BK57" s="31" t="n">
        <v>8.945249040821263</v>
      </c>
      <c r="BL57" s="31" t="n">
        <v>1.629532335557015</v>
      </c>
      <c r="BM57" s="31" t="n">
        <v>10.63122602053161</v>
      </c>
      <c r="BN57" s="31" t="n">
        <v>1.212332791815008</v>
      </c>
      <c r="BO57" s="31" t="n">
        <v>4.969582800456258</v>
      </c>
      <c r="BP57" s="31" t="n">
        <v>10.56965853164012</v>
      </c>
      <c r="BQ57" s="31" t="n">
        <v>7.406518958902216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5744.526364759988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0.7974275309762279</v>
      </c>
      <c r="D58" s="29" t="n">
        <v>0.01190576209786553</v>
      </c>
      <c r="E58" s="29" t="n">
        <v>3.137473939601171</v>
      </c>
      <c r="F58" s="29" t="n">
        <v>3.185937961592418</v>
      </c>
      <c r="G58" s="29" t="n">
        <v>1554.979605066409</v>
      </c>
      <c r="H58" s="29" t="n">
        <v>7.902662698130735</v>
      </c>
      <c r="I58" s="29" t="n">
        <v>21.93110904717757</v>
      </c>
      <c r="J58" s="29" t="n">
        <v>225.1969344906056</v>
      </c>
      <c r="K58" s="29" t="n">
        <v>5.159625755055143</v>
      </c>
      <c r="L58" s="29" t="n">
        <v>187.6261120771017</v>
      </c>
      <c r="M58" s="29" t="n">
        <v>39.28835325230737</v>
      </c>
      <c r="N58" s="29" t="n">
        <v>19.66573525631927</v>
      </c>
      <c r="O58" s="29" t="n">
        <v>25.20822685432043</v>
      </c>
      <c r="P58" s="29" t="n">
        <v>26.98808002938856</v>
      </c>
      <c r="Q58" s="29" t="n">
        <v>33.53245516549214</v>
      </c>
      <c r="R58" s="29" t="n">
        <v>32.23075335243086</v>
      </c>
      <c r="S58" s="29" t="n">
        <v>78.63770870558943</v>
      </c>
      <c r="T58" s="29" t="n">
        <v>13.42931925358739</v>
      </c>
      <c r="U58" s="29" t="n">
        <v>33.43859044192322</v>
      </c>
      <c r="V58" s="29" t="n">
        <v>3.770480353340893</v>
      </c>
      <c r="W58" s="29" t="n">
        <v>187.3552375357861</v>
      </c>
      <c r="X58" s="29" t="n">
        <v>213.9883324658595</v>
      </c>
      <c r="Y58" s="29" t="n">
        <v>8.978167596294906</v>
      </c>
      <c r="Z58" s="29" t="n">
        <v>106.7081831765752</v>
      </c>
      <c r="AA58" s="29" t="n">
        <v>34.50245998038103</v>
      </c>
      <c r="AB58" s="29" t="n">
        <v>105.7277218983765</v>
      </c>
      <c r="AC58" s="29" t="n">
        <v>66.9622183528203</v>
      </c>
      <c r="AD58" s="29" t="n">
        <v>10.40980398044452</v>
      </c>
      <c r="AE58" s="29" t="n">
        <v>41.90646501181811</v>
      </c>
      <c r="AF58" s="29" t="n">
        <v>189.7977704775549</v>
      </c>
      <c r="AG58" s="29" t="n">
        <v>128.909763277147</v>
      </c>
      <c r="AH58" s="29" t="n">
        <v>167.3063762386421</v>
      </c>
      <c r="AI58" s="29" t="n">
        <v>166.548514378701</v>
      </c>
      <c r="AJ58" s="29" t="n">
        <v>44.88289022802118</v>
      </c>
      <c r="AK58" s="29" t="n">
        <v>44.77963934887526</v>
      </c>
      <c r="AL58" s="29" t="n">
        <v>28.23662750828838</v>
      </c>
      <c r="AM58" s="29" t="n">
        <v>49.31395033360577</v>
      </c>
      <c r="AN58" s="29" t="n">
        <v>472.6879194282191</v>
      </c>
      <c r="AO58" s="29" t="n">
        <v>34.94655729934176</v>
      </c>
      <c r="AP58" s="29" t="n">
        <v>1124.80926164064</v>
      </c>
      <c r="AQ58" s="29" t="n">
        <v>175.7527604011456</v>
      </c>
      <c r="AR58" s="29" t="n">
        <v>2583.731167939543</v>
      </c>
      <c r="AS58" s="29" t="n">
        <v>162.4514003940078</v>
      </c>
      <c r="AT58" s="29" t="n">
        <v>64.93779808062466</v>
      </c>
      <c r="AU58" s="29" t="n">
        <v>8.860033858994941</v>
      </c>
      <c r="AV58" s="29" t="n">
        <v>506.6800390935415</v>
      </c>
      <c r="AW58" s="29" t="n">
        <v>58.75700596429823</v>
      </c>
      <c r="AX58" s="29" t="n">
        <v>51.70667884768827</v>
      </c>
      <c r="AY58" s="29" t="n">
        <v>16.4642857391345</v>
      </c>
      <c r="AZ58" s="29" t="n">
        <v>127.7562012919826</v>
      </c>
      <c r="BA58" s="29" t="n">
        <v>169.1052823938497</v>
      </c>
      <c r="BB58" s="29" t="n">
        <v>531.2974812928968</v>
      </c>
      <c r="BC58" s="29" t="n">
        <v>2275.23810468196</v>
      </c>
      <c r="BD58" s="29" t="n">
        <v>52.80222920696168</v>
      </c>
      <c r="BE58" s="29" t="n">
        <v>748.1864383090694</v>
      </c>
      <c r="BF58" s="29" t="n">
        <v>267.4652212885009</v>
      </c>
      <c r="BG58" s="29" t="n">
        <v>435.4743707995307</v>
      </c>
      <c r="BH58" s="29" t="n">
        <v>73.4760226230207</v>
      </c>
      <c r="BI58" s="29" t="n">
        <v>258.5004617562423</v>
      </c>
      <c r="BJ58" s="29" t="n">
        <v>20.10170600922038</v>
      </c>
      <c r="BK58" s="29" t="n">
        <v>981.2277720552895</v>
      </c>
      <c r="BL58" s="29" t="n">
        <v>276.2000980890815</v>
      </c>
      <c r="BM58" s="29" t="n">
        <v>1629.846869425917</v>
      </c>
      <c r="BN58" s="29" t="n">
        <v>361.7073630111412</v>
      </c>
      <c r="BO58" s="29" t="n">
        <v>4.319637363776867</v>
      </c>
      <c r="BP58" s="29" t="n">
        <v>80.45671849088809</v>
      </c>
      <c r="BQ58" s="29" t="n">
        <v>6856.522124469535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13014.09116294233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765.5916824365969</v>
      </c>
      <c r="D59" s="31" t="n">
        <v>45.33475850445729</v>
      </c>
      <c r="E59" s="31" t="n">
        <v>191.087148920345</v>
      </c>
      <c r="F59" s="31" t="n">
        <v>25.08120741422482</v>
      </c>
      <c r="G59" s="31" t="n">
        <v>3983.182556983581</v>
      </c>
      <c r="H59" s="31" t="n">
        <v>2207.91583857105</v>
      </c>
      <c r="I59" s="31" t="n">
        <v>527.8088611269136</v>
      </c>
      <c r="J59" s="31" t="n">
        <v>2786.345971764806</v>
      </c>
      <c r="K59" s="31" t="n">
        <v>1586.557345321642</v>
      </c>
      <c r="L59" s="31" t="n">
        <v>3361.887089369467</v>
      </c>
      <c r="M59" s="31" t="n">
        <v>1965.824298388202</v>
      </c>
      <c r="N59" s="31" t="n">
        <v>29.7514569529416</v>
      </c>
      <c r="O59" s="31" t="n">
        <v>165.3103579683051</v>
      </c>
      <c r="P59" s="31" t="n">
        <v>112.2702253015427</v>
      </c>
      <c r="Q59" s="31" t="n">
        <v>164.3248859617236</v>
      </c>
      <c r="R59" s="31" t="n">
        <v>217.2881211088929</v>
      </c>
      <c r="S59" s="31" t="n">
        <v>1206.868721114949</v>
      </c>
      <c r="T59" s="31" t="n">
        <v>181.9200564554632</v>
      </c>
      <c r="U59" s="31" t="n">
        <v>708.8849628354176</v>
      </c>
      <c r="V59" s="31" t="n">
        <v>758.9594367681497</v>
      </c>
      <c r="W59" s="31" t="n">
        <v>967.3198258819848</v>
      </c>
      <c r="X59" s="31" t="n">
        <v>723.185178960329</v>
      </c>
      <c r="Y59" s="31" t="n">
        <v>380.2524393247353</v>
      </c>
      <c r="Z59" s="31" t="n">
        <v>621.9802245865801</v>
      </c>
      <c r="AA59" s="31" t="n">
        <v>237.4550384104269</v>
      </c>
      <c r="AB59" s="31" t="n">
        <v>346.0374322605048</v>
      </c>
      <c r="AC59" s="31" t="n">
        <v>2410.611198365878</v>
      </c>
      <c r="AD59" s="31" t="n">
        <v>130.2228453124103</v>
      </c>
      <c r="AE59" s="31" t="n">
        <v>894.917413933716</v>
      </c>
      <c r="AF59" s="31" t="n">
        <v>724.4589328493033</v>
      </c>
      <c r="AG59" s="31" t="n">
        <v>877.8403661457539</v>
      </c>
      <c r="AH59" s="31" t="n">
        <v>357.5137796302575</v>
      </c>
      <c r="AI59" s="31" t="n">
        <v>3404.559081640073</v>
      </c>
      <c r="AJ59" s="31" t="n">
        <v>553.5364432780032</v>
      </c>
      <c r="AK59" s="31" t="n">
        <v>598.9208901480077</v>
      </c>
      <c r="AL59" s="31" t="n">
        <v>341.5325096814428</v>
      </c>
      <c r="AM59" s="31" t="n">
        <v>218.2976932750868</v>
      </c>
      <c r="AN59" s="31" t="n">
        <v>660.0963711418474</v>
      </c>
      <c r="AO59" s="31" t="n">
        <v>22.09328441537198</v>
      </c>
      <c r="AP59" s="31" t="n">
        <v>637.0240041122698</v>
      </c>
      <c r="AQ59" s="31" t="n">
        <v>688.8055657622382</v>
      </c>
      <c r="AR59" s="31" t="n">
        <v>14175.95230571729</v>
      </c>
      <c r="AS59" s="31" t="n">
        <v>6905.935929236592</v>
      </c>
      <c r="AT59" s="31" t="n">
        <v>2606.860732003022</v>
      </c>
      <c r="AU59" s="31" t="n">
        <v>3973.676840551902</v>
      </c>
      <c r="AV59" s="31" t="n">
        <v>4585.8017921542</v>
      </c>
      <c r="AW59" s="31" t="n">
        <v>60.48662753050991</v>
      </c>
      <c r="AX59" s="31" t="n">
        <v>236.9224243103789</v>
      </c>
      <c r="AY59" s="31" t="n">
        <v>74.72673359478101</v>
      </c>
      <c r="AZ59" s="31" t="n">
        <v>77.12710773000541</v>
      </c>
      <c r="BA59" s="31" t="n">
        <v>595.1952286454534</v>
      </c>
      <c r="BB59" s="31" t="n">
        <v>142.7194013189776</v>
      </c>
      <c r="BC59" s="31" t="n">
        <v>4684.977221162069</v>
      </c>
      <c r="BD59" s="31" t="n">
        <v>202.0469775366304</v>
      </c>
      <c r="BE59" s="31" t="n">
        <v>569.2542082874548</v>
      </c>
      <c r="BF59" s="31" t="n">
        <v>226.9597158791854</v>
      </c>
      <c r="BG59" s="31" t="n">
        <v>235.3569159540578</v>
      </c>
      <c r="BH59" s="31" t="n">
        <v>203.9705942820367</v>
      </c>
      <c r="BI59" s="31" t="n">
        <v>664.6446749558323</v>
      </c>
      <c r="BJ59" s="31" t="n">
        <v>64.90821363747405</v>
      </c>
      <c r="BK59" s="31" t="n">
        <v>3220.812555853625</v>
      </c>
      <c r="BL59" s="31" t="n">
        <v>288.6943010119703</v>
      </c>
      <c r="BM59" s="31" t="n">
        <v>419.4779896987095</v>
      </c>
      <c r="BN59" s="31" t="n">
        <v>435.3304013824193</v>
      </c>
      <c r="BO59" s="31" t="n">
        <v>258.7338786253137</v>
      </c>
      <c r="BP59" s="31" t="n">
        <v>71.94589970065863</v>
      </c>
      <c r="BQ59" s="31" t="n">
        <v>1351.460507587571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32097.16351750974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2.038189664117483</v>
      </c>
      <c r="D60" s="29" t="n">
        <v>0.5167848115532696</v>
      </c>
      <c r="E60" s="29" t="n">
        <v>2.028291880176618</v>
      </c>
      <c r="F60" s="29" t="n">
        <v>6.183853479938506</v>
      </c>
      <c r="G60" s="29" t="n">
        <v>178.3985561389578</v>
      </c>
      <c r="H60" s="29" t="n">
        <v>41.15860083021469</v>
      </c>
      <c r="I60" s="29" t="n">
        <v>12.80679703935736</v>
      </c>
      <c r="J60" s="29" t="n">
        <v>215.9757307495138</v>
      </c>
      <c r="K60" s="29" t="n">
        <v>19.73501605244294</v>
      </c>
      <c r="L60" s="29" t="n">
        <v>203.565995288814</v>
      </c>
      <c r="M60" s="29" t="n">
        <v>38.03717430637896</v>
      </c>
      <c r="N60" s="29" t="n">
        <v>18.76302858452562</v>
      </c>
      <c r="O60" s="29" t="n">
        <v>20.2663488306125</v>
      </c>
      <c r="P60" s="29" t="n">
        <v>19.31050687662674</v>
      </c>
      <c r="Q60" s="29" t="n">
        <v>23.19702031928249</v>
      </c>
      <c r="R60" s="29" t="n">
        <v>6.391311530655856</v>
      </c>
      <c r="S60" s="29" t="n">
        <v>61.17130454413207</v>
      </c>
      <c r="T60" s="29" t="n">
        <v>6.831653720354405</v>
      </c>
      <c r="U60" s="29" t="n">
        <v>22.43380466960089</v>
      </c>
      <c r="V60" s="29" t="n">
        <v>11.13809219095639</v>
      </c>
      <c r="W60" s="29" t="n">
        <v>86.40147461653143</v>
      </c>
      <c r="X60" s="29" t="n">
        <v>98.12526438422815</v>
      </c>
      <c r="Y60" s="29" t="n">
        <v>25.17270395973117</v>
      </c>
      <c r="Z60" s="29" t="n">
        <v>143.8865404878984</v>
      </c>
      <c r="AA60" s="29" t="n">
        <v>70.78883852272784</v>
      </c>
      <c r="AB60" s="29" t="n">
        <v>61.83889321504503</v>
      </c>
      <c r="AC60" s="29" t="n">
        <v>119.8355728818745</v>
      </c>
      <c r="AD60" s="29" t="n">
        <v>31.09585121800429</v>
      </c>
      <c r="AE60" s="29" t="n">
        <v>116.9696169857241</v>
      </c>
      <c r="AF60" s="29" t="n">
        <v>106.76825540332</v>
      </c>
      <c r="AG60" s="29" t="n">
        <v>90.38297332813768</v>
      </c>
      <c r="AH60" s="29" t="n">
        <v>217.6197995331688</v>
      </c>
      <c r="AI60" s="29" t="n">
        <v>74.11900587706303</v>
      </c>
      <c r="AJ60" s="29" t="n">
        <v>52.30501029569255</v>
      </c>
      <c r="AK60" s="29" t="n">
        <v>55.23875145761856</v>
      </c>
      <c r="AL60" s="29" t="n">
        <v>80.63511852927743</v>
      </c>
      <c r="AM60" s="29" t="n">
        <v>50.1336692984472</v>
      </c>
      <c r="AN60" s="29" t="n">
        <v>163.9705690345359</v>
      </c>
      <c r="AO60" s="29" t="n">
        <v>9.393140075503947</v>
      </c>
      <c r="AP60" s="29" t="n">
        <v>867.1107742056495</v>
      </c>
      <c r="AQ60" s="29" t="n">
        <v>251.199249299919</v>
      </c>
      <c r="AR60" s="29" t="n">
        <v>1983.77801429661</v>
      </c>
      <c r="AS60" s="29" t="n">
        <v>128.4472017754404</v>
      </c>
      <c r="AT60" s="29" t="n">
        <v>3.602916183436571</v>
      </c>
      <c r="AU60" s="29" t="n">
        <v>53.18925646150872</v>
      </c>
      <c r="AV60" s="29" t="n">
        <v>136.9108149705897</v>
      </c>
      <c r="AW60" s="29" t="n">
        <v>1.145701348528765</v>
      </c>
      <c r="AX60" s="29" t="n">
        <v>24.35074818559849</v>
      </c>
      <c r="AY60" s="29" t="n">
        <v>59.85636134796395</v>
      </c>
      <c r="AZ60" s="29" t="n">
        <v>100.1894747953201</v>
      </c>
      <c r="BA60" s="29" t="n">
        <v>85.82103274620914</v>
      </c>
      <c r="BB60" s="29" t="n">
        <v>323.4835785333795</v>
      </c>
      <c r="BC60" s="29" t="n">
        <v>777.1563110568525</v>
      </c>
      <c r="BD60" s="29" t="n">
        <v>38.36574984104596</v>
      </c>
      <c r="BE60" s="29" t="n">
        <v>218.0018289794746</v>
      </c>
      <c r="BF60" s="29" t="n">
        <v>204.7158762964795</v>
      </c>
      <c r="BG60" s="29" t="n">
        <v>95.48479792805776</v>
      </c>
      <c r="BH60" s="29" t="n">
        <v>98.63646784302246</v>
      </c>
      <c r="BI60" s="29" t="n">
        <v>99.22880677643957</v>
      </c>
      <c r="BJ60" s="29" t="n">
        <v>30.20230728249737</v>
      </c>
      <c r="BK60" s="29" t="n">
        <v>1492.895391495781</v>
      </c>
      <c r="BL60" s="29" t="n">
        <v>175.5032873751511</v>
      </c>
      <c r="BM60" s="29" t="n">
        <v>235.6577344046565</v>
      </c>
      <c r="BN60" s="29" t="n">
        <v>238.0096112276157</v>
      </c>
      <c r="BO60" s="29" t="n">
        <v>1.939837149473871</v>
      </c>
      <c r="BP60" s="29" t="n">
        <v>98.95116730130697</v>
      </c>
      <c r="BQ60" s="29" t="n">
        <v>4465.585657844919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9135.912580744351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2.950081625581114</v>
      </c>
      <c r="D61" s="31" t="n">
        <v>0.3595493632300742</v>
      </c>
      <c r="E61" s="31" t="n">
        <v>2.200090817883995</v>
      </c>
      <c r="F61" s="31" t="n">
        <v>2.375329926221196</v>
      </c>
      <c r="G61" s="31" t="n">
        <v>227.4801648186002</v>
      </c>
      <c r="H61" s="31" t="n">
        <v>7.554594661552992</v>
      </c>
      <c r="I61" s="31" t="n">
        <v>9.589104973770294</v>
      </c>
      <c r="J61" s="31" t="n">
        <v>26.81575122354025</v>
      </c>
      <c r="K61" s="31" t="n">
        <v>3.711536393248943</v>
      </c>
      <c r="L61" s="31" t="n">
        <v>126.1013797332632</v>
      </c>
      <c r="M61" s="31" t="n">
        <v>4.441897011912412</v>
      </c>
      <c r="N61" s="31" t="n">
        <v>0.940518165309113</v>
      </c>
      <c r="O61" s="31" t="n">
        <v>11.16343363552243</v>
      </c>
      <c r="P61" s="31" t="n">
        <v>6.404976317479186</v>
      </c>
      <c r="Q61" s="31" t="n">
        <v>3.820467963694277</v>
      </c>
      <c r="R61" s="31" t="n">
        <v>1.726331455342266</v>
      </c>
      <c r="S61" s="31" t="n">
        <v>14.11985021766621</v>
      </c>
      <c r="T61" s="31" t="n">
        <v>11.52697190690009</v>
      </c>
      <c r="U61" s="31" t="n">
        <v>5.419340608470423</v>
      </c>
      <c r="V61" s="31" t="n">
        <v>3.493572754120951</v>
      </c>
      <c r="W61" s="31" t="n">
        <v>74.84595542962222</v>
      </c>
      <c r="X61" s="31" t="n">
        <v>96.50721324839759</v>
      </c>
      <c r="Y61" s="31" t="n">
        <v>2.443437325800166</v>
      </c>
      <c r="Z61" s="31" t="n">
        <v>226.7994431624209</v>
      </c>
      <c r="AA61" s="31" t="n">
        <v>19.57590180871857</v>
      </c>
      <c r="AB61" s="31" t="n">
        <v>6.899559647920516</v>
      </c>
      <c r="AC61" s="31" t="n">
        <v>30.52078492863238</v>
      </c>
      <c r="AD61" s="31" t="n">
        <v>45.67442648736639</v>
      </c>
      <c r="AE61" s="31" t="n">
        <v>32.76270818438731</v>
      </c>
      <c r="AF61" s="31" t="n">
        <v>8.044073036826031</v>
      </c>
      <c r="AG61" s="31" t="n">
        <v>5.394513922756516</v>
      </c>
      <c r="AH61" s="31" t="n">
        <v>82.57012269178715</v>
      </c>
      <c r="AI61" s="31" t="n">
        <v>308.1014485834878</v>
      </c>
      <c r="AJ61" s="31" t="n">
        <v>11.66731710732529</v>
      </c>
      <c r="AK61" s="31" t="n">
        <v>5.221164276281537</v>
      </c>
      <c r="AL61" s="31" t="n">
        <v>4.784779167824175</v>
      </c>
      <c r="AM61" s="31" t="n">
        <v>73.62203597142843</v>
      </c>
      <c r="AN61" s="31" t="n">
        <v>249.7311327812986</v>
      </c>
      <c r="AO61" s="31" t="n">
        <v>10.79626645417462</v>
      </c>
      <c r="AP61" s="31" t="n">
        <v>35.09662456107372</v>
      </c>
      <c r="AQ61" s="31" t="n">
        <v>139.7296145620485</v>
      </c>
      <c r="AR61" s="31" t="n">
        <v>714.1135702991618</v>
      </c>
      <c r="AS61" s="31" t="n">
        <v>37.65184689911873</v>
      </c>
      <c r="AT61" s="31" t="n">
        <v>6.419553747843576</v>
      </c>
      <c r="AU61" s="31" t="n">
        <v>894.5448298629458</v>
      </c>
      <c r="AV61" s="31" t="n">
        <v>45.70378377497413</v>
      </c>
      <c r="AW61" s="31" t="n">
        <v>197.9705947046411</v>
      </c>
      <c r="AX61" s="31" t="n">
        <v>30.00581433170949</v>
      </c>
      <c r="AY61" s="31" t="n">
        <v>7.967390782159092</v>
      </c>
      <c r="AZ61" s="31" t="n">
        <v>593.1525814343274</v>
      </c>
      <c r="BA61" s="31" t="n">
        <v>100.6778121706471</v>
      </c>
      <c r="BB61" s="31" t="n">
        <v>32.47297197340822</v>
      </c>
      <c r="BC61" s="31" t="n">
        <v>2824.133816038929</v>
      </c>
      <c r="BD61" s="31" t="n">
        <v>67.64085552422769</v>
      </c>
      <c r="BE61" s="31" t="n">
        <v>1262.668157869987</v>
      </c>
      <c r="BF61" s="31" t="n">
        <v>11.67227172359362</v>
      </c>
      <c r="BG61" s="31" t="n">
        <v>190.7158620057846</v>
      </c>
      <c r="BH61" s="31" t="n">
        <v>15.90202930836296</v>
      </c>
      <c r="BI61" s="31" t="n">
        <v>1157.756598854222</v>
      </c>
      <c r="BJ61" s="31" t="n">
        <v>6.711597520592026</v>
      </c>
      <c r="BK61" s="31" t="n">
        <v>8243.350087884699</v>
      </c>
      <c r="BL61" s="31" t="n">
        <v>1477.974202236914</v>
      </c>
      <c r="BM61" s="31" t="n">
        <v>214.9954595903377</v>
      </c>
      <c r="BN61" s="31" t="n">
        <v>4415.369661743909</v>
      </c>
      <c r="BO61" s="31" t="n">
        <v>3044.178364405795</v>
      </c>
      <c r="BP61" s="31" t="n">
        <v>53.56836901783817</v>
      </c>
      <c r="BQ61" s="31" t="n">
        <v>8015.263759086754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187820.3960812103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0.08823737031161683</v>
      </c>
      <c r="D62" s="29" t="n">
        <v>0.03616569753886019</v>
      </c>
      <c r="E62" s="29" t="n">
        <v>0.06065848444236787</v>
      </c>
      <c r="F62" s="29" t="n">
        <v>0.1462498955336237</v>
      </c>
      <c r="G62" s="29" t="n">
        <v>0.6162117590204687</v>
      </c>
      <c r="H62" s="29" t="n">
        <v>0.4701205210190131</v>
      </c>
      <c r="I62" s="29" t="n">
        <v>0.2794988057400122</v>
      </c>
      <c r="J62" s="29" t="n">
        <v>26.51776821028274</v>
      </c>
      <c r="K62" s="29" t="n">
        <v>1.434001881317085</v>
      </c>
      <c r="L62" s="29" t="n">
        <v>17.6726160929547</v>
      </c>
      <c r="M62" s="29" t="n">
        <v>4.719917754930996</v>
      </c>
      <c r="N62" s="29" t="n">
        <v>0.7399343510336813</v>
      </c>
      <c r="O62" s="29" t="n">
        <v>2.658830759527357</v>
      </c>
      <c r="P62" s="29" t="n">
        <v>3.388228167296377</v>
      </c>
      <c r="Q62" s="29" t="n">
        <v>3.873813785930485</v>
      </c>
      <c r="R62" s="29" t="n">
        <v>1.267754680350598</v>
      </c>
      <c r="S62" s="29" t="n">
        <v>9.041191734579318</v>
      </c>
      <c r="T62" s="29" t="n">
        <v>18.37769596560179</v>
      </c>
      <c r="U62" s="29" t="n">
        <v>2.203615148090272</v>
      </c>
      <c r="V62" s="29" t="n">
        <v>2.005504699131595</v>
      </c>
      <c r="W62" s="29" t="n">
        <v>109.773051097396</v>
      </c>
      <c r="X62" s="29" t="n">
        <v>4.853995250836594</v>
      </c>
      <c r="Y62" s="29" t="n">
        <v>0.5826640934414287</v>
      </c>
      <c r="Z62" s="29" t="n">
        <v>5.866399158600281</v>
      </c>
      <c r="AA62" s="29" t="n">
        <v>6.669585283604976</v>
      </c>
      <c r="AB62" s="29" t="n">
        <v>4.823214832769114</v>
      </c>
      <c r="AC62" s="29" t="n">
        <v>5.993037051066556</v>
      </c>
      <c r="AD62" s="29" t="n">
        <v>1.701737775499003</v>
      </c>
      <c r="AE62" s="29" t="n">
        <v>5.619726394125181</v>
      </c>
      <c r="AF62" s="29" t="n">
        <v>6.318581611163591</v>
      </c>
      <c r="AG62" s="29" t="n">
        <v>4.616164841723021</v>
      </c>
      <c r="AH62" s="29" t="n">
        <v>9.65010937367447</v>
      </c>
      <c r="AI62" s="29" t="n">
        <v>1.033221000640719</v>
      </c>
      <c r="AJ62" s="29" t="n">
        <v>2.31774820625162</v>
      </c>
      <c r="AK62" s="29" t="n">
        <v>0.9105255255904532</v>
      </c>
      <c r="AL62" s="29" t="n">
        <v>3.273522917112003</v>
      </c>
      <c r="AM62" s="29" t="n">
        <v>11.36160042734982</v>
      </c>
      <c r="AN62" s="29" t="n">
        <v>89.40078455395162</v>
      </c>
      <c r="AO62" s="29" t="n">
        <v>4.56636108001562</v>
      </c>
      <c r="AP62" s="29" t="n">
        <v>1.837366251006076</v>
      </c>
      <c r="AQ62" s="29" t="n">
        <v>4.693469427826846</v>
      </c>
      <c r="AR62" s="29" t="n">
        <v>333.735586215271</v>
      </c>
      <c r="AS62" s="29" t="n">
        <v>1.739727662317694</v>
      </c>
      <c r="AT62" s="29" t="n">
        <v>0.07043003429029365</v>
      </c>
      <c r="AU62" s="29" t="n">
        <v>0.7634989096062949</v>
      </c>
      <c r="AV62" s="29" t="n">
        <v>3.002672009397048</v>
      </c>
      <c r="AW62" s="29" t="n">
        <v>45.48081669423801</v>
      </c>
      <c r="AX62" s="29" t="n">
        <v>4.963093395422893</v>
      </c>
      <c r="AY62" s="29" t="n">
        <v>45.60844246578667</v>
      </c>
      <c r="AZ62" s="29" t="n">
        <v>8.784725957070302</v>
      </c>
      <c r="BA62" s="29" t="n">
        <v>125.9868439197572</v>
      </c>
      <c r="BB62" s="29" t="n">
        <v>13.86280044163576</v>
      </c>
      <c r="BC62" s="29" t="n">
        <v>1331.794098031688</v>
      </c>
      <c r="BD62" s="29" t="n">
        <v>38.8578186888042</v>
      </c>
      <c r="BE62" s="29" t="n">
        <v>243.9388969902243</v>
      </c>
      <c r="BF62" s="29" t="n">
        <v>104.3560032839468</v>
      </c>
      <c r="BG62" s="29" t="n">
        <v>2002.754628856766</v>
      </c>
      <c r="BH62" s="29" t="n">
        <v>16.66986813957336</v>
      </c>
      <c r="BI62" s="29" t="n">
        <v>23.75694223426024</v>
      </c>
      <c r="BJ62" s="29" t="n">
        <v>0.4233346515613213</v>
      </c>
      <c r="BK62" s="29" t="n">
        <v>539.2520011266535</v>
      </c>
      <c r="BL62" s="29" t="n">
        <v>2088.584622708984</v>
      </c>
      <c r="BM62" s="29" t="n">
        <v>1302.481860072843</v>
      </c>
      <c r="BN62" s="29" t="n">
        <v>24.15626725819344</v>
      </c>
      <c r="BO62" s="29" t="n">
        <v>109.2086907990078</v>
      </c>
      <c r="BP62" s="29" t="n">
        <v>8.547833177142994</v>
      </c>
      <c r="BQ62" s="29" t="n">
        <v>139.6824280891356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11546.02653882247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0.007080323248801323</v>
      </c>
      <c r="D63" s="31" t="n">
        <v>0.004848599782989404</v>
      </c>
      <c r="E63" s="31" t="n">
        <v>0.00269606995955895</v>
      </c>
      <c r="F63" s="31" t="n">
        <v>0.05193074277110059</v>
      </c>
      <c r="G63" s="31" t="n">
        <v>0.2081695299804294</v>
      </c>
      <c r="H63" s="31" t="n">
        <v>0.09700792786000248</v>
      </c>
      <c r="I63" s="31" t="n">
        <v>0.07531342698039324</v>
      </c>
      <c r="J63" s="31" t="n">
        <v>9.005998315853077</v>
      </c>
      <c r="K63" s="31" t="n">
        <v>0.4529676421546164</v>
      </c>
      <c r="L63" s="31" t="n">
        <v>5.753339392487032</v>
      </c>
      <c r="M63" s="31" t="n">
        <v>0.2797859726085664</v>
      </c>
      <c r="N63" s="31" t="n">
        <v>0.2510687114014537</v>
      </c>
      <c r="O63" s="31" t="n">
        <v>0.905413374894188</v>
      </c>
      <c r="P63" s="31" t="n">
        <v>1.151349158024752</v>
      </c>
      <c r="Q63" s="31" t="n">
        <v>1.316791481338502</v>
      </c>
      <c r="R63" s="31" t="n">
        <v>0.3671434484633462</v>
      </c>
      <c r="S63" s="31" t="n">
        <v>2.464501217932295</v>
      </c>
      <c r="T63" s="31" t="n">
        <v>0.1136378787505614</v>
      </c>
      <c r="U63" s="31" t="n">
        <v>0.751957180528752</v>
      </c>
      <c r="V63" s="31" t="n">
        <v>0.6729722430405497</v>
      </c>
      <c r="W63" s="31" t="n">
        <v>1.103615321295094</v>
      </c>
      <c r="X63" s="31" t="n">
        <v>1.597848038343761</v>
      </c>
      <c r="Y63" s="31" t="n">
        <v>0.1745387768270768</v>
      </c>
      <c r="Z63" s="31" t="n">
        <v>1.937753787965569</v>
      </c>
      <c r="AA63" s="31" t="n">
        <v>2.238190442623655</v>
      </c>
      <c r="AB63" s="31" t="n">
        <v>1.638526668664289</v>
      </c>
      <c r="AC63" s="31" t="n">
        <v>2.029369575906454</v>
      </c>
      <c r="AD63" s="31" t="n">
        <v>0.5654211023880449</v>
      </c>
      <c r="AE63" s="31" t="n">
        <v>1.879455464727101</v>
      </c>
      <c r="AF63" s="31" t="n">
        <v>1.169015598503448</v>
      </c>
      <c r="AG63" s="31" t="n">
        <v>1.525558271252994</v>
      </c>
      <c r="AH63" s="31" t="n">
        <v>3.258162703009171</v>
      </c>
      <c r="AI63" s="31" t="n">
        <v>0.1424343336000555</v>
      </c>
      <c r="AJ63" s="31" t="n">
        <v>0.103552040214628</v>
      </c>
      <c r="AK63" s="31" t="n">
        <v>0.2873306423511147</v>
      </c>
      <c r="AL63" s="31" t="n">
        <v>1.008518856212789</v>
      </c>
      <c r="AM63" s="31" t="n">
        <v>0.04172244915061858</v>
      </c>
      <c r="AN63" s="31" t="n">
        <v>0.4956917197074813</v>
      </c>
      <c r="AO63" s="31" t="n">
        <v>0.120225252547354</v>
      </c>
      <c r="AP63" s="31" t="n">
        <v>0.5495339252562789</v>
      </c>
      <c r="AQ63" s="31" t="n">
        <v>1.429302231417609</v>
      </c>
      <c r="AR63" s="31" t="n">
        <v>22.70772313620876</v>
      </c>
      <c r="AS63" s="31" t="n">
        <v>1.347578657189721</v>
      </c>
      <c r="AT63" s="31" t="n">
        <v>0.02619039389285838</v>
      </c>
      <c r="AU63" s="31" t="n">
        <v>0.04929956497479224</v>
      </c>
      <c r="AV63" s="31" t="n">
        <v>0.9952349679286183</v>
      </c>
      <c r="AW63" s="31" t="n">
        <v>4.102363493792437</v>
      </c>
      <c r="AX63" s="31" t="n">
        <v>1.865680412014794</v>
      </c>
      <c r="AY63" s="31" t="n">
        <v>12.593913496445</v>
      </c>
      <c r="AZ63" s="31" t="n">
        <v>5013.759703603006</v>
      </c>
      <c r="BA63" s="31" t="n">
        <v>4962.968594945352</v>
      </c>
      <c r="BB63" s="31" t="n">
        <v>1.980632117256706</v>
      </c>
      <c r="BC63" s="31" t="n">
        <v>4.20611543640514</v>
      </c>
      <c r="BD63" s="31" t="n">
        <v>0.7949554852185249</v>
      </c>
      <c r="BE63" s="31" t="n">
        <v>2.561884281221826</v>
      </c>
      <c r="BF63" s="31" t="n">
        <v>0.4239667664691522</v>
      </c>
      <c r="BG63" s="31" t="n">
        <v>31045.37545110068</v>
      </c>
      <c r="BH63" s="31" t="n">
        <v>0.4402297091108401</v>
      </c>
      <c r="BI63" s="31" t="n">
        <v>19.73797245515401</v>
      </c>
      <c r="BJ63" s="31" t="n">
        <v>2.891042423101791</v>
      </c>
      <c r="BK63" s="31" t="n">
        <v>1.403882143227482</v>
      </c>
      <c r="BL63" s="31" t="n">
        <v>0.2557414933067347</v>
      </c>
      <c r="BM63" s="31" t="n">
        <v>1.684557747509513</v>
      </c>
      <c r="BN63" s="31" t="n">
        <v>0.1902655085745888</v>
      </c>
      <c r="BO63" s="31" t="n">
        <v>0.7799345240152679</v>
      </c>
      <c r="BP63" s="31" t="n">
        <v>100.8222136954097</v>
      </c>
      <c r="BQ63" s="31" t="n">
        <v>1.181389736341323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2151.606754869264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4.887893537217909</v>
      </c>
      <c r="D64" s="29" t="n">
        <v>2.456516684941159</v>
      </c>
      <c r="E64" s="29" t="n">
        <v>5.667552711633807</v>
      </c>
      <c r="F64" s="29" t="n">
        <v>23.68270531689178</v>
      </c>
      <c r="G64" s="29" t="n">
        <v>525.702071817259</v>
      </c>
      <c r="H64" s="29" t="n">
        <v>56.64120234318115</v>
      </c>
      <c r="I64" s="29" t="n">
        <v>23.8072273346245</v>
      </c>
      <c r="J64" s="29" t="n">
        <v>604.9537824389029</v>
      </c>
      <c r="K64" s="29" t="n">
        <v>130.1062126597151</v>
      </c>
      <c r="L64" s="29" t="n">
        <v>1055.728589070691</v>
      </c>
      <c r="M64" s="29" t="n">
        <v>306.1794288210545</v>
      </c>
      <c r="N64" s="29" t="n">
        <v>14.43154519010273</v>
      </c>
      <c r="O64" s="29" t="n">
        <v>173.3701059743516</v>
      </c>
      <c r="P64" s="29" t="n">
        <v>462.0448337683773</v>
      </c>
      <c r="Q64" s="29" t="n">
        <v>143.6489366676765</v>
      </c>
      <c r="R64" s="29" t="n">
        <v>68.94623662179359</v>
      </c>
      <c r="S64" s="29" t="n">
        <v>295.7932254230984</v>
      </c>
      <c r="T64" s="29" t="n">
        <v>264.5364771869523</v>
      </c>
      <c r="U64" s="29" t="n">
        <v>171.190831948209</v>
      </c>
      <c r="V64" s="29" t="n">
        <v>112.1160197100327</v>
      </c>
      <c r="W64" s="29" t="n">
        <v>214.6621950634505</v>
      </c>
      <c r="X64" s="29" t="n">
        <v>210.3572476501657</v>
      </c>
      <c r="Y64" s="29" t="n">
        <v>25.26510089783951</v>
      </c>
      <c r="Z64" s="29" t="n">
        <v>205.8337554506096</v>
      </c>
      <c r="AA64" s="29" t="n">
        <v>254.3730052661983</v>
      </c>
      <c r="AB64" s="29" t="n">
        <v>396.7302581791336</v>
      </c>
      <c r="AC64" s="29" t="n">
        <v>150.6458890590274</v>
      </c>
      <c r="AD64" s="29" t="n">
        <v>55.99352677625392</v>
      </c>
      <c r="AE64" s="29" t="n">
        <v>324.9510972339329</v>
      </c>
      <c r="AF64" s="29" t="n">
        <v>661.0670276056582</v>
      </c>
      <c r="AG64" s="29" t="n">
        <v>365.8199488266134</v>
      </c>
      <c r="AH64" s="29" t="n">
        <v>397.309104056107</v>
      </c>
      <c r="AI64" s="29" t="n">
        <v>941.4362478059838</v>
      </c>
      <c r="AJ64" s="29" t="n">
        <v>833.9344455503698</v>
      </c>
      <c r="AK64" s="29" t="n">
        <v>195.0120740717141</v>
      </c>
      <c r="AL64" s="29" t="n">
        <v>379.6444640839615</v>
      </c>
      <c r="AM64" s="29" t="n">
        <v>99.33407189681958</v>
      </c>
      <c r="AN64" s="29" t="n">
        <v>399.4651841143</v>
      </c>
      <c r="AO64" s="29" t="n">
        <v>131.1476406098838</v>
      </c>
      <c r="AP64" s="29" t="n">
        <v>1032.482585014083</v>
      </c>
      <c r="AQ64" s="29" t="n">
        <v>925.5413789351628</v>
      </c>
      <c r="AR64" s="29" t="n">
        <v>5659.033206445301</v>
      </c>
      <c r="AS64" s="29" t="n">
        <v>697.0569585898394</v>
      </c>
      <c r="AT64" s="29" t="n">
        <v>26.11323967868814</v>
      </c>
      <c r="AU64" s="29" t="n">
        <v>59.41679773806776</v>
      </c>
      <c r="AV64" s="29" t="n">
        <v>649.811098945863</v>
      </c>
      <c r="AW64" s="29" t="n">
        <v>197.3328574764874</v>
      </c>
      <c r="AX64" s="29" t="n">
        <v>537.224980595091</v>
      </c>
      <c r="AY64" s="29" t="n">
        <v>128.1762037390791</v>
      </c>
      <c r="AZ64" s="29" t="n">
        <v>271.2860361984382</v>
      </c>
      <c r="BA64" s="29" t="n">
        <v>19021.29097063288</v>
      </c>
      <c r="BB64" s="29" t="n">
        <v>1183.349226046984</v>
      </c>
      <c r="BC64" s="29" t="n">
        <v>8014.177122674104</v>
      </c>
      <c r="BD64" s="29" t="n">
        <v>498.9274396972514</v>
      </c>
      <c r="BE64" s="29" t="n">
        <v>2202.435452275628</v>
      </c>
      <c r="BF64" s="29" t="n">
        <v>335.6864226852849</v>
      </c>
      <c r="BG64" s="29" t="n">
        <v>2119.784845466807</v>
      </c>
      <c r="BH64" s="29" t="n">
        <v>107.1619979122853</v>
      </c>
      <c r="BI64" s="29" t="n">
        <v>1310.747561748913</v>
      </c>
      <c r="BJ64" s="29" t="n">
        <v>227.733714242488</v>
      </c>
      <c r="BK64" s="29" t="n">
        <v>4487.565870675266</v>
      </c>
      <c r="BL64" s="29" t="n">
        <v>880.0998660621216</v>
      </c>
      <c r="BM64" s="29" t="n">
        <v>1081.916693471046</v>
      </c>
      <c r="BN64" s="29" t="n">
        <v>445.7936869134591</v>
      </c>
      <c r="BO64" s="29" t="n">
        <v>891.1059875967333</v>
      </c>
      <c r="BP64" s="29" t="n">
        <v>227.3268287176523</v>
      </c>
      <c r="BQ64" s="29" t="n">
        <v>1376.75957676818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95754.69350746747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13.79681363554147</v>
      </c>
      <c r="D65" s="31" t="n">
        <v>7.770124298815506</v>
      </c>
      <c r="E65" s="31" t="n">
        <v>0.8693353795179813</v>
      </c>
      <c r="F65" s="31" t="n">
        <v>1.474419659444369</v>
      </c>
      <c r="G65" s="31" t="n">
        <v>53.56628820965886</v>
      </c>
      <c r="H65" s="31" t="n">
        <v>154.574283001796</v>
      </c>
      <c r="I65" s="31" t="n">
        <v>27.56026893672263</v>
      </c>
      <c r="J65" s="31" t="n">
        <v>490.0337783047223</v>
      </c>
      <c r="K65" s="31" t="n">
        <v>14.08320010966253</v>
      </c>
      <c r="L65" s="31" t="n">
        <v>715.1686758388136</v>
      </c>
      <c r="M65" s="31" t="n">
        <v>62.77753580674872</v>
      </c>
      <c r="N65" s="31" t="n">
        <v>29.25934187044296</v>
      </c>
      <c r="O65" s="31" t="n">
        <v>42.17969429359997</v>
      </c>
      <c r="P65" s="31" t="n">
        <v>54.90798628728398</v>
      </c>
      <c r="Q65" s="31" t="n">
        <v>27.28599949657375</v>
      </c>
      <c r="R65" s="31" t="n">
        <v>13.37023949416623</v>
      </c>
      <c r="S65" s="31" t="n">
        <v>162.8082449438138</v>
      </c>
      <c r="T65" s="31" t="n">
        <v>3.986546653262252</v>
      </c>
      <c r="U65" s="31" t="n">
        <v>43.30455801411213</v>
      </c>
      <c r="V65" s="31" t="n">
        <v>9.647058468530503</v>
      </c>
      <c r="W65" s="31" t="n">
        <v>272.2896560109136</v>
      </c>
      <c r="X65" s="31" t="n">
        <v>197.3291034136912</v>
      </c>
      <c r="Y65" s="31" t="n">
        <v>19.6728868388727</v>
      </c>
      <c r="Z65" s="31" t="n">
        <v>341.1662198514895</v>
      </c>
      <c r="AA65" s="31" t="n">
        <v>132.6198681430625</v>
      </c>
      <c r="AB65" s="31" t="n">
        <v>98.84771738522069</v>
      </c>
      <c r="AC65" s="31" t="n">
        <v>159.3894579448696</v>
      </c>
      <c r="AD65" s="31" t="n">
        <v>29.20021140598006</v>
      </c>
      <c r="AE65" s="31" t="n">
        <v>109.8764966501125</v>
      </c>
      <c r="AF65" s="31" t="n">
        <v>206.9675657941918</v>
      </c>
      <c r="AG65" s="31" t="n">
        <v>297.9451944489005</v>
      </c>
      <c r="AH65" s="31" t="n">
        <v>192.7837690786654</v>
      </c>
      <c r="AI65" s="31" t="n">
        <v>594.3816509174004</v>
      </c>
      <c r="AJ65" s="31" t="n">
        <v>84.99018556044521</v>
      </c>
      <c r="AK65" s="31" t="n">
        <v>66.96300788473279</v>
      </c>
      <c r="AL65" s="31" t="n">
        <v>113.7956214015511</v>
      </c>
      <c r="AM65" s="31" t="n">
        <v>68.99120306749552</v>
      </c>
      <c r="AN65" s="31" t="n">
        <v>1169.841897802723</v>
      </c>
      <c r="AO65" s="31" t="n">
        <v>255.6847287728154</v>
      </c>
      <c r="AP65" s="31" t="n">
        <v>404.7629535729313</v>
      </c>
      <c r="AQ65" s="31" t="n">
        <v>341.9570911784629</v>
      </c>
      <c r="AR65" s="31" t="n">
        <v>6853.869923733389</v>
      </c>
      <c r="AS65" s="31" t="n">
        <v>653.7645604897701</v>
      </c>
      <c r="AT65" s="31" t="n">
        <v>0.9776603842513918</v>
      </c>
      <c r="AU65" s="31" t="n">
        <v>638.517020711845</v>
      </c>
      <c r="AV65" s="31" t="n">
        <v>956.5218732522043</v>
      </c>
      <c r="AW65" s="31" t="n">
        <v>58.42930062042423</v>
      </c>
      <c r="AX65" s="31" t="n">
        <v>77.64822996704126</v>
      </c>
      <c r="AY65" s="31" t="n">
        <v>490.0874840425442</v>
      </c>
      <c r="AZ65" s="31" t="n">
        <v>896.7000773146892</v>
      </c>
      <c r="BA65" s="31" t="n">
        <v>2621.189292548904</v>
      </c>
      <c r="BB65" s="31" t="n">
        <v>6760.83974698869</v>
      </c>
      <c r="BC65" s="31" t="n">
        <v>14771.7032909297</v>
      </c>
      <c r="BD65" s="31" t="n">
        <v>283.6640580189722</v>
      </c>
      <c r="BE65" s="31" t="n">
        <v>2156.143603248163</v>
      </c>
      <c r="BF65" s="31" t="n">
        <v>49.13369137968255</v>
      </c>
      <c r="BG65" s="31" t="n">
        <v>4228.736642716151</v>
      </c>
      <c r="BH65" s="31" t="n">
        <v>307.2065935804025</v>
      </c>
      <c r="BI65" s="31" t="n">
        <v>680.652493340782</v>
      </c>
      <c r="BJ65" s="31" t="n">
        <v>142.8184988920989</v>
      </c>
      <c r="BK65" s="31" t="n">
        <v>8378.29712951412</v>
      </c>
      <c r="BL65" s="31" t="n">
        <v>1255.374754821492</v>
      </c>
      <c r="BM65" s="31" t="n">
        <v>318.7195560986792</v>
      </c>
      <c r="BN65" s="31" t="n">
        <v>2256.631681271013</v>
      </c>
      <c r="BO65" s="31" t="n">
        <v>3.670785264467392</v>
      </c>
      <c r="BP65" s="31" t="n">
        <v>146.3144121750385</v>
      </c>
      <c r="BQ65" s="31" t="n">
        <v>1273.74502004347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62187.5457853485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5381.299620907422</v>
      </c>
      <c r="D66" s="29" t="n">
        <v>2091.809983257752</v>
      </c>
      <c r="E66" s="29" t="n">
        <v>481.727040429507</v>
      </c>
      <c r="F66" s="29" t="n">
        <v>616.9287012258903</v>
      </c>
      <c r="G66" s="29" t="n">
        <v>3517.194940506415</v>
      </c>
      <c r="H66" s="29" t="n">
        <v>1580.612117531099</v>
      </c>
      <c r="I66" s="29" t="n">
        <v>534.7601870939624</v>
      </c>
      <c r="J66" s="29" t="n">
        <v>4882.933283394833</v>
      </c>
      <c r="K66" s="29" t="n">
        <v>1565.873767243774</v>
      </c>
      <c r="L66" s="29" t="n">
        <v>4803.616689645399</v>
      </c>
      <c r="M66" s="29" t="n">
        <v>1464.1536234242</v>
      </c>
      <c r="N66" s="29" t="n">
        <v>320.3343600123052</v>
      </c>
      <c r="O66" s="29" t="n">
        <v>782.4112117210094</v>
      </c>
      <c r="P66" s="29" t="n">
        <v>1068.292003845417</v>
      </c>
      <c r="Q66" s="29" t="n">
        <v>757.397677696344</v>
      </c>
      <c r="R66" s="29" t="n">
        <v>497.6589800616313</v>
      </c>
      <c r="S66" s="29" t="n">
        <v>2040.287499919415</v>
      </c>
      <c r="T66" s="29" t="n">
        <v>385.1486300503134</v>
      </c>
      <c r="U66" s="29" t="n">
        <v>3347.826421640306</v>
      </c>
      <c r="V66" s="29" t="n">
        <v>1016.646757753206</v>
      </c>
      <c r="W66" s="29" t="n">
        <v>3487.128935321573</v>
      </c>
      <c r="X66" s="29" t="n">
        <v>1320.683904079538</v>
      </c>
      <c r="Y66" s="29" t="n">
        <v>776.4646813951441</v>
      </c>
      <c r="Z66" s="29" t="n">
        <v>931.7593863721678</v>
      </c>
      <c r="AA66" s="29" t="n">
        <v>1770.549445560391</v>
      </c>
      <c r="AB66" s="29" t="n">
        <v>2061.65773008441</v>
      </c>
      <c r="AC66" s="29" t="n">
        <v>2416.89231375663</v>
      </c>
      <c r="AD66" s="29" t="n">
        <v>1120.902409713144</v>
      </c>
      <c r="AE66" s="29" t="n">
        <v>1691.122900349356</v>
      </c>
      <c r="AF66" s="29" t="n">
        <v>1479.523896239408</v>
      </c>
      <c r="AG66" s="29" t="n">
        <v>1362.877824976096</v>
      </c>
      <c r="AH66" s="29" t="n">
        <v>2227.001206987072</v>
      </c>
      <c r="AI66" s="29" t="n">
        <v>2628.229982836937</v>
      </c>
      <c r="AJ66" s="29" t="n">
        <v>1090.263435029449</v>
      </c>
      <c r="AK66" s="29" t="n">
        <v>1008.788083870231</v>
      </c>
      <c r="AL66" s="29" t="n">
        <v>1051.667129587422</v>
      </c>
      <c r="AM66" s="29" t="n">
        <v>654.0465613766717</v>
      </c>
      <c r="AN66" s="29" t="n">
        <v>6253.281423425844</v>
      </c>
      <c r="AO66" s="29" t="n">
        <v>1283.687861830939</v>
      </c>
      <c r="AP66" s="29" t="n">
        <v>9908.792353302373</v>
      </c>
      <c r="AQ66" s="29" t="n">
        <v>2821.495174545961</v>
      </c>
      <c r="AR66" s="29" t="n">
        <v>27441.93305987103</v>
      </c>
      <c r="AS66" s="29" t="n">
        <v>8470.076005491574</v>
      </c>
      <c r="AT66" s="29" t="n">
        <v>553.8529206839502</v>
      </c>
      <c r="AU66" s="29" t="n">
        <v>1212.372344907093</v>
      </c>
      <c r="AV66" s="29" t="n">
        <v>3222.15457731282</v>
      </c>
      <c r="AW66" s="29" t="n">
        <v>591.6906554597729</v>
      </c>
      <c r="AX66" s="29" t="n">
        <v>3221.976936151866</v>
      </c>
      <c r="AY66" s="29" t="n">
        <v>527.3557437841371</v>
      </c>
      <c r="AZ66" s="29" t="n">
        <v>1097.569598813292</v>
      </c>
      <c r="BA66" s="29" t="n">
        <v>6443.540092263295</v>
      </c>
      <c r="BB66" s="29" t="n">
        <v>2585.577819741347</v>
      </c>
      <c r="BC66" s="29" t="n">
        <v>68054.85857312861</v>
      </c>
      <c r="BD66" s="29" t="n">
        <v>23103.04282435012</v>
      </c>
      <c r="BE66" s="29" t="n">
        <v>4431.177328881814</v>
      </c>
      <c r="BF66" s="29" t="n">
        <v>1560.906736974121</v>
      </c>
      <c r="BG66" s="29" t="n">
        <v>938.9627811248637</v>
      </c>
      <c r="BH66" s="29" t="n">
        <v>1329.541779003615</v>
      </c>
      <c r="BI66" s="29" t="n">
        <v>4859.127051269972</v>
      </c>
      <c r="BJ66" s="29" t="n">
        <v>1080.238695621492</v>
      </c>
      <c r="BK66" s="29" t="n">
        <v>55282.72505042109</v>
      </c>
      <c r="BL66" s="29" t="n">
        <v>979.118171161017</v>
      </c>
      <c r="BM66" s="29" t="n">
        <v>2119.512397504112</v>
      </c>
      <c r="BN66" s="29" t="n">
        <v>413.5380963841808</v>
      </c>
      <c r="BO66" s="29" t="n">
        <v>4836.122192057056</v>
      </c>
      <c r="BP66" s="29" t="n">
        <v>886.1104105073072</v>
      </c>
      <c r="BQ66" s="29" t="n">
        <v>2467.215449895174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262416.9725692343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5.039043279985258</v>
      </c>
      <c r="D67" s="31" t="n">
        <v>3.61021051148528</v>
      </c>
      <c r="E67" s="31" t="n">
        <v>5.031501361037608</v>
      </c>
      <c r="F67" s="31" t="n">
        <v>15.09115211913609</v>
      </c>
      <c r="G67" s="31" t="n">
        <v>235.8851423056916</v>
      </c>
      <c r="H67" s="31" t="n">
        <v>20.21106153006003</v>
      </c>
      <c r="I67" s="31" t="n">
        <v>15.10665495252848</v>
      </c>
      <c r="J67" s="31" t="n">
        <v>451.2847810307283</v>
      </c>
      <c r="K67" s="31" t="n">
        <v>103.4793128478103</v>
      </c>
      <c r="L67" s="31" t="n">
        <v>348.5265884951214</v>
      </c>
      <c r="M67" s="31" t="n">
        <v>50.30244374546334</v>
      </c>
      <c r="N67" s="31" t="n">
        <v>15.80933946285991</v>
      </c>
      <c r="O67" s="31" t="n">
        <v>227.7982095330268</v>
      </c>
      <c r="P67" s="31" t="n">
        <v>269.4773772078394</v>
      </c>
      <c r="Q67" s="31" t="n">
        <v>68.26760222598597</v>
      </c>
      <c r="R67" s="31" t="n">
        <v>25.15122187273167</v>
      </c>
      <c r="S67" s="31" t="n">
        <v>112.825385212653</v>
      </c>
      <c r="T67" s="31" t="n">
        <v>40.24195499637067</v>
      </c>
      <c r="U67" s="31" t="n">
        <v>121.4444713283329</v>
      </c>
      <c r="V67" s="31" t="n">
        <v>132.234879295068</v>
      </c>
      <c r="W67" s="31" t="n">
        <v>115.0067629556383</v>
      </c>
      <c r="X67" s="31" t="n">
        <v>71.86063392209049</v>
      </c>
      <c r="Y67" s="31" t="n">
        <v>115.6956206145657</v>
      </c>
      <c r="Z67" s="31" t="n">
        <v>182.5260101621098</v>
      </c>
      <c r="AA67" s="31" t="n">
        <v>279.537865956932</v>
      </c>
      <c r="AB67" s="31" t="n">
        <v>155.9392515929247</v>
      </c>
      <c r="AC67" s="31" t="n">
        <v>192.5940408301502</v>
      </c>
      <c r="AD67" s="31" t="n">
        <v>7.909697677395052</v>
      </c>
      <c r="AE67" s="31" t="n">
        <v>188.2886877272811</v>
      </c>
      <c r="AF67" s="31" t="n">
        <v>141.5956165023089</v>
      </c>
      <c r="AG67" s="31" t="n">
        <v>86.95262403222077</v>
      </c>
      <c r="AH67" s="31" t="n">
        <v>156.6775507205089</v>
      </c>
      <c r="AI67" s="31" t="n">
        <v>77.7050156091946</v>
      </c>
      <c r="AJ67" s="31" t="n">
        <v>125.0429499658996</v>
      </c>
      <c r="AK67" s="31" t="n">
        <v>59.02125078945108</v>
      </c>
      <c r="AL67" s="31" t="n">
        <v>177.5012127290257</v>
      </c>
      <c r="AM67" s="31" t="n">
        <v>42.39777401403339</v>
      </c>
      <c r="AN67" s="31" t="n">
        <v>924.8463585773046</v>
      </c>
      <c r="AO67" s="31" t="n">
        <v>199.7725623034116</v>
      </c>
      <c r="AP67" s="31" t="n">
        <v>1035.843475135759</v>
      </c>
      <c r="AQ67" s="31" t="n">
        <v>2666.947566705393</v>
      </c>
      <c r="AR67" s="31" t="n">
        <v>27749.95421164822</v>
      </c>
      <c r="AS67" s="31" t="n">
        <v>815.6257369346747</v>
      </c>
      <c r="AT67" s="31" t="n">
        <v>48.867326044507</v>
      </c>
      <c r="AU67" s="31" t="n">
        <v>91.98244941127001</v>
      </c>
      <c r="AV67" s="31" t="n">
        <v>1857.003641204951</v>
      </c>
      <c r="AW67" s="31" t="n">
        <v>859.5520646455159</v>
      </c>
      <c r="AX67" s="31" t="n">
        <v>3480.929107186063</v>
      </c>
      <c r="AY67" s="31" t="n">
        <v>193.3092952053943</v>
      </c>
      <c r="AZ67" s="31" t="n">
        <v>327.7787646715782</v>
      </c>
      <c r="BA67" s="31" t="n">
        <v>1862.62846925158</v>
      </c>
      <c r="BB67" s="31" t="n">
        <v>1143.65128995404</v>
      </c>
      <c r="BC67" s="31" t="n">
        <v>4357.775489459549</v>
      </c>
      <c r="BD67" s="31" t="n">
        <v>1483.429741720377</v>
      </c>
      <c r="BE67" s="31" t="n">
        <v>3713.780605845976</v>
      </c>
      <c r="BF67" s="31" t="n">
        <v>682.0198462497053</v>
      </c>
      <c r="BG67" s="31" t="n">
        <v>715.0133075248003</v>
      </c>
      <c r="BH67" s="31" t="n">
        <v>821.4416269279767</v>
      </c>
      <c r="BI67" s="31" t="n">
        <v>2082.620443933284</v>
      </c>
      <c r="BJ67" s="31" t="n">
        <v>188.993467215098</v>
      </c>
      <c r="BK67" s="31" t="n">
        <v>2620.814244402827</v>
      </c>
      <c r="BL67" s="31" t="n">
        <v>477.5849176181939</v>
      </c>
      <c r="BM67" s="31" t="n">
        <v>3113.155594861398</v>
      </c>
      <c r="BN67" s="31" t="n">
        <v>355.7134608166159</v>
      </c>
      <c r="BO67" s="31" t="n">
        <v>1455.177836922332</v>
      </c>
      <c r="BP67" s="31" t="n">
        <v>2906.047806768813</v>
      </c>
      <c r="BQ67" s="31" t="n">
        <v>2168.8678985439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471084.8004931938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16.98764918368209</v>
      </c>
      <c r="D68" s="29" t="n">
        <v>8.942189481763336</v>
      </c>
      <c r="E68" s="29" t="n">
        <v>35.75425612735459</v>
      </c>
      <c r="F68" s="29" t="n">
        <v>454.0303303824274</v>
      </c>
      <c r="G68" s="29" t="n">
        <v>9128.580408529766</v>
      </c>
      <c r="H68" s="29" t="n">
        <v>2605.187485485694</v>
      </c>
      <c r="I68" s="29" t="n">
        <v>242.2290444147759</v>
      </c>
      <c r="J68" s="29" t="n">
        <v>3989.615894218913</v>
      </c>
      <c r="K68" s="29" t="n">
        <v>712.5099406925087</v>
      </c>
      <c r="L68" s="29" t="n">
        <v>6663.515142628436</v>
      </c>
      <c r="M68" s="29" t="n">
        <v>1691.904358077876</v>
      </c>
      <c r="N68" s="29" t="n">
        <v>790.1142566949429</v>
      </c>
      <c r="O68" s="29" t="n">
        <v>313.2775567296478</v>
      </c>
      <c r="P68" s="29" t="n">
        <v>266.0202232922246</v>
      </c>
      <c r="Q68" s="29" t="n">
        <v>180.9414656611293</v>
      </c>
      <c r="R68" s="29" t="n">
        <v>228.9096722667647</v>
      </c>
      <c r="S68" s="29" t="n">
        <v>1609.421093677709</v>
      </c>
      <c r="T68" s="29" t="n">
        <v>147.5339964977131</v>
      </c>
      <c r="U68" s="29" t="n">
        <v>4920.154290319868</v>
      </c>
      <c r="V68" s="29" t="n">
        <v>526.7080365986393</v>
      </c>
      <c r="W68" s="29" t="n">
        <v>2652.022829327695</v>
      </c>
      <c r="X68" s="29" t="n">
        <v>3072.142862132795</v>
      </c>
      <c r="Y68" s="29" t="n">
        <v>1299.613596763963</v>
      </c>
      <c r="Z68" s="29" t="n">
        <v>3677.387320549117</v>
      </c>
      <c r="AA68" s="29" t="n">
        <v>1419.186377651188</v>
      </c>
      <c r="AB68" s="29" t="n">
        <v>1944.393569684308</v>
      </c>
      <c r="AC68" s="29" t="n">
        <v>1544.155886816093</v>
      </c>
      <c r="AD68" s="29" t="n">
        <v>380.871204912518</v>
      </c>
      <c r="AE68" s="29" t="n">
        <v>719.225872552344</v>
      </c>
      <c r="AF68" s="29" t="n">
        <v>2562.698535176505</v>
      </c>
      <c r="AG68" s="29" t="n">
        <v>2245.46662466886</v>
      </c>
      <c r="AH68" s="29" t="n">
        <v>1926.043797112195</v>
      </c>
      <c r="AI68" s="29" t="n">
        <v>2154.836290551956</v>
      </c>
      <c r="AJ68" s="29" t="n">
        <v>1011.833557627213</v>
      </c>
      <c r="AK68" s="29" t="n">
        <v>375.4930767995589</v>
      </c>
      <c r="AL68" s="29" t="n">
        <v>426.7493063266803</v>
      </c>
      <c r="AM68" s="29" t="n">
        <v>551.4710064522417</v>
      </c>
      <c r="AN68" s="29" t="n">
        <v>1181.717527422084</v>
      </c>
      <c r="AO68" s="29" t="n">
        <v>993.1517217407709</v>
      </c>
      <c r="AP68" s="29" t="n">
        <v>4183.782204681124</v>
      </c>
      <c r="AQ68" s="29" t="n">
        <v>5689.010438625987</v>
      </c>
      <c r="AR68" s="29" t="n">
        <v>20650.27377479511</v>
      </c>
      <c r="AS68" s="29" t="n">
        <v>2000.213958134002</v>
      </c>
      <c r="AT68" s="29" t="n">
        <v>69.76883813151375</v>
      </c>
      <c r="AU68" s="29" t="n">
        <v>429.089964090529</v>
      </c>
      <c r="AV68" s="29" t="n">
        <v>1610.053339592491</v>
      </c>
      <c r="AW68" s="29" t="n">
        <v>210.183319798532</v>
      </c>
      <c r="AX68" s="29" t="n">
        <v>816.6563652091447</v>
      </c>
      <c r="AY68" s="29" t="n">
        <v>469.5998070343736</v>
      </c>
      <c r="AZ68" s="29" t="n">
        <v>2278.64335632121</v>
      </c>
      <c r="BA68" s="29" t="n">
        <v>2893.727324653525</v>
      </c>
      <c r="BB68" s="29" t="n">
        <v>2494.058179146633</v>
      </c>
      <c r="BC68" s="29" t="n">
        <v>14995.43165531724</v>
      </c>
      <c r="BD68" s="29" t="n">
        <v>1956.349993083268</v>
      </c>
      <c r="BE68" s="29" t="n">
        <v>15245.90427072719</v>
      </c>
      <c r="BF68" s="29" t="n">
        <v>4155.67317439683</v>
      </c>
      <c r="BG68" s="29" t="n">
        <v>328.0345164401241</v>
      </c>
      <c r="BH68" s="29" t="n">
        <v>756.1882282081544</v>
      </c>
      <c r="BI68" s="29" t="n">
        <v>3080.575858722735</v>
      </c>
      <c r="BJ68" s="29" t="n">
        <v>1165.634565682511</v>
      </c>
      <c r="BK68" s="29" t="n">
        <v>3731.745325446081</v>
      </c>
      <c r="BL68" s="29" t="n">
        <v>136.4295561110681</v>
      </c>
      <c r="BM68" s="29" t="n">
        <v>1785.874332588302</v>
      </c>
      <c r="BN68" s="29" t="n">
        <v>311.4448351834571</v>
      </c>
      <c r="BO68" s="29" t="n">
        <v>1970.61474950005</v>
      </c>
      <c r="BP68" s="29" t="n">
        <v>965.2046042103239</v>
      </c>
      <c r="BQ68" s="29" t="n">
        <v>2929.545581313283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25887.48525192912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668.682136442702</v>
      </c>
      <c r="D69" s="31" t="n">
        <v>21.16202535831866</v>
      </c>
      <c r="E69" s="31" t="n">
        <v>0.1152499815327484</v>
      </c>
      <c r="F69" s="31" t="n">
        <v>63.91234648416344</v>
      </c>
      <c r="G69" s="31" t="n">
        <v>2202.091979874271</v>
      </c>
      <c r="H69" s="31" t="n">
        <v>341.9704891275737</v>
      </c>
      <c r="I69" s="31" t="n">
        <v>167.894137929421</v>
      </c>
      <c r="J69" s="31" t="n">
        <v>1249.965370704755</v>
      </c>
      <c r="K69" s="31" t="n">
        <v>312.9352256295116</v>
      </c>
      <c r="L69" s="31" t="n">
        <v>1177.546124655992</v>
      </c>
      <c r="M69" s="31" t="n">
        <v>256.1195640397789</v>
      </c>
      <c r="N69" s="31" t="n">
        <v>129.9171936824321</v>
      </c>
      <c r="O69" s="31" t="n">
        <v>75.34065521396005</v>
      </c>
      <c r="P69" s="31" t="n">
        <v>201.8453621822216</v>
      </c>
      <c r="Q69" s="31" t="n">
        <v>132.8724988748774</v>
      </c>
      <c r="R69" s="31" t="n">
        <v>45.84763068132579</v>
      </c>
      <c r="S69" s="31" t="n">
        <v>547.7770645299603</v>
      </c>
      <c r="T69" s="31" t="n">
        <v>46.49152609556374</v>
      </c>
      <c r="U69" s="31" t="n">
        <v>184.2649825845625</v>
      </c>
      <c r="V69" s="31" t="n">
        <v>283.2109477459616</v>
      </c>
      <c r="W69" s="31" t="n">
        <v>750.9056801382251</v>
      </c>
      <c r="X69" s="31" t="n">
        <v>651.0612799613028</v>
      </c>
      <c r="Y69" s="31" t="n">
        <v>458.3605080980682</v>
      </c>
      <c r="Z69" s="31" t="n">
        <v>1059.25529119624</v>
      </c>
      <c r="AA69" s="31" t="n">
        <v>918.744535229351</v>
      </c>
      <c r="AB69" s="31" t="n">
        <v>674.6864693271774</v>
      </c>
      <c r="AC69" s="31" t="n">
        <v>438.9461863339247</v>
      </c>
      <c r="AD69" s="31" t="n">
        <v>297.1006384427442</v>
      </c>
      <c r="AE69" s="31" t="n">
        <v>499.7387852820576</v>
      </c>
      <c r="AF69" s="31" t="n">
        <v>777.599712583373</v>
      </c>
      <c r="AG69" s="31" t="n">
        <v>442.8629617419549</v>
      </c>
      <c r="AH69" s="31" t="n">
        <v>1742.018843574122</v>
      </c>
      <c r="AI69" s="31" t="n">
        <v>1884.397552734256</v>
      </c>
      <c r="AJ69" s="31" t="n">
        <v>671.9466725489875</v>
      </c>
      <c r="AK69" s="31" t="n">
        <v>294.8704749072011</v>
      </c>
      <c r="AL69" s="31" t="n">
        <v>300.821094234924</v>
      </c>
      <c r="AM69" s="31" t="n">
        <v>249.6332353157061</v>
      </c>
      <c r="AN69" s="31" t="n">
        <v>3940.110657719192</v>
      </c>
      <c r="AO69" s="31" t="n">
        <v>513.3801108364413</v>
      </c>
      <c r="AP69" s="31" t="n">
        <v>3969.672908033874</v>
      </c>
      <c r="AQ69" s="31" t="n">
        <v>115.9991228037942</v>
      </c>
      <c r="AR69" s="31" t="n">
        <v>1894.759681351938</v>
      </c>
      <c r="AS69" s="31" t="n">
        <v>405.5854922584861</v>
      </c>
      <c r="AT69" s="31" t="n">
        <v>16.54870257841702</v>
      </c>
      <c r="AU69" s="31" t="n">
        <v>0.6086499627586798</v>
      </c>
      <c r="AV69" s="31" t="n">
        <v>5022.885466615398</v>
      </c>
      <c r="AW69" s="31" t="n">
        <v>13.47834249262276</v>
      </c>
      <c r="AX69" s="31" t="n">
        <v>25.24462942697212</v>
      </c>
      <c r="AY69" s="31" t="n">
        <v>1.462153194142095</v>
      </c>
      <c r="AZ69" s="31" t="n">
        <v>2.167140808563091</v>
      </c>
      <c r="BA69" s="31" t="n">
        <v>28.49985376849236</v>
      </c>
      <c r="BB69" s="31" t="n">
        <v>395.328876505459</v>
      </c>
      <c r="BC69" s="31" t="n">
        <v>896.6948046308833</v>
      </c>
      <c r="BD69" s="31" t="n">
        <v>28.85198616254094</v>
      </c>
      <c r="BE69" s="31" t="n">
        <v>24.64351035512964</v>
      </c>
      <c r="BF69" s="31" t="n">
        <v>3720.096319910575</v>
      </c>
      <c r="BG69" s="31" t="n">
        <v>4.708399964308252</v>
      </c>
      <c r="BH69" s="31" t="n">
        <v>90.00500803787902</v>
      </c>
      <c r="BI69" s="31" t="n">
        <v>39.38921951986358</v>
      </c>
      <c r="BJ69" s="31" t="n">
        <v>1.33299743485684</v>
      </c>
      <c r="BK69" s="31" t="n">
        <v>4524.257738237112</v>
      </c>
      <c r="BL69" s="31" t="n">
        <v>1524.840133127492</v>
      </c>
      <c r="BM69" s="31" t="n">
        <v>138.4098465623848</v>
      </c>
      <c r="BN69" s="31" t="n">
        <v>1724.294457068189</v>
      </c>
      <c r="BO69" s="31" t="n">
        <v>10.87436362939887</v>
      </c>
      <c r="BP69" s="31" t="n">
        <v>19.13159406653177</v>
      </c>
      <c r="BQ69" s="31" t="n">
        <v>14.40014155173517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21742.42525791607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12.06398391598989</v>
      </c>
      <c r="D70" s="29" t="n">
        <v>368.3293814051633</v>
      </c>
      <c r="E70" s="29" t="n">
        <v>85.12160952838666</v>
      </c>
      <c r="F70" s="29" t="n">
        <v>32.45332753119506</v>
      </c>
      <c r="G70" s="29" t="n">
        <v>488.5609315535531</v>
      </c>
      <c r="H70" s="29" t="n">
        <v>6.890688200105638</v>
      </c>
      <c r="I70" s="29" t="n">
        <v>0.8393345172174258</v>
      </c>
      <c r="J70" s="29" t="n">
        <v>2037.765535408298</v>
      </c>
      <c r="K70" s="29" t="n">
        <v>125.5669791098213</v>
      </c>
      <c r="L70" s="29" t="n">
        <v>3188.650338181226</v>
      </c>
      <c r="M70" s="29" t="n">
        <v>4825.387577193379</v>
      </c>
      <c r="N70" s="29" t="n">
        <v>236.752638456886</v>
      </c>
      <c r="O70" s="29" t="n">
        <v>87.71248832790764</v>
      </c>
      <c r="P70" s="29" t="n">
        <v>391.5286122623739</v>
      </c>
      <c r="Q70" s="29" t="n">
        <v>802.6795243185098</v>
      </c>
      <c r="R70" s="29" t="n">
        <v>29.73479275863404</v>
      </c>
      <c r="S70" s="29" t="n">
        <v>516.0340947317056</v>
      </c>
      <c r="T70" s="29" t="n">
        <v>61.16186693498569</v>
      </c>
      <c r="U70" s="29" t="n">
        <v>200.4246035816672</v>
      </c>
      <c r="V70" s="29" t="n">
        <v>80.6067456756417</v>
      </c>
      <c r="W70" s="29" t="n">
        <v>102.0601625940805</v>
      </c>
      <c r="X70" s="29" t="n">
        <v>466.2495715006358</v>
      </c>
      <c r="Y70" s="29" t="n">
        <v>1172.297703115131</v>
      </c>
      <c r="Z70" s="29" t="n">
        <v>1870.678072230021</v>
      </c>
      <c r="AA70" s="29" t="n">
        <v>432.4329394321327</v>
      </c>
      <c r="AB70" s="29" t="n">
        <v>274.321652584953</v>
      </c>
      <c r="AC70" s="29" t="n">
        <v>191.86339419109</v>
      </c>
      <c r="AD70" s="29" t="n">
        <v>17.83916974839763</v>
      </c>
      <c r="AE70" s="29" t="n">
        <v>469.6591646922778</v>
      </c>
      <c r="AF70" s="29" t="n">
        <v>1345.704431515183</v>
      </c>
      <c r="AG70" s="29" t="n">
        <v>638.6892487405843</v>
      </c>
      <c r="AH70" s="29" t="n">
        <v>445.9962715657489</v>
      </c>
      <c r="AI70" s="29" t="n">
        <v>3996.765823855588</v>
      </c>
      <c r="AJ70" s="29" t="n">
        <v>125.2814757029223</v>
      </c>
      <c r="AK70" s="29" t="n">
        <v>293.3296455626131</v>
      </c>
      <c r="AL70" s="29" t="n">
        <v>420.6616182884698</v>
      </c>
      <c r="AM70" s="29" t="n">
        <v>104.0333369540331</v>
      </c>
      <c r="AN70" s="29" t="n">
        <v>3195.213154297747</v>
      </c>
      <c r="AO70" s="29" t="n">
        <v>171.3353907905388</v>
      </c>
      <c r="AP70" s="29" t="n">
        <v>1771.059500359005</v>
      </c>
      <c r="AQ70" s="29" t="n">
        <v>2458.563474722424</v>
      </c>
      <c r="AR70" s="29" t="n">
        <v>16303.90268545803</v>
      </c>
      <c r="AS70" s="29" t="n">
        <v>568.5752089002292</v>
      </c>
      <c r="AT70" s="29" t="n">
        <v>33.97881046930192</v>
      </c>
      <c r="AU70" s="29" t="n">
        <v>215.5772190654088</v>
      </c>
      <c r="AV70" s="29" t="n">
        <v>1006.480736384718</v>
      </c>
      <c r="AW70" s="29" t="n">
        <v>293.7285044171225</v>
      </c>
      <c r="AX70" s="29" t="n">
        <v>684.647498189756</v>
      </c>
      <c r="AY70" s="29" t="n">
        <v>897.2407201444852</v>
      </c>
      <c r="AZ70" s="29" t="n">
        <v>1763.756204437131</v>
      </c>
      <c r="BA70" s="29" t="n">
        <v>3369.731864820455</v>
      </c>
      <c r="BB70" s="29" t="n">
        <v>1505.791556236228</v>
      </c>
      <c r="BC70" s="29" t="n">
        <v>10896.7431854352</v>
      </c>
      <c r="BD70" s="29" t="n">
        <v>819.7929319948014</v>
      </c>
      <c r="BE70" s="29" t="n">
        <v>4175.190156525791</v>
      </c>
      <c r="BF70" s="29" t="n">
        <v>371.808656337352</v>
      </c>
      <c r="BG70" s="29" t="n">
        <v>1586.953076979443</v>
      </c>
      <c r="BH70" s="29" t="n">
        <v>924.8543068295548</v>
      </c>
      <c r="BI70" s="29" t="n">
        <v>1328.859825585684</v>
      </c>
      <c r="BJ70" s="29" t="n">
        <v>161.5655453087986</v>
      </c>
      <c r="BK70" s="29" t="n">
        <v>3325.428459175654</v>
      </c>
      <c r="BL70" s="29" t="n">
        <v>614.690582271718</v>
      </c>
      <c r="BM70" s="29" t="n">
        <v>2387.039180983246</v>
      </c>
      <c r="BN70" s="29" t="n">
        <v>995.6050561144821</v>
      </c>
      <c r="BO70" s="29" t="n">
        <v>37.91074403203967</v>
      </c>
      <c r="BP70" s="29" t="n">
        <v>1448.190778265724</v>
      </c>
      <c r="BQ70" s="29" t="n">
        <v>1499.636139366985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3590.004923994784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163.0425564807362</v>
      </c>
      <c r="D71" s="31" t="n">
        <v>26.79399509309155</v>
      </c>
      <c r="E71" s="31" t="n">
        <v>40.71088696268947</v>
      </c>
      <c r="F71" s="31" t="n">
        <v>131.7340278471494</v>
      </c>
      <c r="G71" s="31" t="n">
        <v>4980.500999000575</v>
      </c>
      <c r="H71" s="31" t="n">
        <v>602.2238316572084</v>
      </c>
      <c r="I71" s="31" t="n">
        <v>166.7241354404089</v>
      </c>
      <c r="J71" s="31" t="n">
        <v>227.2666922523649</v>
      </c>
      <c r="K71" s="31" t="n">
        <v>185.3923817404533</v>
      </c>
      <c r="L71" s="31" t="n">
        <v>603.8559098794102</v>
      </c>
      <c r="M71" s="31" t="n">
        <v>224.5557975310798</v>
      </c>
      <c r="N71" s="31" t="n">
        <v>22.93351971500013</v>
      </c>
      <c r="O71" s="31" t="n">
        <v>35.69414829581891</v>
      </c>
      <c r="P71" s="31" t="n">
        <v>66.40395156939027</v>
      </c>
      <c r="Q71" s="31" t="n">
        <v>45.13823324257547</v>
      </c>
      <c r="R71" s="31" t="n">
        <v>78.80042399994551</v>
      </c>
      <c r="S71" s="31" t="n">
        <v>450.8882193975454</v>
      </c>
      <c r="T71" s="31" t="n">
        <v>118.4697061527604</v>
      </c>
      <c r="U71" s="31" t="n">
        <v>258.8465214209597</v>
      </c>
      <c r="V71" s="31" t="n">
        <v>61.01861701685461</v>
      </c>
      <c r="W71" s="31" t="n">
        <v>237.7999054480059</v>
      </c>
      <c r="X71" s="31" t="n">
        <v>260.0707142688468</v>
      </c>
      <c r="Y71" s="31" t="n">
        <v>52.39276053748566</v>
      </c>
      <c r="Z71" s="31" t="n">
        <v>126.3880101348536</v>
      </c>
      <c r="AA71" s="31" t="n">
        <v>311.7373860667901</v>
      </c>
      <c r="AB71" s="31" t="n">
        <v>286.5729689077069</v>
      </c>
      <c r="AC71" s="31" t="n">
        <v>533.5606388105879</v>
      </c>
      <c r="AD71" s="31" t="n">
        <v>173.4521422155535</v>
      </c>
      <c r="AE71" s="31" t="n">
        <v>396.4456309563172</v>
      </c>
      <c r="AF71" s="31" t="n">
        <v>299.0974155928397</v>
      </c>
      <c r="AG71" s="31" t="n">
        <v>132.7644487480626</v>
      </c>
      <c r="AH71" s="31" t="n">
        <v>392.3729716402605</v>
      </c>
      <c r="AI71" s="31" t="n">
        <v>821.323716695744</v>
      </c>
      <c r="AJ71" s="31" t="n">
        <v>267.5630218850575</v>
      </c>
      <c r="AK71" s="31" t="n">
        <v>354.181196745018</v>
      </c>
      <c r="AL71" s="31" t="n">
        <v>150.2601574717876</v>
      </c>
      <c r="AM71" s="31" t="n">
        <v>222.5344520724825</v>
      </c>
      <c r="AN71" s="31" t="n">
        <v>518.4337567930335</v>
      </c>
      <c r="AO71" s="31" t="n">
        <v>707.0686111139205</v>
      </c>
      <c r="AP71" s="31" t="n">
        <v>2296.878669835385</v>
      </c>
      <c r="AQ71" s="31" t="n">
        <v>456.1563735028053</v>
      </c>
      <c r="AR71" s="31" t="n">
        <v>4602.993821702088</v>
      </c>
      <c r="AS71" s="31" t="n">
        <v>1971.320908535632</v>
      </c>
      <c r="AT71" s="31" t="n">
        <v>519.907268137511</v>
      </c>
      <c r="AU71" s="31" t="n">
        <v>1510.930489532815</v>
      </c>
      <c r="AV71" s="31" t="n">
        <v>1099.959608413291</v>
      </c>
      <c r="AW71" s="31" t="n">
        <v>79.81003760313655</v>
      </c>
      <c r="AX71" s="31" t="n">
        <v>614.2384383593298</v>
      </c>
      <c r="AY71" s="31" t="n">
        <v>428.8234811827122</v>
      </c>
      <c r="AZ71" s="31" t="n">
        <v>573.3335454616162</v>
      </c>
      <c r="BA71" s="31" t="n">
        <v>2543.998013503432</v>
      </c>
      <c r="BB71" s="31" t="n">
        <v>1312.459422860837</v>
      </c>
      <c r="BC71" s="31" t="n">
        <v>933.9031914242021</v>
      </c>
      <c r="BD71" s="31" t="n">
        <v>133.4402507067512</v>
      </c>
      <c r="BE71" s="31" t="n">
        <v>449.9558064767068</v>
      </c>
      <c r="BF71" s="31" t="n">
        <v>499.4224291319712</v>
      </c>
      <c r="BG71" s="31" t="n">
        <v>140.3036869477409</v>
      </c>
      <c r="BH71" s="31" t="n">
        <v>861.8836097161715</v>
      </c>
      <c r="BI71" s="31" t="n">
        <v>537.3733490430111</v>
      </c>
      <c r="BJ71" s="31" t="n">
        <v>162.7322910025153</v>
      </c>
      <c r="BK71" s="31" t="n">
        <v>1555.550070670506</v>
      </c>
      <c r="BL71" s="31" t="n">
        <v>566.5692065382718</v>
      </c>
      <c r="BM71" s="31" t="n">
        <v>1129.665014015692</v>
      </c>
      <c r="BN71" s="31" t="n">
        <v>756.8393518213786</v>
      </c>
      <c r="BO71" s="31" t="n">
        <v>411.4017451356632</v>
      </c>
      <c r="BP71" s="31" t="n">
        <v>313.0748939073824</v>
      </c>
      <c r="BQ71" s="31" t="n">
        <v>157.2025950000504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4301.780230915717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26.67348162586116</v>
      </c>
      <c r="D72" s="29" t="n">
        <v>15.29516005959424</v>
      </c>
      <c r="E72" s="29" t="n">
        <v>26.70515687086349</v>
      </c>
      <c r="F72" s="29" t="n">
        <v>396.2265639228847</v>
      </c>
      <c r="G72" s="29" t="n">
        <v>697.5525939869301</v>
      </c>
      <c r="H72" s="29" t="n">
        <v>364.7953670218669</v>
      </c>
      <c r="I72" s="29" t="n">
        <v>167.1981669737879</v>
      </c>
      <c r="J72" s="29" t="n">
        <v>673.6953028660616</v>
      </c>
      <c r="K72" s="29" t="n">
        <v>377.9230552549986</v>
      </c>
      <c r="L72" s="29" t="n">
        <v>1061.919915485271</v>
      </c>
      <c r="M72" s="29" t="n">
        <v>889.6747907740146</v>
      </c>
      <c r="N72" s="29" t="n">
        <v>118.078909891733</v>
      </c>
      <c r="O72" s="29" t="n">
        <v>175.5741263268997</v>
      </c>
      <c r="P72" s="29" t="n">
        <v>155.7839591751507</v>
      </c>
      <c r="Q72" s="29" t="n">
        <v>213.8778781173096</v>
      </c>
      <c r="R72" s="29" t="n">
        <v>42.028763338937</v>
      </c>
      <c r="S72" s="29" t="n">
        <v>579.1799095949077</v>
      </c>
      <c r="T72" s="29" t="n">
        <v>32.46856496752138</v>
      </c>
      <c r="U72" s="29" t="n">
        <v>225.0178440148228</v>
      </c>
      <c r="V72" s="29" t="n">
        <v>407.5074439620401</v>
      </c>
      <c r="W72" s="29" t="n">
        <v>447.4385799307088</v>
      </c>
      <c r="X72" s="29" t="n">
        <v>748.7061333414946</v>
      </c>
      <c r="Y72" s="29" t="n">
        <v>330.6921867512257</v>
      </c>
      <c r="Z72" s="29" t="n">
        <v>1083.96232383646</v>
      </c>
      <c r="AA72" s="29" t="n">
        <v>599.4236729374829</v>
      </c>
      <c r="AB72" s="29" t="n">
        <v>733.8702425361539</v>
      </c>
      <c r="AC72" s="29" t="n">
        <v>456.869165520432</v>
      </c>
      <c r="AD72" s="29" t="n">
        <v>428.3899911135253</v>
      </c>
      <c r="AE72" s="29" t="n">
        <v>607.1782450499967</v>
      </c>
      <c r="AF72" s="29" t="n">
        <v>814.1747924744393</v>
      </c>
      <c r="AG72" s="29" t="n">
        <v>597.9754529325668</v>
      </c>
      <c r="AH72" s="29" t="n">
        <v>1560.618649012868</v>
      </c>
      <c r="AI72" s="29" t="n">
        <v>1216.433928984706</v>
      </c>
      <c r="AJ72" s="29" t="n">
        <v>290.2796041592962</v>
      </c>
      <c r="AK72" s="29" t="n">
        <v>212.0073599670029</v>
      </c>
      <c r="AL72" s="29" t="n">
        <v>263.3217454661822</v>
      </c>
      <c r="AM72" s="29" t="n">
        <v>367.586217497428</v>
      </c>
      <c r="AN72" s="29" t="n">
        <v>2874.117220294939</v>
      </c>
      <c r="AO72" s="29" t="n">
        <v>312.2764014415362</v>
      </c>
      <c r="AP72" s="29" t="n">
        <v>2069.05034105508</v>
      </c>
      <c r="AQ72" s="29" t="n">
        <v>1654.952870168758</v>
      </c>
      <c r="AR72" s="29" t="n">
        <v>24240.81493714927</v>
      </c>
      <c r="AS72" s="29" t="n">
        <v>1582.232638246247</v>
      </c>
      <c r="AT72" s="29" t="n">
        <v>87.26484673775781</v>
      </c>
      <c r="AU72" s="29" t="n">
        <v>854.6332183713096</v>
      </c>
      <c r="AV72" s="29" t="n">
        <v>2603.949209738436</v>
      </c>
      <c r="AW72" s="29" t="n">
        <v>772.1375685114738</v>
      </c>
      <c r="AX72" s="29" t="n">
        <v>1544.768462973364</v>
      </c>
      <c r="AY72" s="29" t="n">
        <v>257.7695966141613</v>
      </c>
      <c r="AZ72" s="29" t="n">
        <v>818.1700888657786</v>
      </c>
      <c r="BA72" s="29" t="n">
        <v>14744.06384654364</v>
      </c>
      <c r="BB72" s="29" t="n">
        <v>4805.988580449667</v>
      </c>
      <c r="BC72" s="29" t="n">
        <v>18991.12222243221</v>
      </c>
      <c r="BD72" s="29" t="n">
        <v>1105.397211184143</v>
      </c>
      <c r="BE72" s="29" t="n">
        <v>3578.311424507554</v>
      </c>
      <c r="BF72" s="29" t="n">
        <v>544.7951362169986</v>
      </c>
      <c r="BG72" s="29" t="n">
        <v>571.1567396606803</v>
      </c>
      <c r="BH72" s="29" t="n">
        <v>532.4274712709846</v>
      </c>
      <c r="BI72" s="29" t="n">
        <v>4571.559177172289</v>
      </c>
      <c r="BJ72" s="29" t="n">
        <v>326.8172500863471</v>
      </c>
      <c r="BK72" s="29" t="n">
        <v>22479.61150828158</v>
      </c>
      <c r="BL72" s="29" t="n">
        <v>10396.53505031152</v>
      </c>
      <c r="BM72" s="29" t="n">
        <v>3104.731925744258</v>
      </c>
      <c r="BN72" s="29" t="n">
        <v>9716.035718257821</v>
      </c>
      <c r="BO72" s="29" t="n">
        <v>3010.114427679003</v>
      </c>
      <c r="BP72" s="29" t="n">
        <v>960.0496327059628</v>
      </c>
      <c r="BQ72" s="29" t="n">
        <v>5161.035312485087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46751.98618673847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0.9653257191071662</v>
      </c>
      <c r="D73" s="31" t="n">
        <v>0.005469805210080618</v>
      </c>
      <c r="E73" s="31" t="n">
        <v>2.872832046354101</v>
      </c>
      <c r="F73" s="31" t="n">
        <v>6.773166494826442</v>
      </c>
      <c r="G73" s="31" t="n">
        <v>106.435669686168</v>
      </c>
      <c r="H73" s="31" t="n">
        <v>52.78711497499836</v>
      </c>
      <c r="I73" s="31" t="n">
        <v>18.29650102209977</v>
      </c>
      <c r="J73" s="31" t="n">
        <v>331.7115309456936</v>
      </c>
      <c r="K73" s="31" t="n">
        <v>103.0724536555706</v>
      </c>
      <c r="L73" s="31" t="n">
        <v>285.4882835840536</v>
      </c>
      <c r="M73" s="31" t="n">
        <v>119.1042096391646</v>
      </c>
      <c r="N73" s="31" t="n">
        <v>120.9942090060899</v>
      </c>
      <c r="O73" s="31" t="n">
        <v>30.96253796146683</v>
      </c>
      <c r="P73" s="31" t="n">
        <v>35.15372604354221</v>
      </c>
      <c r="Q73" s="31" t="n">
        <v>45.10804038303004</v>
      </c>
      <c r="R73" s="31" t="n">
        <v>48.42370737143486</v>
      </c>
      <c r="S73" s="31" t="n">
        <v>378.0834082102284</v>
      </c>
      <c r="T73" s="31" t="n">
        <v>16.4272833313234</v>
      </c>
      <c r="U73" s="31" t="n">
        <v>116.9336405556575</v>
      </c>
      <c r="V73" s="31" t="n">
        <v>1.937777349260506</v>
      </c>
      <c r="W73" s="31" t="n">
        <v>220.8700770471814</v>
      </c>
      <c r="X73" s="31" t="n">
        <v>167.1140897907428</v>
      </c>
      <c r="Y73" s="31" t="n">
        <v>34.66461076963673</v>
      </c>
      <c r="Z73" s="31" t="n">
        <v>224.0580881454098</v>
      </c>
      <c r="AA73" s="31" t="n">
        <v>186.1846053873885</v>
      </c>
      <c r="AB73" s="31" t="n">
        <v>463.8617031702371</v>
      </c>
      <c r="AC73" s="31" t="n">
        <v>72.95760230301492</v>
      </c>
      <c r="AD73" s="31" t="n">
        <v>60.23305195282209</v>
      </c>
      <c r="AE73" s="31" t="n">
        <v>203.8613955610994</v>
      </c>
      <c r="AF73" s="31" t="n">
        <v>155.8669661582178</v>
      </c>
      <c r="AG73" s="31" t="n">
        <v>98.07212839662073</v>
      </c>
      <c r="AH73" s="31" t="n">
        <v>255.8277896048353</v>
      </c>
      <c r="AI73" s="31" t="n">
        <v>558.2294891374218</v>
      </c>
      <c r="AJ73" s="31" t="n">
        <v>225.9885945669537</v>
      </c>
      <c r="AK73" s="31" t="n">
        <v>125.8113411858918</v>
      </c>
      <c r="AL73" s="31" t="n">
        <v>58.91440827150541</v>
      </c>
      <c r="AM73" s="31" t="n">
        <v>188.6099960830744</v>
      </c>
      <c r="AN73" s="31" t="n">
        <v>355.3463799980315</v>
      </c>
      <c r="AO73" s="31" t="n">
        <v>448.0418452443536</v>
      </c>
      <c r="AP73" s="31" t="n">
        <v>714.3249709593214</v>
      </c>
      <c r="AQ73" s="31" t="n">
        <v>688.8734912709283</v>
      </c>
      <c r="AR73" s="31" t="n">
        <v>4933.322249679464</v>
      </c>
      <c r="AS73" s="31" t="n">
        <v>1307.741497270221</v>
      </c>
      <c r="AT73" s="31" t="n">
        <v>21.0703154232202</v>
      </c>
      <c r="AU73" s="31" t="n">
        <v>203.9073028670977</v>
      </c>
      <c r="AV73" s="31" t="n">
        <v>2686.370610950143</v>
      </c>
      <c r="AW73" s="31" t="n">
        <v>98.79906334734667</v>
      </c>
      <c r="AX73" s="31" t="n">
        <v>547.4026032719603</v>
      </c>
      <c r="AY73" s="31" t="n">
        <v>43.19528894105713</v>
      </c>
      <c r="AZ73" s="31" t="n">
        <v>285.5599814023268</v>
      </c>
      <c r="BA73" s="31" t="n">
        <v>681.6933799389475</v>
      </c>
      <c r="BB73" s="31" t="n">
        <v>452.7976575550153</v>
      </c>
      <c r="BC73" s="31" t="n">
        <v>5877.42268199948</v>
      </c>
      <c r="BD73" s="31" t="n">
        <v>187.0121584338454</v>
      </c>
      <c r="BE73" s="31" t="n">
        <v>854.6653846677649</v>
      </c>
      <c r="BF73" s="31" t="n">
        <v>11.74261361248968</v>
      </c>
      <c r="BG73" s="31" t="n">
        <v>180.4954109629248</v>
      </c>
      <c r="BH73" s="31" t="n">
        <v>119.8484669458805</v>
      </c>
      <c r="BI73" s="31" t="n">
        <v>616.6367512665021</v>
      </c>
      <c r="BJ73" s="31" t="n">
        <v>46.08352292073501</v>
      </c>
      <c r="BK73" s="31" t="n">
        <v>7196.915359174403</v>
      </c>
      <c r="BL73" s="31" t="n">
        <v>2988.516332872997</v>
      </c>
      <c r="BM73" s="31" t="n">
        <v>1334.16395047051</v>
      </c>
      <c r="BN73" s="31" t="n">
        <v>1350.705050517466</v>
      </c>
      <c r="BO73" s="31" t="n">
        <v>0.3499706197504407</v>
      </c>
      <c r="BP73" s="31" t="n">
        <v>155.8102609057367</v>
      </c>
      <c r="BQ73" s="31" t="n">
        <v>3.423145034998236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440.072707192931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133.4054853528619</v>
      </c>
      <c r="D74" s="29" t="n">
        <v>79.80357437698606</v>
      </c>
      <c r="E74" s="29" t="n">
        <v>19.2447618722024</v>
      </c>
      <c r="F74" s="29" t="n">
        <v>26.92266304188686</v>
      </c>
      <c r="G74" s="29" t="n">
        <v>587.1008963422628</v>
      </c>
      <c r="H74" s="29" t="n">
        <v>235.2765221750438</v>
      </c>
      <c r="I74" s="29" t="n">
        <v>44.70594655682737</v>
      </c>
      <c r="J74" s="29" t="n">
        <v>541.8993702597045</v>
      </c>
      <c r="K74" s="29" t="n">
        <v>116.7053929930313</v>
      </c>
      <c r="L74" s="29" t="n">
        <v>939.1621509791753</v>
      </c>
      <c r="M74" s="29" t="n">
        <v>612.3894124465456</v>
      </c>
      <c r="N74" s="29" t="n">
        <v>71.34793616467803</v>
      </c>
      <c r="O74" s="29" t="n">
        <v>37.65131964280399</v>
      </c>
      <c r="P74" s="29" t="n">
        <v>65.0099415622948</v>
      </c>
      <c r="Q74" s="29" t="n">
        <v>98.32551202758559</v>
      </c>
      <c r="R74" s="29" t="n">
        <v>45.55807336800803</v>
      </c>
      <c r="S74" s="29" t="n">
        <v>213.905797879454</v>
      </c>
      <c r="T74" s="29" t="n">
        <v>19.18373320826732</v>
      </c>
      <c r="U74" s="29" t="n">
        <v>229.3435709870911</v>
      </c>
      <c r="V74" s="29" t="n">
        <v>70.71035039450659</v>
      </c>
      <c r="W74" s="29" t="n">
        <v>435.1961502144984</v>
      </c>
      <c r="X74" s="29" t="n">
        <v>242.3139746400579</v>
      </c>
      <c r="Y74" s="29" t="n">
        <v>206.3943716324473</v>
      </c>
      <c r="Z74" s="29" t="n">
        <v>420.6722331691559</v>
      </c>
      <c r="AA74" s="29" t="n">
        <v>165.4613424574505</v>
      </c>
      <c r="AB74" s="29" t="n">
        <v>188.7618729676048</v>
      </c>
      <c r="AC74" s="29" t="n">
        <v>371.2113474683743</v>
      </c>
      <c r="AD74" s="29" t="n">
        <v>141.7414392444174</v>
      </c>
      <c r="AE74" s="29" t="n">
        <v>153.5756603300539</v>
      </c>
      <c r="AF74" s="29" t="n">
        <v>267.3001969180579</v>
      </c>
      <c r="AG74" s="29" t="n">
        <v>227.239454302735</v>
      </c>
      <c r="AH74" s="29" t="n">
        <v>256.9535530331987</v>
      </c>
      <c r="AI74" s="29" t="n">
        <v>672.5341762413939</v>
      </c>
      <c r="AJ74" s="29" t="n">
        <v>126.6196537078055</v>
      </c>
      <c r="AK74" s="29" t="n">
        <v>86.46461788133126</v>
      </c>
      <c r="AL74" s="29" t="n">
        <v>87.72274045720756</v>
      </c>
      <c r="AM74" s="29" t="n">
        <v>67.9259325056664</v>
      </c>
      <c r="AN74" s="29" t="n">
        <v>635.7148608338383</v>
      </c>
      <c r="AO74" s="29" t="n">
        <v>112.1730551416537</v>
      </c>
      <c r="AP74" s="29" t="n">
        <v>484.5436801854239</v>
      </c>
      <c r="AQ74" s="29" t="n">
        <v>469.368263498848</v>
      </c>
      <c r="AR74" s="29" t="n">
        <v>3326.685053042057</v>
      </c>
      <c r="AS74" s="29" t="n">
        <v>475.4076867308847</v>
      </c>
      <c r="AT74" s="29" t="n">
        <v>116.874926940436</v>
      </c>
      <c r="AU74" s="29" t="n">
        <v>214.8103379998332</v>
      </c>
      <c r="AV74" s="29" t="n">
        <v>460.6521134964613</v>
      </c>
      <c r="AW74" s="29" t="n">
        <v>60.46520617247019</v>
      </c>
      <c r="AX74" s="29" t="n">
        <v>178.719199044584</v>
      </c>
      <c r="AY74" s="29" t="n">
        <v>108.456101050964</v>
      </c>
      <c r="AZ74" s="29" t="n">
        <v>296.8473782026301</v>
      </c>
      <c r="BA74" s="29" t="n">
        <v>560.9631251873769</v>
      </c>
      <c r="BB74" s="29" t="n">
        <v>362.5095391064055</v>
      </c>
      <c r="BC74" s="29" t="n">
        <v>1910.182779733694</v>
      </c>
      <c r="BD74" s="29" t="n">
        <v>187.0050290710946</v>
      </c>
      <c r="BE74" s="29" t="n">
        <v>1035.53558247274</v>
      </c>
      <c r="BF74" s="29" t="n">
        <v>449.5456964409713</v>
      </c>
      <c r="BG74" s="29" t="n">
        <v>304.3448001864085</v>
      </c>
      <c r="BH74" s="29" t="n">
        <v>136.3955374170975</v>
      </c>
      <c r="BI74" s="29" t="n">
        <v>454.1267275023893</v>
      </c>
      <c r="BJ74" s="29" t="n">
        <v>64.76503984391969</v>
      </c>
      <c r="BK74" s="29" t="n">
        <v>1275.963958235299</v>
      </c>
      <c r="BL74" s="29" t="n">
        <v>287.4633872572863</v>
      </c>
      <c r="BM74" s="29" t="n">
        <v>376.1672713645341</v>
      </c>
      <c r="BN74" s="29" t="n">
        <v>324.4420025633301</v>
      </c>
      <c r="BO74" s="29" t="n">
        <v>246.3629348373194</v>
      </c>
      <c r="BP74" s="29" t="n">
        <v>212.778280167561</v>
      </c>
      <c r="BQ74" s="29" t="n">
        <v>585.8299024650044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695599.0865725332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1.05887314714979</v>
      </c>
      <c r="D75" s="31" t="n">
        <v>0.3323489888339054</v>
      </c>
      <c r="E75" s="31" t="n">
        <v>0.08308566920697048</v>
      </c>
      <c r="F75" s="31" t="n">
        <v>1.605828717865243</v>
      </c>
      <c r="G75" s="31" t="n">
        <v>8.826346603590082</v>
      </c>
      <c r="H75" s="31" t="n">
        <v>41.29234866530348</v>
      </c>
      <c r="I75" s="31" t="n">
        <v>0.8638720723799471</v>
      </c>
      <c r="J75" s="31" t="n">
        <v>44.93597426940184</v>
      </c>
      <c r="K75" s="31" t="n">
        <v>5.315932733609402</v>
      </c>
      <c r="L75" s="31" t="n">
        <v>27.10775595789263</v>
      </c>
      <c r="M75" s="31" t="n">
        <v>38.69777298992499</v>
      </c>
      <c r="N75" s="31" t="n">
        <v>8.008096530255962</v>
      </c>
      <c r="O75" s="31" t="n">
        <v>0.845079984075257</v>
      </c>
      <c r="P75" s="31" t="n">
        <v>7.447481870523274</v>
      </c>
      <c r="Q75" s="31" t="n">
        <v>11.10532971230372</v>
      </c>
      <c r="R75" s="31" t="n">
        <v>4.360293143401559</v>
      </c>
      <c r="S75" s="31" t="n">
        <v>15.54138998319789</v>
      </c>
      <c r="T75" s="31" t="n">
        <v>0.590705280898484</v>
      </c>
      <c r="U75" s="31" t="n">
        <v>3.041553026670876</v>
      </c>
      <c r="V75" s="31" t="n">
        <v>0.9139603766282434</v>
      </c>
      <c r="W75" s="31" t="n">
        <v>42.97697743569069</v>
      </c>
      <c r="X75" s="31" t="n">
        <v>14.32716059900592</v>
      </c>
      <c r="Y75" s="31" t="n">
        <v>31.81291403186882</v>
      </c>
      <c r="Z75" s="31" t="n">
        <v>94.92474232572482</v>
      </c>
      <c r="AA75" s="31" t="n">
        <v>16.91124913674906</v>
      </c>
      <c r="AB75" s="31" t="n">
        <v>15.48493055450966</v>
      </c>
      <c r="AC75" s="31" t="n">
        <v>15.33866028781893</v>
      </c>
      <c r="AD75" s="31" t="n">
        <v>42.37988473923802</v>
      </c>
      <c r="AE75" s="31" t="n">
        <v>6.733811570063551</v>
      </c>
      <c r="AF75" s="31" t="n">
        <v>23.10287833200341</v>
      </c>
      <c r="AG75" s="31" t="n">
        <v>58.80680767075612</v>
      </c>
      <c r="AH75" s="31" t="n">
        <v>50.52166448409454</v>
      </c>
      <c r="AI75" s="31" t="n">
        <v>94.50923978349716</v>
      </c>
      <c r="AJ75" s="31" t="n">
        <v>47.57654388888904</v>
      </c>
      <c r="AK75" s="31" t="n">
        <v>13.55551131547114</v>
      </c>
      <c r="AL75" s="31" t="n">
        <v>10.95882283303828</v>
      </c>
      <c r="AM75" s="31" t="n">
        <v>1.853678029680541</v>
      </c>
      <c r="AN75" s="31" t="n">
        <v>58.05995365370721</v>
      </c>
      <c r="AO75" s="31" t="n">
        <v>5.640046318596781</v>
      </c>
      <c r="AP75" s="31" t="n">
        <v>21.15909211646259</v>
      </c>
      <c r="AQ75" s="31" t="n">
        <v>8.002970044735854</v>
      </c>
      <c r="AR75" s="31" t="n">
        <v>144.9503512207089</v>
      </c>
      <c r="AS75" s="31" t="n">
        <v>10.57734974134412</v>
      </c>
      <c r="AT75" s="31" t="n">
        <v>0.7906789431956288</v>
      </c>
      <c r="AU75" s="31" t="n">
        <v>1.512148178412736</v>
      </c>
      <c r="AV75" s="31" t="n">
        <v>13.60652863749067</v>
      </c>
      <c r="AW75" s="31" t="n">
        <v>2.137348481437947</v>
      </c>
      <c r="AX75" s="31" t="n">
        <v>4.595057731224458</v>
      </c>
      <c r="AY75" s="31" t="n">
        <v>1.887134586085147</v>
      </c>
      <c r="AZ75" s="31" t="n">
        <v>2.576285043254752</v>
      </c>
      <c r="BA75" s="31" t="n">
        <v>68.98857395909671</v>
      </c>
      <c r="BB75" s="31" t="n">
        <v>39.62888441963156</v>
      </c>
      <c r="BC75" s="31" t="n">
        <v>67.49877058426713</v>
      </c>
      <c r="BD75" s="31" t="n">
        <v>3.04920362601472</v>
      </c>
      <c r="BE75" s="31" t="n">
        <v>35.1854764793881</v>
      </c>
      <c r="BF75" s="31" t="n">
        <v>266.7340316434681</v>
      </c>
      <c r="BG75" s="31" t="n">
        <v>6.137700826483083</v>
      </c>
      <c r="BH75" s="31" t="n">
        <v>15.30081603605865</v>
      </c>
      <c r="BI75" s="31" t="n">
        <v>19.06102226729131</v>
      </c>
      <c r="BJ75" s="31" t="n">
        <v>2.348285979758839</v>
      </c>
      <c r="BK75" s="31" t="n">
        <v>52.23199186668857</v>
      </c>
      <c r="BL75" s="31" t="n">
        <v>20.2764235306683</v>
      </c>
      <c r="BM75" s="31" t="n">
        <v>8.215737387867847</v>
      </c>
      <c r="BN75" s="31" t="n">
        <v>23.26500123646962</v>
      </c>
      <c r="BO75" s="31" t="n">
        <v>31.23365269840504</v>
      </c>
      <c r="BP75" s="31" t="n">
        <v>4.024235968420208</v>
      </c>
      <c r="BQ75" s="31" t="n">
        <v>19.19985070715738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307272.3735728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2.838577181512861</v>
      </c>
      <c r="D76" s="29" t="n">
        <v>0.9510653422115636</v>
      </c>
      <c r="E76" s="29" t="n">
        <v>0.007327779890083302</v>
      </c>
      <c r="F76" s="29" t="n">
        <v>1.046380777334235</v>
      </c>
      <c r="G76" s="29" t="n">
        <v>40.00999023634231</v>
      </c>
      <c r="H76" s="29" t="n">
        <v>107.7084993435469</v>
      </c>
      <c r="I76" s="29" t="n">
        <v>26.48444319201515</v>
      </c>
      <c r="J76" s="29" t="n">
        <v>17.77015881984755</v>
      </c>
      <c r="K76" s="29" t="n">
        <v>0.9400404895967535</v>
      </c>
      <c r="L76" s="29" t="n">
        <v>30.1668505282005</v>
      </c>
      <c r="M76" s="29" t="n">
        <v>2.32002119077718</v>
      </c>
      <c r="N76" s="29" t="n">
        <v>0.7539911972843171</v>
      </c>
      <c r="O76" s="29" t="n">
        <v>2.389149597072644</v>
      </c>
      <c r="P76" s="29" t="n">
        <v>2.171526450894089</v>
      </c>
      <c r="Q76" s="29" t="n">
        <v>2.470506069216069</v>
      </c>
      <c r="R76" s="29" t="n">
        <v>0.7634940931195369</v>
      </c>
      <c r="S76" s="29" t="n">
        <v>41.96504473047714</v>
      </c>
      <c r="T76" s="29" t="n">
        <v>0.2100379242862435</v>
      </c>
      <c r="U76" s="29" t="n">
        <v>8.68852483549515</v>
      </c>
      <c r="V76" s="29" t="n">
        <v>1.050158157760437</v>
      </c>
      <c r="W76" s="29" t="n">
        <v>13.23889566281918</v>
      </c>
      <c r="X76" s="29" t="n">
        <v>29.28057827076174</v>
      </c>
      <c r="Y76" s="29" t="n">
        <v>1.951740149688135</v>
      </c>
      <c r="Z76" s="29" t="n">
        <v>7.755190110786139</v>
      </c>
      <c r="AA76" s="29" t="n">
        <v>6.035784291266367</v>
      </c>
      <c r="AB76" s="29" t="n">
        <v>3.090957756700538</v>
      </c>
      <c r="AC76" s="29" t="n">
        <v>187.2780736953252</v>
      </c>
      <c r="AD76" s="29" t="n">
        <v>66.11380508790097</v>
      </c>
      <c r="AE76" s="29" t="n">
        <v>63.27699151125201</v>
      </c>
      <c r="AF76" s="29" t="n">
        <v>3.71912285537683</v>
      </c>
      <c r="AG76" s="29" t="n">
        <v>5.276054290754285</v>
      </c>
      <c r="AH76" s="29" t="n">
        <v>33.48929090186128</v>
      </c>
      <c r="AI76" s="29" t="n">
        <v>71.94335407015407</v>
      </c>
      <c r="AJ76" s="29" t="n">
        <v>5.554446724291117</v>
      </c>
      <c r="AK76" s="29" t="n">
        <v>1.139833282335999</v>
      </c>
      <c r="AL76" s="29" t="n">
        <v>2.086902212823586</v>
      </c>
      <c r="AM76" s="29" t="n">
        <v>7.642454841401575</v>
      </c>
      <c r="AN76" s="29" t="n">
        <v>129.9855138320129</v>
      </c>
      <c r="AO76" s="29" t="n">
        <v>1.474571854829468</v>
      </c>
      <c r="AP76" s="29" t="n">
        <v>3.902504186186007</v>
      </c>
      <c r="AQ76" s="29" t="n">
        <v>26.48481146415964</v>
      </c>
      <c r="AR76" s="29" t="n">
        <v>775.3062916250175</v>
      </c>
      <c r="AS76" s="29" t="n">
        <v>911.781477748111</v>
      </c>
      <c r="AT76" s="29" t="n">
        <v>68.81297642501761</v>
      </c>
      <c r="AU76" s="29" t="n">
        <v>14.25901949986674</v>
      </c>
      <c r="AV76" s="29" t="n">
        <v>251.3054518690253</v>
      </c>
      <c r="AW76" s="29" t="n">
        <v>2.193671922868866</v>
      </c>
      <c r="AX76" s="29" t="n">
        <v>5.070823683937645</v>
      </c>
      <c r="AY76" s="29" t="n">
        <v>1.254642526476273</v>
      </c>
      <c r="AZ76" s="29" t="n">
        <v>1.553443131435821</v>
      </c>
      <c r="BA76" s="29" t="n">
        <v>68.64354636899195</v>
      </c>
      <c r="BB76" s="29" t="n">
        <v>3.858767788727896</v>
      </c>
      <c r="BC76" s="29" t="n">
        <v>1825.904623364686</v>
      </c>
      <c r="BD76" s="29" t="n">
        <v>2.160648241875991</v>
      </c>
      <c r="BE76" s="29" t="n">
        <v>2691.862068522627</v>
      </c>
      <c r="BF76" s="29" t="n">
        <v>181.7903639170008</v>
      </c>
      <c r="BG76" s="29" t="n">
        <v>541.8922720250052</v>
      </c>
      <c r="BH76" s="29" t="n">
        <v>60.26970805895041</v>
      </c>
      <c r="BI76" s="29" t="n">
        <v>1339.930282266355</v>
      </c>
      <c r="BJ76" s="29" t="n">
        <v>134.0754826914113</v>
      </c>
      <c r="BK76" s="29" t="n">
        <v>471.824868190849</v>
      </c>
      <c r="BL76" s="29" t="n">
        <v>514.8460317641691</v>
      </c>
      <c r="BM76" s="29" t="n">
        <v>4.578031126187058</v>
      </c>
      <c r="BN76" s="29" t="n">
        <v>557.9848172141174</v>
      </c>
      <c r="BO76" s="29" t="n">
        <v>2.363261899260995</v>
      </c>
      <c r="BP76" s="29" t="n">
        <v>4.272909975447683</v>
      </c>
      <c r="BQ76" s="29" t="n">
        <v>391.1537539232752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98996.59990421386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0.01049555190619329</v>
      </c>
      <c r="D77" s="31" t="n">
        <v>0.004276670697421146</v>
      </c>
      <c r="E77" s="31" t="n">
        <v>0.00132577206966839</v>
      </c>
      <c r="F77" s="31" t="n">
        <v>0.04567642613717338</v>
      </c>
      <c r="G77" s="31" t="n">
        <v>0.04618415178606822</v>
      </c>
      <c r="H77" s="31" t="n">
        <v>3.560327769784374</v>
      </c>
      <c r="I77" s="31" t="n">
        <v>0.005880530865044232</v>
      </c>
      <c r="J77" s="31" t="n">
        <v>3.117902527614296</v>
      </c>
      <c r="K77" s="31" t="n">
        <v>0.3888298747016442</v>
      </c>
      <c r="L77" s="31" t="n">
        <v>1.792411100434041</v>
      </c>
      <c r="M77" s="31" t="n">
        <v>3.278224728812886</v>
      </c>
      <c r="N77" s="31" t="n">
        <v>0.6614068194974385</v>
      </c>
      <c r="O77" s="31" t="n">
        <v>0.006436193476380746</v>
      </c>
      <c r="P77" s="31" t="n">
        <v>0.597804755516579</v>
      </c>
      <c r="Q77" s="31" t="n">
        <v>0.9453564561700175</v>
      </c>
      <c r="R77" s="31" t="n">
        <v>0.3804909373074821</v>
      </c>
      <c r="S77" s="31" t="n">
        <v>1.222132030993511</v>
      </c>
      <c r="T77" s="31" t="n">
        <v>0.0362721010841096</v>
      </c>
      <c r="U77" s="31" t="n">
        <v>0.006406671088943751</v>
      </c>
      <c r="V77" s="31" t="n">
        <v>0.00657230668557794</v>
      </c>
      <c r="W77" s="31" t="n">
        <v>3.706323597208768</v>
      </c>
      <c r="X77" s="31" t="n">
        <v>1.020033124778728</v>
      </c>
      <c r="Y77" s="31" t="n">
        <v>2.78171699240681</v>
      </c>
      <c r="Z77" s="31" t="n">
        <v>8.325188361964692</v>
      </c>
      <c r="AA77" s="31" t="n">
        <v>1.331670185607983</v>
      </c>
      <c r="AB77" s="31" t="n">
        <v>1.130959174219299</v>
      </c>
      <c r="AC77" s="31" t="n">
        <v>1.084566356906861</v>
      </c>
      <c r="AD77" s="31" t="n">
        <v>3.76945995228292</v>
      </c>
      <c r="AE77" s="31" t="n">
        <v>0.3685991197437525</v>
      </c>
      <c r="AF77" s="31" t="n">
        <v>1.766616873239181</v>
      </c>
      <c r="AG77" s="31" t="n">
        <v>5.19321450349825</v>
      </c>
      <c r="AH77" s="31" t="n">
        <v>4.093890629642064</v>
      </c>
      <c r="AI77" s="31" t="n">
        <v>8.282820742039586</v>
      </c>
      <c r="AJ77" s="31" t="n">
        <v>4.254455615345714</v>
      </c>
      <c r="AK77" s="31" t="n">
        <v>1.181132867528879</v>
      </c>
      <c r="AL77" s="31" t="n">
        <v>0.9087618082284736</v>
      </c>
      <c r="AM77" s="31" t="n">
        <v>0.04736801044952681</v>
      </c>
      <c r="AN77" s="31" t="n">
        <v>4.319974054095873</v>
      </c>
      <c r="AO77" s="31" t="n">
        <v>0.3916784662927856</v>
      </c>
      <c r="AP77" s="31" t="n">
        <v>1.001975724389815</v>
      </c>
      <c r="AQ77" s="31" t="n">
        <v>0.06697304373802489</v>
      </c>
      <c r="AR77" s="31" t="n">
        <v>6.482669675768359</v>
      </c>
      <c r="AS77" s="31" t="n">
        <v>0.03506924434819989</v>
      </c>
      <c r="AT77" s="31" t="n">
        <v>0.003033374267221196</v>
      </c>
      <c r="AU77" s="31" t="n">
        <v>0.01407525870303846</v>
      </c>
      <c r="AV77" s="31" t="n">
        <v>0.1250480971365591</v>
      </c>
      <c r="AW77" s="31" t="n">
        <v>0.02307689735172721</v>
      </c>
      <c r="AX77" s="31" t="n">
        <v>0.0448319761262598</v>
      </c>
      <c r="AY77" s="31" t="n">
        <v>0.0838487160025309</v>
      </c>
      <c r="AZ77" s="31" t="n">
        <v>0.02549119605666444</v>
      </c>
      <c r="BA77" s="31" t="n">
        <v>3.489294425709273</v>
      </c>
      <c r="BB77" s="31" t="n">
        <v>2.736319019373502</v>
      </c>
      <c r="BC77" s="31" t="n">
        <v>0.8586689733151457</v>
      </c>
      <c r="BD77" s="31" t="n">
        <v>0.02627803936690706</v>
      </c>
      <c r="BE77" s="31" t="n">
        <v>0.1146350395032309</v>
      </c>
      <c r="BF77" s="31" t="n">
        <v>23.92042554742136</v>
      </c>
      <c r="BG77" s="31" t="n">
        <v>0.03104038114844782</v>
      </c>
      <c r="BH77" s="31" t="n">
        <v>1.197042639116472</v>
      </c>
      <c r="BI77" s="31" t="n">
        <v>0.2139180758653747</v>
      </c>
      <c r="BJ77" s="31" t="n">
        <v>0.009463419477298269</v>
      </c>
      <c r="BK77" s="31" t="n">
        <v>1.089687117016279</v>
      </c>
      <c r="BL77" s="31" t="n">
        <v>0.2289511205484117</v>
      </c>
      <c r="BM77" s="31" t="n">
        <v>0.120739537315225</v>
      </c>
      <c r="BN77" s="31" t="n">
        <v>0.3344351753654301</v>
      </c>
      <c r="BO77" s="31" t="n">
        <v>197.8621202545707</v>
      </c>
      <c r="BP77" s="31" t="n">
        <v>0.04358270558119106</v>
      </c>
      <c r="BQ77" s="31" t="n">
        <v>0.1181213292084468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178844.6263401841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0.01997856970032145</v>
      </c>
      <c r="D78" s="29" t="n">
        <v>0.01427040692880104</v>
      </c>
      <c r="E78" s="29" t="n">
        <v>0.01997856970032145</v>
      </c>
      <c r="F78" s="29" t="n">
        <v>0.06165090733450733</v>
      </c>
      <c r="G78" s="29" t="n">
        <v>0.9361386945293481</v>
      </c>
      <c r="H78" s="29" t="n">
        <v>0.2565796968562116</v>
      </c>
      <c r="I78" s="29" t="n">
        <v>0.05993570910096436</v>
      </c>
      <c r="J78" s="29" t="n">
        <v>1.945015753042735</v>
      </c>
      <c r="K78" s="29" t="n">
        <v>0.4298549001184425</v>
      </c>
      <c r="L78" s="29" t="n">
        <v>1.469989383770849</v>
      </c>
      <c r="M78" s="29" t="n">
        <v>0.3592991327227106</v>
      </c>
      <c r="N78" s="29" t="n">
        <v>0.09537855692404097</v>
      </c>
      <c r="O78" s="29" t="n">
        <v>0.9047437992859858</v>
      </c>
      <c r="P78" s="29" t="n">
        <v>1.099438889630308</v>
      </c>
      <c r="Q78" s="29" t="n">
        <v>0.3174480839528799</v>
      </c>
      <c r="R78" s="29" t="n">
        <v>0.1187600290705799</v>
      </c>
      <c r="S78" s="29" t="n">
        <v>0.5081227157383564</v>
      </c>
      <c r="T78" s="29" t="n">
        <v>0.1615437558361146</v>
      </c>
      <c r="U78" s="29" t="n">
        <v>0.4823397541934751</v>
      </c>
      <c r="V78" s="29" t="n">
        <v>0.5251509749798783</v>
      </c>
      <c r="W78" s="29" t="n">
        <v>0.6401792327107309</v>
      </c>
      <c r="X78" s="29" t="n">
        <v>0.3351488873487669</v>
      </c>
      <c r="Y78" s="29" t="n">
        <v>0.596722961790831</v>
      </c>
      <c r="Z78" s="29" t="n">
        <v>1.136584248033405</v>
      </c>
      <c r="AA78" s="29" t="n">
        <v>1.175415191935354</v>
      </c>
      <c r="AB78" s="29" t="n">
        <v>0.67422200418334</v>
      </c>
      <c r="AC78" s="29" t="n">
        <v>0.8180649566235677</v>
      </c>
      <c r="AD78" s="29" t="n">
        <v>0.2183515026995459</v>
      </c>
      <c r="AE78" s="29" t="n">
        <v>0.7649213054046041</v>
      </c>
      <c r="AF78" s="29" t="n">
        <v>0.6480139446719094</v>
      </c>
      <c r="AG78" s="29" t="n">
        <v>0.6026235827084304</v>
      </c>
      <c r="AH78" s="29" t="n">
        <v>0.8228679354202525</v>
      </c>
      <c r="AI78" s="29" t="n">
        <v>0.7164579692453289</v>
      </c>
      <c r="AJ78" s="29" t="n">
        <v>0.7075795438480612</v>
      </c>
      <c r="AK78" s="29" t="n">
        <v>0.2923514135727979</v>
      </c>
      <c r="AL78" s="29" t="n">
        <v>0.7495532563548886</v>
      </c>
      <c r="AM78" s="29" t="n">
        <v>0.1701059999933952</v>
      </c>
      <c r="AN78" s="29" t="n">
        <v>3.880741729732086</v>
      </c>
      <c r="AO78" s="29" t="n">
        <v>0.8123018058103104</v>
      </c>
      <c r="AP78" s="29" t="n">
        <v>4.105952966008892</v>
      </c>
      <c r="AQ78" s="29" t="n">
        <v>10.59149602255613</v>
      </c>
      <c r="AR78" s="29" t="n">
        <v>110.4962145010508</v>
      </c>
      <c r="AS78" s="29" t="n">
        <v>3.239382372837836</v>
      </c>
      <c r="AT78" s="29" t="n">
        <v>0.1940775342316941</v>
      </c>
      <c r="AU78" s="29" t="n">
        <v>0.3653224173773066</v>
      </c>
      <c r="AV78" s="29" t="n">
        <v>7.374946300804377</v>
      </c>
      <c r="AW78" s="29" t="n">
        <v>3.413481337369208</v>
      </c>
      <c r="AX78" s="29" t="n">
        <v>13.82517023262245</v>
      </c>
      <c r="AY78" s="29" t="n">
        <v>0.7711782892365819</v>
      </c>
      <c r="AZ78" s="29" t="n">
        <v>1.301461111906655</v>
      </c>
      <c r="BA78" s="29" t="n">
        <v>7.552146792909325</v>
      </c>
      <c r="BB78" s="29" t="n">
        <v>4.671198550493756</v>
      </c>
      <c r="BC78" s="29" t="n">
        <v>17.32258630735179</v>
      </c>
      <c r="BD78" s="29" t="n">
        <v>5.890823980209069</v>
      </c>
      <c r="BE78" s="29" t="n">
        <v>14.74989260160875</v>
      </c>
      <c r="BF78" s="29" t="n">
        <v>3.895440412698171</v>
      </c>
      <c r="BG78" s="29" t="n">
        <v>2.839810978831407</v>
      </c>
      <c r="BH78" s="29" t="n">
        <v>3.320531763864378</v>
      </c>
      <c r="BI78" s="29" t="n">
        <v>8.275134567481492</v>
      </c>
      <c r="BJ78" s="29" t="n">
        <v>0.7506234044549346</v>
      </c>
      <c r="BK78" s="29" t="n">
        <v>69.83104678061565</v>
      </c>
      <c r="BL78" s="29" t="n">
        <v>6.687684244138302</v>
      </c>
      <c r="BM78" s="29" t="n">
        <v>12.36559576134676</v>
      </c>
      <c r="BN78" s="29" t="n">
        <v>13.8706091349487</v>
      </c>
      <c r="BO78" s="29" t="n">
        <v>20650.29273830747</v>
      </c>
      <c r="BP78" s="29" t="n">
        <v>11.54190512401428</v>
      </c>
      <c r="BQ78" s="29" t="n">
        <v>8.613617622224307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201657.3021048238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0.335267649733664</v>
      </c>
      <c r="D79" s="31" t="n">
        <v>9.683393427760038</v>
      </c>
      <c r="E79" s="31" t="n">
        <v>2.248102141999762</v>
      </c>
      <c r="F79" s="31" t="n">
        <v>0.9445906001889779</v>
      </c>
      <c r="G79" s="31" t="n">
        <v>13.54655826391458</v>
      </c>
      <c r="H79" s="31" t="n">
        <v>0.3377200576668024</v>
      </c>
      <c r="I79" s="31" t="n">
        <v>0.1427201390175918</v>
      </c>
      <c r="J79" s="31" t="n">
        <v>65.24031382070447</v>
      </c>
      <c r="K79" s="31" t="n">
        <v>4.047876612518591</v>
      </c>
      <c r="L79" s="31" t="n">
        <v>91.33655865593873</v>
      </c>
      <c r="M79" s="31" t="n">
        <v>127.1263917226643</v>
      </c>
      <c r="N79" s="31" t="n">
        <v>6.549577493186683</v>
      </c>
      <c r="O79" s="31" t="n">
        <v>3.845987065583553</v>
      </c>
      <c r="P79" s="31" t="n">
        <v>12.20158766992206</v>
      </c>
      <c r="Q79" s="31" t="n">
        <v>22.79514514793178</v>
      </c>
      <c r="R79" s="31" t="n">
        <v>1.272683974145002</v>
      </c>
      <c r="S79" s="31" t="n">
        <v>16.7395805773146</v>
      </c>
      <c r="T79" s="31" t="n">
        <v>1.822645504013474</v>
      </c>
      <c r="U79" s="31" t="n">
        <v>6.408911230305925</v>
      </c>
      <c r="V79" s="31" t="n">
        <v>3.189480480304066</v>
      </c>
      <c r="W79" s="31" t="n">
        <v>4.236834739966191</v>
      </c>
      <c r="X79" s="31" t="n">
        <v>14.30773348014163</v>
      </c>
      <c r="Y79" s="31" t="n">
        <v>31.2186963484406</v>
      </c>
      <c r="Z79" s="31" t="n">
        <v>51.81003620742637</v>
      </c>
      <c r="AA79" s="31" t="n">
        <v>14.60387835750056</v>
      </c>
      <c r="AB79" s="31" t="n">
        <v>9.484936630677</v>
      </c>
      <c r="AC79" s="31" t="n">
        <v>7.863418831444466</v>
      </c>
      <c r="AD79" s="31" t="n">
        <v>1.164744265793505</v>
      </c>
      <c r="AE79" s="31" t="n">
        <v>14.96784267067601</v>
      </c>
      <c r="AF79" s="31" t="n">
        <v>37.02007121625822</v>
      </c>
      <c r="AG79" s="31" t="n">
        <v>18.77809865720184</v>
      </c>
      <c r="AH79" s="31" t="n">
        <v>15.94336842480707</v>
      </c>
      <c r="AI79" s="31" t="n">
        <v>105.2600852160793</v>
      </c>
      <c r="AJ79" s="31" t="n">
        <v>3.662640673769526</v>
      </c>
      <c r="AK79" s="31" t="n">
        <v>8.164421428841598</v>
      </c>
      <c r="AL79" s="31" t="n">
        <v>12.61154327208715</v>
      </c>
      <c r="AM79" s="31" t="n">
        <v>2.865943491741034</v>
      </c>
      <c r="AN79" s="31" t="n">
        <v>86.32621434133689</v>
      </c>
      <c r="AO79" s="31" t="n">
        <v>5.04052348536638</v>
      </c>
      <c r="AP79" s="31" t="n">
        <v>49.19460379370429</v>
      </c>
      <c r="AQ79" s="31" t="n">
        <v>71.57481026322972</v>
      </c>
      <c r="AR79" s="31" t="n">
        <v>511.2996896510855</v>
      </c>
      <c r="AS79" s="31" t="n">
        <v>17.0766292414826</v>
      </c>
      <c r="AT79" s="31" t="n">
        <v>1.020845603527022</v>
      </c>
      <c r="AU79" s="31" t="n">
        <v>5.90226625469487</v>
      </c>
      <c r="AV79" s="31" t="n">
        <v>31.31702640789991</v>
      </c>
      <c r="AW79" s="31" t="n">
        <v>21.24173269771105</v>
      </c>
      <c r="AX79" s="31" t="n">
        <v>27.14605015541886</v>
      </c>
      <c r="AY79" s="31" t="n">
        <v>24.85428740989721</v>
      </c>
      <c r="AZ79" s="31" t="n">
        <v>1790.032252125589</v>
      </c>
      <c r="BA79" s="31" t="n">
        <v>387.6926948600607</v>
      </c>
      <c r="BB79" s="31" t="n">
        <v>43.09700116208116</v>
      </c>
      <c r="BC79" s="31" t="n">
        <v>297.6319769341923</v>
      </c>
      <c r="BD79" s="31" t="n">
        <v>25.43110171404956</v>
      </c>
      <c r="BE79" s="31" t="n">
        <v>120.0907724969501</v>
      </c>
      <c r="BF79" s="31" t="n">
        <v>11.62879633870003</v>
      </c>
      <c r="BG79" s="31" t="n">
        <v>93.82170868589287</v>
      </c>
      <c r="BH79" s="31" t="n">
        <v>26.44580622024103</v>
      </c>
      <c r="BI79" s="31" t="n">
        <v>55.65764549530154</v>
      </c>
      <c r="BJ79" s="31" t="n">
        <v>4.810156941417496</v>
      </c>
      <c r="BK79" s="31" t="n">
        <v>594.8268879049018</v>
      </c>
      <c r="BL79" s="31" t="n">
        <v>75.83627071884938</v>
      </c>
      <c r="BM79" s="31" t="n">
        <v>70.89199925385424</v>
      </c>
      <c r="BN79" s="31" t="n">
        <v>74.24959234535658</v>
      </c>
      <c r="BO79" s="31" t="n">
        <v>4.829117082319635</v>
      </c>
      <c r="BP79" s="31" t="n">
        <v>623.7806367305798</v>
      </c>
      <c r="BQ79" s="31" t="n">
        <v>1018.180453147164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27716.27021548419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104.0822320112936</v>
      </c>
      <c r="D80" s="29" t="n">
        <v>29.05404658786018</v>
      </c>
      <c r="E80" s="29" t="n">
        <v>17.41163223070179</v>
      </c>
      <c r="F80" s="29" t="n">
        <v>35.62951297887943</v>
      </c>
      <c r="G80" s="29" t="n">
        <v>512.0130063093566</v>
      </c>
      <c r="H80" s="29" t="n">
        <v>179.3505885604033</v>
      </c>
      <c r="I80" s="29" t="n">
        <v>54.33137129113994</v>
      </c>
      <c r="J80" s="29" t="n">
        <v>303.7673561634116</v>
      </c>
      <c r="K80" s="29" t="n">
        <v>68.64001614278911</v>
      </c>
      <c r="L80" s="29" t="n">
        <v>275.5498666571696</v>
      </c>
      <c r="M80" s="29" t="n">
        <v>126.6014839792589</v>
      </c>
      <c r="N80" s="29" t="n">
        <v>16.36326542439564</v>
      </c>
      <c r="O80" s="29" t="n">
        <v>61.65744333953737</v>
      </c>
      <c r="P80" s="29" t="n">
        <v>117.3189288003488</v>
      </c>
      <c r="Q80" s="29" t="n">
        <v>70.60619997141042</v>
      </c>
      <c r="R80" s="29" t="n">
        <v>57.88177194822037</v>
      </c>
      <c r="S80" s="29" t="n">
        <v>153.1294297865703</v>
      </c>
      <c r="T80" s="29" t="n">
        <v>43.54188925597953</v>
      </c>
      <c r="U80" s="29" t="n">
        <v>136.6454055807486</v>
      </c>
      <c r="V80" s="29" t="n">
        <v>55.48278158026955</v>
      </c>
      <c r="W80" s="29" t="n">
        <v>112.6713886436996</v>
      </c>
      <c r="X80" s="29" t="n">
        <v>70.56716109849695</v>
      </c>
      <c r="Y80" s="29" t="n">
        <v>45.78582097125115</v>
      </c>
      <c r="Z80" s="29" t="n">
        <v>124.7399720482192</v>
      </c>
      <c r="AA80" s="29" t="n">
        <v>185.1427402892423</v>
      </c>
      <c r="AB80" s="29" t="n">
        <v>177.9524662065385</v>
      </c>
      <c r="AC80" s="29" t="n">
        <v>137.0608523988515</v>
      </c>
      <c r="AD80" s="29" t="n">
        <v>54.72650516116829</v>
      </c>
      <c r="AE80" s="29" t="n">
        <v>239.1185304206174</v>
      </c>
      <c r="AF80" s="29" t="n">
        <v>301.9423782110951</v>
      </c>
      <c r="AG80" s="29" t="n">
        <v>151.0762880110639</v>
      </c>
      <c r="AH80" s="29" t="n">
        <v>245.6580697446163</v>
      </c>
      <c r="AI80" s="29" t="n">
        <v>211.4142267725108</v>
      </c>
      <c r="AJ80" s="29" t="n">
        <v>115.8263674336309</v>
      </c>
      <c r="AK80" s="29" t="n">
        <v>68.66355349271672</v>
      </c>
      <c r="AL80" s="29" t="n">
        <v>120.6287585776312</v>
      </c>
      <c r="AM80" s="29" t="n">
        <v>2.445444093638837</v>
      </c>
      <c r="AN80" s="29" t="n">
        <v>538.1748646569499</v>
      </c>
      <c r="AO80" s="29" t="n">
        <v>0.8138946279256131</v>
      </c>
      <c r="AP80" s="29" t="n">
        <v>111.9675691194728</v>
      </c>
      <c r="AQ80" s="29" t="n">
        <v>64.56512610119306</v>
      </c>
      <c r="AR80" s="29" t="n">
        <v>2500.073656512976</v>
      </c>
      <c r="AS80" s="29" t="n">
        <v>334.1343900142795</v>
      </c>
      <c r="AT80" s="29" t="n">
        <v>5.141163511388776</v>
      </c>
      <c r="AU80" s="29" t="n">
        <v>8.433270336062415</v>
      </c>
      <c r="AV80" s="29" t="n">
        <v>1146.705350900854</v>
      </c>
      <c r="AW80" s="29" t="n">
        <v>114.2104017037341</v>
      </c>
      <c r="AX80" s="29" t="n">
        <v>139.3542149170098</v>
      </c>
      <c r="AY80" s="29" t="n">
        <v>48.07525712870581</v>
      </c>
      <c r="AZ80" s="29" t="n">
        <v>140.3769038066608</v>
      </c>
      <c r="BA80" s="29" t="n">
        <v>2987.946973319382</v>
      </c>
      <c r="BB80" s="29" t="n">
        <v>961.736221788873</v>
      </c>
      <c r="BC80" s="29" t="n">
        <v>1855.792419270402</v>
      </c>
      <c r="BD80" s="29" t="n">
        <v>99.56697280699619</v>
      </c>
      <c r="BE80" s="29" t="n">
        <v>413.105154538672</v>
      </c>
      <c r="BF80" s="29" t="n">
        <v>65.26697290282371</v>
      </c>
      <c r="BG80" s="29" t="n">
        <v>346.0109729219798</v>
      </c>
      <c r="BH80" s="29" t="n">
        <v>80.12136601922366</v>
      </c>
      <c r="BI80" s="29" t="n">
        <v>835.9441893738028</v>
      </c>
      <c r="BJ80" s="29" t="n">
        <v>32.87134322865394</v>
      </c>
      <c r="BK80" s="29" t="n">
        <v>519.3812342820437</v>
      </c>
      <c r="BL80" s="29" t="n">
        <v>91.93792655916627</v>
      </c>
      <c r="BM80" s="29" t="n">
        <v>389.0936137871714</v>
      </c>
      <c r="BN80" s="29" t="n">
        <v>1428.031885874688</v>
      </c>
      <c r="BO80" s="29" t="n">
        <v>1865.236409659457</v>
      </c>
      <c r="BP80" s="29" t="n">
        <v>19.37522831068943</v>
      </c>
      <c r="BQ80" s="29" t="n">
        <v>356.8026402321347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123305.0420051087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61996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44987.10173677246</v>
      </c>
      <c r="D84" s="33" t="n">
        <v>18516.02728977067</v>
      </c>
      <c r="E84" s="33" t="n">
        <v>1766.607180882021</v>
      </c>
      <c r="F84" s="33" t="n">
        <v>1878.088459382527</v>
      </c>
      <c r="G84" s="33" t="n">
        <v>26562.09325694381</v>
      </c>
      <c r="H84" s="33" t="n">
        <v>3921.906327326549</v>
      </c>
      <c r="I84" s="33" t="n">
        <v>1744.617383557597</v>
      </c>
      <c r="J84" s="34" t="n">
        <v>-78531.9954223911</v>
      </c>
      <c r="K84" s="34" t="n">
        <v>-1392.410229237817</v>
      </c>
      <c r="L84" s="34" t="n">
        <v>-30566.2080694196</v>
      </c>
      <c r="M84" s="33" t="n">
        <v>9907.455800674592</v>
      </c>
      <c r="N84" s="34" t="n">
        <v>-32.11808492001751</v>
      </c>
      <c r="O84" s="33" t="n">
        <v>838.1336285157217</v>
      </c>
      <c r="P84" s="33" t="n">
        <v>1216.557404795179</v>
      </c>
      <c r="Q84" s="34" t="n">
        <v>-7162.845619813704</v>
      </c>
      <c r="R84" s="34" t="n">
        <v>-284.1625373039087</v>
      </c>
      <c r="S84" s="34" t="n">
        <v>-16618.25229880932</v>
      </c>
      <c r="T84" s="33" t="n">
        <v>2420.59026425935</v>
      </c>
      <c r="U84" s="33" t="n">
        <v>85979.86542103143</v>
      </c>
      <c r="V84" s="34" t="n">
        <v>-3609.942872167657</v>
      </c>
      <c r="W84" s="33" t="n">
        <v>34697.10501771055</v>
      </c>
      <c r="X84" s="33" t="n">
        <v>1318.717716322729</v>
      </c>
      <c r="Y84" s="33" t="n">
        <v>8718.680322363954</v>
      </c>
      <c r="Z84" s="34" t="n">
        <v>-14863.00462690124</v>
      </c>
      <c r="AA84" s="34" t="n">
        <v>-3014.809029560445</v>
      </c>
      <c r="AB84" s="34" t="n">
        <v>-4722.215628316437</v>
      </c>
      <c r="AC84" s="34" t="n">
        <v>-6350.380015302323</v>
      </c>
      <c r="AD84" s="33" t="n">
        <v>4927.958028082271</v>
      </c>
      <c r="AE84" s="34" t="n">
        <v>-8329.618275473582</v>
      </c>
      <c r="AF84" s="33" t="n">
        <v>23450.06195121332</v>
      </c>
      <c r="AG84" s="34" t="n">
        <v>-1229.354271252917</v>
      </c>
      <c r="AH84" s="34" t="n">
        <v>-15892.36572250113</v>
      </c>
      <c r="AI84" s="33" t="n">
        <v>40058.04884519558</v>
      </c>
      <c r="AJ84" s="33" t="n">
        <v>16476.43697738749</v>
      </c>
      <c r="AK84" s="33" t="n">
        <v>11241.14391158621</v>
      </c>
      <c r="AL84" s="33" t="n">
        <v>556.4809338861096</v>
      </c>
      <c r="AM84" s="33" t="n">
        <v>16262.28737209891</v>
      </c>
      <c r="AN84" s="33" t="n">
        <v>33574.29108197744</v>
      </c>
      <c r="AO84" s="33" t="n">
        <v>4758.285388006201</v>
      </c>
      <c r="AP84" s="33" t="n">
        <v>86930.22763243881</v>
      </c>
      <c r="AQ84" s="33" t="n">
        <v>14378.24934320535</v>
      </c>
      <c r="AR84" s="34" t="n">
        <v>-61889.22017734589</v>
      </c>
      <c r="AS84" s="33" t="n">
        <v>16695.95385901102</v>
      </c>
      <c r="AT84" s="33" t="n">
        <v>2750.211691902471</v>
      </c>
      <c r="AU84" s="33" t="n">
        <v>11589.32009747806</v>
      </c>
      <c r="AV84" s="33" t="n">
        <v>5559.306968480746</v>
      </c>
      <c r="AW84" s="33" t="n">
        <v>2490.085561204509</v>
      </c>
      <c r="AX84" s="33" t="n">
        <v>36891.47513382859</v>
      </c>
      <c r="AY84" s="34" t="n">
        <v>-5152.263709490882</v>
      </c>
      <c r="AZ84" s="34" t="n">
        <v>-5141.907994827103</v>
      </c>
      <c r="BA84" s="34" t="n">
        <v>-42926.93195297808</v>
      </c>
      <c r="BB84" s="33" t="n">
        <v>4831.65214334465</v>
      </c>
      <c r="BC84" s="33" t="n">
        <v>29177.75234628283</v>
      </c>
      <c r="BD84" s="33" t="n">
        <v>8114.486738084726</v>
      </c>
      <c r="BE84" s="33" t="n">
        <v>1564.079904643855</v>
      </c>
      <c r="BF84" s="33" t="n">
        <v>5616.012989934637</v>
      </c>
      <c r="BG84" s="33" t="n">
        <v>6934.541549393958</v>
      </c>
      <c r="BH84" s="33" t="n">
        <v>3325.870712251339</v>
      </c>
      <c r="BI84" s="33" t="n">
        <v>8511.963921514238</v>
      </c>
      <c r="BJ84" s="33" t="n">
        <v>581.4657422685956</v>
      </c>
      <c r="BK84" s="33" t="n">
        <v>31445.83962288058</v>
      </c>
      <c r="BL84" s="33" t="n">
        <v>11940.26003596133</v>
      </c>
      <c r="BM84" s="33" t="n">
        <v>6732.149941622123</v>
      </c>
      <c r="BN84" s="33" t="n">
        <v>13865.80325274183</v>
      </c>
      <c r="BO84" s="33" t="n">
        <v>27954.76667084658</v>
      </c>
      <c r="BP84" s="33" t="n">
        <v>2347.821721039458</v>
      </c>
      <c r="BQ84" s="33" t="n">
        <v>18379.35988446364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163127</v>
      </c>
      <c r="D86" s="33" t="n">
        <v>71449</v>
      </c>
      <c r="E86" s="33" t="n">
        <v>24391</v>
      </c>
      <c r="F86" s="33" t="n">
        <v>8856</v>
      </c>
      <c r="G86" s="33" t="n">
        <v>73558</v>
      </c>
      <c r="H86" s="33" t="n">
        <v>23916</v>
      </c>
      <c r="I86" s="33" t="n">
        <v>4443</v>
      </c>
      <c r="J86" s="33" t="n">
        <v>40377</v>
      </c>
      <c r="K86" s="33" t="n">
        <v>7388</v>
      </c>
      <c r="L86" s="33" t="n">
        <v>48541</v>
      </c>
      <c r="M86" s="33" t="n">
        <v>22923</v>
      </c>
      <c r="N86" s="33" t="n">
        <v>4258</v>
      </c>
      <c r="O86" s="33" t="n">
        <v>13375</v>
      </c>
      <c r="P86" s="33" t="n">
        <v>24929</v>
      </c>
      <c r="Q86" s="33" t="n">
        <v>13536</v>
      </c>
      <c r="R86" s="33" t="n">
        <v>9840</v>
      </c>
      <c r="S86" s="33" t="n">
        <v>22787</v>
      </c>
      <c r="T86" s="33" t="n">
        <v>8396</v>
      </c>
      <c r="U86" s="33" t="n">
        <v>36427</v>
      </c>
      <c r="V86" s="33" t="n">
        <v>8680</v>
      </c>
      <c r="W86" s="33" t="n">
        <v>25439</v>
      </c>
      <c r="X86" s="33" t="n">
        <v>15095</v>
      </c>
      <c r="Y86" s="33" t="n">
        <v>8397</v>
      </c>
      <c r="Z86" s="33" t="n">
        <v>23147</v>
      </c>
      <c r="AA86" s="33" t="n">
        <v>26077</v>
      </c>
      <c r="AB86" s="33" t="n">
        <v>27750</v>
      </c>
      <c r="AC86" s="33" t="n">
        <v>21747</v>
      </c>
      <c r="AD86" s="33" t="n">
        <v>12555</v>
      </c>
      <c r="AE86" s="33" t="n">
        <v>34302</v>
      </c>
      <c r="AF86" s="33" t="n">
        <v>13715</v>
      </c>
      <c r="AG86" s="33" t="n">
        <v>17037</v>
      </c>
      <c r="AH86" s="33" t="n">
        <v>37643</v>
      </c>
      <c r="AI86" s="33" t="n">
        <v>22410</v>
      </c>
      <c r="AJ86" s="33" t="n">
        <v>18416</v>
      </c>
      <c r="AK86" s="33" t="n">
        <v>12065</v>
      </c>
      <c r="AL86" s="33" t="n">
        <v>31376</v>
      </c>
      <c r="AM86" s="33" t="n">
        <v>22185</v>
      </c>
      <c r="AN86" s="33" t="n">
        <v>85465</v>
      </c>
      <c r="AO86" s="33" t="n">
        <v>37718</v>
      </c>
      <c r="AP86" s="33" t="n">
        <v>296018</v>
      </c>
      <c r="AQ86" s="33" t="n">
        <v>86906</v>
      </c>
      <c r="AR86" s="33" t="n">
        <v>598802</v>
      </c>
      <c r="AS86" s="33" t="n">
        <v>145771</v>
      </c>
      <c r="AT86" s="33" t="n">
        <v>8758</v>
      </c>
      <c r="AU86" s="33" t="n">
        <v>6882</v>
      </c>
      <c r="AV86" s="33" t="n">
        <v>65089</v>
      </c>
      <c r="AW86" s="33" t="n">
        <v>13124</v>
      </c>
      <c r="AX86" s="33" t="n">
        <v>109506</v>
      </c>
      <c r="AY86" s="33" t="n">
        <v>8757</v>
      </c>
      <c r="AZ86" s="33" t="n">
        <v>19242</v>
      </c>
      <c r="BA86" s="33" t="n">
        <v>65303</v>
      </c>
      <c r="BB86" s="33" t="n">
        <v>82702</v>
      </c>
      <c r="BC86" s="33" t="n">
        <v>365276</v>
      </c>
      <c r="BD86" s="33" t="n">
        <v>498884</v>
      </c>
      <c r="BE86" s="33" t="n">
        <v>125524</v>
      </c>
      <c r="BF86" s="33" t="n">
        <v>44866</v>
      </c>
      <c r="BG86" s="33" t="n">
        <v>33439</v>
      </c>
      <c r="BH86" s="33" t="n">
        <v>29535</v>
      </c>
      <c r="BI86" s="33" t="n">
        <v>146846</v>
      </c>
      <c r="BJ86" s="33" t="n">
        <v>32943</v>
      </c>
      <c r="BK86" s="33" t="n">
        <v>509142</v>
      </c>
      <c r="BL86" s="33" t="n">
        <v>257301</v>
      </c>
      <c r="BM86" s="33" t="n">
        <v>76654</v>
      </c>
      <c r="BN86" s="33" t="n">
        <v>119144</v>
      </c>
      <c r="BO86" s="33" t="n">
        <v>133285</v>
      </c>
      <c r="BP86" s="33" t="n">
        <v>19139</v>
      </c>
      <c r="BQ86" s="33" t="n">
        <v>71031</v>
      </c>
      <c r="BR86" s="33" t="n">
        <v>61996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309301</v>
      </c>
      <c r="D89" s="33" t="n">
        <v>137018</v>
      </c>
      <c r="E89" s="33" t="n">
        <v>32411</v>
      </c>
      <c r="F89" s="33" t="n">
        <v>19733</v>
      </c>
      <c r="G89" s="33" t="n">
        <v>171984</v>
      </c>
      <c r="H89" s="33" t="n">
        <v>52753</v>
      </c>
      <c r="I89" s="33" t="n">
        <v>16103</v>
      </c>
      <c r="J89" s="33" t="n">
        <v>255198</v>
      </c>
      <c r="K89" s="33" t="n">
        <v>48066</v>
      </c>
      <c r="L89" s="33" t="n">
        <v>253228</v>
      </c>
      <c r="M89" s="33" t="n">
        <v>76444</v>
      </c>
      <c r="N89" s="33" t="n">
        <v>15084</v>
      </c>
      <c r="O89" s="33" t="n">
        <v>46430</v>
      </c>
      <c r="P89" s="33" t="n">
        <v>61302</v>
      </c>
      <c r="Q89" s="33" t="n">
        <v>40232</v>
      </c>
      <c r="R89" s="33" t="n">
        <v>26588</v>
      </c>
      <c r="S89" s="33" t="n">
        <v>80337</v>
      </c>
      <c r="T89" s="33" t="n">
        <v>19473</v>
      </c>
      <c r="U89" s="33" t="n">
        <v>373349</v>
      </c>
      <c r="V89" s="33" t="n">
        <v>42841</v>
      </c>
      <c r="W89" s="33" t="n">
        <v>145533</v>
      </c>
      <c r="X89" s="33" t="n">
        <v>74484</v>
      </c>
      <c r="Y89" s="33" t="n">
        <v>40475</v>
      </c>
      <c r="Z89" s="33" t="n">
        <v>57972</v>
      </c>
      <c r="AA89" s="33" t="n">
        <v>101171</v>
      </c>
      <c r="AB89" s="33" t="n">
        <v>89569</v>
      </c>
      <c r="AC89" s="33" t="n">
        <v>101592</v>
      </c>
      <c r="AD89" s="33" t="n">
        <v>57162</v>
      </c>
      <c r="AE89" s="33" t="n">
        <v>91269</v>
      </c>
      <c r="AF89" s="33" t="n">
        <v>85209</v>
      </c>
      <c r="AG89" s="33" t="n">
        <v>71998</v>
      </c>
      <c r="AH89" s="33" t="n">
        <v>120638</v>
      </c>
      <c r="AI89" s="33" t="n">
        <v>146446</v>
      </c>
      <c r="AJ89" s="33" t="n">
        <v>70497</v>
      </c>
      <c r="AK89" s="33" t="n">
        <v>51015</v>
      </c>
      <c r="AL89" s="33" t="n">
        <v>70398</v>
      </c>
      <c r="AM89" s="33" t="n">
        <v>62460</v>
      </c>
      <c r="AN89" s="33" t="n">
        <v>260753</v>
      </c>
      <c r="AO89" s="33" t="n">
        <v>62845</v>
      </c>
      <c r="AP89" s="33" t="n">
        <v>632308</v>
      </c>
      <c r="AQ89" s="33" t="n">
        <v>146401</v>
      </c>
      <c r="AR89" s="33" t="n">
        <v>954362</v>
      </c>
      <c r="AS89" s="33" t="n">
        <v>332855</v>
      </c>
      <c r="AT89" s="33" t="n">
        <v>20080</v>
      </c>
      <c r="AU89" s="33" t="n">
        <v>37338</v>
      </c>
      <c r="AV89" s="33" t="n">
        <v>115220</v>
      </c>
      <c r="AW89" s="33" t="n">
        <v>23990</v>
      </c>
      <c r="AX89" s="33" t="n">
        <v>223426</v>
      </c>
      <c r="AY89" s="33" t="n">
        <v>20486</v>
      </c>
      <c r="AZ89" s="33" t="n">
        <v>43404</v>
      </c>
      <c r="BA89" s="33" t="n">
        <v>161039</v>
      </c>
      <c r="BB89" s="33" t="n">
        <v>125537</v>
      </c>
      <c r="BC89" s="33" t="n">
        <v>574611</v>
      </c>
      <c r="BD89" s="33" t="n">
        <v>545929</v>
      </c>
      <c r="BE89" s="33" t="n">
        <v>187868</v>
      </c>
      <c r="BF89" s="33" t="n">
        <v>71073</v>
      </c>
      <c r="BG89" s="33" t="n">
        <v>94350</v>
      </c>
      <c r="BH89" s="33" t="n">
        <v>45657</v>
      </c>
      <c r="BI89" s="33" t="n">
        <v>208430</v>
      </c>
      <c r="BJ89" s="33" t="n">
        <v>39955</v>
      </c>
      <c r="BK89" s="33" t="n">
        <v>719620</v>
      </c>
      <c r="BL89" s="33" t="n">
        <v>309034</v>
      </c>
      <c r="BM89" s="33" t="n">
        <v>110787</v>
      </c>
      <c r="BN89" s="33" t="n">
        <v>179155</v>
      </c>
      <c r="BO89" s="33" t="n">
        <v>222681</v>
      </c>
      <c r="BP89" s="33" t="n">
        <v>34631</v>
      </c>
      <c r="BQ89" s="33" t="n">
        <v>145590</v>
      </c>
      <c r="BR89" s="33" t="n">
        <v>61996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contiene consumo intermedio nacional/domestico. El ajuste intermedio fuera de Z queda visible antes del valor agregado.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2015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1810.444323428073</v>
      </c>
      <c r="D14" s="29" t="n">
        <v>1217.650018363489</v>
      </c>
      <c r="E14" s="29" t="n">
        <v>59.68919523704235</v>
      </c>
      <c r="F14" s="29" t="n">
        <v>0.9581720751352193</v>
      </c>
      <c r="G14" s="29" t="n">
        <v>1.189227641470533</v>
      </c>
      <c r="H14" s="29" t="n">
        <v>0.1184241305796795</v>
      </c>
      <c r="I14" s="29" t="n">
        <v>0.08804397703844756</v>
      </c>
      <c r="J14" s="29" t="n">
        <v>1046.057903475093</v>
      </c>
      <c r="K14" s="29" t="n">
        <v>2049.954588961595</v>
      </c>
      <c r="L14" s="29" t="n">
        <v>15846.1734274892</v>
      </c>
      <c r="M14" s="29" t="n">
        <v>342.1481620713029</v>
      </c>
      <c r="N14" s="29" t="n">
        <v>1872.366260590876</v>
      </c>
      <c r="O14" s="29" t="n">
        <v>747.3479337047869</v>
      </c>
      <c r="P14" s="29" t="n">
        <v>311.401400253233</v>
      </c>
      <c r="Q14" s="29" t="n">
        <v>4.174062783334399</v>
      </c>
      <c r="R14" s="29" t="n">
        <v>39.51257800214788</v>
      </c>
      <c r="S14" s="29" t="n">
        <v>66.07160699886315</v>
      </c>
      <c r="T14" s="29" t="n">
        <v>0.01564920277053461</v>
      </c>
      <c r="U14" s="29" t="n">
        <v>3.245356472696929</v>
      </c>
      <c r="V14" s="29" t="n">
        <v>1561.648595141704</v>
      </c>
      <c r="W14" s="29" t="n">
        <v>6.981790091876925</v>
      </c>
      <c r="X14" s="29" t="n">
        <v>8.650214072336498</v>
      </c>
      <c r="Y14" s="29" t="n">
        <v>0.7729617584729886</v>
      </c>
      <c r="Z14" s="29" t="n">
        <v>7.302417443873487</v>
      </c>
      <c r="AA14" s="29" t="n">
        <v>19.84435074399451</v>
      </c>
      <c r="AB14" s="29" t="n">
        <v>8.727478516168976</v>
      </c>
      <c r="AC14" s="29" t="n">
        <v>10.43594081945729</v>
      </c>
      <c r="AD14" s="29" t="n">
        <v>1.148465446139495</v>
      </c>
      <c r="AE14" s="29" t="n">
        <v>1.307905834201426</v>
      </c>
      <c r="AF14" s="29" t="n">
        <v>0.111154835611774</v>
      </c>
      <c r="AG14" s="29" t="n">
        <v>0.149466001504597</v>
      </c>
      <c r="AH14" s="29" t="n">
        <v>0.3075202598309629</v>
      </c>
      <c r="AI14" s="29" t="n">
        <v>0.1235194809896114</v>
      </c>
      <c r="AJ14" s="29" t="n">
        <v>0.1064494745634712</v>
      </c>
      <c r="AK14" s="29" t="n">
        <v>0.2051019978204454</v>
      </c>
      <c r="AL14" s="29" t="n">
        <v>6.024205128377817</v>
      </c>
      <c r="AM14" s="29" t="n">
        <v>0.05099305512603747</v>
      </c>
      <c r="AN14" s="29" t="n">
        <v>0.2901010536142201</v>
      </c>
      <c r="AO14" s="29" t="n">
        <v>12.28633140425782</v>
      </c>
      <c r="AP14" s="29" t="n">
        <v>39.11818557202165</v>
      </c>
      <c r="AQ14" s="29" t="n">
        <v>0.5869874990556011</v>
      </c>
      <c r="AR14" s="29" t="n">
        <v>1284.947641679837</v>
      </c>
      <c r="AS14" s="29" t="n">
        <v>0.2770881481389488</v>
      </c>
      <c r="AT14" s="29" t="n">
        <v>0.004264998896655824</v>
      </c>
      <c r="AU14" s="29" t="n">
        <v>0.1753444657122608</v>
      </c>
      <c r="AV14" s="29" t="n">
        <v>0.5750181262866387</v>
      </c>
      <c r="AW14" s="29" t="n">
        <v>125.9063870005684</v>
      </c>
      <c r="AX14" s="29" t="n">
        <v>1257.6848625802</v>
      </c>
      <c r="AY14" s="29" t="n">
        <v>0.06093649299046973</v>
      </c>
      <c r="AZ14" s="29" t="n">
        <v>0.1483329505288362</v>
      </c>
      <c r="BA14" s="29" t="n">
        <v>2.066828126556251</v>
      </c>
      <c r="BB14" s="29" t="n">
        <v>0.3887204340346343</v>
      </c>
      <c r="BC14" s="29" t="n">
        <v>2.306092980162246</v>
      </c>
      <c r="BD14" s="29" t="n">
        <v>1.276953608341531</v>
      </c>
      <c r="BE14" s="29" t="n">
        <v>1.909507566979804</v>
      </c>
      <c r="BF14" s="29" t="n">
        <v>1.694849531659241</v>
      </c>
      <c r="BG14" s="29" t="n">
        <v>0.1534613850576436</v>
      </c>
      <c r="BH14" s="29" t="n">
        <v>0.1242950669639729</v>
      </c>
      <c r="BI14" s="29" t="n">
        <v>46.9112667287966</v>
      </c>
      <c r="BJ14" s="29" t="n">
        <v>0.0480367324810981</v>
      </c>
      <c r="BK14" s="29" t="n">
        <v>321.9287582866567</v>
      </c>
      <c r="BL14" s="29" t="n">
        <v>171.4580330131546</v>
      </c>
      <c r="BM14" s="29" t="n">
        <v>21.14665391684357</v>
      </c>
      <c r="BN14" s="29" t="n">
        <v>78.48970112662295</v>
      </c>
      <c r="BO14" s="29" t="n">
        <v>83.54651693144869</v>
      </c>
      <c r="BP14" s="29" t="n">
        <v>0.509321565140644</v>
      </c>
      <c r="BQ14" s="29" t="n">
        <v>106.8618331449299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0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156.9739843878463</v>
      </c>
      <c r="D15" s="31" t="n">
        <v>794.8687752924172</v>
      </c>
      <c r="E15" s="31" t="n">
        <v>46.81518502692613</v>
      </c>
      <c r="F15" s="31" t="n">
        <v>2.374286965318793</v>
      </c>
      <c r="G15" s="31" t="n">
        <v>4.614989196890485</v>
      </c>
      <c r="H15" s="31" t="n">
        <v>0.2268218517582801</v>
      </c>
      <c r="I15" s="31" t="n">
        <v>0.1945318773936931</v>
      </c>
      <c r="J15" s="31" t="n">
        <v>10780.63654245538</v>
      </c>
      <c r="K15" s="31" t="n">
        <v>11.34507054822508</v>
      </c>
      <c r="L15" s="31" t="n">
        <v>819.4721107708866</v>
      </c>
      <c r="M15" s="31" t="n">
        <v>36.58321079862382</v>
      </c>
      <c r="N15" s="31" t="n">
        <v>77.14005637298683</v>
      </c>
      <c r="O15" s="31" t="n">
        <v>91.35387242596082</v>
      </c>
      <c r="P15" s="31" t="n">
        <v>73.74200725183859</v>
      </c>
      <c r="Q15" s="31" t="n">
        <v>4.113137815615338</v>
      </c>
      <c r="R15" s="31" t="n">
        <v>44.83007559679128</v>
      </c>
      <c r="S15" s="31" t="n">
        <v>65.02569722071237</v>
      </c>
      <c r="T15" s="31" t="n">
        <v>0.04359590211245681</v>
      </c>
      <c r="U15" s="31" t="n">
        <v>0.1054960744012027</v>
      </c>
      <c r="V15" s="31" t="n">
        <v>17.06436780287432</v>
      </c>
      <c r="W15" s="31" t="n">
        <v>24.89837328091642</v>
      </c>
      <c r="X15" s="31" t="n">
        <v>4.249239366445551</v>
      </c>
      <c r="Y15" s="31" t="n">
        <v>1.925250606033017</v>
      </c>
      <c r="Z15" s="31" t="n">
        <v>2.2480398960931</v>
      </c>
      <c r="AA15" s="31" t="n">
        <v>20.00945721769347</v>
      </c>
      <c r="AB15" s="31" t="n">
        <v>38.58945967461689</v>
      </c>
      <c r="AC15" s="31" t="n">
        <v>14.15034640480309</v>
      </c>
      <c r="AD15" s="31" t="n">
        <v>3.351635226345278</v>
      </c>
      <c r="AE15" s="31" t="n">
        <v>1.003070391314518</v>
      </c>
      <c r="AF15" s="31" t="n">
        <v>0.4349368206258874</v>
      </c>
      <c r="AG15" s="31" t="n">
        <v>0.6346791850122534</v>
      </c>
      <c r="AH15" s="31" t="n">
        <v>0.9548971855107062</v>
      </c>
      <c r="AI15" s="31" t="n">
        <v>0.3549558197170173</v>
      </c>
      <c r="AJ15" s="31" t="n">
        <v>0.3904445987892182</v>
      </c>
      <c r="AK15" s="31" t="n">
        <v>0.3306327992908054</v>
      </c>
      <c r="AL15" s="31" t="n">
        <v>2.812445257311092</v>
      </c>
      <c r="AM15" s="31" t="n">
        <v>0.2048527558020934</v>
      </c>
      <c r="AN15" s="31" t="n">
        <v>0.7663508319871077</v>
      </c>
      <c r="AO15" s="31" t="n">
        <v>2.868230692005035</v>
      </c>
      <c r="AP15" s="31" t="n">
        <v>91.72031812708232</v>
      </c>
      <c r="AQ15" s="31" t="n">
        <v>1.202226579911262</v>
      </c>
      <c r="AR15" s="31" t="n">
        <v>79.22344299874914</v>
      </c>
      <c r="AS15" s="31" t="n">
        <v>0.5487428451701408</v>
      </c>
      <c r="AT15" s="31" t="n">
        <v>0.0152597490466009</v>
      </c>
      <c r="AU15" s="31" t="n">
        <v>0.2806663155404104</v>
      </c>
      <c r="AV15" s="31" t="n">
        <v>1.343341829246426</v>
      </c>
      <c r="AW15" s="31" t="n">
        <v>50.30733129852848</v>
      </c>
      <c r="AX15" s="31" t="n">
        <v>340.2379859045279</v>
      </c>
      <c r="AY15" s="31" t="n">
        <v>0.2397248778030585</v>
      </c>
      <c r="AZ15" s="31" t="n">
        <v>0.4551768691489819</v>
      </c>
      <c r="BA15" s="31" t="n">
        <v>4.068004192484111</v>
      </c>
      <c r="BB15" s="31" t="n">
        <v>1.415272117577985</v>
      </c>
      <c r="BC15" s="31" t="n">
        <v>5.040045280531485</v>
      </c>
      <c r="BD15" s="31" t="n">
        <v>3.744885271417805</v>
      </c>
      <c r="BE15" s="31" t="n">
        <v>1.165257823315948</v>
      </c>
      <c r="BF15" s="31" t="n">
        <v>1.587510282868567</v>
      </c>
      <c r="BG15" s="31" t="n">
        <v>1.028986529531053</v>
      </c>
      <c r="BH15" s="31" t="n">
        <v>0.4251357987157424</v>
      </c>
      <c r="BI15" s="31" t="n">
        <v>3.242754388878552</v>
      </c>
      <c r="BJ15" s="31" t="n">
        <v>0.1310312617837482</v>
      </c>
      <c r="BK15" s="31" t="n">
        <v>40.6627887308291</v>
      </c>
      <c r="BL15" s="31" t="n">
        <v>24.00900627003072</v>
      </c>
      <c r="BM15" s="31" t="n">
        <v>3.908395626721136</v>
      </c>
      <c r="BN15" s="31" t="n">
        <v>11.69583252287804</v>
      </c>
      <c r="BO15" s="31" t="n">
        <v>18.01033283225064</v>
      </c>
      <c r="BP15" s="31" t="n">
        <v>0.5623854475388783</v>
      </c>
      <c r="BQ15" s="31" t="n">
        <v>25.12580289188741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0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359.3120676723522</v>
      </c>
      <c r="D16" s="29" t="n">
        <v>434.291234770018</v>
      </c>
      <c r="E16" s="29" t="n">
        <v>709.515208687945</v>
      </c>
      <c r="F16" s="29" t="n">
        <v>0.7099699699035406</v>
      </c>
      <c r="G16" s="29" t="n">
        <v>0.3949049150503721</v>
      </c>
      <c r="H16" s="29" t="n">
        <v>0.03026561988995433</v>
      </c>
      <c r="I16" s="29" t="n">
        <v>0.0160239800509239</v>
      </c>
      <c r="J16" s="29" t="n">
        <v>621.479315753016</v>
      </c>
      <c r="K16" s="29" t="n">
        <v>0.0902732500140779</v>
      </c>
      <c r="L16" s="29" t="n">
        <v>117.0366496524996</v>
      </c>
      <c r="M16" s="29" t="n">
        <v>6.554276814940329</v>
      </c>
      <c r="N16" s="29" t="n">
        <v>5.606567840170629</v>
      </c>
      <c r="O16" s="29" t="n">
        <v>15.73674896213716</v>
      </c>
      <c r="P16" s="29" t="n">
        <v>4.856116811167529</v>
      </c>
      <c r="Q16" s="29" t="n">
        <v>4.877168196231471</v>
      </c>
      <c r="R16" s="29" t="n">
        <v>761.3051964345667</v>
      </c>
      <c r="S16" s="29" t="n">
        <v>1026.388505870157</v>
      </c>
      <c r="T16" s="29" t="n">
        <v>0.004314483420938492</v>
      </c>
      <c r="U16" s="29" t="n">
        <v>0.01133111043267221</v>
      </c>
      <c r="V16" s="29" t="n">
        <v>0.7297305574586762</v>
      </c>
      <c r="W16" s="29" t="n">
        <v>48.41959154419671</v>
      </c>
      <c r="X16" s="29" t="n">
        <v>1.297030179205717</v>
      </c>
      <c r="Y16" s="29" t="n">
        <v>0.03701131087441444</v>
      </c>
      <c r="Z16" s="29" t="n">
        <v>0.09736688498829082</v>
      </c>
      <c r="AA16" s="29" t="n">
        <v>327.9056069848119</v>
      </c>
      <c r="AB16" s="29" t="n">
        <v>23.70475008834867</v>
      </c>
      <c r="AC16" s="29" t="n">
        <v>193.1163619238947</v>
      </c>
      <c r="AD16" s="29" t="n">
        <v>0.2612778867633889</v>
      </c>
      <c r="AE16" s="29" t="n">
        <v>3.287520051045519</v>
      </c>
      <c r="AF16" s="29" t="n">
        <v>0.04950948531176398</v>
      </c>
      <c r="AG16" s="29" t="n">
        <v>0.06342831547906928</v>
      </c>
      <c r="AH16" s="29" t="n">
        <v>0.1188471615355964</v>
      </c>
      <c r="AI16" s="29" t="n">
        <v>0.04393244758294659</v>
      </c>
      <c r="AJ16" s="29" t="n">
        <v>0.04149337153213563</v>
      </c>
      <c r="AK16" s="29" t="n">
        <v>0.04716672645182765</v>
      </c>
      <c r="AL16" s="29" t="n">
        <v>1.102357047630155</v>
      </c>
      <c r="AM16" s="29" t="n">
        <v>0.0234649872878913</v>
      </c>
      <c r="AN16" s="29" t="n">
        <v>0.105345623546406</v>
      </c>
      <c r="AO16" s="29" t="n">
        <v>0.2216880378513653</v>
      </c>
      <c r="AP16" s="29" t="n">
        <v>208.1423977217005</v>
      </c>
      <c r="AQ16" s="29" t="n">
        <v>0.1287265188539948</v>
      </c>
      <c r="AR16" s="29" t="n">
        <v>106.6852654606094</v>
      </c>
      <c r="AS16" s="29" t="n">
        <v>0.06411765538998179</v>
      </c>
      <c r="AT16" s="29" t="n">
        <v>0.00177927035539621</v>
      </c>
      <c r="AU16" s="29" t="n">
        <v>0.02699632885992592</v>
      </c>
      <c r="AV16" s="29" t="n">
        <v>0.1258421050721678</v>
      </c>
      <c r="AW16" s="29" t="n">
        <v>16.87086569775503</v>
      </c>
      <c r="AX16" s="29" t="n">
        <v>180.099746473017</v>
      </c>
      <c r="AY16" s="29" t="n">
        <v>0.02758775104974953</v>
      </c>
      <c r="AZ16" s="29" t="n">
        <v>0.05576934996433613</v>
      </c>
      <c r="BA16" s="29" t="n">
        <v>0.3040000383391485</v>
      </c>
      <c r="BB16" s="29" t="n">
        <v>0.1588436690748291</v>
      </c>
      <c r="BC16" s="29" t="n">
        <v>0.4808365279612015</v>
      </c>
      <c r="BD16" s="29" t="n">
        <v>0.3166956959957221</v>
      </c>
      <c r="BE16" s="29" t="n">
        <v>0.1240896888368012</v>
      </c>
      <c r="BF16" s="29" t="n">
        <v>1.071763398740794</v>
      </c>
      <c r="BG16" s="29" t="n">
        <v>0.04784814934539457</v>
      </c>
      <c r="BH16" s="29" t="n">
        <v>0.04861063356024155</v>
      </c>
      <c r="BI16" s="29" t="n">
        <v>0.2268208768764116</v>
      </c>
      <c r="BJ16" s="29" t="n">
        <v>0.01485312128462553</v>
      </c>
      <c r="BK16" s="29" t="n">
        <v>28.83892752108073</v>
      </c>
      <c r="BL16" s="29" t="n">
        <v>30.88157460552614</v>
      </c>
      <c r="BM16" s="29" t="n">
        <v>3.059497322910446</v>
      </c>
      <c r="BN16" s="29" t="n">
        <v>13.81850365856704</v>
      </c>
      <c r="BO16" s="29" t="n">
        <v>7.526290385269668</v>
      </c>
      <c r="BP16" s="29" t="n">
        <v>0.05864516318482372</v>
      </c>
      <c r="BQ16" s="29" t="n">
        <v>2.471003870471089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0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93.28074477009305</v>
      </c>
      <c r="D17" s="31" t="n">
        <v>184.1968602465324</v>
      </c>
      <c r="E17" s="31" t="n">
        <v>6.388687754872326</v>
      </c>
      <c r="F17" s="31" t="n">
        <v>144.8300063337262</v>
      </c>
      <c r="G17" s="31" t="n">
        <v>243.1046892177</v>
      </c>
      <c r="H17" s="31" t="n">
        <v>0.1793360394698568</v>
      </c>
      <c r="I17" s="31" t="n">
        <v>6.82690020368999</v>
      </c>
      <c r="J17" s="31" t="n">
        <v>22.78600614359051</v>
      </c>
      <c r="K17" s="31" t="n">
        <v>5.221919987120442</v>
      </c>
      <c r="L17" s="31" t="n">
        <v>132.909703950363</v>
      </c>
      <c r="M17" s="31" t="n">
        <v>7.779308981897803</v>
      </c>
      <c r="N17" s="31" t="n">
        <v>-0.2337842971258048</v>
      </c>
      <c r="O17" s="31" t="n">
        <v>0.6003042303051429</v>
      </c>
      <c r="P17" s="31" t="n">
        <v>-0.996113248086636</v>
      </c>
      <c r="Q17" s="31" t="n">
        <v>-0.1625306213576671</v>
      </c>
      <c r="R17" s="31" t="n">
        <v>0.1642417633780198</v>
      </c>
      <c r="S17" s="31" t="n">
        <v>11.25753668873061</v>
      </c>
      <c r="T17" s="31" t="n">
        <v>0.2034104539898478</v>
      </c>
      <c r="U17" s="31" t="n">
        <v>40.54526226705679</v>
      </c>
      <c r="V17" s="31" t="n">
        <v>100.2913213620556</v>
      </c>
      <c r="W17" s="31" t="n">
        <v>1610.806412869358</v>
      </c>
      <c r="X17" s="31" t="n">
        <v>52.40179014605044</v>
      </c>
      <c r="Y17" s="31" t="n">
        <v>6.837758161133052</v>
      </c>
      <c r="Z17" s="31" t="n">
        <v>0.1838543296712672</v>
      </c>
      <c r="AA17" s="31" t="n">
        <v>4.708726190049161</v>
      </c>
      <c r="AB17" s="31" t="n">
        <v>2513.426595005309</v>
      </c>
      <c r="AC17" s="31" t="n">
        <v>5715.985107187063</v>
      </c>
      <c r="AD17" s="31" t="n">
        <v>464.1042021782813</v>
      </c>
      <c r="AE17" s="31" t="n">
        <v>1.049243342551864</v>
      </c>
      <c r="AF17" s="31" t="n">
        <v>-1.055233371245729</v>
      </c>
      <c r="AG17" s="31" t="n">
        <v>19.0814499549639</v>
      </c>
      <c r="AH17" s="31" t="n">
        <v>-1.550778082789472</v>
      </c>
      <c r="AI17" s="31" t="n">
        <v>7.500433744161858</v>
      </c>
      <c r="AJ17" s="31" t="n">
        <v>48.44584485422235</v>
      </c>
      <c r="AK17" s="31" t="n">
        <v>1.749548617393911</v>
      </c>
      <c r="AL17" s="31" t="n">
        <v>16.9772256662865</v>
      </c>
      <c r="AM17" s="31" t="n">
        <v>1.922359733971339</v>
      </c>
      <c r="AN17" s="31" t="n">
        <v>1721.971255706216</v>
      </c>
      <c r="AO17" s="31" t="n">
        <v>161.2274964756736</v>
      </c>
      <c r="AP17" s="31" t="n">
        <v>3307.632407141349</v>
      </c>
      <c r="AQ17" s="31" t="n">
        <v>0.8664964085999727</v>
      </c>
      <c r="AR17" s="31" t="n">
        <v>27.87542427720805</v>
      </c>
      <c r="AS17" s="31" t="n">
        <v>0.3097084609224589</v>
      </c>
      <c r="AT17" s="31" t="n">
        <v>0.004792845735606969</v>
      </c>
      <c r="AU17" s="31" t="n">
        <v>0.001070183804451855</v>
      </c>
      <c r="AV17" s="31" t="n">
        <v>2.005713559304444</v>
      </c>
      <c r="AW17" s="31" t="n">
        <v>0.9169406289502585</v>
      </c>
      <c r="AX17" s="31" t="n">
        <v>4.484180531685844</v>
      </c>
      <c r="AY17" s="31" t="n">
        <v>-0.647480889359605</v>
      </c>
      <c r="AZ17" s="31" t="n">
        <v>-0.7457106434757872</v>
      </c>
      <c r="BA17" s="31" t="n">
        <v>-4.612433254717809</v>
      </c>
      <c r="BB17" s="31" t="n">
        <v>-0.4399864516048622</v>
      </c>
      <c r="BC17" s="31" t="n">
        <v>0.0359760030845163</v>
      </c>
      <c r="BD17" s="31" t="n">
        <v>163.1526544230564</v>
      </c>
      <c r="BE17" s="31" t="n">
        <v>-0.5165508542729863</v>
      </c>
      <c r="BF17" s="31" t="n">
        <v>6.708017566216983</v>
      </c>
      <c r="BG17" s="31" t="n">
        <v>-0.1923823590987336</v>
      </c>
      <c r="BH17" s="31" t="n">
        <v>0.02444854511240795</v>
      </c>
      <c r="BI17" s="31" t="n">
        <v>-0.004941139275683311</v>
      </c>
      <c r="BJ17" s="31" t="n">
        <v>-0.05516740422025763</v>
      </c>
      <c r="BK17" s="31" t="n">
        <v>25.80818210009612</v>
      </c>
      <c r="BL17" s="31" t="n">
        <v>8.701674000625358</v>
      </c>
      <c r="BM17" s="31" t="n">
        <v>0.06764418778557872</v>
      </c>
      <c r="BN17" s="31" t="n">
        <v>3.713868881882926</v>
      </c>
      <c r="BO17" s="31" t="n">
        <v>3.856116066832429</v>
      </c>
      <c r="BP17" s="31" t="n">
        <v>0.02304767650947644</v>
      </c>
      <c r="BQ17" s="31" t="n">
        <v>2.040220237721191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0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4.771558950904022</v>
      </c>
      <c r="D18" s="29" t="n">
        <v>3.497615906039829</v>
      </c>
      <c r="E18" s="29" t="n">
        <v>0.2063730146437545</v>
      </c>
      <c r="F18" s="29" t="n">
        <v>0.3008273021122333</v>
      </c>
      <c r="G18" s="29" t="n">
        <v>2649.268332192046</v>
      </c>
      <c r="H18" s="29" t="n">
        <v>26.64038829733143</v>
      </c>
      <c r="I18" s="29" t="n">
        <v>5.808503989174855</v>
      </c>
      <c r="J18" s="29" t="n">
        <v>20.61749289155411</v>
      </c>
      <c r="K18" s="29" t="n">
        <v>0.01400672352865566</v>
      </c>
      <c r="L18" s="29" t="n">
        <v>200.6919346874805</v>
      </c>
      <c r="M18" s="29" t="n">
        <v>40.37069990835558</v>
      </c>
      <c r="N18" s="29" t="n">
        <v>0.01628705527956036</v>
      </c>
      <c r="O18" s="29" t="n">
        <v>35.74703869384804</v>
      </c>
      <c r="P18" s="29" t="n">
        <v>0.02689979012217782</v>
      </c>
      <c r="Q18" s="29" t="n">
        <v>0.5099856297568999</v>
      </c>
      <c r="R18" s="29" t="n">
        <v>10.88313189494403</v>
      </c>
      <c r="S18" s="29" t="n">
        <v>183.722192239092</v>
      </c>
      <c r="T18" s="29" t="n">
        <v>0.004015454987639668</v>
      </c>
      <c r="U18" s="29" t="n">
        <v>26029.39462721507</v>
      </c>
      <c r="V18" s="29" t="n">
        <v>0.0131902631176016</v>
      </c>
      <c r="W18" s="29" t="n">
        <v>473.9420367670779</v>
      </c>
      <c r="X18" s="29" t="n">
        <v>24.94807100863069</v>
      </c>
      <c r="Y18" s="29" t="n">
        <v>8.575082927894718</v>
      </c>
      <c r="Z18" s="29" t="n">
        <v>9.870839075543074</v>
      </c>
      <c r="AA18" s="29" t="n">
        <v>27.83690980614153</v>
      </c>
      <c r="AB18" s="29" t="n">
        <v>167.8502745031891</v>
      </c>
      <c r="AC18" s="29" t="n">
        <v>98.1654924183546</v>
      </c>
      <c r="AD18" s="29" t="n">
        <v>80.02022794535011</v>
      </c>
      <c r="AE18" s="29" t="n">
        <v>96.99199900566394</v>
      </c>
      <c r="AF18" s="29" t="n">
        <v>0.0195047417458334</v>
      </c>
      <c r="AG18" s="29" t="n">
        <v>8.783817404444695</v>
      </c>
      <c r="AH18" s="29" t="n">
        <v>5.892711707474276</v>
      </c>
      <c r="AI18" s="29" t="n">
        <v>19.90268364987595</v>
      </c>
      <c r="AJ18" s="29" t="n">
        <v>37.4576992658434</v>
      </c>
      <c r="AK18" s="29" t="n">
        <v>0.09026067675587605</v>
      </c>
      <c r="AL18" s="29" t="n">
        <v>0.3592860225592164</v>
      </c>
      <c r="AM18" s="29" t="n">
        <v>1.000127560934433</v>
      </c>
      <c r="AN18" s="29" t="n">
        <v>3438.516003570566</v>
      </c>
      <c r="AO18" s="29" t="n">
        <v>15.38097697715392</v>
      </c>
      <c r="AP18" s="29" t="n">
        <v>36.21996517896706</v>
      </c>
      <c r="AQ18" s="29" t="n">
        <v>0.2900731874734205</v>
      </c>
      <c r="AR18" s="29" t="n">
        <v>22.39438485369605</v>
      </c>
      <c r="AS18" s="29" t="n">
        <v>16.3108045417674</v>
      </c>
      <c r="AT18" s="29" t="n">
        <v>0.2331715490817043</v>
      </c>
      <c r="AU18" s="29" t="n">
        <v>0.009175835212244613</v>
      </c>
      <c r="AV18" s="29" t="n">
        <v>1.731073589931887</v>
      </c>
      <c r="AW18" s="29" t="n">
        <v>0.1520300671751927</v>
      </c>
      <c r="AX18" s="29" t="n">
        <v>7.784285308600447</v>
      </c>
      <c r="AY18" s="29" t="n">
        <v>0.01928564535279806</v>
      </c>
      <c r="AZ18" s="29" t="n">
        <v>0.04737935698270707</v>
      </c>
      <c r="BA18" s="29" t="n">
        <v>3.388085228863104</v>
      </c>
      <c r="BB18" s="29" t="n">
        <v>0.1141308224931775</v>
      </c>
      <c r="BC18" s="29" t="n">
        <v>0.4348635239085493</v>
      </c>
      <c r="BD18" s="29" t="n">
        <v>0.1589781758267586</v>
      </c>
      <c r="BE18" s="29" t="n">
        <v>0.3704743466943765</v>
      </c>
      <c r="BF18" s="29" t="n">
        <v>13.31484211444133</v>
      </c>
      <c r="BG18" s="29" t="n">
        <v>0.1521811313681226</v>
      </c>
      <c r="BH18" s="29" t="n">
        <v>0.8715836288952994</v>
      </c>
      <c r="BI18" s="29" t="n">
        <v>0.255557313078431</v>
      </c>
      <c r="BJ18" s="29" t="n">
        <v>0.01885347391265886</v>
      </c>
      <c r="BK18" s="29" t="n">
        <v>28.61406974950329</v>
      </c>
      <c r="BL18" s="29" t="n">
        <v>0.5687326830245518</v>
      </c>
      <c r="BM18" s="29" t="n">
        <v>0.310545700046687</v>
      </c>
      <c r="BN18" s="29" t="n">
        <v>0.1084538760686129</v>
      </c>
      <c r="BO18" s="29" t="n">
        <v>0.2810635128551469</v>
      </c>
      <c r="BP18" s="29" t="n">
        <v>0.3046453953964083</v>
      </c>
      <c r="BQ18" s="29" t="n">
        <v>1.414796391887878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0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4.033632237296129e-06</v>
      </c>
      <c r="G19" s="31" t="n">
        <v>0.7577861697961256</v>
      </c>
      <c r="H19" s="31" t="n">
        <v>102.6272318049109</v>
      </c>
      <c r="I19" s="31" t="n">
        <v>19.38203341197137</v>
      </c>
      <c r="J19" s="31" t="n">
        <v>0.0003589932691193749</v>
      </c>
      <c r="K19" s="31" t="n">
        <v>4.436995461025507e-05</v>
      </c>
      <c r="L19" s="31" t="n">
        <v>0.000201681611864815</v>
      </c>
      <c r="M19" s="31" t="n">
        <v>0.000375127798068531</v>
      </c>
      <c r="N19" s="31" t="n">
        <v>7.663901250862786e-05</v>
      </c>
      <c r="O19" s="31" t="n">
        <v>0</v>
      </c>
      <c r="P19" s="31" t="n">
        <v>6.857174803403468e-05</v>
      </c>
      <c r="Q19" s="31" t="n">
        <v>0.0001089080704070007</v>
      </c>
      <c r="R19" s="31" t="n">
        <v>4.436995461025507e-05</v>
      </c>
      <c r="S19" s="31" t="n">
        <v>0.0001411771283053735</v>
      </c>
      <c r="T19" s="31" t="n">
        <v>4.033632237296129e-06</v>
      </c>
      <c r="U19" s="31" t="n">
        <v>0</v>
      </c>
      <c r="V19" s="31" t="n">
        <v>0</v>
      </c>
      <c r="W19" s="31" t="n">
        <v>0.0004315986493906681</v>
      </c>
      <c r="X19" s="31" t="n">
        <v>0.0001169753348815939</v>
      </c>
      <c r="Y19" s="31" t="n">
        <v>0.0003226905789836676</v>
      </c>
      <c r="Z19" s="31" t="n">
        <v>0.0009680717369510636</v>
      </c>
      <c r="AA19" s="31" t="n">
        <v>0.0001532780250172558</v>
      </c>
      <c r="AB19" s="31" t="n">
        <v>15.23587473511139</v>
      </c>
      <c r="AC19" s="31" t="n">
        <v>1362.352360409232</v>
      </c>
      <c r="AD19" s="31" t="n">
        <v>105.5068032795555</v>
      </c>
      <c r="AE19" s="31" t="n">
        <v>4.033632237295845e-05</v>
      </c>
      <c r="AF19" s="31" t="n">
        <v>0.000201681611864815</v>
      </c>
      <c r="AG19" s="31" t="n">
        <v>0.0006050448355944753</v>
      </c>
      <c r="AH19" s="31" t="n">
        <v>0.0004719349717636494</v>
      </c>
      <c r="AI19" s="31" t="n">
        <v>0.0009600044724765158</v>
      </c>
      <c r="AJ19" s="31" t="n">
        <v>0.1233803805159105</v>
      </c>
      <c r="AK19" s="31" t="n">
        <v>0.0001371434960680694</v>
      </c>
      <c r="AL19" s="31" t="n">
        <v>0.0001048744381696965</v>
      </c>
      <c r="AM19" s="31" t="n">
        <v>4.033632237296129e-06</v>
      </c>
      <c r="AN19" s="31" t="n">
        <v>0.0004880695007128055</v>
      </c>
      <c r="AO19" s="31" t="n">
        <v>4.436995461025507e-05</v>
      </c>
      <c r="AP19" s="31" t="n">
        <v>0.0001048744381696965</v>
      </c>
      <c r="AQ19" s="31" t="n">
        <v>0</v>
      </c>
      <c r="AR19" s="31" t="n">
        <v>0.0006655493191538256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8.067264474592258e-06</v>
      </c>
      <c r="AZ19" s="31" t="n">
        <v>0</v>
      </c>
      <c r="BA19" s="31" t="n">
        <v>0.0003630269013566488</v>
      </c>
      <c r="BB19" s="31" t="n">
        <v>0.0003065560500345115</v>
      </c>
      <c r="BC19" s="31" t="n">
        <v>3.630269013566185e-05</v>
      </c>
      <c r="BD19" s="31" t="n">
        <v>0</v>
      </c>
      <c r="BE19" s="31" t="n">
        <v>0</v>
      </c>
      <c r="BF19" s="31" t="n">
        <v>0.6248135672375</v>
      </c>
      <c r="BG19" s="31" t="n">
        <v>0</v>
      </c>
      <c r="BH19" s="31" t="n">
        <v>0.0001371434960680694</v>
      </c>
      <c r="BI19" s="31" t="n">
        <v>1.613452894918452e-05</v>
      </c>
      <c r="BJ19" s="31" t="n">
        <v>0</v>
      </c>
      <c r="BK19" s="31" t="n">
        <v>0</v>
      </c>
      <c r="BL19" s="31" t="n">
        <v>0</v>
      </c>
      <c r="BM19" s="31" t="n">
        <v>4.033632237296129e-06</v>
      </c>
      <c r="BN19" s="31" t="n">
        <v>0</v>
      </c>
      <c r="BO19" s="31" t="n">
        <v>4.840358684755166e-05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0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5.749921421285636</v>
      </c>
      <c r="D20" s="29" t="n">
        <v>1.887677842384538</v>
      </c>
      <c r="E20" s="29" t="n">
        <v>0.09559335296881213</v>
      </c>
      <c r="F20" s="29" t="n">
        <v>7.368060840033504</v>
      </c>
      <c r="G20" s="29" t="n">
        <v>26.55756189964814</v>
      </c>
      <c r="H20" s="29" t="n">
        <v>4.629583615206916</v>
      </c>
      <c r="I20" s="29" t="n">
        <v>469.157085497946</v>
      </c>
      <c r="J20" s="29" t="n">
        <v>4.365442858871665</v>
      </c>
      <c r="K20" s="29" t="n">
        <v>0.1675746692324396</v>
      </c>
      <c r="L20" s="29" t="n">
        <v>11.493750028346</v>
      </c>
      <c r="M20" s="29" t="n">
        <v>0.6064899293723762</v>
      </c>
      <c r="N20" s="29" t="n">
        <v>0.01232545341823244</v>
      </c>
      <c r="O20" s="29" t="n">
        <v>0.6638884041976489</v>
      </c>
      <c r="P20" s="29" t="n">
        <v>5.079388743261827e-06</v>
      </c>
      <c r="Q20" s="29" t="n">
        <v>0.5444730906431171</v>
      </c>
      <c r="R20" s="29" t="n">
        <v>1.448031336643322</v>
      </c>
      <c r="S20" s="29" t="n">
        <v>5.088973779292695</v>
      </c>
      <c r="T20" s="29" t="n">
        <v>1.817291375468046</v>
      </c>
      <c r="U20" s="29" t="n">
        <v>1.084140327982176</v>
      </c>
      <c r="V20" s="29" t="n">
        <v>0.8565612786263987</v>
      </c>
      <c r="W20" s="29" t="n">
        <v>30.21495464479189</v>
      </c>
      <c r="X20" s="29" t="n">
        <v>13.23201974354089</v>
      </c>
      <c r="Y20" s="29" t="n">
        <v>4.323527281379816</v>
      </c>
      <c r="Z20" s="29" t="n">
        <v>3.306156696602742</v>
      </c>
      <c r="AA20" s="29" t="n">
        <v>4.403142489342096</v>
      </c>
      <c r="AB20" s="29" t="n">
        <v>28.12706133370446</v>
      </c>
      <c r="AC20" s="29" t="n">
        <v>658.3820110046437</v>
      </c>
      <c r="AD20" s="29" t="n">
        <v>3063.663216179111</v>
      </c>
      <c r="AE20" s="29" t="n">
        <v>10.80626510682318</v>
      </c>
      <c r="AF20" s="29" t="n">
        <v>0.6735173698952122</v>
      </c>
      <c r="AG20" s="29" t="n">
        <v>26.67824099592933</v>
      </c>
      <c r="AH20" s="29" t="n">
        <v>15.20841920736327</v>
      </c>
      <c r="AI20" s="29" t="n">
        <v>2.835824327135199</v>
      </c>
      <c r="AJ20" s="29" t="n">
        <v>13.38267513783766</v>
      </c>
      <c r="AK20" s="29" t="n">
        <v>4.816808385607938</v>
      </c>
      <c r="AL20" s="29" t="n">
        <v>9.871528647502156</v>
      </c>
      <c r="AM20" s="29" t="n">
        <v>7.606458713801108</v>
      </c>
      <c r="AN20" s="29" t="n">
        <v>0.3555741950626052</v>
      </c>
      <c r="AO20" s="29" t="n">
        <v>2.465997809265381</v>
      </c>
      <c r="AP20" s="29" t="n">
        <v>29.27371099243549</v>
      </c>
      <c r="AQ20" s="29" t="n">
        <v>0.3225842791667906</v>
      </c>
      <c r="AR20" s="29" t="n">
        <v>6.505414550154005</v>
      </c>
      <c r="AS20" s="29" t="n">
        <v>0.08417117093333831</v>
      </c>
      <c r="AT20" s="29" t="n">
        <v>0.09246499229813118</v>
      </c>
      <c r="AU20" s="29" t="n">
        <v>0</v>
      </c>
      <c r="AV20" s="29" t="n">
        <v>0.27282327676833</v>
      </c>
      <c r="AW20" s="29" t="n">
        <v>0.01534886388360561</v>
      </c>
      <c r="AX20" s="29" t="n">
        <v>0.03405711794776732</v>
      </c>
      <c r="AY20" s="29" t="n">
        <v>5.975751462660931e-07</v>
      </c>
      <c r="AZ20" s="29" t="n">
        <v>0</v>
      </c>
      <c r="BA20" s="29" t="n">
        <v>0.04528435366429286</v>
      </c>
      <c r="BB20" s="29" t="n">
        <v>0.00207600393128193</v>
      </c>
      <c r="BC20" s="29" t="n">
        <v>0.1100043030973472</v>
      </c>
      <c r="BD20" s="29" t="n">
        <v>0.8518458813186359</v>
      </c>
      <c r="BE20" s="29" t="n">
        <v>0</v>
      </c>
      <c r="BF20" s="29" t="n">
        <v>0.3361289962888051</v>
      </c>
      <c r="BG20" s="29" t="n">
        <v>0.04429363731958437</v>
      </c>
      <c r="BH20" s="29" t="n">
        <v>1.015877748652365e-05</v>
      </c>
      <c r="BI20" s="29" t="n">
        <v>1.096094067512605</v>
      </c>
      <c r="BJ20" s="29" t="n">
        <v>0.002053296075723818</v>
      </c>
      <c r="BK20" s="29" t="n">
        <v>0.3144912668799503</v>
      </c>
      <c r="BL20" s="29" t="n">
        <v>0.9140148911822094</v>
      </c>
      <c r="BM20" s="29" t="n">
        <v>2.987875731330466e-07</v>
      </c>
      <c r="BN20" s="29" t="n">
        <v>2.605136164970352</v>
      </c>
      <c r="BO20" s="29" t="n">
        <v>0.7343698678862525</v>
      </c>
      <c r="BP20" s="29" t="n">
        <v>0.02383886996488162</v>
      </c>
      <c r="BQ20" s="29" t="n">
        <v>0.4128606346334892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0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21.71151812750253</v>
      </c>
      <c r="D21" s="31" t="n">
        <v>769.182963410116</v>
      </c>
      <c r="E21" s="31" t="n">
        <v>18.21281304283673</v>
      </c>
      <c r="F21" s="31" t="n">
        <v>1.087260129633718</v>
      </c>
      <c r="G21" s="31" t="n">
        <v>-0.08629177267569681</v>
      </c>
      <c r="H21" s="31" t="n">
        <v>-0.200235670972555</v>
      </c>
      <c r="I21" s="31" t="n">
        <v>-0.4757447267342046</v>
      </c>
      <c r="J21" s="31" t="n">
        <v>6848.820149915664</v>
      </c>
      <c r="K21" s="31" t="n">
        <v>-4.25889517444027</v>
      </c>
      <c r="L21" s="31" t="n">
        <v>899.1340631400188</v>
      </c>
      <c r="M21" s="31" t="n">
        <v>18.54727648207717</v>
      </c>
      <c r="N21" s="31" t="n">
        <v>-2.798813796786279</v>
      </c>
      <c r="O21" s="31" t="n">
        <v>-8.922726595577942</v>
      </c>
      <c r="P21" s="31" t="n">
        <v>-11.61532274578252</v>
      </c>
      <c r="Q21" s="31" t="n">
        <v>963.657318355335</v>
      </c>
      <c r="R21" s="31" t="n">
        <v>-3.727331737587394</v>
      </c>
      <c r="S21" s="31" t="n">
        <v>-25.57530343065694</v>
      </c>
      <c r="T21" s="31" t="n">
        <v>-0.7548084558459481</v>
      </c>
      <c r="U21" s="31" t="n">
        <v>-7.678233516758376</v>
      </c>
      <c r="V21" s="31" t="n">
        <v>289.223330091112</v>
      </c>
      <c r="W21" s="31" t="n">
        <v>-11.40194977343531</v>
      </c>
      <c r="X21" s="31" t="n">
        <v>-9.575825122621801</v>
      </c>
      <c r="Y21" s="31" t="n">
        <v>586.6811322671074</v>
      </c>
      <c r="Z21" s="31" t="n">
        <v>-19.73900291527263</v>
      </c>
      <c r="AA21" s="31" t="n">
        <v>-20.9179199571101</v>
      </c>
      <c r="AB21" s="31" t="n">
        <v>-17.30957583661676</v>
      </c>
      <c r="AC21" s="31" t="n">
        <v>-21.86890627378716</v>
      </c>
      <c r="AD21" s="31" t="n">
        <v>-6.440998743068069</v>
      </c>
      <c r="AE21" s="31" t="n">
        <v>-1.135912762209744</v>
      </c>
      <c r="AF21" s="31" t="n">
        <v>-12.44074181248195</v>
      </c>
      <c r="AG21" s="31" t="n">
        <v>-16.56308190151916</v>
      </c>
      <c r="AH21" s="31" t="n">
        <v>-31.96792728225855</v>
      </c>
      <c r="AI21" s="31" t="n">
        <v>0.8749100512655531</v>
      </c>
      <c r="AJ21" s="31" t="n">
        <v>0.2060046715575654</v>
      </c>
      <c r="AK21" s="31" t="n">
        <v>-2.423112360002981</v>
      </c>
      <c r="AL21" s="31" t="n">
        <v>-9.61823008030945</v>
      </c>
      <c r="AM21" s="31" t="n">
        <v>2.313017353541311</v>
      </c>
      <c r="AN21" s="31" t="n">
        <v>0.1386709732245374</v>
      </c>
      <c r="AO21" s="31" t="n">
        <v>0.06812084074201691</v>
      </c>
      <c r="AP21" s="31" t="n">
        <v>3.472133333554573</v>
      </c>
      <c r="AQ21" s="31" t="n">
        <v>0.6547151242178986</v>
      </c>
      <c r="AR21" s="31" t="n">
        <v>8.035369610216751</v>
      </c>
      <c r="AS21" s="31" t="n">
        <v>1.580798914261848</v>
      </c>
      <c r="AT21" s="31" t="n">
        <v>0.03733343506410056</v>
      </c>
      <c r="AU21" s="31" t="n">
        <v>0.3418288147742556</v>
      </c>
      <c r="AV21" s="31" t="n">
        <v>0.3198775969066443</v>
      </c>
      <c r="AW21" s="31" t="n">
        <v>179.5520131393828</v>
      </c>
      <c r="AX21" s="31" t="n">
        <v>5691.906528534691</v>
      </c>
      <c r="AY21" s="31" t="n">
        <v>-7.559967521556318</v>
      </c>
      <c r="AZ21" s="31" t="n">
        <v>-8.709612418353561</v>
      </c>
      <c r="BA21" s="31" t="n">
        <v>-53.7477038652887</v>
      </c>
      <c r="BB21" s="31" t="n">
        <v>-5.272183610895584</v>
      </c>
      <c r="BC21" s="31" t="n">
        <v>0.1338119796305116</v>
      </c>
      <c r="BD21" s="31" t="n">
        <v>0.08335541807946897</v>
      </c>
      <c r="BE21" s="31" t="n">
        <v>-6.225308766335607</v>
      </c>
      <c r="BF21" s="31" t="n">
        <v>-0.2304455636701968</v>
      </c>
      <c r="BG21" s="31" t="n">
        <v>-2.118939430183282</v>
      </c>
      <c r="BH21" s="31" t="n">
        <v>0.09212212530811867</v>
      </c>
      <c r="BI21" s="31" t="n">
        <v>-4.290083758154092</v>
      </c>
      <c r="BJ21" s="31" t="n">
        <v>-0.644003427473454</v>
      </c>
      <c r="BK21" s="31" t="n">
        <v>622.6002274643039</v>
      </c>
      <c r="BL21" s="31" t="n">
        <v>562.2685060453748</v>
      </c>
      <c r="BM21" s="31" t="n">
        <v>75.18427269599397</v>
      </c>
      <c r="BN21" s="31" t="n">
        <v>284.1819313099781</v>
      </c>
      <c r="BO21" s="31" t="n">
        <v>254.9082383946999</v>
      </c>
      <c r="BP21" s="31" t="n">
        <v>1.165426678166802</v>
      </c>
      <c r="BQ21" s="31" t="n">
        <v>93.19715314111733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0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18.75662023702222</v>
      </c>
      <c r="D22" s="29" t="n">
        <v>34.70862705669982</v>
      </c>
      <c r="E22" s="29" t="n">
        <v>0.8406080522258146</v>
      </c>
      <c r="F22" s="29" t="n">
        <v>0.3992704152993425</v>
      </c>
      <c r="G22" s="29" t="n">
        <v>90.91828805987947</v>
      </c>
      <c r="H22" s="29" t="n">
        <v>7.074214882587226</v>
      </c>
      <c r="I22" s="29" t="n">
        <v>1.954416480364753</v>
      </c>
      <c r="J22" s="29" t="n">
        <v>44.26440124707623</v>
      </c>
      <c r="K22" s="29" t="n">
        <v>308.9643270814603</v>
      </c>
      <c r="L22" s="29" t="n">
        <v>1108.762799131876</v>
      </c>
      <c r="M22" s="29" t="n">
        <v>253.6310386384726</v>
      </c>
      <c r="N22" s="29" t="n">
        <v>-1.576784270469882</v>
      </c>
      <c r="O22" s="29" t="n">
        <v>-4.690435454061775</v>
      </c>
      <c r="P22" s="29" t="n">
        <v>-6.473527384103099</v>
      </c>
      <c r="Q22" s="29" t="n">
        <v>-8.075101716195697</v>
      </c>
      <c r="R22" s="29" t="n">
        <v>-0.9490897149948998</v>
      </c>
      <c r="S22" s="29" t="n">
        <v>-13.90316578739649</v>
      </c>
      <c r="T22" s="29" t="n">
        <v>-0.5978169799189094</v>
      </c>
      <c r="U22" s="29" t="n">
        <v>2624.520240341526</v>
      </c>
      <c r="V22" s="29" t="n">
        <v>203.2575935902741</v>
      </c>
      <c r="W22" s="29" t="n">
        <v>40.57315445108571</v>
      </c>
      <c r="X22" s="29" t="n">
        <v>135.3644555084153</v>
      </c>
      <c r="Y22" s="29" t="n">
        <v>173.6363805734817</v>
      </c>
      <c r="Z22" s="29" t="n">
        <v>98.97936392580679</v>
      </c>
      <c r="AA22" s="29" t="n">
        <v>-12.5805668698243</v>
      </c>
      <c r="AB22" s="29" t="n">
        <v>-10.10111098513744</v>
      </c>
      <c r="AC22" s="29" t="n">
        <v>-12.34274498712741</v>
      </c>
      <c r="AD22" s="29" t="n">
        <v>-3.47448578493004</v>
      </c>
      <c r="AE22" s="29" t="n">
        <v>-5.844010367648416</v>
      </c>
      <c r="AF22" s="29" t="n">
        <v>-6.899247563659416</v>
      </c>
      <c r="AG22" s="29" t="n">
        <v>-7.458239968538146</v>
      </c>
      <c r="AH22" s="29" t="n">
        <v>38.59054801240409</v>
      </c>
      <c r="AI22" s="29" t="n">
        <v>5.824844008494967</v>
      </c>
      <c r="AJ22" s="29" t="n">
        <v>-0.07751122036480754</v>
      </c>
      <c r="AK22" s="29" t="n">
        <v>1.947530298106356</v>
      </c>
      <c r="AL22" s="29" t="n">
        <v>-5.560769015279941</v>
      </c>
      <c r="AM22" s="29" t="n">
        <v>29.8486979243255</v>
      </c>
      <c r="AN22" s="29" t="n">
        <v>0.8434228923346734</v>
      </c>
      <c r="AO22" s="29" t="n">
        <v>0.6280028034695021</v>
      </c>
      <c r="AP22" s="29" t="n">
        <v>68.32634680202682</v>
      </c>
      <c r="AQ22" s="29" t="n">
        <v>23.1412818499282</v>
      </c>
      <c r="AR22" s="29" t="n">
        <v>-0.5806963317394623</v>
      </c>
      <c r="AS22" s="29" t="n">
        <v>99.75467080106972</v>
      </c>
      <c r="AT22" s="29" t="n">
        <v>0.527202518075628</v>
      </c>
      <c r="AU22" s="29" t="n">
        <v>1.116873328960037</v>
      </c>
      <c r="AV22" s="29" t="n">
        <v>7.660395478022515</v>
      </c>
      <c r="AW22" s="29" t="n">
        <v>0.6681668576064211</v>
      </c>
      <c r="AX22" s="29" t="n">
        <v>220.4773996680589</v>
      </c>
      <c r="AY22" s="29" t="n">
        <v>-4.252786729346432</v>
      </c>
      <c r="AZ22" s="29" t="n">
        <v>-4.815124518093436</v>
      </c>
      <c r="BA22" s="29" t="n">
        <v>-28.76686430027079</v>
      </c>
      <c r="BB22" s="29" t="n">
        <v>-1.772728191665003</v>
      </c>
      <c r="BC22" s="29" t="n">
        <v>7.014723678266722</v>
      </c>
      <c r="BD22" s="29" t="n">
        <v>0.03572660117142433</v>
      </c>
      <c r="BE22" s="29" t="n">
        <v>3.173632697774172</v>
      </c>
      <c r="BF22" s="29" t="n">
        <v>12.72862521738002</v>
      </c>
      <c r="BG22" s="29" t="n">
        <v>2.134441330796066</v>
      </c>
      <c r="BH22" s="29" t="n">
        <v>5.736229026872327</v>
      </c>
      <c r="BI22" s="29" t="n">
        <v>7.066399049095846</v>
      </c>
      <c r="BJ22" s="29" t="n">
        <v>9.522764056987452</v>
      </c>
      <c r="BK22" s="29" t="n">
        <v>91.82423197445966</v>
      </c>
      <c r="BL22" s="29" t="n">
        <v>31.67419690946879</v>
      </c>
      <c r="BM22" s="29" t="n">
        <v>1.755579607645404</v>
      </c>
      <c r="BN22" s="29" t="n">
        <v>12.65376965619572</v>
      </c>
      <c r="BO22" s="29" t="n">
        <v>14.00315691807706</v>
      </c>
      <c r="BP22" s="29" t="n">
        <v>-0.1119865116182813</v>
      </c>
      <c r="BQ22" s="29" t="n">
        <v>18.38841694165974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0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463.7103645618458</v>
      </c>
      <c r="D23" s="31" t="n">
        <v>3714.517771700995</v>
      </c>
      <c r="E23" s="31" t="n">
        <v>283.5249857202506</v>
      </c>
      <c r="F23" s="31" t="n">
        <v>67.70868490910023</v>
      </c>
      <c r="G23" s="31" t="n">
        <v>53.08078270368143</v>
      </c>
      <c r="H23" s="31" t="n">
        <v>6.86903514969466</v>
      </c>
      <c r="I23" s="31" t="n">
        <v>2.807952089224852</v>
      </c>
      <c r="J23" s="31" t="n">
        <v>6469.044827663017</v>
      </c>
      <c r="K23" s="31" t="n">
        <v>-17.09465926372274</v>
      </c>
      <c r="L23" s="31" t="n">
        <v>9008.521302531359</v>
      </c>
      <c r="M23" s="31" t="n">
        <v>1106.252239483183</v>
      </c>
      <c r="N23" s="31" t="n">
        <v>-14.71268158017628</v>
      </c>
      <c r="O23" s="31" t="n">
        <v>-27.24490200491227</v>
      </c>
      <c r="P23" s="31" t="n">
        <v>-58.70273320085553</v>
      </c>
      <c r="Q23" s="31" t="n">
        <v>-57.84082126020215</v>
      </c>
      <c r="R23" s="31" t="n">
        <v>-8.040478838160059</v>
      </c>
      <c r="S23" s="31" t="n">
        <v>110.4909035906584</v>
      </c>
      <c r="T23" s="31" t="n">
        <v>1.86811582449178</v>
      </c>
      <c r="U23" s="31" t="n">
        <v>548.751700644077</v>
      </c>
      <c r="V23" s="31" t="n">
        <v>394.3431184434081</v>
      </c>
      <c r="W23" s="31" t="n">
        <v>254.9255901476751</v>
      </c>
      <c r="X23" s="31" t="n">
        <v>322.8774294670026</v>
      </c>
      <c r="Y23" s="31" t="n">
        <v>285.5717132182263</v>
      </c>
      <c r="Z23" s="31" t="n">
        <v>-14.87457647067493</v>
      </c>
      <c r="AA23" s="31" t="n">
        <v>-62.20167579866924</v>
      </c>
      <c r="AB23" s="31" t="n">
        <v>-76.47649417271604</v>
      </c>
      <c r="AC23" s="31" t="n">
        <v>-98.09942444790487</v>
      </c>
      <c r="AD23" s="31" t="n">
        <v>-28.07408813439704</v>
      </c>
      <c r="AE23" s="31" t="n">
        <v>-93.86262971386681</v>
      </c>
      <c r="AF23" s="31" t="n">
        <v>-66.46726400722343</v>
      </c>
      <c r="AG23" s="31" t="n">
        <v>-84.77583313931608</v>
      </c>
      <c r="AH23" s="31" t="n">
        <v>-177.3987548091426</v>
      </c>
      <c r="AI23" s="31" t="n">
        <v>-2.119770140694201</v>
      </c>
      <c r="AJ23" s="31" t="n">
        <v>-0.8396604324377563</v>
      </c>
      <c r="AK23" s="31" t="n">
        <v>-13.55252605641191</v>
      </c>
      <c r="AL23" s="31" t="n">
        <v>-38.91393817190022</v>
      </c>
      <c r="AM23" s="31" t="n">
        <v>12.43137811910849</v>
      </c>
      <c r="AN23" s="31" t="n">
        <v>1.405637824199633</v>
      </c>
      <c r="AO23" s="31" t="n">
        <v>8.554851551946685</v>
      </c>
      <c r="AP23" s="31" t="n">
        <v>38.64321038726516</v>
      </c>
      <c r="AQ23" s="31" t="n">
        <v>45.37310222124025</v>
      </c>
      <c r="AR23" s="31" t="n">
        <v>871.2089693746698</v>
      </c>
      <c r="AS23" s="31" t="n">
        <v>26.73177992053701</v>
      </c>
      <c r="AT23" s="31" t="n">
        <v>0.1232070606333886</v>
      </c>
      <c r="AU23" s="31" t="n">
        <v>16.70797195891045</v>
      </c>
      <c r="AV23" s="31" t="n">
        <v>9.649852540518342</v>
      </c>
      <c r="AW23" s="31" t="n">
        <v>136.8427550071087</v>
      </c>
      <c r="AX23" s="31" t="n">
        <v>5382.598193051116</v>
      </c>
      <c r="AY23" s="31" t="n">
        <v>-39.96805017557917</v>
      </c>
      <c r="AZ23" s="31" t="n">
        <v>-45.98641061378965</v>
      </c>
      <c r="BA23" s="31" t="n">
        <v>-277.4033038324273</v>
      </c>
      <c r="BB23" s="31" t="n">
        <v>-27.48548664342514</v>
      </c>
      <c r="BC23" s="31" t="n">
        <v>91.09303244037842</v>
      </c>
      <c r="BD23" s="31" t="n">
        <v>8.288946302769215</v>
      </c>
      <c r="BE23" s="31" t="n">
        <v>-19.02093078502793</v>
      </c>
      <c r="BF23" s="31" t="n">
        <v>3.820153301512507</v>
      </c>
      <c r="BG23" s="31" t="n">
        <v>-0.5889150727193226</v>
      </c>
      <c r="BH23" s="31" t="n">
        <v>1.640943187958778</v>
      </c>
      <c r="BI23" s="31" t="n">
        <v>-16.94944607241538</v>
      </c>
      <c r="BJ23" s="31" t="n">
        <v>-1.335913183749158</v>
      </c>
      <c r="BK23" s="31" t="n">
        <v>644.9705498009207</v>
      </c>
      <c r="BL23" s="31" t="n">
        <v>746.8184468458527</v>
      </c>
      <c r="BM23" s="31" t="n">
        <v>81.15212495815362</v>
      </c>
      <c r="BN23" s="31" t="n">
        <v>659.0690153157836</v>
      </c>
      <c r="BO23" s="31" t="n">
        <v>326.5842024692959</v>
      </c>
      <c r="BP23" s="31" t="n">
        <v>10.46961364989413</v>
      </c>
      <c r="BQ23" s="31" t="n">
        <v>269.5046637236134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0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0.4400261036797875</v>
      </c>
      <c r="D24" s="29" t="n">
        <v>0.9819780817285499</v>
      </c>
      <c r="E24" s="29" t="n">
        <v>0.06861928525803448</v>
      </c>
      <c r="F24" s="29" t="n">
        <v>0.2067967731517666</v>
      </c>
      <c r="G24" s="29" t="n">
        <v>4.323151570541649</v>
      </c>
      <c r="H24" s="29" t="n">
        <v>2.417809228186047</v>
      </c>
      <c r="I24" s="29" t="n">
        <v>0.1110601459087545</v>
      </c>
      <c r="J24" s="29" t="n">
        <v>90.13182513132266</v>
      </c>
      <c r="K24" s="29" t="n">
        <v>-7.163455081386453</v>
      </c>
      <c r="L24" s="29" t="n">
        <v>-55.18159351234274</v>
      </c>
      <c r="M24" s="29" t="n">
        <v>5359.33905865216</v>
      </c>
      <c r="N24" s="29" t="n">
        <v>-4.478053244913323</v>
      </c>
      <c r="O24" s="29" t="n">
        <v>-14.38434408084823</v>
      </c>
      <c r="P24" s="29" t="n">
        <v>-18.57650285897059</v>
      </c>
      <c r="Q24" s="29" t="n">
        <v>-23.62399830781781</v>
      </c>
      <c r="R24" s="29" t="n">
        <v>-5.900022296922613</v>
      </c>
      <c r="S24" s="29" t="n">
        <v>-43.75893015788427</v>
      </c>
      <c r="T24" s="29" t="n">
        <v>-1.585608189394136</v>
      </c>
      <c r="U24" s="29" t="n">
        <v>5.947548160902291</v>
      </c>
      <c r="V24" s="29" t="n">
        <v>-10.67891233157623</v>
      </c>
      <c r="W24" s="29" t="n">
        <v>-18.40692097753294</v>
      </c>
      <c r="X24" s="29" t="n">
        <v>-26.49829851467824</v>
      </c>
      <c r="Y24" s="29" t="n">
        <v>0.3352318162595868</v>
      </c>
      <c r="Z24" s="29" t="n">
        <v>-32.78930251360985</v>
      </c>
      <c r="AA24" s="29" t="n">
        <v>-37.98235351451228</v>
      </c>
      <c r="AB24" s="29" t="n">
        <v>-28.43890366390889</v>
      </c>
      <c r="AC24" s="29" t="n">
        <v>-33.62305375399836</v>
      </c>
      <c r="AD24" s="29" t="n">
        <v>-10.19183032909887</v>
      </c>
      <c r="AE24" s="29" t="n">
        <v>-26.20681801314834</v>
      </c>
      <c r="AF24" s="29" t="n">
        <v>-19.39744463109842</v>
      </c>
      <c r="AG24" s="29" t="n">
        <v>-24.70050408577602</v>
      </c>
      <c r="AH24" s="29" t="n">
        <v>-27.417340081763</v>
      </c>
      <c r="AI24" s="29" t="n">
        <v>2.857550445497701</v>
      </c>
      <c r="AJ24" s="29" t="n">
        <v>0.8129612040328463</v>
      </c>
      <c r="AK24" s="29" t="n">
        <v>-0.6787757338223503</v>
      </c>
      <c r="AL24" s="29" t="n">
        <v>-15.72166306239354</v>
      </c>
      <c r="AM24" s="29" t="n">
        <v>15.91716624406847</v>
      </c>
      <c r="AN24" s="29" t="n">
        <v>2.437547434118335</v>
      </c>
      <c r="AO24" s="29" t="n">
        <v>0.4162968964701095</v>
      </c>
      <c r="AP24" s="29" t="n">
        <v>29.03954317053355</v>
      </c>
      <c r="AQ24" s="29" t="n">
        <v>1.433622855188637</v>
      </c>
      <c r="AR24" s="29" t="n">
        <v>-132.5913714944335</v>
      </c>
      <c r="AS24" s="29" t="n">
        <v>4.113411019036242</v>
      </c>
      <c r="AT24" s="29" t="n">
        <v>0.2431552093224694</v>
      </c>
      <c r="AU24" s="29" t="n">
        <v>5.590053790607947</v>
      </c>
      <c r="AV24" s="29" t="n">
        <v>0.5331250463009254</v>
      </c>
      <c r="AW24" s="29" t="n">
        <v>342.288150686096</v>
      </c>
      <c r="AX24" s="29" t="n">
        <v>17122.63021904965</v>
      </c>
      <c r="AY24" s="29" t="n">
        <v>-12.11988135139661</v>
      </c>
      <c r="AZ24" s="29" t="n">
        <v>-13.97332433348867</v>
      </c>
      <c r="BA24" s="29" t="n">
        <v>-86.42312562020217</v>
      </c>
      <c r="BB24" s="29" t="n">
        <v>-8.4134325955494</v>
      </c>
      <c r="BC24" s="29" t="n">
        <v>81.82131415784045</v>
      </c>
      <c r="BD24" s="29" t="n">
        <v>0.3987487867952125</v>
      </c>
      <c r="BE24" s="29" t="n">
        <v>-9.56343981843402</v>
      </c>
      <c r="BF24" s="29" t="n">
        <v>-0.9096302790114549</v>
      </c>
      <c r="BG24" s="29" t="n">
        <v>-4.254323849125203</v>
      </c>
      <c r="BH24" s="29" t="n">
        <v>0.0755004870580071</v>
      </c>
      <c r="BI24" s="29" t="n">
        <v>-4.632329455684288</v>
      </c>
      <c r="BJ24" s="29" t="n">
        <v>-0.9344145990511402</v>
      </c>
      <c r="BK24" s="29" t="n">
        <v>46.41367037377702</v>
      </c>
      <c r="BL24" s="29" t="n">
        <v>50.32601822931166</v>
      </c>
      <c r="BM24" s="29" t="n">
        <v>5.235211533903967</v>
      </c>
      <c r="BN24" s="29" t="n">
        <v>25.31637361635335</v>
      </c>
      <c r="BO24" s="29" t="n">
        <v>107.0393637674665</v>
      </c>
      <c r="BP24" s="29" t="n">
        <v>15.96067558298092</v>
      </c>
      <c r="BQ24" s="29" t="n">
        <v>8.109908281003857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0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0.04155488503545562</v>
      </c>
      <c r="D25" s="31" t="n">
        <v>0.01584434055883567</v>
      </c>
      <c r="E25" s="31" t="n">
        <v>0.002654540867979166</v>
      </c>
      <c r="F25" s="31" t="n">
        <v>-0.03439471025350951</v>
      </c>
      <c r="G25" s="31" t="n">
        <v>0.2124985263053223</v>
      </c>
      <c r="H25" s="31" t="n">
        <v>0.1707559878519478</v>
      </c>
      <c r="I25" s="31" t="n">
        <v>0.01556630531614851</v>
      </c>
      <c r="J25" s="31" t="n">
        <v>-7.902217060233575</v>
      </c>
      <c r="K25" s="31" t="n">
        <v>-0.3697658970897376</v>
      </c>
      <c r="L25" s="31" t="n">
        <v>-4.884671315090137</v>
      </c>
      <c r="M25" s="31" t="n">
        <v>-0.2143898868518374</v>
      </c>
      <c r="N25" s="31" t="n">
        <v>591.2909299280899</v>
      </c>
      <c r="O25" s="31" t="n">
        <v>-0.6746266657352903</v>
      </c>
      <c r="P25" s="31" t="n">
        <v>-0.9099882393239301</v>
      </c>
      <c r="Q25" s="31" t="n">
        <v>-1.13424600514603</v>
      </c>
      <c r="R25" s="31" t="n">
        <v>-0.2545507716019933</v>
      </c>
      <c r="S25" s="31" t="n">
        <v>-1.488710729475203</v>
      </c>
      <c r="T25" s="31" t="n">
        <v>0.0318303133974682</v>
      </c>
      <c r="U25" s="31" t="n">
        <v>-0.6286926258744987</v>
      </c>
      <c r="V25" s="31" t="n">
        <v>-0.5578856229515893</v>
      </c>
      <c r="W25" s="31" t="n">
        <v>-0.9675603209358863</v>
      </c>
      <c r="X25" s="31" t="n">
        <v>-1.439717773436241</v>
      </c>
      <c r="Y25" s="31" t="n">
        <v>0.03773383281298422</v>
      </c>
      <c r="Z25" s="31" t="n">
        <v>-1.633389241847916</v>
      </c>
      <c r="AA25" s="31" t="n">
        <v>-1.758896463282052</v>
      </c>
      <c r="AB25" s="31" t="n">
        <v>-1.272357960553825</v>
      </c>
      <c r="AC25" s="31" t="n">
        <v>-1.797525836628318</v>
      </c>
      <c r="AD25" s="31" t="n">
        <v>-0.5211744405513752</v>
      </c>
      <c r="AE25" s="31" t="n">
        <v>-1.53584867244247</v>
      </c>
      <c r="AF25" s="31" t="n">
        <v>-0.9265618689452697</v>
      </c>
      <c r="AG25" s="31" t="n">
        <v>-1.283683101153138</v>
      </c>
      <c r="AH25" s="31" t="n">
        <v>-1.034257112547738</v>
      </c>
      <c r="AI25" s="31" t="n">
        <v>0.08789693471380348</v>
      </c>
      <c r="AJ25" s="31" t="n">
        <v>0.02445452458490659</v>
      </c>
      <c r="AK25" s="31" t="n">
        <v>-0.115832489998614</v>
      </c>
      <c r="AL25" s="31" t="n">
        <v>-0.7674117183612869</v>
      </c>
      <c r="AM25" s="31" t="n">
        <v>0.9559501759098257</v>
      </c>
      <c r="AN25" s="31" t="n">
        <v>0.01168274734802136</v>
      </c>
      <c r="AO25" s="31" t="n">
        <v>0.002512113766567918</v>
      </c>
      <c r="AP25" s="31" t="n">
        <v>0.551517496117764</v>
      </c>
      <c r="AQ25" s="31" t="n">
        <v>0.1014285530689848</v>
      </c>
      <c r="AR25" s="31" t="n">
        <v>-6.705418348430337</v>
      </c>
      <c r="AS25" s="31" t="n">
        <v>0.02041520928617345</v>
      </c>
      <c r="AT25" s="31" t="n">
        <v>0.0217115985485593</v>
      </c>
      <c r="AU25" s="31" t="n">
        <v>0.002041827293356272</v>
      </c>
      <c r="AV25" s="31" t="n">
        <v>0.05514723964684317</v>
      </c>
      <c r="AW25" s="31" t="n">
        <v>0.02008305605461535</v>
      </c>
      <c r="AX25" s="31" t="n">
        <v>0.113346036518155</v>
      </c>
      <c r="AY25" s="31" t="n">
        <v>-0.5040550883603639</v>
      </c>
      <c r="AZ25" s="31" t="n">
        <v>-0.6957147927437533</v>
      </c>
      <c r="BA25" s="31" t="n">
        <v>-4.358702728851372</v>
      </c>
      <c r="BB25" s="31" t="n">
        <v>-0.391929480037893</v>
      </c>
      <c r="BC25" s="31" t="n">
        <v>0.1222637685070409</v>
      </c>
      <c r="BD25" s="31" t="n">
        <v>0.02636828642131969</v>
      </c>
      <c r="BE25" s="31" t="n">
        <v>-0.3800712966049767</v>
      </c>
      <c r="BF25" s="31" t="n">
        <v>-0.01065269360640643</v>
      </c>
      <c r="BG25" s="31" t="n">
        <v>-0.1738256880079821</v>
      </c>
      <c r="BH25" s="31" t="n">
        <v>0.04177993125653297</v>
      </c>
      <c r="BI25" s="31" t="n">
        <v>-0.06386152469158964</v>
      </c>
      <c r="BJ25" s="31" t="n">
        <v>-0.05040513748687375</v>
      </c>
      <c r="BK25" s="31" t="n">
        <v>0.07299230190894164</v>
      </c>
      <c r="BL25" s="31" t="n">
        <v>0.0757541962730587</v>
      </c>
      <c r="BM25" s="31" t="n">
        <v>0.02910018444305545</v>
      </c>
      <c r="BN25" s="31" t="n">
        <v>0.02431399566885486</v>
      </c>
      <c r="BO25" s="31" t="n">
        <v>0.07589797387560386</v>
      </c>
      <c r="BP25" s="31" t="n">
        <v>-0.01838270867045356</v>
      </c>
      <c r="BQ25" s="31" t="n">
        <v>0.03544746915035444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0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399.9162660485343</v>
      </c>
      <c r="D26" s="29" t="n">
        <v>8.263114522771186</v>
      </c>
      <c r="E26" s="29" t="n">
        <v>1.203707365465189</v>
      </c>
      <c r="F26" s="29" t="n">
        <v>127.2769693850743</v>
      </c>
      <c r="G26" s="29" t="n">
        <v>94.72235997807101</v>
      </c>
      <c r="H26" s="29" t="n">
        <v>2.35076656277691</v>
      </c>
      <c r="I26" s="29" t="n">
        <v>5.607943261891473</v>
      </c>
      <c r="J26" s="29" t="n">
        <v>-17.14012601554987</v>
      </c>
      <c r="K26" s="29" t="n">
        <v>67.59210557910104</v>
      </c>
      <c r="L26" s="29" t="n">
        <v>159.6714227013945</v>
      </c>
      <c r="M26" s="29" t="n">
        <v>6.567293687242972</v>
      </c>
      <c r="N26" s="29" t="n">
        <v>-0.443530308062956</v>
      </c>
      <c r="O26" s="29" t="n">
        <v>5676.084874509016</v>
      </c>
      <c r="P26" s="29" t="n">
        <v>9047.971183278509</v>
      </c>
      <c r="Q26" s="29" t="n">
        <v>2123.377451132176</v>
      </c>
      <c r="R26" s="29" t="n">
        <v>7.022714210005548</v>
      </c>
      <c r="S26" s="29" t="n">
        <v>96.45606048479488</v>
      </c>
      <c r="T26" s="29" t="n">
        <v>2.561853727237196</v>
      </c>
      <c r="U26" s="29" t="n">
        <v>-0.967214459462919</v>
      </c>
      <c r="V26" s="29" t="n">
        <v>-1.213255426615239</v>
      </c>
      <c r="W26" s="29" t="n">
        <v>17.92961704724755</v>
      </c>
      <c r="X26" s="29" t="n">
        <v>41.98741776956312</v>
      </c>
      <c r="Y26" s="29" t="n">
        <v>14.89528449701961</v>
      </c>
      <c r="Z26" s="29" t="n">
        <v>47.42939502743292</v>
      </c>
      <c r="AA26" s="29" t="n">
        <v>519.6921079118665</v>
      </c>
      <c r="AB26" s="29" t="n">
        <v>29.05416397801121</v>
      </c>
      <c r="AC26" s="29" t="n">
        <v>-3.073230655035585</v>
      </c>
      <c r="AD26" s="29" t="n">
        <v>0.7253786751312729</v>
      </c>
      <c r="AE26" s="29" t="n">
        <v>33.63162296434846</v>
      </c>
      <c r="AF26" s="29" t="n">
        <v>1.738002901653704</v>
      </c>
      <c r="AG26" s="29" t="n">
        <v>36.97380860067837</v>
      </c>
      <c r="AH26" s="29" t="n">
        <v>18.11450014741079</v>
      </c>
      <c r="AI26" s="29" t="n">
        <v>33.40699778336427</v>
      </c>
      <c r="AJ26" s="29" t="n">
        <v>748.1410991387647</v>
      </c>
      <c r="AK26" s="29" t="n">
        <v>77.39024306088992</v>
      </c>
      <c r="AL26" s="29" t="n">
        <v>939.3157238991789</v>
      </c>
      <c r="AM26" s="29" t="n">
        <v>11.44364471939842</v>
      </c>
      <c r="AN26" s="29" t="n">
        <v>24.78551145612039</v>
      </c>
      <c r="AO26" s="29" t="n">
        <v>8.391365811207214</v>
      </c>
      <c r="AP26" s="29" t="n">
        <v>547.7255067076809</v>
      </c>
      <c r="AQ26" s="29" t="n">
        <v>11.42226833416154</v>
      </c>
      <c r="AR26" s="29" t="n">
        <v>86.25604123037762</v>
      </c>
      <c r="AS26" s="29" t="n">
        <v>39.38578997860816</v>
      </c>
      <c r="AT26" s="29" t="n">
        <v>9.85719081315494</v>
      </c>
      <c r="AU26" s="29" t="n">
        <v>1.632355082086419</v>
      </c>
      <c r="AV26" s="29" t="n">
        <v>1.978839241846407</v>
      </c>
      <c r="AW26" s="29" t="n">
        <v>228.7036885811892</v>
      </c>
      <c r="AX26" s="29" t="n">
        <v>141.6711206369667</v>
      </c>
      <c r="AY26" s="29" t="n">
        <v>-1.166797595366146</v>
      </c>
      <c r="AZ26" s="29" t="n">
        <v>1.958710015006011</v>
      </c>
      <c r="BA26" s="29" t="n">
        <v>-12.24867700962574</v>
      </c>
      <c r="BB26" s="29" t="n">
        <v>-0.5353532956519518</v>
      </c>
      <c r="BC26" s="29" t="n">
        <v>6.604756459159415</v>
      </c>
      <c r="BD26" s="29" t="n">
        <v>1.980190361760788</v>
      </c>
      <c r="BE26" s="29" t="n">
        <v>1.348942189783952</v>
      </c>
      <c r="BF26" s="29" t="n">
        <v>5.22236712885636</v>
      </c>
      <c r="BG26" s="29" t="n">
        <v>2.162466191895998</v>
      </c>
      <c r="BH26" s="29" t="n">
        <v>3.021879691896283</v>
      </c>
      <c r="BI26" s="29" t="n">
        <v>10.35314055799853</v>
      </c>
      <c r="BJ26" s="29" t="n">
        <v>1.246399403226546</v>
      </c>
      <c r="BK26" s="29" t="n">
        <v>34.09872079704245</v>
      </c>
      <c r="BL26" s="29" t="n">
        <v>44.1310086517699</v>
      </c>
      <c r="BM26" s="29" t="n">
        <v>0.3651920261726084</v>
      </c>
      <c r="BN26" s="29" t="n">
        <v>29.03786313200403</v>
      </c>
      <c r="BO26" s="29" t="n">
        <v>70.86168471774279</v>
      </c>
      <c r="BP26" s="29" t="n">
        <v>1.931106224401804</v>
      </c>
      <c r="BQ26" s="29" t="n">
        <v>591.6484925792615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0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4.380138052108821</v>
      </c>
      <c r="D27" s="31" t="n">
        <v>1.173288327664435</v>
      </c>
      <c r="E27" s="31" t="n">
        <v>8.524170953524131</v>
      </c>
      <c r="F27" s="31" t="n">
        <v>3.757313313658493</v>
      </c>
      <c r="G27" s="31" t="n">
        <v>90.2853148750664</v>
      </c>
      <c r="H27" s="31" t="n">
        <v>-0.08321080132092495</v>
      </c>
      <c r="I27" s="31" t="n">
        <v>-0.1690775687745832</v>
      </c>
      <c r="J27" s="31" t="n">
        <v>-30.16230811544988</v>
      </c>
      <c r="K27" s="31" t="n">
        <v>-1.060253852402453</v>
      </c>
      <c r="L27" s="31" t="n">
        <v>-15.70020930702184</v>
      </c>
      <c r="M27" s="31" t="n">
        <v>-0.8606813454262567</v>
      </c>
      <c r="N27" s="31" t="n">
        <v>-0.9801765452796284</v>
      </c>
      <c r="O27" s="31" t="n">
        <v>41.87892132485281</v>
      </c>
      <c r="P27" s="31" t="n">
        <v>2011.446101012218</v>
      </c>
      <c r="Q27" s="31" t="n">
        <v>33.04268607271391</v>
      </c>
      <c r="R27" s="31" t="n">
        <v>-1.381945430802116</v>
      </c>
      <c r="S27" s="31" t="n">
        <v>-8.9503616874365</v>
      </c>
      <c r="T27" s="31" t="n">
        <v>-0.3325664178185314</v>
      </c>
      <c r="U27" s="31" t="n">
        <v>-2.756344607472307</v>
      </c>
      <c r="V27" s="31" t="n">
        <v>-2.424303757530716</v>
      </c>
      <c r="W27" s="31" t="n">
        <v>-3.799419852643287</v>
      </c>
      <c r="X27" s="31" t="n">
        <v>0.2814816712348794</v>
      </c>
      <c r="Y27" s="31" t="n">
        <v>-0.3828764570990471</v>
      </c>
      <c r="Z27" s="31" t="n">
        <v>-6.89765594850358</v>
      </c>
      <c r="AA27" s="31" t="n">
        <v>-5.978346644223677</v>
      </c>
      <c r="AB27" s="31" t="n">
        <v>7.471821532758298</v>
      </c>
      <c r="AC27" s="31" t="n">
        <v>-3.789684457155627</v>
      </c>
      <c r="AD27" s="31" t="n">
        <v>-2.263505596072879</v>
      </c>
      <c r="AE27" s="31" t="n">
        <v>45.72325139891453</v>
      </c>
      <c r="AF27" s="31" t="n">
        <v>-4.251690978021274</v>
      </c>
      <c r="AG27" s="31" t="n">
        <v>-4.682631364430292</v>
      </c>
      <c r="AH27" s="31" t="n">
        <v>-7.941206099760494</v>
      </c>
      <c r="AI27" s="31" t="n">
        <v>1.111947816246138</v>
      </c>
      <c r="AJ27" s="31" t="n">
        <v>10.09762537608264</v>
      </c>
      <c r="AK27" s="31" t="n">
        <v>-0.2743121209648705</v>
      </c>
      <c r="AL27" s="31" t="n">
        <v>10.6351131203918</v>
      </c>
      <c r="AM27" s="31" t="n">
        <v>1.663443908463434</v>
      </c>
      <c r="AN27" s="31" t="n">
        <v>118.8592872997498</v>
      </c>
      <c r="AO27" s="31" t="n">
        <v>94.98065374314675</v>
      </c>
      <c r="AP27" s="31" t="n">
        <v>47.24007693080537</v>
      </c>
      <c r="AQ27" s="31" t="n">
        <v>0.7653654271568003</v>
      </c>
      <c r="AR27" s="31" t="n">
        <v>314.8312569640781</v>
      </c>
      <c r="AS27" s="31" t="n">
        <v>176.7303197498879</v>
      </c>
      <c r="AT27" s="31" t="n">
        <v>7.232261520629913</v>
      </c>
      <c r="AU27" s="31" t="n">
        <v>180.0694359911205</v>
      </c>
      <c r="AV27" s="31" t="n">
        <v>89.84571709213765</v>
      </c>
      <c r="AW27" s="31" t="n">
        <v>91.02410825211058</v>
      </c>
      <c r="AX27" s="31" t="n">
        <v>180.3466125615075</v>
      </c>
      <c r="AY27" s="31" t="n">
        <v>-2.637580407536601</v>
      </c>
      <c r="AZ27" s="31" t="n">
        <v>119.2327732197095</v>
      </c>
      <c r="BA27" s="31" t="n">
        <v>26.292513707563</v>
      </c>
      <c r="BB27" s="31" t="n">
        <v>-1.440880938906764</v>
      </c>
      <c r="BC27" s="31" t="n">
        <v>694.6755759101135</v>
      </c>
      <c r="BD27" s="31" t="n">
        <v>37.86149899252315</v>
      </c>
      <c r="BE27" s="31" t="n">
        <v>6.307030844752057</v>
      </c>
      <c r="BF27" s="31" t="n">
        <v>168.6535828069627</v>
      </c>
      <c r="BG27" s="31" t="n">
        <v>30.84289643193815</v>
      </c>
      <c r="BH27" s="31" t="n">
        <v>2.434239346007602</v>
      </c>
      <c r="BI27" s="31" t="n">
        <v>135.4052900666175</v>
      </c>
      <c r="BJ27" s="31" t="n">
        <v>194.1945267423633</v>
      </c>
      <c r="BK27" s="31" t="n">
        <v>437.8351868266892</v>
      </c>
      <c r="BL27" s="31" t="n">
        <v>584.867448518712</v>
      </c>
      <c r="BM27" s="31" t="n">
        <v>0.1140817216524303</v>
      </c>
      <c r="BN27" s="31" t="n">
        <v>44.91980038499504</v>
      </c>
      <c r="BO27" s="31" t="n">
        <v>86.17940810075658</v>
      </c>
      <c r="BP27" s="31" t="n">
        <v>123.1842726311312</v>
      </c>
      <c r="BQ27" s="31" t="n">
        <v>901.8388002849732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0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1.936040399914902</v>
      </c>
      <c r="D28" s="29" t="n">
        <v>1.923893306895383</v>
      </c>
      <c r="E28" s="29" t="n">
        <v>0.06852367422848821</v>
      </c>
      <c r="F28" s="29" t="n">
        <v>3.56921693120778</v>
      </c>
      <c r="G28" s="29" t="n">
        <v>5.388744120264</v>
      </c>
      <c r="H28" s="29" t="n">
        <v>0.6683690538980747</v>
      </c>
      <c r="I28" s="29" t="n">
        <v>0.1194742351106166</v>
      </c>
      <c r="J28" s="29" t="n">
        <v>-36.31499539159528</v>
      </c>
      <c r="K28" s="29" t="n">
        <v>-1.725499290621718</v>
      </c>
      <c r="L28" s="29" t="n">
        <v>-15.91142331673123</v>
      </c>
      <c r="M28" s="29" t="n">
        <v>0.5582708935082762</v>
      </c>
      <c r="N28" s="29" t="n">
        <v>-1.21498082082137</v>
      </c>
      <c r="O28" s="29" t="n">
        <v>3.752740513169171</v>
      </c>
      <c r="P28" s="29" t="n">
        <v>7.31519036386249</v>
      </c>
      <c r="Q28" s="29" t="n">
        <v>3258.552032259305</v>
      </c>
      <c r="R28" s="29" t="n">
        <v>-0.6002233067307197</v>
      </c>
      <c r="S28" s="29" t="n">
        <v>51.30324849488336</v>
      </c>
      <c r="T28" s="29" t="n">
        <v>1.069175255457579</v>
      </c>
      <c r="U28" s="29" t="n">
        <v>21.67756831750875</v>
      </c>
      <c r="V28" s="29" t="n">
        <v>-1.61869392104366</v>
      </c>
      <c r="W28" s="29" t="n">
        <v>0.04441786776499418</v>
      </c>
      <c r="X28" s="29" t="n">
        <v>1.543014257907964</v>
      </c>
      <c r="Y28" s="29" t="n">
        <v>5.52412082069464</v>
      </c>
      <c r="Z28" s="29" t="n">
        <v>-6.163713191500951</v>
      </c>
      <c r="AA28" s="29" t="n">
        <v>7.273014268875942</v>
      </c>
      <c r="AB28" s="29" t="n">
        <v>-5.223064665324848</v>
      </c>
      <c r="AC28" s="29" t="n">
        <v>-8.450648405062884</v>
      </c>
      <c r="AD28" s="29" t="n">
        <v>-2.583034560977881</v>
      </c>
      <c r="AE28" s="29" t="n">
        <v>14.84389020656296</v>
      </c>
      <c r="AF28" s="29" t="n">
        <v>-4.840579380504766</v>
      </c>
      <c r="AG28" s="29" t="n">
        <v>-4.643036532530398</v>
      </c>
      <c r="AH28" s="29" t="n">
        <v>-12.05675950619768</v>
      </c>
      <c r="AI28" s="29" t="n">
        <v>25.77251418633554</v>
      </c>
      <c r="AJ28" s="29" t="n">
        <v>10.84154946863784</v>
      </c>
      <c r="AK28" s="29" t="n">
        <v>0.5397041098129444</v>
      </c>
      <c r="AL28" s="29" t="n">
        <v>30.1263944136219</v>
      </c>
      <c r="AM28" s="29" t="n">
        <v>2.11257508478156</v>
      </c>
      <c r="AN28" s="29" t="n">
        <v>103.503527929435</v>
      </c>
      <c r="AO28" s="29" t="n">
        <v>0.7875263732125345</v>
      </c>
      <c r="AP28" s="29" t="n">
        <v>33.48431747306523</v>
      </c>
      <c r="AQ28" s="29" t="n">
        <v>7.835792556118894</v>
      </c>
      <c r="AR28" s="29" t="n">
        <v>-28.3395986884264</v>
      </c>
      <c r="AS28" s="29" t="n">
        <v>13.46035270690949</v>
      </c>
      <c r="AT28" s="29" t="n">
        <v>0.1738606350284168</v>
      </c>
      <c r="AU28" s="29" t="n">
        <v>1.603433259362411</v>
      </c>
      <c r="AV28" s="29" t="n">
        <v>0.6402220743200923</v>
      </c>
      <c r="AW28" s="29" t="n">
        <v>1.409940219197942</v>
      </c>
      <c r="AX28" s="29" t="n">
        <v>8.66994216262237</v>
      </c>
      <c r="AY28" s="29" t="n">
        <v>-2.012755411349647</v>
      </c>
      <c r="AZ28" s="29" t="n">
        <v>16.06499480038444</v>
      </c>
      <c r="BA28" s="29" t="n">
        <v>-23.15386096029901</v>
      </c>
      <c r="BB28" s="29" t="n">
        <v>0.136316370813812</v>
      </c>
      <c r="BC28" s="29" t="n">
        <v>3.180287848737792</v>
      </c>
      <c r="BD28" s="29" t="n">
        <v>0.6155846683270474</v>
      </c>
      <c r="BE28" s="29" t="n">
        <v>-1.898074077870664</v>
      </c>
      <c r="BF28" s="29" t="n">
        <v>1.068958832394905</v>
      </c>
      <c r="BG28" s="29" t="n">
        <v>1.681665090641031</v>
      </c>
      <c r="BH28" s="29" t="n">
        <v>1.367567812726993</v>
      </c>
      <c r="BI28" s="29" t="n">
        <v>2.494354503341345</v>
      </c>
      <c r="BJ28" s="29" t="n">
        <v>40.80802753561358</v>
      </c>
      <c r="BK28" s="29" t="n">
        <v>23.34913032579056</v>
      </c>
      <c r="BL28" s="29" t="n">
        <v>5.065159085517527</v>
      </c>
      <c r="BM28" s="29" t="n">
        <v>0.08687814492146087</v>
      </c>
      <c r="BN28" s="29" t="n">
        <v>5.600202200741597</v>
      </c>
      <c r="BO28" s="29" t="n">
        <v>18.56891584049643</v>
      </c>
      <c r="BP28" s="29" t="n">
        <v>0.6722099869696314</v>
      </c>
      <c r="BQ28" s="29" t="n">
        <v>4.137876742453902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0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176.243476093934</v>
      </c>
      <c r="D29" s="31" t="n">
        <v>138.9057231713348</v>
      </c>
      <c r="E29" s="31" t="n">
        <v>8.824596587973126</v>
      </c>
      <c r="F29" s="31" t="n">
        <v>1.746424016167448</v>
      </c>
      <c r="G29" s="31" t="n">
        <v>0.6048884881750165</v>
      </c>
      <c r="H29" s="31" t="n">
        <v>0.2584743591168374</v>
      </c>
      <c r="I29" s="31" t="n">
        <v>0.1218777448814199</v>
      </c>
      <c r="J29" s="31" t="n">
        <v>8.444807719325835</v>
      </c>
      <c r="K29" s="31" t="n">
        <v>-0.2912187299225887</v>
      </c>
      <c r="L29" s="31" t="n">
        <v>115.9052567661341</v>
      </c>
      <c r="M29" s="31" t="n">
        <v>37.35222445501383</v>
      </c>
      <c r="N29" s="31" t="n">
        <v>-0.2386838015769325</v>
      </c>
      <c r="O29" s="31" t="n">
        <v>9.210667364061125</v>
      </c>
      <c r="P29" s="31" t="n">
        <v>-0.5402287707406277</v>
      </c>
      <c r="Q29" s="31" t="n">
        <v>-1.041740365644067</v>
      </c>
      <c r="R29" s="31" t="n">
        <v>1261.89226900491</v>
      </c>
      <c r="S29" s="31" t="n">
        <v>160.4631889318703</v>
      </c>
      <c r="T29" s="31" t="n">
        <v>0.3791467171201262</v>
      </c>
      <c r="U29" s="31" t="n">
        <v>-0.2554777772983072</v>
      </c>
      <c r="V29" s="31" t="n">
        <v>-0.5558269526338157</v>
      </c>
      <c r="W29" s="31" t="n">
        <v>7.058887004711527</v>
      </c>
      <c r="X29" s="31" t="n">
        <v>14.80586380068103</v>
      </c>
      <c r="Y29" s="31" t="n">
        <v>0.9427842202726135</v>
      </c>
      <c r="Z29" s="31" t="n">
        <v>-1.549549985234661</v>
      </c>
      <c r="AA29" s="31" t="n">
        <v>5.214931933291576</v>
      </c>
      <c r="AB29" s="31" t="n">
        <v>14.35300935663576</v>
      </c>
      <c r="AC29" s="31" t="n">
        <v>62.76257596011433</v>
      </c>
      <c r="AD29" s="31" t="n">
        <v>3.018917281656885</v>
      </c>
      <c r="AE29" s="31" t="n">
        <v>85.74935490155201</v>
      </c>
      <c r="AF29" s="31" t="n">
        <v>-0.3028111749622446</v>
      </c>
      <c r="AG29" s="31" t="n">
        <v>1.297357932541084</v>
      </c>
      <c r="AH29" s="31" t="n">
        <v>116.0005855664584</v>
      </c>
      <c r="AI29" s="31" t="n">
        <v>49.53879664265392</v>
      </c>
      <c r="AJ29" s="31" t="n">
        <v>26.60239841338104</v>
      </c>
      <c r="AK29" s="31" t="n">
        <v>124.3994943835462</v>
      </c>
      <c r="AL29" s="31" t="n">
        <v>2162.172495687631</v>
      </c>
      <c r="AM29" s="31" t="n">
        <v>1.901301311677601</v>
      </c>
      <c r="AN29" s="31" t="n">
        <v>195.2177938179913</v>
      </c>
      <c r="AO29" s="31" t="n">
        <v>2.416099404344501</v>
      </c>
      <c r="AP29" s="31" t="n">
        <v>2154.980806462268</v>
      </c>
      <c r="AQ29" s="31" t="n">
        <v>1.096580798307061</v>
      </c>
      <c r="AR29" s="31" t="n">
        <v>835.4689966567142</v>
      </c>
      <c r="AS29" s="31" t="n">
        <v>0.1994804798263613</v>
      </c>
      <c r="AT29" s="31" t="n">
        <v>0.0466765789783332</v>
      </c>
      <c r="AU29" s="31" t="n">
        <v>0.01854493785234987</v>
      </c>
      <c r="AV29" s="31" t="n">
        <v>31.91105208187103</v>
      </c>
      <c r="AW29" s="31" t="n">
        <v>0.1841346926579674</v>
      </c>
      <c r="AX29" s="31" t="n">
        <v>1.195885691085699</v>
      </c>
      <c r="AY29" s="31" t="n">
        <v>-0.6295394815957113</v>
      </c>
      <c r="AZ29" s="31" t="n">
        <v>47.17009943682691</v>
      </c>
      <c r="BA29" s="31" t="n">
        <v>-4.416236203430156</v>
      </c>
      <c r="BB29" s="31" t="n">
        <v>-0.262114752998674</v>
      </c>
      <c r="BC29" s="31" t="n">
        <v>0.6899567385441471</v>
      </c>
      <c r="BD29" s="31" t="n">
        <v>165.1391927588427</v>
      </c>
      <c r="BE29" s="31" t="n">
        <v>0.325661477778589</v>
      </c>
      <c r="BF29" s="31" t="n">
        <v>0.2303555096261129</v>
      </c>
      <c r="BG29" s="31" t="n">
        <v>-0.05009038074180409</v>
      </c>
      <c r="BH29" s="31" t="n">
        <v>0.2816947829342897</v>
      </c>
      <c r="BI29" s="31" t="n">
        <v>39.47228941530972</v>
      </c>
      <c r="BJ29" s="31" t="n">
        <v>-0.008893264163640313</v>
      </c>
      <c r="BK29" s="31" t="n">
        <v>20.58339712322043</v>
      </c>
      <c r="BL29" s="31" t="n">
        <v>9.692498365092296</v>
      </c>
      <c r="BM29" s="31" t="n">
        <v>0.4631625519872267</v>
      </c>
      <c r="BN29" s="31" t="n">
        <v>1.899755852793844</v>
      </c>
      <c r="BO29" s="31" t="n">
        <v>3.750443379315678</v>
      </c>
      <c r="BP29" s="31" t="n">
        <v>0.4717014311280516</v>
      </c>
      <c r="BQ29" s="31" t="n">
        <v>75.76689218152605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0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192.2139658584988</v>
      </c>
      <c r="D30" s="29" t="n">
        <v>64.75899294120306</v>
      </c>
      <c r="E30" s="29" t="n">
        <v>8.041200464138978</v>
      </c>
      <c r="F30" s="29" t="n">
        <v>2.698646696666001</v>
      </c>
      <c r="G30" s="29" t="n">
        <v>32.90076654991923</v>
      </c>
      <c r="H30" s="29" t="n">
        <v>39.65924470978749</v>
      </c>
      <c r="I30" s="29" t="n">
        <v>12.50434066920915</v>
      </c>
      <c r="J30" s="29" t="n">
        <v>1217.301972558682</v>
      </c>
      <c r="K30" s="29" t="n">
        <v>6.747342023339839</v>
      </c>
      <c r="L30" s="29" t="n">
        <v>1360.517815939822</v>
      </c>
      <c r="M30" s="29" t="n">
        <v>103.4250298556197</v>
      </c>
      <c r="N30" s="29" t="n">
        <v>258.5005183810221</v>
      </c>
      <c r="O30" s="29" t="n">
        <v>246.0283569420575</v>
      </c>
      <c r="P30" s="29" t="n">
        <v>134.229802125613</v>
      </c>
      <c r="Q30" s="29" t="n">
        <v>265.4584938497377</v>
      </c>
      <c r="R30" s="29" t="n">
        <v>293.3600252318811</v>
      </c>
      <c r="S30" s="29" t="n">
        <v>3710.312711750058</v>
      </c>
      <c r="T30" s="29" t="n">
        <v>515.8187851371903</v>
      </c>
      <c r="U30" s="29" t="n">
        <v>54.88990786011212</v>
      </c>
      <c r="V30" s="29" t="n">
        <v>19.0327009872674</v>
      </c>
      <c r="W30" s="29" t="n">
        <v>33.63657030967885</v>
      </c>
      <c r="X30" s="29" t="n">
        <v>75.42974519393047</v>
      </c>
      <c r="Y30" s="29" t="n">
        <v>612.0784539043012</v>
      </c>
      <c r="Z30" s="29" t="n">
        <v>362.3516326174576</v>
      </c>
      <c r="AA30" s="29" t="n">
        <v>818.7049916195999</v>
      </c>
      <c r="AB30" s="29" t="n">
        <v>770.3427168413865</v>
      </c>
      <c r="AC30" s="29" t="n">
        <v>8.455340780002233</v>
      </c>
      <c r="AD30" s="29" t="n">
        <v>5.406689815692551</v>
      </c>
      <c r="AE30" s="29" t="n">
        <v>510.8385230560035</v>
      </c>
      <c r="AF30" s="29" t="n">
        <v>378.3693810313404</v>
      </c>
      <c r="AG30" s="29" t="n">
        <v>170.2470730420131</v>
      </c>
      <c r="AH30" s="29" t="n">
        <v>148.820946780111</v>
      </c>
      <c r="AI30" s="29" t="n">
        <v>107.8436719968374</v>
      </c>
      <c r="AJ30" s="29" t="n">
        <v>244.320489745709</v>
      </c>
      <c r="AK30" s="29" t="n">
        <v>32.42150555938837</v>
      </c>
      <c r="AL30" s="29" t="n">
        <v>384.738686576952</v>
      </c>
      <c r="AM30" s="29" t="n">
        <v>53.49684692791626</v>
      </c>
      <c r="AN30" s="29" t="n">
        <v>32.57251893918395</v>
      </c>
      <c r="AO30" s="29" t="n">
        <v>23.59169035977772</v>
      </c>
      <c r="AP30" s="29" t="n">
        <v>225.637169842926</v>
      </c>
      <c r="AQ30" s="29" t="n">
        <v>261.5647870223409</v>
      </c>
      <c r="AR30" s="29" t="n">
        <v>2293.503511188356</v>
      </c>
      <c r="AS30" s="29" t="n">
        <v>68.51220252759205</v>
      </c>
      <c r="AT30" s="29" t="n">
        <v>20.49513847482815</v>
      </c>
      <c r="AU30" s="29" t="n">
        <v>8.609121863256354</v>
      </c>
      <c r="AV30" s="29" t="n">
        <v>113.5774209590574</v>
      </c>
      <c r="AW30" s="29" t="n">
        <v>77.58462991275957</v>
      </c>
      <c r="AX30" s="29" t="n">
        <v>462.5490026459965</v>
      </c>
      <c r="AY30" s="29" t="n">
        <v>476.7079531069839</v>
      </c>
      <c r="AZ30" s="29" t="n">
        <v>44.76833714899213</v>
      </c>
      <c r="BA30" s="29" t="n">
        <v>12.61808165157378</v>
      </c>
      <c r="BB30" s="29" t="n">
        <v>150.9718087763781</v>
      </c>
      <c r="BC30" s="29" t="n">
        <v>706.7807849288491</v>
      </c>
      <c r="BD30" s="29" t="n">
        <v>107.7437591748996</v>
      </c>
      <c r="BE30" s="29" t="n">
        <v>638.6242179863752</v>
      </c>
      <c r="BF30" s="29" t="n">
        <v>181.6021869443633</v>
      </c>
      <c r="BG30" s="29" t="n">
        <v>222.570743157376</v>
      </c>
      <c r="BH30" s="29" t="n">
        <v>174.6189388626608</v>
      </c>
      <c r="BI30" s="29" t="n">
        <v>692.9214278526229</v>
      </c>
      <c r="BJ30" s="29" t="n">
        <v>16.80018866379536</v>
      </c>
      <c r="BK30" s="29" t="n">
        <v>278.3917365468207</v>
      </c>
      <c r="BL30" s="29" t="n">
        <v>320.8768124035381</v>
      </c>
      <c r="BM30" s="29" t="n">
        <v>168.8124126581519</v>
      </c>
      <c r="BN30" s="29" t="n">
        <v>56.67790270954632</v>
      </c>
      <c r="BO30" s="29" t="n">
        <v>353.9766092417594</v>
      </c>
      <c r="BP30" s="29" t="n">
        <v>17.96726789208816</v>
      </c>
      <c r="BQ30" s="29" t="n">
        <v>221.1025020227366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0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4.609426330692261</v>
      </c>
      <c r="D31" s="31" t="n">
        <v>0.5841405834508145</v>
      </c>
      <c r="E31" s="31" t="n">
        <v>2.254692251582424</v>
      </c>
      <c r="F31" s="31" t="n">
        <v>0.03186502077052943</v>
      </c>
      <c r="G31" s="31" t="n">
        <v>3.841803845683481</v>
      </c>
      <c r="H31" s="31" t="n">
        <v>6.476093301182279</v>
      </c>
      <c r="I31" s="31" t="n">
        <v>3.067606149713175</v>
      </c>
      <c r="J31" s="31" t="n">
        <v>32.25608409233977</v>
      </c>
      <c r="K31" s="31" t="n">
        <v>6.487540166106575</v>
      </c>
      <c r="L31" s="31" t="n">
        <v>53.95918396273989</v>
      </c>
      <c r="M31" s="31" t="n">
        <v>153.1024064817061</v>
      </c>
      <c r="N31" s="31" t="n">
        <v>1.740697986235718</v>
      </c>
      <c r="O31" s="31" t="n">
        <v>7.135240997273219</v>
      </c>
      <c r="P31" s="31" t="n">
        <v>18.22854681824032</v>
      </c>
      <c r="Q31" s="31" t="n">
        <v>5.60232863877583</v>
      </c>
      <c r="R31" s="31" t="n">
        <v>11.26751661188572</v>
      </c>
      <c r="S31" s="31" t="n">
        <v>106.262230846974</v>
      </c>
      <c r="T31" s="31" t="n">
        <v>778.3250271570466</v>
      </c>
      <c r="U31" s="31" t="n">
        <v>3.234424648659107</v>
      </c>
      <c r="V31" s="31" t="n">
        <v>4.674269504780169</v>
      </c>
      <c r="W31" s="31" t="n">
        <v>0.805597043243521</v>
      </c>
      <c r="X31" s="31" t="n">
        <v>10.6749486525885</v>
      </c>
      <c r="Y31" s="31" t="n">
        <v>5.097917679831284</v>
      </c>
      <c r="Z31" s="31" t="n">
        <v>6.828714720884911</v>
      </c>
      <c r="AA31" s="31" t="n">
        <v>22.77767956435184</v>
      </c>
      <c r="AB31" s="31" t="n">
        <v>12.84715811450206</v>
      </c>
      <c r="AC31" s="31" t="n">
        <v>7.736060865994696</v>
      </c>
      <c r="AD31" s="31" t="n">
        <v>0.377624502659869</v>
      </c>
      <c r="AE31" s="31" t="n">
        <v>14.04254771769843</v>
      </c>
      <c r="AF31" s="31" t="n">
        <v>533.2908317288188</v>
      </c>
      <c r="AG31" s="31" t="n">
        <v>26.44977422104729</v>
      </c>
      <c r="AH31" s="31" t="n">
        <v>19.44421762218559</v>
      </c>
      <c r="AI31" s="31" t="n">
        <v>16.21238731443898</v>
      </c>
      <c r="AJ31" s="31" t="n">
        <v>20.13122437449234</v>
      </c>
      <c r="AK31" s="31" t="n">
        <v>3.580127487189058</v>
      </c>
      <c r="AL31" s="31" t="n">
        <v>28.87037325714825</v>
      </c>
      <c r="AM31" s="31" t="n">
        <v>20.85599281674221</v>
      </c>
      <c r="AN31" s="31" t="n">
        <v>24.80936571532645</v>
      </c>
      <c r="AO31" s="31" t="n">
        <v>6.080654452872239</v>
      </c>
      <c r="AP31" s="31" t="n">
        <v>36.91025980553169</v>
      </c>
      <c r="AQ31" s="31" t="n">
        <v>60.64213976796422</v>
      </c>
      <c r="AR31" s="31" t="n">
        <v>4157.94738528625</v>
      </c>
      <c r="AS31" s="31" t="n">
        <v>32.47636298691187</v>
      </c>
      <c r="AT31" s="31" t="n">
        <v>1.328928219808587</v>
      </c>
      <c r="AU31" s="31" t="n">
        <v>27.21293150151026</v>
      </c>
      <c r="AV31" s="31" t="n">
        <v>40.2482397955702</v>
      </c>
      <c r="AW31" s="31" t="n">
        <v>2.055489864510348</v>
      </c>
      <c r="AX31" s="31" t="n">
        <v>36.5305195742331</v>
      </c>
      <c r="AY31" s="31" t="n">
        <v>1216.882445990621</v>
      </c>
      <c r="AZ31" s="31" t="n">
        <v>184.2216916928399</v>
      </c>
      <c r="BA31" s="31" t="n">
        <v>472.0563586612868</v>
      </c>
      <c r="BB31" s="31" t="n">
        <v>460.5410169139577</v>
      </c>
      <c r="BC31" s="31" t="n">
        <v>1091.479954517762</v>
      </c>
      <c r="BD31" s="31" t="n">
        <v>192.0565826771121</v>
      </c>
      <c r="BE31" s="31" t="n">
        <v>341.219501676477</v>
      </c>
      <c r="BF31" s="31" t="n">
        <v>177.2447757731948</v>
      </c>
      <c r="BG31" s="31" t="n">
        <v>2134.112998072674</v>
      </c>
      <c r="BH31" s="31" t="n">
        <v>40.16771008812909</v>
      </c>
      <c r="BI31" s="31" t="n">
        <v>754.7824832704481</v>
      </c>
      <c r="BJ31" s="31" t="n">
        <v>1.181242825408982</v>
      </c>
      <c r="BK31" s="31" t="n">
        <v>691.8036071752612</v>
      </c>
      <c r="BL31" s="31" t="n">
        <v>176.5919125087647</v>
      </c>
      <c r="BM31" s="31" t="n">
        <v>8.830372895911243</v>
      </c>
      <c r="BN31" s="31" t="n">
        <v>95.59997671400822</v>
      </c>
      <c r="BO31" s="31" t="n">
        <v>117.2930646573978</v>
      </c>
      <c r="BP31" s="31" t="n">
        <v>210.3097377034776</v>
      </c>
      <c r="BQ31" s="31" t="n">
        <v>266.3458128098533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0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2751.15880809285</v>
      </c>
      <c r="D32" s="29" t="n">
        <v>1263.102706341279</v>
      </c>
      <c r="E32" s="29" t="n">
        <v>157.0246139999454</v>
      </c>
      <c r="F32" s="29" t="n">
        <v>247.4818121174724</v>
      </c>
      <c r="G32" s="29" t="n">
        <v>1626.612839151228</v>
      </c>
      <c r="H32" s="29" t="n">
        <v>723.0444286501283</v>
      </c>
      <c r="I32" s="29" t="n">
        <v>338.3206144076839</v>
      </c>
      <c r="J32" s="29" t="n">
        <v>803.6290646082572</v>
      </c>
      <c r="K32" s="29" t="n">
        <v>225.3718659078249</v>
      </c>
      <c r="L32" s="29" t="n">
        <v>887.4131103970038</v>
      </c>
      <c r="M32" s="29" t="n">
        <v>202.3220760270915</v>
      </c>
      <c r="N32" s="29" t="n">
        <v>5.254401469233753</v>
      </c>
      <c r="O32" s="29" t="n">
        <v>69.49288427179641</v>
      </c>
      <c r="P32" s="29" t="n">
        <v>22.98798718513908</v>
      </c>
      <c r="Q32" s="29" t="n">
        <v>71.0676573689864</v>
      </c>
      <c r="R32" s="29" t="n">
        <v>104.3498592072015</v>
      </c>
      <c r="S32" s="29" t="n">
        <v>471.2232177364754</v>
      </c>
      <c r="T32" s="29" t="n">
        <v>6.49513750394174</v>
      </c>
      <c r="U32" s="29" t="n">
        <v>56867.06623687519</v>
      </c>
      <c r="V32" s="29" t="n">
        <v>215.3163550399287</v>
      </c>
      <c r="W32" s="29" t="n">
        <v>9349.456522831022</v>
      </c>
      <c r="X32" s="29" t="n">
        <v>423.7448687211775</v>
      </c>
      <c r="Y32" s="29" t="n">
        <v>180.612505620323</v>
      </c>
      <c r="Z32" s="29" t="n">
        <v>46.04280673528544</v>
      </c>
      <c r="AA32" s="29" t="n">
        <v>605.9161812563688</v>
      </c>
      <c r="AB32" s="29" t="n">
        <v>1480.352419452653</v>
      </c>
      <c r="AC32" s="29" t="n">
        <v>1105.291060896216</v>
      </c>
      <c r="AD32" s="29" t="n">
        <v>450.0207029624549</v>
      </c>
      <c r="AE32" s="29" t="n">
        <v>120.0731352189805</v>
      </c>
      <c r="AF32" s="29" t="n">
        <v>41.12156951465609</v>
      </c>
      <c r="AG32" s="29" t="n">
        <v>304.279713427764</v>
      </c>
      <c r="AH32" s="29" t="n">
        <v>153.8755518219931</v>
      </c>
      <c r="AI32" s="29" t="n">
        <v>248.3566780899116</v>
      </c>
      <c r="AJ32" s="29" t="n">
        <v>125.9599489651547</v>
      </c>
      <c r="AK32" s="29" t="n">
        <v>40.13063387984879</v>
      </c>
      <c r="AL32" s="29" t="n">
        <v>83.68224243969152</v>
      </c>
      <c r="AM32" s="29" t="n">
        <v>114.0195989958574</v>
      </c>
      <c r="AN32" s="29" t="n">
        <v>1614.40178805482</v>
      </c>
      <c r="AO32" s="29" t="n">
        <v>267.6845416924032</v>
      </c>
      <c r="AP32" s="29" t="n">
        <v>2749.317855102288</v>
      </c>
      <c r="AQ32" s="29" t="n">
        <v>525.8393107342275</v>
      </c>
      <c r="AR32" s="29" t="n">
        <v>4878.682538297128</v>
      </c>
      <c r="AS32" s="29" t="n">
        <v>15634.03182884444</v>
      </c>
      <c r="AT32" s="29" t="n">
        <v>345.0408120672525</v>
      </c>
      <c r="AU32" s="29" t="n">
        <v>6449.506089005039</v>
      </c>
      <c r="AV32" s="29" t="n">
        <v>450.3067459166388</v>
      </c>
      <c r="AW32" s="29" t="n">
        <v>43.87698237310016</v>
      </c>
      <c r="AX32" s="29" t="n">
        <v>770.292994241601</v>
      </c>
      <c r="AY32" s="29" t="n">
        <v>21.59863129803673</v>
      </c>
      <c r="AZ32" s="29" t="n">
        <v>37.54947425084198</v>
      </c>
      <c r="BA32" s="29" t="n">
        <v>68.84535522213044</v>
      </c>
      <c r="BB32" s="29" t="n">
        <v>101.1725818793462</v>
      </c>
      <c r="BC32" s="29" t="n">
        <v>453.4099233453177</v>
      </c>
      <c r="BD32" s="29" t="n">
        <v>62.69174929694021</v>
      </c>
      <c r="BE32" s="29" t="n">
        <v>386.3038393729386</v>
      </c>
      <c r="BF32" s="29" t="n">
        <v>296.2539213376289</v>
      </c>
      <c r="BG32" s="29" t="n">
        <v>74.35013588279489</v>
      </c>
      <c r="BH32" s="29" t="n">
        <v>386.0287246168238</v>
      </c>
      <c r="BI32" s="29" t="n">
        <v>347.266803180362</v>
      </c>
      <c r="BJ32" s="29" t="n">
        <v>135.5518557616675</v>
      </c>
      <c r="BK32" s="29" t="n">
        <v>1057.118579704977</v>
      </c>
      <c r="BL32" s="29" t="n">
        <v>175.9714891949269</v>
      </c>
      <c r="BM32" s="29" t="n">
        <v>38.5421615317701</v>
      </c>
      <c r="BN32" s="29" t="n">
        <v>40.41990666479302</v>
      </c>
      <c r="BO32" s="29" t="n">
        <v>184.1795736854893</v>
      </c>
      <c r="BP32" s="29" t="n">
        <v>69.47264962442193</v>
      </c>
      <c r="BQ32" s="29" t="n">
        <v>268.7985462725848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0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31.45633514179171</v>
      </c>
      <c r="D33" s="31" t="n">
        <v>37.49319258782337</v>
      </c>
      <c r="E33" s="31" t="n">
        <v>1.316979001257289</v>
      </c>
      <c r="F33" s="31" t="n">
        <v>0.9226045167957492</v>
      </c>
      <c r="G33" s="31" t="n">
        <v>165.9002451756616</v>
      </c>
      <c r="H33" s="31" t="n">
        <v>1.906876853583061</v>
      </c>
      <c r="I33" s="31" t="n">
        <v>0.5691556434160662</v>
      </c>
      <c r="J33" s="31" t="n">
        <v>33.65437042412027</v>
      </c>
      <c r="K33" s="31" t="n">
        <v>84.44515895665853</v>
      </c>
      <c r="L33" s="31" t="n">
        <v>274.3767677192387</v>
      </c>
      <c r="M33" s="31" t="n">
        <v>68.36504611213353</v>
      </c>
      <c r="N33" s="31" t="n">
        <v>-0.1811575339365169</v>
      </c>
      <c r="O33" s="31" t="n">
        <v>-0.3022868971380622</v>
      </c>
      <c r="P33" s="31" t="n">
        <v>-0.6631190911628726</v>
      </c>
      <c r="Q33" s="31" t="n">
        <v>-0.8100214499062005</v>
      </c>
      <c r="R33" s="31" t="n">
        <v>1.992325372001419</v>
      </c>
      <c r="S33" s="31" t="n">
        <v>-1.149235160583674</v>
      </c>
      <c r="T33" s="31" t="n">
        <v>-0.06733056861636831</v>
      </c>
      <c r="U33" s="31" t="n">
        <v>5234.710969552571</v>
      </c>
      <c r="V33" s="31" t="n">
        <v>129.567342556314</v>
      </c>
      <c r="W33" s="31" t="n">
        <v>84.24510879031273</v>
      </c>
      <c r="X33" s="31" t="n">
        <v>95.0405700267722</v>
      </c>
      <c r="Y33" s="31" t="n">
        <v>348.1392511820272</v>
      </c>
      <c r="Z33" s="31" t="n">
        <v>218.1595649022827</v>
      </c>
      <c r="AA33" s="31" t="n">
        <v>-1.027565386451272</v>
      </c>
      <c r="AB33" s="31" t="n">
        <v>-1.090646143480797</v>
      </c>
      <c r="AC33" s="31" t="n">
        <v>-1.312903057421526</v>
      </c>
      <c r="AD33" s="31" t="n">
        <v>-0.28725228160858</v>
      </c>
      <c r="AE33" s="31" t="n">
        <v>10.06203917885547</v>
      </c>
      <c r="AF33" s="31" t="n">
        <v>-0.7194205787137836</v>
      </c>
      <c r="AG33" s="31" t="n">
        <v>-0.07497586900000372</v>
      </c>
      <c r="AH33" s="31" t="n">
        <v>12.38429790716364</v>
      </c>
      <c r="AI33" s="31" t="n">
        <v>4.239675940641408</v>
      </c>
      <c r="AJ33" s="31" t="n">
        <v>0.2027452139852507</v>
      </c>
      <c r="AK33" s="31" t="n">
        <v>0.7016906310274778</v>
      </c>
      <c r="AL33" s="31" t="n">
        <v>-0.06244598954805141</v>
      </c>
      <c r="AM33" s="31" t="n">
        <v>7.357888928102862</v>
      </c>
      <c r="AN33" s="31" t="n">
        <v>1.510460426244047</v>
      </c>
      <c r="AO33" s="31" t="n">
        <v>0.875611208971635</v>
      </c>
      <c r="AP33" s="31" t="n">
        <v>108.4262638733156</v>
      </c>
      <c r="AQ33" s="31" t="n">
        <v>44.1557226733728</v>
      </c>
      <c r="AR33" s="31" t="n">
        <v>78.89509466592698</v>
      </c>
      <c r="AS33" s="31" t="n">
        <v>198.8292881426417</v>
      </c>
      <c r="AT33" s="31" t="n">
        <v>0.1410208999574313</v>
      </c>
      <c r="AU33" s="31" t="n">
        <v>2.179500794533964</v>
      </c>
      <c r="AV33" s="31" t="n">
        <v>13.9273815379951</v>
      </c>
      <c r="AW33" s="31" t="n">
        <v>0.6480241729064506</v>
      </c>
      <c r="AX33" s="31" t="n">
        <v>71.47035054116539</v>
      </c>
      <c r="AY33" s="31" t="n">
        <v>-0.4739122142818046</v>
      </c>
      <c r="AZ33" s="31" t="n">
        <v>-0.3133668302096139</v>
      </c>
      <c r="BA33" s="31" t="n">
        <v>-0.5205031486372007</v>
      </c>
      <c r="BB33" s="31" t="n">
        <v>2.03967352584637</v>
      </c>
      <c r="BC33" s="31" t="n">
        <v>13.6277955604147</v>
      </c>
      <c r="BD33" s="31" t="n">
        <v>0.02588507077017926</v>
      </c>
      <c r="BE33" s="31" t="n">
        <v>13.57505138957689</v>
      </c>
      <c r="BF33" s="31" t="n">
        <v>25.52064208283117</v>
      </c>
      <c r="BG33" s="31" t="n">
        <v>7.436608572874296</v>
      </c>
      <c r="BH33" s="31" t="n">
        <v>11.54994065331597</v>
      </c>
      <c r="BI33" s="31" t="n">
        <v>12.09718630241959</v>
      </c>
      <c r="BJ33" s="31" t="n">
        <v>19.67432886130295</v>
      </c>
      <c r="BK33" s="31" t="n">
        <v>153.9472131421302</v>
      </c>
      <c r="BL33" s="31" t="n">
        <v>31.63624654707906</v>
      </c>
      <c r="BM33" s="31" t="n">
        <v>0.6346945166075997</v>
      </c>
      <c r="BN33" s="31" t="n">
        <v>9.090334081145826</v>
      </c>
      <c r="BO33" s="31" t="n">
        <v>18.33997909309965</v>
      </c>
      <c r="BP33" s="31" t="n">
        <v>0.2994905414445506</v>
      </c>
      <c r="BQ33" s="31" t="n">
        <v>35.10098933684376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0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17359.96907246326</v>
      </c>
      <c r="D34" s="29" t="n">
        <v>2126.309103902299</v>
      </c>
      <c r="E34" s="29" t="n">
        <v>146.986254963661</v>
      </c>
      <c r="F34" s="29" t="n">
        <v>174.9728495423303</v>
      </c>
      <c r="G34" s="29" t="n">
        <v>2971.207182776068</v>
      </c>
      <c r="H34" s="29" t="n">
        <v>171.5670657629985</v>
      </c>
      <c r="I34" s="29" t="n">
        <v>142.6982262975069</v>
      </c>
      <c r="J34" s="29" t="n">
        <v>181.9396320074881</v>
      </c>
      <c r="K34" s="29" t="n">
        <v>141.1722171319468</v>
      </c>
      <c r="L34" s="29" t="n">
        <v>782.5993425210958</v>
      </c>
      <c r="M34" s="29" t="n">
        <v>96.82600317131866</v>
      </c>
      <c r="N34" s="29" t="n">
        <v>8.118756964030213</v>
      </c>
      <c r="O34" s="29" t="n">
        <v>2861.345953442902</v>
      </c>
      <c r="P34" s="29" t="n">
        <v>113.5981130644895</v>
      </c>
      <c r="Q34" s="29" t="n">
        <v>1220.663388703289</v>
      </c>
      <c r="R34" s="29" t="n">
        <v>354.4963276561278</v>
      </c>
      <c r="S34" s="29" t="n">
        <v>3623.267999503855</v>
      </c>
      <c r="T34" s="29" t="n">
        <v>49.11592155280862</v>
      </c>
      <c r="U34" s="29" t="n">
        <v>859.3263689041898</v>
      </c>
      <c r="V34" s="29" t="n">
        <v>528.4862337083355</v>
      </c>
      <c r="W34" s="29" t="n">
        <v>30120.89902832152</v>
      </c>
      <c r="X34" s="29" t="n">
        <v>10975.54458186252</v>
      </c>
      <c r="Y34" s="29" t="n">
        <v>3729.163984254372</v>
      </c>
      <c r="Z34" s="29" t="n">
        <v>1515.086595062082</v>
      </c>
      <c r="AA34" s="29" t="n">
        <v>11116.98444702645</v>
      </c>
      <c r="AB34" s="29" t="n">
        <v>2286.569372355475</v>
      </c>
      <c r="AC34" s="29" t="n">
        <v>737.2675790237236</v>
      </c>
      <c r="AD34" s="29" t="n">
        <v>889.3541679546784</v>
      </c>
      <c r="AE34" s="29" t="n">
        <v>1082.506431922818</v>
      </c>
      <c r="AF34" s="29" t="n">
        <v>93.20257704327099</v>
      </c>
      <c r="AG34" s="29" t="n">
        <v>1936.419884182592</v>
      </c>
      <c r="AH34" s="29" t="n">
        <v>136.7848947959335</v>
      </c>
      <c r="AI34" s="29" t="n">
        <v>87.32224658574695</v>
      </c>
      <c r="AJ34" s="29" t="n">
        <v>720.444238212634</v>
      </c>
      <c r="AK34" s="29" t="n">
        <v>406.9193131115554</v>
      </c>
      <c r="AL34" s="29" t="n">
        <v>1378.222511654385</v>
      </c>
      <c r="AM34" s="29" t="n">
        <v>188.4453132249849</v>
      </c>
      <c r="AN34" s="29" t="n">
        <v>179.3874724462745</v>
      </c>
      <c r="AO34" s="29" t="n">
        <v>746.6068376416745</v>
      </c>
      <c r="AP34" s="29" t="n">
        <v>257.0701294210778</v>
      </c>
      <c r="AQ34" s="29" t="n">
        <v>21.25750808769855</v>
      </c>
      <c r="AR34" s="29" t="n">
        <v>476.8273387943876</v>
      </c>
      <c r="AS34" s="29" t="n">
        <v>34.04988129369455</v>
      </c>
      <c r="AT34" s="29" t="n">
        <v>1.194128480516735</v>
      </c>
      <c r="AU34" s="29" t="n">
        <v>0.28129513365741</v>
      </c>
      <c r="AV34" s="29" t="n">
        <v>6.967938873202093</v>
      </c>
      <c r="AW34" s="29" t="n">
        <v>6.548963903733783</v>
      </c>
      <c r="AX34" s="29" t="n">
        <v>22.42171048496898</v>
      </c>
      <c r="AY34" s="29" t="n">
        <v>-9.004743066780092</v>
      </c>
      <c r="AZ34" s="29" t="n">
        <v>-9.937044901637604</v>
      </c>
      <c r="BA34" s="29" t="n">
        <v>-71.76639710533269</v>
      </c>
      <c r="BB34" s="29" t="n">
        <v>-6.567175954813106</v>
      </c>
      <c r="BC34" s="29" t="n">
        <v>3.867878556987956</v>
      </c>
      <c r="BD34" s="29" t="n">
        <v>15.40679975483565</v>
      </c>
      <c r="BE34" s="29" t="n">
        <v>0.6419423237347859</v>
      </c>
      <c r="BF34" s="29" t="n">
        <v>29.78283640339438</v>
      </c>
      <c r="BG34" s="29" t="n">
        <v>5.383202480036513</v>
      </c>
      <c r="BH34" s="29" t="n">
        <v>4.502285575053335</v>
      </c>
      <c r="BI34" s="29" t="n">
        <v>48.39701443093636</v>
      </c>
      <c r="BJ34" s="29" t="n">
        <v>-0.7679037113075906</v>
      </c>
      <c r="BK34" s="29" t="n">
        <v>23.00858437854111</v>
      </c>
      <c r="BL34" s="29" t="n">
        <v>58.55449972303744</v>
      </c>
      <c r="BM34" s="29" t="n">
        <v>4.892348185572833</v>
      </c>
      <c r="BN34" s="29" t="n">
        <v>238.9150548054239</v>
      </c>
      <c r="BO34" s="29" t="n">
        <v>635.8121885259775</v>
      </c>
      <c r="BP34" s="29" t="n">
        <v>5.733111018418058</v>
      </c>
      <c r="BQ34" s="29" t="n">
        <v>329.5471557681286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0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16435.75546161707</v>
      </c>
      <c r="D35" s="31" t="n">
        <v>1888.05220319863</v>
      </c>
      <c r="E35" s="31" t="n">
        <v>61.7525485194268</v>
      </c>
      <c r="F35" s="31" t="n">
        <v>948.3470535820198</v>
      </c>
      <c r="G35" s="31" t="n">
        <v>285.2654322266776</v>
      </c>
      <c r="H35" s="31" t="n">
        <v>106.0474453080621</v>
      </c>
      <c r="I35" s="31" t="n">
        <v>79.75453921255071</v>
      </c>
      <c r="J35" s="31" t="n">
        <v>450.361670117612</v>
      </c>
      <c r="K35" s="31" t="n">
        <v>26.07639808390898</v>
      </c>
      <c r="L35" s="31" t="n">
        <v>1285.107545371001</v>
      </c>
      <c r="M35" s="31" t="n">
        <v>70.28841549779479</v>
      </c>
      <c r="N35" s="31" t="n">
        <v>2.497125910794136</v>
      </c>
      <c r="O35" s="31" t="n">
        <v>268.6865966769365</v>
      </c>
      <c r="P35" s="31" t="n">
        <v>25.20450919160282</v>
      </c>
      <c r="Q35" s="31" t="n">
        <v>157.7810078613057</v>
      </c>
      <c r="R35" s="31" t="n">
        <v>340.5753483822341</v>
      </c>
      <c r="S35" s="31" t="n">
        <v>933.4900001101749</v>
      </c>
      <c r="T35" s="31" t="n">
        <v>470.1090496670972</v>
      </c>
      <c r="U35" s="31" t="n">
        <v>296.0629319461235</v>
      </c>
      <c r="V35" s="31" t="n">
        <v>95.07111975886126</v>
      </c>
      <c r="W35" s="31" t="n">
        <v>1489.304850761646</v>
      </c>
      <c r="X35" s="31" t="n">
        <v>5802.097687516572</v>
      </c>
      <c r="Y35" s="31" t="n">
        <v>1145.709756534947</v>
      </c>
      <c r="Z35" s="31" t="n">
        <v>504.6772058063818</v>
      </c>
      <c r="AA35" s="31" t="n">
        <v>1893.713421817295</v>
      </c>
      <c r="AB35" s="31" t="n">
        <v>669.6214660356716</v>
      </c>
      <c r="AC35" s="31" t="n">
        <v>210.9861329567317</v>
      </c>
      <c r="AD35" s="31" t="n">
        <v>58.26306956079066</v>
      </c>
      <c r="AE35" s="31" t="n">
        <v>412.8104782239856</v>
      </c>
      <c r="AF35" s="31" t="n">
        <v>169.0394010160967</v>
      </c>
      <c r="AG35" s="31" t="n">
        <v>188.7324611475976</v>
      </c>
      <c r="AH35" s="31" t="n">
        <v>140.9624557968808</v>
      </c>
      <c r="AI35" s="31" t="n">
        <v>273.2933222220391</v>
      </c>
      <c r="AJ35" s="31" t="n">
        <v>137.849200629506</v>
      </c>
      <c r="AK35" s="31" t="n">
        <v>106.4205784587043</v>
      </c>
      <c r="AL35" s="31" t="n">
        <v>372.0732234387009</v>
      </c>
      <c r="AM35" s="31" t="n">
        <v>362.2627271463214</v>
      </c>
      <c r="AN35" s="31" t="n">
        <v>84.21933403914429</v>
      </c>
      <c r="AO35" s="31" t="n">
        <v>183.2040585429518</v>
      </c>
      <c r="AP35" s="31" t="n">
        <v>4442.277097032462</v>
      </c>
      <c r="AQ35" s="31" t="n">
        <v>533.0047134057139</v>
      </c>
      <c r="AR35" s="31" t="n">
        <v>814.7478645201545</v>
      </c>
      <c r="AS35" s="31" t="n">
        <v>130.9790588694545</v>
      </c>
      <c r="AT35" s="31" t="n">
        <v>0.6240880475659405</v>
      </c>
      <c r="AU35" s="31" t="n">
        <v>2.519531256304752</v>
      </c>
      <c r="AV35" s="31" t="n">
        <v>19.96684624394252</v>
      </c>
      <c r="AW35" s="31" t="n">
        <v>12.69948433775338</v>
      </c>
      <c r="AX35" s="31" t="n">
        <v>29.16037886433922</v>
      </c>
      <c r="AY35" s="31" t="n">
        <v>85.61347416719909</v>
      </c>
      <c r="AZ35" s="31" t="n">
        <v>64.26687185901459</v>
      </c>
      <c r="BA35" s="31" t="n">
        <v>-10.17240601216446</v>
      </c>
      <c r="BB35" s="31" t="n">
        <v>-0.03448174278837451</v>
      </c>
      <c r="BC35" s="31" t="n">
        <v>18.30689287750825</v>
      </c>
      <c r="BD35" s="31" t="n">
        <v>625.1839427024694</v>
      </c>
      <c r="BE35" s="31" t="n">
        <v>4.46757737877995</v>
      </c>
      <c r="BF35" s="31" t="n">
        <v>16.08339302600276</v>
      </c>
      <c r="BG35" s="31" t="n">
        <v>18.35059728598324</v>
      </c>
      <c r="BH35" s="31" t="n">
        <v>11.21377841404526</v>
      </c>
      <c r="BI35" s="31" t="n">
        <v>1068.873567813564</v>
      </c>
      <c r="BJ35" s="31" t="n">
        <v>0.2915208135546552</v>
      </c>
      <c r="BK35" s="31" t="n">
        <v>86.21176208159366</v>
      </c>
      <c r="BL35" s="31" t="n">
        <v>156.5962147278492</v>
      </c>
      <c r="BM35" s="31" t="n">
        <v>3.245841094595348</v>
      </c>
      <c r="BN35" s="31" t="n">
        <v>348.0665078187756</v>
      </c>
      <c r="BO35" s="31" t="n">
        <v>52.88284510200992</v>
      </c>
      <c r="BP35" s="31" t="n">
        <v>8.873518787420151</v>
      </c>
      <c r="BQ35" s="31" t="n">
        <v>73.02291637474821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0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588.0978336567177</v>
      </c>
      <c r="D36" s="29" t="n">
        <v>96.76383710285663</v>
      </c>
      <c r="E36" s="29" t="n">
        <v>2.85515739619577</v>
      </c>
      <c r="F36" s="29" t="n">
        <v>12.54677453753805</v>
      </c>
      <c r="G36" s="29" t="n">
        <v>101.0716616315927</v>
      </c>
      <c r="H36" s="29" t="n">
        <v>52.79836019335779</v>
      </c>
      <c r="I36" s="29" t="n">
        <v>16.05098359802793</v>
      </c>
      <c r="J36" s="29" t="n">
        <v>49.56798551870234</v>
      </c>
      <c r="K36" s="29" t="n">
        <v>11.29016019665186</v>
      </c>
      <c r="L36" s="29" t="n">
        <v>195.6017493348808</v>
      </c>
      <c r="M36" s="29" t="n">
        <v>29.94331394097965</v>
      </c>
      <c r="N36" s="29" t="n">
        <v>3.12009649348818</v>
      </c>
      <c r="O36" s="29" t="n">
        <v>54.1299378485433</v>
      </c>
      <c r="P36" s="29" t="n">
        <v>63.90669968772038</v>
      </c>
      <c r="Q36" s="29" t="n">
        <v>15.21331841421346</v>
      </c>
      <c r="R36" s="29" t="n">
        <v>24.23889625766158</v>
      </c>
      <c r="S36" s="29" t="n">
        <v>107.8184511923445</v>
      </c>
      <c r="T36" s="29" t="n">
        <v>20.33157574767478</v>
      </c>
      <c r="U36" s="29" t="n">
        <v>89.54770512818732</v>
      </c>
      <c r="V36" s="29" t="n">
        <v>7.325415817439024</v>
      </c>
      <c r="W36" s="29" t="n">
        <v>321.4027103343495</v>
      </c>
      <c r="X36" s="29" t="n">
        <v>376.369515784237</v>
      </c>
      <c r="Y36" s="29" t="n">
        <v>1373.169128808247</v>
      </c>
      <c r="Z36" s="29" t="n">
        <v>47.26856262633294</v>
      </c>
      <c r="AA36" s="29" t="n">
        <v>86.15178973412681</v>
      </c>
      <c r="AB36" s="29" t="n">
        <v>77.06691458084278</v>
      </c>
      <c r="AC36" s="29" t="n">
        <v>21.72651988405249</v>
      </c>
      <c r="AD36" s="29" t="n">
        <v>44.53196742155803</v>
      </c>
      <c r="AE36" s="29" t="n">
        <v>442.8846280764054</v>
      </c>
      <c r="AF36" s="29" t="n">
        <v>39.72686926039954</v>
      </c>
      <c r="AG36" s="29" t="n">
        <v>17.28814821796147</v>
      </c>
      <c r="AH36" s="29" t="n">
        <v>49.41549707108666</v>
      </c>
      <c r="AI36" s="29" t="n">
        <v>31.47765471896759</v>
      </c>
      <c r="AJ36" s="29" t="n">
        <v>31.96224956002753</v>
      </c>
      <c r="AK36" s="29" t="n">
        <v>10.35589923166212</v>
      </c>
      <c r="AL36" s="29" t="n">
        <v>36.96778235233477</v>
      </c>
      <c r="AM36" s="29" t="n">
        <v>19.05033673673267</v>
      </c>
      <c r="AN36" s="29" t="n">
        <v>23.51889178079412</v>
      </c>
      <c r="AO36" s="29" t="n">
        <v>48.57194951289483</v>
      </c>
      <c r="AP36" s="29" t="n">
        <v>190.8978211594541</v>
      </c>
      <c r="AQ36" s="29" t="n">
        <v>183.8352260484386</v>
      </c>
      <c r="AR36" s="29" t="n">
        <v>2100.236454505188</v>
      </c>
      <c r="AS36" s="29" t="n">
        <v>289.5410109384935</v>
      </c>
      <c r="AT36" s="29" t="n">
        <v>10.09678828501294</v>
      </c>
      <c r="AU36" s="29" t="n">
        <v>1.075647197024129</v>
      </c>
      <c r="AV36" s="29" t="n">
        <v>100.1477681287617</v>
      </c>
      <c r="AW36" s="29" t="n">
        <v>81.22179596469711</v>
      </c>
      <c r="AX36" s="29" t="n">
        <v>82.01438055771696</v>
      </c>
      <c r="AY36" s="29" t="n">
        <v>28.1723077857084</v>
      </c>
      <c r="AZ36" s="29" t="n">
        <v>49.14413672570517</v>
      </c>
      <c r="BA36" s="29" t="n">
        <v>114.125556950572</v>
      </c>
      <c r="BB36" s="29" t="n">
        <v>15.26326801355655</v>
      </c>
      <c r="BC36" s="29" t="n">
        <v>45.43455591671282</v>
      </c>
      <c r="BD36" s="29" t="n">
        <v>9.788225629536479</v>
      </c>
      <c r="BE36" s="29" t="n">
        <v>288.7630992627245</v>
      </c>
      <c r="BF36" s="29" t="n">
        <v>120.0392087448763</v>
      </c>
      <c r="BG36" s="29" t="n">
        <v>298.0828893168309</v>
      </c>
      <c r="BH36" s="29" t="n">
        <v>117.7559813726332</v>
      </c>
      <c r="BI36" s="29" t="n">
        <v>1560.119972096906</v>
      </c>
      <c r="BJ36" s="29" t="n">
        <v>1.788281564644435</v>
      </c>
      <c r="BK36" s="29" t="n">
        <v>202.8788810265307</v>
      </c>
      <c r="BL36" s="29" t="n">
        <v>203.0604538918784</v>
      </c>
      <c r="BM36" s="29" t="n">
        <v>138.1567768836265</v>
      </c>
      <c r="BN36" s="29" t="n">
        <v>108.9639453973188</v>
      </c>
      <c r="BO36" s="29" t="n">
        <v>838.8852684912115</v>
      </c>
      <c r="BP36" s="29" t="n">
        <v>187.1996184479749</v>
      </c>
      <c r="BQ36" s="29" t="n">
        <v>1158.061616743745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0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541.7906446714818</v>
      </c>
      <c r="D37" s="31" t="n">
        <v>2620.060181681418</v>
      </c>
      <c r="E37" s="31" t="n">
        <v>15.63159350432624</v>
      </c>
      <c r="F37" s="31" t="n">
        <v>2.82948046497184</v>
      </c>
      <c r="G37" s="31" t="n">
        <v>288.0641334879516</v>
      </c>
      <c r="H37" s="31" t="n">
        <v>1.909428736143478</v>
      </c>
      <c r="I37" s="31" t="n">
        <v>0.7790294751199679</v>
      </c>
      <c r="J37" s="31" t="n">
        <v>1.774341669984296</v>
      </c>
      <c r="K37" s="31" t="n">
        <v>-0.3714081406473558</v>
      </c>
      <c r="L37" s="31" t="n">
        <v>252.0053992448858</v>
      </c>
      <c r="M37" s="31" t="n">
        <v>2.918864858516801</v>
      </c>
      <c r="N37" s="31" t="n">
        <v>-0.5542498515533928</v>
      </c>
      <c r="O37" s="31" t="n">
        <v>5.255425914053065</v>
      </c>
      <c r="P37" s="31" t="n">
        <v>2.958810998874522</v>
      </c>
      <c r="Q37" s="31" t="n">
        <v>1.461210011158204</v>
      </c>
      <c r="R37" s="31" t="n">
        <v>0.3475218493006773</v>
      </c>
      <c r="S37" s="31" t="n">
        <v>3.810075971201514</v>
      </c>
      <c r="T37" s="31" t="n">
        <v>0.3460878310585194</v>
      </c>
      <c r="U37" s="31" t="n">
        <v>-0.7549663501654442</v>
      </c>
      <c r="V37" s="31" t="n">
        <v>2.305590950194865</v>
      </c>
      <c r="W37" s="31" t="n">
        <v>90.87138847046084</v>
      </c>
      <c r="X37" s="31" t="n">
        <v>357.1737244695567</v>
      </c>
      <c r="Y37" s="31" t="n">
        <v>42.34416564931681</v>
      </c>
      <c r="Z37" s="31" t="n">
        <v>4024.808038586476</v>
      </c>
      <c r="AA37" s="31" t="n">
        <v>17.33560459364188</v>
      </c>
      <c r="AB37" s="31" t="n">
        <v>0.6186907333365296</v>
      </c>
      <c r="AC37" s="31" t="n">
        <v>-1.350537533672379</v>
      </c>
      <c r="AD37" s="31" t="n">
        <v>0.9985051134281944</v>
      </c>
      <c r="AE37" s="31" t="n">
        <v>4.824962370860528</v>
      </c>
      <c r="AF37" s="31" t="n">
        <v>-1.71154846164275</v>
      </c>
      <c r="AG37" s="31" t="n">
        <v>-0.6454793837310805</v>
      </c>
      <c r="AH37" s="31" t="n">
        <v>-4.224151636502448</v>
      </c>
      <c r="AI37" s="31" t="n">
        <v>2.424309917342168</v>
      </c>
      <c r="AJ37" s="31" t="n">
        <v>1.527465176335048</v>
      </c>
      <c r="AK37" s="31" t="n">
        <v>0.09391843811028679</v>
      </c>
      <c r="AL37" s="31" t="n">
        <v>3.75791884212568</v>
      </c>
      <c r="AM37" s="31" t="n">
        <v>1.309510354002764</v>
      </c>
      <c r="AN37" s="31" t="n">
        <v>0.7753355428028037</v>
      </c>
      <c r="AO37" s="31" t="n">
        <v>2.118026069068558</v>
      </c>
      <c r="AP37" s="31" t="n">
        <v>9.182981694678682</v>
      </c>
      <c r="AQ37" s="31" t="n">
        <v>3.017735383720896</v>
      </c>
      <c r="AR37" s="31" t="n">
        <v>272.5383010586947</v>
      </c>
      <c r="AS37" s="31" t="n">
        <v>4.957442561874406</v>
      </c>
      <c r="AT37" s="31" t="n">
        <v>0.3698429670812888</v>
      </c>
      <c r="AU37" s="31" t="n">
        <v>0.1539505559308222</v>
      </c>
      <c r="AV37" s="31" t="n">
        <v>1.939170603840047</v>
      </c>
      <c r="AW37" s="31" t="n">
        <v>1.700126354191345</v>
      </c>
      <c r="AX37" s="31" t="n">
        <v>13.47957436801002</v>
      </c>
      <c r="AY37" s="31" t="n">
        <v>-1.401990824639564</v>
      </c>
      <c r="AZ37" s="31" t="n">
        <v>-0.9657037807735123</v>
      </c>
      <c r="BA37" s="31" t="n">
        <v>-9.156136943082227</v>
      </c>
      <c r="BB37" s="31" t="n">
        <v>-0.6152499760091181</v>
      </c>
      <c r="BC37" s="31" t="n">
        <v>1.31875991058768</v>
      </c>
      <c r="BD37" s="31" t="n">
        <v>0.6372439091938786</v>
      </c>
      <c r="BE37" s="31" t="n">
        <v>3.525116935903343</v>
      </c>
      <c r="BF37" s="31" t="n">
        <v>11.77473528298653</v>
      </c>
      <c r="BG37" s="31" t="n">
        <v>39.11902616828768</v>
      </c>
      <c r="BH37" s="31" t="n">
        <v>3.064202781800605</v>
      </c>
      <c r="BI37" s="31" t="n">
        <v>32.00093363667308</v>
      </c>
      <c r="BJ37" s="31" t="n">
        <v>-0.04956131750316083</v>
      </c>
      <c r="BK37" s="31" t="n">
        <v>379.7893409420606</v>
      </c>
      <c r="BL37" s="31" t="n">
        <v>361.472773384252</v>
      </c>
      <c r="BM37" s="31" t="n">
        <v>147.6272658554387</v>
      </c>
      <c r="BN37" s="31" t="n">
        <v>3621.22907223357</v>
      </c>
      <c r="BO37" s="31" t="n">
        <v>7148.374244670253</v>
      </c>
      <c r="BP37" s="31" t="n">
        <v>7.195274943485398</v>
      </c>
      <c r="BQ37" s="31" t="n">
        <v>509.394525694497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0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249.7109269750498</v>
      </c>
      <c r="D38" s="29" t="n">
        <v>84.39601552851161</v>
      </c>
      <c r="E38" s="29" t="n">
        <v>16.45439971689955</v>
      </c>
      <c r="F38" s="29" t="n">
        <v>67.04900691084551</v>
      </c>
      <c r="G38" s="29" t="n">
        <v>94.22864416394448</v>
      </c>
      <c r="H38" s="29" t="n">
        <v>255.6376584544731</v>
      </c>
      <c r="I38" s="29" t="n">
        <v>48.93789054749973</v>
      </c>
      <c r="J38" s="29" t="n">
        <v>959.6582985668613</v>
      </c>
      <c r="K38" s="29" t="n">
        <v>51.47528580355992</v>
      </c>
      <c r="L38" s="29" t="n">
        <v>2602.373809731399</v>
      </c>
      <c r="M38" s="29" t="n">
        <v>1154.692961508272</v>
      </c>
      <c r="N38" s="29" t="n">
        <v>0.7433563713704909</v>
      </c>
      <c r="O38" s="29" t="n">
        <v>153.1603918832987</v>
      </c>
      <c r="P38" s="29" t="n">
        <v>151.4099280271785</v>
      </c>
      <c r="Q38" s="29" t="n">
        <v>409.6182145017473</v>
      </c>
      <c r="R38" s="29" t="n">
        <v>82.42398711678524</v>
      </c>
      <c r="S38" s="29" t="n">
        <v>289.8044135423015</v>
      </c>
      <c r="T38" s="29" t="n">
        <v>344.4347940916613</v>
      </c>
      <c r="U38" s="29" t="n">
        <v>33.03953135121901</v>
      </c>
      <c r="V38" s="29" t="n">
        <v>11.99049499856161</v>
      </c>
      <c r="W38" s="29" t="n">
        <v>489.2143484371525</v>
      </c>
      <c r="X38" s="29" t="n">
        <v>277.0440769079244</v>
      </c>
      <c r="Y38" s="29" t="n">
        <v>628.239828111454</v>
      </c>
      <c r="Z38" s="29" t="n">
        <v>166.0401967123092</v>
      </c>
      <c r="AA38" s="29" t="n">
        <v>6128.204186639796</v>
      </c>
      <c r="AB38" s="29" t="n">
        <v>829.0675786910712</v>
      </c>
      <c r="AC38" s="29" t="n">
        <v>205.0423949731162</v>
      </c>
      <c r="AD38" s="29" t="n">
        <v>25.28828454523986</v>
      </c>
      <c r="AE38" s="29" t="n">
        <v>295.257638021512</v>
      </c>
      <c r="AF38" s="29" t="n">
        <v>480.0558894722608</v>
      </c>
      <c r="AG38" s="29" t="n">
        <v>844.4945513072809</v>
      </c>
      <c r="AH38" s="29" t="n">
        <v>1049.69710500937</v>
      </c>
      <c r="AI38" s="29" t="n">
        <v>3985.026507584723</v>
      </c>
      <c r="AJ38" s="29" t="n">
        <v>1490.812547427822</v>
      </c>
      <c r="AK38" s="29" t="n">
        <v>581.1251917649387</v>
      </c>
      <c r="AL38" s="29" t="n">
        <v>981.0568740510662</v>
      </c>
      <c r="AM38" s="29" t="n">
        <v>619.3079070953931</v>
      </c>
      <c r="AN38" s="29" t="n">
        <v>118.5628086915923</v>
      </c>
      <c r="AO38" s="29" t="n">
        <v>143.2075232186109</v>
      </c>
      <c r="AP38" s="29" t="n">
        <v>5111.763072916213</v>
      </c>
      <c r="AQ38" s="29" t="n">
        <v>846.7682358291695</v>
      </c>
      <c r="AR38" s="29" t="n">
        <v>2132.535326156163</v>
      </c>
      <c r="AS38" s="29" t="n">
        <v>3284.178958763007</v>
      </c>
      <c r="AT38" s="29" t="n">
        <v>2.700570714759639</v>
      </c>
      <c r="AU38" s="29" t="n">
        <v>516.2381071744381</v>
      </c>
      <c r="AV38" s="29" t="n">
        <v>46.87160167772718</v>
      </c>
      <c r="AW38" s="29" t="n">
        <v>11.37667062157984</v>
      </c>
      <c r="AX38" s="29" t="n">
        <v>178.0332380103226</v>
      </c>
      <c r="AY38" s="29" t="n">
        <v>4.946120171011532</v>
      </c>
      <c r="AZ38" s="29" t="n">
        <v>-1.212760919982631</v>
      </c>
      <c r="BA38" s="29" t="n">
        <v>-19.63269197434556</v>
      </c>
      <c r="BB38" s="29" t="n">
        <v>3.1999777265468</v>
      </c>
      <c r="BC38" s="29" t="n">
        <v>26.08263649641219</v>
      </c>
      <c r="BD38" s="29" t="n">
        <v>43.51856471071103</v>
      </c>
      <c r="BE38" s="29" t="n">
        <v>203.9759801785088</v>
      </c>
      <c r="BF38" s="29" t="n">
        <v>19.01494879778444</v>
      </c>
      <c r="BG38" s="29" t="n">
        <v>14.08346729299208</v>
      </c>
      <c r="BH38" s="29" t="n">
        <v>196.8928889004661</v>
      </c>
      <c r="BI38" s="29" t="n">
        <v>196.3379645753196</v>
      </c>
      <c r="BJ38" s="29" t="n">
        <v>1.127365843357409</v>
      </c>
      <c r="BK38" s="29" t="n">
        <v>73.89624747902828</v>
      </c>
      <c r="BL38" s="29" t="n">
        <v>99.04783388675186</v>
      </c>
      <c r="BM38" s="29" t="n">
        <v>2.80062606074717</v>
      </c>
      <c r="BN38" s="29" t="n">
        <v>217.0894010439177</v>
      </c>
      <c r="BO38" s="29" t="n">
        <v>355.8213714583396</v>
      </c>
      <c r="BP38" s="29" t="n">
        <v>5.044411803591045</v>
      </c>
      <c r="BQ38" s="29" t="n">
        <v>70.2977676029065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0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1744.672763339996</v>
      </c>
      <c r="D39" s="31" t="n">
        <v>1047.372400302474</v>
      </c>
      <c r="E39" s="31" t="n">
        <v>35.9602736783499</v>
      </c>
      <c r="F39" s="31" t="n">
        <v>44.01081690345078</v>
      </c>
      <c r="G39" s="31" t="n">
        <v>53.63549497809254</v>
      </c>
      <c r="H39" s="31" t="n">
        <v>5.916636507869754</v>
      </c>
      <c r="I39" s="31" t="n">
        <v>9.704054937570236</v>
      </c>
      <c r="J39" s="31" t="n">
        <v>-12.74754408697792</v>
      </c>
      <c r="K39" s="31" t="n">
        <v>59.78629170609492</v>
      </c>
      <c r="L39" s="31" t="n">
        <v>794.2391214809879</v>
      </c>
      <c r="M39" s="31" t="n">
        <v>902.5187070890604</v>
      </c>
      <c r="N39" s="31" t="n">
        <v>-0.3880107949097823</v>
      </c>
      <c r="O39" s="31" t="n">
        <v>18.93292238175494</v>
      </c>
      <c r="P39" s="31" t="n">
        <v>39.38634207863383</v>
      </c>
      <c r="Q39" s="31" t="n">
        <v>11.37341024136977</v>
      </c>
      <c r="R39" s="31" t="n">
        <v>5.018518921774482</v>
      </c>
      <c r="S39" s="31" t="n">
        <v>124.0014263462655</v>
      </c>
      <c r="T39" s="31" t="n">
        <v>8.646349064299542</v>
      </c>
      <c r="U39" s="31" t="n">
        <v>92.23768497697858</v>
      </c>
      <c r="V39" s="31" t="n">
        <v>3.654178757433333</v>
      </c>
      <c r="W39" s="31" t="n">
        <v>424.9835795778678</v>
      </c>
      <c r="X39" s="31" t="n">
        <v>136.5884706230198</v>
      </c>
      <c r="Y39" s="31" t="n">
        <v>187.5251542785404</v>
      </c>
      <c r="Z39" s="31" t="n">
        <v>37.20658777611879</v>
      </c>
      <c r="AA39" s="31" t="n">
        <v>248.8801695902067</v>
      </c>
      <c r="AB39" s="31" t="n">
        <v>3574.356721110575</v>
      </c>
      <c r="AC39" s="31" t="n">
        <v>172.917601831553</v>
      </c>
      <c r="AD39" s="31" t="n">
        <v>19.56704165747077</v>
      </c>
      <c r="AE39" s="31" t="n">
        <v>93.13977572800016</v>
      </c>
      <c r="AF39" s="31" t="n">
        <v>7.937908489570926</v>
      </c>
      <c r="AG39" s="31" t="n">
        <v>166.4388618356698</v>
      </c>
      <c r="AH39" s="31" t="n">
        <v>176.7067207027085</v>
      </c>
      <c r="AI39" s="31" t="n">
        <v>975.529588081028</v>
      </c>
      <c r="AJ39" s="31" t="n">
        <v>56.0784537623305</v>
      </c>
      <c r="AK39" s="31" t="n">
        <v>104.3274800809078</v>
      </c>
      <c r="AL39" s="31" t="n">
        <v>271.7076988920853</v>
      </c>
      <c r="AM39" s="31" t="n">
        <v>128.374103547176</v>
      </c>
      <c r="AN39" s="31" t="n">
        <v>699.6570212088837</v>
      </c>
      <c r="AO39" s="31" t="n">
        <v>298.3803899849207</v>
      </c>
      <c r="AP39" s="31" t="n">
        <v>24476.46171122224</v>
      </c>
      <c r="AQ39" s="31" t="n">
        <v>118.9932698386065</v>
      </c>
      <c r="AR39" s="31" t="n">
        <v>17.27913215041823</v>
      </c>
      <c r="AS39" s="31" t="n">
        <v>12.89237411037942</v>
      </c>
      <c r="AT39" s="31" t="n">
        <v>1.115463955130542</v>
      </c>
      <c r="AU39" s="31" t="n">
        <v>0.06382480270320302</v>
      </c>
      <c r="AV39" s="31" t="n">
        <v>5.206570332149348</v>
      </c>
      <c r="AW39" s="31" t="n">
        <v>103.8980910008794</v>
      </c>
      <c r="AX39" s="31" t="n">
        <v>313.2056309311874</v>
      </c>
      <c r="AY39" s="31" t="n">
        <v>-0.251280264913961</v>
      </c>
      <c r="AZ39" s="31" t="n">
        <v>-0.7997727054806504</v>
      </c>
      <c r="BA39" s="31" t="n">
        <v>-13.61810262702241</v>
      </c>
      <c r="BB39" s="31" t="n">
        <v>-0.2964864835326921</v>
      </c>
      <c r="BC39" s="31" t="n">
        <v>3.586760257132352</v>
      </c>
      <c r="BD39" s="31" t="n">
        <v>983.3080671651364</v>
      </c>
      <c r="BE39" s="31" t="n">
        <v>2.627307758585568</v>
      </c>
      <c r="BF39" s="31" t="n">
        <v>7.77272524027595</v>
      </c>
      <c r="BG39" s="31" t="n">
        <v>1.970882519620187</v>
      </c>
      <c r="BH39" s="31" t="n">
        <v>4.520881858613387</v>
      </c>
      <c r="BI39" s="31" t="n">
        <v>46.41156902228342</v>
      </c>
      <c r="BJ39" s="31" t="n">
        <v>0.05908694184272141</v>
      </c>
      <c r="BK39" s="31" t="n">
        <v>149.3528997038091</v>
      </c>
      <c r="BL39" s="31" t="n">
        <v>84.77980031564286</v>
      </c>
      <c r="BM39" s="31" t="n">
        <v>1.305538835410196</v>
      </c>
      <c r="BN39" s="31" t="n">
        <v>89.12815936655895</v>
      </c>
      <c r="BO39" s="31" t="n">
        <v>141.9105940538181</v>
      </c>
      <c r="BP39" s="31" t="n">
        <v>2.327715029456269</v>
      </c>
      <c r="BQ39" s="31" t="n">
        <v>95.59216219837336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0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66.2798488415939</v>
      </c>
      <c r="D40" s="29" t="n">
        <v>105.0164782923978</v>
      </c>
      <c r="E40" s="29" t="n">
        <v>6.440419003335956</v>
      </c>
      <c r="F40" s="29" t="n">
        <v>26.6883834613392</v>
      </c>
      <c r="G40" s="29" t="n">
        <v>463.9108307334674</v>
      </c>
      <c r="H40" s="29" t="n">
        <v>21.51699810321923</v>
      </c>
      <c r="I40" s="29" t="n">
        <v>46.56251577821513</v>
      </c>
      <c r="J40" s="29" t="n">
        <v>75.78416303666117</v>
      </c>
      <c r="K40" s="29" t="n">
        <v>1.328690136141579</v>
      </c>
      <c r="L40" s="29" t="n">
        <v>40.74744913906912</v>
      </c>
      <c r="M40" s="29" t="n">
        <v>62.36960324905869</v>
      </c>
      <c r="N40" s="29" t="n">
        <v>-0.1533000175424752</v>
      </c>
      <c r="O40" s="29" t="n">
        <v>1.52239920489694</v>
      </c>
      <c r="P40" s="29" t="n">
        <v>0.1151607645529669</v>
      </c>
      <c r="Q40" s="29" t="n">
        <v>-0.029226934548362</v>
      </c>
      <c r="R40" s="29" t="n">
        <v>7.180031069323207</v>
      </c>
      <c r="S40" s="29" t="n">
        <v>44.24735176945232</v>
      </c>
      <c r="T40" s="29" t="n">
        <v>3.042712396596331</v>
      </c>
      <c r="U40" s="29" t="n">
        <v>4.906714587001336</v>
      </c>
      <c r="V40" s="29" t="n">
        <v>2.150567214705092</v>
      </c>
      <c r="W40" s="29" t="n">
        <v>45.69166586578719</v>
      </c>
      <c r="X40" s="29" t="n">
        <v>29.28724846908604</v>
      </c>
      <c r="Y40" s="29" t="n">
        <v>20.69728881284451</v>
      </c>
      <c r="Z40" s="29" t="n">
        <v>3.752417276009794</v>
      </c>
      <c r="AA40" s="29" t="n">
        <v>190.6656593120256</v>
      </c>
      <c r="AB40" s="29" t="n">
        <v>219.5270382416002</v>
      </c>
      <c r="AC40" s="29" t="n">
        <v>2174.972347500554</v>
      </c>
      <c r="AD40" s="29" t="n">
        <v>209.291973987091</v>
      </c>
      <c r="AE40" s="29" t="n">
        <v>4652.379082013348</v>
      </c>
      <c r="AF40" s="29" t="n">
        <v>28.57288345059458</v>
      </c>
      <c r="AG40" s="29" t="n">
        <v>853.4351665901519</v>
      </c>
      <c r="AH40" s="29" t="n">
        <v>2312.951683463523</v>
      </c>
      <c r="AI40" s="29" t="n">
        <v>1622.341962500052</v>
      </c>
      <c r="AJ40" s="29" t="n">
        <v>1707.644828272886</v>
      </c>
      <c r="AK40" s="29" t="n">
        <v>426.3468187055312</v>
      </c>
      <c r="AL40" s="29" t="n">
        <v>353.72467158987</v>
      </c>
      <c r="AM40" s="29" t="n">
        <v>394.6007754377646</v>
      </c>
      <c r="AN40" s="29" t="n">
        <v>128.6715156296749</v>
      </c>
      <c r="AO40" s="29" t="n">
        <v>36.91261449285959</v>
      </c>
      <c r="AP40" s="29" t="n">
        <v>5113.830614687818</v>
      </c>
      <c r="AQ40" s="29" t="n">
        <v>14.59984716266118</v>
      </c>
      <c r="AR40" s="29" t="n">
        <v>334.1774203442689</v>
      </c>
      <c r="AS40" s="29" t="n">
        <v>17.61996013722232</v>
      </c>
      <c r="AT40" s="29" t="n">
        <v>2.574209866850707</v>
      </c>
      <c r="AU40" s="29" t="n">
        <v>1.181328251271786</v>
      </c>
      <c r="AV40" s="29" t="n">
        <v>7.827561262761708</v>
      </c>
      <c r="AW40" s="29" t="n">
        <v>3.132647382795292</v>
      </c>
      <c r="AX40" s="29" t="n">
        <v>33.32773013441272</v>
      </c>
      <c r="AY40" s="29" t="n">
        <v>-0.1469579230920426</v>
      </c>
      <c r="AZ40" s="29" t="n">
        <v>-0.702385708359863</v>
      </c>
      <c r="BA40" s="29" t="n">
        <v>-4.371728185729601</v>
      </c>
      <c r="BB40" s="29" t="n">
        <v>5.443165281002925</v>
      </c>
      <c r="BC40" s="29" t="n">
        <v>2.439801586329736</v>
      </c>
      <c r="BD40" s="29" t="n">
        <v>8.16350350184033</v>
      </c>
      <c r="BE40" s="29" t="n">
        <v>3.661903981002609</v>
      </c>
      <c r="BF40" s="29" t="n">
        <v>7.797240415535963</v>
      </c>
      <c r="BG40" s="29" t="n">
        <v>0.1942082270383826</v>
      </c>
      <c r="BH40" s="29" t="n">
        <v>68.29998272695208</v>
      </c>
      <c r="BI40" s="29" t="n">
        <v>11.79548541888865</v>
      </c>
      <c r="BJ40" s="29" t="n">
        <v>1.584244304656999</v>
      </c>
      <c r="BK40" s="29" t="n">
        <v>50.70130785427774</v>
      </c>
      <c r="BL40" s="29" t="n">
        <v>12.81923480201659</v>
      </c>
      <c r="BM40" s="29" t="n">
        <v>1.302048461420759</v>
      </c>
      <c r="BN40" s="29" t="n">
        <v>6.282228325928148</v>
      </c>
      <c r="BO40" s="29" t="n">
        <v>1.947919833455313</v>
      </c>
      <c r="BP40" s="29" t="n">
        <v>2.1705913524197</v>
      </c>
      <c r="BQ40" s="29" t="n">
        <v>4.571603568933615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0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156.4648285600566</v>
      </c>
      <c r="D41" s="31" t="n">
        <v>33.80157741831967</v>
      </c>
      <c r="E41" s="31" t="n">
        <v>2.21358127565686</v>
      </c>
      <c r="F41" s="31" t="n">
        <v>4.100971383261389</v>
      </c>
      <c r="G41" s="31" t="n">
        <v>59.52029486077189</v>
      </c>
      <c r="H41" s="31" t="n">
        <v>11.98977417999511</v>
      </c>
      <c r="I41" s="31" t="n">
        <v>45.04901519321918</v>
      </c>
      <c r="J41" s="31" t="n">
        <v>141.0994591513602</v>
      </c>
      <c r="K41" s="31" t="n">
        <v>3.020146949846944</v>
      </c>
      <c r="L41" s="31" t="n">
        <v>223.6047072641751</v>
      </c>
      <c r="M41" s="31" t="n">
        <v>13.62617359218735</v>
      </c>
      <c r="N41" s="31" t="n">
        <v>-0.1668846721975452</v>
      </c>
      <c r="O41" s="31" t="n">
        <v>5.326639725174349</v>
      </c>
      <c r="P41" s="31" t="n">
        <v>3.02934111737368</v>
      </c>
      <c r="Q41" s="31" t="n">
        <v>5.388881304381963</v>
      </c>
      <c r="R41" s="31" t="n">
        <v>1.490069764037332</v>
      </c>
      <c r="S41" s="31" t="n">
        <v>176.6382490711133</v>
      </c>
      <c r="T41" s="31" t="n">
        <v>125.8900244886452</v>
      </c>
      <c r="U41" s="31" t="n">
        <v>0.4383639194952951</v>
      </c>
      <c r="V41" s="31" t="n">
        <v>0.01585820741356901</v>
      </c>
      <c r="W41" s="31" t="n">
        <v>659.4560407667609</v>
      </c>
      <c r="X41" s="31" t="n">
        <v>183.2318727600233</v>
      </c>
      <c r="Y41" s="31" t="n">
        <v>34.05076956076852</v>
      </c>
      <c r="Z41" s="31" t="n">
        <v>8.807157903389735</v>
      </c>
      <c r="AA41" s="31" t="n">
        <v>48.35300735903532</v>
      </c>
      <c r="AB41" s="31" t="n">
        <v>88.67488968277738</v>
      </c>
      <c r="AC41" s="31" t="n">
        <v>781.7707599763769</v>
      </c>
      <c r="AD41" s="31" t="n">
        <v>4690.428791653611</v>
      </c>
      <c r="AE41" s="31" t="n">
        <v>1249.121819675483</v>
      </c>
      <c r="AF41" s="31" t="n">
        <v>87.45066224186438</v>
      </c>
      <c r="AG41" s="31" t="n">
        <v>3576.524385813499</v>
      </c>
      <c r="AH41" s="31" t="n">
        <v>882.2928545625147</v>
      </c>
      <c r="AI41" s="31" t="n">
        <v>277.5154664093313</v>
      </c>
      <c r="AJ41" s="31" t="n">
        <v>1884.675340265169</v>
      </c>
      <c r="AK41" s="31" t="n">
        <v>534.1397829001114</v>
      </c>
      <c r="AL41" s="31" t="n">
        <v>1060.939316544016</v>
      </c>
      <c r="AM41" s="31" t="n">
        <v>638.6472706965385</v>
      </c>
      <c r="AN41" s="31" t="n">
        <v>46.69783109707677</v>
      </c>
      <c r="AO41" s="31" t="n">
        <v>73.49177973239024</v>
      </c>
      <c r="AP41" s="31" t="n">
        <v>1740.056334217819</v>
      </c>
      <c r="AQ41" s="31" t="n">
        <v>214.3093563253286</v>
      </c>
      <c r="AR41" s="31" t="n">
        <v>40.24590628901075</v>
      </c>
      <c r="AS41" s="31" t="n">
        <v>30.15701907798032</v>
      </c>
      <c r="AT41" s="31" t="n">
        <v>1.003295542738694</v>
      </c>
      <c r="AU41" s="31" t="n">
        <v>0.08422586910908104</v>
      </c>
      <c r="AV41" s="31" t="n">
        <v>2.743085975218418</v>
      </c>
      <c r="AW41" s="31" t="n">
        <v>1.070903270737701</v>
      </c>
      <c r="AX41" s="31" t="n">
        <v>7.493397465661605</v>
      </c>
      <c r="AY41" s="31" t="n">
        <v>-0.5122985050591264</v>
      </c>
      <c r="AZ41" s="31" t="n">
        <v>-0.2899525996353218</v>
      </c>
      <c r="BA41" s="31" t="n">
        <v>-0.8512841527569237</v>
      </c>
      <c r="BB41" s="31" t="n">
        <v>0.4049048232255784</v>
      </c>
      <c r="BC41" s="31" t="n">
        <v>3.121354618810169</v>
      </c>
      <c r="BD41" s="31" t="n">
        <v>24.87654556789058</v>
      </c>
      <c r="BE41" s="31" t="n">
        <v>4.887387828072609</v>
      </c>
      <c r="BF41" s="31" t="n">
        <v>2.215614429702534</v>
      </c>
      <c r="BG41" s="31" t="n">
        <v>1.117934516094555</v>
      </c>
      <c r="BH41" s="31" t="n">
        <v>2.341835020165237</v>
      </c>
      <c r="BI41" s="31" t="n">
        <v>9.913641487964465</v>
      </c>
      <c r="BJ41" s="31" t="n">
        <v>0.3219040470551423</v>
      </c>
      <c r="BK41" s="31" t="n">
        <v>13.44280065728354</v>
      </c>
      <c r="BL41" s="31" t="n">
        <v>5.988717518239804</v>
      </c>
      <c r="BM41" s="31" t="n">
        <v>1.63167071711126</v>
      </c>
      <c r="BN41" s="31" t="n">
        <v>13.38495766566776</v>
      </c>
      <c r="BO41" s="31" t="n">
        <v>54.05054557741775</v>
      </c>
      <c r="BP41" s="31" t="n">
        <v>2.142145217784869</v>
      </c>
      <c r="BQ41" s="31" t="n">
        <v>14.77501122267812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0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190.1892305726239</v>
      </c>
      <c r="D42" s="29" t="n">
        <v>276.0438482711885</v>
      </c>
      <c r="E42" s="29" t="n">
        <v>24.20333208191879</v>
      </c>
      <c r="F42" s="29" t="n">
        <v>24.34897421884333</v>
      </c>
      <c r="G42" s="29" t="n">
        <v>607.435824893777</v>
      </c>
      <c r="H42" s="29" t="n">
        <v>268.1220186252294</v>
      </c>
      <c r="I42" s="29" t="n">
        <v>117.4253960620087</v>
      </c>
      <c r="J42" s="29" t="n">
        <v>948.3056390415935</v>
      </c>
      <c r="K42" s="29" t="n">
        <v>27.81429118798885</v>
      </c>
      <c r="L42" s="29" t="n">
        <v>911.8054925158299</v>
      </c>
      <c r="M42" s="29" t="n">
        <v>1663.565304617</v>
      </c>
      <c r="N42" s="29" t="n">
        <v>5.199764898312195</v>
      </c>
      <c r="O42" s="29" t="n">
        <v>26.79396617551101</v>
      </c>
      <c r="P42" s="29" t="n">
        <v>30.79921990077366</v>
      </c>
      <c r="Q42" s="29" t="n">
        <v>17.80545469100459</v>
      </c>
      <c r="R42" s="29" t="n">
        <v>170.789735118188</v>
      </c>
      <c r="S42" s="29" t="n">
        <v>40.01463688714409</v>
      </c>
      <c r="T42" s="29" t="n">
        <v>13.37602553925264</v>
      </c>
      <c r="U42" s="29" t="n">
        <v>133.1437505855951</v>
      </c>
      <c r="V42" s="29" t="n">
        <v>21.56588551783391</v>
      </c>
      <c r="W42" s="29" t="n">
        <v>167.4085284176909</v>
      </c>
      <c r="X42" s="29" t="n">
        <v>326.3176865748408</v>
      </c>
      <c r="Y42" s="29" t="n">
        <v>394.9100933419582</v>
      </c>
      <c r="Z42" s="29" t="n">
        <v>51.32318150066796</v>
      </c>
      <c r="AA42" s="29" t="n">
        <v>85.0361401176842</v>
      </c>
      <c r="AB42" s="29" t="n">
        <v>93.04676401570566</v>
      </c>
      <c r="AC42" s="29" t="n">
        <v>968.8057641434308</v>
      </c>
      <c r="AD42" s="29" t="n">
        <v>128.4833729046482</v>
      </c>
      <c r="AE42" s="29" t="n">
        <v>3291.537414420291</v>
      </c>
      <c r="AF42" s="29" t="n">
        <v>410.2794913561871</v>
      </c>
      <c r="AG42" s="29" t="n">
        <v>996.3213270048022</v>
      </c>
      <c r="AH42" s="29" t="n">
        <v>2368.818197944015</v>
      </c>
      <c r="AI42" s="29" t="n">
        <v>1372.046347450799</v>
      </c>
      <c r="AJ42" s="29" t="n">
        <v>802.2314241862324</v>
      </c>
      <c r="AK42" s="29" t="n">
        <v>1240.829920592248</v>
      </c>
      <c r="AL42" s="29" t="n">
        <v>548.6107853475067</v>
      </c>
      <c r="AM42" s="29" t="n">
        <v>1352.282721037438</v>
      </c>
      <c r="AN42" s="29" t="n">
        <v>1197.202792949678</v>
      </c>
      <c r="AO42" s="29" t="n">
        <v>218.0175363463507</v>
      </c>
      <c r="AP42" s="29" t="n">
        <v>10660.86871811186</v>
      </c>
      <c r="AQ42" s="29" t="n">
        <v>165.4391807666988</v>
      </c>
      <c r="AR42" s="29" t="n">
        <v>514.9805200560697</v>
      </c>
      <c r="AS42" s="29" t="n">
        <v>81.12123776536536</v>
      </c>
      <c r="AT42" s="29" t="n">
        <v>4.450083040297904</v>
      </c>
      <c r="AU42" s="29" t="n">
        <v>1.251836187494698</v>
      </c>
      <c r="AV42" s="29" t="n">
        <v>11.46306499551671</v>
      </c>
      <c r="AW42" s="29" t="n">
        <v>72.86187881567838</v>
      </c>
      <c r="AX42" s="29" t="n">
        <v>850.0211553818914</v>
      </c>
      <c r="AY42" s="29" t="n">
        <v>-2.490313378256843</v>
      </c>
      <c r="AZ42" s="29" t="n">
        <v>1.20611642703096</v>
      </c>
      <c r="BA42" s="29" t="n">
        <v>-12.96669013865849</v>
      </c>
      <c r="BB42" s="29" t="n">
        <v>5.298459438327242</v>
      </c>
      <c r="BC42" s="29" t="n">
        <v>4.048135290465886</v>
      </c>
      <c r="BD42" s="29" t="n">
        <v>165.0260876205155</v>
      </c>
      <c r="BE42" s="29" t="n">
        <v>7.094682266884041</v>
      </c>
      <c r="BF42" s="29" t="n">
        <v>16.37439549151916</v>
      </c>
      <c r="BG42" s="29" t="n">
        <v>1.509783124120763</v>
      </c>
      <c r="BH42" s="29" t="n">
        <v>5.835441510843209</v>
      </c>
      <c r="BI42" s="29" t="n">
        <v>121.5143339202855</v>
      </c>
      <c r="BJ42" s="29" t="n">
        <v>35.17760448055083</v>
      </c>
      <c r="BK42" s="29" t="n">
        <v>340.3833986394379</v>
      </c>
      <c r="BL42" s="29" t="n">
        <v>45.28628929062795</v>
      </c>
      <c r="BM42" s="29" t="n">
        <v>1.284376104042061</v>
      </c>
      <c r="BN42" s="29" t="n">
        <v>64.62041027712823</v>
      </c>
      <c r="BO42" s="29" t="n">
        <v>40.98624371800902</v>
      </c>
      <c r="BP42" s="29" t="n">
        <v>2.874079982380507</v>
      </c>
      <c r="BQ42" s="29" t="n">
        <v>48.28667137756109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0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2.554237566240362</v>
      </c>
      <c r="D43" s="31" t="n">
        <v>4.076778070346177</v>
      </c>
      <c r="E43" s="31" t="n">
        <v>0.5838426271814551</v>
      </c>
      <c r="F43" s="31" t="n">
        <v>3.360949267671737</v>
      </c>
      <c r="G43" s="31" t="n">
        <v>475.5520070666065</v>
      </c>
      <c r="H43" s="31" t="n">
        <v>58.80172515049722</v>
      </c>
      <c r="I43" s="31" t="n">
        <v>18.91870162442398</v>
      </c>
      <c r="J43" s="31" t="n">
        <v>-35.58688226586597</v>
      </c>
      <c r="K43" s="31" t="n">
        <v>-1.858237464138291</v>
      </c>
      <c r="L43" s="31" t="n">
        <v>-34.76071566518327</v>
      </c>
      <c r="M43" s="31" t="n">
        <v>3.222649913646282</v>
      </c>
      <c r="N43" s="31" t="n">
        <v>-1.747865580091557</v>
      </c>
      <c r="O43" s="31" t="n">
        <v>-3.650348976042432</v>
      </c>
      <c r="P43" s="31" t="n">
        <v>2.213790063878034</v>
      </c>
      <c r="Q43" s="31" t="n">
        <v>-6.160283783007841</v>
      </c>
      <c r="R43" s="31" t="n">
        <v>0.9380383534709915</v>
      </c>
      <c r="S43" s="31" t="n">
        <v>-13.32777652018995</v>
      </c>
      <c r="T43" s="31" t="n">
        <v>529.8089863153291</v>
      </c>
      <c r="U43" s="31" t="n">
        <v>-3.980869681978223</v>
      </c>
      <c r="V43" s="31" t="n">
        <v>-3.416769472689218</v>
      </c>
      <c r="W43" s="31" t="n">
        <v>-3.398555374746929</v>
      </c>
      <c r="X43" s="31" t="n">
        <v>-8.420968303284992</v>
      </c>
      <c r="Y43" s="31" t="n">
        <v>1.109609329968769</v>
      </c>
      <c r="Z43" s="31" t="n">
        <v>-11.03917624957516</v>
      </c>
      <c r="AA43" s="31" t="n">
        <v>-8.092670191620414</v>
      </c>
      <c r="AB43" s="31" t="n">
        <v>-4.204087633851274</v>
      </c>
      <c r="AC43" s="31" t="n">
        <v>-2.616529835250904</v>
      </c>
      <c r="AD43" s="31" t="n">
        <v>0.2122957623035518</v>
      </c>
      <c r="AE43" s="31" t="n">
        <v>-3.203017808859441</v>
      </c>
      <c r="AF43" s="31" t="n">
        <v>31658.95327985149</v>
      </c>
      <c r="AG43" s="31" t="n">
        <v>914.394655635943</v>
      </c>
      <c r="AH43" s="31" t="n">
        <v>1167.401746884328</v>
      </c>
      <c r="AI43" s="31" t="n">
        <v>444.0627587238857</v>
      </c>
      <c r="AJ43" s="31" t="n">
        <v>347.1683760848894</v>
      </c>
      <c r="AK43" s="31" t="n">
        <v>162.2773079829298</v>
      </c>
      <c r="AL43" s="31" t="n">
        <v>117.068227070474</v>
      </c>
      <c r="AM43" s="31" t="n">
        <v>1382.382951488601</v>
      </c>
      <c r="AN43" s="31" t="n">
        <v>431.497877365642</v>
      </c>
      <c r="AO43" s="31" t="n">
        <v>24.07070686273237</v>
      </c>
      <c r="AP43" s="31" t="n">
        <v>973.4793851554051</v>
      </c>
      <c r="AQ43" s="31" t="n">
        <v>39.31176010037403</v>
      </c>
      <c r="AR43" s="31" t="n">
        <v>299.6806142846885</v>
      </c>
      <c r="AS43" s="31" t="n">
        <v>40.77062001833905</v>
      </c>
      <c r="AT43" s="31" t="n">
        <v>6.32763658404451</v>
      </c>
      <c r="AU43" s="31" t="n">
        <v>9.49562533329598</v>
      </c>
      <c r="AV43" s="31" t="n">
        <v>390.132548965878</v>
      </c>
      <c r="AW43" s="31" t="n">
        <v>1.784424557972147</v>
      </c>
      <c r="AX43" s="31" t="n">
        <v>2.813567202738751</v>
      </c>
      <c r="AY43" s="31" t="n">
        <v>-3.065538333746421</v>
      </c>
      <c r="AZ43" s="31" t="n">
        <v>451.322866650126</v>
      </c>
      <c r="BA43" s="31" t="n">
        <v>269.1161584592307</v>
      </c>
      <c r="BB43" s="31" t="n">
        <v>3497.441088271766</v>
      </c>
      <c r="BC43" s="31" t="n">
        <v>570.3711171812317</v>
      </c>
      <c r="BD43" s="31" t="n">
        <v>11.41887710822048</v>
      </c>
      <c r="BE43" s="31" t="n">
        <v>547.8824036953843</v>
      </c>
      <c r="BF43" s="31" t="n">
        <v>1777.292421084319</v>
      </c>
      <c r="BG43" s="31" t="n">
        <v>178.4062076983676</v>
      </c>
      <c r="BH43" s="31" t="n">
        <v>66.27319765373261</v>
      </c>
      <c r="BI43" s="31" t="n">
        <v>1469.417209790756</v>
      </c>
      <c r="BJ43" s="31" t="n">
        <v>191.4596150245151</v>
      </c>
      <c r="BK43" s="31" t="n">
        <v>432.2273214413325</v>
      </c>
      <c r="BL43" s="31" t="n">
        <v>993.6851146671709</v>
      </c>
      <c r="BM43" s="31" t="n">
        <v>175.4593574199469</v>
      </c>
      <c r="BN43" s="31" t="n">
        <v>384.7121984790118</v>
      </c>
      <c r="BO43" s="31" t="n">
        <v>373.4361747609124</v>
      </c>
      <c r="BP43" s="31" t="n">
        <v>90.73600335459984</v>
      </c>
      <c r="BQ43" s="31" t="n">
        <v>1148.244049639462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0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32.65120565795364</v>
      </c>
      <c r="D44" s="29" t="n">
        <v>69.47699415181397</v>
      </c>
      <c r="E44" s="29" t="n">
        <v>5.178822088515492</v>
      </c>
      <c r="F44" s="29" t="n">
        <v>16.36935125459494</v>
      </c>
      <c r="G44" s="29" t="n">
        <v>184.8123460651474</v>
      </c>
      <c r="H44" s="29" t="n">
        <v>53.98405684795124</v>
      </c>
      <c r="I44" s="29" t="n">
        <v>24.03156110009998</v>
      </c>
      <c r="J44" s="29" t="n">
        <v>3.496478649763018</v>
      </c>
      <c r="K44" s="29" t="n">
        <v>10.95112516764146</v>
      </c>
      <c r="L44" s="29" t="n">
        <v>41.03777913959128</v>
      </c>
      <c r="M44" s="29" t="n">
        <v>30.02489001700879</v>
      </c>
      <c r="N44" s="29" t="n">
        <v>0.1101953993730819</v>
      </c>
      <c r="O44" s="29" t="n">
        <v>24.10593326927858</v>
      </c>
      <c r="P44" s="29" t="n">
        <v>-0.9233289927602094</v>
      </c>
      <c r="Q44" s="29" t="n">
        <v>0.9171270014734587</v>
      </c>
      <c r="R44" s="29" t="n">
        <v>15.41224101558456</v>
      </c>
      <c r="S44" s="29" t="n">
        <v>29.47718202256473</v>
      </c>
      <c r="T44" s="29" t="n">
        <v>23.22842244898413</v>
      </c>
      <c r="U44" s="29" t="n">
        <v>1.633689786233537</v>
      </c>
      <c r="V44" s="29" t="n">
        <v>2.447555754151401</v>
      </c>
      <c r="W44" s="29" t="n">
        <v>60.66843197066022</v>
      </c>
      <c r="X44" s="29" t="n">
        <v>12.42306953165244</v>
      </c>
      <c r="Y44" s="29" t="n">
        <v>15.02302129685168</v>
      </c>
      <c r="Z44" s="29" t="n">
        <v>-0.5906932543658772</v>
      </c>
      <c r="AA44" s="29" t="n">
        <v>64.64371713393859</v>
      </c>
      <c r="AB44" s="29" t="n">
        <v>84.30468497834912</v>
      </c>
      <c r="AC44" s="29" t="n">
        <v>23.68112392588881</v>
      </c>
      <c r="AD44" s="29" t="n">
        <v>95.24471289364331</v>
      </c>
      <c r="AE44" s="29" t="n">
        <v>63.49528296505911</v>
      </c>
      <c r="AF44" s="29" t="n">
        <v>1778.584846326728</v>
      </c>
      <c r="AG44" s="29" t="n">
        <v>5594.043349123612</v>
      </c>
      <c r="AH44" s="29" t="n">
        <v>2020.742269206294</v>
      </c>
      <c r="AI44" s="29" t="n">
        <v>754.9329559760444</v>
      </c>
      <c r="AJ44" s="29" t="n">
        <v>566.4027921466345</v>
      </c>
      <c r="AK44" s="29" t="n">
        <v>340.6181137095221</v>
      </c>
      <c r="AL44" s="29" t="n">
        <v>185.4584492846458</v>
      </c>
      <c r="AM44" s="29" t="n">
        <v>1657.078976576108</v>
      </c>
      <c r="AN44" s="29" t="n">
        <v>4173.842349821649</v>
      </c>
      <c r="AO44" s="29" t="n">
        <v>123.0005024756844</v>
      </c>
      <c r="AP44" s="29" t="n">
        <v>6420.528670183678</v>
      </c>
      <c r="AQ44" s="29" t="n">
        <v>305.9399756969627</v>
      </c>
      <c r="AR44" s="29" t="n">
        <v>580.1876284819604</v>
      </c>
      <c r="AS44" s="29" t="n">
        <v>745.7525958660792</v>
      </c>
      <c r="AT44" s="29" t="n">
        <v>13.24832061267936</v>
      </c>
      <c r="AU44" s="29" t="n">
        <v>0.7438137124982545</v>
      </c>
      <c r="AV44" s="29" t="n">
        <v>63.516544611302</v>
      </c>
      <c r="AW44" s="29" t="n">
        <v>22.43897448686824</v>
      </c>
      <c r="AX44" s="29" t="n">
        <v>21.62356327869636</v>
      </c>
      <c r="AY44" s="29" t="n">
        <v>0.8834295694364867</v>
      </c>
      <c r="AZ44" s="29" t="n">
        <v>34.73793858433068</v>
      </c>
      <c r="BA44" s="29" t="n">
        <v>488.712276938665</v>
      </c>
      <c r="BB44" s="29" t="n">
        <v>28.89748732694082</v>
      </c>
      <c r="BC44" s="29" t="n">
        <v>32.6876698804893</v>
      </c>
      <c r="BD44" s="29" t="n">
        <v>297.2563204644574</v>
      </c>
      <c r="BE44" s="29" t="n">
        <v>442.4336571255869</v>
      </c>
      <c r="BF44" s="29" t="n">
        <v>78.39542949688636</v>
      </c>
      <c r="BG44" s="29" t="n">
        <v>25.49369098305842</v>
      </c>
      <c r="BH44" s="29" t="n">
        <v>21.12023810405528</v>
      </c>
      <c r="BI44" s="29" t="n">
        <v>377.0519459973289</v>
      </c>
      <c r="BJ44" s="29" t="n">
        <v>1.845522983231967</v>
      </c>
      <c r="BK44" s="29" t="n">
        <v>62.15256233528306</v>
      </c>
      <c r="BL44" s="29" t="n">
        <v>45.99355570725177</v>
      </c>
      <c r="BM44" s="29" t="n">
        <v>0.7250612837846891</v>
      </c>
      <c r="BN44" s="29" t="n">
        <v>18.82069979709951</v>
      </c>
      <c r="BO44" s="29" t="n">
        <v>10.04139011270803</v>
      </c>
      <c r="BP44" s="29" t="n">
        <v>40.00871983024053</v>
      </c>
      <c r="BQ44" s="29" t="n">
        <v>714.5680857741231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0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22.5218284702767</v>
      </c>
      <c r="D45" s="31" t="n">
        <v>34.20773912974534</v>
      </c>
      <c r="E45" s="31" t="n">
        <v>6.147949866343151</v>
      </c>
      <c r="F45" s="31" t="n">
        <v>93.09460002673333</v>
      </c>
      <c r="G45" s="31" t="n">
        <v>2294.388510318168</v>
      </c>
      <c r="H45" s="31" t="n">
        <v>1836.522202149021</v>
      </c>
      <c r="I45" s="31" t="n">
        <v>638.1047212843879</v>
      </c>
      <c r="J45" s="31" t="n">
        <v>-111.1109229920147</v>
      </c>
      <c r="K45" s="31" t="n">
        <v>-3.071014284057536</v>
      </c>
      <c r="L45" s="31" t="n">
        <v>-53.08990384940084</v>
      </c>
      <c r="M45" s="31" t="n">
        <v>50.97720808975144</v>
      </c>
      <c r="N45" s="31" t="n">
        <v>-3.761894694745001</v>
      </c>
      <c r="O45" s="31" t="n">
        <v>-7.092975640690814</v>
      </c>
      <c r="P45" s="31" t="n">
        <v>-12.76103350101943</v>
      </c>
      <c r="Q45" s="31" t="n">
        <v>-16.82910211632981</v>
      </c>
      <c r="R45" s="31" t="n">
        <v>52.1564064763724</v>
      </c>
      <c r="S45" s="31" t="n">
        <v>-23.01595736423994</v>
      </c>
      <c r="T45" s="31" t="n">
        <v>14.23704720311733</v>
      </c>
      <c r="U45" s="31" t="n">
        <v>27.93844461251554</v>
      </c>
      <c r="V45" s="31" t="n">
        <v>-6.214583422462201</v>
      </c>
      <c r="W45" s="31" t="n">
        <v>-0.1929951811202109</v>
      </c>
      <c r="X45" s="31" t="n">
        <v>-8.527229868598628</v>
      </c>
      <c r="Y45" s="31" t="n">
        <v>14.81046573573393</v>
      </c>
      <c r="Z45" s="31" t="n">
        <v>-25.50390113472652</v>
      </c>
      <c r="AA45" s="31" t="n">
        <v>48.17498210562524</v>
      </c>
      <c r="AB45" s="31" t="n">
        <v>-0.8161398205072981</v>
      </c>
      <c r="AC45" s="31" t="n">
        <v>42.0054982134743</v>
      </c>
      <c r="AD45" s="31" t="n">
        <v>34.0279838985552</v>
      </c>
      <c r="AE45" s="31" t="n">
        <v>128.535291820111</v>
      </c>
      <c r="AF45" s="31" t="n">
        <v>189.1284386134176</v>
      </c>
      <c r="AG45" s="31" t="n">
        <v>537.1937520728218</v>
      </c>
      <c r="AH45" s="31" t="n">
        <v>12816.79324580687</v>
      </c>
      <c r="AI45" s="31" t="n">
        <v>1769.127523220408</v>
      </c>
      <c r="AJ45" s="31" t="n">
        <v>263.5110836156833</v>
      </c>
      <c r="AK45" s="31" t="n">
        <v>752.296577619079</v>
      </c>
      <c r="AL45" s="31" t="n">
        <v>26.44953059844633</v>
      </c>
      <c r="AM45" s="31" t="n">
        <v>6572.578403036978</v>
      </c>
      <c r="AN45" s="31" t="n">
        <v>170.8239929893697</v>
      </c>
      <c r="AO45" s="31" t="n">
        <v>69.07878291015898</v>
      </c>
      <c r="AP45" s="31" t="n">
        <v>3562.2627845434</v>
      </c>
      <c r="AQ45" s="31" t="n">
        <v>510.6468853657303</v>
      </c>
      <c r="AR45" s="31" t="n">
        <v>263.0858580690708</v>
      </c>
      <c r="AS45" s="31" t="n">
        <v>279.6114908835557</v>
      </c>
      <c r="AT45" s="31" t="n">
        <v>105.735519749129</v>
      </c>
      <c r="AU45" s="31" t="n">
        <v>6.123683096220657</v>
      </c>
      <c r="AV45" s="31" t="n">
        <v>170.7641579762405</v>
      </c>
      <c r="AW45" s="31" t="n">
        <v>7.574579198468987</v>
      </c>
      <c r="AX45" s="31" t="n">
        <v>27.43860680486797</v>
      </c>
      <c r="AY45" s="31" t="n">
        <v>-8.269881884314762</v>
      </c>
      <c r="AZ45" s="31" t="n">
        <v>-8.962266479457462</v>
      </c>
      <c r="BA45" s="31" t="n">
        <v>-18.63197543798194</v>
      </c>
      <c r="BB45" s="31" t="n">
        <v>8.052116115643498</v>
      </c>
      <c r="BC45" s="31" t="n">
        <v>7.215280080061566</v>
      </c>
      <c r="BD45" s="31" t="n">
        <v>13.92527124375925</v>
      </c>
      <c r="BE45" s="31" t="n">
        <v>8.292031961772288</v>
      </c>
      <c r="BF45" s="31" t="n">
        <v>49.96053287354416</v>
      </c>
      <c r="BG45" s="31" t="n">
        <v>-0.1594019339157583</v>
      </c>
      <c r="BH45" s="31" t="n">
        <v>10.87961534504108</v>
      </c>
      <c r="BI45" s="31" t="n">
        <v>955.9548198023365</v>
      </c>
      <c r="BJ45" s="31" t="n">
        <v>1.128752897547603</v>
      </c>
      <c r="BK45" s="31" t="n">
        <v>80.27393305631415</v>
      </c>
      <c r="BL45" s="31" t="n">
        <v>23.72459162167125</v>
      </c>
      <c r="BM45" s="31" t="n">
        <v>0.6317482354039867</v>
      </c>
      <c r="BN45" s="31" t="n">
        <v>97.84002524479155</v>
      </c>
      <c r="BO45" s="31" t="n">
        <v>25.1116676108954</v>
      </c>
      <c r="BP45" s="31" t="n">
        <v>4.750345934803469</v>
      </c>
      <c r="BQ45" s="31" t="n">
        <v>36.84678787333884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0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-2.106052546484805</v>
      </c>
      <c r="D46" s="29" t="n">
        <v>1.305892866290776</v>
      </c>
      <c r="E46" s="29" t="n">
        <v>-0.3319522429287974</v>
      </c>
      <c r="F46" s="29" t="n">
        <v>-0.9818398727935402</v>
      </c>
      <c r="G46" s="29" t="n">
        <v>10.4228160560944</v>
      </c>
      <c r="H46" s="29" t="n">
        <v>-7.069733796762624</v>
      </c>
      <c r="I46" s="29" t="n">
        <v>0.7956692415700394</v>
      </c>
      <c r="J46" s="29" t="n">
        <v>1.210913325062501</v>
      </c>
      <c r="K46" s="29" t="n">
        <v>14.71425287471655</v>
      </c>
      <c r="L46" s="29" t="n">
        <v>1.851504882604047</v>
      </c>
      <c r="M46" s="29" t="n">
        <v>1.582140777966311</v>
      </c>
      <c r="N46" s="29" t="n">
        <v>0.02745074185343781</v>
      </c>
      <c r="O46" s="29" t="n">
        <v>0.3600134456197477</v>
      </c>
      <c r="P46" s="29" t="n">
        <v>0.0949704528125363</v>
      </c>
      <c r="Q46" s="29" t="n">
        <v>0.02421780620640972</v>
      </c>
      <c r="R46" s="29" t="n">
        <v>0.5986760139210064</v>
      </c>
      <c r="S46" s="29" t="n">
        <v>0.8515619887963262</v>
      </c>
      <c r="T46" s="29" t="n">
        <v>0.09561070647167653</v>
      </c>
      <c r="U46" s="29" t="n">
        <v>0.1830869708568547</v>
      </c>
      <c r="V46" s="29" t="n">
        <v>-0.008929086340218417</v>
      </c>
      <c r="W46" s="29" t="n">
        <v>1.418056546268764</v>
      </c>
      <c r="X46" s="29" t="n">
        <v>8.239257472578098</v>
      </c>
      <c r="Y46" s="29" t="n">
        <v>0.5380061712103753</v>
      </c>
      <c r="Z46" s="29" t="n">
        <v>-0.8050988323795414</v>
      </c>
      <c r="AA46" s="29" t="n">
        <v>-2.897766810875846</v>
      </c>
      <c r="AB46" s="29" t="n">
        <v>-4.25274438462164</v>
      </c>
      <c r="AC46" s="29" t="n">
        <v>1.52563681605477</v>
      </c>
      <c r="AD46" s="29" t="n">
        <v>0.125092418162161</v>
      </c>
      <c r="AE46" s="29" t="n">
        <v>3.673073704337673</v>
      </c>
      <c r="AF46" s="29" t="n">
        <v>17.20751429985596</v>
      </c>
      <c r="AG46" s="29" t="n">
        <v>88.0547643465207</v>
      </c>
      <c r="AH46" s="29" t="n">
        <v>37.89020245144466</v>
      </c>
      <c r="AI46" s="29" t="n">
        <v>2841.094586630267</v>
      </c>
      <c r="AJ46" s="29" t="n">
        <v>158.3384788590774</v>
      </c>
      <c r="AK46" s="29" t="n">
        <v>155.0771798541615</v>
      </c>
      <c r="AL46" s="29" t="n">
        <v>2.54454824837223</v>
      </c>
      <c r="AM46" s="29" t="n">
        <v>79.59824728207772</v>
      </c>
      <c r="AN46" s="29" t="n">
        <v>66.03500175881011</v>
      </c>
      <c r="AO46" s="29" t="n">
        <v>-11.67227558092227</v>
      </c>
      <c r="AP46" s="29" t="n">
        <v>129.5020132957882</v>
      </c>
      <c r="AQ46" s="29" t="n">
        <v>330.6992601205226</v>
      </c>
      <c r="AR46" s="29" t="n">
        <v>-67.14757964251332</v>
      </c>
      <c r="AS46" s="29" t="n">
        <v>245.3306312942159</v>
      </c>
      <c r="AT46" s="29" t="n">
        <v>0.6576152406648644</v>
      </c>
      <c r="AU46" s="29" t="n">
        <v>0.03458817670295653</v>
      </c>
      <c r="AV46" s="29" t="n">
        <v>-8.169865347933388</v>
      </c>
      <c r="AW46" s="29" t="n">
        <v>0.5254915572227806</v>
      </c>
      <c r="AX46" s="29" t="n">
        <v>-1.020437615630448</v>
      </c>
      <c r="AY46" s="29" t="n">
        <v>-0.08133495301859155</v>
      </c>
      <c r="AZ46" s="29" t="n">
        <v>-0.523007589833638</v>
      </c>
      <c r="BA46" s="29" t="n">
        <v>8.857234821029209</v>
      </c>
      <c r="BB46" s="29" t="n">
        <v>0.1349956026798473</v>
      </c>
      <c r="BC46" s="29" t="n">
        <v>-1.927946568327892</v>
      </c>
      <c r="BD46" s="29" t="n">
        <v>5.108054830668881</v>
      </c>
      <c r="BE46" s="29" t="n">
        <v>8.000604291699581</v>
      </c>
      <c r="BF46" s="29" t="n">
        <v>8.704300809052127</v>
      </c>
      <c r="BG46" s="29" t="n">
        <v>0.007485934548335555</v>
      </c>
      <c r="BH46" s="29" t="n">
        <v>-16.68768938258576</v>
      </c>
      <c r="BI46" s="29" t="n">
        <v>9.458956317307464</v>
      </c>
      <c r="BJ46" s="29" t="n">
        <v>-3.425346780364443</v>
      </c>
      <c r="BK46" s="29" t="n">
        <v>-10.53763864407856</v>
      </c>
      <c r="BL46" s="29" t="n">
        <v>-1.187769899295075</v>
      </c>
      <c r="BM46" s="29" t="n">
        <v>0.05185259069222709</v>
      </c>
      <c r="BN46" s="29" t="n">
        <v>-21.79549462924138</v>
      </c>
      <c r="BO46" s="29" t="n">
        <v>-14.39625379199968</v>
      </c>
      <c r="BP46" s="29" t="n">
        <v>-0.3521573950244486</v>
      </c>
      <c r="BQ46" s="29" t="n">
        <v>6.444580315731796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0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12.31726353963283</v>
      </c>
      <c r="D47" s="31" t="n">
        <v>11.61378709279043</v>
      </c>
      <c r="E47" s="31" t="n">
        <v>0.7487070021796758</v>
      </c>
      <c r="F47" s="31" t="n">
        <v>5.569163199745487</v>
      </c>
      <c r="G47" s="31" t="n">
        <v>50.92967017269514</v>
      </c>
      <c r="H47" s="31" t="n">
        <v>29.81221988331772</v>
      </c>
      <c r="I47" s="31" t="n">
        <v>10.47503970850776</v>
      </c>
      <c r="J47" s="31" t="n">
        <v>21.85547754804632</v>
      </c>
      <c r="K47" s="31" t="n">
        <v>1.768293882427811</v>
      </c>
      <c r="L47" s="31" t="n">
        <v>30.97655533070763</v>
      </c>
      <c r="M47" s="31" t="n">
        <v>34.54259899524573</v>
      </c>
      <c r="N47" s="31" t="n">
        <v>0.1424138531098823</v>
      </c>
      <c r="O47" s="31" t="n">
        <v>21.00081743588869</v>
      </c>
      <c r="P47" s="31" t="n">
        <v>4.400632988123404</v>
      </c>
      <c r="Q47" s="31" t="n">
        <v>12.20557245505195</v>
      </c>
      <c r="R47" s="31" t="n">
        <v>4.54100986305122</v>
      </c>
      <c r="S47" s="31" t="n">
        <v>4.275489363178792</v>
      </c>
      <c r="T47" s="31" t="n">
        <v>5.49668834046483</v>
      </c>
      <c r="U47" s="31" t="n">
        <v>3.0707045394782</v>
      </c>
      <c r="V47" s="31" t="n">
        <v>1.861843465441461</v>
      </c>
      <c r="W47" s="31" t="n">
        <v>24.06044355217528</v>
      </c>
      <c r="X47" s="31" t="n">
        <v>10.01987383826154</v>
      </c>
      <c r="Y47" s="31" t="n">
        <v>9.899091847419813</v>
      </c>
      <c r="Z47" s="31" t="n">
        <v>2.448568818185575</v>
      </c>
      <c r="AA47" s="31" t="n">
        <v>31.52820965079994</v>
      </c>
      <c r="AB47" s="31" t="n">
        <v>40.70286853561065</v>
      </c>
      <c r="AC47" s="31" t="n">
        <v>91.77403343350474</v>
      </c>
      <c r="AD47" s="31" t="n">
        <v>10.410347059692</v>
      </c>
      <c r="AE47" s="31" t="n">
        <v>67.05956893226332</v>
      </c>
      <c r="AF47" s="31" t="n">
        <v>77.87820843382018</v>
      </c>
      <c r="AG47" s="31" t="n">
        <v>112.1513428258557</v>
      </c>
      <c r="AH47" s="31" t="n">
        <v>273.8945411383875</v>
      </c>
      <c r="AI47" s="31" t="n">
        <v>23133.43157048746</v>
      </c>
      <c r="AJ47" s="31" t="n">
        <v>5745.302390083165</v>
      </c>
      <c r="AK47" s="31" t="n">
        <v>103.8733446039601</v>
      </c>
      <c r="AL47" s="31" t="n">
        <v>20.61353259893755</v>
      </c>
      <c r="AM47" s="31" t="n">
        <v>162.0252984505414</v>
      </c>
      <c r="AN47" s="31" t="n">
        <v>110.7869178888167</v>
      </c>
      <c r="AO47" s="31" t="n">
        <v>8.186793943221604</v>
      </c>
      <c r="AP47" s="31" t="n">
        <v>451.2490661654982</v>
      </c>
      <c r="AQ47" s="31" t="n">
        <v>8423.357623220565</v>
      </c>
      <c r="AR47" s="31" t="n">
        <v>34.52704301223629</v>
      </c>
      <c r="AS47" s="31" t="n">
        <v>6570.682523474823</v>
      </c>
      <c r="AT47" s="31" t="n">
        <v>1.984153430597682</v>
      </c>
      <c r="AU47" s="31" t="n">
        <v>5.238044257217343</v>
      </c>
      <c r="AV47" s="31" t="n">
        <v>3.967565466050784</v>
      </c>
      <c r="AW47" s="31" t="n">
        <v>4.315915115374669</v>
      </c>
      <c r="AX47" s="31" t="n">
        <v>17.78346859595285</v>
      </c>
      <c r="AY47" s="31" t="n">
        <v>0.1139032800539799</v>
      </c>
      <c r="AZ47" s="31" t="n">
        <v>1.41582008167976</v>
      </c>
      <c r="BA47" s="31" t="n">
        <v>10.03825597684289</v>
      </c>
      <c r="BB47" s="31" t="n">
        <v>0.8937878370807177</v>
      </c>
      <c r="BC47" s="31" t="n">
        <v>1.278114252493336</v>
      </c>
      <c r="BD47" s="31" t="n">
        <v>11.42767284080579</v>
      </c>
      <c r="BE47" s="31" t="n">
        <v>8.741237994788449</v>
      </c>
      <c r="BF47" s="31" t="n">
        <v>42.59445026015472</v>
      </c>
      <c r="BG47" s="31" t="n">
        <v>0.6344571363019318</v>
      </c>
      <c r="BH47" s="31" t="n">
        <v>111.2562764910028</v>
      </c>
      <c r="BI47" s="31" t="n">
        <v>24.9567023677292</v>
      </c>
      <c r="BJ47" s="31" t="n">
        <v>0.5957356691617007</v>
      </c>
      <c r="BK47" s="31" t="n">
        <v>469.0550854747845</v>
      </c>
      <c r="BL47" s="31" t="n">
        <v>184.3001169788238</v>
      </c>
      <c r="BM47" s="31" t="n">
        <v>0.4905157042451381</v>
      </c>
      <c r="BN47" s="31" t="n">
        <v>71.57502576693749</v>
      </c>
      <c r="BO47" s="31" t="n">
        <v>3.077365880723367</v>
      </c>
      <c r="BP47" s="31" t="n">
        <v>1.165139392368056</v>
      </c>
      <c r="BQ47" s="31" t="n">
        <v>13.92158509728931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0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1.649760727111203</v>
      </c>
      <c r="D48" s="29" t="n">
        <v>2.372656284567736</v>
      </c>
      <c r="E48" s="29" t="n">
        <v>0.3297855966064345</v>
      </c>
      <c r="F48" s="29" t="n">
        <v>1.063021607828409</v>
      </c>
      <c r="G48" s="29" t="n">
        <v>19.38403757768871</v>
      </c>
      <c r="H48" s="29" t="n">
        <v>12.87664092504178</v>
      </c>
      <c r="I48" s="29" t="n">
        <v>4.817097706232071</v>
      </c>
      <c r="J48" s="29" t="n">
        <v>-23.59479118438565</v>
      </c>
      <c r="K48" s="29" t="n">
        <v>-0.801374394362385</v>
      </c>
      <c r="L48" s="29" t="n">
        <v>-12.0501212461462</v>
      </c>
      <c r="M48" s="29" t="n">
        <v>12.56580794521843</v>
      </c>
      <c r="N48" s="29" t="n">
        <v>-0.8378980882044882</v>
      </c>
      <c r="O48" s="29" t="n">
        <v>-2.517117776855412</v>
      </c>
      <c r="P48" s="29" t="n">
        <v>0.4182967456910945</v>
      </c>
      <c r="Q48" s="29" t="n">
        <v>-3.746933002458102</v>
      </c>
      <c r="R48" s="29" t="n">
        <v>0.7653793295133894</v>
      </c>
      <c r="S48" s="29" t="n">
        <v>-6.341182789236782</v>
      </c>
      <c r="T48" s="29" t="n">
        <v>0.8343286562388801</v>
      </c>
      <c r="U48" s="29" t="n">
        <v>-1.070018687098297</v>
      </c>
      <c r="V48" s="29" t="n">
        <v>-1.459218810903424</v>
      </c>
      <c r="W48" s="29" t="n">
        <v>-1.367805573240221</v>
      </c>
      <c r="X48" s="29" t="n">
        <v>-2.611055759885529</v>
      </c>
      <c r="Y48" s="29" t="n">
        <v>2.922404599798911</v>
      </c>
      <c r="Z48" s="29" t="n">
        <v>-5.623551111158513</v>
      </c>
      <c r="AA48" s="29" t="n">
        <v>-4.637743616043594</v>
      </c>
      <c r="AB48" s="29" t="n">
        <v>-2.172679423407144</v>
      </c>
      <c r="AC48" s="29" t="n">
        <v>7.289193516161265</v>
      </c>
      <c r="AD48" s="29" t="n">
        <v>0.4142050559493737</v>
      </c>
      <c r="AE48" s="29" t="n">
        <v>20.53592081272518</v>
      </c>
      <c r="AF48" s="29" t="n">
        <v>8.274494045546195</v>
      </c>
      <c r="AG48" s="29" t="n">
        <v>8.818918460142312</v>
      </c>
      <c r="AH48" s="29" t="n">
        <v>82.16767390522834</v>
      </c>
      <c r="AI48" s="29" t="n">
        <v>89.22438678095973</v>
      </c>
      <c r="AJ48" s="29" t="n">
        <v>26.8827812899715</v>
      </c>
      <c r="AK48" s="29" t="n">
        <v>7808.712639780773</v>
      </c>
      <c r="AL48" s="29" t="n">
        <v>6.207026729895706</v>
      </c>
      <c r="AM48" s="29" t="n">
        <v>1279.962621488569</v>
      </c>
      <c r="AN48" s="29" t="n">
        <v>13.56050421215514</v>
      </c>
      <c r="AO48" s="29" t="n">
        <v>3.106213601142214</v>
      </c>
      <c r="AP48" s="29" t="n">
        <v>115.484210371861</v>
      </c>
      <c r="AQ48" s="29" t="n">
        <v>119.592206814797</v>
      </c>
      <c r="AR48" s="29" t="n">
        <v>-16.48664661258058</v>
      </c>
      <c r="AS48" s="29" t="n">
        <v>814.5665180636776</v>
      </c>
      <c r="AT48" s="29" t="n">
        <v>1.907087903705229</v>
      </c>
      <c r="AU48" s="29" t="n">
        <v>0.5230098462235592</v>
      </c>
      <c r="AV48" s="29" t="n">
        <v>3.905416314368719</v>
      </c>
      <c r="AW48" s="29" t="n">
        <v>0.6383997830880696</v>
      </c>
      <c r="AX48" s="29" t="n">
        <v>6.891549462718888</v>
      </c>
      <c r="AY48" s="29" t="n">
        <v>-1.918467504965351</v>
      </c>
      <c r="AZ48" s="29" t="n">
        <v>-2.405867128205528</v>
      </c>
      <c r="BA48" s="29" t="n">
        <v>-15.98055923392105</v>
      </c>
      <c r="BB48" s="29" t="n">
        <v>-0.7149656249484698</v>
      </c>
      <c r="BC48" s="29" t="n">
        <v>0.9914550027488598</v>
      </c>
      <c r="BD48" s="29" t="n">
        <v>2.065154365488306</v>
      </c>
      <c r="BE48" s="29" t="n">
        <v>-0.1252024675233232</v>
      </c>
      <c r="BF48" s="29" t="n">
        <v>1.245159147274896</v>
      </c>
      <c r="BG48" s="29" t="n">
        <v>0.03629096346806263</v>
      </c>
      <c r="BH48" s="29" t="n">
        <v>2.594368574946719</v>
      </c>
      <c r="BI48" s="29" t="n">
        <v>7.329702187815047</v>
      </c>
      <c r="BJ48" s="29" t="n">
        <v>0.3904743450771443</v>
      </c>
      <c r="BK48" s="29" t="n">
        <v>196.2085415953207</v>
      </c>
      <c r="BL48" s="29" t="n">
        <v>4.128774635895471</v>
      </c>
      <c r="BM48" s="29" t="n">
        <v>0.1183653484410313</v>
      </c>
      <c r="BN48" s="29" t="n">
        <v>8.352591543777109</v>
      </c>
      <c r="BO48" s="29" t="n">
        <v>32.26578926834026</v>
      </c>
      <c r="BP48" s="29" t="n">
        <v>0.96735529093826</v>
      </c>
      <c r="BQ48" s="29" t="n">
        <v>52.82314404035539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0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31.35965027141491</v>
      </c>
      <c r="D49" s="31" t="n">
        <v>23.97642335308502</v>
      </c>
      <c r="E49" s="31" t="n">
        <v>11.69647884547058</v>
      </c>
      <c r="F49" s="31" t="n">
        <v>7.865054014771863</v>
      </c>
      <c r="G49" s="31" t="n">
        <v>78.75002443027408</v>
      </c>
      <c r="H49" s="31" t="n">
        <v>32.50936277270144</v>
      </c>
      <c r="I49" s="31" t="n">
        <v>9.054299903071156</v>
      </c>
      <c r="J49" s="31" t="n">
        <v>-27.09623655987396</v>
      </c>
      <c r="K49" s="31" t="n">
        <v>4.266544335677034</v>
      </c>
      <c r="L49" s="31" t="n">
        <v>30.2681392447572</v>
      </c>
      <c r="M49" s="31" t="n">
        <v>34.19645820125677</v>
      </c>
      <c r="N49" s="31" t="n">
        <v>-1.419510547265751</v>
      </c>
      <c r="O49" s="31" t="n">
        <v>41.98006493543295</v>
      </c>
      <c r="P49" s="31" t="n">
        <v>1402.822847383446</v>
      </c>
      <c r="Q49" s="31" t="n">
        <v>264.3373821906293</v>
      </c>
      <c r="R49" s="31" t="n">
        <v>18.91719125654276</v>
      </c>
      <c r="S49" s="31" t="n">
        <v>2.944897727802392</v>
      </c>
      <c r="T49" s="31" t="n">
        <v>9.433617960659417</v>
      </c>
      <c r="U49" s="31" t="n">
        <v>8.258589983082935</v>
      </c>
      <c r="V49" s="31" t="n">
        <v>-1.862189004897257</v>
      </c>
      <c r="W49" s="31" t="n">
        <v>126.9434650135588</v>
      </c>
      <c r="X49" s="31" t="n">
        <v>56.75657538265529</v>
      </c>
      <c r="Y49" s="31" t="n">
        <v>19.43391795662261</v>
      </c>
      <c r="Z49" s="31" t="n">
        <v>71.92420646768169</v>
      </c>
      <c r="AA49" s="31" t="n">
        <v>76.84817571635003</v>
      </c>
      <c r="AB49" s="31" t="n">
        <v>146.4251232112876</v>
      </c>
      <c r="AC49" s="31" t="n">
        <v>7.49226460258737</v>
      </c>
      <c r="AD49" s="31" t="n">
        <v>4.4300029264354</v>
      </c>
      <c r="AE49" s="31" t="n">
        <v>27.54601445020897</v>
      </c>
      <c r="AF49" s="31" t="n">
        <v>67.69081152098994</v>
      </c>
      <c r="AG49" s="31" t="n">
        <v>27.71115256173594</v>
      </c>
      <c r="AH49" s="31" t="n">
        <v>610.5977158550347</v>
      </c>
      <c r="AI49" s="31" t="n">
        <v>330.3235346191427</v>
      </c>
      <c r="AJ49" s="31" t="n">
        <v>332.3288052940603</v>
      </c>
      <c r="AK49" s="31" t="n">
        <v>48.885678920339</v>
      </c>
      <c r="AL49" s="31" t="n">
        <v>2454.202906738647</v>
      </c>
      <c r="AM49" s="31" t="n">
        <v>171.9323558940646</v>
      </c>
      <c r="AN49" s="31" t="n">
        <v>89.63975425555005</v>
      </c>
      <c r="AO49" s="31" t="n">
        <v>39.26243958868061</v>
      </c>
      <c r="AP49" s="31" t="n">
        <v>1048.717032787111</v>
      </c>
      <c r="AQ49" s="31" t="n">
        <v>41.17407146440411</v>
      </c>
      <c r="AR49" s="31" t="n">
        <v>418.9678150146016</v>
      </c>
      <c r="AS49" s="31" t="n">
        <v>110.8207753563871</v>
      </c>
      <c r="AT49" s="31" t="n">
        <v>87.93320255749443</v>
      </c>
      <c r="AU49" s="31" t="n">
        <v>2.5112022603127</v>
      </c>
      <c r="AV49" s="31" t="n">
        <v>163.7701102264271</v>
      </c>
      <c r="AW49" s="31" t="n">
        <v>9.557589745734072</v>
      </c>
      <c r="AX49" s="31" t="n">
        <v>19.09880448292198</v>
      </c>
      <c r="AY49" s="31" t="n">
        <v>-2.232450243105381</v>
      </c>
      <c r="AZ49" s="31" t="n">
        <v>48.85211852661786</v>
      </c>
      <c r="BA49" s="31" t="n">
        <v>-28.32708993706042</v>
      </c>
      <c r="BB49" s="31" t="n">
        <v>82.6407757778184</v>
      </c>
      <c r="BC49" s="31" t="n">
        <v>242.2994644610335</v>
      </c>
      <c r="BD49" s="31" t="n">
        <v>135.9938335028973</v>
      </c>
      <c r="BE49" s="31" t="n">
        <v>263.7608332937391</v>
      </c>
      <c r="BF49" s="31" t="n">
        <v>417.0278648437877</v>
      </c>
      <c r="BG49" s="31" t="n">
        <v>285.3203982091894</v>
      </c>
      <c r="BH49" s="31" t="n">
        <v>533.2198054925801</v>
      </c>
      <c r="BI49" s="31" t="n">
        <v>194.8241364790188</v>
      </c>
      <c r="BJ49" s="31" t="n">
        <v>18.72008997722341</v>
      </c>
      <c r="BK49" s="31" t="n">
        <v>845.9130884370547</v>
      </c>
      <c r="BL49" s="31" t="n">
        <v>1036.617670171652</v>
      </c>
      <c r="BM49" s="31" t="n">
        <v>30.24050761425324</v>
      </c>
      <c r="BN49" s="31" t="n">
        <v>2460.031126546037</v>
      </c>
      <c r="BO49" s="31" t="n">
        <v>12158.40309570588</v>
      </c>
      <c r="BP49" s="31" t="n">
        <v>174.1781095035962</v>
      </c>
      <c r="BQ49" s="31" t="n">
        <v>122.6486717707392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0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18.49218373204204</v>
      </c>
      <c r="D50" s="29" t="n">
        <v>9.005189700027604</v>
      </c>
      <c r="E50" s="29" t="n">
        <v>22.69397515197716</v>
      </c>
      <c r="F50" s="29" t="n">
        <v>184.1946289275447</v>
      </c>
      <c r="G50" s="29" t="n">
        <v>764.1581866166028</v>
      </c>
      <c r="H50" s="29" t="n">
        <v>284.2116273485901</v>
      </c>
      <c r="I50" s="29" t="n">
        <v>206.3928890563241</v>
      </c>
      <c r="J50" s="29" t="n">
        <v>228.8800885024735</v>
      </c>
      <c r="K50" s="29" t="n">
        <v>121.0889433245434</v>
      </c>
      <c r="L50" s="29" t="n">
        <v>121.1130453031086</v>
      </c>
      <c r="M50" s="29" t="n">
        <v>99.84360616016322</v>
      </c>
      <c r="N50" s="29" t="n">
        <v>2.062731227578686</v>
      </c>
      <c r="O50" s="29" t="n">
        <v>42.58683373090821</v>
      </c>
      <c r="P50" s="29" t="n">
        <v>68.76428346937126</v>
      </c>
      <c r="Q50" s="29" t="n">
        <v>40.29280861376359</v>
      </c>
      <c r="R50" s="29" t="n">
        <v>126.6813826977657</v>
      </c>
      <c r="S50" s="29" t="n">
        <v>616.2065185078194</v>
      </c>
      <c r="T50" s="29" t="n">
        <v>298.6613570294202</v>
      </c>
      <c r="U50" s="29" t="n">
        <v>126.6084270954792</v>
      </c>
      <c r="V50" s="29" t="n">
        <v>169.7287043794354</v>
      </c>
      <c r="W50" s="29" t="n">
        <v>239.9962282368777</v>
      </c>
      <c r="X50" s="29" t="n">
        <v>123.9916294659152</v>
      </c>
      <c r="Y50" s="29" t="n">
        <v>34.70016709094032</v>
      </c>
      <c r="Z50" s="29" t="n">
        <v>147.0152091288377</v>
      </c>
      <c r="AA50" s="29" t="n">
        <v>119.7501561074427</v>
      </c>
      <c r="AB50" s="29" t="n">
        <v>652.4816087857254</v>
      </c>
      <c r="AC50" s="29" t="n">
        <v>1942.584263528245</v>
      </c>
      <c r="AD50" s="29" t="n">
        <v>453.1107719362506</v>
      </c>
      <c r="AE50" s="29" t="n">
        <v>184.4281842856641</v>
      </c>
      <c r="AF50" s="29" t="n">
        <v>55.59464304183758</v>
      </c>
      <c r="AG50" s="29" t="n">
        <v>181.9722667216567</v>
      </c>
      <c r="AH50" s="29" t="n">
        <v>421.2928718217269</v>
      </c>
      <c r="AI50" s="29" t="n">
        <v>72.53067886633252</v>
      </c>
      <c r="AJ50" s="29" t="n">
        <v>145.7755646140955</v>
      </c>
      <c r="AK50" s="29" t="n">
        <v>260.6624088498851</v>
      </c>
      <c r="AL50" s="29" t="n">
        <v>179.893800680317</v>
      </c>
      <c r="AM50" s="29" t="n">
        <v>292.0720905782836</v>
      </c>
      <c r="AN50" s="29" t="n">
        <v>418.9707179781491</v>
      </c>
      <c r="AO50" s="29" t="n">
        <v>247.2747986461143</v>
      </c>
      <c r="AP50" s="29" t="n">
        <v>702.0889434792005</v>
      </c>
      <c r="AQ50" s="29" t="n">
        <v>194.147634196004</v>
      </c>
      <c r="AR50" s="29" t="n">
        <v>1010.368356433732</v>
      </c>
      <c r="AS50" s="29" t="n">
        <v>259.3493449493518</v>
      </c>
      <c r="AT50" s="29" t="n">
        <v>312.5726637069208</v>
      </c>
      <c r="AU50" s="29" t="n">
        <v>152.3954899197904</v>
      </c>
      <c r="AV50" s="29" t="n">
        <v>720.2677760999263</v>
      </c>
      <c r="AW50" s="29" t="n">
        <v>2.60255012301376</v>
      </c>
      <c r="AX50" s="29" t="n">
        <v>57.07114821402956</v>
      </c>
      <c r="AY50" s="29" t="n">
        <v>146.6680622615274</v>
      </c>
      <c r="AZ50" s="29" t="n">
        <v>34.71085764848088</v>
      </c>
      <c r="BA50" s="29" t="n">
        <v>112.3363272013307</v>
      </c>
      <c r="BB50" s="29" t="n">
        <v>211.9520524135749</v>
      </c>
      <c r="BC50" s="29" t="n">
        <v>80.28615811783588</v>
      </c>
      <c r="BD50" s="29" t="n">
        <v>27.18395636202237</v>
      </c>
      <c r="BE50" s="29" t="n">
        <v>221.4135332522036</v>
      </c>
      <c r="BF50" s="29" t="n">
        <v>63.46179744556003</v>
      </c>
      <c r="BG50" s="29" t="n">
        <v>31.17404726974554</v>
      </c>
      <c r="BH50" s="29" t="n">
        <v>234.3775439838674</v>
      </c>
      <c r="BI50" s="29" t="n">
        <v>214.2926929900953</v>
      </c>
      <c r="BJ50" s="29" t="n">
        <v>50.66374652112451</v>
      </c>
      <c r="BK50" s="29" t="n">
        <v>280.1512783729779</v>
      </c>
      <c r="BL50" s="29" t="n">
        <v>32.59113425181516</v>
      </c>
      <c r="BM50" s="29" t="n">
        <v>0.06272088655596092</v>
      </c>
      <c r="BN50" s="29" t="n">
        <v>256.0250256758665</v>
      </c>
      <c r="BO50" s="29" t="n">
        <v>101.1031326235362</v>
      </c>
      <c r="BP50" s="29" t="n">
        <v>132.4315444274546</v>
      </c>
      <c r="BQ50" s="29" t="n">
        <v>124.9204141510068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0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1272.967884656435</v>
      </c>
      <c r="D51" s="31" t="n">
        <v>853.4754941363536</v>
      </c>
      <c r="E51" s="31" t="n">
        <v>70.06135032563817</v>
      </c>
      <c r="F51" s="31" t="n">
        <v>118.8203783663842</v>
      </c>
      <c r="G51" s="31" t="n">
        <v>52.90035920474209</v>
      </c>
      <c r="H51" s="31" t="n">
        <v>197.1036859262446</v>
      </c>
      <c r="I51" s="31" t="n">
        <v>81.67269168898608</v>
      </c>
      <c r="J51" s="31" t="n">
        <v>280.4080574188724</v>
      </c>
      <c r="K51" s="31" t="n">
        <v>9.455095519178476</v>
      </c>
      <c r="L51" s="31" t="n">
        <v>557.8304604279321</v>
      </c>
      <c r="M51" s="31" t="n">
        <v>123.619770814099</v>
      </c>
      <c r="N51" s="31" t="n">
        <v>10.75102505745657</v>
      </c>
      <c r="O51" s="31" t="n">
        <v>258.0756505859361</v>
      </c>
      <c r="P51" s="31" t="n">
        <v>41.45864736742536</v>
      </c>
      <c r="Q51" s="31" t="n">
        <v>50.16689183449379</v>
      </c>
      <c r="R51" s="31" t="n">
        <v>150.5333503564294</v>
      </c>
      <c r="S51" s="31" t="n">
        <v>369.805953651992</v>
      </c>
      <c r="T51" s="31" t="n">
        <v>27.1335750502203</v>
      </c>
      <c r="U51" s="31" t="n">
        <v>6.741633772822482</v>
      </c>
      <c r="V51" s="31" t="n">
        <v>29.42058328092882</v>
      </c>
      <c r="W51" s="31" t="n">
        <v>781.2882263253525</v>
      </c>
      <c r="X51" s="31" t="n">
        <v>123.2952085559425</v>
      </c>
      <c r="Y51" s="31" t="n">
        <v>37.76053285755113</v>
      </c>
      <c r="Z51" s="31" t="n">
        <v>54.00626173827119</v>
      </c>
      <c r="AA51" s="31" t="n">
        <v>379.8225922713517</v>
      </c>
      <c r="AB51" s="31" t="n">
        <v>786.7741269738889</v>
      </c>
      <c r="AC51" s="31" t="n">
        <v>614.6420824260769</v>
      </c>
      <c r="AD51" s="31" t="n">
        <v>477.2832002369828</v>
      </c>
      <c r="AE51" s="31" t="n">
        <v>224.6368518075834</v>
      </c>
      <c r="AF51" s="31" t="n">
        <v>28.91778523461131</v>
      </c>
      <c r="AG51" s="31" t="n">
        <v>112.237811804885</v>
      </c>
      <c r="AH51" s="31" t="n">
        <v>119.9307621391477</v>
      </c>
      <c r="AI51" s="31" t="n">
        <v>86.33839016126589</v>
      </c>
      <c r="AJ51" s="31" t="n">
        <v>202.7695187259457</v>
      </c>
      <c r="AK51" s="31" t="n">
        <v>55.63379662578943</v>
      </c>
      <c r="AL51" s="31" t="n">
        <v>70.70599763568325</v>
      </c>
      <c r="AM51" s="31" t="n">
        <v>44.51328292736872</v>
      </c>
      <c r="AN51" s="31" t="n">
        <v>16128.21915356021</v>
      </c>
      <c r="AO51" s="31" t="n">
        <v>589.5921042814767</v>
      </c>
      <c r="AP51" s="31" t="n">
        <v>109.9681479025598</v>
      </c>
      <c r="AQ51" s="31" t="n">
        <v>246.6712778916867</v>
      </c>
      <c r="AR51" s="31" t="n">
        <v>3376.878693375252</v>
      </c>
      <c r="AS51" s="31" t="n">
        <v>240.1213065802651</v>
      </c>
      <c r="AT51" s="31" t="n">
        <v>10.43841319850431</v>
      </c>
      <c r="AU51" s="31" t="n">
        <v>7.059774976039013</v>
      </c>
      <c r="AV51" s="31" t="n">
        <v>200.7022941884292</v>
      </c>
      <c r="AW51" s="31" t="n">
        <v>233.1660377206982</v>
      </c>
      <c r="AX51" s="31" t="n">
        <v>299.624205323344</v>
      </c>
      <c r="AY51" s="31" t="n">
        <v>28.95643252739125</v>
      </c>
      <c r="AZ51" s="31" t="n">
        <v>70.14012108148205</v>
      </c>
      <c r="BA51" s="31" t="n">
        <v>348.1483578043942</v>
      </c>
      <c r="BB51" s="31" t="n">
        <v>100.4301476009639</v>
      </c>
      <c r="BC51" s="31" t="n">
        <v>437.0074420632055</v>
      </c>
      <c r="BD51" s="31" t="n">
        <v>80.23777563536177</v>
      </c>
      <c r="BE51" s="31" t="n">
        <v>194.6329297460892</v>
      </c>
      <c r="BF51" s="31" t="n">
        <v>55.07633537197891</v>
      </c>
      <c r="BG51" s="31" t="n">
        <v>32.25741029732878</v>
      </c>
      <c r="BH51" s="31" t="n">
        <v>28.41925121720917</v>
      </c>
      <c r="BI51" s="31" t="n">
        <v>1204.201497559709</v>
      </c>
      <c r="BJ51" s="31" t="n">
        <v>17.70300897786894</v>
      </c>
      <c r="BK51" s="31" t="n">
        <v>1008.055578168232</v>
      </c>
      <c r="BL51" s="31" t="n">
        <v>313.325769236193</v>
      </c>
      <c r="BM51" s="31" t="n">
        <v>421.5566534598239</v>
      </c>
      <c r="BN51" s="31" t="n">
        <v>237.5509765616919</v>
      </c>
      <c r="BO51" s="31" t="n">
        <v>278.9676152990717</v>
      </c>
      <c r="BP51" s="31" t="n">
        <v>166.9062567577608</v>
      </c>
      <c r="BQ51" s="31" t="n">
        <v>592.1349463734197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0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0.02459394803994316</v>
      </c>
      <c r="D52" s="29" t="n">
        <v>0.04871157179573273</v>
      </c>
      <c r="E52" s="29" t="n">
        <v>0.0636135784711773</v>
      </c>
      <c r="F52" s="29" t="n">
        <v>2.430079456583299</v>
      </c>
      <c r="G52" s="29" t="n">
        <v>3.519254676748803</v>
      </c>
      <c r="H52" s="29" t="n">
        <v>15.57191829368887</v>
      </c>
      <c r="I52" s="29" t="n">
        <v>5.756481574843341</v>
      </c>
      <c r="J52" s="29" t="n">
        <v>12.02903821205631</v>
      </c>
      <c r="K52" s="29" t="n">
        <v>4.527381441441137</v>
      </c>
      <c r="L52" s="29" t="n">
        <v>24.46104340108998</v>
      </c>
      <c r="M52" s="29" t="n">
        <v>45.52446514879179</v>
      </c>
      <c r="N52" s="29" t="n">
        <v>0.08049839803148397</v>
      </c>
      <c r="O52" s="29" t="n">
        <v>5.094603264046986</v>
      </c>
      <c r="P52" s="29" t="n">
        <v>2.389561537098976</v>
      </c>
      <c r="Q52" s="29" t="n">
        <v>1.839500430222601</v>
      </c>
      <c r="R52" s="29" t="n">
        <v>18.12002511625647</v>
      </c>
      <c r="S52" s="29" t="n">
        <v>29.17846828775124</v>
      </c>
      <c r="T52" s="29" t="n">
        <v>0.67115829351548</v>
      </c>
      <c r="U52" s="29" t="n">
        <v>36.11176682596677</v>
      </c>
      <c r="V52" s="29" t="n">
        <v>2.353615726584973</v>
      </c>
      <c r="W52" s="29" t="n">
        <v>52.84549910017216</v>
      </c>
      <c r="X52" s="29" t="n">
        <v>36.45556927703171</v>
      </c>
      <c r="Y52" s="29" t="n">
        <v>10.67921804105941</v>
      </c>
      <c r="Z52" s="29" t="n">
        <v>6.36604960321308</v>
      </c>
      <c r="AA52" s="29" t="n">
        <v>44.28931211426917</v>
      </c>
      <c r="AB52" s="29" t="n">
        <v>65.29985726759497</v>
      </c>
      <c r="AC52" s="29" t="n">
        <v>414.2966234384901</v>
      </c>
      <c r="AD52" s="29" t="n">
        <v>201.7271333510929</v>
      </c>
      <c r="AE52" s="29" t="n">
        <v>14.31400769158695</v>
      </c>
      <c r="AF52" s="29" t="n">
        <v>1.661225598839418</v>
      </c>
      <c r="AG52" s="29" t="n">
        <v>5.144132691036196</v>
      </c>
      <c r="AH52" s="29" t="n">
        <v>8.544483279497841</v>
      </c>
      <c r="AI52" s="29" t="n">
        <v>7.413590557028471</v>
      </c>
      <c r="AJ52" s="29" t="n">
        <v>21.93014763600203</v>
      </c>
      <c r="AK52" s="29" t="n">
        <v>11.30348723128691</v>
      </c>
      <c r="AL52" s="29" t="n">
        <v>6.598910257060512</v>
      </c>
      <c r="AM52" s="29" t="n">
        <v>2.301887471986033</v>
      </c>
      <c r="AN52" s="29" t="n">
        <v>5.870805970630386</v>
      </c>
      <c r="AO52" s="29" t="n">
        <v>81.59775692795708</v>
      </c>
      <c r="AP52" s="29" t="n">
        <v>23.78969112303239</v>
      </c>
      <c r="AQ52" s="29" t="n">
        <v>29.22921503217893</v>
      </c>
      <c r="AR52" s="29" t="n">
        <v>327.4314106616658</v>
      </c>
      <c r="AS52" s="29" t="n">
        <v>20.81729743192753</v>
      </c>
      <c r="AT52" s="29" t="n">
        <v>0.7664290036981096</v>
      </c>
      <c r="AU52" s="29" t="n">
        <v>0.5185128299830501</v>
      </c>
      <c r="AV52" s="29" t="n">
        <v>60.0248224789103</v>
      </c>
      <c r="AW52" s="29" t="n">
        <v>28.29399798984714</v>
      </c>
      <c r="AX52" s="29" t="n">
        <v>94.92153283606861</v>
      </c>
      <c r="AY52" s="29" t="n">
        <v>2.727332902351812</v>
      </c>
      <c r="AZ52" s="29" t="n">
        <v>4.377280079407649</v>
      </c>
      <c r="BA52" s="29" t="n">
        <v>3.880252317742435</v>
      </c>
      <c r="BB52" s="29" t="n">
        <v>8.138144597348484</v>
      </c>
      <c r="BC52" s="29" t="n">
        <v>44.79640792298368</v>
      </c>
      <c r="BD52" s="29" t="n">
        <v>31.52242310488358</v>
      </c>
      <c r="BE52" s="29" t="n">
        <v>42.49926836609441</v>
      </c>
      <c r="BF52" s="29" t="n">
        <v>5.602909766213195</v>
      </c>
      <c r="BG52" s="29" t="n">
        <v>2.470055886378322</v>
      </c>
      <c r="BH52" s="29" t="n">
        <v>3.744577601998647</v>
      </c>
      <c r="BI52" s="29" t="n">
        <v>350.6985716104215</v>
      </c>
      <c r="BJ52" s="29" t="n">
        <v>2.489619610793625</v>
      </c>
      <c r="BK52" s="29" t="n">
        <v>889.8666227722653</v>
      </c>
      <c r="BL52" s="29" t="n">
        <v>113.7470319371026</v>
      </c>
      <c r="BM52" s="29" t="n">
        <v>18.6937358544395</v>
      </c>
      <c r="BN52" s="29" t="n">
        <v>146.5925298335549</v>
      </c>
      <c r="BO52" s="29" t="n">
        <v>159.9464168199429</v>
      </c>
      <c r="BP52" s="29" t="n">
        <v>8.359728582262722</v>
      </c>
      <c r="BQ52" s="29" t="n">
        <v>144.1030120602557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0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8.353966779007258</v>
      </c>
      <c r="D53" s="31" t="n">
        <v>9.831130186583319</v>
      </c>
      <c r="E53" s="31" t="n">
        <v>1.462518104071032</v>
      </c>
      <c r="F53" s="31" t="n">
        <v>2.989633914775069</v>
      </c>
      <c r="G53" s="31" t="n">
        <v>225.9155971607447</v>
      </c>
      <c r="H53" s="31" t="n">
        <v>76.12719742235028</v>
      </c>
      <c r="I53" s="31" t="n">
        <v>20.87987428992961</v>
      </c>
      <c r="J53" s="31" t="n">
        <v>4.513709740194731</v>
      </c>
      <c r="K53" s="31" t="n">
        <v>4.351618004074341</v>
      </c>
      <c r="L53" s="31" t="n">
        <v>14.87569409501923</v>
      </c>
      <c r="M53" s="31" t="n">
        <v>5.246488078538596</v>
      </c>
      <c r="N53" s="31" t="n">
        <v>0.5593411606785169</v>
      </c>
      <c r="O53" s="31" t="n">
        <v>1.709890987848078</v>
      </c>
      <c r="P53" s="31" t="n">
        <v>1.371691099406983</v>
      </c>
      <c r="Q53" s="31" t="n">
        <v>0.9211156907770255</v>
      </c>
      <c r="R53" s="31" t="n">
        <v>1.478944890290675</v>
      </c>
      <c r="S53" s="31" t="n">
        <v>9.896052891190916</v>
      </c>
      <c r="T53" s="31" t="n">
        <v>2.651112967552833</v>
      </c>
      <c r="U53" s="31" t="n">
        <v>6.996335106453154</v>
      </c>
      <c r="V53" s="31" t="n">
        <v>2.290170324504067</v>
      </c>
      <c r="W53" s="31" t="n">
        <v>8.798241637664916</v>
      </c>
      <c r="X53" s="31" t="n">
        <v>6.099789050103276</v>
      </c>
      <c r="Y53" s="31" t="n">
        <v>1.173638400253002</v>
      </c>
      <c r="Z53" s="31" t="n">
        <v>2.52603253050998</v>
      </c>
      <c r="AA53" s="31" t="n">
        <v>7.307743416572948</v>
      </c>
      <c r="AB53" s="31" t="n">
        <v>5.871443586429458</v>
      </c>
      <c r="AC53" s="31" t="n">
        <v>11.58923710115841</v>
      </c>
      <c r="AD53" s="31" t="n">
        <v>76.54507329181777</v>
      </c>
      <c r="AE53" s="31" t="n">
        <v>11.93884259668378</v>
      </c>
      <c r="AF53" s="31" t="n">
        <v>11.24789512995077</v>
      </c>
      <c r="AG53" s="31" t="n">
        <v>3.443168407771557</v>
      </c>
      <c r="AH53" s="31" t="n">
        <v>15.37257403112394</v>
      </c>
      <c r="AI53" s="31" t="n">
        <v>32.51362859369458</v>
      </c>
      <c r="AJ53" s="31" t="n">
        <v>7.309588982666486</v>
      </c>
      <c r="AK53" s="31" t="n">
        <v>20.4644818654332</v>
      </c>
      <c r="AL53" s="31" t="n">
        <v>3.888992277692756</v>
      </c>
      <c r="AM53" s="31" t="n">
        <v>6.346326138146599</v>
      </c>
      <c r="AN53" s="31" t="n">
        <v>11.56108169553306</v>
      </c>
      <c r="AO53" s="31" t="n">
        <v>241.4615697801308</v>
      </c>
      <c r="AP53" s="31" t="n">
        <v>3356.717277484514</v>
      </c>
      <c r="AQ53" s="31" t="n">
        <v>36.63793909552943</v>
      </c>
      <c r="AR53" s="31" t="n">
        <v>144.0786394622293</v>
      </c>
      <c r="AS53" s="31" t="n">
        <v>62.20379741687893</v>
      </c>
      <c r="AT53" s="31" t="n">
        <v>12.12442706427528</v>
      </c>
      <c r="AU53" s="31" t="n">
        <v>37.50433302214769</v>
      </c>
      <c r="AV53" s="31" t="n">
        <v>92.80490052089344</v>
      </c>
      <c r="AW53" s="31" t="n">
        <v>16.49793426376773</v>
      </c>
      <c r="AX53" s="31" t="n">
        <v>33.09360476757671</v>
      </c>
      <c r="AY53" s="31" t="n">
        <v>10.7147573683955</v>
      </c>
      <c r="AZ53" s="31" t="n">
        <v>26.26794018368731</v>
      </c>
      <c r="BA53" s="31" t="n">
        <v>300.1467397243275</v>
      </c>
      <c r="BB53" s="31" t="n">
        <v>76.57006211098562</v>
      </c>
      <c r="BC53" s="31" t="n">
        <v>108.0374985402128</v>
      </c>
      <c r="BD53" s="31" t="n">
        <v>85.05453853160098</v>
      </c>
      <c r="BE53" s="31" t="n">
        <v>23.06508463834804</v>
      </c>
      <c r="BF53" s="31" t="n">
        <v>50.20230935054987</v>
      </c>
      <c r="BG53" s="31" t="n">
        <v>3.502082759321668</v>
      </c>
      <c r="BH53" s="31" t="n">
        <v>30.28442404360279</v>
      </c>
      <c r="BI53" s="31" t="n">
        <v>154.231694425203</v>
      </c>
      <c r="BJ53" s="31" t="n">
        <v>4.290397365192931</v>
      </c>
      <c r="BK53" s="31" t="n">
        <v>719.4647501318576</v>
      </c>
      <c r="BL53" s="31" t="n">
        <v>80.96914260481948</v>
      </c>
      <c r="BM53" s="31" t="n">
        <v>47.75600886672271</v>
      </c>
      <c r="BN53" s="31" t="n">
        <v>200.0980267680654</v>
      </c>
      <c r="BO53" s="31" t="n">
        <v>9.848082715339537</v>
      </c>
      <c r="BP53" s="31" t="n">
        <v>12.48202780646787</v>
      </c>
      <c r="BQ53" s="31" t="n">
        <v>23.33396445113975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0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-213.1903594924625</v>
      </c>
      <c r="D54" s="29" t="n">
        <v>-48.69670458759945</v>
      </c>
      <c r="E54" s="29" t="n">
        <v>-24.07124543411745</v>
      </c>
      <c r="F54" s="29" t="n">
        <v>-81.2572573865675</v>
      </c>
      <c r="G54" s="29" t="n">
        <v>80.29217725129999</v>
      </c>
      <c r="H54" s="29" t="n">
        <v>-776.0428390156666</v>
      </c>
      <c r="I54" s="29" t="n">
        <v>-107.8264716928833</v>
      </c>
      <c r="J54" s="29" t="n">
        <v>-14.08991653800119</v>
      </c>
      <c r="K54" s="29" t="n">
        <v>1.907554182074285</v>
      </c>
      <c r="L54" s="29" t="n">
        <v>-7.504651831609056</v>
      </c>
      <c r="M54" s="29" t="n">
        <v>-31.35114598861588</v>
      </c>
      <c r="N54" s="29" t="n">
        <v>0.4251258787047541</v>
      </c>
      <c r="O54" s="29" t="n">
        <v>-5.023592440933899</v>
      </c>
      <c r="P54" s="29" t="n">
        <v>1.727275676935864</v>
      </c>
      <c r="Q54" s="29" t="n">
        <v>-5.032771248579737</v>
      </c>
      <c r="R54" s="29" t="n">
        <v>1.554783108895627</v>
      </c>
      <c r="S54" s="29" t="n">
        <v>8.845851040982799</v>
      </c>
      <c r="T54" s="29" t="n">
        <v>2.306128082248391</v>
      </c>
      <c r="U54" s="29" t="n">
        <v>7.180002593127077</v>
      </c>
      <c r="V54" s="29" t="n">
        <v>-6.65956639944949</v>
      </c>
      <c r="W54" s="29" t="n">
        <v>5.592892674401771</v>
      </c>
      <c r="X54" s="29" t="n">
        <v>-6.057893283600489</v>
      </c>
      <c r="Y54" s="29" t="n">
        <v>1.495797265329149</v>
      </c>
      <c r="Z54" s="29" t="n">
        <v>-52.02756450673962</v>
      </c>
      <c r="AA54" s="29" t="n">
        <v>-210.6843321108376</v>
      </c>
      <c r="AB54" s="29" t="n">
        <v>-382.5448949040639</v>
      </c>
      <c r="AC54" s="29" t="n">
        <v>1.172427015025141</v>
      </c>
      <c r="AD54" s="29" t="n">
        <v>-56.51065788932669</v>
      </c>
      <c r="AE54" s="29" t="n">
        <v>8.822204683803125</v>
      </c>
      <c r="AF54" s="29" t="n">
        <v>-584.9137819048013</v>
      </c>
      <c r="AG54" s="29" t="n">
        <v>-31.68530413820086</v>
      </c>
      <c r="AH54" s="29" t="n">
        <v>-2868.786178657917</v>
      </c>
      <c r="AI54" s="29" t="n">
        <v>-66.65735054477194</v>
      </c>
      <c r="AJ54" s="29" t="n">
        <v>64.07222509342427</v>
      </c>
      <c r="AK54" s="29" t="n">
        <v>10.79539897519421</v>
      </c>
      <c r="AL54" s="29" t="n">
        <v>-50.69982730347482</v>
      </c>
      <c r="AM54" s="29" t="n">
        <v>-77.00941521628263</v>
      </c>
      <c r="AN54" s="29" t="n">
        <v>-446.781099723587</v>
      </c>
      <c r="AO54" s="29" t="n">
        <v>-728.5972320799929</v>
      </c>
      <c r="AP54" s="29" t="n">
        <v>-608.6366198068475</v>
      </c>
      <c r="AQ54" s="29" t="n">
        <v>-1459.636668312845</v>
      </c>
      <c r="AR54" s="29" t="n">
        <v>-4084.956315939418</v>
      </c>
      <c r="AS54" s="29" t="n">
        <v>-7274.618888756413</v>
      </c>
      <c r="AT54" s="29" t="n">
        <v>16.59457813250457</v>
      </c>
      <c r="AU54" s="29" t="n">
        <v>50.51801385426663</v>
      </c>
      <c r="AV54" s="29" t="n">
        <v>-485.4032089616601</v>
      </c>
      <c r="AW54" s="29" t="n">
        <v>2.235866935301605</v>
      </c>
      <c r="AX54" s="29" t="n">
        <v>-100.0290416237318</v>
      </c>
      <c r="AY54" s="29" t="n">
        <v>3.957148878588758</v>
      </c>
      <c r="AZ54" s="29" t="n">
        <v>-47.654748878652</v>
      </c>
      <c r="BA54" s="29" t="n">
        <v>45.92674036654324</v>
      </c>
      <c r="BB54" s="29" t="n">
        <v>37.44140722461162</v>
      </c>
      <c r="BC54" s="29" t="n">
        <v>-110.359845306133</v>
      </c>
      <c r="BD54" s="29" t="n">
        <v>-31.30197661762902</v>
      </c>
      <c r="BE54" s="29" t="n">
        <v>11.60136219865163</v>
      </c>
      <c r="BF54" s="29" t="n">
        <v>-105.6992008890262</v>
      </c>
      <c r="BG54" s="29" t="n">
        <v>-18.78896254188102</v>
      </c>
      <c r="BH54" s="29" t="n">
        <v>-1013.348171150134</v>
      </c>
      <c r="BI54" s="29" t="n">
        <v>-65.57487585875478</v>
      </c>
      <c r="BJ54" s="29" t="n">
        <v>-183.5764067828889</v>
      </c>
      <c r="BK54" s="29" t="n">
        <v>-1824.651950224655</v>
      </c>
      <c r="BL54" s="29" t="n">
        <v>-314.8818560095527</v>
      </c>
      <c r="BM54" s="29" t="n">
        <v>35.80545442769622</v>
      </c>
      <c r="BN54" s="29" t="n">
        <v>-1232.89745856755</v>
      </c>
      <c r="BO54" s="29" t="n">
        <v>-740.0327367773649</v>
      </c>
      <c r="BP54" s="29" t="n">
        <v>-51.9447708024042</v>
      </c>
      <c r="BQ54" s="29" t="n">
        <v>-37.04667541523803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0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159.4195582090907</v>
      </c>
      <c r="D55" s="31" t="n">
        <v>376.6356794852769</v>
      </c>
      <c r="E55" s="31" t="n">
        <v>12.87086736993578</v>
      </c>
      <c r="F55" s="31" t="n">
        <v>-516.3460135024789</v>
      </c>
      <c r="G55" s="31" t="n">
        <v>-260.2582174292502</v>
      </c>
      <c r="H55" s="31" t="n">
        <v>-961.1553490102889</v>
      </c>
      <c r="I55" s="31" t="n">
        <v>-797.9765057326065</v>
      </c>
      <c r="J55" s="31" t="n">
        <v>-108942.9612011762</v>
      </c>
      <c r="K55" s="31" t="n">
        <v>-4950.857044643982</v>
      </c>
      <c r="L55" s="31" t="n">
        <v>-68686.29324385502</v>
      </c>
      <c r="M55" s="31" t="n">
        <v>-2951.769063304802</v>
      </c>
      <c r="N55" s="31" t="n">
        <v>-3038.423740199312</v>
      </c>
      <c r="O55" s="31" t="n">
        <v>-9809.093481910428</v>
      </c>
      <c r="P55" s="31" t="n">
        <v>-12567.81864261617</v>
      </c>
      <c r="Q55" s="31" t="n">
        <v>-16021.18603629745</v>
      </c>
      <c r="R55" s="31" t="n">
        <v>-4400.077310511222</v>
      </c>
      <c r="S55" s="31" t="n">
        <v>-30015.68153558518</v>
      </c>
      <c r="T55" s="31" t="n">
        <v>-1083.347368692372</v>
      </c>
      <c r="U55" s="31" t="n">
        <v>-7467.476438905505</v>
      </c>
      <c r="V55" s="31" t="n">
        <v>-7490.104492685164</v>
      </c>
      <c r="W55" s="31" t="n">
        <v>-12987.22540253113</v>
      </c>
      <c r="X55" s="31" t="n">
        <v>-19462.91056583894</v>
      </c>
      <c r="Y55" s="31" t="n">
        <v>-1367.995822693483</v>
      </c>
      <c r="Z55" s="31" t="n">
        <v>-22556.58430358782</v>
      </c>
      <c r="AA55" s="31" t="n">
        <v>-26097.38803428612</v>
      </c>
      <c r="AB55" s="31" t="n">
        <v>-19364.17199754282</v>
      </c>
      <c r="AC55" s="31" t="n">
        <v>-23894.84577040493</v>
      </c>
      <c r="AD55" s="31" t="n">
        <v>-6961.129300553868</v>
      </c>
      <c r="AE55" s="31" t="n">
        <v>-22201.31249399948</v>
      </c>
      <c r="AF55" s="31" t="n">
        <v>-13358.41117941703</v>
      </c>
      <c r="AG55" s="31" t="n">
        <v>-18459.64680242329</v>
      </c>
      <c r="AH55" s="31" t="n">
        <v>-39534.89634566981</v>
      </c>
      <c r="AI55" s="31" t="n">
        <v>-1113.91427540318</v>
      </c>
      <c r="AJ55" s="31" t="n">
        <v>-388.8923167648927</v>
      </c>
      <c r="AK55" s="31" t="n">
        <v>-3123.175318363635</v>
      </c>
      <c r="AL55" s="31" t="n">
        <v>-11339.74137788601</v>
      </c>
      <c r="AM55" s="31" t="n">
        <v>-85.20339085733488</v>
      </c>
      <c r="AN55" s="31" t="n">
        <v>131.5906218293795</v>
      </c>
      <c r="AO55" s="31" t="n">
        <v>-46.09441798957421</v>
      </c>
      <c r="AP55" s="31" t="n">
        <v>717.02920960425</v>
      </c>
      <c r="AQ55" s="31" t="n">
        <v>81.40555663743046</v>
      </c>
      <c r="AR55" s="31" t="n">
        <v>-97339.9842943828</v>
      </c>
      <c r="AS55" s="31" t="n">
        <v>240.2679083315388</v>
      </c>
      <c r="AT55" s="31" t="n">
        <v>96.04161657172408</v>
      </c>
      <c r="AU55" s="31" t="n">
        <v>209.7901027989599</v>
      </c>
      <c r="AV55" s="31" t="n">
        <v>205.8591567668036</v>
      </c>
      <c r="AW55" s="31" t="n">
        <v>52.04529024113682</v>
      </c>
      <c r="AX55" s="31" t="n">
        <v>1085.339963550421</v>
      </c>
      <c r="AY55" s="31" t="n">
        <v>-8117.287440675179</v>
      </c>
      <c r="AZ55" s="31" t="n">
        <v>-9375.13712305666</v>
      </c>
      <c r="BA55" s="31" t="n">
        <v>-58277.98782813502</v>
      </c>
      <c r="BB55" s="31" t="n">
        <v>-5408.220872528762</v>
      </c>
      <c r="BC55" s="31" t="n">
        <v>-395.9790308073343</v>
      </c>
      <c r="BD55" s="31" t="n">
        <v>35.12583968602502</v>
      </c>
      <c r="BE55" s="31" t="n">
        <v>-7045.772661973935</v>
      </c>
      <c r="BF55" s="31" t="n">
        <v>-577.13442213989</v>
      </c>
      <c r="BG55" s="31" t="n">
        <v>-2844.032631249952</v>
      </c>
      <c r="BH55" s="31" t="n">
        <v>135.0031061784973</v>
      </c>
      <c r="BI55" s="31" t="n">
        <v>-5027.40683505493</v>
      </c>
      <c r="BJ55" s="31" t="n">
        <v>-702.0450177429225</v>
      </c>
      <c r="BK55" s="31" t="n">
        <v>465.9761998863739</v>
      </c>
      <c r="BL55" s="31" t="n">
        <v>320.2821925818193</v>
      </c>
      <c r="BM55" s="31" t="n">
        <v>-17.46696287617506</v>
      </c>
      <c r="BN55" s="31" t="n">
        <v>756.3596009304673</v>
      </c>
      <c r="BO55" s="31" t="n">
        <v>1121.314223485767</v>
      </c>
      <c r="BP55" s="31" t="n">
        <v>-290.2596835357268</v>
      </c>
      <c r="BQ55" s="31" t="n">
        <v>-49.98360175528978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0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-1684.887171925256</v>
      </c>
      <c r="D56" s="29" t="n">
        <v>-263.626317696681</v>
      </c>
      <c r="E56" s="29" t="n">
        <v>-156.9877829448783</v>
      </c>
      <c r="F56" s="29" t="n">
        <v>-300.8547620528523</v>
      </c>
      <c r="G56" s="29" t="n">
        <v>-1691.018818833863</v>
      </c>
      <c r="H56" s="29" t="n">
        <v>-695.7249520333185</v>
      </c>
      <c r="I56" s="29" t="n">
        <v>-250.8714511610279</v>
      </c>
      <c r="J56" s="29" t="n">
        <v>-3301.099550915515</v>
      </c>
      <c r="K56" s="29" t="n">
        <v>-604.6133230142993</v>
      </c>
      <c r="L56" s="29" t="n">
        <v>-4468.020464041011</v>
      </c>
      <c r="M56" s="29" t="n">
        <v>-896.6280708611722</v>
      </c>
      <c r="N56" s="29" t="n">
        <v>-46.31958762374316</v>
      </c>
      <c r="O56" s="29" t="n">
        <v>-314.8289260447529</v>
      </c>
      <c r="P56" s="29" t="n">
        <v>-188.3800629193012</v>
      </c>
      <c r="Q56" s="29" t="n">
        <v>-303.1063349948529</v>
      </c>
      <c r="R56" s="29" t="n">
        <v>-100.9614048737846</v>
      </c>
      <c r="S56" s="29" t="n">
        <v>-923.3081427641777</v>
      </c>
      <c r="T56" s="29" t="n">
        <v>-108.9544800590649</v>
      </c>
      <c r="U56" s="29" t="n">
        <v>-1324.870663076201</v>
      </c>
      <c r="V56" s="29" t="n">
        <v>-335.9935320252068</v>
      </c>
      <c r="W56" s="29" t="n">
        <v>-1606.480054563074</v>
      </c>
      <c r="X56" s="29" t="n">
        <v>-625.8629229580615</v>
      </c>
      <c r="Y56" s="29" t="n">
        <v>-464.7198145689076</v>
      </c>
      <c r="Z56" s="29" t="n">
        <v>-910.7326331437986</v>
      </c>
      <c r="AA56" s="29" t="n">
        <v>-814.6424005286623</v>
      </c>
      <c r="AB56" s="29" t="n">
        <v>-873.7883543708182</v>
      </c>
      <c r="AC56" s="29" t="n">
        <v>-1573.855912116265</v>
      </c>
      <c r="AD56" s="29" t="n">
        <v>-192.5748458362447</v>
      </c>
      <c r="AE56" s="29" t="n">
        <v>-700.8251643547734</v>
      </c>
      <c r="AF56" s="29" t="n">
        <v>-420.4171528140302</v>
      </c>
      <c r="AG56" s="29" t="n">
        <v>-435.9681279082655</v>
      </c>
      <c r="AH56" s="29" t="n">
        <v>-494.6418384426432</v>
      </c>
      <c r="AI56" s="29" t="n">
        <v>-1234.103813013672</v>
      </c>
      <c r="AJ56" s="29" t="n">
        <v>-388.1274115969952</v>
      </c>
      <c r="AK56" s="29" t="n">
        <v>-215.2165643626979</v>
      </c>
      <c r="AL56" s="29" t="n">
        <v>-474.7874395507005</v>
      </c>
      <c r="AM56" s="29" t="n">
        <v>-10.21695896804672</v>
      </c>
      <c r="AN56" s="29" t="n">
        <v>-1463.311804297063</v>
      </c>
      <c r="AO56" s="29" t="n">
        <v>-97.31703912799377</v>
      </c>
      <c r="AP56" s="29" t="n">
        <v>-680.2637078910919</v>
      </c>
      <c r="AQ56" s="29" t="n">
        <v>-378.3962807180625</v>
      </c>
      <c r="AR56" s="29" t="n">
        <v>-13725.76828942587</v>
      </c>
      <c r="AS56" s="29" t="n">
        <v>-12825.6897534612</v>
      </c>
      <c r="AT56" s="29" t="n">
        <v>-12.76023287972884</v>
      </c>
      <c r="AU56" s="29" t="n">
        <v>-18.88326138955618</v>
      </c>
      <c r="AV56" s="29" t="n">
        <v>-1761.173790309531</v>
      </c>
      <c r="AW56" s="29" t="n">
        <v>-2.869630573701952</v>
      </c>
      <c r="AX56" s="29" t="n">
        <v>-271.3602726768759</v>
      </c>
      <c r="AY56" s="29" t="n">
        <v>-151.0142433561033</v>
      </c>
      <c r="AZ56" s="29" t="n">
        <v>-20.88440610607061</v>
      </c>
      <c r="BA56" s="29" t="n">
        <v>-54.43031480026261</v>
      </c>
      <c r="BB56" s="29" t="n">
        <v>-25.10083711994634</v>
      </c>
      <c r="BC56" s="29" t="n">
        <v>-48.0027810784362</v>
      </c>
      <c r="BD56" s="29" t="n">
        <v>6.052087653263531</v>
      </c>
      <c r="BE56" s="29" t="n">
        <v>-174.7987764195368</v>
      </c>
      <c r="BF56" s="29" t="n">
        <v>-28.06596336620039</v>
      </c>
      <c r="BG56" s="29" t="n">
        <v>-0.6069153802511833</v>
      </c>
      <c r="BH56" s="29" t="n">
        <v>-125.0850534815445</v>
      </c>
      <c r="BI56" s="29" t="n">
        <v>-3.367715256168854</v>
      </c>
      <c r="BJ56" s="29" t="n">
        <v>-19.91792071192258</v>
      </c>
      <c r="BK56" s="29" t="n">
        <v>-276.1113376725115</v>
      </c>
      <c r="BL56" s="29" t="n">
        <v>191.913914128425</v>
      </c>
      <c r="BM56" s="29" t="n">
        <v>150.3093073530462</v>
      </c>
      <c r="BN56" s="29" t="n">
        <v>-21.17667032584425</v>
      </c>
      <c r="BO56" s="29" t="n">
        <v>0.9494464743246795</v>
      </c>
      <c r="BP56" s="29" t="n">
        <v>-12.44885423198057</v>
      </c>
      <c r="BQ56" s="29" t="n">
        <v>226.7457446654866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0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0.0005386529883807886</v>
      </c>
      <c r="D57" s="31" t="n">
        <v>0.0003847521345577058</v>
      </c>
      <c r="E57" s="31" t="n">
        <v>0.0005386529883807886</v>
      </c>
      <c r="F57" s="31" t="n">
        <v>0.001615958965142366</v>
      </c>
      <c r="G57" s="31" t="n">
        <v>1644.514067980953</v>
      </c>
      <c r="H57" s="31" t="n">
        <v>0.002154611953523154</v>
      </c>
      <c r="I57" s="31" t="n">
        <v>3.627387505797169</v>
      </c>
      <c r="J57" s="31" t="n">
        <v>415.8034622381727</v>
      </c>
      <c r="K57" s="31" t="n">
        <v>24.98861818409589</v>
      </c>
      <c r="L57" s="31" t="n">
        <v>123.313553549341</v>
      </c>
      <c r="M57" s="31" t="n">
        <v>0.4082500350873664</v>
      </c>
      <c r="N57" s="31" t="n">
        <v>0.2031246619938332</v>
      </c>
      <c r="O57" s="31" t="n">
        <v>2.844437821755868</v>
      </c>
      <c r="P57" s="31" t="n">
        <v>4.661786719932751</v>
      </c>
      <c r="Q57" s="31" t="n">
        <v>2.021627816574389</v>
      </c>
      <c r="R57" s="31" t="n">
        <v>43.31052007432444</v>
      </c>
      <c r="S57" s="31" t="n">
        <v>401.0627006471674</v>
      </c>
      <c r="T57" s="31" t="n">
        <v>6.047261801960421</v>
      </c>
      <c r="U57" s="31" t="n">
        <v>18.14186235630818</v>
      </c>
      <c r="V57" s="31" t="n">
        <v>3.237066920180192</v>
      </c>
      <c r="W57" s="31" t="n">
        <v>222.594398693272</v>
      </c>
      <c r="X57" s="31" t="n">
        <v>3.63346658952318</v>
      </c>
      <c r="Y57" s="31" t="n">
        <v>13.50831644305197</v>
      </c>
      <c r="Z57" s="31" t="n">
        <v>0.6238406662408692</v>
      </c>
      <c r="AA57" s="31" t="n">
        <v>13.32442938778602</v>
      </c>
      <c r="AB57" s="31" t="n">
        <v>37.68443597917253</v>
      </c>
      <c r="AC57" s="31" t="n">
        <v>104.362270562134</v>
      </c>
      <c r="AD57" s="31" t="n">
        <v>3.828049754129833</v>
      </c>
      <c r="AE57" s="31" t="n">
        <v>10.09174864193979</v>
      </c>
      <c r="AF57" s="31" t="n">
        <v>14.92110892663324</v>
      </c>
      <c r="AG57" s="31" t="n">
        <v>14.31096543638262</v>
      </c>
      <c r="AH57" s="31" t="n">
        <v>78.77659046036243</v>
      </c>
      <c r="AI57" s="31" t="n">
        <v>64.86933498387937</v>
      </c>
      <c r="AJ57" s="31" t="n">
        <v>21.76801865527476</v>
      </c>
      <c r="AK57" s="31" t="n">
        <v>53.38572437447824</v>
      </c>
      <c r="AL57" s="31" t="n">
        <v>0.2204385080489299</v>
      </c>
      <c r="AM57" s="31" t="n">
        <v>1.817425848603794</v>
      </c>
      <c r="AN57" s="31" t="n">
        <v>0.09903519943515335</v>
      </c>
      <c r="AO57" s="31" t="n">
        <v>0.02139221868140839</v>
      </c>
      <c r="AP57" s="31" t="n">
        <v>1.318090973105799</v>
      </c>
      <c r="AQ57" s="31" t="n">
        <v>0.6884265394722879</v>
      </c>
      <c r="AR57" s="31" t="n">
        <v>362.527196079792</v>
      </c>
      <c r="AS57" s="31" t="n">
        <v>225.4894698959356</v>
      </c>
      <c r="AT57" s="31" t="n">
        <v>348.6835963827099</v>
      </c>
      <c r="AU57" s="31" t="n">
        <v>0.009849654644677262</v>
      </c>
      <c r="AV57" s="31" t="n">
        <v>18.12626588469778</v>
      </c>
      <c r="AW57" s="31" t="n">
        <v>0.09203271058620312</v>
      </c>
      <c r="AX57" s="31" t="n">
        <v>5.408541683003988</v>
      </c>
      <c r="AY57" s="31" t="n">
        <v>0.0206996648392045</v>
      </c>
      <c r="AZ57" s="31" t="n">
        <v>0.6393846524770006</v>
      </c>
      <c r="BA57" s="31" t="n">
        <v>0.1994555065547147</v>
      </c>
      <c r="BB57" s="31" t="n">
        <v>4.956790191658964</v>
      </c>
      <c r="BC57" s="31" t="n">
        <v>0.4666273887915844</v>
      </c>
      <c r="BD57" s="31" t="n">
        <v>0.1588256811454209</v>
      </c>
      <c r="BE57" s="31" t="n">
        <v>0.599111558880624</v>
      </c>
      <c r="BF57" s="31" t="n">
        <v>0.6773212129443903</v>
      </c>
      <c r="BG57" s="31" t="n">
        <v>0.07656567477698349</v>
      </c>
      <c r="BH57" s="31" t="n">
        <v>0.08795433795989122</v>
      </c>
      <c r="BI57" s="31" t="n">
        <v>77.57271838584597</v>
      </c>
      <c r="BJ57" s="31" t="n">
        <v>0.2216697148795146</v>
      </c>
      <c r="BK57" s="31" t="n">
        <v>0.2804843060925673</v>
      </c>
      <c r="BL57" s="31" t="n">
        <v>0.05109508346926336</v>
      </c>
      <c r="BM57" s="31" t="n">
        <v>0.3333492493807969</v>
      </c>
      <c r="BN57" s="31" t="n">
        <v>0.03801351089430129</v>
      </c>
      <c r="BO57" s="31" t="n">
        <v>0.1558246144958708</v>
      </c>
      <c r="BP57" s="31" t="n">
        <v>0.512619279032052</v>
      </c>
      <c r="BQ57" s="31" t="n">
        <v>0.232236388419031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0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0.2178773903981955</v>
      </c>
      <c r="D58" s="29" t="n">
        <v>-0.0008426149057707184</v>
      </c>
      <c r="E58" s="29" t="n">
        <v>0.8771672294174104</v>
      </c>
      <c r="F58" s="29" t="n">
        <v>0.860447930076377</v>
      </c>
      <c r="G58" s="29" t="n">
        <v>436.3659206398154</v>
      </c>
      <c r="H58" s="29" t="n">
        <v>2.158897484997671</v>
      </c>
      <c r="I58" s="29" t="n">
        <v>6.111225695336859</v>
      </c>
      <c r="J58" s="29" t="n">
        <v>58.31990944356483</v>
      </c>
      <c r="K58" s="29" t="n">
        <v>1.16460175137049</v>
      </c>
      <c r="L58" s="29" t="n">
        <v>49.51599569483862</v>
      </c>
      <c r="M58" s="29" t="n">
        <v>10.86160525886825</v>
      </c>
      <c r="N58" s="29" t="n">
        <v>5.383145473142699</v>
      </c>
      <c r="O58" s="29" t="n">
        <v>6.500171764279269</v>
      </c>
      <c r="P58" s="29" t="n">
        <v>6.85235657070525</v>
      </c>
      <c r="Q58" s="29" t="n">
        <v>8.696147231408123</v>
      </c>
      <c r="R58" s="29" t="n">
        <v>8.846083294398515</v>
      </c>
      <c r="S58" s="29" t="n">
        <v>20.74068058167007</v>
      </c>
      <c r="T58" s="29" t="n">
        <v>3.692639503971323</v>
      </c>
      <c r="U58" s="29" t="n">
        <v>8.940037442470084</v>
      </c>
      <c r="V58" s="29" t="n">
        <v>0.6465343847538029</v>
      </c>
      <c r="W58" s="29" t="n">
        <v>51.97385114384957</v>
      </c>
      <c r="X58" s="29" t="n">
        <v>59.21344227860289</v>
      </c>
      <c r="Y58" s="29" t="n">
        <v>2.376374717770961</v>
      </c>
      <c r="Z58" s="29" t="n">
        <v>28.86462992453098</v>
      </c>
      <c r="AA58" s="29" t="n">
        <v>8.390358268015904</v>
      </c>
      <c r="AB58" s="29" t="n">
        <v>28.75774248458699</v>
      </c>
      <c r="AC58" s="29" t="n">
        <v>17.65293088265458</v>
      </c>
      <c r="AD58" s="29" t="n">
        <v>2.6240144892001</v>
      </c>
      <c r="AE58" s="29" t="n">
        <v>10.69837826260964</v>
      </c>
      <c r="AF58" s="29" t="n">
        <v>52.61325188336801</v>
      </c>
      <c r="AG58" s="29" t="n">
        <v>35.35716729274371</v>
      </c>
      <c r="AH58" s="29" t="n">
        <v>45.20135611018984</v>
      </c>
      <c r="AI58" s="29" t="n">
        <v>46.65083863544697</v>
      </c>
      <c r="AJ58" s="29" t="n">
        <v>12.48988624910736</v>
      </c>
      <c r="AK58" s="29" t="n">
        <v>12.39545414138211</v>
      </c>
      <c r="AL58" s="29" t="n">
        <v>7.319810127300299</v>
      </c>
      <c r="AM58" s="29" t="n">
        <v>13.80430512308528</v>
      </c>
      <c r="AN58" s="29" t="n">
        <v>132.0292860222165</v>
      </c>
      <c r="AO58" s="29" t="n">
        <v>9.656986994583963</v>
      </c>
      <c r="AP58" s="29" t="n">
        <v>315.0487153215004</v>
      </c>
      <c r="AQ58" s="29" t="n">
        <v>47.3707882963043</v>
      </c>
      <c r="AR58" s="29" t="n">
        <v>700.7870324070486</v>
      </c>
      <c r="AS58" s="29" t="n">
        <v>45.00674114378015</v>
      </c>
      <c r="AT58" s="29" t="n">
        <v>18.1960530292304</v>
      </c>
      <c r="AU58" s="29" t="n">
        <v>2.419483786443763</v>
      </c>
      <c r="AV58" s="29" t="n">
        <v>140.8830280368944</v>
      </c>
      <c r="AW58" s="29" t="n">
        <v>15.86057867143611</v>
      </c>
      <c r="AX58" s="29" t="n">
        <v>11.94026021483706</v>
      </c>
      <c r="AY58" s="29" t="n">
        <v>4.137828980022888</v>
      </c>
      <c r="AZ58" s="29" t="n">
        <v>35.23254397195176</v>
      </c>
      <c r="BA58" s="29" t="n">
        <v>43.65867999334309</v>
      </c>
      <c r="BB58" s="29" t="n">
        <v>148.0843435491163</v>
      </c>
      <c r="BC58" s="29" t="n">
        <v>635.5540327471743</v>
      </c>
      <c r="BD58" s="29" t="n">
        <v>13.72688858282021</v>
      </c>
      <c r="BE58" s="29" t="n">
        <v>207.0165262776558</v>
      </c>
      <c r="BF58" s="29" t="n">
        <v>74.55935137026016</v>
      </c>
      <c r="BG58" s="29" t="n">
        <v>121.6143778481774</v>
      </c>
      <c r="BH58" s="29" t="n">
        <v>20.02135405159794</v>
      </c>
      <c r="BI58" s="29" t="n">
        <v>70.82066414406313</v>
      </c>
      <c r="BJ58" s="29" t="n">
        <v>5.473419099410957</v>
      </c>
      <c r="BK58" s="29" t="n">
        <v>273.5547219808753</v>
      </c>
      <c r="BL58" s="29" t="n">
        <v>77.19392674014549</v>
      </c>
      <c r="BM58" s="29" t="n">
        <v>455.2900719621973</v>
      </c>
      <c r="BN58" s="29" t="n">
        <v>101.2917791973047</v>
      </c>
      <c r="BO58" s="29" t="n">
        <v>0.135445137750938</v>
      </c>
      <c r="BP58" s="29" t="n">
        <v>20.42338455886906</v>
      </c>
      <c r="BQ58" s="29" t="n">
        <v>1923.452696518874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0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63.33108732676943</v>
      </c>
      <c r="D59" s="31" t="n">
        <v>3.747961397446414</v>
      </c>
      <c r="E59" s="31" t="n">
        <v>15.7972183358254</v>
      </c>
      <c r="F59" s="31" t="n">
        <v>2.032042901260866</v>
      </c>
      <c r="G59" s="31" t="n">
        <v>452.7060917016553</v>
      </c>
      <c r="H59" s="31" t="n">
        <v>182.6671890906966</v>
      </c>
      <c r="I59" s="31" t="n">
        <v>43.85181075844728</v>
      </c>
      <c r="J59" s="31" t="n">
        <v>259.6596812705651</v>
      </c>
      <c r="K59" s="31" t="n">
        <v>132.3911673036706</v>
      </c>
      <c r="L59" s="31" t="n">
        <v>284.8551563978314</v>
      </c>
      <c r="M59" s="31" t="n">
        <v>162.330561435319</v>
      </c>
      <c r="N59" s="31" t="n">
        <v>2.3762039018757</v>
      </c>
      <c r="O59" s="31" t="n">
        <v>12.90469001564056</v>
      </c>
      <c r="P59" s="31" t="n">
        <v>8.201812481729432</v>
      </c>
      <c r="Q59" s="31" t="n">
        <v>12.40255174067171</v>
      </c>
      <c r="R59" s="31" t="n">
        <v>20.94856711581289</v>
      </c>
      <c r="S59" s="31" t="n">
        <v>127.8757503315326</v>
      </c>
      <c r="T59" s="31" t="n">
        <v>14.93388820032867</v>
      </c>
      <c r="U59" s="31" t="n">
        <v>59.48404625898207</v>
      </c>
      <c r="V59" s="31" t="n">
        <v>62.69363126907676</v>
      </c>
      <c r="W59" s="31" t="n">
        <v>96.1142015892824</v>
      </c>
      <c r="X59" s="31" t="n">
        <v>55.63879520783765</v>
      </c>
      <c r="Y59" s="31" t="n">
        <v>32.23977159797926</v>
      </c>
      <c r="Z59" s="31" t="n">
        <v>49.93663761706152</v>
      </c>
      <c r="AA59" s="31" t="n">
        <v>19.51378737857592</v>
      </c>
      <c r="AB59" s="31" t="n">
        <v>29.95495472144324</v>
      </c>
      <c r="AC59" s="31" t="n">
        <v>206.7726222751762</v>
      </c>
      <c r="AD59" s="31" t="n">
        <v>10.86324038787652</v>
      </c>
      <c r="AE59" s="31" t="n">
        <v>73.47339295991191</v>
      </c>
      <c r="AF59" s="31" t="n">
        <v>58.86330586094422</v>
      </c>
      <c r="AG59" s="31" t="n">
        <v>72.55830696014546</v>
      </c>
      <c r="AH59" s="31" t="n">
        <v>34.35998471333766</v>
      </c>
      <c r="AI59" s="31" t="n">
        <v>284.8124209003374</v>
      </c>
      <c r="AJ59" s="31" t="n">
        <v>46.13106393040533</v>
      </c>
      <c r="AK59" s="31" t="n">
        <v>51.80438868528442</v>
      </c>
      <c r="AL59" s="31" t="n">
        <v>26.47635051954926</v>
      </c>
      <c r="AM59" s="31" t="n">
        <v>17.94612384481348</v>
      </c>
      <c r="AN59" s="31" t="n">
        <v>47.29320467516315</v>
      </c>
      <c r="AO59" s="31" t="n">
        <v>1.606462298660851</v>
      </c>
      <c r="AP59" s="31" t="n">
        <v>48.18072638730259</v>
      </c>
      <c r="AQ59" s="31" t="n">
        <v>51.30977342848457</v>
      </c>
      <c r="AR59" s="31" t="n">
        <v>1143.343358553928</v>
      </c>
      <c r="AS59" s="31" t="n">
        <v>586.3558186129646</v>
      </c>
      <c r="AT59" s="31" t="n">
        <v>241.7709521009376</v>
      </c>
      <c r="AU59" s="31" t="n">
        <v>328.6478953738837</v>
      </c>
      <c r="AV59" s="31" t="n">
        <v>361.7036306007482</v>
      </c>
      <c r="AW59" s="31" t="n">
        <v>4.083931190225128</v>
      </c>
      <c r="AX59" s="31" t="n">
        <v>16.61951031481473</v>
      </c>
      <c r="AY59" s="31" t="n">
        <v>5.366121874825307</v>
      </c>
      <c r="AZ59" s="31" t="n">
        <v>5.77315694089022</v>
      </c>
      <c r="BA59" s="31" t="n">
        <v>42.97590312920391</v>
      </c>
      <c r="BB59" s="31" t="n">
        <v>10.34097902928659</v>
      </c>
      <c r="BC59" s="31" t="n">
        <v>331.98574344643</v>
      </c>
      <c r="BD59" s="31" t="n">
        <v>13.91848865964442</v>
      </c>
      <c r="BE59" s="31" t="n">
        <v>39.96884957638837</v>
      </c>
      <c r="BF59" s="31" t="n">
        <v>16.85406715022025</v>
      </c>
      <c r="BG59" s="31" t="n">
        <v>18.497273926239</v>
      </c>
      <c r="BH59" s="31" t="n">
        <v>14.49355825114424</v>
      </c>
      <c r="BI59" s="31" t="n">
        <v>53.97880923757924</v>
      </c>
      <c r="BJ59" s="31" t="n">
        <v>4.904105986664043</v>
      </c>
      <c r="BK59" s="31" t="n">
        <v>244.0837789708085</v>
      </c>
      <c r="BL59" s="31" t="n">
        <v>21.54001830621278</v>
      </c>
      <c r="BM59" s="31" t="n">
        <v>28.86687817576672</v>
      </c>
      <c r="BN59" s="31" t="n">
        <v>32.5228473847679</v>
      </c>
      <c r="BO59" s="31" t="n">
        <v>17.92881151350609</v>
      </c>
      <c r="BP59" s="31" t="n">
        <v>4.402637147340796</v>
      </c>
      <c r="BQ59" s="31" t="n">
        <v>105.9893218631895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0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1.853267556023259</v>
      </c>
      <c r="D60" s="29" t="n">
        <v>0.4594997758592779</v>
      </c>
      <c r="E60" s="29" t="n">
        <v>1.862662916077972</v>
      </c>
      <c r="F60" s="29" t="n">
        <v>5.494035147686795</v>
      </c>
      <c r="G60" s="29" t="n">
        <v>163.7303059080876</v>
      </c>
      <c r="H60" s="29" t="n">
        <v>37.53073192883384</v>
      </c>
      <c r="I60" s="29" t="n">
        <v>11.49689769651459</v>
      </c>
      <c r="J60" s="29" t="n">
        <v>161.4298330595365</v>
      </c>
      <c r="K60" s="29" t="n">
        <v>16.38016642669204</v>
      </c>
      <c r="L60" s="29" t="n">
        <v>163.621755393972</v>
      </c>
      <c r="M60" s="29" t="n">
        <v>33.91567765019385</v>
      </c>
      <c r="N60" s="29" t="n">
        <v>16.24285813851743</v>
      </c>
      <c r="O60" s="29" t="n">
        <v>15.09295797643522</v>
      </c>
      <c r="P60" s="29" t="n">
        <v>13.21869726605004</v>
      </c>
      <c r="Q60" s="29" t="n">
        <v>15.88393494949295</v>
      </c>
      <c r="R60" s="29" t="n">
        <v>4.364903724021825</v>
      </c>
      <c r="S60" s="29" t="n">
        <v>46.07037478241843</v>
      </c>
      <c r="T60" s="29" t="n">
        <v>5.85735064594106</v>
      </c>
      <c r="U60" s="29" t="n">
        <v>17.62327624493521</v>
      </c>
      <c r="V60" s="29" t="n">
        <v>7.561880813065637</v>
      </c>
      <c r="W60" s="29" t="n">
        <v>75.06362728402175</v>
      </c>
      <c r="X60" s="29" t="n">
        <v>83.73104902842796</v>
      </c>
      <c r="Y60" s="29" t="n">
        <v>22.57873343053197</v>
      </c>
      <c r="Z60" s="29" t="n">
        <v>124.5739433029331</v>
      </c>
      <c r="AA60" s="29" t="n">
        <v>56.06607257329829</v>
      </c>
      <c r="AB60" s="29" t="n">
        <v>50.21981088705797</v>
      </c>
      <c r="AC60" s="29" t="n">
        <v>102.0401565203696</v>
      </c>
      <c r="AD60" s="29" t="n">
        <v>26.26890101304387</v>
      </c>
      <c r="AE60" s="29" t="n">
        <v>100.0282209321632</v>
      </c>
      <c r="AF60" s="29" t="n">
        <v>93.57965269024011</v>
      </c>
      <c r="AG60" s="29" t="n">
        <v>76.91973060846783</v>
      </c>
      <c r="AH60" s="29" t="n">
        <v>186.8993837288382</v>
      </c>
      <c r="AI60" s="29" t="n">
        <v>67.76667269992146</v>
      </c>
      <c r="AJ60" s="29" t="n">
        <v>47.88508769071288</v>
      </c>
      <c r="AK60" s="29" t="n">
        <v>49.74062210657736</v>
      </c>
      <c r="AL60" s="29" t="n">
        <v>70.22009292300788</v>
      </c>
      <c r="AM60" s="29" t="n">
        <v>46.05676222019651</v>
      </c>
      <c r="AN60" s="29" t="n">
        <v>149.9660965047815</v>
      </c>
      <c r="AO60" s="29" t="n">
        <v>8.361201159622023</v>
      </c>
      <c r="AP60" s="29" t="n">
        <v>797.6349612775354</v>
      </c>
      <c r="AQ60" s="29" t="n">
        <v>228.2619177635742</v>
      </c>
      <c r="AR60" s="29" t="n">
        <v>1761.615847993823</v>
      </c>
      <c r="AS60" s="29" t="n">
        <v>117.3686093822838</v>
      </c>
      <c r="AT60" s="29" t="n">
        <v>3.261334665193316</v>
      </c>
      <c r="AU60" s="29" t="n">
        <v>48.8932269849899</v>
      </c>
      <c r="AV60" s="29" t="n">
        <v>123.930717277346</v>
      </c>
      <c r="AW60" s="29" t="n">
        <v>0.03592423713022818</v>
      </c>
      <c r="AX60" s="29" t="n">
        <v>18.30441257513371</v>
      </c>
      <c r="AY60" s="29" t="n">
        <v>52.15055340831235</v>
      </c>
      <c r="AZ60" s="29" t="n">
        <v>88.72351702273781</v>
      </c>
      <c r="BA60" s="29" t="n">
        <v>57.10130235133611</v>
      </c>
      <c r="BB60" s="29" t="n">
        <v>294.7318989397884</v>
      </c>
      <c r="BC60" s="29" t="n">
        <v>710.6013522537685</v>
      </c>
      <c r="BD60" s="29" t="n">
        <v>33.5861441713085</v>
      </c>
      <c r="BE60" s="29" t="n">
        <v>194.0226183959832</v>
      </c>
      <c r="BF60" s="29" t="n">
        <v>187.545338843179</v>
      </c>
      <c r="BG60" s="29" t="n">
        <v>86.13284949121721</v>
      </c>
      <c r="BH60" s="29" t="n">
        <v>89.89767298500054</v>
      </c>
      <c r="BI60" s="29" t="n">
        <v>87.20160957220035</v>
      </c>
      <c r="BJ60" s="29" t="n">
        <v>27.35380495351776</v>
      </c>
      <c r="BK60" s="29" t="n">
        <v>1372.271479985998</v>
      </c>
      <c r="BL60" s="29" t="n">
        <v>161.1220994045172</v>
      </c>
      <c r="BM60" s="29" t="n">
        <v>213.3464998219994</v>
      </c>
      <c r="BN60" s="29" t="n">
        <v>218.8530254887459</v>
      </c>
      <c r="BO60" s="29" t="n">
        <v>0.06082489982333791</v>
      </c>
      <c r="BP60" s="29" t="n">
        <v>87.59724051746322</v>
      </c>
      <c r="BQ60" s="29" t="n">
        <v>4111.414179093317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0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4.094133824948408</v>
      </c>
      <c r="D61" s="31" t="n">
        <v>0.6267648976555483</v>
      </c>
      <c r="E61" s="31" t="n">
        <v>1.204773136772822</v>
      </c>
      <c r="F61" s="31" t="n">
        <v>2.609272044384351</v>
      </c>
      <c r="G61" s="31" t="n">
        <v>147.9351985676101</v>
      </c>
      <c r="H61" s="31" t="n">
        <v>13.6913566509124</v>
      </c>
      <c r="I61" s="31" t="n">
        <v>4.478771633517327</v>
      </c>
      <c r="J61" s="31" t="n">
        <v>-14.19798930918707</v>
      </c>
      <c r="K61" s="31" t="n">
        <v>3.254783926181986</v>
      </c>
      <c r="L61" s="31" t="n">
        <v>19.6462056477544</v>
      </c>
      <c r="M61" s="31" t="n">
        <v>4.778780687102054</v>
      </c>
      <c r="N61" s="31" t="n">
        <v>0.02840734274019212</v>
      </c>
      <c r="O61" s="31" t="n">
        <v>0.2044014921735887</v>
      </c>
      <c r="P61" s="31" t="n">
        <v>-0.5551989329910474</v>
      </c>
      <c r="Q61" s="31" t="n">
        <v>-1.856493002661316</v>
      </c>
      <c r="R61" s="31" t="n">
        <v>0.6973089662506884</v>
      </c>
      <c r="S61" s="31" t="n">
        <v>4.123743266682944</v>
      </c>
      <c r="T61" s="31" t="n">
        <v>3.291403875558584</v>
      </c>
      <c r="U61" s="31" t="n">
        <v>4.424555299000865</v>
      </c>
      <c r="V61" s="31" t="n">
        <v>-0.3309417245158925</v>
      </c>
      <c r="W61" s="31" t="n">
        <v>14.2476858621324</v>
      </c>
      <c r="X61" s="31" t="n">
        <v>17.51125659829828</v>
      </c>
      <c r="Y61" s="31" t="n">
        <v>1.049452399674501</v>
      </c>
      <c r="Z61" s="31" t="n">
        <v>35.30228695920101</v>
      </c>
      <c r="AA61" s="31" t="n">
        <v>4.248591097058148</v>
      </c>
      <c r="AB61" s="31" t="n">
        <v>1.179919824137084</v>
      </c>
      <c r="AC61" s="31" t="n">
        <v>5.217026015350553</v>
      </c>
      <c r="AD61" s="31" t="n">
        <v>8.53172997025786</v>
      </c>
      <c r="AE61" s="31" t="n">
        <v>9.058131241039685</v>
      </c>
      <c r="AF61" s="31" t="n">
        <v>5.087336546074715</v>
      </c>
      <c r="AG61" s="31" t="n">
        <v>-0.3615862036818731</v>
      </c>
      <c r="AH61" s="31" t="n">
        <v>13.17984815539541</v>
      </c>
      <c r="AI61" s="31" t="n">
        <v>69.48847016717188</v>
      </c>
      <c r="AJ61" s="31" t="n">
        <v>7.310183846006294</v>
      </c>
      <c r="AK61" s="31" t="n">
        <v>7.627352099921553</v>
      </c>
      <c r="AL61" s="31" t="n">
        <v>1.037109628020114</v>
      </c>
      <c r="AM61" s="31" t="n">
        <v>16.50835084333801</v>
      </c>
      <c r="AN61" s="31" t="n">
        <v>51.1070965062075</v>
      </c>
      <c r="AO61" s="31" t="n">
        <v>16.69326593424781</v>
      </c>
      <c r="AP61" s="31" t="n">
        <v>54.73202818086296</v>
      </c>
      <c r="AQ61" s="31" t="n">
        <v>29.81490756058448</v>
      </c>
      <c r="AR61" s="31" t="n">
        <v>166.9081465389979</v>
      </c>
      <c r="AS61" s="31" t="n">
        <v>48.89897882161129</v>
      </c>
      <c r="AT61" s="31" t="n">
        <v>11.7196208691324</v>
      </c>
      <c r="AU61" s="31" t="n">
        <v>183.1366021189091</v>
      </c>
      <c r="AV61" s="31" t="n">
        <v>27.84195016546357</v>
      </c>
      <c r="AW61" s="31" t="n">
        <v>33.85627267364026</v>
      </c>
      <c r="AX61" s="31" t="n">
        <v>14.60247789309319</v>
      </c>
      <c r="AY61" s="31" t="n">
        <v>8.637870877695043</v>
      </c>
      <c r="AZ61" s="31" t="n">
        <v>109.6822154203465</v>
      </c>
      <c r="BA61" s="31" t="n">
        <v>59.93101315593712</v>
      </c>
      <c r="BB61" s="31" t="n">
        <v>31.92723502703565</v>
      </c>
      <c r="BC61" s="31" t="n">
        <v>487.5104410669733</v>
      </c>
      <c r="BD61" s="31" t="n">
        <v>12.48310467833885</v>
      </c>
      <c r="BE61" s="31" t="n">
        <v>214.5652276857547</v>
      </c>
      <c r="BF61" s="31" t="n">
        <v>12.12334735043163</v>
      </c>
      <c r="BG61" s="31" t="n">
        <v>33.49351297316228</v>
      </c>
      <c r="BH61" s="31" t="n">
        <v>20.38029307623016</v>
      </c>
      <c r="BI61" s="31" t="n">
        <v>201.4012038796163</v>
      </c>
      <c r="BJ61" s="31" t="n">
        <v>4.255229096163458</v>
      </c>
      <c r="BK61" s="31" t="n">
        <v>1408.668795823607</v>
      </c>
      <c r="BL61" s="31" t="n">
        <v>259.1529259594523</v>
      </c>
      <c r="BM61" s="31" t="n">
        <v>57.81335166002294</v>
      </c>
      <c r="BN61" s="31" t="n">
        <v>753.6626123638262</v>
      </c>
      <c r="BO61" s="31" t="n">
        <v>515.92620399202</v>
      </c>
      <c r="BP61" s="31" t="n">
        <v>12.05952862705701</v>
      </c>
      <c r="BQ61" s="31" t="n">
        <v>1339.91305522453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0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0.04471733398027701</v>
      </c>
      <c r="D62" s="29" t="n">
        <v>-0.006149399028410908</v>
      </c>
      <c r="E62" s="29" t="n">
        <v>0.04085241216465943</v>
      </c>
      <c r="F62" s="29" t="n">
        <v>-0.1184636786682088</v>
      </c>
      <c r="G62" s="29" t="n">
        <v>-0.1550324527982659</v>
      </c>
      <c r="H62" s="29" t="n">
        <v>-0.1207529302602159</v>
      </c>
      <c r="I62" s="29" t="n">
        <v>-0.125775446397891</v>
      </c>
      <c r="J62" s="29" t="n">
        <v>-23.22519599595617</v>
      </c>
      <c r="K62" s="29" t="n">
        <v>-0.9471840168817022</v>
      </c>
      <c r="L62" s="29" t="n">
        <v>-14.21777646503906</v>
      </c>
      <c r="M62" s="29" t="n">
        <v>2.260776904413424</v>
      </c>
      <c r="N62" s="29" t="n">
        <v>-0.6577708895093303</v>
      </c>
      <c r="O62" s="29" t="n">
        <v>-2.007563908262922</v>
      </c>
      <c r="P62" s="29" t="n">
        <v>-2.604364807544487</v>
      </c>
      <c r="Q62" s="29" t="n">
        <v>-3.425415953258627</v>
      </c>
      <c r="R62" s="29" t="n">
        <v>-0.7830398444413631</v>
      </c>
      <c r="S62" s="29" t="n">
        <v>-4.917053695833605</v>
      </c>
      <c r="T62" s="29" t="n">
        <v>14.53427701635493</v>
      </c>
      <c r="U62" s="29" t="n">
        <v>-1.797190298229664</v>
      </c>
      <c r="V62" s="29" t="n">
        <v>-1.53469523905513</v>
      </c>
      <c r="W62" s="29" t="n">
        <v>68.25162949316737</v>
      </c>
      <c r="X62" s="29" t="n">
        <v>-4.024432558437794</v>
      </c>
      <c r="Y62" s="29" t="n">
        <v>-0.2962177487635715</v>
      </c>
      <c r="Z62" s="29" t="n">
        <v>-4.889344846415472</v>
      </c>
      <c r="AA62" s="29" t="n">
        <v>-5.414575576879403</v>
      </c>
      <c r="AB62" s="29" t="n">
        <v>-4.098843411046929</v>
      </c>
      <c r="AC62" s="29" t="n">
        <v>-5.050475471577603</v>
      </c>
      <c r="AD62" s="29" t="n">
        <v>-1.508905823836409</v>
      </c>
      <c r="AE62" s="29" t="n">
        <v>-4.607889489713501</v>
      </c>
      <c r="AF62" s="29" t="n">
        <v>-0.5835373296105596</v>
      </c>
      <c r="AG62" s="29" t="n">
        <v>-3.893147787561078</v>
      </c>
      <c r="AH62" s="29" t="n">
        <v>-8.394841734041256</v>
      </c>
      <c r="AI62" s="29" t="n">
        <v>-0.04358327275959622</v>
      </c>
      <c r="AJ62" s="29" t="n">
        <v>1.259702459952137</v>
      </c>
      <c r="AK62" s="29" t="n">
        <v>-0.6352521169760635</v>
      </c>
      <c r="AL62" s="29" t="n">
        <v>-2.143977405822112</v>
      </c>
      <c r="AM62" s="29" t="n">
        <v>7.452372161128302</v>
      </c>
      <c r="AN62" s="29" t="n">
        <v>58.8076733927486</v>
      </c>
      <c r="AO62" s="29" t="n">
        <v>2.841120485517358</v>
      </c>
      <c r="AP62" s="29" t="n">
        <v>0.4371010335311999</v>
      </c>
      <c r="AQ62" s="29" t="n">
        <v>1.214714297205821</v>
      </c>
      <c r="AR62" s="29" t="n">
        <v>179.3286540126823</v>
      </c>
      <c r="AS62" s="29" t="n">
        <v>0.6292791265333449</v>
      </c>
      <c r="AT62" s="29" t="n">
        <v>0.01004079773648807</v>
      </c>
      <c r="AU62" s="29" t="n">
        <v>0.5280598993402292</v>
      </c>
      <c r="AV62" s="29" t="n">
        <v>0.6622264200135664</v>
      </c>
      <c r="AW62" s="29" t="n">
        <v>29.67069213199172</v>
      </c>
      <c r="AX62" s="29" t="n">
        <v>0.7538717465140189</v>
      </c>
      <c r="AY62" s="29" t="n">
        <v>31.54555343849924</v>
      </c>
      <c r="AZ62" s="29" t="n">
        <v>2.703648512851565</v>
      </c>
      <c r="BA62" s="29" t="n">
        <v>62.4910479742866</v>
      </c>
      <c r="BB62" s="29" t="n">
        <v>7.756594261845529</v>
      </c>
      <c r="BC62" s="29" t="n">
        <v>888.0670621736264</v>
      </c>
      <c r="BD62" s="29" t="n">
        <v>25.43290430769608</v>
      </c>
      <c r="BE62" s="29" t="n">
        <v>158.2474100672147</v>
      </c>
      <c r="BF62" s="29" t="n">
        <v>69.1341001520621</v>
      </c>
      <c r="BG62" s="29" t="n">
        <v>1341.537512285773</v>
      </c>
      <c r="BH62" s="29" t="n">
        <v>10.56656350129986</v>
      </c>
      <c r="BI62" s="29" t="n">
        <v>14.96745346701521</v>
      </c>
      <c r="BJ62" s="29" t="n">
        <v>-0.134977180100718</v>
      </c>
      <c r="BK62" s="29" t="n">
        <v>359.9379741419179</v>
      </c>
      <c r="BL62" s="29" t="n">
        <v>1393.046953382493</v>
      </c>
      <c r="BM62" s="29" t="n">
        <v>866.0963411827818</v>
      </c>
      <c r="BN62" s="29" t="n">
        <v>16.06889262990813</v>
      </c>
      <c r="BO62" s="29" t="n">
        <v>71.76240573904371</v>
      </c>
      <c r="BP62" s="29" t="n">
        <v>4.051865427117747</v>
      </c>
      <c r="BQ62" s="29" t="n">
        <v>92.28267103431122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0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-0.004077166022763506</v>
      </c>
      <c r="D63" s="31" t="n">
        <v>-0.002714085106189018</v>
      </c>
      <c r="E63" s="31" t="n">
        <v>8.453708871972136e-05</v>
      </c>
      <c r="F63" s="31" t="n">
        <v>-0.04136341984867312</v>
      </c>
      <c r="G63" s="31" t="n">
        <v>-0.07372395830482002</v>
      </c>
      <c r="H63" s="31" t="n">
        <v>-0.0815086795042913</v>
      </c>
      <c r="I63" s="31" t="n">
        <v>-0.06355916977658367</v>
      </c>
      <c r="J63" s="31" t="n">
        <v>-8.31166033532412</v>
      </c>
      <c r="K63" s="31" t="n">
        <v>-0.3755887000922451</v>
      </c>
      <c r="L63" s="31" t="n">
        <v>-5.278118504637625</v>
      </c>
      <c r="M63" s="31" t="n">
        <v>-0.2391461752083356</v>
      </c>
      <c r="N63" s="31" t="n">
        <v>-0.2300152175089528</v>
      </c>
      <c r="O63" s="31" t="n">
        <v>-0.7397293001386962</v>
      </c>
      <c r="P63" s="31" t="n">
        <v>-0.9512757086606634</v>
      </c>
      <c r="Q63" s="31" t="n">
        <v>-1.214070019491907</v>
      </c>
      <c r="R63" s="31" t="n">
        <v>-0.3352880322160485</v>
      </c>
      <c r="S63" s="31" t="n">
        <v>-2.28010449333059</v>
      </c>
      <c r="T63" s="31" t="n">
        <v>-0.08671946863139006</v>
      </c>
      <c r="U63" s="31" t="n">
        <v>-0.6499591872761392</v>
      </c>
      <c r="V63" s="31" t="n">
        <v>-0.5693184428830641</v>
      </c>
      <c r="W63" s="31" t="n">
        <v>-0.9871658298489202</v>
      </c>
      <c r="X63" s="31" t="n">
        <v>-1.478971400621539</v>
      </c>
      <c r="Y63" s="31" t="n">
        <v>-0.104872693487516</v>
      </c>
      <c r="Z63" s="31" t="n">
        <v>-1.743460583804632</v>
      </c>
      <c r="AA63" s="31" t="n">
        <v>-1.977660068649087</v>
      </c>
      <c r="AB63" s="31" t="n">
        <v>-1.473396720455741</v>
      </c>
      <c r="AC63" s="31" t="n">
        <v>-1.825138337486363</v>
      </c>
      <c r="AD63" s="31" t="n">
        <v>-0.5325651542732937</v>
      </c>
      <c r="AE63" s="31" t="n">
        <v>-1.685100126428187</v>
      </c>
      <c r="AF63" s="31" t="n">
        <v>-1.035272193918706</v>
      </c>
      <c r="AG63" s="31" t="n">
        <v>-1.402419898978187</v>
      </c>
      <c r="AH63" s="31" t="n">
        <v>-3.010440326236585</v>
      </c>
      <c r="AI63" s="31" t="n">
        <v>-0.09441488505243854</v>
      </c>
      <c r="AJ63" s="31" t="n">
        <v>-0.03257950877132716</v>
      </c>
      <c r="AK63" s="31" t="n">
        <v>-0.241775723225805</v>
      </c>
      <c r="AL63" s="31" t="n">
        <v>-0.8640385299998956</v>
      </c>
      <c r="AM63" s="31" t="n">
        <v>-0.01732151992578967</v>
      </c>
      <c r="AN63" s="31" t="n">
        <v>0.01554274759746874</v>
      </c>
      <c r="AO63" s="31" t="n">
        <v>-0.009127779239580762</v>
      </c>
      <c r="AP63" s="31" t="n">
        <v>0.01579794809352894</v>
      </c>
      <c r="AQ63" s="31" t="n">
        <v>0.04481673374841226</v>
      </c>
      <c r="AR63" s="31" t="n">
        <v>-6.97060857193471</v>
      </c>
      <c r="AS63" s="31" t="n">
        <v>0.1019379788941761</v>
      </c>
      <c r="AT63" s="31" t="n">
        <v>0.0008212174332772901</v>
      </c>
      <c r="AU63" s="31" t="n">
        <v>0.001545821050874902</v>
      </c>
      <c r="AV63" s="31" t="n">
        <v>0.03120626246453712</v>
      </c>
      <c r="AW63" s="31" t="n">
        <v>0.3673673406225975</v>
      </c>
      <c r="AX63" s="31" t="n">
        <v>0.05849966539404699</v>
      </c>
      <c r="AY63" s="31" t="n">
        <v>0.5287692609008109</v>
      </c>
      <c r="AZ63" s="31" t="n">
        <v>485.0876080511328</v>
      </c>
      <c r="BA63" s="31" t="n">
        <v>476.0079823680406</v>
      </c>
      <c r="BB63" s="31" t="n">
        <v>-0.3267593915768323</v>
      </c>
      <c r="BC63" s="31" t="n">
        <v>0.202529091277631</v>
      </c>
      <c r="BD63" s="31" t="n">
        <v>0.0249263644453578</v>
      </c>
      <c r="BE63" s="31" t="n">
        <v>-0.4799961139342399</v>
      </c>
      <c r="BF63" s="31" t="n">
        <v>-0.04402856093477417</v>
      </c>
      <c r="BG63" s="31" t="n">
        <v>3008.375306346839</v>
      </c>
      <c r="BH63" s="31" t="n">
        <v>0.01380369891523444</v>
      </c>
      <c r="BI63" s="31" t="n">
        <v>1.407016827045513</v>
      </c>
      <c r="BJ63" s="31" t="n">
        <v>0.2123794857545571</v>
      </c>
      <c r="BK63" s="31" t="n">
        <v>0.04401966976905483</v>
      </c>
      <c r="BL63" s="31" t="n">
        <v>0.008018946701413565</v>
      </c>
      <c r="BM63" s="31" t="n">
        <v>0.03705680311510909</v>
      </c>
      <c r="BN63" s="31" t="n">
        <v>0.005965903118220324</v>
      </c>
      <c r="BO63" s="31" t="n">
        <v>0.02445537209391937</v>
      </c>
      <c r="BP63" s="31" t="n">
        <v>9.639648254400409</v>
      </c>
      <c r="BQ63" s="31" t="n">
        <v>0.01841351514873247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0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1.152980785007658</v>
      </c>
      <c r="D64" s="29" t="n">
        <v>0.5729110513927086</v>
      </c>
      <c r="E64" s="29" t="n">
        <v>1.371861477159041</v>
      </c>
      <c r="F64" s="29" t="n">
        <v>5.451221204805157</v>
      </c>
      <c r="G64" s="29" t="n">
        <v>127.0948065062436</v>
      </c>
      <c r="H64" s="29" t="n">
        <v>13.06195848951309</v>
      </c>
      <c r="I64" s="29" t="n">
        <v>5.328130808505366</v>
      </c>
      <c r="J64" s="29" t="n">
        <v>88.4943412146079</v>
      </c>
      <c r="K64" s="29" t="n">
        <v>28.86998031540898</v>
      </c>
      <c r="L64" s="29" t="n">
        <v>219.6490940635144</v>
      </c>
      <c r="M64" s="29" t="n">
        <v>72.69527010905993</v>
      </c>
      <c r="N64" s="29" t="n">
        <v>1.859832013535575</v>
      </c>
      <c r="O64" s="29" t="n">
        <v>36.65992681429841</v>
      </c>
      <c r="P64" s="29" t="n">
        <v>105.3947014616664</v>
      </c>
      <c r="Q64" s="29" t="n">
        <v>26.36867889388761</v>
      </c>
      <c r="R64" s="29" t="n">
        <v>14.39619599660577</v>
      </c>
      <c r="S64" s="29" t="n">
        <v>55.90414970129119</v>
      </c>
      <c r="T64" s="29" t="n">
        <v>63.74843407355387</v>
      </c>
      <c r="U64" s="29" t="n">
        <v>36.94550039963843</v>
      </c>
      <c r="V64" s="29" t="n">
        <v>23.10079879249842</v>
      </c>
      <c r="W64" s="29" t="n">
        <v>45.06096804801829</v>
      </c>
      <c r="X64" s="29" t="n">
        <v>40.76022018449947</v>
      </c>
      <c r="Y64" s="29" t="n">
        <v>5.114970129862787</v>
      </c>
      <c r="Z64" s="29" t="n">
        <v>37.3536211209646</v>
      </c>
      <c r="AA64" s="29" t="n">
        <v>47.62121748156191</v>
      </c>
      <c r="AB64" s="29" t="n">
        <v>86.03444389701842</v>
      </c>
      <c r="AC64" s="29" t="n">
        <v>23.58667070086396</v>
      </c>
      <c r="AD64" s="29" t="n">
        <v>9.775577510977842</v>
      </c>
      <c r="AE64" s="29" t="n">
        <v>67.04734754515685</v>
      </c>
      <c r="AF64" s="29" t="n">
        <v>153.4682256377052</v>
      </c>
      <c r="AG64" s="29" t="n">
        <v>78.9774718046002</v>
      </c>
      <c r="AH64" s="29" t="n">
        <v>75.35754009392616</v>
      </c>
      <c r="AI64" s="29" t="n">
        <v>228.1865025986965</v>
      </c>
      <c r="AJ64" s="29" t="n">
        <v>202.4944920195032</v>
      </c>
      <c r="AK64" s="29" t="n">
        <v>45.66103587943013</v>
      </c>
      <c r="AL64" s="29" t="n">
        <v>86.08827863712324</v>
      </c>
      <c r="AM64" s="29" t="n">
        <v>23.99416836718023</v>
      </c>
      <c r="AN64" s="29" t="n">
        <v>95.58539596490583</v>
      </c>
      <c r="AO64" s="29" t="n">
        <v>31.50446433604982</v>
      </c>
      <c r="AP64" s="29" t="n">
        <v>249.6977528129333</v>
      </c>
      <c r="AQ64" s="29" t="n">
        <v>220.9381858403836</v>
      </c>
      <c r="AR64" s="29" t="n">
        <v>1279.663480242583</v>
      </c>
      <c r="AS64" s="29" t="n">
        <v>168.3961442574537</v>
      </c>
      <c r="AT64" s="29" t="n">
        <v>6.277776707805795</v>
      </c>
      <c r="AU64" s="29" t="n">
        <v>14.31634839158444</v>
      </c>
      <c r="AV64" s="29" t="n">
        <v>155.1437961360399</v>
      </c>
      <c r="AW64" s="29" t="n">
        <v>46.61806409351023</v>
      </c>
      <c r="AX64" s="29" t="n">
        <v>125.0010624240027</v>
      </c>
      <c r="AY64" s="29" t="n">
        <v>26.55924170894884</v>
      </c>
      <c r="AZ64" s="29" t="n">
        <v>60.52290138335081</v>
      </c>
      <c r="BA64" s="29" t="n">
        <v>4598.334473839711</v>
      </c>
      <c r="BB64" s="29" t="n">
        <v>283.1595366287029</v>
      </c>
      <c r="BC64" s="29" t="n">
        <v>1944.154613849107</v>
      </c>
      <c r="BD64" s="29" t="n">
        <v>119.0236110604577</v>
      </c>
      <c r="BE64" s="29" t="n">
        <v>526.382303184261</v>
      </c>
      <c r="BF64" s="29" t="n">
        <v>79.36030814733249</v>
      </c>
      <c r="BG64" s="29" t="n">
        <v>513.5143766598892</v>
      </c>
      <c r="BH64" s="29" t="n">
        <v>24.67895137818014</v>
      </c>
      <c r="BI64" s="29" t="n">
        <v>312.9928334902212</v>
      </c>
      <c r="BJ64" s="29" t="n">
        <v>54.75952051402625</v>
      </c>
      <c r="BK64" s="29" t="n">
        <v>1088.525790660137</v>
      </c>
      <c r="BL64" s="29" t="n">
        <v>213.5425788796665</v>
      </c>
      <c r="BM64" s="29" t="n">
        <v>258.1665509187098</v>
      </c>
      <c r="BN64" s="29" t="n">
        <v>107.9749471779775</v>
      </c>
      <c r="BO64" s="29" t="n">
        <v>214.5681779070321</v>
      </c>
      <c r="BP64" s="29" t="n">
        <v>50.307635368353</v>
      </c>
      <c r="BQ64" s="29" t="n">
        <v>331.5388079189037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0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1.813706964118439</v>
      </c>
      <c r="D65" s="31" t="n">
        <v>1.016417678430667</v>
      </c>
      <c r="E65" s="31" t="n">
        <v>0.1175981131383991</v>
      </c>
      <c r="F65" s="31" t="n">
        <v>-0.4049470028285204</v>
      </c>
      <c r="G65" s="31" t="n">
        <v>6.732392987778019</v>
      </c>
      <c r="H65" s="31" t="n">
        <v>19.71057138204798</v>
      </c>
      <c r="I65" s="31" t="n">
        <v>2.880165190506431</v>
      </c>
      <c r="J65" s="31" t="n">
        <v>-54.74969087682967</v>
      </c>
      <c r="K65" s="31" t="n">
        <v>-3.625822304580346</v>
      </c>
      <c r="L65" s="31" t="n">
        <v>20.02142087608972</v>
      </c>
      <c r="M65" s="31" t="n">
        <v>4.751783600830643</v>
      </c>
      <c r="N65" s="31" t="n">
        <v>0.5654394995002269</v>
      </c>
      <c r="O65" s="31" t="n">
        <v>-5.131192969511916</v>
      </c>
      <c r="P65" s="31" t="n">
        <v>-6.546048261686257</v>
      </c>
      <c r="Q65" s="31" t="n">
        <v>-14.04640960554102</v>
      </c>
      <c r="R65" s="31" t="n">
        <v>-3.09280351229995</v>
      </c>
      <c r="S65" s="31" t="n">
        <v>-11.1949255666161</v>
      </c>
      <c r="T65" s="31" t="n">
        <v>-0.1077257316666013</v>
      </c>
      <c r="U65" s="31" t="n">
        <v>-3.625154626893639</v>
      </c>
      <c r="V65" s="31" t="n">
        <v>-7.024045351377225</v>
      </c>
      <c r="W65" s="31" t="n">
        <v>22.23356587966545</v>
      </c>
      <c r="X65" s="31" t="n">
        <v>5.163213510244542</v>
      </c>
      <c r="Y65" s="31" t="n">
        <v>0.8625462350737247</v>
      </c>
      <c r="Z65" s="31" t="n">
        <v>20.17678892014176</v>
      </c>
      <c r="AA65" s="31" t="n">
        <v>-10.97385101123558</v>
      </c>
      <c r="AB65" s="31" t="n">
        <v>-8.161748235150089</v>
      </c>
      <c r="AC65" s="31" t="n">
        <v>-5.074082416931074</v>
      </c>
      <c r="AD65" s="31" t="n">
        <v>-4.089864628779639</v>
      </c>
      <c r="AE65" s="31" t="n">
        <v>-9.687839850894461</v>
      </c>
      <c r="AF65" s="31" t="n">
        <v>60.77400622813443</v>
      </c>
      <c r="AG65" s="31" t="n">
        <v>21.06588828025503</v>
      </c>
      <c r="AH65" s="31" t="n">
        <v>-15.88194623261142</v>
      </c>
      <c r="AI65" s="31" t="n">
        <v>78.76920142026268</v>
      </c>
      <c r="AJ65" s="31" t="n">
        <v>11.29445862205323</v>
      </c>
      <c r="AK65" s="31" t="n">
        <v>5.737631895332765</v>
      </c>
      <c r="AL65" s="31" t="n">
        <v>2.822851607593204</v>
      </c>
      <c r="AM65" s="31" t="n">
        <v>11.98226415031333</v>
      </c>
      <c r="AN65" s="31" t="n">
        <v>158.8057880639968</v>
      </c>
      <c r="AO65" s="31" t="n">
        <v>34.49290428398626</v>
      </c>
      <c r="AP65" s="31" t="n">
        <v>55.07472245281596</v>
      </c>
      <c r="AQ65" s="31" t="n">
        <v>45.85024189110391</v>
      </c>
      <c r="AR65" s="31" t="n">
        <v>815.8742499056312</v>
      </c>
      <c r="AS65" s="31" t="n">
        <v>88.50561724510604</v>
      </c>
      <c r="AT65" s="31" t="n">
        <v>0.1380834106679651</v>
      </c>
      <c r="AU65" s="31" t="n">
        <v>86.59220021455837</v>
      </c>
      <c r="AV65" s="31" t="n">
        <v>130.120593076779</v>
      </c>
      <c r="AW65" s="31" t="n">
        <v>7.741075333411775</v>
      </c>
      <c r="AX65" s="31" t="n">
        <v>9.771846492608399</v>
      </c>
      <c r="AY65" s="31" t="n">
        <v>57.40115592838073</v>
      </c>
      <c r="AZ65" s="31" t="n">
        <v>112.5473058647081</v>
      </c>
      <c r="BA65" s="31" t="n">
        <v>290.4221104087927</v>
      </c>
      <c r="BB65" s="31" t="n">
        <v>924.0854344284031</v>
      </c>
      <c r="BC65" s="31" t="n">
        <v>2003.983966287253</v>
      </c>
      <c r="BD65" s="31" t="n">
        <v>38.15623945397984</v>
      </c>
      <c r="BE65" s="31" t="n">
        <v>285.6762512110637</v>
      </c>
      <c r="BF65" s="31" t="n">
        <v>5.697458642812309</v>
      </c>
      <c r="BG65" s="31" t="n">
        <v>570.9607987743145</v>
      </c>
      <c r="BH65" s="31" t="n">
        <v>41.6589871226359</v>
      </c>
      <c r="BI65" s="31" t="n">
        <v>88.53944788980216</v>
      </c>
      <c r="BJ65" s="31" t="n">
        <v>18.68894284033876</v>
      </c>
      <c r="BK65" s="31" t="n">
        <v>1137.128660931217</v>
      </c>
      <c r="BL65" s="31" t="n">
        <v>173.91304903945</v>
      </c>
      <c r="BM65" s="31" t="n">
        <v>43.07846012183396</v>
      </c>
      <c r="BN65" s="31" t="n">
        <v>306.4531038899784</v>
      </c>
      <c r="BO65" s="31" t="n">
        <v>0.6658579541867917</v>
      </c>
      <c r="BP65" s="31" t="n">
        <v>18.88345534847847</v>
      </c>
      <c r="BQ65" s="31" t="n">
        <v>174.7749154790928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0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926.7610132022463</v>
      </c>
      <c r="D66" s="29" t="n">
        <v>359.5175897496396</v>
      </c>
      <c r="E66" s="29" t="n">
        <v>83.37575704719521</v>
      </c>
      <c r="F66" s="29" t="n">
        <v>107.7998864414736</v>
      </c>
      <c r="G66" s="29" t="n">
        <v>697.479455107634</v>
      </c>
      <c r="H66" s="29" t="n">
        <v>282.0515277832366</v>
      </c>
      <c r="I66" s="29" t="n">
        <v>94.31588895486973</v>
      </c>
      <c r="J66" s="29" t="n">
        <v>837.9245090510644</v>
      </c>
      <c r="K66" s="29" t="n">
        <v>271.2016973355334</v>
      </c>
      <c r="L66" s="29" t="n">
        <v>832.8835738334635</v>
      </c>
      <c r="M66" s="29" t="n">
        <v>254.9741817880967</v>
      </c>
      <c r="N66" s="29" t="n">
        <v>55.28236507899978</v>
      </c>
      <c r="O66" s="29" t="n">
        <v>132.9779853677918</v>
      </c>
      <c r="P66" s="29" t="n">
        <v>182.2716019539691</v>
      </c>
      <c r="Q66" s="29" t="n">
        <v>130.1682438639094</v>
      </c>
      <c r="R66" s="29" t="n">
        <v>86.37097049767856</v>
      </c>
      <c r="S66" s="29" t="n">
        <v>356.1826923882498</v>
      </c>
      <c r="T66" s="29" t="n">
        <v>67.21174921605069</v>
      </c>
      <c r="U66" s="29" t="n">
        <v>578.3365073086559</v>
      </c>
      <c r="V66" s="29" t="n">
        <v>174.1081275038708</v>
      </c>
      <c r="W66" s="29" t="n">
        <v>601.4391769212351</v>
      </c>
      <c r="X66" s="29" t="n">
        <v>230.7552423938881</v>
      </c>
      <c r="Y66" s="29" t="n">
        <v>133.2436730199201</v>
      </c>
      <c r="Z66" s="29" t="n">
        <v>160.2952692211517</v>
      </c>
      <c r="AA66" s="29" t="n">
        <v>307.349227654194</v>
      </c>
      <c r="AB66" s="29" t="n">
        <v>356.1931207256508</v>
      </c>
      <c r="AC66" s="29" t="n">
        <v>417.78931047059</v>
      </c>
      <c r="AD66" s="29" t="n">
        <v>194.3190440882871</v>
      </c>
      <c r="AE66" s="29" t="n">
        <v>295.9438114618035</v>
      </c>
      <c r="AF66" s="29" t="n">
        <v>258.5467347867714</v>
      </c>
      <c r="AG66" s="29" t="n">
        <v>235.360259856437</v>
      </c>
      <c r="AH66" s="29" t="n">
        <v>387.5264012164888</v>
      </c>
      <c r="AI66" s="29" t="n">
        <v>466.1680067121335</v>
      </c>
      <c r="AJ66" s="29" t="n">
        <v>190.9324255909339</v>
      </c>
      <c r="AK66" s="29" t="n">
        <v>179.1296642329407</v>
      </c>
      <c r="AL66" s="29" t="n">
        <v>181.4501985159206</v>
      </c>
      <c r="AM66" s="29" t="n">
        <v>115.6338947628918</v>
      </c>
      <c r="AN66" s="29" t="n">
        <v>1074.635231896098</v>
      </c>
      <c r="AO66" s="29" t="n">
        <v>231.7972201005882</v>
      </c>
      <c r="AP66" s="29" t="n">
        <v>1735.869553581368</v>
      </c>
      <c r="AQ66" s="29" t="n">
        <v>471.1608481090271</v>
      </c>
      <c r="AR66" s="29" t="n">
        <v>4572.798565040826</v>
      </c>
      <c r="AS66" s="29" t="n">
        <v>1484.876182078564</v>
      </c>
      <c r="AT66" s="29" t="n">
        <v>103.9502215153474</v>
      </c>
      <c r="AU66" s="29" t="n">
        <v>236.4332916841798</v>
      </c>
      <c r="AV66" s="29" t="n">
        <v>557.3229622961759</v>
      </c>
      <c r="AW66" s="29" t="n">
        <v>96.28979409822196</v>
      </c>
      <c r="AX66" s="29" t="n">
        <v>536.9928909683192</v>
      </c>
      <c r="AY66" s="29" t="n">
        <v>96.79975191978723</v>
      </c>
      <c r="AZ66" s="29" t="n">
        <v>209.3644729521641</v>
      </c>
      <c r="BA66" s="29" t="n">
        <v>1141.970412877824</v>
      </c>
      <c r="BB66" s="29" t="n">
        <v>457.835647806676</v>
      </c>
      <c r="BC66" s="29" t="n">
        <v>11660.1704912147</v>
      </c>
      <c r="BD66" s="29" t="n">
        <v>3956.082679491876</v>
      </c>
      <c r="BE66" s="29" t="n">
        <v>738.3634636920016</v>
      </c>
      <c r="BF66" s="29" t="n">
        <v>271.9008379102976</v>
      </c>
      <c r="BG66" s="29" t="n">
        <v>157.2508498474789</v>
      </c>
      <c r="BH66" s="29" t="n">
        <v>237.7294366448743</v>
      </c>
      <c r="BI66" s="29" t="n">
        <v>827.1891527484107</v>
      </c>
      <c r="BJ66" s="29" t="n">
        <v>186.8996097940701</v>
      </c>
      <c r="BK66" s="29" t="n">
        <v>9498.910698989819</v>
      </c>
      <c r="BL66" s="29" t="n">
        <v>175.3422911325789</v>
      </c>
      <c r="BM66" s="29" t="n">
        <v>360.9558663803037</v>
      </c>
      <c r="BN66" s="29" t="n">
        <v>81.91095729228644</v>
      </c>
      <c r="BO66" s="29" t="n">
        <v>826.1763440746518</v>
      </c>
      <c r="BP66" s="29" t="n">
        <v>138.713347615926</v>
      </c>
      <c r="BQ66" s="29" t="n">
        <v>415.5357040712803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0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0.158225695375825</v>
      </c>
      <c r="D67" s="31" t="n">
        <v>0.1136361588864353</v>
      </c>
      <c r="E67" s="31" t="n">
        <v>0.1577979841897447</v>
      </c>
      <c r="F67" s="31" t="n">
        <v>0.4732038587087541</v>
      </c>
      <c r="G67" s="31" t="n">
        <v>7.40095882072035</v>
      </c>
      <c r="H67" s="31" t="n">
        <v>0.6360155684686617</v>
      </c>
      <c r="I67" s="31" t="n">
        <v>0.4740830428134747</v>
      </c>
      <c r="J67" s="31" t="n">
        <v>14.15033813814522</v>
      </c>
      <c r="K67" s="31" t="n">
        <v>3.244663522122465</v>
      </c>
      <c r="L67" s="31" t="n">
        <v>10.92834957198839</v>
      </c>
      <c r="M67" s="31" t="n">
        <v>1.577266989920642</v>
      </c>
      <c r="N67" s="31" t="n">
        <v>0.4957124825464895</v>
      </c>
      <c r="O67" s="31" t="n">
        <v>7.142766225783495</v>
      </c>
      <c r="P67" s="31" t="n">
        <v>8.449644588860586</v>
      </c>
      <c r="Q67" s="31" t="n">
        <v>2.140576629178015</v>
      </c>
      <c r="R67" s="31" t="n">
        <v>0.7886334949603206</v>
      </c>
      <c r="S67" s="31" t="n">
        <v>3.537822151861905</v>
      </c>
      <c r="T67" s="31" t="n">
        <v>1.261813591936517</v>
      </c>
      <c r="U67" s="31" t="n">
        <v>3.807973161379849</v>
      </c>
      <c r="V67" s="31" t="n">
        <v>4.146600511713378</v>
      </c>
      <c r="W67" s="31" t="n">
        <v>3.606868774258952</v>
      </c>
      <c r="X67" s="31" t="n">
        <v>2.253238557029492</v>
      </c>
      <c r="Y67" s="31" t="n">
        <v>3.627714076817486</v>
      </c>
      <c r="Z67" s="31" t="n">
        <v>5.72322593485491</v>
      </c>
      <c r="AA67" s="31" t="n">
        <v>8.765097986844715</v>
      </c>
      <c r="AB67" s="31" t="n">
        <v>4.889622715684244</v>
      </c>
      <c r="AC67" s="31" t="n">
        <v>6.039107044025104</v>
      </c>
      <c r="AD67" s="31" t="n">
        <v>0.2481413820639649</v>
      </c>
      <c r="AE67" s="31" t="n">
        <v>5.904269156591753</v>
      </c>
      <c r="AF67" s="31" t="n">
        <v>4.440590802092418</v>
      </c>
      <c r="AG67" s="31" t="n">
        <v>2.726489939203363</v>
      </c>
      <c r="AH67" s="31" t="n">
        <v>4.913271902684859</v>
      </c>
      <c r="AI67" s="31" t="n">
        <v>2.438915316615537</v>
      </c>
      <c r="AJ67" s="31" t="n">
        <v>3.920943991754605</v>
      </c>
      <c r="AK67" s="31" t="n">
        <v>1.853073291787869</v>
      </c>
      <c r="AL67" s="31" t="n">
        <v>5.565808138386123</v>
      </c>
      <c r="AM67" s="31" t="n">
        <v>1.329410748647398</v>
      </c>
      <c r="AN67" s="31" t="n">
        <v>28.99918022896955</v>
      </c>
      <c r="AO67" s="31" t="n">
        <v>6.264003188541977</v>
      </c>
      <c r="AP67" s="31" t="n">
        <v>32.81595240457742</v>
      </c>
      <c r="AQ67" s="31" t="n">
        <v>83.62899343606314</v>
      </c>
      <c r="AR67" s="31" t="n">
        <v>870.1248819837757</v>
      </c>
      <c r="AS67" s="31" t="n">
        <v>25.57468533347074</v>
      </c>
      <c r="AT67" s="31" t="n">
        <v>1.532321027442852</v>
      </c>
      <c r="AU67" s="31" t="n">
        <v>2.88419287646287</v>
      </c>
      <c r="AV67" s="31" t="n">
        <v>58.23076530994502</v>
      </c>
      <c r="AW67" s="31" t="n">
        <v>26.95434091095688</v>
      </c>
      <c r="AX67" s="31" t="n">
        <v>109.1468757025084</v>
      </c>
      <c r="AY67" s="31" t="n">
        <v>6.06144933573492</v>
      </c>
      <c r="AZ67" s="31" t="n">
        <v>10.28011420988051</v>
      </c>
      <c r="BA67" s="31" t="n">
        <v>58.40399092166962</v>
      </c>
      <c r="BB67" s="31" t="n">
        <v>35.86879520382909</v>
      </c>
      <c r="BC67" s="31" t="n">
        <v>136.6447027046642</v>
      </c>
      <c r="BD67" s="31" t="n">
        <v>46.51967515267114</v>
      </c>
      <c r="BE67" s="31" t="n">
        <v>116.4486755225751</v>
      </c>
      <c r="BF67" s="31" t="n">
        <v>21.38677440436134</v>
      </c>
      <c r="BG67" s="31" t="n">
        <v>22.41972364244348</v>
      </c>
      <c r="BH67" s="31" t="n">
        <v>25.75874629524271</v>
      </c>
      <c r="BI67" s="31" t="n">
        <v>65.32270389910143</v>
      </c>
      <c r="BJ67" s="31" t="n">
        <v>5.926017404987568</v>
      </c>
      <c r="BK67" s="31" t="n">
        <v>82.215279742034</v>
      </c>
      <c r="BL67" s="31" t="n">
        <v>14.98590731801498</v>
      </c>
      <c r="BM67" s="31" t="n">
        <v>97.61896732290224</v>
      </c>
      <c r="BN67" s="31" t="n">
        <v>11.17193993692659</v>
      </c>
      <c r="BO67" s="31" t="n">
        <v>45.62808077984725</v>
      </c>
      <c r="BP67" s="31" t="n">
        <v>91.12118110186584</v>
      </c>
      <c r="BQ67" s="31" t="n">
        <v>68.00920284240638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0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1.304497701534853</v>
      </c>
      <c r="D68" s="29" t="n">
        <v>0.686463754489425</v>
      </c>
      <c r="E68" s="29" t="n">
        <v>2.748353272488049</v>
      </c>
      <c r="F68" s="29" t="n">
        <v>34.89148520500967</v>
      </c>
      <c r="G68" s="29" t="n">
        <v>701.7315503394509</v>
      </c>
      <c r="H68" s="29" t="n">
        <v>200.2518011012417</v>
      </c>
      <c r="I68" s="29" t="n">
        <v>18.60292443896495</v>
      </c>
      <c r="J68" s="29" t="n">
        <v>304.3630316871635</v>
      </c>
      <c r="K68" s="29" t="n">
        <v>54.66387388187324</v>
      </c>
      <c r="L68" s="29" t="n">
        <v>510.7718975999101</v>
      </c>
      <c r="M68" s="29" t="n">
        <v>129.9967614997415</v>
      </c>
      <c r="N68" s="29" t="n">
        <v>60.67561482382796</v>
      </c>
      <c r="O68" s="29" t="n">
        <v>23.86365670995596</v>
      </c>
      <c r="P68" s="29" t="n">
        <v>20.1692834741738</v>
      </c>
      <c r="Q68" s="29" t="n">
        <v>13.56782667951035</v>
      </c>
      <c r="R68" s="29" t="n">
        <v>17.50271839900328</v>
      </c>
      <c r="S68" s="29" t="n">
        <v>123.0837303468898</v>
      </c>
      <c r="T68" s="29" t="n">
        <v>11.31519797544606</v>
      </c>
      <c r="U68" s="29" t="n">
        <v>378.0521639547553</v>
      </c>
      <c r="V68" s="29" t="n">
        <v>40.32452974364895</v>
      </c>
      <c r="W68" s="29" t="n">
        <v>203.594380537131</v>
      </c>
      <c r="X68" s="29" t="n">
        <v>235.7570985433938</v>
      </c>
      <c r="Y68" s="29" t="n">
        <v>99.87253804948904</v>
      </c>
      <c r="Z68" s="29" t="n">
        <v>282.2053571940584</v>
      </c>
      <c r="AA68" s="29" t="n">
        <v>108.5333926795552</v>
      </c>
      <c r="AB68" s="29" t="n">
        <v>149.056988107592</v>
      </c>
      <c r="AC68" s="29" t="n">
        <v>118.1882589594572</v>
      </c>
      <c r="AD68" s="29" t="n">
        <v>29.13099100251248</v>
      </c>
      <c r="AE68" s="29" t="n">
        <v>54.81040661297597</v>
      </c>
      <c r="AF68" s="29" t="n">
        <v>196.7125016703078</v>
      </c>
      <c r="AG68" s="29" t="n">
        <v>172.2261499005392</v>
      </c>
      <c r="AH68" s="29" t="n">
        <v>147.2183239231524</v>
      </c>
      <c r="AI68" s="29" t="n">
        <v>165.6236382740939</v>
      </c>
      <c r="AJ68" s="29" t="n">
        <v>77.76879674239792</v>
      </c>
      <c r="AK68" s="29" t="n">
        <v>28.79541429452996</v>
      </c>
      <c r="AL68" s="29" t="n">
        <v>32.55532107963865</v>
      </c>
      <c r="AM68" s="29" t="n">
        <v>42.38734677525707</v>
      </c>
      <c r="AN68" s="29" t="n">
        <v>90.79362852819217</v>
      </c>
      <c r="AO68" s="29" t="n">
        <v>76.33461252454696</v>
      </c>
      <c r="AP68" s="29" t="n">
        <v>321.5737151453627</v>
      </c>
      <c r="AQ68" s="29" t="n">
        <v>437.1975806642488</v>
      </c>
      <c r="AR68" s="29" t="n">
        <v>1583.880686635692</v>
      </c>
      <c r="AS68" s="29" t="n">
        <v>153.7222632173032</v>
      </c>
      <c r="AT68" s="29" t="n">
        <v>5.360795166604754</v>
      </c>
      <c r="AU68" s="29" t="n">
        <v>32.98145870961983</v>
      </c>
      <c r="AV68" s="29" t="n">
        <v>123.6700775716242</v>
      </c>
      <c r="AW68" s="29" t="n">
        <v>16.10987832356846</v>
      </c>
      <c r="AX68" s="29" t="n">
        <v>62.58616865895071</v>
      </c>
      <c r="AY68" s="29" t="n">
        <v>35.91696720044235</v>
      </c>
      <c r="AZ68" s="29" t="n">
        <v>174.9543539791069</v>
      </c>
      <c r="BA68" s="29" t="n">
        <v>221.1167383861044</v>
      </c>
      <c r="BB68" s="29" t="n">
        <v>191.5476584668957</v>
      </c>
      <c r="BC68" s="29" t="n">
        <v>1152.527798350352</v>
      </c>
      <c r="BD68" s="29" t="n">
        <v>150.3128109366482</v>
      </c>
      <c r="BE68" s="29" t="n">
        <v>1171.681222493189</v>
      </c>
      <c r="BF68" s="29" t="n">
        <v>319.4168196187561</v>
      </c>
      <c r="BG68" s="29" t="n">
        <v>25.1160624233218</v>
      </c>
      <c r="BH68" s="29" t="n">
        <v>58.08654231300189</v>
      </c>
      <c r="BI68" s="29" t="n">
        <v>236.5956812523865</v>
      </c>
      <c r="BJ68" s="29" t="n">
        <v>89.58298843134834</v>
      </c>
      <c r="BK68" s="29" t="n">
        <v>286.7340314333674</v>
      </c>
      <c r="BL68" s="29" t="n">
        <v>10.46140768329825</v>
      </c>
      <c r="BM68" s="29" t="n">
        <v>137.1118685349909</v>
      </c>
      <c r="BN68" s="29" t="n">
        <v>23.92267663795239</v>
      </c>
      <c r="BO68" s="29" t="n">
        <v>151.4109937778682</v>
      </c>
      <c r="BP68" s="29" t="n">
        <v>74.03077294116035</v>
      </c>
      <c r="BQ68" s="29" t="n">
        <v>225.0845376378532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0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101.145322958161</v>
      </c>
      <c r="D69" s="31" t="n">
        <v>3.498862066425157</v>
      </c>
      <c r="E69" s="31" t="n">
        <v>0.04617047169495998</v>
      </c>
      <c r="F69" s="31" t="n">
        <v>9.691598390709265</v>
      </c>
      <c r="G69" s="31" t="n">
        <v>334.4874450870618</v>
      </c>
      <c r="H69" s="31" t="n">
        <v>51.94263909109804</v>
      </c>
      <c r="I69" s="31" t="n">
        <v>25.92084902456849</v>
      </c>
      <c r="J69" s="31" t="n">
        <v>188.2333158248502</v>
      </c>
      <c r="K69" s="31" t="n">
        <v>47.02419786168856</v>
      </c>
      <c r="L69" s="31" t="n">
        <v>178.3315924628066</v>
      </c>
      <c r="M69" s="31" t="n">
        <v>39.21703556655568</v>
      </c>
      <c r="N69" s="31" t="n">
        <v>19.32742646975415</v>
      </c>
      <c r="O69" s="31" t="n">
        <v>11.22285124476094</v>
      </c>
      <c r="P69" s="31" t="n">
        <v>30.04218070265563</v>
      </c>
      <c r="Q69" s="31" t="n">
        <v>19.66576149703885</v>
      </c>
      <c r="R69" s="31" t="n">
        <v>6.980148570123269</v>
      </c>
      <c r="S69" s="31" t="n">
        <v>82.18555008631239</v>
      </c>
      <c r="T69" s="31" t="n">
        <v>7.071395580636842</v>
      </c>
      <c r="U69" s="31" t="n">
        <v>27.84746121741071</v>
      </c>
      <c r="V69" s="31" t="n">
        <v>42.65748914035333</v>
      </c>
      <c r="W69" s="31" t="n">
        <v>111.9760548906755</v>
      </c>
      <c r="X69" s="31" t="n">
        <v>98.1599691173674</v>
      </c>
      <c r="Y69" s="31" t="n">
        <v>68.48434179886368</v>
      </c>
      <c r="Z69" s="31" t="n">
        <v>156.3826938705483</v>
      </c>
      <c r="AA69" s="31" t="n">
        <v>139.4485825126345</v>
      </c>
      <c r="AB69" s="31" t="n">
        <v>101.5241918160385</v>
      </c>
      <c r="AC69" s="31" t="n">
        <v>66.56013581012874</v>
      </c>
      <c r="AD69" s="31" t="n">
        <v>43.36198152252911</v>
      </c>
      <c r="AE69" s="31" t="n">
        <v>78.33036368654551</v>
      </c>
      <c r="AF69" s="31" t="n">
        <v>117.0322580042557</v>
      </c>
      <c r="AG69" s="31" t="n">
        <v>66.07007651567339</v>
      </c>
      <c r="AH69" s="31" t="n">
        <v>275.7095740584506</v>
      </c>
      <c r="AI69" s="31" t="n">
        <v>283.3166647077317</v>
      </c>
      <c r="AJ69" s="31" t="n">
        <v>100.4442268651341</v>
      </c>
      <c r="AK69" s="31" t="n">
        <v>45.88715620865857</v>
      </c>
      <c r="AL69" s="31" t="n">
        <v>45.62952724201094</v>
      </c>
      <c r="AM69" s="31" t="n">
        <v>45.19362987765825</v>
      </c>
      <c r="AN69" s="31" t="n">
        <v>593.2435680447072</v>
      </c>
      <c r="AO69" s="31" t="n">
        <v>77.45541280358549</v>
      </c>
      <c r="AP69" s="31" t="n">
        <v>612.6076145349591</v>
      </c>
      <c r="AQ69" s="31" t="n">
        <v>15.87250872821256</v>
      </c>
      <c r="AR69" s="31" t="n">
        <v>263.1443999512017</v>
      </c>
      <c r="AS69" s="31" t="n">
        <v>60.6179424963049</v>
      </c>
      <c r="AT69" s="31" t="n">
        <v>2.570113779958402</v>
      </c>
      <c r="AU69" s="31" t="n">
        <v>0.02033950411827365</v>
      </c>
      <c r="AV69" s="31" t="n">
        <v>756.6411314323641</v>
      </c>
      <c r="AW69" s="31" t="n">
        <v>1.43295967016036</v>
      </c>
      <c r="AX69" s="31" t="n">
        <v>1.939403034825779</v>
      </c>
      <c r="AY69" s="31" t="n">
        <v>0.04007960360572636</v>
      </c>
      <c r="AZ69" s="31" t="n">
        <v>0.07297421954127782</v>
      </c>
      <c r="BA69" s="31" t="n">
        <v>1.614017842264755</v>
      </c>
      <c r="BB69" s="31" t="n">
        <v>57.67307548290556</v>
      </c>
      <c r="BC69" s="31" t="n">
        <v>131.7547158118535</v>
      </c>
      <c r="BD69" s="31" t="n">
        <v>3.350080653473518</v>
      </c>
      <c r="BE69" s="31" t="n">
        <v>0.8509724117491788</v>
      </c>
      <c r="BF69" s="31" t="n">
        <v>550.9707087805059</v>
      </c>
      <c r="BG69" s="31" t="n">
        <v>0.1492812094299185</v>
      </c>
      <c r="BH69" s="31" t="n">
        <v>12.45132523793511</v>
      </c>
      <c r="BI69" s="31" t="n">
        <v>5.447384536579495</v>
      </c>
      <c r="BJ69" s="31" t="n">
        <v>0.08622295141797807</v>
      </c>
      <c r="BK69" s="31" t="n">
        <v>680.9955184443371</v>
      </c>
      <c r="BL69" s="31" t="n">
        <v>229.7758280573007</v>
      </c>
      <c r="BM69" s="31" t="n">
        <v>18.42122520522648</v>
      </c>
      <c r="BN69" s="31" t="n">
        <v>260.0856501179948</v>
      </c>
      <c r="BO69" s="31" t="n">
        <v>0.3689994861225118</v>
      </c>
      <c r="BP69" s="31" t="n">
        <v>0.6015301709668421</v>
      </c>
      <c r="BQ69" s="31" t="n">
        <v>0.5102482767411912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0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0.8483444265892837</v>
      </c>
      <c r="D70" s="29" t="n">
        <v>26.03062852671625</v>
      </c>
      <c r="E70" s="29" t="n">
        <v>6.016057986336184</v>
      </c>
      <c r="F70" s="29" t="n">
        <v>2.2528058882265</v>
      </c>
      <c r="G70" s="29" t="n">
        <v>34.44090542481666</v>
      </c>
      <c r="H70" s="29" t="n">
        <v>0.4070554346460379</v>
      </c>
      <c r="I70" s="29" t="n">
        <v>-0.002991606954001687</v>
      </c>
      <c r="J70" s="29" t="n">
        <v>136.0081011319064</v>
      </c>
      <c r="K70" s="29" t="n">
        <v>8.505637302572845</v>
      </c>
      <c r="L70" s="29" t="n">
        <v>220.2750412926655</v>
      </c>
      <c r="M70" s="29" t="n">
        <v>340.8246850978458</v>
      </c>
      <c r="N70" s="29" t="n">
        <v>16.51142955299272</v>
      </c>
      <c r="O70" s="29" t="n">
        <v>5.46988393275153</v>
      </c>
      <c r="P70" s="29" t="n">
        <v>26.73693077191949</v>
      </c>
      <c r="Q70" s="29" t="n">
        <v>55.56157590491281</v>
      </c>
      <c r="R70" s="29" t="n">
        <v>1.777499853115194</v>
      </c>
      <c r="S70" s="29" t="n">
        <v>34.27379507715676</v>
      </c>
      <c r="T70" s="29" t="n">
        <v>4.236250319087595</v>
      </c>
      <c r="U70" s="29" t="n">
        <v>13.53153571320223</v>
      </c>
      <c r="V70" s="29" t="n">
        <v>5.139354682268285</v>
      </c>
      <c r="W70" s="29" t="n">
        <v>6.25578807480741</v>
      </c>
      <c r="X70" s="29" t="n">
        <v>31.5279518747034</v>
      </c>
      <c r="Y70" s="29" t="n">
        <v>82.74760902800557</v>
      </c>
      <c r="Z70" s="29" t="n">
        <v>130.5296864625729</v>
      </c>
      <c r="AA70" s="29" t="n">
        <v>28.64136161099884</v>
      </c>
      <c r="AB70" s="29" t="n">
        <v>17.96077290168516</v>
      </c>
      <c r="AC70" s="29" t="n">
        <v>11.79169378256704</v>
      </c>
      <c r="AD70" s="29" t="n">
        <v>0.7486797670295754</v>
      </c>
      <c r="AE70" s="29" t="n">
        <v>31.56118022273642</v>
      </c>
      <c r="AF70" s="29" t="n">
        <v>94.10818168587093</v>
      </c>
      <c r="AG70" s="29" t="n">
        <v>43.78825670469912</v>
      </c>
      <c r="AH70" s="29" t="n">
        <v>28.61834903934096</v>
      </c>
      <c r="AI70" s="29" t="n">
        <v>282.3943844348875</v>
      </c>
      <c r="AJ70" s="29" t="n">
        <v>8.813108723959663</v>
      </c>
      <c r="AK70" s="29" t="n">
        <v>20.49537864481386</v>
      </c>
      <c r="AL70" s="29" t="n">
        <v>28.88756772852248</v>
      </c>
      <c r="AM70" s="29" t="n">
        <v>7.332883575636309</v>
      </c>
      <c r="AN70" s="29" t="n">
        <v>225.7750815112218</v>
      </c>
      <c r="AO70" s="29" t="n">
        <v>12.08445172945078</v>
      </c>
      <c r="AP70" s="29" t="n">
        <v>125.1078768377483</v>
      </c>
      <c r="AQ70" s="29" t="n">
        <v>173.5905066778313</v>
      </c>
      <c r="AR70" s="29" t="n">
        <v>1143.335257579513</v>
      </c>
      <c r="AS70" s="29" t="n">
        <v>40.13160268445297</v>
      </c>
      <c r="AT70" s="29" t="n">
        <v>2.398309606952909</v>
      </c>
      <c r="AU70" s="29" t="n">
        <v>15.23076890199712</v>
      </c>
      <c r="AV70" s="29" t="n">
        <v>71.01216250473337</v>
      </c>
      <c r="AW70" s="29" t="n">
        <v>20.70245229405187</v>
      </c>
      <c r="AX70" s="29" t="n">
        <v>48.15482539439009</v>
      </c>
      <c r="AY70" s="29" t="n">
        <v>62.80696974048934</v>
      </c>
      <c r="AZ70" s="29" t="n">
        <v>123.9512702294979</v>
      </c>
      <c r="BA70" s="29" t="n">
        <v>233.781323458965</v>
      </c>
      <c r="BB70" s="29" t="n">
        <v>105.9348169607125</v>
      </c>
      <c r="BC70" s="29" t="n">
        <v>769.8414397315717</v>
      </c>
      <c r="BD70" s="29" t="n">
        <v>57.84240429434291</v>
      </c>
      <c r="BE70" s="29" t="n">
        <v>294.3297602889378</v>
      </c>
      <c r="BF70" s="29" t="n">
        <v>26.17990172685675</v>
      </c>
      <c r="BG70" s="29" t="n">
        <v>111.9042286403483</v>
      </c>
      <c r="BH70" s="29" t="n">
        <v>65.31303530400787</v>
      </c>
      <c r="BI70" s="29" t="n">
        <v>93.40559482993284</v>
      </c>
      <c r="BJ70" s="29" t="n">
        <v>11.35334401859962</v>
      </c>
      <c r="BK70" s="29" t="n">
        <v>234.8637791899908</v>
      </c>
      <c r="BL70" s="29" t="n">
        <v>43.41399526289192</v>
      </c>
      <c r="BM70" s="29" t="n">
        <v>168.4902428151447</v>
      </c>
      <c r="BN70" s="29" t="n">
        <v>70.34533284084475</v>
      </c>
      <c r="BO70" s="29" t="n">
        <v>2.580837192259205</v>
      </c>
      <c r="BP70" s="29" t="n">
        <v>102.135773063627</v>
      </c>
      <c r="BQ70" s="29" t="n">
        <v>105.8299340433846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0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306.7715081466938</v>
      </c>
      <c r="D71" s="31" t="n">
        <v>49.1471550664895</v>
      </c>
      <c r="E71" s="31" t="n">
        <v>72.18093692719209</v>
      </c>
      <c r="F71" s="31" t="n">
        <v>205.9715081179896</v>
      </c>
      <c r="G71" s="31" t="n">
        <v>9365.950591252078</v>
      </c>
      <c r="H71" s="31" t="n">
        <v>1082.88990364917</v>
      </c>
      <c r="I71" s="31" t="n">
        <v>267.9408705236571</v>
      </c>
      <c r="J71" s="31" t="n">
        <v>340.4616950146976</v>
      </c>
      <c r="K71" s="31" t="n">
        <v>321.2956922813845</v>
      </c>
      <c r="L71" s="31" t="n">
        <v>1102.512183687741</v>
      </c>
      <c r="M71" s="31" t="n">
        <v>403.8343037470461</v>
      </c>
      <c r="N71" s="31" t="n">
        <v>42.32201743638981</v>
      </c>
      <c r="O71" s="31" t="n">
        <v>49.22443125220425</v>
      </c>
      <c r="P71" s="31" t="n">
        <v>101.797228521396</v>
      </c>
      <c r="Q71" s="31" t="n">
        <v>70.94807422966021</v>
      </c>
      <c r="R71" s="31" t="n">
        <v>117.909498309978</v>
      </c>
      <c r="S71" s="31" t="n">
        <v>700.4136233707248</v>
      </c>
      <c r="T71" s="31" t="n">
        <v>151.6804507671711</v>
      </c>
      <c r="U71" s="31" t="n">
        <v>459.5073239331149</v>
      </c>
      <c r="V71" s="31" t="n">
        <v>69.20576154026168</v>
      </c>
      <c r="W71" s="31" t="n">
        <v>389.6869950544175</v>
      </c>
      <c r="X71" s="31" t="n">
        <v>461.8293493532949</v>
      </c>
      <c r="Y71" s="31" t="n">
        <v>88.57655595565799</v>
      </c>
      <c r="Z71" s="31" t="n">
        <v>194.5013659759811</v>
      </c>
      <c r="AA71" s="31" t="n">
        <v>556.0388587316719</v>
      </c>
      <c r="AB71" s="31" t="n">
        <v>376.140955946123</v>
      </c>
      <c r="AC71" s="31" t="n">
        <v>525.1157384678698</v>
      </c>
      <c r="AD71" s="31" t="n">
        <v>217.2330750413113</v>
      </c>
      <c r="AE71" s="31" t="n">
        <v>706.3281614092778</v>
      </c>
      <c r="AF71" s="31" t="n">
        <v>561.3232792227701</v>
      </c>
      <c r="AG71" s="31" t="n">
        <v>221.1399692590885</v>
      </c>
      <c r="AH71" s="31" t="n">
        <v>650.6717956617837</v>
      </c>
      <c r="AI71" s="31" t="n">
        <v>1553.688568426234</v>
      </c>
      <c r="AJ71" s="31" t="n">
        <v>476.692776029702</v>
      </c>
      <c r="AK71" s="31" t="n">
        <v>637.8503523232577</v>
      </c>
      <c r="AL71" s="31" t="n">
        <v>237.2591956509651</v>
      </c>
      <c r="AM71" s="31" t="n">
        <v>372.6377905829073</v>
      </c>
      <c r="AN71" s="31" t="n">
        <v>878.7096935162047</v>
      </c>
      <c r="AO71" s="31" t="n">
        <v>1287.67574053288</v>
      </c>
      <c r="AP71" s="31" t="n">
        <v>4237.600554308787</v>
      </c>
      <c r="AQ71" s="31" t="n">
        <v>755.3152743064325</v>
      </c>
      <c r="AR71" s="31" t="n">
        <v>7837.562723334981</v>
      </c>
      <c r="AS71" s="31" t="n">
        <v>3668.937353179133</v>
      </c>
      <c r="AT71" s="31" t="n">
        <v>918.3716764014378</v>
      </c>
      <c r="AU71" s="31" t="n">
        <v>2859.940757822237</v>
      </c>
      <c r="AV71" s="31" t="n">
        <v>1881.2176738699</v>
      </c>
      <c r="AW71" s="31" t="n">
        <v>130.8195976446196</v>
      </c>
      <c r="AX71" s="31" t="n">
        <v>1076.562789605391</v>
      </c>
      <c r="AY71" s="31" t="n">
        <v>779.3536243084011</v>
      </c>
      <c r="AZ71" s="31" t="n">
        <v>1081.228202258767</v>
      </c>
      <c r="BA71" s="31" t="n">
        <v>4792.599225828098</v>
      </c>
      <c r="BB71" s="31" t="n">
        <v>2435.151394920606</v>
      </c>
      <c r="BC71" s="31" t="n">
        <v>1660.64474222128</v>
      </c>
      <c r="BD71" s="31" t="n">
        <v>212.8231612308743</v>
      </c>
      <c r="BE71" s="31" t="n">
        <v>713.9810366497434</v>
      </c>
      <c r="BF71" s="31" t="n">
        <v>926.5031508013357</v>
      </c>
      <c r="BG71" s="31" t="n">
        <v>242.7324910512631</v>
      </c>
      <c r="BH71" s="31" t="n">
        <v>1570.688430781039</v>
      </c>
      <c r="BI71" s="31" t="n">
        <v>925.7337122187006</v>
      </c>
      <c r="BJ71" s="31" t="n">
        <v>293.960250093265</v>
      </c>
      <c r="BK71" s="31" t="n">
        <v>2842.669002803493</v>
      </c>
      <c r="BL71" s="31" t="n">
        <v>1066.634552352767</v>
      </c>
      <c r="BM71" s="31" t="n">
        <v>2089.572001243991</v>
      </c>
      <c r="BN71" s="31" t="n">
        <v>1375.272724405287</v>
      </c>
      <c r="BO71" s="31" t="n">
        <v>724.4887669901492</v>
      </c>
      <c r="BP71" s="31" t="n">
        <v>494.2224810286514</v>
      </c>
      <c r="BQ71" s="31" t="n">
        <v>216.5549215587926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0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1.339596126424732</v>
      </c>
      <c r="D72" s="29" t="n">
        <v>0.7249384331652434</v>
      </c>
      <c r="E72" s="29" t="n">
        <v>2.175760272767843</v>
      </c>
      <c r="F72" s="29" t="n">
        <v>42.8390936863789</v>
      </c>
      <c r="G72" s="29" t="n">
        <v>45.05050327711156</v>
      </c>
      <c r="H72" s="29" t="n">
        <v>30.20734951874717</v>
      </c>
      <c r="I72" s="29" t="n">
        <v>15.60026394335198</v>
      </c>
      <c r="J72" s="29" t="n">
        <v>38.60775262383414</v>
      </c>
      <c r="K72" s="29" t="n">
        <v>23.74113332233385</v>
      </c>
      <c r="L72" s="29" t="n">
        <v>79.99708192040228</v>
      </c>
      <c r="M72" s="29" t="n">
        <v>85.41850118398685</v>
      </c>
      <c r="N72" s="29" t="n">
        <v>10.23665851756379</v>
      </c>
      <c r="O72" s="29" t="n">
        <v>14.16221784517808</v>
      </c>
      <c r="P72" s="29" t="n">
        <v>13.28643079960875</v>
      </c>
      <c r="Q72" s="29" t="n">
        <v>18.15997416049935</v>
      </c>
      <c r="R72" s="29" t="n">
        <v>2.104842631098828</v>
      </c>
      <c r="S72" s="29" t="n">
        <v>26.3389921836301</v>
      </c>
      <c r="T72" s="29" t="n">
        <v>1.791081528772669</v>
      </c>
      <c r="U72" s="29" t="n">
        <v>10.74870187204166</v>
      </c>
      <c r="V72" s="29" t="n">
        <v>18.4084450725416</v>
      </c>
      <c r="W72" s="29" t="n">
        <v>33.31176567269767</v>
      </c>
      <c r="X72" s="29" t="n">
        <v>44.81338344635929</v>
      </c>
      <c r="Y72" s="29" t="n">
        <v>26.42559072522619</v>
      </c>
      <c r="Z72" s="29" t="n">
        <v>90.69729343500711</v>
      </c>
      <c r="AA72" s="29" t="n">
        <v>28.32084203108038</v>
      </c>
      <c r="AB72" s="29" t="n">
        <v>66.74930584454971</v>
      </c>
      <c r="AC72" s="29" t="n">
        <v>34.2447491317591</v>
      </c>
      <c r="AD72" s="29" t="n">
        <v>40.3020388929808</v>
      </c>
      <c r="AE72" s="29" t="n">
        <v>51.23893059448764</v>
      </c>
      <c r="AF72" s="29" t="n">
        <v>77.28513976359123</v>
      </c>
      <c r="AG72" s="29" t="n">
        <v>50.80844682767212</v>
      </c>
      <c r="AH72" s="29" t="n">
        <v>142.6039020145078</v>
      </c>
      <c r="AI72" s="29" t="n">
        <v>77.5772502328136</v>
      </c>
      <c r="AJ72" s="29" t="n">
        <v>21.47606648449422</v>
      </c>
      <c r="AK72" s="29" t="n">
        <v>12.90396993487255</v>
      </c>
      <c r="AL72" s="29" t="n">
        <v>17.15257501835693</v>
      </c>
      <c r="AM72" s="29" t="n">
        <v>36.51154769466828</v>
      </c>
      <c r="AN72" s="29" t="n">
        <v>255.0132531150289</v>
      </c>
      <c r="AO72" s="29" t="n">
        <v>17.71869567192324</v>
      </c>
      <c r="AP72" s="29" t="n">
        <v>142.1175440897619</v>
      </c>
      <c r="AQ72" s="29" t="n">
        <v>127.1027873060591</v>
      </c>
      <c r="AR72" s="29" t="n">
        <v>2111.703911930692</v>
      </c>
      <c r="AS72" s="29" t="n">
        <v>114.2612557827708</v>
      </c>
      <c r="AT72" s="29" t="n">
        <v>9.267551710996955</v>
      </c>
      <c r="AU72" s="29" t="n">
        <v>66.4918340979884</v>
      </c>
      <c r="AV72" s="29" t="n">
        <v>178.00948830436</v>
      </c>
      <c r="AW72" s="29" t="n">
        <v>70.09964664514055</v>
      </c>
      <c r="AX72" s="29" t="n">
        <v>102.9929763592665</v>
      </c>
      <c r="AY72" s="29" t="n">
        <v>21.16173784648082</v>
      </c>
      <c r="AZ72" s="29" t="n">
        <v>46.68362739772503</v>
      </c>
      <c r="BA72" s="29" t="n">
        <v>1524.852447030564</v>
      </c>
      <c r="BB72" s="29" t="n">
        <v>438.1477848432338</v>
      </c>
      <c r="BC72" s="29" t="n">
        <v>1846.935835537645</v>
      </c>
      <c r="BD72" s="29" t="n">
        <v>66.77301866716263</v>
      </c>
      <c r="BE72" s="29" t="n">
        <v>272.4844637399425</v>
      </c>
      <c r="BF72" s="29" t="n">
        <v>45.13420184682949</v>
      </c>
      <c r="BG72" s="29" t="n">
        <v>48.85425499442881</v>
      </c>
      <c r="BH72" s="29" t="n">
        <v>45.74101989470586</v>
      </c>
      <c r="BI72" s="29" t="n">
        <v>322.8514591146914</v>
      </c>
      <c r="BJ72" s="29" t="n">
        <v>31.05424095004342</v>
      </c>
      <c r="BK72" s="29" t="n">
        <v>2024.328805152254</v>
      </c>
      <c r="BL72" s="29" t="n">
        <v>846.1646147769395</v>
      </c>
      <c r="BM72" s="29" t="n">
        <v>234.046471140424</v>
      </c>
      <c r="BN72" s="29" t="n">
        <v>883.9332718034977</v>
      </c>
      <c r="BO72" s="29" t="n">
        <v>204.2371334597415</v>
      </c>
      <c r="BP72" s="29" t="n">
        <v>63.26787560285775</v>
      </c>
      <c r="BQ72" s="29" t="n">
        <v>453.4661710716631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0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0.03627267431231825</v>
      </c>
      <c r="D73" s="31" t="n">
        <v>-0.004344794916572215</v>
      </c>
      <c r="E73" s="31" t="n">
        <v>0.1284156619367937</v>
      </c>
      <c r="F73" s="31" t="n">
        <v>0.234083481332143</v>
      </c>
      <c r="G73" s="31" t="n">
        <v>4.629340481862792</v>
      </c>
      <c r="H73" s="31" t="n">
        <v>2.224772665694154</v>
      </c>
      <c r="I73" s="31" t="n">
        <v>0.71261927474463</v>
      </c>
      <c r="J73" s="31" t="n">
        <v>1.101425884455489</v>
      </c>
      <c r="K73" s="31" t="n">
        <v>3.985008938072329</v>
      </c>
      <c r="L73" s="31" t="n">
        <v>4.04341799436787</v>
      </c>
      <c r="M73" s="31" t="n">
        <v>4.928490286159712</v>
      </c>
      <c r="N73" s="31" t="n">
        <v>5.029116939939682</v>
      </c>
      <c r="O73" s="31" t="n">
        <v>0.1566211426813042</v>
      </c>
      <c r="P73" s="31" t="n">
        <v>-0.006343843425717921</v>
      </c>
      <c r="Q73" s="31" t="n">
        <v>0.0112928584661327</v>
      </c>
      <c r="R73" s="31" t="n">
        <v>1.61081977039255</v>
      </c>
      <c r="S73" s="31" t="n">
        <v>13.13686844980628</v>
      </c>
      <c r="T73" s="31" t="n">
        <v>0.5900627227041482</v>
      </c>
      <c r="U73" s="31" t="n">
        <v>4.151423357511296</v>
      </c>
      <c r="V73" s="31" t="n">
        <v>-0.8568196879544256</v>
      </c>
      <c r="W73" s="31" t="n">
        <v>8.241788165029188</v>
      </c>
      <c r="X73" s="31" t="n">
        <v>5.028461624148086</v>
      </c>
      <c r="Y73" s="31" t="n">
        <v>1.373087439354321</v>
      </c>
      <c r="Z73" s="31" t="n">
        <v>7.134356700110478</v>
      </c>
      <c r="AA73" s="31" t="n">
        <v>5.051774561028692</v>
      </c>
      <c r="AB73" s="31" t="n">
        <v>18.30135211238724</v>
      </c>
      <c r="AC73" s="31" t="n">
        <v>0.244234766616116</v>
      </c>
      <c r="AD73" s="31" t="n">
        <v>1.813796428094575</v>
      </c>
      <c r="AE73" s="31" t="n">
        <v>6.327565644953047</v>
      </c>
      <c r="AF73" s="31" t="n">
        <v>5.255585410030601</v>
      </c>
      <c r="AG73" s="31" t="n">
        <v>2.067736915785335</v>
      </c>
      <c r="AH73" s="31" t="n">
        <v>6.464963629323291</v>
      </c>
      <c r="AI73" s="31" t="n">
        <v>24.79782697702393</v>
      </c>
      <c r="AJ73" s="31" t="n">
        <v>10.04534227234864</v>
      </c>
      <c r="AK73" s="31" t="n">
        <v>5.223731458016941</v>
      </c>
      <c r="AL73" s="31" t="n">
        <v>1.202677408548621</v>
      </c>
      <c r="AM73" s="31" t="n">
        <v>8.402039950934654</v>
      </c>
      <c r="AN73" s="31" t="n">
        <v>15.88302008345147</v>
      </c>
      <c r="AO73" s="31" t="n">
        <v>20.00875865458483</v>
      </c>
      <c r="AP73" s="31" t="n">
        <v>31.92878720685612</v>
      </c>
      <c r="AQ73" s="31" t="n">
        <v>30.78797236728728</v>
      </c>
      <c r="AR73" s="31" t="n">
        <v>208.1874965540653</v>
      </c>
      <c r="AS73" s="31" t="n">
        <v>58.46080971694558</v>
      </c>
      <c r="AT73" s="31" t="n">
        <v>0.9418051716056309</v>
      </c>
      <c r="AU73" s="31" t="n">
        <v>9.11551237022149</v>
      </c>
      <c r="AV73" s="31" t="n">
        <v>120.0899716532383</v>
      </c>
      <c r="AW73" s="31" t="n">
        <v>4.414116526354693</v>
      </c>
      <c r="AX73" s="31" t="n">
        <v>24.46081086533855</v>
      </c>
      <c r="AY73" s="31" t="n">
        <v>0.9050276853243191</v>
      </c>
      <c r="AZ73" s="31" t="n">
        <v>11.58173261778323</v>
      </c>
      <c r="BA73" s="31" t="n">
        <v>23.14280964897225</v>
      </c>
      <c r="BB73" s="31" t="n">
        <v>19.52251686351709</v>
      </c>
      <c r="BC73" s="31" t="n">
        <v>262.6621642999745</v>
      </c>
      <c r="BD73" s="31" t="n">
        <v>8.355737267926848</v>
      </c>
      <c r="BE73" s="31" t="n">
        <v>37.30148650075783</v>
      </c>
      <c r="BF73" s="31" t="n">
        <v>0.4312157846618131</v>
      </c>
      <c r="BG73" s="31" t="n">
        <v>7.70064506528187</v>
      </c>
      <c r="BH73" s="31" t="n">
        <v>5.355265993618328</v>
      </c>
      <c r="BI73" s="31" t="n">
        <v>26.91270301901695</v>
      </c>
      <c r="BJ73" s="31" t="n">
        <v>1.968031063908838</v>
      </c>
      <c r="BK73" s="31" t="n">
        <v>321.7343403570702</v>
      </c>
      <c r="BL73" s="31" t="n">
        <v>133.6020211705961</v>
      </c>
      <c r="BM73" s="31" t="n">
        <v>59.60948856298357</v>
      </c>
      <c r="BN73" s="31" t="n">
        <v>60.38300203906251</v>
      </c>
      <c r="BO73" s="31" t="n">
        <v>0.01097356440111767</v>
      </c>
      <c r="BP73" s="31" t="n">
        <v>6.91277900413148</v>
      </c>
      <c r="BQ73" s="31" t="n">
        <v>0.1163151179759775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0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83.86209720243335</v>
      </c>
      <c r="D74" s="29" t="n">
        <v>35.67203846833354</v>
      </c>
      <c r="E74" s="29" t="n">
        <v>2.623907396776862</v>
      </c>
      <c r="F74" s="29" t="n">
        <v>3.902951480507971</v>
      </c>
      <c r="G74" s="29" t="n">
        <v>79.28351309682112</v>
      </c>
      <c r="H74" s="29" t="n">
        <v>22.80012311003067</v>
      </c>
      <c r="I74" s="29" t="n">
        <v>6.44827567961077</v>
      </c>
      <c r="J74" s="29" t="n">
        <v>10.62961658105328</v>
      </c>
      <c r="K74" s="29" t="n">
        <v>9.748110096241634</v>
      </c>
      <c r="L74" s="29" t="n">
        <v>158.9045404989613</v>
      </c>
      <c r="M74" s="29" t="n">
        <v>48.64311455192812</v>
      </c>
      <c r="N74" s="29" t="n">
        <v>10.28623317157097</v>
      </c>
      <c r="O74" s="29" t="n">
        <v>2.450276430812351</v>
      </c>
      <c r="P74" s="29" t="n">
        <v>0.9874927391432736</v>
      </c>
      <c r="Q74" s="29" t="n">
        <v>4.219842876365904</v>
      </c>
      <c r="R74" s="29" t="n">
        <v>3.464879619739166</v>
      </c>
      <c r="S74" s="29" t="n">
        <v>38.2796037036644</v>
      </c>
      <c r="T74" s="29" t="n">
        <v>1.508898705716459</v>
      </c>
      <c r="U74" s="29" t="n">
        <v>16.06242687488044</v>
      </c>
      <c r="V74" s="29" t="n">
        <v>4.320187321591813</v>
      </c>
      <c r="W74" s="29" t="n">
        <v>298.1896715375166</v>
      </c>
      <c r="X74" s="29" t="n">
        <v>55.17165983597642</v>
      </c>
      <c r="Y74" s="29" t="n">
        <v>27.98541011126769</v>
      </c>
      <c r="Z74" s="29" t="n">
        <v>44.13442950605891</v>
      </c>
      <c r="AA74" s="29" t="n">
        <v>12.30730123287468</v>
      </c>
      <c r="AB74" s="29" t="n">
        <v>31.42386379208159</v>
      </c>
      <c r="AC74" s="29" t="n">
        <v>34.40619781232816</v>
      </c>
      <c r="AD74" s="29" t="n">
        <v>18.47444699907364</v>
      </c>
      <c r="AE74" s="29" t="n">
        <v>14.53221836335738</v>
      </c>
      <c r="AF74" s="29" t="n">
        <v>18.37884248821472</v>
      </c>
      <c r="AG74" s="29" t="n">
        <v>15.1500608315727</v>
      </c>
      <c r="AH74" s="29" t="n">
        <v>43.69535089200748</v>
      </c>
      <c r="AI74" s="29" t="n">
        <v>54.99358448502262</v>
      </c>
      <c r="AJ74" s="29" t="n">
        <v>11.26844133034697</v>
      </c>
      <c r="AK74" s="29" t="n">
        <v>12.70759069768355</v>
      </c>
      <c r="AL74" s="29" t="n">
        <v>7.160519186834252</v>
      </c>
      <c r="AM74" s="29" t="n">
        <v>25.13451421688051</v>
      </c>
      <c r="AN74" s="29" t="n">
        <v>79.1987858364125</v>
      </c>
      <c r="AO74" s="29" t="n">
        <v>20.97300903352579</v>
      </c>
      <c r="AP74" s="29" t="n">
        <v>77.66050411311839</v>
      </c>
      <c r="AQ74" s="29" t="n">
        <v>40.03041224492097</v>
      </c>
      <c r="AR74" s="29" t="n">
        <v>265.9681899684027</v>
      </c>
      <c r="AS74" s="29" t="n">
        <v>41.53679648916246</v>
      </c>
      <c r="AT74" s="29" t="n">
        <v>10.43004175153464</v>
      </c>
      <c r="AU74" s="29" t="n">
        <v>19.07388055602098</v>
      </c>
      <c r="AV74" s="29" t="n">
        <v>47.8692809626731</v>
      </c>
      <c r="AW74" s="29" t="n">
        <v>5.451159922702252</v>
      </c>
      <c r="AX74" s="29" t="n">
        <v>16.32770632363358</v>
      </c>
      <c r="AY74" s="29" t="n">
        <v>6.524764274615457</v>
      </c>
      <c r="AZ74" s="29" t="n">
        <v>30.62647340964077</v>
      </c>
      <c r="BA74" s="29" t="n">
        <v>26.66265751229187</v>
      </c>
      <c r="BB74" s="29" t="n">
        <v>35.76001537384983</v>
      </c>
      <c r="BC74" s="29" t="n">
        <v>181.0500356225324</v>
      </c>
      <c r="BD74" s="29" t="n">
        <v>16.48676063044275</v>
      </c>
      <c r="BE74" s="29" t="n">
        <v>77.75179200614771</v>
      </c>
      <c r="BF74" s="29" t="n">
        <v>34.64038830597735</v>
      </c>
      <c r="BG74" s="29" t="n">
        <v>41.89314964309899</v>
      </c>
      <c r="BH74" s="29" t="n">
        <v>11.48950068848403</v>
      </c>
      <c r="BI74" s="29" t="n">
        <v>39.66797425049003</v>
      </c>
      <c r="BJ74" s="29" t="n">
        <v>5.241172015116406</v>
      </c>
      <c r="BK74" s="29" t="n">
        <v>164.8626691632236</v>
      </c>
      <c r="BL74" s="29" t="n">
        <v>51.41391056756275</v>
      </c>
      <c r="BM74" s="29" t="n">
        <v>44.08181110532112</v>
      </c>
      <c r="BN74" s="29" t="n">
        <v>55.26453825403404</v>
      </c>
      <c r="BO74" s="29" t="n">
        <v>57.48413389448632</v>
      </c>
      <c r="BP74" s="29" t="n">
        <v>19.26531829034988</v>
      </c>
      <c r="BQ74" s="29" t="n">
        <v>148.9128468265149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0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0.1710827714065168</v>
      </c>
      <c r="D75" s="31" t="n">
        <v>0.03725802552671936</v>
      </c>
      <c r="E75" s="31" t="n">
        <v>0.009486862975536071</v>
      </c>
      <c r="F75" s="31" t="n">
        <v>0.1298054881789518</v>
      </c>
      <c r="G75" s="31" t="n">
        <v>1.050443872133396</v>
      </c>
      <c r="H75" s="31" t="n">
        <v>0.3088378698383843</v>
      </c>
      <c r="I75" s="31" t="n">
        <v>0.08532457182559036</v>
      </c>
      <c r="J75" s="31" t="n">
        <v>0.1979477860917622</v>
      </c>
      <c r="K75" s="31" t="n">
        <v>0.0971890096329084</v>
      </c>
      <c r="L75" s="31" t="n">
        <v>0.2347507121009519</v>
      </c>
      <c r="M75" s="31" t="n">
        <v>0.4223844967257888</v>
      </c>
      <c r="N75" s="31" t="n">
        <v>0.1117579072729066</v>
      </c>
      <c r="O75" s="31" t="n">
        <v>-0.02031402438109177</v>
      </c>
      <c r="P75" s="31" t="n">
        <v>-0.01313151966549221</v>
      </c>
      <c r="Q75" s="31" t="n">
        <v>-0.04623548058360134</v>
      </c>
      <c r="R75" s="31" t="n">
        <v>-0.01479293665940468</v>
      </c>
      <c r="S75" s="31" t="n">
        <v>-0.03510577391184242</v>
      </c>
      <c r="T75" s="31" t="n">
        <v>0.01414555623169137</v>
      </c>
      <c r="U75" s="31" t="n">
        <v>0.170217032725672</v>
      </c>
      <c r="V75" s="31" t="n">
        <v>0.02232148968603227</v>
      </c>
      <c r="W75" s="31" t="n">
        <v>0.3090329343917976</v>
      </c>
      <c r="X75" s="31" t="n">
        <v>0.2229238556750844</v>
      </c>
      <c r="Y75" s="31" t="n">
        <v>0.2522023496009717</v>
      </c>
      <c r="Z75" s="31" t="n">
        <v>0.5547483686458706</v>
      </c>
      <c r="AA75" s="31" t="n">
        <v>0.0846499799785294</v>
      </c>
      <c r="AB75" s="31" t="n">
        <v>0.2294962292324607</v>
      </c>
      <c r="AC75" s="31" t="n">
        <v>0.132046525122962</v>
      </c>
      <c r="AD75" s="31" t="n">
        <v>0.1669881932201786</v>
      </c>
      <c r="AE75" s="31" t="n">
        <v>0.1429699164009829</v>
      </c>
      <c r="AF75" s="31" t="n">
        <v>0.4314850393569394</v>
      </c>
      <c r="AG75" s="31" t="n">
        <v>0.2371584756633712</v>
      </c>
      <c r="AH75" s="31" t="n">
        <v>0.5866994045705085</v>
      </c>
      <c r="AI75" s="31" t="n">
        <v>0.7975748813766752</v>
      </c>
      <c r="AJ75" s="31" t="n">
        <v>0.3062580538805273</v>
      </c>
      <c r="AK75" s="31" t="n">
        <v>0.1301983247085014</v>
      </c>
      <c r="AL75" s="31" t="n">
        <v>0.08556671186182309</v>
      </c>
      <c r="AM75" s="31" t="n">
        <v>0.2021118820882145</v>
      </c>
      <c r="AN75" s="31" t="n">
        <v>1.673913091137197</v>
      </c>
      <c r="AO75" s="31" t="n">
        <v>0.1798402630849634</v>
      </c>
      <c r="AP75" s="31" t="n">
        <v>2.119125756611532</v>
      </c>
      <c r="AQ75" s="31" t="n">
        <v>0.8112967834438379</v>
      </c>
      <c r="AR75" s="31" t="n">
        <v>7.318701766420454</v>
      </c>
      <c r="AS75" s="31" t="n">
        <v>0.6624811334143792</v>
      </c>
      <c r="AT75" s="31" t="n">
        <v>0.04513239997435747</v>
      </c>
      <c r="AU75" s="31" t="n">
        <v>0.1906031356612783</v>
      </c>
      <c r="AV75" s="31" t="n">
        <v>1.599765264011815</v>
      </c>
      <c r="AW75" s="31" t="n">
        <v>0.178419404154372</v>
      </c>
      <c r="AX75" s="31" t="n">
        <v>0.2991871996853364</v>
      </c>
      <c r="AY75" s="31" t="n">
        <v>0.05560373318355641</v>
      </c>
      <c r="AZ75" s="31" t="n">
        <v>0.2108113772131767</v>
      </c>
      <c r="BA75" s="31" t="n">
        <v>3.117572949661155</v>
      </c>
      <c r="BB75" s="31" t="n">
        <v>1.401140919078003</v>
      </c>
      <c r="BC75" s="31" t="n">
        <v>6.114405675656826</v>
      </c>
      <c r="BD75" s="31" t="n">
        <v>0.2383758338860526</v>
      </c>
      <c r="BE75" s="31" t="n">
        <v>1.845277538191717</v>
      </c>
      <c r="BF75" s="31" t="n">
        <v>1.500606291748703</v>
      </c>
      <c r="BG75" s="31" t="n">
        <v>0.3901255819887355</v>
      </c>
      <c r="BH75" s="31" t="n">
        <v>0.2914554212369041</v>
      </c>
      <c r="BI75" s="31" t="n">
        <v>0.9657690706020584</v>
      </c>
      <c r="BJ75" s="31" t="n">
        <v>0.1637309130480242</v>
      </c>
      <c r="BK75" s="31" t="n">
        <v>6.817719154417538</v>
      </c>
      <c r="BL75" s="31" t="n">
        <v>2.188364522100582</v>
      </c>
      <c r="BM75" s="31" t="n">
        <v>0.8660954436476074</v>
      </c>
      <c r="BN75" s="31" t="n">
        <v>2.499630508117763</v>
      </c>
      <c r="BO75" s="31" t="n">
        <v>1.054375711754979</v>
      </c>
      <c r="BP75" s="31" t="n">
        <v>0.3219529048871736</v>
      </c>
      <c r="BQ75" s="31" t="n">
        <v>5.679824164493779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0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0.06815052403925861</v>
      </c>
      <c r="D76" s="29" t="n">
        <v>0.0208286137690817</v>
      </c>
      <c r="E76" s="29" t="n">
        <v>0.0002297674719048837</v>
      </c>
      <c r="F76" s="29" t="n">
        <v>-0.03394821286130613</v>
      </c>
      <c r="G76" s="29" t="n">
        <v>0.9339962265983695</v>
      </c>
      <c r="H76" s="29" t="n">
        <v>2.643321716245671</v>
      </c>
      <c r="I76" s="29" t="n">
        <v>0.5990527189401588</v>
      </c>
      <c r="J76" s="29" t="n">
        <v>-11.75244932345965</v>
      </c>
      <c r="K76" s="29" t="n">
        <v>-0.5324681689784035</v>
      </c>
      <c r="L76" s="29" t="n">
        <v>-6.967229767818679</v>
      </c>
      <c r="M76" s="29" t="n">
        <v>-0.3377213995406083</v>
      </c>
      <c r="N76" s="29" t="n">
        <v>-0.3268886090285939</v>
      </c>
      <c r="O76" s="29" t="n">
        <v>-1.02398511663762</v>
      </c>
      <c r="P76" s="29" t="n">
        <v>-1.34866165160894</v>
      </c>
      <c r="Q76" s="29" t="n">
        <v>-1.727126946735508</v>
      </c>
      <c r="R76" s="29" t="n">
        <v>-0.4767732354704471</v>
      </c>
      <c r="S76" s="29" t="n">
        <v>-2.259655662861523</v>
      </c>
      <c r="T76" s="29" t="n">
        <v>-0.1226154011469622</v>
      </c>
      <c r="U76" s="29" t="n">
        <v>-0.7261309550221033</v>
      </c>
      <c r="V76" s="29" t="n">
        <v>-0.8079727115254104</v>
      </c>
      <c r="W76" s="29" t="n">
        <v>-1.15524746627551</v>
      </c>
      <c r="X76" s="29" t="n">
        <v>-1.41504589524636</v>
      </c>
      <c r="Y76" s="29" t="n">
        <v>-0.1453114553799719</v>
      </c>
      <c r="Z76" s="29" t="n">
        <v>-2.474530312888142</v>
      </c>
      <c r="AA76" s="29" t="n">
        <v>-2.760627516600278</v>
      </c>
      <c r="AB76" s="29" t="n">
        <v>-2.094468861111636</v>
      </c>
      <c r="AC76" s="29" t="n">
        <v>2.205465395616312</v>
      </c>
      <c r="AD76" s="29" t="n">
        <v>0.8930371798272837</v>
      </c>
      <c r="AE76" s="29" t="n">
        <v>-0.8202808572819837</v>
      </c>
      <c r="AF76" s="29" t="n">
        <v>-1.445823903873684</v>
      </c>
      <c r="AG76" s="29" t="n">
        <v>-1.992613078098209</v>
      </c>
      <c r="AH76" s="29" t="n">
        <v>-3.592694321200422</v>
      </c>
      <c r="AI76" s="29" t="n">
        <v>1.619527760004988</v>
      </c>
      <c r="AJ76" s="29" t="n">
        <v>0.03252898292130541</v>
      </c>
      <c r="AK76" s="29" t="n">
        <v>-0.342412759303595</v>
      </c>
      <c r="AL76" s="29" t="n">
        <v>-1.226241657229345</v>
      </c>
      <c r="AM76" s="29" t="n">
        <v>0.1731990546235258</v>
      </c>
      <c r="AN76" s="29" t="n">
        <v>3.3431148708578</v>
      </c>
      <c r="AO76" s="29" t="n">
        <v>0.01617061240736284</v>
      </c>
      <c r="AP76" s="29" t="n">
        <v>0.09446431723759326</v>
      </c>
      <c r="AQ76" s="29" t="n">
        <v>0.7125938296007849</v>
      </c>
      <c r="AR76" s="29" t="n">
        <v>9.509908233581884</v>
      </c>
      <c r="AS76" s="29" t="n">
        <v>23.84093704866227</v>
      </c>
      <c r="AT76" s="29" t="n">
        <v>1.799200773801795</v>
      </c>
      <c r="AU76" s="29" t="n">
        <v>0.3734416158225524</v>
      </c>
      <c r="AV76" s="29" t="n">
        <v>6.583443722290503</v>
      </c>
      <c r="AW76" s="29" t="n">
        <v>0.06387342400312043</v>
      </c>
      <c r="AX76" s="29" t="n">
        <v>0.158999090558179</v>
      </c>
      <c r="AY76" s="29" t="n">
        <v>-0.8762715359281129</v>
      </c>
      <c r="AZ76" s="29" t="n">
        <v>-1.006499198542342</v>
      </c>
      <c r="BA76" s="29" t="n">
        <v>-4.736015838659813</v>
      </c>
      <c r="BB76" s="29" t="n">
        <v>-0.5647290044722361</v>
      </c>
      <c r="BC76" s="29" t="n">
        <v>47.69017321515921</v>
      </c>
      <c r="BD76" s="29" t="n">
        <v>0.06774858028738275</v>
      </c>
      <c r="BE76" s="29" t="n">
        <v>69.60197382887246</v>
      </c>
      <c r="BF76" s="29" t="n">
        <v>4.322450710597946</v>
      </c>
      <c r="BG76" s="29" t="n">
        <v>13.84612839121847</v>
      </c>
      <c r="BH76" s="29" t="n">
        <v>1.564363716527195</v>
      </c>
      <c r="BI76" s="29" t="n">
        <v>34.46614676555509</v>
      </c>
      <c r="BJ76" s="29" t="n">
        <v>3.42507582338165</v>
      </c>
      <c r="BK76" s="29" t="n">
        <v>12.35380029028912</v>
      </c>
      <c r="BL76" s="29" t="n">
        <v>13.46213667254747</v>
      </c>
      <c r="BM76" s="29" t="n">
        <v>0.1204791184892833</v>
      </c>
      <c r="BN76" s="29" t="n">
        <v>14.58889307604202</v>
      </c>
      <c r="BO76" s="29" t="n">
        <v>0.06669903653919242</v>
      </c>
      <c r="BP76" s="29" t="n">
        <v>0.09520054809822502</v>
      </c>
      <c r="BQ76" s="29" t="n">
        <v>10.21517396531946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0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0.001566518607917124</v>
      </c>
      <c r="D77" s="31" t="n">
        <v>0.0003272789064757692</v>
      </c>
      <c r="E77" s="31" t="n">
        <v>0.0001076055504774786</v>
      </c>
      <c r="F77" s="31" t="n">
        <v>0.00128645345568217</v>
      </c>
      <c r="G77" s="31" t="n">
        <v>0.006130621945616649</v>
      </c>
      <c r="H77" s="31" t="n">
        <v>0.004741947665512804</v>
      </c>
      <c r="I77" s="31" t="n">
        <v>0.0007439595265269237</v>
      </c>
      <c r="J77" s="31" t="n">
        <v>0.008179804219642579</v>
      </c>
      <c r="K77" s="31" t="n">
        <v>0.00151959029346675</v>
      </c>
      <c r="L77" s="31" t="n">
        <v>0.008474273260212814</v>
      </c>
      <c r="M77" s="31" t="n">
        <v>0.00920816441168615</v>
      </c>
      <c r="N77" s="31" t="n">
        <v>0.001323445416736275</v>
      </c>
      <c r="O77" s="31" t="n">
        <v>0.0005955619925994389</v>
      </c>
      <c r="P77" s="31" t="n">
        <v>0.00168655855532552</v>
      </c>
      <c r="Q77" s="31" t="n">
        <v>0.002229649603182296</v>
      </c>
      <c r="R77" s="31" t="n">
        <v>0.0005163080428287318</v>
      </c>
      <c r="S77" s="31" t="n">
        <v>0.002965497994958198</v>
      </c>
      <c r="T77" s="31" t="n">
        <v>0.0002133327868255009</v>
      </c>
      <c r="U77" s="31" t="n">
        <v>0.0006708327532333117</v>
      </c>
      <c r="V77" s="31" t="n">
        <v>0.0007955940271227336</v>
      </c>
      <c r="W77" s="31" t="n">
        <v>0.005935615919827405</v>
      </c>
      <c r="X77" s="31" t="n">
        <v>0.003391835024317068</v>
      </c>
      <c r="Y77" s="31" t="n">
        <v>0.005067599760646318</v>
      </c>
      <c r="Z77" s="31" t="n">
        <v>0.01359031937186341</v>
      </c>
      <c r="AA77" s="31" t="n">
        <v>0.003914241506556391</v>
      </c>
      <c r="AB77" s="31" t="n">
        <v>0.00437023826524769</v>
      </c>
      <c r="AC77" s="31" t="n">
        <v>0.002889344928977525</v>
      </c>
      <c r="AD77" s="31" t="n">
        <v>0.005173250232895746</v>
      </c>
      <c r="AE77" s="31" t="n">
        <v>0.002976531918677579</v>
      </c>
      <c r="AF77" s="31" t="n">
        <v>0.006269517067545004</v>
      </c>
      <c r="AG77" s="31" t="n">
        <v>0.007487630443834339</v>
      </c>
      <c r="AH77" s="31" t="n">
        <v>0.01143627520923641</v>
      </c>
      <c r="AI77" s="31" t="n">
        <v>0.01612776959253615</v>
      </c>
      <c r="AJ77" s="31" t="n">
        <v>0.006032212168411055</v>
      </c>
      <c r="AK77" s="31" t="n">
        <v>0.002174286180410988</v>
      </c>
      <c r="AL77" s="31" t="n">
        <v>0.002166628116757626</v>
      </c>
      <c r="AM77" s="31" t="n">
        <v>0.001537730965655161</v>
      </c>
      <c r="AN77" s="31" t="n">
        <v>0.02109968833220266</v>
      </c>
      <c r="AO77" s="31" t="n">
        <v>0.001886597991675886</v>
      </c>
      <c r="AP77" s="31" t="n">
        <v>0.01368399892547858</v>
      </c>
      <c r="AQ77" s="31" t="n">
        <v>0.004965296427874911</v>
      </c>
      <c r="AR77" s="31" t="n">
        <v>0.07235438353920508</v>
      </c>
      <c r="AS77" s="31" t="n">
        <v>0.003434555258340348</v>
      </c>
      <c r="AT77" s="31" t="n">
        <v>0.000303626509007741</v>
      </c>
      <c r="AU77" s="31" t="n">
        <v>0.001410705798606834</v>
      </c>
      <c r="AV77" s="31" t="n">
        <v>0.01548588243757174</v>
      </c>
      <c r="AW77" s="31" t="n">
        <v>0.001959368199459176</v>
      </c>
      <c r="AX77" s="31" t="n">
        <v>0.002769378911603793</v>
      </c>
      <c r="AY77" s="31" t="n">
        <v>0.001228645491336998</v>
      </c>
      <c r="AZ77" s="31" t="n">
        <v>0.001890898080365402</v>
      </c>
      <c r="BA77" s="31" t="n">
        <v>0.04324895069440761</v>
      </c>
      <c r="BB77" s="31" t="n">
        <v>0.01438628103486443</v>
      </c>
      <c r="BC77" s="31" t="n">
        <v>0.0543443893024745</v>
      </c>
      <c r="BD77" s="31" t="n">
        <v>0.001760484741256416</v>
      </c>
      <c r="BE77" s="31" t="n">
        <v>0.008868960682408156</v>
      </c>
      <c r="BF77" s="31" t="n">
        <v>0.03238392838264503</v>
      </c>
      <c r="BG77" s="31" t="n">
        <v>0.002366948329739893</v>
      </c>
      <c r="BH77" s="31" t="n">
        <v>0.003120708521426721</v>
      </c>
      <c r="BI77" s="31" t="n">
        <v>0.006843715153816292</v>
      </c>
      <c r="BJ77" s="31" t="n">
        <v>0.0008727239350102605</v>
      </c>
      <c r="BK77" s="31" t="n">
        <v>0.07431170426911991</v>
      </c>
      <c r="BL77" s="31" t="n">
        <v>0.02197360776359088</v>
      </c>
      <c r="BM77" s="31" t="n">
        <v>0.006926630707831823</v>
      </c>
      <c r="BN77" s="31" t="n">
        <v>0.02772267205041275</v>
      </c>
      <c r="BO77" s="31" t="n">
        <v>5.857091570159535</v>
      </c>
      <c r="BP77" s="31" t="n">
        <v>0.002621896958756157</v>
      </c>
      <c r="BQ77" s="31" t="n">
        <v>0.01121315847753781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0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0.00062644150358973</v>
      </c>
      <c r="D78" s="29" t="n">
        <v>0.0004474582168498067</v>
      </c>
      <c r="E78" s="29" t="n">
        <v>0.00062644150358973</v>
      </c>
      <c r="F78" s="29" t="n">
        <v>0.001880949168198101</v>
      </c>
      <c r="G78" s="29" t="n">
        <v>0.02935325902534733</v>
      </c>
      <c r="H78" s="29" t="n">
        <v>0.002673105729536751</v>
      </c>
      <c r="I78" s="29" t="n">
        <v>0.00187932451076919</v>
      </c>
      <c r="J78" s="29" t="n">
        <v>0.05634534654750879</v>
      </c>
      <c r="K78" s="29" t="n">
        <v>0.01290466787699243</v>
      </c>
      <c r="L78" s="29" t="n">
        <v>0.04348467990587673</v>
      </c>
      <c r="M78" s="29" t="n">
        <v>0.006415508176785992</v>
      </c>
      <c r="N78" s="29" t="n">
        <v>0.001999684645288461</v>
      </c>
      <c r="O78" s="29" t="n">
        <v>0.02836885094827775</v>
      </c>
      <c r="P78" s="29" t="n">
        <v>0.03358698544002693</v>
      </c>
      <c r="Q78" s="29" t="n">
        <v>0.008545571870726909</v>
      </c>
      <c r="R78" s="29" t="n">
        <v>0.003150078749666657</v>
      </c>
      <c r="S78" s="29" t="n">
        <v>0.01410705101909581</v>
      </c>
      <c r="T78" s="29" t="n">
        <v>0.00501315668614675</v>
      </c>
      <c r="U78" s="29" t="n">
        <v>0.01512408772952348</v>
      </c>
      <c r="V78" s="29" t="n">
        <v>0.01646646238007284</v>
      </c>
      <c r="W78" s="29" t="n">
        <v>0.01449250128408728</v>
      </c>
      <c r="X78" s="29" t="n">
        <v>0.008996279402434545</v>
      </c>
      <c r="Y78" s="29" t="n">
        <v>0.01453812717687664</v>
      </c>
      <c r="Z78" s="29" t="n">
        <v>0.02312079519890879</v>
      </c>
      <c r="AA78" s="29" t="n">
        <v>0.03487398625321352</v>
      </c>
      <c r="AB78" s="29" t="n">
        <v>0.01947167564900677</v>
      </c>
      <c r="AC78" s="29" t="n">
        <v>0.0240341248034458</v>
      </c>
      <c r="AD78" s="29" t="n">
        <v>0.001161495736820868</v>
      </c>
      <c r="AE78" s="29" t="n">
        <v>0.02346305713721897</v>
      </c>
      <c r="AF78" s="29" t="n">
        <v>0.01771108661532791</v>
      </c>
      <c r="AG78" s="29" t="n">
        <v>0.01107218746210197</v>
      </c>
      <c r="AH78" s="29" t="n">
        <v>0.01969926317383416</v>
      </c>
      <c r="AI78" s="29" t="n">
        <v>0.01005176595203665</v>
      </c>
      <c r="AJ78" s="29" t="n">
        <v>0.01577137881012934</v>
      </c>
      <c r="AK78" s="29" t="n">
        <v>0.007393553108919805</v>
      </c>
      <c r="AL78" s="29" t="n">
        <v>0.02214667700553211</v>
      </c>
      <c r="AM78" s="29" t="n">
        <v>0.005281631616256619</v>
      </c>
      <c r="AN78" s="29" t="n">
        <v>0.1153723285660383</v>
      </c>
      <c r="AO78" s="29" t="n">
        <v>0.02489654808856721</v>
      </c>
      <c r="AP78" s="29" t="n">
        <v>0.1273888496086068</v>
      </c>
      <c r="AQ78" s="29" t="n">
        <v>0.3321034885459268</v>
      </c>
      <c r="AR78" s="29" t="n">
        <v>3.456077368850189</v>
      </c>
      <c r="AS78" s="29" t="n">
        <v>0.1015730152249057</v>
      </c>
      <c r="AT78" s="29" t="n">
        <v>0.006085431749157355</v>
      </c>
      <c r="AU78" s="29" t="n">
        <v>0.01145493035135504</v>
      </c>
      <c r="AV78" s="29" t="n">
        <v>0.2312464064679802</v>
      </c>
      <c r="AW78" s="29" t="n">
        <v>0.1070320054704736</v>
      </c>
      <c r="AX78" s="29" t="n">
        <v>0.4334975204840918</v>
      </c>
      <c r="AY78" s="29" t="n">
        <v>0.02407650138137734</v>
      </c>
      <c r="AZ78" s="29" t="n">
        <v>0.04080818937670243</v>
      </c>
      <c r="BA78" s="29" t="n">
        <v>0.2321085587835419</v>
      </c>
      <c r="BB78" s="29" t="n">
        <v>0.1425046785662054</v>
      </c>
      <c r="BC78" s="29" t="n">
        <v>0.5426919473123045</v>
      </c>
      <c r="BD78" s="29" t="n">
        <v>0.1847107519156001</v>
      </c>
      <c r="BE78" s="29" t="n">
        <v>0.4624928129359603</v>
      </c>
      <c r="BF78" s="29" t="n">
        <v>0.08605183249889974</v>
      </c>
      <c r="BG78" s="29" t="n">
        <v>0.08904418515311159</v>
      </c>
      <c r="BH78" s="29" t="n">
        <v>0.1023441867244484</v>
      </c>
      <c r="BI78" s="29" t="n">
        <v>0.259263789472493</v>
      </c>
      <c r="BJ78" s="29" t="n">
        <v>0.02353630220629983</v>
      </c>
      <c r="BK78" s="29" t="n">
        <v>2.088257128829688</v>
      </c>
      <c r="BL78" s="29" t="n">
        <v>0.2015240712578302</v>
      </c>
      <c r="BM78" s="29" t="n">
        <v>0.3876794237361021</v>
      </c>
      <c r="BN78" s="29" t="n">
        <v>0.4136730839812188</v>
      </c>
      <c r="BO78" s="29" t="n">
        <v>612.2981786449271</v>
      </c>
      <c r="BP78" s="29" t="n">
        <v>0.3619042057881239</v>
      </c>
      <c r="BQ78" s="29" t="n">
        <v>0.2700857796905431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0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0.01767877511183683</v>
      </c>
      <c r="D79" s="31" t="n">
        <v>0.6803854645822738</v>
      </c>
      <c r="E79" s="31" t="n">
        <v>0.1583658533651201</v>
      </c>
      <c r="F79" s="31" t="n">
        <v>0.01029487649266463</v>
      </c>
      <c r="G79" s="31" t="n">
        <v>0.830192190333409</v>
      </c>
      <c r="H79" s="31" t="n">
        <v>-0.08617809352321901</v>
      </c>
      <c r="I79" s="31" t="n">
        <v>-0.07564990234464058</v>
      </c>
      <c r="J79" s="31" t="n">
        <v>-6.406584046655782</v>
      </c>
      <c r="K79" s="31" t="n">
        <v>-0.2223661050447984</v>
      </c>
      <c r="L79" s="31" t="n">
        <v>-0.5487982915942623</v>
      </c>
      <c r="M79" s="31" t="n">
        <v>8.663531896422466</v>
      </c>
      <c r="N79" s="31" t="n">
        <v>0.1575972900520994</v>
      </c>
      <c r="O79" s="31" t="n">
        <v>-0.7326677569017683</v>
      </c>
      <c r="P79" s="31" t="n">
        <v>-0.426366245849146</v>
      </c>
      <c r="Q79" s="31" t="n">
        <v>0.001515072140838039</v>
      </c>
      <c r="R79" s="31" t="n">
        <v>-0.3553838219786755</v>
      </c>
      <c r="S79" s="31" t="n">
        <v>-1.837906878913276</v>
      </c>
      <c r="T79" s="31" t="n">
        <v>0.00933894339605728</v>
      </c>
      <c r="U79" s="31" t="n">
        <v>-0.4195794783798951</v>
      </c>
      <c r="V79" s="31" t="n">
        <v>-0.5421664759317244</v>
      </c>
      <c r="W79" s="31" t="n">
        <v>-1.01693631065616</v>
      </c>
      <c r="X79" s="31" t="n">
        <v>-0.9481473932879486</v>
      </c>
      <c r="Y79" s="31" t="n">
        <v>2.053491562198899</v>
      </c>
      <c r="Z79" s="31" t="n">
        <v>1.339632231026771</v>
      </c>
      <c r="AA79" s="31" t="n">
        <v>-1.611302368865229</v>
      </c>
      <c r="AB79" s="31" t="n">
        <v>-1.292395386474376</v>
      </c>
      <c r="AC79" s="31" t="n">
        <v>-1.875504594519621</v>
      </c>
      <c r="AD79" s="31" t="n">
        <v>-0.6209537807223641</v>
      </c>
      <c r="AE79" s="31" t="n">
        <v>-1.188151572237858</v>
      </c>
      <c r="AF79" s="31" t="n">
        <v>1.233357386241831</v>
      </c>
      <c r="AG79" s="31" t="n">
        <v>-0.5331614996564926</v>
      </c>
      <c r="AH79" s="31" t="n">
        <v>-2.862835186437929</v>
      </c>
      <c r="AI79" s="31" t="n">
        <v>7.305388160383381</v>
      </c>
      <c r="AJ79" s="31" t="n">
        <v>0.1999665865822509</v>
      </c>
      <c r="AK79" s="31" t="n">
        <v>0.2507272101879976</v>
      </c>
      <c r="AL79" s="31" t="n">
        <v>-0.2706230380717883</v>
      </c>
      <c r="AM79" s="31" t="n">
        <v>0.1743162872982481</v>
      </c>
      <c r="AN79" s="31" t="n">
        <v>6.004076852918765</v>
      </c>
      <c r="AO79" s="31" t="n">
        <v>0.3187480792839472</v>
      </c>
      <c r="AP79" s="31" t="n">
        <v>3.367484472168873</v>
      </c>
      <c r="AQ79" s="31" t="n">
        <v>4.777878722620971</v>
      </c>
      <c r="AR79" s="31" t="n">
        <v>23.59137071319875</v>
      </c>
      <c r="AS79" s="31" t="n">
        <v>1.121023969258</v>
      </c>
      <c r="AT79" s="31" t="n">
        <v>0.06700380890504538</v>
      </c>
      <c r="AU79" s="31" t="n">
        <v>0.4074790700822959</v>
      </c>
      <c r="AV79" s="31" t="n">
        <v>2.017803875786992</v>
      </c>
      <c r="AW79" s="31" t="n">
        <v>4.352311340666605</v>
      </c>
      <c r="AX79" s="31" t="n">
        <v>1.551850488893162</v>
      </c>
      <c r="AY79" s="31" t="n">
        <v>0.9168118266203125</v>
      </c>
      <c r="AZ79" s="31" t="n">
        <v>580.3713796658398</v>
      </c>
      <c r="BA79" s="31" t="n">
        <v>96.72668662407435</v>
      </c>
      <c r="BB79" s="31" t="n">
        <v>2.353046587270345</v>
      </c>
      <c r="BC79" s="31" t="n">
        <v>20.51522225841823</v>
      </c>
      <c r="BD79" s="31" t="n">
        <v>1.641165779703345</v>
      </c>
      <c r="BE79" s="31" t="n">
        <v>7.381401341836605</v>
      </c>
      <c r="BF79" s="31" t="n">
        <v>0.676885230731291</v>
      </c>
      <c r="BG79" s="31" t="n">
        <v>19.31626878970463</v>
      </c>
      <c r="BH79" s="31" t="n">
        <v>1.782631980167191</v>
      </c>
      <c r="BI79" s="31" t="n">
        <v>7.057550599994681</v>
      </c>
      <c r="BJ79" s="31" t="n">
        <v>0.2468939096286891</v>
      </c>
      <c r="BK79" s="31" t="n">
        <v>172.4800263341755</v>
      </c>
      <c r="BL79" s="31" t="n">
        <v>20.56894695339778</v>
      </c>
      <c r="BM79" s="31" t="n">
        <v>4.662467489454166</v>
      </c>
      <c r="BN79" s="31" t="n">
        <v>17.52815729391046</v>
      </c>
      <c r="BO79" s="31" t="n">
        <v>0.1879700365077517</v>
      </c>
      <c r="BP79" s="31" t="n">
        <v>194.684436694852</v>
      </c>
      <c r="BQ79" s="31" t="n">
        <v>325.7862532512282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0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-0.05477991505701384</v>
      </c>
      <c r="D80" s="29" t="n">
        <v>-0.03667618932529233</v>
      </c>
      <c r="E80" s="29" t="n">
        <v>0.1495524317551216</v>
      </c>
      <c r="F80" s="29" t="n">
        <v>-0.5664330692235195</v>
      </c>
      <c r="G80" s="29" t="n">
        <v>1.258517414726967</v>
      </c>
      <c r="H80" s="29" t="n">
        <v>-1.096677531294008</v>
      </c>
      <c r="I80" s="29" t="n">
        <v>-0.8063625309927404</v>
      </c>
      <c r="J80" s="29" t="n">
        <v>-113.3701647398168</v>
      </c>
      <c r="K80" s="29" t="n">
        <v>-5.137704580289233</v>
      </c>
      <c r="L80" s="29" t="n">
        <v>-71.89505758000573</v>
      </c>
      <c r="M80" s="29" t="n">
        <v>-3.262482888061989</v>
      </c>
      <c r="N80" s="29" t="n">
        <v>-3.136089838641199</v>
      </c>
      <c r="O80" s="29" t="n">
        <v>-9.792907621401348</v>
      </c>
      <c r="P80" s="29" t="n">
        <v>-13.01145241739536</v>
      </c>
      <c r="Q80" s="29" t="n">
        <v>-16.56552617890122</v>
      </c>
      <c r="R80" s="29" t="n">
        <v>-4.575228793171179</v>
      </c>
      <c r="S80" s="29" t="n">
        <v>-31.09519006508917</v>
      </c>
      <c r="T80" s="29" t="n">
        <v>-0.7414882660485198</v>
      </c>
      <c r="U80" s="29" t="n">
        <v>-8.878994635457451</v>
      </c>
      <c r="V80" s="29" t="n">
        <v>-7.785039337614594</v>
      </c>
      <c r="W80" s="29" t="n">
        <v>-13.44952950755041</v>
      </c>
      <c r="X80" s="29" t="n">
        <v>-20.158433223012</v>
      </c>
      <c r="Y80" s="29" t="n">
        <v>-1.44721113012238</v>
      </c>
      <c r="Z80" s="29" t="n">
        <v>-23.76708946070545</v>
      </c>
      <c r="AA80" s="29" t="n">
        <v>-27.00164220592638</v>
      </c>
      <c r="AB80" s="29" t="n">
        <v>-20.04847601106543</v>
      </c>
      <c r="AC80" s="29" t="n">
        <v>-24.27762428590536</v>
      </c>
      <c r="AD80" s="29" t="n">
        <v>-7.171711756903334</v>
      </c>
      <c r="AE80" s="29" t="n">
        <v>-22.10453703917326</v>
      </c>
      <c r="AF80" s="29" t="n">
        <v>-5.411016569828196</v>
      </c>
      <c r="AG80" s="29" t="n">
        <v>-17.28585327377059</v>
      </c>
      <c r="AH80" s="29" t="n">
        <v>-40.49290904153015</v>
      </c>
      <c r="AI80" s="29" t="n">
        <v>-1.170089624734816</v>
      </c>
      <c r="AJ80" s="29" t="n">
        <v>-0.4551099057431477</v>
      </c>
      <c r="AK80" s="29" t="n">
        <v>-3.299145028647237</v>
      </c>
      <c r="AL80" s="29" t="n">
        <v>-11.68017151258014</v>
      </c>
      <c r="AM80" s="29" t="n">
        <v>-0.145688629755633</v>
      </c>
      <c r="AN80" s="29" t="n">
        <v>23.67173005654295</v>
      </c>
      <c r="AO80" s="29" t="n">
        <v>-0.1268410654236115</v>
      </c>
      <c r="AP80" s="29" t="n">
        <v>4.896804576680908</v>
      </c>
      <c r="AQ80" s="29" t="n">
        <v>2.001107050099884</v>
      </c>
      <c r="AR80" s="29" t="n">
        <v>-1.627574400072456</v>
      </c>
      <c r="AS80" s="29" t="n">
        <v>12.44847677630248</v>
      </c>
      <c r="AT80" s="29" t="n">
        <v>0.09271633593874236</v>
      </c>
      <c r="AU80" s="29" t="n">
        <v>0.1123448456237909</v>
      </c>
      <c r="AV80" s="29" t="n">
        <v>5.542429387623574</v>
      </c>
      <c r="AW80" s="29" t="n">
        <v>2.437028075304298</v>
      </c>
      <c r="AX80" s="29" t="n">
        <v>4.179209115232719</v>
      </c>
      <c r="AY80" s="29" t="n">
        <v>-6.943120679373759</v>
      </c>
      <c r="AZ80" s="29" t="n">
        <v>-4.582391787507004</v>
      </c>
      <c r="BA80" s="29" t="n">
        <v>64.99069438045321</v>
      </c>
      <c r="BB80" s="29" t="n">
        <v>34.56961345664685</v>
      </c>
      <c r="BC80" s="29" t="n">
        <v>62.12739949003144</v>
      </c>
      <c r="BD80" s="29" t="n">
        <v>3.867104642615665</v>
      </c>
      <c r="BE80" s="29" t="n">
        <v>7.474579932728191</v>
      </c>
      <c r="BF80" s="29" t="n">
        <v>0.8715607105894313</v>
      </c>
      <c r="BG80" s="29" t="n">
        <v>3.807899253633446</v>
      </c>
      <c r="BH80" s="29" t="n">
        <v>2.684094260976342</v>
      </c>
      <c r="BI80" s="29" t="n">
        <v>28.11601729241001</v>
      </c>
      <c r="BJ80" s="29" t="n">
        <v>-0.2205176772647956</v>
      </c>
      <c r="BK80" s="29" t="n">
        <v>23.32995741713229</v>
      </c>
      <c r="BL80" s="29" t="n">
        <v>3.108162950894154</v>
      </c>
      <c r="BM80" s="29" t="n">
        <v>16.79098682810868</v>
      </c>
      <c r="BN80" s="29" t="n">
        <v>26.89331280936502</v>
      </c>
      <c r="BO80" s="29" t="n">
        <v>41.26617763904547</v>
      </c>
      <c r="BP80" s="29" t="n">
        <v>0.4106330993871173</v>
      </c>
      <c r="BQ80" s="29" t="n">
        <v>8.204997110333677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0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0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7.275957614183426e-12</v>
      </c>
      <c r="D84" s="33" t="n">
        <v>3.637978807091713e-12</v>
      </c>
      <c r="E84" s="33" t="n">
        <v>0</v>
      </c>
      <c r="F84" s="33" t="n">
        <v>-1.364242052659392e-12</v>
      </c>
      <c r="G84" s="33" t="n">
        <v>-3.637978807091713e-12</v>
      </c>
      <c r="H84" s="33" t="n">
        <v>1.364242052659392e-12</v>
      </c>
      <c r="I84" s="33" t="n">
        <v>2.273736754432321e-13</v>
      </c>
      <c r="J84" s="33" t="n">
        <v>0</v>
      </c>
      <c r="K84" s="33" t="n">
        <v>-2.273736754432321e-13</v>
      </c>
      <c r="L84" s="33" t="n">
        <v>3.274180926382542e-11</v>
      </c>
      <c r="M84" s="33" t="n">
        <v>7.275957614183426e-12</v>
      </c>
      <c r="N84" s="33" t="n">
        <v>-2.273736754432321e-13</v>
      </c>
      <c r="O84" s="33" t="n">
        <v>-7.958078640513122e-13</v>
      </c>
      <c r="P84" s="33" t="n">
        <v>5.911715561524034e-12</v>
      </c>
      <c r="Q84" s="33" t="n">
        <v>9.094947017729282e-12</v>
      </c>
      <c r="R84" s="33" t="n">
        <v>1.4210854715202e-12</v>
      </c>
      <c r="S84" s="33" t="n">
        <v>0</v>
      </c>
      <c r="T84" s="33" t="n">
        <v>1.818989403545856e-12</v>
      </c>
      <c r="U84" s="33" t="n">
        <v>-4.365574568510056e-11</v>
      </c>
      <c r="V84" s="33" t="n">
        <v>0</v>
      </c>
      <c r="W84" s="33" t="n">
        <v>-2.91038304567337e-11</v>
      </c>
      <c r="X84" s="33" t="n">
        <v>6.366462912410498e-12</v>
      </c>
      <c r="Y84" s="33" t="n">
        <v>3.637978807091713e-12</v>
      </c>
      <c r="Z84" s="33" t="n">
        <v>-9.094947017729282e-12</v>
      </c>
      <c r="AA84" s="33" t="n">
        <v>1.091393642127514e-11</v>
      </c>
      <c r="AB84" s="33" t="n">
        <v>7.275957614183426e-12</v>
      </c>
      <c r="AC84" s="33" t="n">
        <v>-4.547473508864641e-12</v>
      </c>
      <c r="AD84" s="33" t="n">
        <v>3.637978807091713e-12</v>
      </c>
      <c r="AE84" s="33" t="n">
        <v>-3.637978807091713e-12</v>
      </c>
      <c r="AF84" s="33" t="n">
        <v>1.091393642127514e-11</v>
      </c>
      <c r="AG84" s="33" t="n">
        <v>2.501110429875553e-12</v>
      </c>
      <c r="AH84" s="33" t="n">
        <v>-1.455191522836685e-11</v>
      </c>
      <c r="AI84" s="33" t="n">
        <v>7.275957614183426e-12</v>
      </c>
      <c r="AJ84" s="33" t="n">
        <v>3.637978807091713e-12</v>
      </c>
      <c r="AK84" s="33" t="n">
        <v>-3.637978807091713e-12</v>
      </c>
      <c r="AL84" s="33" t="n">
        <v>-2.387423592153937e-12</v>
      </c>
      <c r="AM84" s="33" t="n">
        <v>3.637978807091713e-12</v>
      </c>
      <c r="AN84" s="33" t="n">
        <v>-1.455191522836685e-11</v>
      </c>
      <c r="AO84" s="33" t="n">
        <v>-9.094947017729282e-13</v>
      </c>
      <c r="AP84" s="33" t="n">
        <v>-2.91038304567337e-11</v>
      </c>
      <c r="AQ84" s="33" t="n">
        <v>-3.637978807091713e-12</v>
      </c>
      <c r="AR84" s="33" t="n">
        <v>2.91038304567337e-11</v>
      </c>
      <c r="AS84" s="33" t="n">
        <v>-3.637978807091713e-12</v>
      </c>
      <c r="AT84" s="33" t="n">
        <v>9.094947017729282e-13</v>
      </c>
      <c r="AU84" s="33" t="n">
        <v>0</v>
      </c>
      <c r="AV84" s="33" t="n">
        <v>0</v>
      </c>
      <c r="AW84" s="33" t="n">
        <v>-9.094947017729282e-13</v>
      </c>
      <c r="AX84" s="33" t="n">
        <v>0</v>
      </c>
      <c r="AY84" s="33" t="n">
        <v>-2.728484105318785e-12</v>
      </c>
      <c r="AZ84" s="33" t="n">
        <v>-9.094947017729282e-13</v>
      </c>
      <c r="BA84" s="33" t="n">
        <v>2.182787284255028e-11</v>
      </c>
      <c r="BB84" s="33" t="n">
        <v>-1.818989403545856e-12</v>
      </c>
      <c r="BC84" s="33" t="n">
        <v>-3.637978807091713e-12</v>
      </c>
      <c r="BD84" s="33" t="n">
        <v>-1.818989403545856e-12</v>
      </c>
      <c r="BE84" s="33" t="n">
        <v>-2.273736754432321e-13</v>
      </c>
      <c r="BF84" s="33" t="n">
        <v>-9.094947017729282e-13</v>
      </c>
      <c r="BG84" s="33" t="n">
        <v>-3.637978807091713e-12</v>
      </c>
      <c r="BH84" s="33" t="n">
        <v>4.547473508864641e-13</v>
      </c>
      <c r="BI84" s="33" t="n">
        <v>-3.637978807091713e-12</v>
      </c>
      <c r="BJ84" s="33" t="n">
        <v>-1.13686837721616e-13</v>
      </c>
      <c r="BK84" s="33" t="n">
        <v>-1.091393642127514e-11</v>
      </c>
      <c r="BL84" s="33" t="n">
        <v>-3.637978807091713e-12</v>
      </c>
      <c r="BM84" s="33" t="n">
        <v>2.728484105318785e-12</v>
      </c>
      <c r="BN84" s="33" t="n">
        <v>0</v>
      </c>
      <c r="BO84" s="33" t="n">
        <v>-7.275957614183426e-12</v>
      </c>
      <c r="BP84" s="33" t="n">
        <v>-4.547473508864641e-13</v>
      </c>
      <c r="BQ84" s="33" t="n">
        <v>-1.091393642127514e-11</v>
      </c>
      <c r="BR84" s="33" t="n">
        <v>0</v>
      </c>
      <c r="BY84" s="33">
        <f>SUM(C84:BR84)</f>
        <v/>
      </c>
    </row>
    <row r="85"/>
    <row r="86">
      <c r="B86" s="32" t="inlineStr">
        <is>
          <t>Sin valor agregado</t>
        </is>
      </c>
      <c r="C86" s="33" t="n">
        <v>0</v>
      </c>
      <c r="D86" s="33" t="n">
        <v>0</v>
      </c>
      <c r="E86" s="33" t="n">
        <v>0</v>
      </c>
      <c r="F86" s="33" t="n">
        <v>0</v>
      </c>
      <c r="G86" s="33" t="n">
        <v>0</v>
      </c>
      <c r="H86" s="33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33" t="n">
        <v>0</v>
      </c>
      <c r="O86" s="33" t="n">
        <v>0</v>
      </c>
      <c r="P86" s="33" t="n">
        <v>0</v>
      </c>
      <c r="Q86" s="33" t="n">
        <v>0</v>
      </c>
      <c r="R86" s="33" t="n">
        <v>0</v>
      </c>
      <c r="S86" s="33" t="n">
        <v>0</v>
      </c>
      <c r="T86" s="33" t="n">
        <v>0</v>
      </c>
      <c r="U86" s="33" t="n">
        <v>0</v>
      </c>
      <c r="V86" s="33" t="n">
        <v>0</v>
      </c>
      <c r="W86" s="33" t="n">
        <v>0</v>
      </c>
      <c r="X86" s="33" t="n">
        <v>0</v>
      </c>
      <c r="Y86" s="33" t="n">
        <v>0</v>
      </c>
      <c r="Z86" s="33" t="n">
        <v>0</v>
      </c>
      <c r="AA86" s="33" t="n">
        <v>0</v>
      </c>
      <c r="AB86" s="33" t="n">
        <v>0</v>
      </c>
      <c r="AC86" s="33" t="n">
        <v>0</v>
      </c>
      <c r="AD86" s="33" t="n">
        <v>0</v>
      </c>
      <c r="AE86" s="33" t="n">
        <v>0</v>
      </c>
      <c r="AF86" s="33" t="n">
        <v>0</v>
      </c>
      <c r="AG86" s="33" t="n">
        <v>0</v>
      </c>
      <c r="AH86" s="33" t="n">
        <v>0</v>
      </c>
      <c r="AI86" s="33" t="n">
        <v>0</v>
      </c>
      <c r="AJ86" s="33" t="n">
        <v>0</v>
      </c>
      <c r="AK86" s="33" t="n">
        <v>0</v>
      </c>
      <c r="AL86" s="33" t="n">
        <v>0</v>
      </c>
      <c r="AM86" s="33" t="n">
        <v>0</v>
      </c>
      <c r="AN86" s="33" t="n">
        <v>0</v>
      </c>
      <c r="AO86" s="33" t="n">
        <v>0</v>
      </c>
      <c r="AP86" s="33" t="n">
        <v>0</v>
      </c>
      <c r="AQ86" s="33" t="n">
        <v>0</v>
      </c>
      <c r="AR86" s="33" t="n">
        <v>0</v>
      </c>
      <c r="AS86" s="33" t="n">
        <v>0</v>
      </c>
      <c r="AT86" s="33" t="n">
        <v>0</v>
      </c>
      <c r="AU86" s="33" t="n">
        <v>0</v>
      </c>
      <c r="AV86" s="33" t="n">
        <v>0</v>
      </c>
      <c r="AW86" s="33" t="n">
        <v>0</v>
      </c>
      <c r="AX86" s="33" t="n">
        <v>0</v>
      </c>
      <c r="AY86" s="33" t="n">
        <v>0</v>
      </c>
      <c r="AZ86" s="33" t="n">
        <v>0</v>
      </c>
      <c r="BA86" s="33" t="n">
        <v>0</v>
      </c>
      <c r="BB86" s="33" t="n">
        <v>0</v>
      </c>
      <c r="BC86" s="33" t="n">
        <v>0</v>
      </c>
      <c r="BD86" s="33" t="n">
        <v>0</v>
      </c>
      <c r="BE86" s="33" t="n">
        <v>0</v>
      </c>
      <c r="BF86" s="33" t="n">
        <v>0</v>
      </c>
      <c r="BG86" s="33" t="n">
        <v>0</v>
      </c>
      <c r="BH86" s="33" t="n">
        <v>0</v>
      </c>
      <c r="BI86" s="33" t="n">
        <v>0</v>
      </c>
      <c r="BJ86" s="33" t="n">
        <v>0</v>
      </c>
      <c r="BK86" s="33" t="n">
        <v>0</v>
      </c>
      <c r="BL86" s="33" t="n">
        <v>0</v>
      </c>
      <c r="BM86" s="33" t="n">
        <v>0</v>
      </c>
      <c r="BN86" s="33" t="n">
        <v>0</v>
      </c>
      <c r="BO86" s="33" t="n">
        <v>0</v>
      </c>
      <c r="BP86" s="33" t="n">
        <v>0</v>
      </c>
      <c r="BQ86" s="33" t="n">
        <v>0</v>
      </c>
      <c r="BR86" s="33" t="n">
        <v>0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30615.38717707872</v>
      </c>
      <c r="D89" s="33" t="n">
        <v>13859.09875830927</v>
      </c>
      <c r="E89" s="33" t="n">
        <v>5270.567520069413</v>
      </c>
      <c r="F89" s="33" t="n">
        <v>16895.96103566678</v>
      </c>
      <c r="G89" s="33" t="n">
        <v>33863.98259331709</v>
      </c>
      <c r="H89" s="33" t="n">
        <v>1606.618451863611</v>
      </c>
      <c r="I89" s="33" t="n">
        <v>4488.040909883749</v>
      </c>
      <c r="J89" s="33" t="n">
        <v>17863.27905180103</v>
      </c>
      <c r="K89" s="33" t="n">
        <v>5722.768281929903</v>
      </c>
      <c r="L89" s="33" t="n">
        <v>31118.51775083876</v>
      </c>
      <c r="M89" s="33" t="n">
        <v>22572.11279048273</v>
      </c>
      <c r="N89" s="33" t="n">
        <v>546.830098262795</v>
      </c>
      <c r="O89" s="33" t="n">
        <v>22269.50950779203</v>
      </c>
      <c r="P89" s="33" t="n">
        <v>7059.035410523636</v>
      </c>
      <c r="Q89" s="33" t="n">
        <v>3596.239786255766</v>
      </c>
      <c r="R89" s="33" t="n">
        <v>8174.702516782702</v>
      </c>
      <c r="S89" s="33" t="n">
        <v>21688.63475179573</v>
      </c>
      <c r="T89" s="33" t="n">
        <v>15012.12782667473</v>
      </c>
      <c r="U89" s="33" t="n">
        <v>119866.1792056408</v>
      </c>
      <c r="V89" s="33" t="n">
        <v>7713.808838328574</v>
      </c>
      <c r="W89" s="33" t="n">
        <v>104374.8180223858</v>
      </c>
      <c r="X89" s="33" t="n">
        <v>47048.85063103969</v>
      </c>
      <c r="Y89" s="33" t="n">
        <v>13165.87786643527</v>
      </c>
      <c r="Z89" s="33" t="n">
        <v>20847.29004334459</v>
      </c>
      <c r="AA89" s="33" t="n">
        <v>40040.78335145151</v>
      </c>
      <c r="AB89" s="33" t="n">
        <v>39417.03974409851</v>
      </c>
      <c r="AC89" s="33" t="n">
        <v>22103.32014849477</v>
      </c>
      <c r="AD89" s="33" t="n">
        <v>20008.93783204634</v>
      </c>
      <c r="AE89" s="33" t="n">
        <v>34786.06446161748</v>
      </c>
      <c r="AF89" s="33" t="n">
        <v>51994.79877050518</v>
      </c>
      <c r="AG89" s="33" t="n">
        <v>29077.82735315925</v>
      </c>
      <c r="AH89" s="33" t="n">
        <v>34454.65211586118</v>
      </c>
      <c r="AI89" s="33" t="n">
        <v>4071.617174814613</v>
      </c>
      <c r="AJ89" s="33" t="n">
        <v>46774.28754600274</v>
      </c>
      <c r="AK89" s="33" t="n">
        <v>10681.71816221555</v>
      </c>
      <c r="AL89" s="33" t="n">
        <v>27615.31664570202</v>
      </c>
      <c r="AM89" s="33" t="n">
        <v>15492.43540391779</v>
      </c>
      <c r="AN89" s="33" t="n">
        <v>35821.10888262792</v>
      </c>
      <c r="AO89" s="33" t="n">
        <v>3778.484307702613</v>
      </c>
      <c r="AP89" s="33" t="n">
        <v>6645.863816890981</v>
      </c>
      <c r="AQ89" s="33" t="n">
        <v>-26274.47201800325</v>
      </c>
      <c r="AR89" s="33" t="n">
        <v>-711570.7065140406</v>
      </c>
      <c r="AS89" s="33" t="n">
        <v>-61020.85256074152</v>
      </c>
      <c r="AT89" s="33" t="n">
        <v>4403.656168478191</v>
      </c>
      <c r="AU89" s="33" t="n">
        <v>6743.575384800908</v>
      </c>
      <c r="AV89" s="33" t="n">
        <v>6937.957072492321</v>
      </c>
      <c r="AW89" s="33" t="n">
        <v>13350.67784906179</v>
      </c>
      <c r="AX89" s="33" t="n">
        <v>6597.270898540238</v>
      </c>
      <c r="AY89" s="33" t="n">
        <v>5682.061288030013</v>
      </c>
      <c r="AZ89" s="33" t="n">
        <v>3934.410466228339</v>
      </c>
      <c r="BA89" s="33" t="n">
        <v>15385.9131577115</v>
      </c>
      <c r="BB89" s="33" t="n">
        <v>7860.756738843465</v>
      </c>
      <c r="BC89" s="33" t="n">
        <v>53764.49956293059</v>
      </c>
      <c r="BD89" s="33" t="n">
        <v>2347.279992092776</v>
      </c>
      <c r="BE89" s="33" t="n">
        <v>12432.82706457892</v>
      </c>
      <c r="BF89" s="33" t="n">
        <v>7410.815954299919</v>
      </c>
      <c r="BG89" s="33" t="n">
        <v>6356.874640330361</v>
      </c>
      <c r="BH89" s="33" t="n">
        <v>73486.20724813588</v>
      </c>
      <c r="BI89" s="33" t="n">
        <v>13948.25949654938</v>
      </c>
      <c r="BJ89" s="33" t="n">
        <v>1675.306182518791</v>
      </c>
      <c r="BK89" s="33" t="n">
        <v>2942.811911961569</v>
      </c>
      <c r="BL89" s="33" t="n">
        <v>58.60678875544063</v>
      </c>
      <c r="BM89" s="33" t="n">
        <v>226.4794883930185</v>
      </c>
      <c r="BN89" s="33" t="n">
        <v>6.466355382756988</v>
      </c>
      <c r="BO89" s="33" t="n">
        <v>623.713942665965</v>
      </c>
      <c r="BP89" s="33" t="n">
        <v>1521.673355599068</v>
      </c>
      <c r="BQ89" s="33" t="n">
        <v>-159.3718326541994</v>
      </c>
      <c r="BR89" s="33" t="n">
        <v>0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U_importada/ajuste transformado a industrias con D = V * diag(q)^-1.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Y9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2015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3" t="inlineStr">
        <is>
          <t>Total consumo intermedio</t>
        </is>
      </c>
      <c r="BT10" s="23" t="inlineStr">
        <is>
          <t>Demanda final</t>
        </is>
      </c>
      <c r="BU10" s="24" t="n"/>
      <c r="BV10" s="24" t="n"/>
      <c r="BW10" s="24" t="n"/>
      <c r="BX10" s="23" t="inlineStr">
        <is>
          <t>Total demanda final</t>
        </is>
      </c>
      <c r="BY10" s="23" t="inlineStr">
        <is>
          <t>Total</t>
        </is>
      </c>
    </row>
    <row r="11" ht="15" customHeight="1">
      <c r="C11" s="25" t="inlineStr">
        <is>
          <t>0191</t>
        </is>
      </c>
      <c r="D11" s="25" t="inlineStr">
        <is>
          <t>0192</t>
        </is>
      </c>
      <c r="E11" s="25" t="inlineStr">
        <is>
          <t>0280</t>
        </is>
      </c>
      <c r="F11" s="25" t="inlineStr">
        <is>
          <t>0580</t>
        </is>
      </c>
      <c r="G11" s="25" t="inlineStr">
        <is>
          <t>0680</t>
        </is>
      </c>
      <c r="H11" s="25" t="inlineStr">
        <is>
          <t>0791</t>
        </is>
      </c>
      <c r="I11" s="25" t="inlineStr">
        <is>
          <t>0792</t>
        </is>
      </c>
      <c r="J11" s="25" t="inlineStr">
        <is>
          <t>1091</t>
        </is>
      </c>
      <c r="K11" s="25" t="inlineStr">
        <is>
          <t>1092</t>
        </is>
      </c>
      <c r="L11" s="25" t="inlineStr">
        <is>
          <t>1093</t>
        </is>
      </c>
      <c r="M11" s="25" t="inlineStr">
        <is>
          <t>1100</t>
        </is>
      </c>
      <c r="N11" s="25" t="inlineStr">
        <is>
          <t>1200</t>
        </is>
      </c>
      <c r="O11" s="25" t="inlineStr">
        <is>
          <t>1300</t>
        </is>
      </c>
      <c r="P11" s="25" t="inlineStr">
        <is>
          <t>1400</t>
        </is>
      </c>
      <c r="Q11" s="25" t="inlineStr">
        <is>
          <t>1500</t>
        </is>
      </c>
      <c r="R11" s="25" t="inlineStr">
        <is>
          <t>1600</t>
        </is>
      </c>
      <c r="S11" s="25" t="inlineStr">
        <is>
          <t>1700</t>
        </is>
      </c>
      <c r="T11" s="25" t="inlineStr">
        <is>
          <t>1800</t>
        </is>
      </c>
      <c r="U11" s="25" t="inlineStr">
        <is>
          <t>1991</t>
        </is>
      </c>
      <c r="V11" s="25" t="inlineStr">
        <is>
          <t>1992</t>
        </is>
      </c>
      <c r="W11" s="25" t="inlineStr">
        <is>
          <t>2091</t>
        </is>
      </c>
      <c r="X11" s="25" t="inlineStr">
        <is>
          <t>2092</t>
        </is>
      </c>
      <c r="Y11" s="25" t="inlineStr">
        <is>
          <t>2093</t>
        </is>
      </c>
      <c r="Z11" s="25" t="inlineStr">
        <is>
          <t>2100</t>
        </is>
      </c>
      <c r="AA11" s="25" t="inlineStr">
        <is>
          <t>2200</t>
        </is>
      </c>
      <c r="AB11" s="25" t="inlineStr">
        <is>
          <t>2300</t>
        </is>
      </c>
      <c r="AC11" s="25" t="inlineStr">
        <is>
          <t>2491</t>
        </is>
      </c>
      <c r="AD11" s="25" t="inlineStr">
        <is>
          <t>2492</t>
        </is>
      </c>
      <c r="AE11" s="25" t="inlineStr">
        <is>
          <t>2500</t>
        </is>
      </c>
      <c r="AF11" s="25" t="inlineStr">
        <is>
          <t>2600</t>
        </is>
      </c>
      <c r="AG11" s="25" t="inlineStr">
        <is>
          <t>2700</t>
        </is>
      </c>
      <c r="AH11" s="25" t="inlineStr">
        <is>
          <t>2800</t>
        </is>
      </c>
      <c r="AI11" s="25" t="inlineStr">
        <is>
          <t>2991</t>
        </is>
      </c>
      <c r="AJ11" s="25" t="inlineStr">
        <is>
          <t>2992</t>
        </is>
      </c>
      <c r="AK11" s="25" t="inlineStr">
        <is>
          <t>3000</t>
        </is>
      </c>
      <c r="AL11" s="25" t="inlineStr">
        <is>
          <t>3180</t>
        </is>
      </c>
      <c r="AM11" s="25" t="inlineStr">
        <is>
          <t>3300</t>
        </is>
      </c>
      <c r="AN11" s="25" t="inlineStr">
        <is>
          <t>3500</t>
        </is>
      </c>
      <c r="AO11" s="25" t="inlineStr">
        <is>
          <t>3680</t>
        </is>
      </c>
      <c r="AP11" s="25" t="inlineStr">
        <is>
          <t>4180</t>
        </is>
      </c>
      <c r="AQ11" s="25" t="inlineStr">
        <is>
          <t>4500</t>
        </is>
      </c>
      <c r="AR11" s="25" t="inlineStr">
        <is>
          <t>4680</t>
        </is>
      </c>
      <c r="AS11" s="25" t="inlineStr">
        <is>
          <t>4900</t>
        </is>
      </c>
      <c r="AT11" s="25" t="inlineStr">
        <is>
          <t>5000</t>
        </is>
      </c>
      <c r="AU11" s="25" t="inlineStr">
        <is>
          <t>5100</t>
        </is>
      </c>
      <c r="AV11" s="25" t="inlineStr">
        <is>
          <t>5280</t>
        </is>
      </c>
      <c r="AW11" s="25" t="inlineStr">
        <is>
          <t>5500</t>
        </is>
      </c>
      <c r="AX11" s="25" t="inlineStr">
        <is>
          <t>5600</t>
        </is>
      </c>
      <c r="AY11" s="25" t="inlineStr">
        <is>
          <t>5800</t>
        </is>
      </c>
      <c r="AZ11" s="25" t="inlineStr">
        <is>
          <t>5980</t>
        </is>
      </c>
      <c r="BA11" s="25" t="inlineStr">
        <is>
          <t>6100</t>
        </is>
      </c>
      <c r="BB11" s="25" t="inlineStr">
        <is>
          <t>6280</t>
        </is>
      </c>
      <c r="BC11" s="25" t="inlineStr">
        <is>
          <t>6480</t>
        </is>
      </c>
      <c r="BD11" s="25" t="inlineStr">
        <is>
          <t>6800</t>
        </is>
      </c>
      <c r="BE11" s="25" t="inlineStr">
        <is>
          <t>6980</t>
        </is>
      </c>
      <c r="BF11" s="25" t="inlineStr">
        <is>
          <t>7180</t>
        </is>
      </c>
      <c r="BG11" s="25" t="inlineStr">
        <is>
          <t>7380</t>
        </is>
      </c>
      <c r="BH11" s="25" t="inlineStr">
        <is>
          <t>7700</t>
        </is>
      </c>
      <c r="BI11" s="25" t="inlineStr">
        <is>
          <t>7880</t>
        </is>
      </c>
      <c r="BJ11" s="25" t="inlineStr">
        <is>
          <t>8000</t>
        </is>
      </c>
      <c r="BK11" s="25" t="inlineStr">
        <is>
          <t>8400</t>
        </is>
      </c>
      <c r="BL11" s="25" t="inlineStr">
        <is>
          <t>8591</t>
        </is>
      </c>
      <c r="BM11" s="25" t="inlineStr">
        <is>
          <t>8592</t>
        </is>
      </c>
      <c r="BN11" s="25" t="inlineStr">
        <is>
          <t>8691</t>
        </is>
      </c>
      <c r="BO11" s="25" t="inlineStr">
        <is>
          <t>8692</t>
        </is>
      </c>
      <c r="BP11" s="25" t="inlineStr">
        <is>
          <t>9080</t>
        </is>
      </c>
      <c r="BQ11" s="25" t="inlineStr">
        <is>
          <t>9480</t>
        </is>
      </c>
      <c r="BR11" s="25" t="inlineStr">
        <is>
          <t>9700</t>
        </is>
      </c>
      <c r="BT11" s="25" t="inlineStr"/>
      <c r="BU11" s="25" t="inlineStr"/>
      <c r="BV11" s="25" t="inlineStr"/>
      <c r="BW11" s="25" t="inlineStr"/>
    </row>
    <row r="12" ht="90" customHeight="1">
      <c r="A12" s="26" t="n"/>
      <c r="B12" s="26" t="n"/>
      <c r="C12" s="27" t="inlineStr">
        <is>
          <t>Agricultura, inclusive o apoio à agricultura e a pós-colheita</t>
        </is>
      </c>
      <c r="D12" s="27" t="inlineStr">
        <is>
          <t>Pecuária, inclusive o apoio à pecuária</t>
        </is>
      </c>
      <c r="E12" s="27" t="inlineStr">
        <is>
          <t>Produção florestal; pesca e aquicultura</t>
        </is>
      </c>
      <c r="F12" s="27" t="inlineStr">
        <is>
          <t>Extração de carvão mineral e de minerais não-metálicos</t>
        </is>
      </c>
      <c r="G12" s="27" t="inlineStr">
        <is>
          <t>Extração de petróleo e gás, inclusive as atividades de apoio</t>
        </is>
      </c>
      <c r="H12" s="27" t="inlineStr">
        <is>
          <t>Extração de minério de ferro, inclusive beneficiamentos e a aglomeração</t>
        </is>
      </c>
      <c r="I12" s="27" t="inlineStr">
        <is>
          <t>Extração de minerais metálicos não-ferrosos, inclusive beneficiamentos</t>
        </is>
      </c>
      <c r="J12" s="27" t="inlineStr">
        <is>
          <t>Abate e produtos de carne, inclusive os produtos do laticínio e da pesca</t>
        </is>
      </c>
      <c r="K12" s="27" t="inlineStr">
        <is>
          <t>Fabricação e refino de açúcar</t>
        </is>
      </c>
      <c r="L12" s="27" t="inlineStr">
        <is>
          <t>Outros produtos alimentares</t>
        </is>
      </c>
      <c r="M12" s="27" t="inlineStr">
        <is>
          <t>Fabricação de bebidas</t>
        </is>
      </c>
      <c r="N12" s="27" t="inlineStr">
        <is>
          <t>Fabricação de produtos do fumo</t>
        </is>
      </c>
      <c r="O12" s="27" t="inlineStr">
        <is>
          <t>Fabricação de produtos têxteis</t>
        </is>
      </c>
      <c r="P12" s="27" t="inlineStr">
        <is>
          <t>Confecção de artefatos do vestuário e acessórios</t>
        </is>
      </c>
      <c r="Q12" s="27" t="inlineStr">
        <is>
          <t>Fabricação de calçados e de artefatos de couro</t>
        </is>
      </c>
      <c r="R12" s="27" t="inlineStr">
        <is>
          <t>Fabricação de produtos da madeira</t>
        </is>
      </c>
      <c r="S12" s="27" t="inlineStr">
        <is>
          <t>Fabricação de celulose, papel e produtos de papel</t>
        </is>
      </c>
      <c r="T12" s="27" t="inlineStr">
        <is>
          <t>Impressão e reprodução de gravações</t>
        </is>
      </c>
      <c r="U12" s="27" t="inlineStr">
        <is>
          <t>Refino de petróleo e coquerias</t>
        </is>
      </c>
      <c r="V12" s="27" t="inlineStr">
        <is>
          <t>Fabricação de biocombustíveis</t>
        </is>
      </c>
      <c r="W12" s="27" t="inlineStr">
        <is>
          <t>Fabricação de químicos orgânicos e inorgânicos, resinas e elastômeros</t>
        </is>
      </c>
      <c r="X12" s="27" t="inlineStr">
        <is>
          <t>Fabricação de defensivos, desinfestantes, tintas e químicos diversos</t>
        </is>
      </c>
      <c r="Y12" s="27" t="inlineStr">
        <is>
          <t>Fabricação de produtos de limpeza, cosméticos/perfumaria e higiene pessoal</t>
        </is>
      </c>
      <c r="Z12" s="27" t="inlineStr">
        <is>
          <t>Fabricação de produtos farmoquímicos e farmacêuticos</t>
        </is>
      </c>
      <c r="AA12" s="27" t="inlineStr">
        <is>
          <t>Fabricação de produtos de borracha e de material plástico</t>
        </is>
      </c>
      <c r="AB12" s="27" t="inlineStr">
        <is>
          <t>Fabricação de produtos de minerais não-metálicos</t>
        </is>
      </c>
      <c r="AC12" s="27" t="inlineStr">
        <is>
          <t>Produção de ferro-gusa/ferroligas, siderurgia e tubos de aço sem costura</t>
        </is>
      </c>
      <c r="AD12" s="27" t="inlineStr">
        <is>
          <t>Metalurgia de metais não-ferrosos e a fundição de metais</t>
        </is>
      </c>
      <c r="AE12" s="27" t="inlineStr">
        <is>
          <t>Fabricação de produtos de metal, exceto máquinas e equipamentos</t>
        </is>
      </c>
      <c r="AF12" s="27" t="inlineStr">
        <is>
          <t>Fabricação de equipamentos de informática, produtos eletrônicos e ópticos</t>
        </is>
      </c>
      <c r="AG12" s="27" t="inlineStr">
        <is>
          <t>Fabricação de máquinas e equipamentos elétricos</t>
        </is>
      </c>
      <c r="AH12" s="27" t="inlineStr">
        <is>
          <t>Fabricação de máquinas e equipamentos mecânicos</t>
        </is>
      </c>
      <c r="AI12" s="27" t="inlineStr">
        <is>
          <t>Fabricação de automóveis, caminhões e ônibus, exceto peças</t>
        </is>
      </c>
      <c r="AJ12" s="27" t="inlineStr">
        <is>
          <t>Fabricação de peças e acessórios para veículos automotores</t>
        </is>
      </c>
      <c r="AK12" s="27" t="inlineStr">
        <is>
          <t>Fabricação de outros equipamentos de transporte, exceto veículos automotores</t>
        </is>
      </c>
      <c r="AL12" s="27" t="inlineStr">
        <is>
          <t>Fabricação de móveis e de produtos de indústrias diversas</t>
        </is>
      </c>
      <c r="AM12" s="27" t="inlineStr">
        <is>
          <t>Manutenção, reparação e instalação de máquinas e equipamentos</t>
        </is>
      </c>
      <c r="AN12" s="27" t="inlineStr">
        <is>
          <t>Energia elétrica, gás natural e outras utilidades</t>
        </is>
      </c>
      <c r="AO12" s="27" t="inlineStr">
        <is>
          <t>Água, esgoto e gestão de resíduos</t>
        </is>
      </c>
      <c r="AP12" s="27" t="inlineStr">
        <is>
          <t>Construção</t>
        </is>
      </c>
      <c r="AQ12" s="27" t="inlineStr">
        <is>
          <t>Comércio e reparação de veículos automotores e motocicletas</t>
        </is>
      </c>
      <c r="AR12" s="27" t="inlineStr">
        <is>
          <t>Comércio por atacado e a varejo, exceto veículos automotores</t>
        </is>
      </c>
      <c r="AS12" s="27" t="inlineStr">
        <is>
          <t>Transporte terrestre</t>
        </is>
      </c>
      <c r="AT12" s="27" t="inlineStr">
        <is>
          <t>Transporte aquaviário</t>
        </is>
      </c>
      <c r="AU12" s="27" t="inlineStr">
        <is>
          <t>Transporte aéreo</t>
        </is>
      </c>
      <c r="AV12" s="27" t="inlineStr">
        <is>
          <t>Armazenamento, atividades auxiliares dos transportes e correio</t>
        </is>
      </c>
      <c r="AW12" s="27" t="inlineStr">
        <is>
          <t>Alojamento</t>
        </is>
      </c>
      <c r="AX12" s="27" t="inlineStr">
        <is>
          <t>Alimentação</t>
        </is>
      </c>
      <c r="AY12" s="27" t="inlineStr">
        <is>
          <t>Edição e edição integrada à impressão</t>
        </is>
      </c>
      <c r="AZ12" s="27" t="inlineStr">
        <is>
          <t>Atividades de televisão, rádio, cinema e  gravação/edição de som e imagem</t>
        </is>
      </c>
      <c r="BA12" s="27" t="inlineStr">
        <is>
          <t>Telecomunicações</t>
        </is>
      </c>
      <c r="BB12" s="27" t="inlineStr">
        <is>
          <t>Desenvolvimento de sistemas e outros serviços de informação</t>
        </is>
      </c>
      <c r="BC12" s="27" t="inlineStr">
        <is>
          <t>Intermediação financeira, seguros e previdência complementar</t>
        </is>
      </c>
      <c r="BD12" s="27" t="inlineStr">
        <is>
          <t>Atividades imobiliárias</t>
        </is>
      </c>
      <c r="BE12" s="27" t="inlineStr">
        <is>
          <t>Atividades jurídicas, contábeis, consultoria e sedes de empresas</t>
        </is>
      </c>
      <c r="BF12" s="27" t="inlineStr">
        <is>
          <t>Serviços de arquitetura, engenharia, testes/análises técnicas e P &amp; D</t>
        </is>
      </c>
      <c r="BG12" s="27" t="inlineStr">
        <is>
          <t>Outras atividades profissionais, científicas e técnicas</t>
        </is>
      </c>
      <c r="BH12" s="27" t="inlineStr">
        <is>
          <t>Aluguéis não-imobiliários e gestão de ativos de propriedade intelectual</t>
        </is>
      </c>
      <c r="BI12" s="27" t="inlineStr">
        <is>
          <t>Outras atividades administrativas e serviços complementares</t>
        </is>
      </c>
      <c r="BJ12" s="27" t="inlineStr">
        <is>
          <t>Atividades de vigilância, segurança e investigação</t>
        </is>
      </c>
      <c r="BK12" s="27" t="inlineStr">
        <is>
          <t>Administração pública, defesa e seguridade social</t>
        </is>
      </c>
      <c r="BL12" s="27" t="inlineStr">
        <is>
          <t>Educação pública</t>
        </is>
      </c>
      <c r="BM12" s="27" t="inlineStr">
        <is>
          <t>Educação privada</t>
        </is>
      </c>
      <c r="BN12" s="27" t="inlineStr">
        <is>
          <t>Saúde pública</t>
        </is>
      </c>
      <c r="BO12" s="27" t="inlineStr">
        <is>
          <t>Saúde privada</t>
        </is>
      </c>
      <c r="BP12" s="27" t="inlineStr">
        <is>
          <t>Atividades artísticas, criativas e de espetáculos</t>
        </is>
      </c>
      <c r="BQ12" s="27" t="inlineStr">
        <is>
          <t>Organizações associativas e outros serviços pessoais</t>
        </is>
      </c>
      <c r="BR12" s="27" t="inlineStr">
        <is>
          <t>Serviços domésticos</t>
        </is>
      </c>
      <c r="BS12" s="26" t="n"/>
      <c r="BT12" s="27" t="inlineStr">
        <is>
          <t>Gasto de consumo final</t>
        </is>
      </c>
      <c r="BU12" s="27" t="inlineStr">
        <is>
          <t>Formacion bruta de capital</t>
        </is>
      </c>
      <c r="BV12" s="27" t="inlineStr">
        <is>
          <t>Exportaciones netas</t>
        </is>
      </c>
      <c r="BW12" s="27" t="inlineStr">
        <is>
          <t>Sin desglose fuente</t>
        </is>
      </c>
      <c r="BX12" s="26" t="n"/>
      <c r="BY12" s="26" t="n"/>
    </row>
    <row r="13"/>
    <row r="14">
      <c r="A14" s="28" t="inlineStr">
        <is>
          <t>0191</t>
        </is>
      </c>
      <c r="B14" s="28" t="inlineStr">
        <is>
          <t>Agricultura, inclusive o apoio à agricultura e a pós-colheita</t>
        </is>
      </c>
      <c r="C14" s="29" t="n">
        <v>8383.238429979407</v>
      </c>
      <c r="D14" s="29" t="n">
        <v>5373.022004849348</v>
      </c>
      <c r="E14" s="29" t="n">
        <v>219.0022451892769</v>
      </c>
      <c r="F14" s="29" t="n">
        <v>2.804535968236047</v>
      </c>
      <c r="G14" s="29" t="n">
        <v>6.590105999781986</v>
      </c>
      <c r="H14" s="29" t="n">
        <v>0.6476775155427623</v>
      </c>
      <c r="I14" s="29" t="n">
        <v>1.605244301610061</v>
      </c>
      <c r="J14" s="29" t="n">
        <v>7798.264651936371</v>
      </c>
      <c r="K14" s="29" t="n">
        <v>27152.14928058263</v>
      </c>
      <c r="L14" s="29" t="n">
        <v>74362.93298349227</v>
      </c>
      <c r="M14" s="29" t="n">
        <v>2198.358128331046</v>
      </c>
      <c r="N14" s="29" t="n">
        <v>5917.948201163706</v>
      </c>
      <c r="O14" s="29" t="n">
        <v>4493.699687288056</v>
      </c>
      <c r="P14" s="29" t="n">
        <v>870.446169985187</v>
      </c>
      <c r="Q14" s="29" t="n">
        <v>12.51237129301021</v>
      </c>
      <c r="R14" s="29" t="n">
        <v>154.5015040091515</v>
      </c>
      <c r="S14" s="29" t="n">
        <v>244.9836900119615</v>
      </c>
      <c r="T14" s="29" t="n">
        <v>0.2066615420817079</v>
      </c>
      <c r="U14" s="29" t="n">
        <v>11.13284583754853</v>
      </c>
      <c r="V14" s="29" t="n">
        <v>19660.94574943899</v>
      </c>
      <c r="W14" s="29" t="n">
        <v>22.42006403849624</v>
      </c>
      <c r="X14" s="29" t="n">
        <v>26.03465312066442</v>
      </c>
      <c r="Y14" s="29" t="n">
        <v>2.70864237222129</v>
      </c>
      <c r="Z14" s="29" t="n">
        <v>20.42549362077157</v>
      </c>
      <c r="AA14" s="29" t="n">
        <v>74.2248668840013</v>
      </c>
      <c r="AB14" s="29" t="n">
        <v>26.07183111623131</v>
      </c>
      <c r="AC14" s="29" t="n">
        <v>40.35639341261597</v>
      </c>
      <c r="AD14" s="29" t="n">
        <v>16.8718445018917</v>
      </c>
      <c r="AE14" s="29" t="n">
        <v>4.069793665988009</v>
      </c>
      <c r="AF14" s="29" t="n">
        <v>0.3408230697921356</v>
      </c>
      <c r="AG14" s="29" t="n">
        <v>0.4597003117584797</v>
      </c>
      <c r="AH14" s="29" t="n">
        <v>1.082861789873537</v>
      </c>
      <c r="AI14" s="29" t="n">
        <v>0.5642755732945846</v>
      </c>
      <c r="AJ14" s="29" t="n">
        <v>0.3918115652636829</v>
      </c>
      <c r="AK14" s="29" t="n">
        <v>0.8336672188632651</v>
      </c>
      <c r="AL14" s="29" t="n">
        <v>17.8251918978886</v>
      </c>
      <c r="AM14" s="29" t="n">
        <v>0.1159113267956503</v>
      </c>
      <c r="AN14" s="29" t="n">
        <v>0.9738532638831008</v>
      </c>
      <c r="AO14" s="29" t="n">
        <v>38.8248219887703</v>
      </c>
      <c r="AP14" s="29" t="n">
        <v>385.3430934666376</v>
      </c>
      <c r="AQ14" s="29" t="n">
        <v>2.604099897011508</v>
      </c>
      <c r="AR14" s="29" t="n">
        <v>11659.58045443953</v>
      </c>
      <c r="AS14" s="29" t="n">
        <v>1.028334434381889</v>
      </c>
      <c r="AT14" s="29" t="n">
        <v>0.02527412186452781</v>
      </c>
      <c r="AU14" s="29" t="n">
        <v>0.4386482362124474</v>
      </c>
      <c r="AV14" s="29" t="n">
        <v>8.988522790052954</v>
      </c>
      <c r="AW14" s="29" t="n">
        <v>378.7583577480162</v>
      </c>
      <c r="AX14" s="29" t="n">
        <v>4564.996799458158</v>
      </c>
      <c r="AY14" s="29" t="n">
        <v>0.1814080313120038</v>
      </c>
      <c r="AZ14" s="29" t="n">
        <v>0.6674729901963137</v>
      </c>
      <c r="BA14" s="29" t="n">
        <v>42.20552514943216</v>
      </c>
      <c r="BB14" s="29" t="n">
        <v>1.961091385973248</v>
      </c>
      <c r="BC14" s="29" t="n">
        <v>19.68977052273528</v>
      </c>
      <c r="BD14" s="29" t="n">
        <v>14.65160740622861</v>
      </c>
      <c r="BE14" s="29" t="n">
        <v>8.497071260846337</v>
      </c>
      <c r="BF14" s="29" t="n">
        <v>12.89434312883138</v>
      </c>
      <c r="BG14" s="29" t="n">
        <v>0.8884069177154041</v>
      </c>
      <c r="BH14" s="29" t="n">
        <v>0.6624314518384172</v>
      </c>
      <c r="BI14" s="29" t="n">
        <v>157.7162377848348</v>
      </c>
      <c r="BJ14" s="29" t="n">
        <v>0.2408750594835692</v>
      </c>
      <c r="BK14" s="29" t="n">
        <v>1025.417000733773</v>
      </c>
      <c r="BL14" s="29" t="n">
        <v>531.5614187854479</v>
      </c>
      <c r="BM14" s="29" t="n">
        <v>67.26416051180111</v>
      </c>
      <c r="BN14" s="29" t="n">
        <v>259.7027586965243</v>
      </c>
      <c r="BO14" s="29" t="n">
        <v>266.5895915801418</v>
      </c>
      <c r="BP14" s="29" t="n">
        <v>3.017986721461624</v>
      </c>
      <c r="BQ14" s="29" t="n">
        <v>337.7906142562351</v>
      </c>
      <c r="BR14" s="29" t="n">
        <v>0</v>
      </c>
      <c r="BS14" s="29">
        <f>SUM(C14:BR14)</f>
        <v/>
      </c>
      <c r="BT14" s="29" t="n">
        <v>0</v>
      </c>
      <c r="BU14" s="29" t="n">
        <v>0</v>
      </c>
      <c r="BV14" s="29" t="n">
        <v>163003.4351506577</v>
      </c>
      <c r="BW14" s="29" t="n">
        <v>0</v>
      </c>
      <c r="BX14" s="29">
        <f>SUM(BT14:BW14)</f>
        <v/>
      </c>
      <c r="BY14" s="29">
        <f>BS14+BX14</f>
        <v/>
      </c>
    </row>
    <row r="15">
      <c r="A15" s="30" t="inlineStr">
        <is>
          <t>0192</t>
        </is>
      </c>
      <c r="B15" s="30" t="inlineStr">
        <is>
          <t>Pecuária, inclusive o apoio à pecuária</t>
        </is>
      </c>
      <c r="C15" s="31" t="n">
        <v>958.516238432815</v>
      </c>
      <c r="D15" s="31" t="n">
        <v>5618.441926929131</v>
      </c>
      <c r="E15" s="31" t="n">
        <v>196.4903622160263</v>
      </c>
      <c r="F15" s="31" t="n">
        <v>6.806306284952684</v>
      </c>
      <c r="G15" s="31" t="n">
        <v>18.70783658530513</v>
      </c>
      <c r="H15" s="31" t="n">
        <v>1.140644673317135</v>
      </c>
      <c r="I15" s="31" t="n">
        <v>3.10318755575113</v>
      </c>
      <c r="J15" s="31" t="n">
        <v>91256.37465793834</v>
      </c>
      <c r="K15" s="31" t="n">
        <v>144.3337713862615</v>
      </c>
      <c r="L15" s="31" t="n">
        <v>4299.859215744445</v>
      </c>
      <c r="M15" s="31" t="n">
        <v>101.7131353081576</v>
      </c>
      <c r="N15" s="31" t="n">
        <v>240.9369361794394</v>
      </c>
      <c r="O15" s="31" t="n">
        <v>259.5258193377844</v>
      </c>
      <c r="P15" s="31" t="n">
        <v>206.2794095739379</v>
      </c>
      <c r="Q15" s="31" t="n">
        <v>13.82002667558498</v>
      </c>
      <c r="R15" s="31" t="n">
        <v>175.3882171158791</v>
      </c>
      <c r="S15" s="31" t="n">
        <v>249.2895982408237</v>
      </c>
      <c r="T15" s="31" t="n">
        <v>0.4098741895272975</v>
      </c>
      <c r="U15" s="31" t="n">
        <v>0.6189558635846671</v>
      </c>
      <c r="V15" s="31" t="n">
        <v>156.1024381713447</v>
      </c>
      <c r="W15" s="31" t="n">
        <v>73.37414715591723</v>
      </c>
      <c r="X15" s="31" t="n">
        <v>12.3272589727524</v>
      </c>
      <c r="Y15" s="31" t="n">
        <v>6.579343185516498</v>
      </c>
      <c r="Z15" s="31" t="n">
        <v>5.899161794814558</v>
      </c>
      <c r="AA15" s="31" t="n">
        <v>77.1597825639264</v>
      </c>
      <c r="AB15" s="31" t="n">
        <v>110.8778487541197</v>
      </c>
      <c r="AC15" s="31" t="n">
        <v>52.25741946337524</v>
      </c>
      <c r="AD15" s="31" t="n">
        <v>35.35896259011801</v>
      </c>
      <c r="AE15" s="31" t="n">
        <v>3.193629958022036</v>
      </c>
      <c r="AF15" s="31" t="n">
        <v>1.06486976124836</v>
      </c>
      <c r="AG15" s="31" t="n">
        <v>1.699700363477923</v>
      </c>
      <c r="AH15" s="31" t="n">
        <v>2.66679896134026</v>
      </c>
      <c r="AI15" s="31" t="n">
        <v>1.22845633220804</v>
      </c>
      <c r="AJ15" s="31" t="n">
        <v>1.145111449649809</v>
      </c>
      <c r="AK15" s="31" t="n">
        <v>1.240923761547036</v>
      </c>
      <c r="AL15" s="31" t="n">
        <v>8.54522909046174</v>
      </c>
      <c r="AM15" s="31" t="n">
        <v>0.4325556970727545</v>
      </c>
      <c r="AN15" s="31" t="n">
        <v>1.845761521496928</v>
      </c>
      <c r="AO15" s="31" t="n">
        <v>8.444890733397507</v>
      </c>
      <c r="AP15" s="31" t="n">
        <v>766.9788843121584</v>
      </c>
      <c r="AQ15" s="31" t="n">
        <v>4.058877190369098</v>
      </c>
      <c r="AR15" s="31" t="n">
        <v>447.2186347864649</v>
      </c>
      <c r="AS15" s="31" t="n">
        <v>1.452125389158168</v>
      </c>
      <c r="AT15" s="31" t="n">
        <v>0.04770678061793661</v>
      </c>
      <c r="AU15" s="31" t="n">
        <v>0.6248104740161096</v>
      </c>
      <c r="AV15" s="31" t="n">
        <v>16.99593859695246</v>
      </c>
      <c r="AW15" s="31" t="n">
        <v>326.0110381105826</v>
      </c>
      <c r="AX15" s="31" t="n">
        <v>1782.585986273771</v>
      </c>
      <c r="AY15" s="31" t="n">
        <v>0.5437527436691804</v>
      </c>
      <c r="AZ15" s="31" t="n">
        <v>1.463588052501366</v>
      </c>
      <c r="BA15" s="31" t="n">
        <v>80.02900280795576</v>
      </c>
      <c r="BB15" s="31" t="n">
        <v>4.713207390302562</v>
      </c>
      <c r="BC15" s="31" t="n">
        <v>37.0612172258183</v>
      </c>
      <c r="BD15" s="31" t="n">
        <v>31.01166933382343</v>
      </c>
      <c r="BE15" s="31" t="n">
        <v>6.810022302696817</v>
      </c>
      <c r="BF15" s="31" t="n">
        <v>15.25351517982182</v>
      </c>
      <c r="BG15" s="31" t="n">
        <v>7.454584555603887</v>
      </c>
      <c r="BH15" s="31" t="n">
        <v>1.371120774554864</v>
      </c>
      <c r="BI15" s="31" t="n">
        <v>26.96468640641318</v>
      </c>
      <c r="BJ15" s="31" t="n">
        <v>0.4540340906726944</v>
      </c>
      <c r="BK15" s="31" t="n">
        <v>248.0058205101355</v>
      </c>
      <c r="BL15" s="31" t="n">
        <v>142.8688081805068</v>
      </c>
      <c r="BM15" s="31" t="n">
        <v>19.80347971955608</v>
      </c>
      <c r="BN15" s="31" t="n">
        <v>84.08057448223759</v>
      </c>
      <c r="BO15" s="31" t="n">
        <v>139.6690813835536</v>
      </c>
      <c r="BP15" s="31" t="n">
        <v>3.400912381825721</v>
      </c>
      <c r="BQ15" s="31" t="n">
        <v>64.70285239206052</v>
      </c>
      <c r="BR15" s="31" t="n">
        <v>0</v>
      </c>
      <c r="BS15" s="31">
        <f>SUM(C15:BR15)</f>
        <v/>
      </c>
      <c r="BT15" s="31" t="n">
        <v>0</v>
      </c>
      <c r="BU15" s="31" t="n">
        <v>0</v>
      </c>
      <c r="BV15" s="31" t="n">
        <v>42302.26241596859</v>
      </c>
      <c r="BW15" s="31" t="n">
        <v>0</v>
      </c>
      <c r="BX15" s="31">
        <f>SUM(BT15:BW15)</f>
        <v/>
      </c>
      <c r="BY15" s="31">
        <f>BS15+BX15</f>
        <v/>
      </c>
    </row>
    <row r="16">
      <c r="A16" s="28" t="inlineStr">
        <is>
          <t>0280</t>
        </is>
      </c>
      <c r="B16" s="28" t="inlineStr">
        <is>
          <t>Produção florestal; pesca e aquicultura</t>
        </is>
      </c>
      <c r="C16" s="29" t="n">
        <v>1403.569757528465</v>
      </c>
      <c r="D16" s="29" t="n">
        <v>1701.585041880963</v>
      </c>
      <c r="E16" s="29" t="n">
        <v>2659.476563807411</v>
      </c>
      <c r="F16" s="29" t="n">
        <v>2.519044630043059</v>
      </c>
      <c r="G16" s="29" t="n">
        <v>1.500562426685629</v>
      </c>
      <c r="H16" s="29" t="n">
        <v>0.1140995492074592</v>
      </c>
      <c r="I16" s="29" t="n">
        <v>0.2247992035146248</v>
      </c>
      <c r="J16" s="29" t="n">
        <v>2247.30373933428</v>
      </c>
      <c r="K16" s="29" t="n">
        <v>0.7788046292120001</v>
      </c>
      <c r="L16" s="29" t="n">
        <v>431.5177813839605</v>
      </c>
      <c r="M16" s="29" t="n">
        <v>18.87479945671806</v>
      </c>
      <c r="N16" s="29" t="n">
        <v>18.72152674755474</v>
      </c>
      <c r="O16" s="29" t="n">
        <v>59.78214492701343</v>
      </c>
      <c r="P16" s="29" t="n">
        <v>17.4571131784599</v>
      </c>
      <c r="Q16" s="29" t="n">
        <v>19.07767538036768</v>
      </c>
      <c r="R16" s="29" t="n">
        <v>2984.695571255789</v>
      </c>
      <c r="S16" s="29" t="n">
        <v>4021.906304055171</v>
      </c>
      <c r="T16" s="29" t="n">
        <v>0.03338436733413262</v>
      </c>
      <c r="U16" s="29" t="n">
        <v>0.05727346041035903</v>
      </c>
      <c r="V16" s="29" t="n">
        <v>3.27472545238536</v>
      </c>
      <c r="W16" s="29" t="n">
        <v>187.8515666575432</v>
      </c>
      <c r="X16" s="29" t="n">
        <v>3.760440495065573</v>
      </c>
      <c r="Y16" s="29" t="n">
        <v>0.1281880250411938</v>
      </c>
      <c r="Z16" s="29" t="n">
        <v>0.2353138531721354</v>
      </c>
      <c r="AA16" s="29" t="n">
        <v>1285.537791539557</v>
      </c>
      <c r="AB16" s="29" t="n">
        <v>89.64770121459509</v>
      </c>
      <c r="AC16" s="29" t="n">
        <v>756.8516305657161</v>
      </c>
      <c r="AD16" s="29" t="n">
        <v>2.569843640068316</v>
      </c>
      <c r="AE16" s="29" t="n">
        <v>12.81739592780085</v>
      </c>
      <c r="AF16" s="29" t="n">
        <v>0.1205528112413059</v>
      </c>
      <c r="AG16" s="29" t="n">
        <v>0.1650070048204571</v>
      </c>
      <c r="AH16" s="29" t="n">
        <v>0.3209550711008789</v>
      </c>
      <c r="AI16" s="29" t="n">
        <v>0.1367748863337805</v>
      </c>
      <c r="AJ16" s="29" t="n">
        <v>0.1204603892786027</v>
      </c>
      <c r="AK16" s="29" t="n">
        <v>0.1589343129215139</v>
      </c>
      <c r="AL16" s="29" t="n">
        <v>4.063364128192924</v>
      </c>
      <c r="AM16" s="29" t="n">
        <v>0.05118623908110823</v>
      </c>
      <c r="AN16" s="29" t="n">
        <v>0.3062148931287723</v>
      </c>
      <c r="AO16" s="29" t="n">
        <v>0.6441864019951684</v>
      </c>
      <c r="AP16" s="29" t="n">
        <v>843.9664071420856</v>
      </c>
      <c r="AQ16" s="29" t="n">
        <v>0.4935400705405769</v>
      </c>
      <c r="AR16" s="29" t="n">
        <v>409.5480246623493</v>
      </c>
      <c r="AS16" s="29" t="n">
        <v>0.1909916712811541</v>
      </c>
      <c r="AT16" s="29" t="n">
        <v>0.006984948114505815</v>
      </c>
      <c r="AU16" s="29" t="n">
        <v>0.06222448800469287</v>
      </c>
      <c r="AV16" s="29" t="n">
        <v>1.354423486539546</v>
      </c>
      <c r="AW16" s="29" t="n">
        <v>55.32651495950216</v>
      </c>
      <c r="AX16" s="29" t="n">
        <v>583.9775675188439</v>
      </c>
      <c r="AY16" s="29" t="n">
        <v>0.06915651082180282</v>
      </c>
      <c r="AZ16" s="29" t="n">
        <v>0.1744517215839637</v>
      </c>
      <c r="BA16" s="29" t="n">
        <v>5.785197191652784</v>
      </c>
      <c r="BB16" s="29" t="n">
        <v>0.5050566795198053</v>
      </c>
      <c r="BC16" s="29" t="n">
        <v>3.069799241586725</v>
      </c>
      <c r="BD16" s="29" t="n">
        <v>2.413556399127541</v>
      </c>
      <c r="BE16" s="29" t="n">
        <v>0.7319565352945048</v>
      </c>
      <c r="BF16" s="29" t="n">
        <v>4.793211036720936</v>
      </c>
      <c r="BG16" s="29" t="n">
        <v>0.1596693707634243</v>
      </c>
      <c r="BH16" s="29" t="n">
        <v>0.1716561015578293</v>
      </c>
      <c r="BI16" s="29" t="n">
        <v>1.97009401811741</v>
      </c>
      <c r="BJ16" s="29" t="n">
        <v>0.05213593777276151</v>
      </c>
      <c r="BK16" s="29" t="n">
        <v>98.62707922128882</v>
      </c>
      <c r="BL16" s="29" t="n">
        <v>102.4239087051832</v>
      </c>
      <c r="BM16" s="29" t="n">
        <v>10.06614112497206</v>
      </c>
      <c r="BN16" s="29" t="n">
        <v>47.3755161628339</v>
      </c>
      <c r="BO16" s="29" t="n">
        <v>24.83444288902563</v>
      </c>
      <c r="BP16" s="29" t="n">
        <v>0.4076167028800362</v>
      </c>
      <c r="BQ16" s="29" t="n">
        <v>5.695267832155738</v>
      </c>
      <c r="BR16" s="29" t="n">
        <v>0</v>
      </c>
      <c r="BS16" s="29">
        <f>SUM(C16:BR16)</f>
        <v/>
      </c>
      <c r="BT16" s="29" t="n">
        <v>0</v>
      </c>
      <c r="BU16" s="29" t="n">
        <v>0</v>
      </c>
      <c r="BV16" s="29" t="n">
        <v>17539.35670702769</v>
      </c>
      <c r="BW16" s="29" t="n">
        <v>0</v>
      </c>
      <c r="BX16" s="29">
        <f>SUM(BT16:BW16)</f>
        <v/>
      </c>
      <c r="BY16" s="29">
        <f>BS16+BX16</f>
        <v/>
      </c>
    </row>
    <row r="17">
      <c r="A17" s="30" t="inlineStr">
        <is>
          <t>0580</t>
        </is>
      </c>
      <c r="B17" s="30" t="inlineStr">
        <is>
          <t>Extração de carvão mineral e de minerais não-metálicos</t>
        </is>
      </c>
      <c r="C17" s="31" t="n">
        <v>259.059345537787</v>
      </c>
      <c r="D17" s="31" t="n">
        <v>519.1776667263518</v>
      </c>
      <c r="E17" s="31" t="n">
        <v>18.06219677954689</v>
      </c>
      <c r="F17" s="31" t="n">
        <v>409.8934531126549</v>
      </c>
      <c r="G17" s="31" t="n">
        <v>682.5649022329617</v>
      </c>
      <c r="H17" s="31" t="n">
        <v>0.7450133649614207</v>
      </c>
      <c r="I17" s="31" t="n">
        <v>9.53002208744425</v>
      </c>
      <c r="J17" s="31" t="n">
        <v>81.13855972513954</v>
      </c>
      <c r="K17" s="31" t="n">
        <v>16.0557543791893</v>
      </c>
      <c r="L17" s="31" t="n">
        <v>378.413555939308</v>
      </c>
      <c r="M17" s="31" t="n">
        <v>21.14885315088032</v>
      </c>
      <c r="N17" s="31" t="n">
        <v>0.03793454904290997</v>
      </c>
      <c r="O17" s="31" t="n">
        <v>2.900062064146041</v>
      </c>
      <c r="P17" s="31" t="n">
        <v>0.1582399119245909</v>
      </c>
      <c r="Q17" s="31" t="n">
        <v>2.227478843416774</v>
      </c>
      <c r="R17" s="31" t="n">
        <v>1.395598378288762</v>
      </c>
      <c r="S17" s="31" t="n">
        <v>27.24678324450071</v>
      </c>
      <c r="T17" s="31" t="n">
        <v>0.7841691550626265</v>
      </c>
      <c r="U17" s="31" t="n">
        <v>68.49234185743109</v>
      </c>
      <c r="V17" s="31" t="n">
        <v>286.1723761622163</v>
      </c>
      <c r="W17" s="31" t="n">
        <v>4374.819776669338</v>
      </c>
      <c r="X17" s="31" t="n">
        <v>137.9764318703494</v>
      </c>
      <c r="Y17" s="31" t="n">
        <v>14.49880717441632</v>
      </c>
      <c r="Z17" s="31" t="n">
        <v>4.854085659212219</v>
      </c>
      <c r="AA17" s="31" t="n">
        <v>15.62183666583509</v>
      </c>
      <c r="AB17" s="31" t="n">
        <v>7125.138579116368</v>
      </c>
      <c r="AC17" s="31" t="n">
        <v>6962.503080111316</v>
      </c>
      <c r="AD17" s="31" t="n">
        <v>751.322367336053</v>
      </c>
      <c r="AE17" s="31" t="n">
        <v>6.272007583452686</v>
      </c>
      <c r="AF17" s="31" t="n">
        <v>0.1807140455481517</v>
      </c>
      <c r="AG17" s="31" t="n">
        <v>56.9739094046251</v>
      </c>
      <c r="AH17" s="31" t="n">
        <v>4.354762763196065</v>
      </c>
      <c r="AI17" s="31" t="n">
        <v>19.80900679089106</v>
      </c>
      <c r="AJ17" s="31" t="n">
        <v>74.51125737438262</v>
      </c>
      <c r="AK17" s="31" t="n">
        <v>4.291068209684456</v>
      </c>
      <c r="AL17" s="31" t="n">
        <v>49.25235885691779</v>
      </c>
      <c r="AM17" s="31" t="n">
        <v>4.467371570942035</v>
      </c>
      <c r="AN17" s="31" t="n">
        <v>2019.736811516344</v>
      </c>
      <c r="AO17" s="31" t="n">
        <v>453.7737843619744</v>
      </c>
      <c r="AP17" s="31" t="n">
        <v>9384.807180167336</v>
      </c>
      <c r="AQ17" s="31" t="n">
        <v>3.198396359800128</v>
      </c>
      <c r="AR17" s="31" t="n">
        <v>108.8551086835596</v>
      </c>
      <c r="AS17" s="31" t="n">
        <v>1.169095733742348</v>
      </c>
      <c r="AT17" s="31" t="n">
        <v>0.03081850831525128</v>
      </c>
      <c r="AU17" s="31" t="n">
        <v>0.0352006518639234</v>
      </c>
      <c r="AV17" s="31" t="n">
        <v>6.328818921697692</v>
      </c>
      <c r="AW17" s="31" t="n">
        <v>2.668018890886088</v>
      </c>
      <c r="AX17" s="31" t="n">
        <v>12.9748733915326</v>
      </c>
      <c r="AY17" s="31" t="n">
        <v>0.1089185094068049</v>
      </c>
      <c r="AZ17" s="31" t="n">
        <v>0.1662930795327593</v>
      </c>
      <c r="BA17" s="31" t="n">
        <v>0.9896587663947027</v>
      </c>
      <c r="BB17" s="31" t="n">
        <v>0.4710686012078642</v>
      </c>
      <c r="BC17" s="31" t="n">
        <v>1.766060970196117</v>
      </c>
      <c r="BD17" s="31" t="n">
        <v>464.3192361220563</v>
      </c>
      <c r="BE17" s="31" t="n">
        <v>1.46875142074825</v>
      </c>
      <c r="BF17" s="31" t="n">
        <v>8.299811111054108</v>
      </c>
      <c r="BG17" s="31" t="n">
        <v>0.3645741960497655</v>
      </c>
      <c r="BH17" s="31" t="n">
        <v>0.3603970869716497</v>
      </c>
      <c r="BI17" s="31" t="n">
        <v>1.819929041976451</v>
      </c>
      <c r="BJ17" s="31" t="n">
        <v>0.07719045683080547</v>
      </c>
      <c r="BK17" s="31" t="n">
        <v>73.90144476012759</v>
      </c>
      <c r="BL17" s="31" t="n">
        <v>24.49893770470471</v>
      </c>
      <c r="BM17" s="31" t="n">
        <v>1.308171452046607</v>
      </c>
      <c r="BN17" s="31" t="n">
        <v>9.468213232661395</v>
      </c>
      <c r="BO17" s="31" t="n">
        <v>8.088771301320742</v>
      </c>
      <c r="BP17" s="31" t="n">
        <v>1.161978868487203</v>
      </c>
      <c r="BQ17" s="31" t="n">
        <v>5.02131701215555</v>
      </c>
      <c r="BR17" s="31" t="n">
        <v>0</v>
      </c>
      <c r="BS17" s="31">
        <f>SUM(C17:BR17)</f>
        <v/>
      </c>
      <c r="BT17" s="31" t="n">
        <v>0</v>
      </c>
      <c r="BU17" s="31" t="n">
        <v>0</v>
      </c>
      <c r="BV17" s="31" t="n">
        <v>1639.652716202434</v>
      </c>
      <c r="BW17" s="31" t="n">
        <v>0</v>
      </c>
      <c r="BX17" s="31">
        <f>SUM(BT17:BW17)</f>
        <v/>
      </c>
      <c r="BY17" s="31">
        <f>BS17+BX17</f>
        <v/>
      </c>
    </row>
    <row r="18">
      <c r="A18" s="28" t="inlineStr">
        <is>
          <t>0680</t>
        </is>
      </c>
      <c r="B18" s="28" t="inlineStr">
        <is>
          <t>Extração de petróleo e gás, inclusive as atividades de apoio</t>
        </is>
      </c>
      <c r="C18" s="29" t="n">
        <v>13.70279074145197</v>
      </c>
      <c r="D18" s="29" t="n">
        <v>10.04340437105978</v>
      </c>
      <c r="E18" s="29" t="n">
        <v>0.6068909551448655</v>
      </c>
      <c r="F18" s="29" t="n">
        <v>1.291883441611992</v>
      </c>
      <c r="G18" s="29" t="n">
        <v>12421.42443106895</v>
      </c>
      <c r="H18" s="29" t="n">
        <v>165.6220704568258</v>
      </c>
      <c r="I18" s="29" t="n">
        <v>33.17949477071615</v>
      </c>
      <c r="J18" s="29" t="n">
        <v>97.07972432692736</v>
      </c>
      <c r="K18" s="29" t="n">
        <v>0.362013963764917</v>
      </c>
      <c r="L18" s="29" t="n">
        <v>934.0052492563757</v>
      </c>
      <c r="M18" s="29" t="n">
        <v>188.2673536949748</v>
      </c>
      <c r="N18" s="29" t="n">
        <v>0.114637784307147</v>
      </c>
      <c r="O18" s="29" t="n">
        <v>166.9849262584709</v>
      </c>
      <c r="P18" s="29" t="n">
        <v>0.9026686759707486</v>
      </c>
      <c r="Q18" s="29" t="n">
        <v>1.696672027036612</v>
      </c>
      <c r="R18" s="29" t="n">
        <v>50.89313090094227</v>
      </c>
      <c r="S18" s="29" t="n">
        <v>854.6447451311254</v>
      </c>
      <c r="T18" s="29" t="n">
        <v>0.1331285337895631</v>
      </c>
      <c r="U18" s="29" t="n">
        <v>120431.6961236389</v>
      </c>
      <c r="V18" s="29" t="n">
        <v>0.4338561825218985</v>
      </c>
      <c r="W18" s="29" t="n">
        <v>2201.548502549779</v>
      </c>
      <c r="X18" s="29" t="n">
        <v>110.6058286921029</v>
      </c>
      <c r="Y18" s="29" t="n">
        <v>38.09069199218077</v>
      </c>
      <c r="Z18" s="29" t="n">
        <v>46.79001324426</v>
      </c>
      <c r="AA18" s="29" t="n">
        <v>121.4431930982161</v>
      </c>
      <c r="AB18" s="29" t="n">
        <v>761.6142153234352</v>
      </c>
      <c r="AC18" s="29" t="n">
        <v>444.9614503215302</v>
      </c>
      <c r="AD18" s="29" t="n">
        <v>374.2722868663419</v>
      </c>
      <c r="AE18" s="29" t="n">
        <v>452.4125284245454</v>
      </c>
      <c r="AF18" s="29" t="n">
        <v>0.5325209523618495</v>
      </c>
      <c r="AG18" s="29" t="n">
        <v>36.36074626246894</v>
      </c>
      <c r="AH18" s="29" t="n">
        <v>25.11788547756154</v>
      </c>
      <c r="AI18" s="29" t="n">
        <v>92.11360602886568</v>
      </c>
      <c r="AJ18" s="29" t="n">
        <v>173.6374717855903</v>
      </c>
      <c r="AK18" s="29" t="n">
        <v>0.4448913838029036</v>
      </c>
      <c r="AL18" s="29" t="n">
        <v>1.590426872987942</v>
      </c>
      <c r="AM18" s="29" t="n">
        <v>2.770152925286814</v>
      </c>
      <c r="AN18" s="29" t="n">
        <v>16056.21212945541</v>
      </c>
      <c r="AO18" s="29" t="n">
        <v>275.7970070730719</v>
      </c>
      <c r="AP18" s="29" t="n">
        <v>525.6218810411146</v>
      </c>
      <c r="AQ18" s="29" t="n">
        <v>8.810461144117777</v>
      </c>
      <c r="AR18" s="29" t="n">
        <v>147.5194972974643</v>
      </c>
      <c r="AS18" s="29" t="n">
        <v>62.1795712267951</v>
      </c>
      <c r="AT18" s="29" t="n">
        <v>0.8112614943849648</v>
      </c>
      <c r="AU18" s="29" t="n">
        <v>0.3018129965369729</v>
      </c>
      <c r="AV18" s="29" t="n">
        <v>27.95815863075165</v>
      </c>
      <c r="AW18" s="29" t="n">
        <v>3.010065048557422</v>
      </c>
      <c r="AX18" s="29" t="n">
        <v>32.7561571275635</v>
      </c>
      <c r="AY18" s="29" t="n">
        <v>0.636449571144007</v>
      </c>
      <c r="AZ18" s="29" t="n">
        <v>1.11735086740221</v>
      </c>
      <c r="BA18" s="29" t="n">
        <v>65.35516629687928</v>
      </c>
      <c r="BB18" s="29" t="n">
        <v>3.833927663545597</v>
      </c>
      <c r="BC18" s="29" t="n">
        <v>14.30844728885161</v>
      </c>
      <c r="BD18" s="29" t="n">
        <v>4.898341119588122</v>
      </c>
      <c r="BE18" s="29" t="n">
        <v>12.18569973518028</v>
      </c>
      <c r="BF18" s="29" t="n">
        <v>63.64766410933122</v>
      </c>
      <c r="BG18" s="29" t="n">
        <v>2.578014002960264</v>
      </c>
      <c r="BH18" s="29" t="n">
        <v>4.997133681980803</v>
      </c>
      <c r="BI18" s="29" t="n">
        <v>6.934711096017317</v>
      </c>
      <c r="BJ18" s="29" t="n">
        <v>0.6201313913220615</v>
      </c>
      <c r="BK18" s="29" t="n">
        <v>506.1701512012814</v>
      </c>
      <c r="BL18" s="29" t="n">
        <v>3.164766678283442</v>
      </c>
      <c r="BM18" s="29" t="n">
        <v>10.21556894935281</v>
      </c>
      <c r="BN18" s="29" t="n">
        <v>1.371294145694714</v>
      </c>
      <c r="BO18" s="29" t="n">
        <v>5.177614217394988</v>
      </c>
      <c r="BP18" s="29" t="n">
        <v>9.577654594455776</v>
      </c>
      <c r="BQ18" s="29" t="n">
        <v>15.61816801030205</v>
      </c>
      <c r="BR18" s="29" t="n">
        <v>0</v>
      </c>
      <c r="BS18" s="29">
        <f>SUM(C18:BR18)</f>
        <v/>
      </c>
      <c r="BT18" s="29" t="n">
        <v>0</v>
      </c>
      <c r="BU18" s="29" t="n">
        <v>0</v>
      </c>
      <c r="BV18" s="29" t="n">
        <v>47717.20472777816</v>
      </c>
      <c r="BW18" s="29" t="n">
        <v>0</v>
      </c>
      <c r="BX18" s="29">
        <f>SUM(BT18:BW18)</f>
        <v/>
      </c>
      <c r="BY18" s="29">
        <f>BS18+BX18</f>
        <v/>
      </c>
    </row>
    <row r="19">
      <c r="A19" s="30" t="inlineStr">
        <is>
          <t>0791</t>
        </is>
      </c>
      <c r="B19" s="30" t="inlineStr">
        <is>
          <t>Extração de minério de ferro, inclusive beneficiamentos e a aglomeração</t>
        </is>
      </c>
      <c r="C19" s="31" t="n">
        <v>0</v>
      </c>
      <c r="D19" s="31" t="n">
        <v>0</v>
      </c>
      <c r="E19" s="31" t="n">
        <v>0</v>
      </c>
      <c r="F19" s="31" t="n">
        <v>0.00426245683275777</v>
      </c>
      <c r="G19" s="31" t="n">
        <v>2.394576679722809</v>
      </c>
      <c r="H19" s="31" t="n">
        <v>828.4317488180038</v>
      </c>
      <c r="I19" s="31" t="n">
        <v>76.27324106685128</v>
      </c>
      <c r="J19" s="31" t="n">
        <v>0.3793586581154416</v>
      </c>
      <c r="K19" s="31" t="n">
        <v>0.04688702516033547</v>
      </c>
      <c r="L19" s="31" t="n">
        <v>0.2131228416378885</v>
      </c>
      <c r="M19" s="31" t="n">
        <v>0.3964084854464726</v>
      </c>
      <c r="N19" s="31" t="n">
        <v>0.08098667982239763</v>
      </c>
      <c r="O19" s="31" t="n">
        <v>0</v>
      </c>
      <c r="P19" s="31" t="n">
        <v>0.0724617661568821</v>
      </c>
      <c r="Q19" s="31" t="n">
        <v>0.1150863344844598</v>
      </c>
      <c r="R19" s="31" t="n">
        <v>0.04688702516033547</v>
      </c>
      <c r="S19" s="31" t="n">
        <v>0.149185989146522</v>
      </c>
      <c r="T19" s="31" t="n">
        <v>0.00426245683275777</v>
      </c>
      <c r="U19" s="31" t="n">
        <v>0</v>
      </c>
      <c r="V19" s="31" t="n">
        <v>0</v>
      </c>
      <c r="W19" s="31" t="n">
        <v>0.4560828811050815</v>
      </c>
      <c r="X19" s="31" t="n">
        <v>0.1236112481499753</v>
      </c>
      <c r="Y19" s="31" t="n">
        <v>0.3409965466206217</v>
      </c>
      <c r="Z19" s="31" t="n">
        <v>1.022989639861865</v>
      </c>
      <c r="AA19" s="31" t="n">
        <v>0.1619733596447953</v>
      </c>
      <c r="AB19" s="31" t="n">
        <v>120.4090645072356</v>
      </c>
      <c r="AC19" s="31" t="n">
        <v>10886.21864978072</v>
      </c>
      <c r="AD19" s="31" t="n">
        <v>333.8608717296908</v>
      </c>
      <c r="AE19" s="31" t="n">
        <v>0.04262456832757771</v>
      </c>
      <c r="AF19" s="31" t="n">
        <v>0.2131228416378885</v>
      </c>
      <c r="AG19" s="31" t="n">
        <v>0.6393685249136655</v>
      </c>
      <c r="AH19" s="31" t="n">
        <v>0.4987074494326592</v>
      </c>
      <c r="AI19" s="31" t="n">
        <v>1.01446472619635</v>
      </c>
      <c r="AJ19" s="31" t="n">
        <v>0.9125919222761476</v>
      </c>
      <c r="AK19" s="31" t="n">
        <v>0.1449235323137642</v>
      </c>
      <c r="AL19" s="31" t="n">
        <v>0.110823877651702</v>
      </c>
      <c r="AM19" s="31" t="n">
        <v>0.00426245683275777</v>
      </c>
      <c r="AN19" s="31" t="n">
        <v>0.5157572767636902</v>
      </c>
      <c r="AO19" s="31" t="n">
        <v>0.04688702516033547</v>
      </c>
      <c r="AP19" s="31" t="n">
        <v>0.110823877651702</v>
      </c>
      <c r="AQ19" s="31" t="n">
        <v>0</v>
      </c>
      <c r="AR19" s="31" t="n">
        <v>0.7033053774050321</v>
      </c>
      <c r="AS19" s="31" t="n">
        <v>0</v>
      </c>
      <c r="AT19" s="31" t="n">
        <v>0</v>
      </c>
      <c r="AU19" s="31" t="n">
        <v>0</v>
      </c>
      <c r="AV19" s="31" t="n">
        <v>0</v>
      </c>
      <c r="AW19" s="31" t="n">
        <v>0</v>
      </c>
      <c r="AX19" s="31" t="n">
        <v>0</v>
      </c>
      <c r="AY19" s="31" t="n">
        <v>0.008524913665515541</v>
      </c>
      <c r="AZ19" s="31" t="n">
        <v>0</v>
      </c>
      <c r="BA19" s="31" t="n">
        <v>0.3836211149481993</v>
      </c>
      <c r="BB19" s="31" t="n">
        <v>0.3239467192895905</v>
      </c>
      <c r="BC19" s="31" t="n">
        <v>0.03836211149481993</v>
      </c>
      <c r="BD19" s="31" t="n">
        <v>0</v>
      </c>
      <c r="BE19" s="31" t="n">
        <v>0</v>
      </c>
      <c r="BF19" s="31" t="n">
        <v>7.920532276558792</v>
      </c>
      <c r="BG19" s="31" t="n">
        <v>0</v>
      </c>
      <c r="BH19" s="31" t="n">
        <v>0.1449235323137642</v>
      </c>
      <c r="BI19" s="31" t="n">
        <v>0.01704982733103108</v>
      </c>
      <c r="BJ19" s="31" t="n">
        <v>0</v>
      </c>
      <c r="BK19" s="31" t="n">
        <v>0</v>
      </c>
      <c r="BL19" s="31" t="n">
        <v>0</v>
      </c>
      <c r="BM19" s="31" t="n">
        <v>0.00426245683275777</v>
      </c>
      <c r="BN19" s="31" t="n">
        <v>0</v>
      </c>
      <c r="BO19" s="31" t="n">
        <v>0.05114948199309324</v>
      </c>
      <c r="BP19" s="31" t="n">
        <v>0</v>
      </c>
      <c r="BQ19" s="31" t="n">
        <v>0</v>
      </c>
      <c r="BR19" s="31" t="n">
        <v>0</v>
      </c>
      <c r="BS19" s="31">
        <f>SUM(C19:BR19)</f>
        <v/>
      </c>
      <c r="BT19" s="31" t="n">
        <v>0</v>
      </c>
      <c r="BU19" s="31" t="n">
        <v>0</v>
      </c>
      <c r="BV19" s="31" t="n">
        <v>42094.56569999622</v>
      </c>
      <c r="BW19" s="31" t="n">
        <v>0</v>
      </c>
      <c r="BX19" s="31">
        <f>SUM(BT19:BW19)</f>
        <v/>
      </c>
      <c r="BY19" s="31">
        <f>BS19+BX19</f>
        <v/>
      </c>
    </row>
    <row r="20">
      <c r="A20" s="28" t="inlineStr">
        <is>
          <t>0792</t>
        </is>
      </c>
      <c r="B20" s="28" t="inlineStr">
        <is>
          <t>Extração de minerais metálicos não-ferrosos, inclusive beneficiamentos</t>
        </is>
      </c>
      <c r="C20" s="29" t="n">
        <v>10.38715079659705</v>
      </c>
      <c r="D20" s="29" t="n">
        <v>4.111862078197072</v>
      </c>
      <c r="E20" s="29" t="n">
        <v>0.1922594517366401</v>
      </c>
      <c r="F20" s="29" t="n">
        <v>20.06906233741095</v>
      </c>
      <c r="G20" s="29" t="n">
        <v>79.26808994546874</v>
      </c>
      <c r="H20" s="29" t="n">
        <v>12.75389909273552</v>
      </c>
      <c r="I20" s="29" t="n">
        <v>1481.664344338082</v>
      </c>
      <c r="J20" s="29" t="n">
        <v>12.21283680519539</v>
      </c>
      <c r="K20" s="29" t="n">
        <v>0.3559660413528352</v>
      </c>
      <c r="L20" s="29" t="n">
        <v>31.21680489948567</v>
      </c>
      <c r="M20" s="29" t="n">
        <v>1.586852703069955</v>
      </c>
      <c r="N20" s="29" t="n">
        <v>0.03963534055358969</v>
      </c>
      <c r="O20" s="29" t="n">
        <v>1.63172474540402</v>
      </c>
      <c r="P20" s="29" t="n">
        <v>0.005367538233843118</v>
      </c>
      <c r="Q20" s="29" t="n">
        <v>1.296687884870722</v>
      </c>
      <c r="R20" s="29" t="n">
        <v>3.920685368958092</v>
      </c>
      <c r="S20" s="29" t="n">
        <v>11.62530650036544</v>
      </c>
      <c r="T20" s="29" t="n">
        <v>5.179757650708853</v>
      </c>
      <c r="U20" s="29" t="n">
        <v>2.959996796540263</v>
      </c>
      <c r="V20" s="29" t="n">
        <v>2.364231308045012</v>
      </c>
      <c r="W20" s="29" t="n">
        <v>60.90057943608599</v>
      </c>
      <c r="X20" s="29" t="n">
        <v>33.09461509580143</v>
      </c>
      <c r="Y20" s="29" t="n">
        <v>10.78219207551576</v>
      </c>
      <c r="Z20" s="29" t="n">
        <v>8.917637713721447</v>
      </c>
      <c r="AA20" s="29" t="n">
        <v>11.62345122785841</v>
      </c>
      <c r="AB20" s="29" t="n">
        <v>82.95177371738708</v>
      </c>
      <c r="AC20" s="29" t="n">
        <v>2077.749809032865</v>
      </c>
      <c r="AD20" s="29" t="n">
        <v>9672.343248740446</v>
      </c>
      <c r="AE20" s="29" t="n">
        <v>31.32842415108343</v>
      </c>
      <c r="AF20" s="29" t="n">
        <v>1.967946515850819</v>
      </c>
      <c r="AG20" s="29" t="n">
        <v>78.23173094895101</v>
      </c>
      <c r="AH20" s="29" t="n">
        <v>34.22186139724776</v>
      </c>
      <c r="AI20" s="29" t="n">
        <v>7.475648503936139</v>
      </c>
      <c r="AJ20" s="29" t="n">
        <v>40.27052582421503</v>
      </c>
      <c r="AK20" s="29" t="n">
        <v>13.23894398633949</v>
      </c>
      <c r="AL20" s="29" t="n">
        <v>28.66736783272594</v>
      </c>
      <c r="AM20" s="29" t="n">
        <v>16.68913683090914</v>
      </c>
      <c r="AN20" s="29" t="n">
        <v>0.7926294825641889</v>
      </c>
      <c r="AO20" s="29" t="n">
        <v>6.02533761116625</v>
      </c>
      <c r="AP20" s="29" t="n">
        <v>81.39136813447496</v>
      </c>
      <c r="AQ20" s="29" t="n">
        <v>0.7180696050285147</v>
      </c>
      <c r="AR20" s="29" t="n">
        <v>17.14027779821318</v>
      </c>
      <c r="AS20" s="29" t="n">
        <v>0.2239520661335576</v>
      </c>
      <c r="AT20" s="29" t="n">
        <v>0.1788976491514831</v>
      </c>
      <c r="AU20" s="29" t="n">
        <v>0</v>
      </c>
      <c r="AV20" s="29" t="n">
        <v>0.6318628372825456</v>
      </c>
      <c r="AW20" s="29" t="n">
        <v>0.03723652304252488</v>
      </c>
      <c r="AX20" s="29" t="n">
        <v>0.08859536082474226</v>
      </c>
      <c r="AY20" s="29" t="n">
        <v>0.0006314750863344844</v>
      </c>
      <c r="AZ20" s="29" t="n">
        <v>0</v>
      </c>
      <c r="BA20" s="29" t="n">
        <v>0.1176121646868739</v>
      </c>
      <c r="BB20" s="29" t="n">
        <v>0.02960210781961242</v>
      </c>
      <c r="BC20" s="29" t="n">
        <v>0.3006061734450862</v>
      </c>
      <c r="BD20" s="29" t="n">
        <v>2.41300383696137</v>
      </c>
      <c r="BE20" s="29" t="n">
        <v>0</v>
      </c>
      <c r="BF20" s="29" t="n">
        <v>1.254314224124496</v>
      </c>
      <c r="BG20" s="29" t="n">
        <v>0.1180251592040157</v>
      </c>
      <c r="BH20" s="29" t="n">
        <v>0.01073507646768623</v>
      </c>
      <c r="BI20" s="29" t="n">
        <v>2.294705456132589</v>
      </c>
      <c r="BJ20" s="29" t="n">
        <v>0.005606054538902014</v>
      </c>
      <c r="BK20" s="29" t="n">
        <v>0.8384700822502476</v>
      </c>
      <c r="BL20" s="29" t="n">
        <v>2.47268083980086</v>
      </c>
      <c r="BM20" s="29" t="n">
        <v>0.0003157375431672423</v>
      </c>
      <c r="BN20" s="29" t="n">
        <v>6.87981292249933</v>
      </c>
      <c r="BO20" s="29" t="n">
        <v>1.30558456144628</v>
      </c>
      <c r="BP20" s="29" t="n">
        <v>0.06411762556920196</v>
      </c>
      <c r="BQ20" s="29" t="n">
        <v>0.7573073535618081</v>
      </c>
      <c r="BR20" s="29" t="n">
        <v>0</v>
      </c>
      <c r="BS20" s="29">
        <f>SUM(C20:BR20)</f>
        <v/>
      </c>
      <c r="BT20" s="29" t="n">
        <v>0</v>
      </c>
      <c r="BU20" s="29" t="n">
        <v>0</v>
      </c>
      <c r="BV20" s="29" t="n">
        <v>6571.65213731078</v>
      </c>
      <c r="BW20" s="29" t="n">
        <v>0</v>
      </c>
      <c r="BX20" s="29">
        <f>SUM(BT20:BW20)</f>
        <v/>
      </c>
      <c r="BY20" s="29">
        <f>BS20+BX20</f>
        <v/>
      </c>
    </row>
    <row r="21">
      <c r="A21" s="30" t="inlineStr">
        <is>
          <t>1091</t>
        </is>
      </c>
      <c r="B21" s="30" t="inlineStr">
        <is>
          <t>Abate e produtos de carne, inclusive os produtos do laticínio e da pesca</t>
        </is>
      </c>
      <c r="C21" s="31" t="n">
        <v>81.26919548164412</v>
      </c>
      <c r="D21" s="31" t="n">
        <v>2727.277175156699</v>
      </c>
      <c r="E21" s="31" t="n">
        <v>67.57843379250116</v>
      </c>
      <c r="F21" s="31" t="n">
        <v>4.396418760701951</v>
      </c>
      <c r="G21" s="31" t="n">
        <v>1.954251933096631</v>
      </c>
      <c r="H21" s="31" t="n">
        <v>2.330730612309058</v>
      </c>
      <c r="I21" s="31" t="n">
        <v>0.7283199537942715</v>
      </c>
      <c r="J21" s="31" t="n">
        <v>25061.25181441426</v>
      </c>
      <c r="K21" s="31" t="n">
        <v>1.79725220782202</v>
      </c>
      <c r="L21" s="31" t="n">
        <v>2829.328834704247</v>
      </c>
      <c r="M21" s="31" t="n">
        <v>54.02835503174602</v>
      </c>
      <c r="N21" s="31" t="n">
        <v>0.2633292245804593</v>
      </c>
      <c r="O21" s="31" t="n">
        <v>0.875360094620472</v>
      </c>
      <c r="P21" s="31" t="n">
        <v>0.8151646167665465</v>
      </c>
      <c r="Q21" s="31" t="n">
        <v>3398.378053855572</v>
      </c>
      <c r="R21" s="31" t="n">
        <v>1.260306883854279</v>
      </c>
      <c r="S21" s="31" t="n">
        <v>8.006982926249737</v>
      </c>
      <c r="T21" s="31" t="n">
        <v>0.9915767558873388</v>
      </c>
      <c r="U21" s="31" t="n">
        <v>1.152991538301516</v>
      </c>
      <c r="V21" s="31" t="n">
        <v>1037.528402734148</v>
      </c>
      <c r="W21" s="31" t="n">
        <v>3.078004963069437</v>
      </c>
      <c r="X21" s="31" t="n">
        <v>25.00724796332762</v>
      </c>
      <c r="Y21" s="31" t="n">
        <v>2046.683286646664</v>
      </c>
      <c r="Z21" s="31" t="n">
        <v>6.60304505994203</v>
      </c>
      <c r="AA21" s="31" t="n">
        <v>11.39798496840448</v>
      </c>
      <c r="AB21" s="31" t="n">
        <v>3.110922742987906</v>
      </c>
      <c r="AC21" s="31" t="n">
        <v>2.43035508768158</v>
      </c>
      <c r="AD21" s="31" t="n">
        <v>1.038549121329948</v>
      </c>
      <c r="AE21" s="31" t="n">
        <v>68.48103983547298</v>
      </c>
      <c r="AF21" s="31" t="n">
        <v>1.564815180820725</v>
      </c>
      <c r="AG21" s="31" t="n">
        <v>3.207209880070373</v>
      </c>
      <c r="AH21" s="31" t="n">
        <v>12.1439360072533</v>
      </c>
      <c r="AI21" s="31" t="n">
        <v>6.454452251963166</v>
      </c>
      <c r="AJ21" s="31" t="n">
        <v>2.486809992631569</v>
      </c>
      <c r="AK21" s="31" t="n">
        <v>1.559829721132188</v>
      </c>
      <c r="AL21" s="31" t="n">
        <v>3.720183577369991</v>
      </c>
      <c r="AM21" s="31" t="n">
        <v>5.283517534914303</v>
      </c>
      <c r="AN21" s="31" t="n">
        <v>1.199610392373639</v>
      </c>
      <c r="AO21" s="31" t="n">
        <v>0.7243782346724856</v>
      </c>
      <c r="AP21" s="31" t="n">
        <v>10.13446140620501</v>
      </c>
      <c r="AQ21" s="31" t="n">
        <v>2.299097317466739</v>
      </c>
      <c r="AR21" s="31" t="n">
        <v>473.0897401693756</v>
      </c>
      <c r="AS21" s="31" t="n">
        <v>4.028795563616482</v>
      </c>
      <c r="AT21" s="31" t="n">
        <v>0.08298704906780448</v>
      </c>
      <c r="AU21" s="31" t="n">
        <v>0.8611473812674932</v>
      </c>
      <c r="AV21" s="31" t="n">
        <v>1.158303038057576</v>
      </c>
      <c r="AW21" s="31" t="n">
        <v>594.0100706439919</v>
      </c>
      <c r="AX21" s="31" t="n">
        <v>19564.79584999104</v>
      </c>
      <c r="AY21" s="31" t="n">
        <v>0.4603312704770026</v>
      </c>
      <c r="AZ21" s="31" t="n">
        <v>0.5731167069443224</v>
      </c>
      <c r="BA21" s="31" t="n">
        <v>4.426858127844518</v>
      </c>
      <c r="BB21" s="31" t="n">
        <v>0.9645069815756999</v>
      </c>
      <c r="BC21" s="31" t="n">
        <v>2.781480578043155</v>
      </c>
      <c r="BD21" s="31" t="n">
        <v>0.5451475108712255</v>
      </c>
      <c r="BE21" s="31" t="n">
        <v>2.118899519933244</v>
      </c>
      <c r="BF21" s="31" t="n">
        <v>5.093258023346738</v>
      </c>
      <c r="BG21" s="31" t="n">
        <v>2.192022503473448</v>
      </c>
      <c r="BH21" s="31" t="n">
        <v>0.5855842084137214</v>
      </c>
      <c r="BI21" s="31" t="n">
        <v>1.810913962088089</v>
      </c>
      <c r="BJ21" s="31" t="n">
        <v>0.1440988904684957</v>
      </c>
      <c r="BK21" s="31" t="n">
        <v>2107.413546646996</v>
      </c>
      <c r="BL21" s="31" t="n">
        <v>1909.22831247619</v>
      </c>
      <c r="BM21" s="31" t="n">
        <v>263.5340130507977</v>
      </c>
      <c r="BN21" s="31" t="n">
        <v>949.7901663014213</v>
      </c>
      <c r="BO21" s="31" t="n">
        <v>893.0659964760982</v>
      </c>
      <c r="BP21" s="31" t="n">
        <v>5.788894706061139</v>
      </c>
      <c r="BQ21" s="31" t="n">
        <v>318.0071847414391</v>
      </c>
      <c r="BR21" s="31" t="n">
        <v>0</v>
      </c>
      <c r="BS21" s="31">
        <f>SUM(C21:BR21)</f>
        <v/>
      </c>
      <c r="BT21" s="31" t="n">
        <v>0</v>
      </c>
      <c r="BU21" s="31" t="n">
        <v>0</v>
      </c>
      <c r="BV21" s="31" t="n">
        <v>208454.699449422</v>
      </c>
      <c r="BW21" s="31" t="n">
        <v>0</v>
      </c>
      <c r="BX21" s="31">
        <f>SUM(BT21:BW21)</f>
        <v/>
      </c>
      <c r="BY21" s="31">
        <f>BS21+BX21</f>
        <v/>
      </c>
    </row>
    <row r="22">
      <c r="A22" s="28" t="inlineStr">
        <is>
          <t>1092</t>
        </is>
      </c>
      <c r="B22" s="28" t="inlineStr">
        <is>
          <t>Fabricação e refino de açúcar</t>
        </is>
      </c>
      <c r="C22" s="29" t="n">
        <v>67.476129419381</v>
      </c>
      <c r="D22" s="29" t="n">
        <v>138.4852303024515</v>
      </c>
      <c r="E22" s="29" t="n">
        <v>3.009539488486276</v>
      </c>
      <c r="F22" s="29" t="n">
        <v>2.03920626810897</v>
      </c>
      <c r="G22" s="29" t="n">
        <v>295.1283210263751</v>
      </c>
      <c r="H22" s="29" t="n">
        <v>14.89827890415247</v>
      </c>
      <c r="I22" s="29" t="n">
        <v>4.664860108214686</v>
      </c>
      <c r="J22" s="29" t="n">
        <v>448.0638939489605</v>
      </c>
      <c r="K22" s="29" t="n">
        <v>1407.017054090153</v>
      </c>
      <c r="L22" s="29" t="n">
        <v>5181.268907158761</v>
      </c>
      <c r="M22" s="29" t="n">
        <v>1145.721379881257</v>
      </c>
      <c r="N22" s="29" t="n">
        <v>0.1058954496061175</v>
      </c>
      <c r="O22" s="29" t="n">
        <v>1.237908313795107</v>
      </c>
      <c r="P22" s="29" t="n">
        <v>0.6591305268328336</v>
      </c>
      <c r="Q22" s="29" t="n">
        <v>1.017738377012828</v>
      </c>
      <c r="R22" s="29" t="n">
        <v>4.322978731215864</v>
      </c>
      <c r="S22" s="29" t="n">
        <v>5.5534336108046</v>
      </c>
      <c r="T22" s="29" t="n">
        <v>0.05604358886360516</v>
      </c>
      <c r="U22" s="29" t="n">
        <v>8867.144372926206</v>
      </c>
      <c r="V22" s="29" t="n">
        <v>887.9476488395519</v>
      </c>
      <c r="W22" s="29" t="n">
        <v>151.6714942445551</v>
      </c>
      <c r="X22" s="29" t="n">
        <v>609.4742074550502</v>
      </c>
      <c r="Y22" s="29" t="n">
        <v>586.5174953309918</v>
      </c>
      <c r="Z22" s="29" t="n">
        <v>374.2799812356177</v>
      </c>
      <c r="AA22" s="29" t="n">
        <v>2.948500624662044</v>
      </c>
      <c r="AB22" s="29" t="n">
        <v>0.6609103976646153</v>
      </c>
      <c r="AC22" s="29" t="n">
        <v>1.169173625159038</v>
      </c>
      <c r="AD22" s="29" t="n">
        <v>0.6230228852928339</v>
      </c>
      <c r="AE22" s="29" t="n">
        <v>19.52247644065453</v>
      </c>
      <c r="AF22" s="29" t="n">
        <v>0.8906187323932198</v>
      </c>
      <c r="AG22" s="29" t="n">
        <v>5.228593493248865</v>
      </c>
      <c r="AH22" s="29" t="n">
        <v>115.9834627302879</v>
      </c>
      <c r="AI22" s="29" t="n">
        <v>14.9918268024174</v>
      </c>
      <c r="AJ22" s="29" t="n">
        <v>0.6013010652765679</v>
      </c>
      <c r="AK22" s="29" t="n">
        <v>7.128019520452538</v>
      </c>
      <c r="AL22" s="29" t="n">
        <v>1.568943823904428</v>
      </c>
      <c r="AM22" s="29" t="n">
        <v>58.0194909479908</v>
      </c>
      <c r="AN22" s="29" t="n">
        <v>3.261709905161474</v>
      </c>
      <c r="AO22" s="29" t="n">
        <v>2.032966246834217</v>
      </c>
      <c r="AP22" s="29" t="n">
        <v>208.1444849841506</v>
      </c>
      <c r="AQ22" s="29" t="n">
        <v>77.73519793381942</v>
      </c>
      <c r="AR22" s="29" t="n">
        <v>185.1071790052875</v>
      </c>
      <c r="AS22" s="29" t="n">
        <v>336.7129232085211</v>
      </c>
      <c r="AT22" s="29" t="n">
        <v>1.046737286564123</v>
      </c>
      <c r="AU22" s="29" t="n">
        <v>3.792396610937141</v>
      </c>
      <c r="AV22" s="29" t="n">
        <v>25.63239778867981</v>
      </c>
      <c r="AW22" s="29" t="n">
        <v>2.817140404699604</v>
      </c>
      <c r="AX22" s="29" t="n">
        <v>974.0070608621232</v>
      </c>
      <c r="AY22" s="29" t="n">
        <v>0.3412405454226555</v>
      </c>
      <c r="AZ22" s="29" t="n">
        <v>0.7593971585734067</v>
      </c>
      <c r="BA22" s="29" t="n">
        <v>7.844578243786373</v>
      </c>
      <c r="BB22" s="29" t="n">
        <v>4.854977380180697</v>
      </c>
      <c r="BC22" s="29" t="n">
        <v>27.28490568038608</v>
      </c>
      <c r="BD22" s="29" t="n">
        <v>0.8857870939324768</v>
      </c>
      <c r="BE22" s="29" t="n">
        <v>25.35772521243476</v>
      </c>
      <c r="BF22" s="29" t="n">
        <v>45.42401587878493</v>
      </c>
      <c r="BG22" s="29" t="n">
        <v>12.76774341191043</v>
      </c>
      <c r="BH22" s="29" t="n">
        <v>19.79716117740262</v>
      </c>
      <c r="BI22" s="29" t="n">
        <v>27.15339607444556</v>
      </c>
      <c r="BJ22" s="29" t="n">
        <v>33.51823980046223</v>
      </c>
      <c r="BK22" s="29" t="n">
        <v>329.3673298131019</v>
      </c>
      <c r="BL22" s="29" t="n">
        <v>127.4814440042224</v>
      </c>
      <c r="BM22" s="29" t="n">
        <v>9.970130068531025</v>
      </c>
      <c r="BN22" s="29" t="n">
        <v>52.07534883602621</v>
      </c>
      <c r="BO22" s="29" t="n">
        <v>54.49199110973264</v>
      </c>
      <c r="BP22" s="29" t="n">
        <v>1.736048464018935</v>
      </c>
      <c r="BQ22" s="29" t="n">
        <v>65.62157630468647</v>
      </c>
      <c r="BR22" s="29" t="n">
        <v>0</v>
      </c>
      <c r="BS22" s="29">
        <f>SUM(C22:BR22)</f>
        <v/>
      </c>
      <c r="BT22" s="29" t="n">
        <v>0</v>
      </c>
      <c r="BU22" s="29" t="n">
        <v>0</v>
      </c>
      <c r="BV22" s="29" t="n">
        <v>30694.53123907988</v>
      </c>
      <c r="BW22" s="29" t="n">
        <v>0</v>
      </c>
      <c r="BX22" s="29">
        <f>SUM(BT22:BW22)</f>
        <v/>
      </c>
      <c r="BY22" s="29">
        <f>BS22+BX22</f>
        <v/>
      </c>
    </row>
    <row r="23">
      <c r="A23" s="30" t="inlineStr">
        <is>
          <t>1093</t>
        </is>
      </c>
      <c r="B23" s="30" t="inlineStr">
        <is>
          <t>Outros produtos alimentares</t>
        </is>
      </c>
      <c r="C23" s="31" t="n">
        <v>1772.155060687774</v>
      </c>
      <c r="D23" s="31" t="n">
        <v>14101.7520644951</v>
      </c>
      <c r="E23" s="31" t="n">
        <v>1052.524907898626</v>
      </c>
      <c r="F23" s="31" t="n">
        <v>193.7890202958597</v>
      </c>
      <c r="G23" s="31" t="n">
        <v>151.0999083504184</v>
      </c>
      <c r="H23" s="31" t="n">
        <v>30.52242257090621</v>
      </c>
      <c r="I23" s="31" t="n">
        <v>17.71644313666505</v>
      </c>
      <c r="J23" s="31" t="n">
        <v>25624.57691504194</v>
      </c>
      <c r="K23" s="31" t="n">
        <v>30.62429122063294</v>
      </c>
      <c r="L23" s="31" t="n">
        <v>31476.74432353926</v>
      </c>
      <c r="M23" s="31" t="n">
        <v>2931.338487417556</v>
      </c>
      <c r="N23" s="31" t="n">
        <v>1.25654493575591</v>
      </c>
      <c r="O23" s="31" t="n">
        <v>49.57953984849512</v>
      </c>
      <c r="P23" s="31" t="n">
        <v>10.56092909476284</v>
      </c>
      <c r="Q23" s="31" t="n">
        <v>59.29457131930635</v>
      </c>
      <c r="R23" s="31" t="n">
        <v>38.6811762056649</v>
      </c>
      <c r="S23" s="31" t="n">
        <v>735.470386253588</v>
      </c>
      <c r="T23" s="31" t="n">
        <v>21.02106239899712</v>
      </c>
      <c r="U23" s="31" t="n">
        <v>1988.646568929351</v>
      </c>
      <c r="V23" s="31" t="n">
        <v>2145.793024106636</v>
      </c>
      <c r="W23" s="31" t="n">
        <v>697.7443442051199</v>
      </c>
      <c r="X23" s="31" t="n">
        <v>1104.893220175085</v>
      </c>
      <c r="Y23" s="31" t="n">
        <v>1178.144743529107</v>
      </c>
      <c r="Z23" s="31" t="n">
        <v>257.7799701873199</v>
      </c>
      <c r="AA23" s="31" t="n">
        <v>168.7151206058453</v>
      </c>
      <c r="AB23" s="31" t="n">
        <v>57.18983533107495</v>
      </c>
      <c r="AC23" s="31" t="n">
        <v>56.03339115678914</v>
      </c>
      <c r="AD23" s="31" t="n">
        <v>15.99901711962206</v>
      </c>
      <c r="AE23" s="31" t="n">
        <v>42.50802374076959</v>
      </c>
      <c r="AF23" s="31" t="n">
        <v>5.349619388271194</v>
      </c>
      <c r="AG23" s="31" t="n">
        <v>20.01387817810972</v>
      </c>
      <c r="AH23" s="31" t="n">
        <v>48.27437887812516</v>
      </c>
      <c r="AI23" s="31" t="n">
        <v>12.04077931381935</v>
      </c>
      <c r="AJ23" s="31" t="n">
        <v>4.834633478629437</v>
      </c>
      <c r="AK23" s="31" t="n">
        <v>6.216752990296865</v>
      </c>
      <c r="AL23" s="31" t="n">
        <v>50.90635985341941</v>
      </c>
      <c r="AM23" s="31" t="n">
        <v>32.91558610364042</v>
      </c>
      <c r="AN23" s="31" t="n">
        <v>8.585952301520777</v>
      </c>
      <c r="AO23" s="31" t="n">
        <v>24.4860312428175</v>
      </c>
      <c r="AP23" s="31" t="n">
        <v>119.4783835292181</v>
      </c>
      <c r="AQ23" s="31" t="n">
        <v>130.1432554743517</v>
      </c>
      <c r="AR23" s="31" t="n">
        <v>4178.202496362832</v>
      </c>
      <c r="AS23" s="31" t="n">
        <v>88.32917832548893</v>
      </c>
      <c r="AT23" s="31" t="n">
        <v>0.4633912012191289</v>
      </c>
      <c r="AU23" s="31" t="n">
        <v>42.47621867793582</v>
      </c>
      <c r="AV23" s="31" t="n">
        <v>33.16018348100339</v>
      </c>
      <c r="AW23" s="31" t="n">
        <v>335.9203912136014</v>
      </c>
      <c r="AX23" s="31" t="n">
        <v>14498.48097809107</v>
      </c>
      <c r="AY23" s="31" t="n">
        <v>3.157479353002159</v>
      </c>
      <c r="AZ23" s="31" t="n">
        <v>4.409857113766456</v>
      </c>
      <c r="BA23" s="31" t="n">
        <v>44.5334013791973</v>
      </c>
      <c r="BB23" s="31" t="n">
        <v>8.521440079776784</v>
      </c>
      <c r="BC23" s="31" t="n">
        <v>257.3589648676868</v>
      </c>
      <c r="BD23" s="31" t="n">
        <v>28.16262654937724</v>
      </c>
      <c r="BE23" s="31" t="n">
        <v>58.68116448874993</v>
      </c>
      <c r="BF23" s="31" t="n">
        <v>27.00999957243143</v>
      </c>
      <c r="BG23" s="31" t="n">
        <v>44.92016687931783</v>
      </c>
      <c r="BH23" s="31" t="n">
        <v>8.931406741830191</v>
      </c>
      <c r="BI23" s="31" t="n">
        <v>29.35986248829584</v>
      </c>
      <c r="BJ23" s="31" t="n">
        <v>8.575173452845489</v>
      </c>
      <c r="BK23" s="31" t="n">
        <v>1632.514828468385</v>
      </c>
      <c r="BL23" s="31" t="n">
        <v>1860.19873582187</v>
      </c>
      <c r="BM23" s="31" t="n">
        <v>212.347242830121</v>
      </c>
      <c r="BN23" s="31" t="n">
        <v>1591.544891927203</v>
      </c>
      <c r="BO23" s="31" t="n">
        <v>786.6227852866789</v>
      </c>
      <c r="BP23" s="31" t="n">
        <v>52.95251147312984</v>
      </c>
      <c r="BQ23" s="31" t="n">
        <v>952.5257333194563</v>
      </c>
      <c r="BR23" s="31" t="n">
        <v>0</v>
      </c>
      <c r="BS23" s="31">
        <f>SUM(C23:BR23)</f>
        <v/>
      </c>
      <c r="BT23" s="31" t="n">
        <v>0</v>
      </c>
      <c r="BU23" s="31" t="n">
        <v>0</v>
      </c>
      <c r="BV23" s="31" t="n">
        <v>171080.6617928193</v>
      </c>
      <c r="BW23" s="31" t="n">
        <v>0</v>
      </c>
      <c r="BX23" s="31">
        <f>SUM(BT23:BW23)</f>
        <v/>
      </c>
      <c r="BY23" s="31">
        <f>BS23+BX23</f>
        <v/>
      </c>
    </row>
    <row r="24">
      <c r="A24" s="28" t="inlineStr">
        <is>
          <t>1100</t>
        </is>
      </c>
      <c r="B24" s="28" t="inlineStr">
        <is>
          <t>Fabricação de bebidas</t>
        </is>
      </c>
      <c r="C24" s="29" t="n">
        <v>1.543190189234164</v>
      </c>
      <c r="D24" s="29" t="n">
        <v>2.96118617859313</v>
      </c>
      <c r="E24" s="29" t="n">
        <v>0.1938470599166891</v>
      </c>
      <c r="F24" s="29" t="n">
        <v>2.788029699271354</v>
      </c>
      <c r="G24" s="29" t="n">
        <v>13.68787147038872</v>
      </c>
      <c r="H24" s="29" t="n">
        <v>8.481801427586891</v>
      </c>
      <c r="I24" s="29" t="n">
        <v>2.968079134677946</v>
      </c>
      <c r="J24" s="29" t="n">
        <v>607.7479453465368</v>
      </c>
      <c r="K24" s="29" t="n">
        <v>1.25167095930719</v>
      </c>
      <c r="L24" s="29" t="n">
        <v>119.8244492332902</v>
      </c>
      <c r="M24" s="29" t="n">
        <v>12668.99738947931</v>
      </c>
      <c r="N24" s="29" t="n">
        <v>0.320059119996829</v>
      </c>
      <c r="O24" s="29" t="n">
        <v>1.428224919775184</v>
      </c>
      <c r="P24" s="29" t="n">
        <v>1.581031605020353</v>
      </c>
      <c r="Q24" s="29" t="n">
        <v>1.632597633897962</v>
      </c>
      <c r="R24" s="29" t="n">
        <v>2.132590725537312</v>
      </c>
      <c r="S24" s="29" t="n">
        <v>4.766755603556369</v>
      </c>
      <c r="T24" s="29" t="n">
        <v>0.4745506069417107</v>
      </c>
      <c r="U24" s="29" t="n">
        <v>63.58719161523426</v>
      </c>
      <c r="V24" s="29" t="n">
        <v>2.341976968847524</v>
      </c>
      <c r="W24" s="29" t="n">
        <v>3.937278162439242</v>
      </c>
      <c r="X24" s="29" t="n">
        <v>8.522517447716282</v>
      </c>
      <c r="Y24" s="29" t="n">
        <v>7.820263665298141</v>
      </c>
      <c r="Z24" s="29" t="n">
        <v>6.274467783576831</v>
      </c>
      <c r="AA24" s="29" t="n">
        <v>4.311003544994577</v>
      </c>
      <c r="AB24" s="29" t="n">
        <v>2.79008555597574</v>
      </c>
      <c r="AC24" s="29" t="n">
        <v>8.088565753565447</v>
      </c>
      <c r="AD24" s="29" t="n">
        <v>1.198546418742751</v>
      </c>
      <c r="AE24" s="29" t="n">
        <v>21.36766734418347</v>
      </c>
      <c r="AF24" s="29" t="n">
        <v>3.671896416412714</v>
      </c>
      <c r="AG24" s="29" t="n">
        <v>8.652608675852669</v>
      </c>
      <c r="AH24" s="29" t="n">
        <v>68.28729903787297</v>
      </c>
      <c r="AI24" s="29" t="n">
        <v>11.86020125463389</v>
      </c>
      <c r="AJ24" s="29" t="n">
        <v>4.551001759795723</v>
      </c>
      <c r="AK24" s="29" t="n">
        <v>10.48986614329885</v>
      </c>
      <c r="AL24" s="29" t="n">
        <v>4.58814628103783</v>
      </c>
      <c r="AM24" s="29" t="n">
        <v>33.98001089210795</v>
      </c>
      <c r="AN24" s="29" t="n">
        <v>8.279723332975502</v>
      </c>
      <c r="AO24" s="29" t="n">
        <v>2.047268320798345</v>
      </c>
      <c r="AP24" s="29" t="n">
        <v>78.39580496809096</v>
      </c>
      <c r="AQ24" s="29" t="n">
        <v>6.980780704997134</v>
      </c>
      <c r="AR24" s="29" t="n">
        <v>76.36683252538009</v>
      </c>
      <c r="AS24" s="29" t="n">
        <v>11.50042137731956</v>
      </c>
      <c r="AT24" s="29" t="n">
        <v>0.5368727870978613</v>
      </c>
      <c r="AU24" s="29" t="n">
        <v>13.33063807766505</v>
      </c>
      <c r="AV24" s="29" t="n">
        <v>3.623271255415649</v>
      </c>
      <c r="AW24" s="29" t="n">
        <v>809.5150119347979</v>
      </c>
      <c r="AX24" s="29" t="n">
        <v>40438.21243109005</v>
      </c>
      <c r="AY24" s="29" t="n">
        <v>0.9267169053154749</v>
      </c>
      <c r="AZ24" s="29" t="n">
        <v>1.242900263299385</v>
      </c>
      <c r="BA24" s="29" t="n">
        <v>7.696341374796958</v>
      </c>
      <c r="BB24" s="29" t="n">
        <v>2.17754736362328</v>
      </c>
      <c r="BC24" s="29" t="n">
        <v>201.2871985929524</v>
      </c>
      <c r="BD24" s="29" t="n">
        <v>3.08499823685055</v>
      </c>
      <c r="BE24" s="29" t="n">
        <v>7.961353573853462</v>
      </c>
      <c r="BF24" s="29" t="n">
        <v>1.959437643726279</v>
      </c>
      <c r="BG24" s="29" t="n">
        <v>1.390085720990661</v>
      </c>
      <c r="BH24" s="29" t="n">
        <v>1.33398096723012</v>
      </c>
      <c r="BI24" s="29" t="n">
        <v>9.502597326433872</v>
      </c>
      <c r="BJ24" s="29" t="n">
        <v>0.7663803220607347</v>
      </c>
      <c r="BK24" s="29" t="n">
        <v>113.3675252046587</v>
      </c>
      <c r="BL24" s="29" t="n">
        <v>119.0855652753504</v>
      </c>
      <c r="BM24" s="29" t="n">
        <v>17.15349373663153</v>
      </c>
      <c r="BN24" s="29" t="n">
        <v>60.09288668920284</v>
      </c>
      <c r="BO24" s="29" t="n">
        <v>254.6031747968547</v>
      </c>
      <c r="BP24" s="29" t="n">
        <v>42.7940552141897</v>
      </c>
      <c r="BQ24" s="29" t="n">
        <v>23.03498935017396</v>
      </c>
      <c r="BR24" s="29" t="n">
        <v>0</v>
      </c>
      <c r="BS24" s="29">
        <f>SUM(C24:BR24)</f>
        <v/>
      </c>
      <c r="BT24" s="29" t="n">
        <v>0</v>
      </c>
      <c r="BU24" s="29" t="n">
        <v>0</v>
      </c>
      <c r="BV24" s="29" t="n">
        <v>42978.42911710204</v>
      </c>
      <c r="BW24" s="29" t="n">
        <v>0</v>
      </c>
      <c r="BX24" s="29">
        <f>SUM(BT24:BW24)</f>
        <v/>
      </c>
      <c r="BY24" s="29">
        <f>BS24+BX24</f>
        <v/>
      </c>
    </row>
    <row r="25">
      <c r="A25" s="30" t="inlineStr">
        <is>
          <t>1200</t>
        </is>
      </c>
      <c r="B25" s="30" t="inlineStr">
        <is>
          <t>Fabricação de produtos do fumo</t>
        </is>
      </c>
      <c r="C25" s="31" t="n">
        <v>0.1354532003441828</v>
      </c>
      <c r="D25" s="31" t="n">
        <v>0.05189250999533945</v>
      </c>
      <c r="E25" s="31" t="n">
        <v>0.007295321432798514</v>
      </c>
      <c r="F25" s="31" t="n">
        <v>0.01739022775453703</v>
      </c>
      <c r="G25" s="31" t="n">
        <v>0.5789862185398351</v>
      </c>
      <c r="H25" s="31" t="n">
        <v>0.6365944587600323</v>
      </c>
      <c r="I25" s="31" t="n">
        <v>0.1580195449129352</v>
      </c>
      <c r="J25" s="31" t="n">
        <v>1.447074019653598</v>
      </c>
      <c r="K25" s="31" t="n">
        <v>0.04477069027986036</v>
      </c>
      <c r="L25" s="31" t="n">
        <v>1.31486313687372</v>
      </c>
      <c r="M25" s="31" t="n">
        <v>0.2049868249197586</v>
      </c>
      <c r="N25" s="31" t="n">
        <v>1129.74438786178</v>
      </c>
      <c r="O25" s="31" t="n">
        <v>0.2217466008327514</v>
      </c>
      <c r="P25" s="31" t="n">
        <v>0.1788717242616268</v>
      </c>
      <c r="Q25" s="31" t="n">
        <v>0.2901442400001952</v>
      </c>
      <c r="R25" s="31" t="n">
        <v>0.2519808577225742</v>
      </c>
      <c r="S25" s="31" t="n">
        <v>2.439272222559397</v>
      </c>
      <c r="T25" s="31" t="n">
        <v>0.360066944388606</v>
      </c>
      <c r="U25" s="31" t="n">
        <v>0.07994261993916252</v>
      </c>
      <c r="V25" s="31" t="n">
        <v>0.05099056292801274</v>
      </c>
      <c r="W25" s="31" t="n">
        <v>0.2200294789775517</v>
      </c>
      <c r="X25" s="31" t="n">
        <v>0.1738897327587585</v>
      </c>
      <c r="Y25" s="31" t="n">
        <v>0.5449975115384285</v>
      </c>
      <c r="Z25" s="31" t="n">
        <v>0.6803592194021266</v>
      </c>
      <c r="AA25" s="31" t="n">
        <v>0.7373654929801059</v>
      </c>
      <c r="AB25" s="31" t="n">
        <v>0.6691721893941098</v>
      </c>
      <c r="AC25" s="31" t="n">
        <v>0.1558610414424269</v>
      </c>
      <c r="AD25" s="31" t="n">
        <v>0.1822236810373976</v>
      </c>
      <c r="AE25" s="31" t="n">
        <v>0.4832752496094628</v>
      </c>
      <c r="AF25" s="31" t="n">
        <v>0.4059233568039582</v>
      </c>
      <c r="AG25" s="31" t="n">
        <v>0.5111270711276843</v>
      </c>
      <c r="AH25" s="31" t="n">
        <v>4.078798713625766</v>
      </c>
      <c r="AI25" s="31" t="n">
        <v>0.7030706567706322</v>
      </c>
      <c r="AJ25" s="31" t="n">
        <v>0.3449102137899371</v>
      </c>
      <c r="AK25" s="31" t="n">
        <v>0.3059618194329837</v>
      </c>
      <c r="AL25" s="31" t="n">
        <v>0.3468541930647772</v>
      </c>
      <c r="AM25" s="31" t="n">
        <v>1.889850652877811</v>
      </c>
      <c r="AN25" s="31" t="n">
        <v>0.2352328330338289</v>
      </c>
      <c r="AO25" s="31" t="n">
        <v>0.05874143165479979</v>
      </c>
      <c r="AP25" s="31" t="n">
        <v>1.189388011923632</v>
      </c>
      <c r="AQ25" s="31" t="n">
        <v>0.3839406870608978</v>
      </c>
      <c r="AR25" s="31" t="n">
        <v>3.653287121712303</v>
      </c>
      <c r="AS25" s="31" t="n">
        <v>0.09409906030390879</v>
      </c>
      <c r="AT25" s="31" t="n">
        <v>0.0490996712333098</v>
      </c>
      <c r="AU25" s="31" t="n">
        <v>0.010249836615198</v>
      </c>
      <c r="AV25" s="31" t="n">
        <v>0.2207395624297611</v>
      </c>
      <c r="AW25" s="31" t="n">
        <v>0.09798897424905391</v>
      </c>
      <c r="AX25" s="31" t="n">
        <v>0.4956924512567931</v>
      </c>
      <c r="AY25" s="31" t="n">
        <v>0.3668761765211549</v>
      </c>
      <c r="AZ25" s="31" t="n">
        <v>0.08428128560038373</v>
      </c>
      <c r="BA25" s="31" t="n">
        <v>0.4733850520904408</v>
      </c>
      <c r="BB25" s="31" t="n">
        <v>0.2827929201205306</v>
      </c>
      <c r="BC25" s="31" t="n">
        <v>0.7145838081367495</v>
      </c>
      <c r="BD25" s="31" t="n">
        <v>0.1456876267936461</v>
      </c>
      <c r="BE25" s="31" t="n">
        <v>0.6565962928241864</v>
      </c>
      <c r="BF25" s="31" t="n">
        <v>1.090712746988522</v>
      </c>
      <c r="BG25" s="31" t="n">
        <v>0.177479004279198</v>
      </c>
      <c r="BH25" s="31" t="n">
        <v>0.2073855360282999</v>
      </c>
      <c r="BI25" s="31" t="n">
        <v>0.91364345876302</v>
      </c>
      <c r="BJ25" s="31" t="n">
        <v>0.02412653409226807</v>
      </c>
      <c r="BK25" s="31" t="n">
        <v>0.3285532822330201</v>
      </c>
      <c r="BL25" s="31" t="n">
        <v>0.2467090568882381</v>
      </c>
      <c r="BM25" s="31" t="n">
        <v>0.2744064467986447</v>
      </c>
      <c r="BN25" s="31" t="n">
        <v>0.07492317331310583</v>
      </c>
      <c r="BO25" s="31" t="n">
        <v>0.3084839274723485</v>
      </c>
      <c r="BP25" s="31" t="n">
        <v>0.1548559720270515</v>
      </c>
      <c r="BQ25" s="31" t="n">
        <v>0.2577592230382464</v>
      </c>
      <c r="BR25" s="31" t="n">
        <v>0</v>
      </c>
      <c r="BS25" s="31">
        <f>SUM(C25:BR25)</f>
        <v/>
      </c>
      <c r="BT25" s="31" t="n">
        <v>0</v>
      </c>
      <c r="BU25" s="31" t="n">
        <v>0</v>
      </c>
      <c r="BV25" s="31" t="n">
        <v>14466.89326643179</v>
      </c>
      <c r="BW25" s="31" t="n">
        <v>0</v>
      </c>
      <c r="BX25" s="31">
        <f>SUM(BT25:BW25)</f>
        <v/>
      </c>
      <c r="BY25" s="31">
        <f>BS25+BX25</f>
        <v/>
      </c>
    </row>
    <row r="26">
      <c r="A26" s="28" t="inlineStr">
        <is>
          <t>1300</t>
        </is>
      </c>
      <c r="B26" s="28" t="inlineStr">
        <is>
          <t>Fabricação de produtos têxteis</t>
        </is>
      </c>
      <c r="C26" s="29" t="n">
        <v>849.328020691489</v>
      </c>
      <c r="D26" s="29" t="n">
        <v>17.87841432316879</v>
      </c>
      <c r="E26" s="29" t="n">
        <v>2.384462005927067</v>
      </c>
      <c r="F26" s="29" t="n">
        <v>268.0447664583806</v>
      </c>
      <c r="G26" s="29" t="n">
        <v>183.5389288472745</v>
      </c>
      <c r="H26" s="29" t="n">
        <v>5.69722020347098</v>
      </c>
      <c r="I26" s="29" t="n">
        <v>11.53063165480181</v>
      </c>
      <c r="J26" s="29" t="n">
        <v>26.5732855313557</v>
      </c>
      <c r="K26" s="29" t="n">
        <v>137.9034114230778</v>
      </c>
      <c r="L26" s="29" t="n">
        <v>381.4262351461949</v>
      </c>
      <c r="M26" s="29" t="n">
        <v>23.18470434039254</v>
      </c>
      <c r="N26" s="29" t="n">
        <v>0.645608737424193</v>
      </c>
      <c r="O26" s="29" t="n">
        <v>13356.43616672318</v>
      </c>
      <c r="P26" s="29" t="n">
        <v>21925.70647184175</v>
      </c>
      <c r="Q26" s="29" t="n">
        <v>4691.255518021745</v>
      </c>
      <c r="R26" s="29" t="n">
        <v>19.56279177666199</v>
      </c>
      <c r="S26" s="29" t="n">
        <v>201.9379646650831</v>
      </c>
      <c r="T26" s="29" t="n">
        <v>8.327209828727321</v>
      </c>
      <c r="U26" s="29" t="n">
        <v>3.147742950840629</v>
      </c>
      <c r="V26" s="29" t="n">
        <v>1.912844344999447</v>
      </c>
      <c r="W26" s="29" t="n">
        <v>49.0518579678744</v>
      </c>
      <c r="X26" s="29" t="n">
        <v>102.4551435298197</v>
      </c>
      <c r="Y26" s="29" t="n">
        <v>38.28028332652642</v>
      </c>
      <c r="Z26" s="29" t="n">
        <v>142.969274911749</v>
      </c>
      <c r="AA26" s="29" t="n">
        <v>1095.090912956125</v>
      </c>
      <c r="AB26" s="29" t="n">
        <v>76.4750929160075</v>
      </c>
      <c r="AC26" s="29" t="n">
        <v>7.785179014383084</v>
      </c>
      <c r="AD26" s="29" t="n">
        <v>5.331440431185317</v>
      </c>
      <c r="AE26" s="29" t="n">
        <v>95.52522809547526</v>
      </c>
      <c r="AF26" s="29" t="n">
        <v>13.43802805298298</v>
      </c>
      <c r="AG26" s="29" t="n">
        <v>94.49600834241973</v>
      </c>
      <c r="AH26" s="29" t="n">
        <v>58.3555365607688</v>
      </c>
      <c r="AI26" s="29" t="n">
        <v>79.60927433420638</v>
      </c>
      <c r="AJ26" s="29" t="n">
        <v>1767.642806841381</v>
      </c>
      <c r="AK26" s="29" t="n">
        <v>163.771406555656</v>
      </c>
      <c r="AL26" s="29" t="n">
        <v>2101.402311763905</v>
      </c>
      <c r="AM26" s="29" t="n">
        <v>25.65789933681847</v>
      </c>
      <c r="AN26" s="29" t="n">
        <v>50.96190289109008</v>
      </c>
      <c r="AO26" s="29" t="n">
        <v>17.55021959572041</v>
      </c>
      <c r="AP26" s="29" t="n">
        <v>1078.696337366158</v>
      </c>
      <c r="AQ26" s="29" t="n">
        <v>33.58313289042134</v>
      </c>
      <c r="AR26" s="29" t="n">
        <v>289.3283891218389</v>
      </c>
      <c r="AS26" s="29" t="n">
        <v>79.42770014066596</v>
      </c>
      <c r="AT26" s="29" t="n">
        <v>18.43750165922304</v>
      </c>
      <c r="AU26" s="29" t="n">
        <v>3.374654108432628</v>
      </c>
      <c r="AV26" s="29" t="n">
        <v>8.231467019202251</v>
      </c>
      <c r="AW26" s="29" t="n">
        <v>430.7725308572696</v>
      </c>
      <c r="AX26" s="29" t="n">
        <v>276.21296854432</v>
      </c>
      <c r="AY26" s="29" t="n">
        <v>2.11539975540981</v>
      </c>
      <c r="AZ26" s="29" t="n">
        <v>9.86120766884634</v>
      </c>
      <c r="BA26" s="29" t="n">
        <v>7.250384806211384</v>
      </c>
      <c r="BB26" s="29" t="n">
        <v>4.228391811582301</v>
      </c>
      <c r="BC26" s="29" t="n">
        <v>22.39251257593072</v>
      </c>
      <c r="BD26" s="29" t="n">
        <v>7.86803807333749</v>
      </c>
      <c r="BE26" s="29" t="n">
        <v>15.53087519519854</v>
      </c>
      <c r="BF26" s="29" t="n">
        <v>11.89130552408205</v>
      </c>
      <c r="BG26" s="29" t="n">
        <v>6.920012997942791</v>
      </c>
      <c r="BH26" s="29" t="n">
        <v>6.844758673898616</v>
      </c>
      <c r="BI26" s="29" t="n">
        <v>27.8911436547818</v>
      </c>
      <c r="BJ26" s="29" t="n">
        <v>2.922521454099932</v>
      </c>
      <c r="BK26" s="29" t="n">
        <v>69.99751575222558</v>
      </c>
      <c r="BL26" s="29" t="n">
        <v>82.69761789639837</v>
      </c>
      <c r="BM26" s="29" t="n">
        <v>8.212653480706129</v>
      </c>
      <c r="BN26" s="29" t="n">
        <v>53.32647032342162</v>
      </c>
      <c r="BO26" s="29" t="n">
        <v>115.1729917458243</v>
      </c>
      <c r="BP26" s="29" t="n">
        <v>10.37385634536626</v>
      </c>
      <c r="BQ26" s="29" t="n">
        <v>1124.003042000418</v>
      </c>
      <c r="BR26" s="29" t="n">
        <v>0</v>
      </c>
      <c r="BS26" s="29">
        <f>SUM(C26:BR26)</f>
        <v/>
      </c>
      <c r="BT26" s="29" t="n">
        <v>0</v>
      </c>
      <c r="BU26" s="29" t="n">
        <v>0</v>
      </c>
      <c r="BV26" s="29" t="n">
        <v>16789.62121281197</v>
      </c>
      <c r="BW26" s="29" t="n">
        <v>0</v>
      </c>
      <c r="BX26" s="29">
        <f>SUM(BT26:BW26)</f>
        <v/>
      </c>
      <c r="BY26" s="29">
        <f>BS26+BX26</f>
        <v/>
      </c>
    </row>
    <row r="27">
      <c r="A27" s="30" t="inlineStr">
        <is>
          <t>1400</t>
        </is>
      </c>
      <c r="B27" s="30" t="inlineStr">
        <is>
          <t>Confecção de artefatos do vestuário e acessórios</t>
        </is>
      </c>
      <c r="C27" s="31" t="n">
        <v>9.112167302309194</v>
      </c>
      <c r="D27" s="31" t="n">
        <v>2.065608173107698</v>
      </c>
      <c r="E27" s="31" t="n">
        <v>14.68049087554721</v>
      </c>
      <c r="F27" s="31" t="n">
        <v>7.32114264111363</v>
      </c>
      <c r="G27" s="31" t="n">
        <v>156.3000623919762</v>
      </c>
      <c r="H27" s="31" t="n">
        <v>0.6315674042258815</v>
      </c>
      <c r="I27" s="31" t="n">
        <v>0.2116579751894171</v>
      </c>
      <c r="J27" s="31" t="n">
        <v>11.45867593357524</v>
      </c>
      <c r="K27" s="31" t="n">
        <v>1.289091721955621</v>
      </c>
      <c r="L27" s="31" t="n">
        <v>14.18447487934457</v>
      </c>
      <c r="M27" s="31" t="n">
        <v>0.6837267743266222</v>
      </c>
      <c r="N27" s="31" t="n">
        <v>0.0850183424800347</v>
      </c>
      <c r="O27" s="31" t="n">
        <v>99.73903691702481</v>
      </c>
      <c r="P27" s="31" t="n">
        <v>3538.173952816342</v>
      </c>
      <c r="Q27" s="31" t="n">
        <v>84.67829281493317</v>
      </c>
      <c r="R27" s="31" t="n">
        <v>0.1915967633611648</v>
      </c>
      <c r="S27" s="31" t="n">
        <v>2.160774235294131</v>
      </c>
      <c r="T27" s="31" t="n">
        <v>0.1706556453801354</v>
      </c>
      <c r="U27" s="31" t="n">
        <v>0.2427465060557945</v>
      </c>
      <c r="V27" s="31" t="n">
        <v>0.2092549450359034</v>
      </c>
      <c r="W27" s="31" t="n">
        <v>1.12903851343815</v>
      </c>
      <c r="X27" s="31" t="n">
        <v>11.81235226088681</v>
      </c>
      <c r="Y27" s="31" t="n">
        <v>0.419014991552234</v>
      </c>
      <c r="Z27" s="31" t="n">
        <v>1.899351705436006</v>
      </c>
      <c r="AA27" s="31" t="n">
        <v>6.221818552617473</v>
      </c>
      <c r="AB27" s="31" t="n">
        <v>24.18961432373924</v>
      </c>
      <c r="AC27" s="31" t="n">
        <v>7.439115974300064</v>
      </c>
      <c r="AD27" s="31" t="n">
        <v>0.2741992698467857</v>
      </c>
      <c r="AE27" s="31" t="n">
        <v>91.90394264972896</v>
      </c>
      <c r="AF27" s="31" t="n">
        <v>0.7106778595036412</v>
      </c>
      <c r="AG27" s="31" t="n">
        <v>2.938756179240983</v>
      </c>
      <c r="AH27" s="31" t="n">
        <v>9.157502388774427</v>
      </c>
      <c r="AI27" s="31" t="n">
        <v>2.878006097834332</v>
      </c>
      <c r="AJ27" s="31" t="n">
        <v>24.40908637123474</v>
      </c>
      <c r="AK27" s="31" t="n">
        <v>1.746594221567789</v>
      </c>
      <c r="AL27" s="31" t="n">
        <v>30.08314972857089</v>
      </c>
      <c r="AM27" s="31" t="n">
        <v>3.100776198793392</v>
      </c>
      <c r="AN27" s="31" t="n">
        <v>205.5011652451147</v>
      </c>
      <c r="AO27" s="31" t="n">
        <v>163.8293656809458</v>
      </c>
      <c r="AP27" s="31" t="n">
        <v>82.60199095418673</v>
      </c>
      <c r="AQ27" s="31" t="n">
        <v>2.637248172013045</v>
      </c>
      <c r="AR27" s="31" t="n">
        <v>611.9948329208262</v>
      </c>
      <c r="AS27" s="31" t="n">
        <v>304.7763057252732</v>
      </c>
      <c r="AT27" s="31" t="n">
        <v>12.40676969208</v>
      </c>
      <c r="AU27" s="31" t="n">
        <v>310.2559778518019</v>
      </c>
      <c r="AV27" s="31" t="n">
        <v>155.533431235723</v>
      </c>
      <c r="AW27" s="31" t="n">
        <v>157.4005092842187</v>
      </c>
      <c r="AX27" s="31" t="n">
        <v>312.466487314388</v>
      </c>
      <c r="AY27" s="31" t="n">
        <v>0.24829073939972</v>
      </c>
      <c r="AZ27" s="31" t="n">
        <v>210.9931486289116</v>
      </c>
      <c r="BA27" s="31" t="n">
        <v>79.86828878383693</v>
      </c>
      <c r="BB27" s="31" t="n">
        <v>1.358405723345787</v>
      </c>
      <c r="BC27" s="31" t="n">
        <v>1198.931103228157</v>
      </c>
      <c r="BD27" s="31" t="n">
        <v>65.80423448621116</v>
      </c>
      <c r="BE27" s="31" t="n">
        <v>16.49015569652728</v>
      </c>
      <c r="BF27" s="31" t="n">
        <v>291.8040987119524</v>
      </c>
      <c r="BG27" s="31" t="n">
        <v>54.86917408548157</v>
      </c>
      <c r="BH27" s="31" t="n">
        <v>4.100957100297799</v>
      </c>
      <c r="BI27" s="31" t="n">
        <v>237.1068764588391</v>
      </c>
      <c r="BJ27" s="31" t="n">
        <v>335.1084559384466</v>
      </c>
      <c r="BK27" s="31" t="n">
        <v>754.8277266897683</v>
      </c>
      <c r="BL27" s="31" t="n">
        <v>1006.892956902152</v>
      </c>
      <c r="BM27" s="31" t="n">
        <v>1.748130814282588</v>
      </c>
      <c r="BN27" s="31" t="n">
        <v>75.23372831405351</v>
      </c>
      <c r="BO27" s="31" t="n">
        <v>137.3154500266189</v>
      </c>
      <c r="BP27" s="31" t="n">
        <v>213.6151187030103</v>
      </c>
      <c r="BQ27" s="31" t="n">
        <v>1555.350599156107</v>
      </c>
      <c r="BR27" s="31" t="n">
        <v>0</v>
      </c>
      <c r="BS27" s="31">
        <f>SUM(C27:BR27)</f>
        <v/>
      </c>
      <c r="BT27" s="31" t="n">
        <v>0</v>
      </c>
      <c r="BU27" s="31" t="n">
        <v>0</v>
      </c>
      <c r="BV27" s="31" t="n">
        <v>55635.98910623023</v>
      </c>
      <c r="BW27" s="31" t="n">
        <v>0</v>
      </c>
      <c r="BX27" s="31">
        <f>SUM(BT27:BW27)</f>
        <v/>
      </c>
      <c r="BY27" s="31">
        <f>BS27+BX27</f>
        <v/>
      </c>
    </row>
    <row r="28">
      <c r="A28" s="28" t="inlineStr">
        <is>
          <t>1500</t>
        </is>
      </c>
      <c r="B28" s="28" t="inlineStr">
        <is>
          <t>Fabricação de calçados e de artefatos de couro</t>
        </is>
      </c>
      <c r="C28" s="29" t="n">
        <v>4.536443125331157</v>
      </c>
      <c r="D28" s="29" t="n">
        <v>6.049720335190373</v>
      </c>
      <c r="E28" s="29" t="n">
        <v>0.1564142028815458</v>
      </c>
      <c r="F28" s="29" t="n">
        <v>10.2415070219238</v>
      </c>
      <c r="G28" s="29" t="n">
        <v>13.68543937952689</v>
      </c>
      <c r="H28" s="29" t="n">
        <v>3.187106198798854</v>
      </c>
      <c r="I28" s="29" t="n">
        <v>1.206064729106587</v>
      </c>
      <c r="J28" s="29" t="n">
        <v>26.43426012694402</v>
      </c>
      <c r="K28" s="29" t="n">
        <v>0.9596780937782969</v>
      </c>
      <c r="L28" s="29" t="n">
        <v>35.21567425068764</v>
      </c>
      <c r="M28" s="29" t="n">
        <v>6.040038734869944</v>
      </c>
      <c r="N28" s="29" t="n">
        <v>0.1955071032405047</v>
      </c>
      <c r="O28" s="29" t="n">
        <v>16.19388602321128</v>
      </c>
      <c r="P28" s="29" t="n">
        <v>24.54788889279818</v>
      </c>
      <c r="Q28" s="29" t="n">
        <v>6969.460377157475</v>
      </c>
      <c r="R28" s="29" t="n">
        <v>3.273974207776417</v>
      </c>
      <c r="S28" s="29" t="n">
        <v>137.1660048603381</v>
      </c>
      <c r="T28" s="29" t="n">
        <v>3.961212232399668</v>
      </c>
      <c r="U28" s="29" t="n">
        <v>84.71759997555665</v>
      </c>
      <c r="V28" s="29" t="n">
        <v>4.88743537019889</v>
      </c>
      <c r="W28" s="29" t="n">
        <v>13.60362394115161</v>
      </c>
      <c r="X28" s="29" t="n">
        <v>24.27423196604122</v>
      </c>
      <c r="Y28" s="29" t="n">
        <v>18.64561256402221</v>
      </c>
      <c r="Z28" s="29" t="n">
        <v>10.68610379156303</v>
      </c>
      <c r="AA28" s="29" t="n">
        <v>45.94363123087992</v>
      </c>
      <c r="AB28" s="29" t="n">
        <v>7.480625614898762</v>
      </c>
      <c r="AC28" s="29" t="n">
        <v>4.329006431899007</v>
      </c>
      <c r="AD28" s="29" t="n">
        <v>1.255955824980125</v>
      </c>
      <c r="AE28" s="29" t="n">
        <v>52.7647038116076</v>
      </c>
      <c r="AF28" s="29" t="n">
        <v>2.555664433099754</v>
      </c>
      <c r="AG28" s="29" t="n">
        <v>8.310180381585411</v>
      </c>
      <c r="AH28" s="29" t="n">
        <v>10.85092727532565</v>
      </c>
      <c r="AI28" s="29" t="n">
        <v>61.64848910144295</v>
      </c>
      <c r="AJ28" s="29" t="n">
        <v>25.93626437019707</v>
      </c>
      <c r="AK28" s="29" t="n">
        <v>4.808604471604884</v>
      </c>
      <c r="AL28" s="29" t="n">
        <v>75.10407777302501</v>
      </c>
      <c r="AM28" s="29" t="n">
        <v>5.513114665967444</v>
      </c>
      <c r="AN28" s="29" t="n">
        <v>221.6563871766885</v>
      </c>
      <c r="AO28" s="29" t="n">
        <v>2.153740252404639</v>
      </c>
      <c r="AP28" s="29" t="n">
        <v>78.8076716734785</v>
      </c>
      <c r="AQ28" s="29" t="n">
        <v>18.72472225306689</v>
      </c>
      <c r="AR28" s="29" t="n">
        <v>36.00799018235644</v>
      </c>
      <c r="AS28" s="29" t="n">
        <v>32.37905337830384</v>
      </c>
      <c r="AT28" s="29" t="n">
        <v>0.2846499085266735</v>
      </c>
      <c r="AU28" s="29" t="n">
        <v>3.607859711079654</v>
      </c>
      <c r="AV28" s="29" t="n">
        <v>1.61377400829687</v>
      </c>
      <c r="AW28" s="29" t="n">
        <v>3.205600887654433</v>
      </c>
      <c r="AX28" s="29" t="n">
        <v>29.04934548434646</v>
      </c>
      <c r="AY28" s="29" t="n">
        <v>3.151292011893111</v>
      </c>
      <c r="AZ28" s="29" t="n">
        <v>42.5894865058418</v>
      </c>
      <c r="BA28" s="29" t="n">
        <v>3.381254414611728</v>
      </c>
      <c r="BB28" s="29" t="n">
        <v>5.864711011199351</v>
      </c>
      <c r="BC28" s="29" t="n">
        <v>7.380315192080475</v>
      </c>
      <c r="BD28" s="29" t="n">
        <v>1.515072496719543</v>
      </c>
      <c r="BE28" s="29" t="n">
        <v>2.971313982627585</v>
      </c>
      <c r="BF28" s="29" t="n">
        <v>5.519878824667208</v>
      </c>
      <c r="BG28" s="29" t="n">
        <v>6.272661384445502</v>
      </c>
      <c r="BH28" s="29" t="n">
        <v>2.899940606462441</v>
      </c>
      <c r="BI28" s="29" t="n">
        <v>10.3368475758127</v>
      </c>
      <c r="BJ28" s="29" t="n">
        <v>87.65585464336321</v>
      </c>
      <c r="BK28" s="29" t="n">
        <v>51.04290277083693</v>
      </c>
      <c r="BL28" s="29" t="n">
        <v>10.74545846292961</v>
      </c>
      <c r="BM28" s="29" t="n">
        <v>0.987764245919277</v>
      </c>
      <c r="BN28" s="29" t="n">
        <v>11.09616214111388</v>
      </c>
      <c r="BO28" s="29" t="n">
        <v>29.24014890978237</v>
      </c>
      <c r="BP28" s="29" t="n">
        <v>1.970724526092507</v>
      </c>
      <c r="BQ28" s="29" t="n">
        <v>8.448719569979891</v>
      </c>
      <c r="BR28" s="29" t="n">
        <v>0</v>
      </c>
      <c r="BS28" s="29">
        <f>SUM(C28:BR28)</f>
        <v/>
      </c>
      <c r="BT28" s="29" t="n">
        <v>0</v>
      </c>
      <c r="BU28" s="29" t="n">
        <v>0</v>
      </c>
      <c r="BV28" s="29" t="n">
        <v>35381.76031495392</v>
      </c>
      <c r="BW28" s="29" t="n">
        <v>0</v>
      </c>
      <c r="BX28" s="29">
        <f>SUM(BT28:BW28)</f>
        <v/>
      </c>
      <c r="BY28" s="29">
        <f>BS28+BX28</f>
        <v/>
      </c>
    </row>
    <row r="29">
      <c r="A29" s="30" t="inlineStr">
        <is>
          <t>1600</t>
        </is>
      </c>
      <c r="B29" s="30" t="inlineStr">
        <is>
          <t>Fabricação de produtos da madeira</t>
        </is>
      </c>
      <c r="C29" s="31" t="n">
        <v>605.6356903044788</v>
      </c>
      <c r="D29" s="31" t="n">
        <v>477.3565755554346</v>
      </c>
      <c r="E29" s="31" t="n">
        <v>30.3407990637027</v>
      </c>
      <c r="F29" s="31" t="n">
        <v>6.205423221136964</v>
      </c>
      <c r="G29" s="31" t="n">
        <v>2.918770552205696</v>
      </c>
      <c r="H29" s="31" t="n">
        <v>0.949631214342807</v>
      </c>
      <c r="I29" s="31" t="n">
        <v>0.4509108635556093</v>
      </c>
      <c r="J29" s="31" t="n">
        <v>61.36796201663356</v>
      </c>
      <c r="K29" s="31" t="n">
        <v>0.8416908995866953</v>
      </c>
      <c r="L29" s="31" t="n">
        <v>418.7044951897185</v>
      </c>
      <c r="M29" s="31" t="n">
        <v>128.8759115967617</v>
      </c>
      <c r="N29" s="31" t="n">
        <v>0.1155129893043819</v>
      </c>
      <c r="O29" s="31" t="n">
        <v>35.41689085380109</v>
      </c>
      <c r="P29" s="31" t="n">
        <v>2.156750004641915</v>
      </c>
      <c r="Q29" s="31" t="n">
        <v>1.091583692344914</v>
      </c>
      <c r="R29" s="31" t="n">
        <v>4339.187642311154</v>
      </c>
      <c r="S29" s="31" t="n">
        <v>561.6232101912281</v>
      </c>
      <c r="T29" s="31" t="n">
        <v>1.754233872774225</v>
      </c>
      <c r="U29" s="31" t="n">
        <v>1.340532298346703</v>
      </c>
      <c r="V29" s="31" t="n">
        <v>0.7864469573750393</v>
      </c>
      <c r="W29" s="31" t="n">
        <v>27.04253689767124</v>
      </c>
      <c r="X29" s="31" t="n">
        <v>56.56641828080328</v>
      </c>
      <c r="Y29" s="31" t="n">
        <v>4.001259961212103</v>
      </c>
      <c r="Z29" s="31" t="n">
        <v>2.063534507083586</v>
      </c>
      <c r="AA29" s="31" t="n">
        <v>25.73112631660008</v>
      </c>
      <c r="AB29" s="31" t="n">
        <v>55.05978036223079</v>
      </c>
      <c r="AC29" s="31" t="n">
        <v>91.70323543576572</v>
      </c>
      <c r="AD29" s="31" t="n">
        <v>4.422014122846959</v>
      </c>
      <c r="AE29" s="31" t="n">
        <v>301.6849399382575</v>
      </c>
      <c r="AF29" s="31" t="n">
        <v>3.28988062840823</v>
      </c>
      <c r="AG29" s="31" t="n">
        <v>9.843774475384251</v>
      </c>
      <c r="AH29" s="31" t="n">
        <v>407.5035049594472</v>
      </c>
      <c r="AI29" s="31" t="n">
        <v>170.5152652770295</v>
      </c>
      <c r="AJ29" s="31" t="n">
        <v>90.0798820184442</v>
      </c>
      <c r="AK29" s="31" t="n">
        <v>428.3864051049365</v>
      </c>
      <c r="AL29" s="31" t="n">
        <v>7429.446909878277</v>
      </c>
      <c r="AM29" s="31" t="n">
        <v>5.078462253262535</v>
      </c>
      <c r="AN29" s="31" t="n">
        <v>634.1824281398237</v>
      </c>
      <c r="AO29" s="31" t="n">
        <v>9.163221589945026</v>
      </c>
      <c r="AP29" s="31" t="n">
        <v>7407.925416155185</v>
      </c>
      <c r="AQ29" s="31" t="n">
        <v>15.47274426883242</v>
      </c>
      <c r="AR29" s="31" t="n">
        <v>3022.522027730453</v>
      </c>
      <c r="AS29" s="31" t="n">
        <v>4.25802978218199</v>
      </c>
      <c r="AT29" s="31" t="n">
        <v>0.3095241574350825</v>
      </c>
      <c r="AU29" s="31" t="n">
        <v>0.4730139369225477</v>
      </c>
      <c r="AV29" s="31" t="n">
        <v>117.7563813399594</v>
      </c>
      <c r="AW29" s="31" t="n">
        <v>4.433447109232747</v>
      </c>
      <c r="AX29" s="31" t="n">
        <v>19.35668912389573</v>
      </c>
      <c r="AY29" s="31" t="n">
        <v>1.000341789775821</v>
      </c>
      <c r="AZ29" s="31" t="n">
        <v>166.2418107780037</v>
      </c>
      <c r="BA29" s="31" t="n">
        <v>9.625662876356325</v>
      </c>
      <c r="BB29" s="31" t="n">
        <v>5.822248299941956</v>
      </c>
      <c r="BC29" s="31" t="n">
        <v>21.86732414430354</v>
      </c>
      <c r="BD29" s="31" t="n">
        <v>574.1553874901731</v>
      </c>
      <c r="BE29" s="31" t="n">
        <v>19.52960438153614</v>
      </c>
      <c r="BF29" s="31" t="n">
        <v>4.204766660675728</v>
      </c>
      <c r="BG29" s="31" t="n">
        <v>3.690985999307237</v>
      </c>
      <c r="BH29" s="31" t="n">
        <v>4.392163543683708</v>
      </c>
      <c r="BI29" s="31" t="n">
        <v>146.0599588437633</v>
      </c>
      <c r="BJ29" s="31" t="n">
        <v>0.9994922136317688</v>
      </c>
      <c r="BK29" s="31" t="n">
        <v>81.64651406241799</v>
      </c>
      <c r="BL29" s="31" t="n">
        <v>34.65759750280556</v>
      </c>
      <c r="BM29" s="31" t="n">
        <v>15.52267882571839</v>
      </c>
      <c r="BN29" s="31" t="n">
        <v>6.682107998511425</v>
      </c>
      <c r="BO29" s="31" t="n">
        <v>12.99145395544974</v>
      </c>
      <c r="BP29" s="31" t="n">
        <v>14.57450383868966</v>
      </c>
      <c r="BQ29" s="31" t="n">
        <v>270.1336547660225</v>
      </c>
      <c r="BR29" s="31" t="n">
        <v>0</v>
      </c>
      <c r="BS29" s="31">
        <f>SUM(C29:BR29)</f>
        <v/>
      </c>
      <c r="BT29" s="31" t="n">
        <v>0</v>
      </c>
      <c r="BU29" s="31" t="n">
        <v>0</v>
      </c>
      <c r="BV29" s="31" t="n">
        <v>6343.493723839407</v>
      </c>
      <c r="BW29" s="31" t="n">
        <v>0</v>
      </c>
      <c r="BX29" s="31">
        <f>SUM(BT29:BW29)</f>
        <v/>
      </c>
      <c r="BY29" s="31">
        <f>BS29+BX29</f>
        <v/>
      </c>
    </row>
    <row r="30">
      <c r="A30" s="28" t="inlineStr">
        <is>
          <t>1700</t>
        </is>
      </c>
      <c r="B30" s="28" t="inlineStr">
        <is>
          <t>Fabricação de celulose, papel e produtos de papel</t>
        </is>
      </c>
      <c r="C30" s="29" t="n">
        <v>573.4523749310162</v>
      </c>
      <c r="D30" s="29" t="n">
        <v>193.5525391890471</v>
      </c>
      <c r="E30" s="29" t="n">
        <v>24.00115401547661</v>
      </c>
      <c r="F30" s="29" t="n">
        <v>8.114098645862553</v>
      </c>
      <c r="G30" s="29" t="n">
        <v>86.82926351194814</v>
      </c>
      <c r="H30" s="29" t="n">
        <v>107.7977555405307</v>
      </c>
      <c r="I30" s="29" t="n">
        <v>34.27664332174274</v>
      </c>
      <c r="J30" s="29" t="n">
        <v>3714.855516692884</v>
      </c>
      <c r="K30" s="29" t="n">
        <v>24.30898691808455</v>
      </c>
      <c r="L30" s="29" t="n">
        <v>4119.031248876956</v>
      </c>
      <c r="M30" s="29" t="n">
        <v>312.6872103106724</v>
      </c>
      <c r="N30" s="29" t="n">
        <v>774.6333341308737</v>
      </c>
      <c r="O30" s="29" t="n">
        <v>738.9515230423355</v>
      </c>
      <c r="P30" s="29" t="n">
        <v>404.491341724075</v>
      </c>
      <c r="Q30" s="29" t="n">
        <v>801.1713834947845</v>
      </c>
      <c r="R30" s="29" t="n">
        <v>882.0764170839012</v>
      </c>
      <c r="S30" s="29" t="n">
        <v>14249.45002031</v>
      </c>
      <c r="T30" s="29" t="n">
        <v>1533.095567852962</v>
      </c>
      <c r="U30" s="29" t="n">
        <v>170.7417230459447</v>
      </c>
      <c r="V30" s="29" t="n">
        <v>63.02498070143747</v>
      </c>
      <c r="W30" s="29" t="n">
        <v>117.9888788047463</v>
      </c>
      <c r="X30" s="29" t="n">
        <v>237.87548794194</v>
      </c>
      <c r="Y30" s="29" t="n">
        <v>1829.729006743078</v>
      </c>
      <c r="Z30" s="29" t="n">
        <v>1100.323996741719</v>
      </c>
      <c r="AA30" s="29" t="n">
        <v>2477.533193542757</v>
      </c>
      <c r="AB30" s="29" t="n">
        <v>2316.822796199891</v>
      </c>
      <c r="AC30" s="29" t="n">
        <v>42.73404170981489</v>
      </c>
      <c r="AD30" s="29" t="n">
        <v>20.73460430855221</v>
      </c>
      <c r="AE30" s="29" t="n">
        <v>1542.038137449203</v>
      </c>
      <c r="AF30" s="29" t="n">
        <v>1139.971476999929</v>
      </c>
      <c r="AG30" s="29" t="n">
        <v>520.7731039935288</v>
      </c>
      <c r="AH30" s="29" t="n">
        <v>378.8551441448732</v>
      </c>
      <c r="AI30" s="29" t="n">
        <v>317.6431632237512</v>
      </c>
      <c r="AJ30" s="29" t="n">
        <v>733.5139327358331</v>
      </c>
      <c r="AK30" s="29" t="n">
        <v>94.27847572349648</v>
      </c>
      <c r="AL30" s="29" t="n">
        <v>1160.725202053794</v>
      </c>
      <c r="AM30" s="29" t="n">
        <v>113.8823824777814</v>
      </c>
      <c r="AN30" s="29" t="n">
        <v>107.0420430187611</v>
      </c>
      <c r="AO30" s="29" t="n">
        <v>72.03818101189876</v>
      </c>
      <c r="AP30" s="29" t="n">
        <v>671.3901291721068</v>
      </c>
      <c r="AQ30" s="29" t="n">
        <v>806.9356169409315</v>
      </c>
      <c r="AR30" s="29" t="n">
        <v>7143.932667348881</v>
      </c>
      <c r="AS30" s="29" t="n">
        <v>211.4154324439885</v>
      </c>
      <c r="AT30" s="29" t="n">
        <v>60.47258920993985</v>
      </c>
      <c r="AU30" s="29" t="n">
        <v>26.30753160319846</v>
      </c>
      <c r="AV30" s="29" t="n">
        <v>356.0939453757752</v>
      </c>
      <c r="AW30" s="29" t="n">
        <v>239.8734517649904</v>
      </c>
      <c r="AX30" s="29" t="n">
        <v>1417.321173264708</v>
      </c>
      <c r="AY30" s="29" t="n">
        <v>1415.508321048495</v>
      </c>
      <c r="AZ30" s="29" t="n">
        <v>140.51418174008</v>
      </c>
      <c r="BA30" s="29" t="n">
        <v>87.803801650994</v>
      </c>
      <c r="BB30" s="29" t="n">
        <v>460.511387265652</v>
      </c>
      <c r="BC30" s="29" t="n">
        <v>2141.481026215563</v>
      </c>
      <c r="BD30" s="29" t="n">
        <v>334.4868814160802</v>
      </c>
      <c r="BE30" s="29" t="n">
        <v>1945.198515476567</v>
      </c>
      <c r="BF30" s="29" t="n">
        <v>548.4503783635962</v>
      </c>
      <c r="BG30" s="29" t="n">
        <v>643.914980156022</v>
      </c>
      <c r="BH30" s="29" t="n">
        <v>527.1681249903472</v>
      </c>
      <c r="BI30" s="29" t="n">
        <v>2073.846831574901</v>
      </c>
      <c r="BJ30" s="29" t="n">
        <v>52.50420484332736</v>
      </c>
      <c r="BK30" s="29" t="n">
        <v>845.407998155519</v>
      </c>
      <c r="BL30" s="29" t="n">
        <v>956.6494926773147</v>
      </c>
      <c r="BM30" s="29" t="n">
        <v>535.9849158864358</v>
      </c>
      <c r="BN30" s="29" t="n">
        <v>160.2935572454851</v>
      </c>
      <c r="BO30" s="29" t="n">
        <v>1014.713674819185</v>
      </c>
      <c r="BP30" s="29" t="n">
        <v>79.75005278519943</v>
      </c>
      <c r="BQ30" s="29" t="n">
        <v>675.4685122381625</v>
      </c>
      <c r="BR30" s="29" t="n">
        <v>0</v>
      </c>
      <c r="BS30" s="29">
        <f>SUM(C30:BR30)</f>
        <v/>
      </c>
      <c r="BT30" s="29" t="n">
        <v>0</v>
      </c>
      <c r="BU30" s="29" t="n">
        <v>0</v>
      </c>
      <c r="BV30" s="29" t="n">
        <v>33311.14168348019</v>
      </c>
      <c r="BW30" s="29" t="n">
        <v>0</v>
      </c>
      <c r="BX30" s="29">
        <f>SUM(BT30:BW30)</f>
        <v/>
      </c>
      <c r="BY30" s="29">
        <f>BS30+BX30</f>
        <v/>
      </c>
    </row>
    <row r="31">
      <c r="A31" s="30" t="inlineStr">
        <is>
          <t>1800</t>
        </is>
      </c>
      <c r="B31" s="30" t="inlineStr">
        <is>
          <t>Impressão e reprodução de gravações</t>
        </is>
      </c>
      <c r="C31" s="31" t="n">
        <v>11.5928322747327</v>
      </c>
      <c r="D31" s="31" t="n">
        <v>1.772357030714478</v>
      </c>
      <c r="E31" s="31" t="n">
        <v>5.039176965357262</v>
      </c>
      <c r="F31" s="31" t="n">
        <v>0.3188730186367447</v>
      </c>
      <c r="G31" s="31" t="n">
        <v>9.962114537915168</v>
      </c>
      <c r="H31" s="31" t="n">
        <v>14.69944615344995</v>
      </c>
      <c r="I31" s="31" t="n">
        <v>7.046258405022845</v>
      </c>
      <c r="J31" s="31" t="n">
        <v>100.6006138818127</v>
      </c>
      <c r="K31" s="31" t="n">
        <v>15.97131643297358</v>
      </c>
      <c r="L31" s="31" t="n">
        <v>144.0805425699443</v>
      </c>
      <c r="M31" s="31" t="n">
        <v>342.822380343623</v>
      </c>
      <c r="N31" s="31" t="n">
        <v>5.97171611529761</v>
      </c>
      <c r="O31" s="31" t="n">
        <v>20.32728987574523</v>
      </c>
      <c r="P31" s="31" t="n">
        <v>36.69094221794217</v>
      </c>
      <c r="Q31" s="31" t="n">
        <v>15.69103317328802</v>
      </c>
      <c r="R31" s="31" t="n">
        <v>27.66384050450461</v>
      </c>
      <c r="S31" s="31" t="n">
        <v>260.8296618155961</v>
      </c>
      <c r="T31" s="31" t="n">
        <v>1724.482924493073</v>
      </c>
      <c r="U31" s="31" t="n">
        <v>9.717466832723673</v>
      </c>
      <c r="V31" s="31" t="n">
        <v>12.59546054688794</v>
      </c>
      <c r="W31" s="31" t="n">
        <v>4.866218181296606</v>
      </c>
      <c r="X31" s="31" t="n">
        <v>27.84664979921629</v>
      </c>
      <c r="Y31" s="31" t="n">
        <v>16.52784467118676</v>
      </c>
      <c r="Z31" s="31" t="n">
        <v>22.17609157570866</v>
      </c>
      <c r="AA31" s="31" t="n">
        <v>67.24979729734761</v>
      </c>
      <c r="AB31" s="31" t="n">
        <v>37.3639658877572</v>
      </c>
      <c r="AC31" s="31" t="n">
        <v>22.49967105282501</v>
      </c>
      <c r="AD31" s="31" t="n">
        <v>2.11741478882223</v>
      </c>
      <c r="AE31" s="31" t="n">
        <v>39.36852530798019</v>
      </c>
      <c r="AF31" s="31" t="n">
        <v>780.804242013854</v>
      </c>
      <c r="AG31" s="31" t="n">
        <v>44.46702700227701</v>
      </c>
      <c r="AH31" s="31" t="n">
        <v>44.82625672184328</v>
      </c>
      <c r="AI31" s="31" t="n">
        <v>35.4604293851926</v>
      </c>
      <c r="AJ31" s="31" t="n">
        <v>39.01350292524348</v>
      </c>
      <c r="AK31" s="31" t="n">
        <v>8.746634795623002</v>
      </c>
      <c r="AL31" s="31" t="n">
        <v>63.6539286093906</v>
      </c>
      <c r="AM31" s="31" t="n">
        <v>27.58082169006842</v>
      </c>
      <c r="AN31" s="31" t="n">
        <v>54.07068724219701</v>
      </c>
      <c r="AO31" s="31" t="n">
        <v>14.94883874840241</v>
      </c>
      <c r="AP31" s="31" t="n">
        <v>91.98883610282306</v>
      </c>
      <c r="AQ31" s="31" t="n">
        <v>154.1633247491037</v>
      </c>
      <c r="AR31" s="31" t="n">
        <v>9446.639508900927</v>
      </c>
      <c r="AS31" s="31" t="n">
        <v>77.34077206999203</v>
      </c>
      <c r="AT31" s="31" t="n">
        <v>2.852813827416382</v>
      </c>
      <c r="AU31" s="31" t="n">
        <v>61.10239356077397</v>
      </c>
      <c r="AV31" s="31" t="n">
        <v>93.96392756383483</v>
      </c>
      <c r="AW31" s="31" t="n">
        <v>10.6006199587376</v>
      </c>
      <c r="AX31" s="31" t="n">
        <v>106.6894200916315</v>
      </c>
      <c r="AY31" s="31" t="n">
        <v>2708.9203634822</v>
      </c>
      <c r="AZ31" s="31" t="n">
        <v>412.9097561287645</v>
      </c>
      <c r="BA31" s="31" t="n">
        <v>1070.518266800718</v>
      </c>
      <c r="BB31" s="31" t="n">
        <v>1015.898987746522</v>
      </c>
      <c r="BC31" s="31" t="n">
        <v>2456.093446347619</v>
      </c>
      <c r="BD31" s="31" t="n">
        <v>436.5124498637285</v>
      </c>
      <c r="BE31" s="31" t="n">
        <v>785.7652751645228</v>
      </c>
      <c r="BF31" s="31" t="n">
        <v>397.2537077508367</v>
      </c>
      <c r="BG31" s="31" t="n">
        <v>4746.044798121167</v>
      </c>
      <c r="BH31" s="31" t="n">
        <v>92.41745072170451</v>
      </c>
      <c r="BI31" s="31" t="n">
        <v>1694.134646303511</v>
      </c>
      <c r="BJ31" s="31" t="n">
        <v>3.922278038719878</v>
      </c>
      <c r="BK31" s="31" t="n">
        <v>1549.589067349267</v>
      </c>
      <c r="BL31" s="31" t="n">
        <v>390.8490327012523</v>
      </c>
      <c r="BM31" s="31" t="n">
        <v>40.76842219293261</v>
      </c>
      <c r="BN31" s="31" t="n">
        <v>200.6104117405656</v>
      </c>
      <c r="BO31" s="31" t="n">
        <v>199.1852907190685</v>
      </c>
      <c r="BP31" s="31" t="n">
        <v>484.9018015188246</v>
      </c>
      <c r="BQ31" s="31" t="n">
        <v>601.4875755492307</v>
      </c>
      <c r="BR31" s="31" t="n">
        <v>0</v>
      </c>
      <c r="BS31" s="31">
        <f>SUM(C31:BR31)</f>
        <v/>
      </c>
      <c r="BT31" s="31" t="n">
        <v>0</v>
      </c>
      <c r="BU31" s="31" t="n">
        <v>0</v>
      </c>
      <c r="BV31" s="31" t="n">
        <v>1030.52242830153</v>
      </c>
      <c r="BW31" s="31" t="n">
        <v>0</v>
      </c>
      <c r="BX31" s="31">
        <f>SUM(BT31:BW31)</f>
        <v/>
      </c>
      <c r="BY31" s="31">
        <f>BS31+BX31</f>
        <v/>
      </c>
    </row>
    <row r="32">
      <c r="A32" s="28" t="inlineStr">
        <is>
          <t>1991</t>
        </is>
      </c>
      <c r="B32" s="28" t="inlineStr">
        <is>
          <t>Refino de petróleo e coquerias</t>
        </is>
      </c>
      <c r="C32" s="29" t="n">
        <v>12518.40666248614</v>
      </c>
      <c r="D32" s="29" t="n">
        <v>4896.482884126779</v>
      </c>
      <c r="E32" s="29" t="n">
        <v>682.6013050561093</v>
      </c>
      <c r="F32" s="29" t="n">
        <v>1223.496323324188</v>
      </c>
      <c r="G32" s="29" t="n">
        <v>3712.138790964043</v>
      </c>
      <c r="H32" s="29" t="n">
        <v>3503.685363070123</v>
      </c>
      <c r="I32" s="29" t="n">
        <v>1630.513665841093</v>
      </c>
      <c r="J32" s="29" t="n">
        <v>3340.394128419556</v>
      </c>
      <c r="K32" s="29" t="n">
        <v>1205.701641658077</v>
      </c>
      <c r="L32" s="29" t="n">
        <v>4078.064533076526</v>
      </c>
      <c r="M32" s="29" t="n">
        <v>853.7015631535211</v>
      </c>
      <c r="N32" s="29" t="n">
        <v>23.89910309651609</v>
      </c>
      <c r="O32" s="29" t="n">
        <v>290.948006821732</v>
      </c>
      <c r="P32" s="29" t="n">
        <v>124.8206282618398</v>
      </c>
      <c r="Q32" s="29" t="n">
        <v>265.1056438744816</v>
      </c>
      <c r="R32" s="29" t="n">
        <v>298.447419952991</v>
      </c>
      <c r="S32" s="29" t="n">
        <v>1909.456588877466</v>
      </c>
      <c r="T32" s="29" t="n">
        <v>31.11238844775542</v>
      </c>
      <c r="U32" s="29" t="n">
        <v>162113.4319824121</v>
      </c>
      <c r="V32" s="29" t="n">
        <v>1150.915301681728</v>
      </c>
      <c r="W32" s="29" t="n">
        <v>19234.09176995642</v>
      </c>
      <c r="X32" s="29" t="n">
        <v>1395.694420171571</v>
      </c>
      <c r="Y32" s="29" t="n">
        <v>639.1901568735875</v>
      </c>
      <c r="Z32" s="29" t="n">
        <v>219.8525684563666</v>
      </c>
      <c r="AA32" s="29" t="n">
        <v>2050.862837056722</v>
      </c>
      <c r="AB32" s="29" t="n">
        <v>5019.390908495923</v>
      </c>
      <c r="AC32" s="29" t="n">
        <v>3673.046473628072</v>
      </c>
      <c r="AD32" s="29" t="n">
        <v>2041.926551354579</v>
      </c>
      <c r="AE32" s="29" t="n">
        <v>506.3763527567954</v>
      </c>
      <c r="AF32" s="29" t="n">
        <v>221.4413780733103</v>
      </c>
      <c r="AG32" s="29" t="n">
        <v>998.958953302893</v>
      </c>
      <c r="AH32" s="29" t="n">
        <v>603.0976057097158</v>
      </c>
      <c r="AI32" s="29" t="n">
        <v>1124.064182556685</v>
      </c>
      <c r="AJ32" s="29" t="n">
        <v>444.1544135124642</v>
      </c>
      <c r="AK32" s="29" t="n">
        <v>196.9905297852013</v>
      </c>
      <c r="AL32" s="29" t="n">
        <v>356.4051847234592</v>
      </c>
      <c r="AM32" s="29" t="n">
        <v>419.1688618221102</v>
      </c>
      <c r="AN32" s="29" t="n">
        <v>7924.565166885755</v>
      </c>
      <c r="AO32" s="29" t="n">
        <v>1073.289876876217</v>
      </c>
      <c r="AP32" s="29" t="n">
        <v>10863.14860532504</v>
      </c>
      <c r="AQ32" s="29" t="n">
        <v>1310.567406380632</v>
      </c>
      <c r="AR32" s="29" t="n">
        <v>18537.93149578936</v>
      </c>
      <c r="AS32" s="29" t="n">
        <v>77614.56843632595</v>
      </c>
      <c r="AT32" s="29" t="n">
        <v>1629.281431555165</v>
      </c>
      <c r="AU32" s="29" t="n">
        <v>12818.16051962493</v>
      </c>
      <c r="AV32" s="29" t="n">
        <v>2090.269071245706</v>
      </c>
      <c r="AW32" s="29" t="n">
        <v>115.6787718441275</v>
      </c>
      <c r="AX32" s="29" t="n">
        <v>2161.879414855495</v>
      </c>
      <c r="AY32" s="29" t="n">
        <v>51.44934319930782</v>
      </c>
      <c r="AZ32" s="29" t="n">
        <v>92.48395951292467</v>
      </c>
      <c r="BA32" s="29" t="n">
        <v>165.3690114576391</v>
      </c>
      <c r="BB32" s="29" t="n">
        <v>234.012290443357</v>
      </c>
      <c r="BC32" s="29" t="n">
        <v>1046.083897430308</v>
      </c>
      <c r="BD32" s="29" t="n">
        <v>148.5263044092937</v>
      </c>
      <c r="BE32" s="29" t="n">
        <v>891.5566389205899</v>
      </c>
      <c r="BF32" s="29" t="n">
        <v>722.9757647947199</v>
      </c>
      <c r="BG32" s="29" t="n">
        <v>176.4794852580317</v>
      </c>
      <c r="BH32" s="29" t="n">
        <v>983.3391159306191</v>
      </c>
      <c r="BI32" s="29" t="n">
        <v>807.121230858575</v>
      </c>
      <c r="BJ32" s="29" t="n">
        <v>519.3400479585996</v>
      </c>
      <c r="BK32" s="29" t="n">
        <v>2634.673703788004</v>
      </c>
      <c r="BL32" s="29" t="n">
        <v>505.2520117124408</v>
      </c>
      <c r="BM32" s="29" t="n">
        <v>149.4633310912892</v>
      </c>
      <c r="BN32" s="29" t="n">
        <v>112.0591525115205</v>
      </c>
      <c r="BO32" s="29" t="n">
        <v>458.6659953182275</v>
      </c>
      <c r="BP32" s="29" t="n">
        <v>199.0300140740807</v>
      </c>
      <c r="BQ32" s="29" t="n">
        <v>825.437035083805</v>
      </c>
      <c r="BR32" s="29" t="n">
        <v>0</v>
      </c>
      <c r="BS32" s="29">
        <f>SUM(C32:BR32)</f>
        <v/>
      </c>
      <c r="BT32" s="29" t="n">
        <v>0</v>
      </c>
      <c r="BU32" s="29" t="n">
        <v>0</v>
      </c>
      <c r="BV32" s="29" t="n">
        <v>103354.4779396748</v>
      </c>
      <c r="BW32" s="29" t="n">
        <v>0</v>
      </c>
      <c r="BX32" s="29">
        <f>SUM(BT32:BW32)</f>
        <v/>
      </c>
      <c r="BY32" s="29">
        <f>BS32+BX32</f>
        <v/>
      </c>
    </row>
    <row r="33">
      <c r="A33" s="30" t="inlineStr">
        <is>
          <t>1992</t>
        </is>
      </c>
      <c r="B33" s="30" t="inlineStr">
        <is>
          <t>Fabricação de biocombustíveis</t>
        </is>
      </c>
      <c r="C33" s="31" t="n">
        <v>107.8304500314397</v>
      </c>
      <c r="D33" s="31" t="n">
        <v>135.086993440195</v>
      </c>
      <c r="E33" s="31" t="n">
        <v>4.490775004782344</v>
      </c>
      <c r="F33" s="31" t="n">
        <v>3.16251353302489</v>
      </c>
      <c r="G33" s="31" t="n">
        <v>556.0909777408153</v>
      </c>
      <c r="H33" s="31" t="n">
        <v>3.814200717840494</v>
      </c>
      <c r="I33" s="31" t="n">
        <v>1.206633105672788</v>
      </c>
      <c r="J33" s="31" t="n">
        <v>174.2446176197766</v>
      </c>
      <c r="K33" s="31" t="n">
        <v>362.402902585224</v>
      </c>
      <c r="L33" s="31" t="n">
        <v>1256.796504322066</v>
      </c>
      <c r="M33" s="31" t="n">
        <v>286.5637971854399</v>
      </c>
      <c r="N33" s="31" t="n">
        <v>0.01877745661632907</v>
      </c>
      <c r="O33" s="31" t="n">
        <v>0.7240436982675889</v>
      </c>
      <c r="P33" s="31" t="n">
        <v>0.3494095833429125</v>
      </c>
      <c r="Q33" s="31" t="n">
        <v>0.3962536435642584</v>
      </c>
      <c r="R33" s="31" t="n">
        <v>7.506620311238962</v>
      </c>
      <c r="S33" s="31" t="n">
        <v>1.813661577876548</v>
      </c>
      <c r="T33" s="31" t="n">
        <v>0.02807141983157899</v>
      </c>
      <c r="U33" s="31" t="n">
        <v>17656.98913857252</v>
      </c>
      <c r="V33" s="31" t="n">
        <v>483.9447445810873</v>
      </c>
      <c r="W33" s="31" t="n">
        <v>281.7264389137667</v>
      </c>
      <c r="X33" s="31" t="n">
        <v>347.8627801726859</v>
      </c>
      <c r="Y33" s="31" t="n">
        <v>1172.259303459668</v>
      </c>
      <c r="Z33" s="31" t="n">
        <v>740.0210083934636</v>
      </c>
      <c r="AA33" s="31" t="n">
        <v>1.327395123699107</v>
      </c>
      <c r="AB33" s="31" t="n">
        <v>0.2608599655513455</v>
      </c>
      <c r="AC33" s="31" t="n">
        <v>0.4369457142833173</v>
      </c>
      <c r="AD33" s="31" t="n">
        <v>0.2729447597182965</v>
      </c>
      <c r="AE33" s="31" t="n">
        <v>37.36016079239792</v>
      </c>
      <c r="AF33" s="31" t="n">
        <v>0.2932057219194334</v>
      </c>
      <c r="AG33" s="31" t="n">
        <v>2.8804279958751</v>
      </c>
      <c r="AH33" s="31" t="n">
        <v>29.01421752130015</v>
      </c>
      <c r="AI33" s="31" t="n">
        <v>12.8082982843787</v>
      </c>
      <c r="AJ33" s="31" t="n">
        <v>0.7629347514688301</v>
      </c>
      <c r="AK33" s="31" t="n">
        <v>1.768248169894474</v>
      </c>
      <c r="AL33" s="31" t="n">
        <v>2.147773054835554</v>
      </c>
      <c r="AM33" s="31" t="n">
        <v>14.28691210433064</v>
      </c>
      <c r="AN33" s="31" t="n">
        <v>5.494949635914733</v>
      </c>
      <c r="AO33" s="31" t="n">
        <v>2.847324391416558</v>
      </c>
      <c r="AP33" s="31" t="n">
        <v>360.3360893423257</v>
      </c>
      <c r="AQ33" s="31" t="n">
        <v>149.4577828156808</v>
      </c>
      <c r="AR33" s="31" t="n">
        <v>296.1362432402375</v>
      </c>
      <c r="AS33" s="31" t="n">
        <v>670.2731313691629</v>
      </c>
      <c r="AT33" s="31" t="n">
        <v>0.2952616048100131</v>
      </c>
      <c r="AU33" s="31" t="n">
        <v>7.389851484171963</v>
      </c>
      <c r="AV33" s="31" t="n">
        <v>47.40649448977678</v>
      </c>
      <c r="AW33" s="31" t="n">
        <v>2.083695410026111</v>
      </c>
      <c r="AX33" s="31" t="n">
        <v>278.6885734236116</v>
      </c>
      <c r="AY33" s="31" t="n">
        <v>0.1564810174358017</v>
      </c>
      <c r="AZ33" s="31" t="n">
        <v>0.9301069831139921</v>
      </c>
      <c r="BA33" s="31" t="n">
        <v>10.79356409819219</v>
      </c>
      <c r="BB33" s="31" t="n">
        <v>8.620972062250884</v>
      </c>
      <c r="BC33" s="31" t="n">
        <v>48.27322463395918</v>
      </c>
      <c r="BD33" s="31" t="n">
        <v>0.8514157669586473</v>
      </c>
      <c r="BE33" s="31" t="n">
        <v>48.48850255900072</v>
      </c>
      <c r="BF33" s="31" t="n">
        <v>86.39127034090579</v>
      </c>
      <c r="BG33" s="31" t="n">
        <v>25.39061377122538</v>
      </c>
      <c r="BH33" s="31" t="n">
        <v>39.12134716272299</v>
      </c>
      <c r="BI33" s="31" t="n">
        <v>37.48314089273234</v>
      </c>
      <c r="BJ33" s="31" t="n">
        <v>66.60025203711164</v>
      </c>
      <c r="BK33" s="31" t="n">
        <v>524.2422066012211</v>
      </c>
      <c r="BL33" s="31" t="n">
        <v>111.0782912168712</v>
      </c>
      <c r="BM33" s="31" t="n">
        <v>3.906322809630172</v>
      </c>
      <c r="BN33" s="31" t="n">
        <v>32.7329645028876</v>
      </c>
      <c r="BO33" s="31" t="n">
        <v>62.50627426436425</v>
      </c>
      <c r="BP33" s="31" t="n">
        <v>2.107681396747914</v>
      </c>
      <c r="BQ33" s="31" t="n">
        <v>117.1867891133284</v>
      </c>
      <c r="BR33" s="31" t="n">
        <v>0</v>
      </c>
      <c r="BS33" s="31">
        <f>SUM(C33:BR33)</f>
        <v/>
      </c>
      <c r="BT33" s="31" t="n">
        <v>0</v>
      </c>
      <c r="BU33" s="31" t="n">
        <v>0</v>
      </c>
      <c r="BV33" s="31" t="n">
        <v>23818.57369437851</v>
      </c>
      <c r="BW33" s="31" t="n">
        <v>0</v>
      </c>
      <c r="BX33" s="31">
        <f>SUM(BT33:BW33)</f>
        <v/>
      </c>
      <c r="BY33" s="31">
        <f>BS33+BX33</f>
        <v/>
      </c>
    </row>
    <row r="34">
      <c r="A34" s="28" t="inlineStr">
        <is>
          <t>2091</t>
        </is>
      </c>
      <c r="B34" s="28" t="inlineStr">
        <is>
          <t>Fabricação de químicos orgânicos e inorgânicos, resinas e elastômeros</t>
        </is>
      </c>
      <c r="C34" s="29" t="n">
        <v>52448.06955500934</v>
      </c>
      <c r="D34" s="29" t="n">
        <v>5858.804294215828</v>
      </c>
      <c r="E34" s="29" t="n">
        <v>416.753566998068</v>
      </c>
      <c r="F34" s="29" t="n">
        <v>425.0565884431246</v>
      </c>
      <c r="G34" s="29" t="n">
        <v>5945.142064722171</v>
      </c>
      <c r="H34" s="29" t="n">
        <v>370.6626538561094</v>
      </c>
      <c r="I34" s="29" t="n">
        <v>286.5078516000781</v>
      </c>
      <c r="J34" s="29" t="n">
        <v>753.0009438313539</v>
      </c>
      <c r="K34" s="29" t="n">
        <v>366.9588869131078</v>
      </c>
      <c r="L34" s="29" t="n">
        <v>1831.773263667756</v>
      </c>
      <c r="M34" s="29" t="n">
        <v>208.4395881134421</v>
      </c>
      <c r="N34" s="29" t="n">
        <v>27.18179553674448</v>
      </c>
      <c r="O34" s="29" t="n">
        <v>6184.891186231967</v>
      </c>
      <c r="P34" s="29" t="n">
        <v>281.5572305987125</v>
      </c>
      <c r="Q34" s="29" t="n">
        <v>2621.035387758365</v>
      </c>
      <c r="R34" s="29" t="n">
        <v>805.4644387580299</v>
      </c>
      <c r="S34" s="29" t="n">
        <v>7150.73514749639</v>
      </c>
      <c r="T34" s="29" t="n">
        <v>122.8907125403588</v>
      </c>
      <c r="U34" s="29" t="n">
        <v>2503.00597996983</v>
      </c>
      <c r="V34" s="29" t="n">
        <v>1136.16305935435</v>
      </c>
      <c r="W34" s="29" t="n">
        <v>58535.25067428937</v>
      </c>
      <c r="X34" s="29" t="n">
        <v>22442.94145004299</v>
      </c>
      <c r="Y34" s="29" t="n">
        <v>7634.066687772402</v>
      </c>
      <c r="Z34" s="29" t="n">
        <v>3228.207302573927</v>
      </c>
      <c r="AA34" s="29" t="n">
        <v>24295.71647262348</v>
      </c>
      <c r="AB34" s="29" t="n">
        <v>4602.553593521414</v>
      </c>
      <c r="AC34" s="29" t="n">
        <v>1517.878539058755</v>
      </c>
      <c r="AD34" s="29" t="n">
        <v>1751.51914298761</v>
      </c>
      <c r="AE34" s="29" t="n">
        <v>2308.322572356924</v>
      </c>
      <c r="AF34" s="29" t="n">
        <v>252.2241376687305</v>
      </c>
      <c r="AG34" s="29" t="n">
        <v>4269.524408351638</v>
      </c>
      <c r="AH34" s="29" t="n">
        <v>412.3627885412697</v>
      </c>
      <c r="AI34" s="29" t="n">
        <v>206.7527155341394</v>
      </c>
      <c r="AJ34" s="29" t="n">
        <v>1597.970936145396</v>
      </c>
      <c r="AK34" s="29" t="n">
        <v>818.6611111202917</v>
      </c>
      <c r="AL34" s="29" t="n">
        <v>3003.363020961772</v>
      </c>
      <c r="AM34" s="29" t="n">
        <v>361.8223842542289</v>
      </c>
      <c r="AN34" s="29" t="n">
        <v>340.4437128710001</v>
      </c>
      <c r="AO34" s="29" t="n">
        <v>1370.379071411384</v>
      </c>
      <c r="AP34" s="29" t="n">
        <v>727.9623391146774</v>
      </c>
      <c r="AQ34" s="29" t="n">
        <v>93.57835666798348</v>
      </c>
      <c r="AR34" s="29" t="n">
        <v>1654.115440715647</v>
      </c>
      <c r="AS34" s="29" t="n">
        <v>98.58558734218272</v>
      </c>
      <c r="AT34" s="29" t="n">
        <v>3.239303229870711</v>
      </c>
      <c r="AU34" s="29" t="n">
        <v>2.077950231253163</v>
      </c>
      <c r="AV34" s="29" t="n">
        <v>43.68266366913436</v>
      </c>
      <c r="AW34" s="29" t="n">
        <v>25.27984014148486</v>
      </c>
      <c r="AX34" s="29" t="n">
        <v>113.8294943758713</v>
      </c>
      <c r="AY34" s="29" t="n">
        <v>7.674904126484277</v>
      </c>
      <c r="AZ34" s="29" t="n">
        <v>10.57261405658478</v>
      </c>
      <c r="BA34" s="29" t="n">
        <v>40.19229635076782</v>
      </c>
      <c r="BB34" s="29" t="n">
        <v>20.05973058926</v>
      </c>
      <c r="BC34" s="29" t="n">
        <v>77.0158812267658</v>
      </c>
      <c r="BD34" s="29" t="n">
        <v>64.69622706994241</v>
      </c>
      <c r="BE34" s="29" t="n">
        <v>76.15720717839842</v>
      </c>
      <c r="BF34" s="29" t="n">
        <v>78.80831685505515</v>
      </c>
      <c r="BG34" s="29" t="n">
        <v>26.939443855705</v>
      </c>
      <c r="BH34" s="29" t="n">
        <v>21.62435735864601</v>
      </c>
      <c r="BI34" s="29" t="n">
        <v>134.9540576368438</v>
      </c>
      <c r="BJ34" s="29" t="n">
        <v>3.310671590982102</v>
      </c>
      <c r="BK34" s="29" t="n">
        <v>90.0177497862926</v>
      </c>
      <c r="BL34" s="29" t="n">
        <v>132.4812239715472</v>
      </c>
      <c r="BM34" s="29" t="n">
        <v>56.32470024478412</v>
      </c>
      <c r="BN34" s="29" t="n">
        <v>482.4398695369139</v>
      </c>
      <c r="BO34" s="29" t="n">
        <v>1155.447411075108</v>
      </c>
      <c r="BP34" s="29" t="n">
        <v>55.09559033421009</v>
      </c>
      <c r="BQ34" s="29" t="n">
        <v>614.7629348596374</v>
      </c>
      <c r="BR34" s="29" t="n">
        <v>0</v>
      </c>
      <c r="BS34" s="29">
        <f>SUM(C34:BR34)</f>
        <v/>
      </c>
      <c r="BT34" s="29" t="n">
        <v>0</v>
      </c>
      <c r="BU34" s="29" t="n">
        <v>0</v>
      </c>
      <c r="BV34" s="29" t="n">
        <v>15302.54660118125</v>
      </c>
      <c r="BW34" s="29" t="n">
        <v>0</v>
      </c>
      <c r="BX34" s="29">
        <f>SUM(BT34:BW34)</f>
        <v/>
      </c>
      <c r="BY34" s="29">
        <f>BS34+BX34</f>
        <v/>
      </c>
    </row>
    <row r="35">
      <c r="A35" s="30" t="inlineStr">
        <is>
          <t>2092</t>
        </is>
      </c>
      <c r="B35" s="30" t="inlineStr">
        <is>
          <t>Fabricação de defensivos, desinfestantes, tintas e químicos diversos</t>
        </is>
      </c>
      <c r="C35" s="31" t="n">
        <v>35537.16438550873</v>
      </c>
      <c r="D35" s="31" t="n">
        <v>4106.900932926784</v>
      </c>
      <c r="E35" s="31" t="n">
        <v>135.4121876084852</v>
      </c>
      <c r="F35" s="31" t="n">
        <v>2587.94358692805</v>
      </c>
      <c r="G35" s="31" t="n">
        <v>679.3569056559854</v>
      </c>
      <c r="H35" s="31" t="n">
        <v>283.2207330407398</v>
      </c>
      <c r="I35" s="31" t="n">
        <v>213.1050216967323</v>
      </c>
      <c r="J35" s="31" t="n">
        <v>1304.421319795362</v>
      </c>
      <c r="K35" s="31" t="n">
        <v>62.16108203461733</v>
      </c>
      <c r="L35" s="31" t="n">
        <v>3533.068985805744</v>
      </c>
      <c r="M35" s="31" t="n">
        <v>191.5486824203674</v>
      </c>
      <c r="N35" s="31" t="n">
        <v>8.570682996923384</v>
      </c>
      <c r="O35" s="31" t="n">
        <v>639.5361574630444</v>
      </c>
      <c r="P35" s="31" t="n">
        <v>73.37197136898511</v>
      </c>
      <c r="Q35" s="31" t="n">
        <v>397.7154318540206</v>
      </c>
      <c r="R35" s="31" t="n">
        <v>924.4650883270912</v>
      </c>
      <c r="S35" s="31" t="n">
        <v>2469.055399227503</v>
      </c>
      <c r="T35" s="31" t="n">
        <v>1296.145622333472</v>
      </c>
      <c r="U35" s="31" t="n">
        <v>834.7841583472919</v>
      </c>
      <c r="V35" s="31" t="n">
        <v>249.0999786208553</v>
      </c>
      <c r="W35" s="31" t="n">
        <v>3144.279599772648</v>
      </c>
      <c r="X35" s="31" t="n">
        <v>13246.79755991902</v>
      </c>
      <c r="Y35" s="31" t="n">
        <v>2713.170557741841</v>
      </c>
      <c r="Z35" s="31" t="n">
        <v>1344.424931278162</v>
      </c>
      <c r="AA35" s="31" t="n">
        <v>4808.13171437193</v>
      </c>
      <c r="AB35" s="31" t="n">
        <v>1778.79613608566</v>
      </c>
      <c r="AC35" s="31" t="n">
        <v>580.5714477898696</v>
      </c>
      <c r="AD35" s="31" t="n">
        <v>139.5461488863611</v>
      </c>
      <c r="AE35" s="31" t="n">
        <v>1090.149004844784</v>
      </c>
      <c r="AF35" s="31" t="n">
        <v>473.3176690142441</v>
      </c>
      <c r="AG35" s="31" t="n">
        <v>459.5468785663879</v>
      </c>
      <c r="AH35" s="31" t="n">
        <v>384.1089107180035</v>
      </c>
      <c r="AI35" s="31" t="n">
        <v>746.5014115149676</v>
      </c>
      <c r="AJ35" s="31" t="n">
        <v>354.4481491277369</v>
      </c>
      <c r="AK35" s="31" t="n">
        <v>280.1354650008449</v>
      </c>
      <c r="AL35" s="31" t="n">
        <v>979.5027146918471</v>
      </c>
      <c r="AM35" s="31" t="n">
        <v>980.5541759497049</v>
      </c>
      <c r="AN35" s="31" t="n">
        <v>235.4369056236327</v>
      </c>
      <c r="AO35" s="31" t="n">
        <v>480.8229370274771</v>
      </c>
      <c r="AP35" s="31" t="n">
        <v>12273.3308119999</v>
      </c>
      <c r="AQ35" s="31" t="n">
        <v>1487.268035209236</v>
      </c>
      <c r="AR35" s="31" t="n">
        <v>2442.251839209699</v>
      </c>
      <c r="AS35" s="31" t="n">
        <v>357.7388490778394</v>
      </c>
      <c r="AT35" s="31" t="n">
        <v>1.716862475688635</v>
      </c>
      <c r="AU35" s="31" t="n">
        <v>6.872465205626384</v>
      </c>
      <c r="AV35" s="31" t="n">
        <v>66.08535599791298</v>
      </c>
      <c r="AW35" s="31" t="n">
        <v>36.37921201815259</v>
      </c>
      <c r="AX35" s="31" t="n">
        <v>95.89613399205162</v>
      </c>
      <c r="AY35" s="31" t="n">
        <v>242.9554094622299</v>
      </c>
      <c r="AZ35" s="31" t="n">
        <v>185.0805682422912</v>
      </c>
      <c r="BA35" s="31" t="n">
        <v>21.00360523660913</v>
      </c>
      <c r="BB35" s="31" t="n">
        <v>12.57755794359359</v>
      </c>
      <c r="BC35" s="31" t="n">
        <v>80.91021040730317</v>
      </c>
      <c r="BD35" s="31" t="n">
        <v>1738.450763427154</v>
      </c>
      <c r="BE35" s="31" t="n">
        <v>38.89442049134878</v>
      </c>
      <c r="BF35" s="31" t="n">
        <v>53.47033393617983</v>
      </c>
      <c r="BG35" s="31" t="n">
        <v>47.79047503550246</v>
      </c>
      <c r="BH35" s="31" t="n">
        <v>34.85499439736079</v>
      </c>
      <c r="BI35" s="31" t="n">
        <v>2462.051437342559</v>
      </c>
      <c r="BJ35" s="31" t="n">
        <v>2.553778498531901</v>
      </c>
      <c r="BK35" s="31" t="n">
        <v>250.8607526471501</v>
      </c>
      <c r="BL35" s="31" t="n">
        <v>425.5227184386712</v>
      </c>
      <c r="BM35" s="31" t="n">
        <v>28.82603938260904</v>
      </c>
      <c r="BN35" s="31" t="n">
        <v>937.2598462473627</v>
      </c>
      <c r="BO35" s="31" t="n">
        <v>101.5251936052823</v>
      </c>
      <c r="BP35" s="31" t="n">
        <v>41.44034248340833</v>
      </c>
      <c r="BQ35" s="31" t="n">
        <v>189.8532164836293</v>
      </c>
      <c r="BR35" s="31" t="n">
        <v>0</v>
      </c>
      <c r="BS35" s="31">
        <f>SUM(C35:BR35)</f>
        <v/>
      </c>
      <c r="BT35" s="31" t="n">
        <v>0</v>
      </c>
      <c r="BU35" s="31" t="n">
        <v>0</v>
      </c>
      <c r="BV35" s="31" t="n">
        <v>8122.089093237666</v>
      </c>
      <c r="BW35" s="31" t="n">
        <v>0</v>
      </c>
      <c r="BX35" s="31">
        <f>SUM(BT35:BW35)</f>
        <v/>
      </c>
      <c r="BY35" s="31">
        <f>BS35+BX35</f>
        <v/>
      </c>
    </row>
    <row r="36">
      <c r="A36" s="28" t="inlineStr">
        <is>
          <t>2093</t>
        </is>
      </c>
      <c r="B36" s="28" t="inlineStr">
        <is>
          <t>Fabricação de produtos de limpeza, cosméticos/perfumaria e higiene pessoal</t>
        </is>
      </c>
      <c r="C36" s="29" t="n">
        <v>1260.027072367888</v>
      </c>
      <c r="D36" s="29" t="n">
        <v>195.540438364849</v>
      </c>
      <c r="E36" s="29" t="n">
        <v>6.060131558445875</v>
      </c>
      <c r="F36" s="29" t="n">
        <v>34.24608347713946</v>
      </c>
      <c r="G36" s="29" t="n">
        <v>175.8709853020159</v>
      </c>
      <c r="H36" s="29" t="n">
        <v>88.80513182939161</v>
      </c>
      <c r="I36" s="29" t="n">
        <v>28.09999341526136</v>
      </c>
      <c r="J36" s="29" t="n">
        <v>179.6702023698162</v>
      </c>
      <c r="K36" s="29" t="n">
        <v>21.16711261002311</v>
      </c>
      <c r="L36" s="29" t="n">
        <v>416.6459622746895</v>
      </c>
      <c r="M36" s="29" t="n">
        <v>63.56165273216216</v>
      </c>
      <c r="N36" s="29" t="n">
        <v>12.07558972046032</v>
      </c>
      <c r="O36" s="29" t="n">
        <v>107.3529228260059</v>
      </c>
      <c r="P36" s="29" t="n">
        <v>110.7259288064319</v>
      </c>
      <c r="Q36" s="29" t="n">
        <v>43.01362660986899</v>
      </c>
      <c r="R36" s="29" t="n">
        <v>51.29744716158615</v>
      </c>
      <c r="S36" s="29" t="n">
        <v>270.3572372035039</v>
      </c>
      <c r="T36" s="29" t="n">
        <v>53.40197283801632</v>
      </c>
      <c r="U36" s="29" t="n">
        <v>232.9908145481332</v>
      </c>
      <c r="V36" s="29" t="n">
        <v>22.65998769945265</v>
      </c>
      <c r="W36" s="29" t="n">
        <v>619.207437913386</v>
      </c>
      <c r="X36" s="29" t="n">
        <v>755.6674183225971</v>
      </c>
      <c r="Y36" s="29" t="n">
        <v>2200.608855894686</v>
      </c>
      <c r="Z36" s="29" t="n">
        <v>112.3721374874223</v>
      </c>
      <c r="AA36" s="29" t="n">
        <v>212.5117246803413</v>
      </c>
      <c r="AB36" s="29" t="n">
        <v>158.0320761135239</v>
      </c>
      <c r="AC36" s="29" t="n">
        <v>56.29086616271611</v>
      </c>
      <c r="AD36" s="29" t="n">
        <v>76.62875303592264</v>
      </c>
      <c r="AE36" s="29" t="n">
        <v>734.8098730818365</v>
      </c>
      <c r="AF36" s="29" t="n">
        <v>81.50822707199531</v>
      </c>
      <c r="AG36" s="29" t="n">
        <v>50.46556560675635</v>
      </c>
      <c r="AH36" s="29" t="n">
        <v>115.6359234638609</v>
      </c>
      <c r="AI36" s="29" t="n">
        <v>62.64007410436044</v>
      </c>
      <c r="AJ36" s="29" t="n">
        <v>62.68862789770662</v>
      </c>
      <c r="AK36" s="29" t="n">
        <v>25.44248063510493</v>
      </c>
      <c r="AL36" s="29" t="n">
        <v>80.88201074229545</v>
      </c>
      <c r="AM36" s="29" t="n">
        <v>42.31998694678373</v>
      </c>
      <c r="AN36" s="29" t="n">
        <v>44.5858098505895</v>
      </c>
      <c r="AO36" s="29" t="n">
        <v>81.20309790829192</v>
      </c>
      <c r="AP36" s="29" t="n">
        <v>387.1486236799454</v>
      </c>
      <c r="AQ36" s="29" t="n">
        <v>298.5284164910407</v>
      </c>
      <c r="AR36" s="29" t="n">
        <v>3437.496433262771</v>
      </c>
      <c r="AS36" s="29" t="n">
        <v>457.5528940284983</v>
      </c>
      <c r="AT36" s="29" t="n">
        <v>16.20241877629558</v>
      </c>
      <c r="AU36" s="29" t="n">
        <v>2.096216584807838</v>
      </c>
      <c r="AV36" s="29" t="n">
        <v>159.9427877551373</v>
      </c>
      <c r="AW36" s="29" t="n">
        <v>129.4822206177057</v>
      </c>
      <c r="AX36" s="29" t="n">
        <v>150.0286448892434</v>
      </c>
      <c r="AY36" s="29" t="n">
        <v>67.52299163353416</v>
      </c>
      <c r="AZ36" s="29" t="n">
        <v>83.93479903407669</v>
      </c>
      <c r="BA36" s="29" t="n">
        <v>210.6580431919577</v>
      </c>
      <c r="BB36" s="29" t="n">
        <v>33.68522185911716</v>
      </c>
      <c r="BC36" s="29" t="n">
        <v>95.36759652450965</v>
      </c>
      <c r="BD36" s="29" t="n">
        <v>23.33577915785887</v>
      </c>
      <c r="BE36" s="29" t="n">
        <v>471.8548184356701</v>
      </c>
      <c r="BF36" s="29" t="n">
        <v>198.0548066888783</v>
      </c>
      <c r="BG36" s="29" t="n">
        <v>487.7969807619641</v>
      </c>
      <c r="BH36" s="29" t="n">
        <v>188.0108363851306</v>
      </c>
      <c r="BI36" s="29" t="n">
        <v>2480.946851310138</v>
      </c>
      <c r="BJ36" s="29" t="n">
        <v>3.749986171678137</v>
      </c>
      <c r="BK36" s="29" t="n">
        <v>331.2364725752958</v>
      </c>
      <c r="BL36" s="29" t="n">
        <v>327.7349562044296</v>
      </c>
      <c r="BM36" s="29" t="n">
        <v>220.4612994073542</v>
      </c>
      <c r="BN36" s="29" t="n">
        <v>177.0583243080093</v>
      </c>
      <c r="BO36" s="29" t="n">
        <v>1309.060975401423</v>
      </c>
      <c r="BP36" s="29" t="n">
        <v>295.1635221398346</v>
      </c>
      <c r="BQ36" s="29" t="n">
        <v>1818.99797638937</v>
      </c>
      <c r="BR36" s="29" t="n">
        <v>0</v>
      </c>
      <c r="BS36" s="29">
        <f>SUM(C36:BR36)</f>
        <v/>
      </c>
      <c r="BT36" s="29" t="n">
        <v>0</v>
      </c>
      <c r="BU36" s="29" t="n">
        <v>0</v>
      </c>
      <c r="BV36" s="29" t="n">
        <v>30830.63138366116</v>
      </c>
      <c r="BW36" s="29" t="n">
        <v>0</v>
      </c>
      <c r="BX36" s="29">
        <f>SUM(BT36:BW36)</f>
        <v/>
      </c>
      <c r="BY36" s="29">
        <f>BS36+BX36</f>
        <v/>
      </c>
    </row>
    <row r="37">
      <c r="A37" s="30" t="inlineStr">
        <is>
          <t>2100</t>
        </is>
      </c>
      <c r="B37" s="30" t="inlineStr">
        <is>
          <t>Fabricação de produtos farmoquímicos e farmacêuticos</t>
        </is>
      </c>
      <c r="C37" s="31" t="n">
        <v>1050.449597755211</v>
      </c>
      <c r="D37" s="31" t="n">
        <v>4623.058873402455</v>
      </c>
      <c r="E37" s="31" t="n">
        <v>29.99739008097687</v>
      </c>
      <c r="F37" s="31" t="n">
        <v>8.0452670847548</v>
      </c>
      <c r="G37" s="31" t="n">
        <v>508.376307882914</v>
      </c>
      <c r="H37" s="31" t="n">
        <v>6.33623574658172</v>
      </c>
      <c r="I37" s="31" t="n">
        <v>2.041408694372972</v>
      </c>
      <c r="J37" s="31" t="n">
        <v>76.26901449545423</v>
      </c>
      <c r="K37" s="31" t="n">
        <v>1.719168013626975</v>
      </c>
      <c r="L37" s="31" t="n">
        <v>479.8926745488354</v>
      </c>
      <c r="M37" s="31" t="n">
        <v>10.74467735435767</v>
      </c>
      <c r="N37" s="31" t="n">
        <v>0.4915592904678353</v>
      </c>
      <c r="O37" s="31" t="n">
        <v>15.70582670090472</v>
      </c>
      <c r="P37" s="31" t="n">
        <v>9.810885192676958</v>
      </c>
      <c r="Q37" s="31" t="n">
        <v>10.0582145030161</v>
      </c>
      <c r="R37" s="31" t="n">
        <v>3.138584092657069</v>
      </c>
      <c r="S37" s="31" t="n">
        <v>21.12773578059495</v>
      </c>
      <c r="T37" s="31" t="n">
        <v>1.774174595918581</v>
      </c>
      <c r="U37" s="31" t="n">
        <v>2.373496754338979</v>
      </c>
      <c r="V37" s="31" t="n">
        <v>8.407266097893572</v>
      </c>
      <c r="W37" s="31" t="n">
        <v>193.1647241057199</v>
      </c>
      <c r="X37" s="31" t="n">
        <v>677.5849138634151</v>
      </c>
      <c r="Y37" s="31" t="n">
        <v>83.6007476994979</v>
      </c>
      <c r="Z37" s="31" t="n">
        <v>7062.087168560698</v>
      </c>
      <c r="AA37" s="31" t="n">
        <v>53.76523986152723</v>
      </c>
      <c r="AB37" s="31" t="n">
        <v>10.48320921742912</v>
      </c>
      <c r="AC37" s="31" t="n">
        <v>8.305344698431133</v>
      </c>
      <c r="AD37" s="31" t="n">
        <v>6.712381328502577</v>
      </c>
      <c r="AE37" s="31" t="n">
        <v>17.25830363091259</v>
      </c>
      <c r="AF37" s="31" t="n">
        <v>3.385848280771826</v>
      </c>
      <c r="AG37" s="31" t="n">
        <v>9.999668912391769</v>
      </c>
      <c r="AH37" s="31" t="n">
        <v>9.310901622573281</v>
      </c>
      <c r="AI37" s="31" t="n">
        <v>10.79434421154142</v>
      </c>
      <c r="AJ37" s="31" t="n">
        <v>6.598351202363566</v>
      </c>
      <c r="AK37" s="31" t="n">
        <v>2.394521616975009</v>
      </c>
      <c r="AL37" s="31" t="n">
        <v>12.97475854045372</v>
      </c>
      <c r="AM37" s="31" t="n">
        <v>3.14434840507244</v>
      </c>
      <c r="AN37" s="31" t="n">
        <v>6.554347512066031</v>
      </c>
      <c r="AO37" s="31" t="n">
        <v>5.076430295405162</v>
      </c>
      <c r="AP37" s="31" t="n">
        <v>25.53583755270945</v>
      </c>
      <c r="AQ37" s="31" t="n">
        <v>13.33394123857756</v>
      </c>
      <c r="AR37" s="31" t="n">
        <v>596.1918805277926</v>
      </c>
      <c r="AS37" s="31" t="n">
        <v>10.94208662013471</v>
      </c>
      <c r="AT37" s="31" t="n">
        <v>0.71363545177146</v>
      </c>
      <c r="AU37" s="31" t="n">
        <v>0.6374353128837069</v>
      </c>
      <c r="AV37" s="31" t="n">
        <v>8.749715851329675</v>
      </c>
      <c r="AW37" s="31" t="n">
        <v>5.686907284516771</v>
      </c>
      <c r="AX37" s="31" t="n">
        <v>41.42425536953251</v>
      </c>
      <c r="AY37" s="31" t="n">
        <v>0.9285681637971543</v>
      </c>
      <c r="AZ37" s="31" t="n">
        <v>2.353956717145906</v>
      </c>
      <c r="BA37" s="31" t="n">
        <v>10.94742205966651</v>
      </c>
      <c r="BB37" s="31" t="n">
        <v>5.716435875655687</v>
      </c>
      <c r="BC37" s="31" t="n">
        <v>15.65212719195024</v>
      </c>
      <c r="BD37" s="31" t="n">
        <v>5.604173864849214</v>
      </c>
      <c r="BE37" s="31" t="n">
        <v>19.09407809753018</v>
      </c>
      <c r="BF37" s="31" t="n">
        <v>36.01592826902459</v>
      </c>
      <c r="BG37" s="31" t="n">
        <v>70.87917461010565</v>
      </c>
      <c r="BH37" s="31" t="n">
        <v>7.893212147851695</v>
      </c>
      <c r="BI37" s="31" t="n">
        <v>65.39556203364072</v>
      </c>
      <c r="BJ37" s="31" t="n">
        <v>0.7149728542311434</v>
      </c>
      <c r="BK37" s="31" t="n">
        <v>672.5075164391565</v>
      </c>
      <c r="BL37" s="31" t="n">
        <v>634.469152367305</v>
      </c>
      <c r="BM37" s="31" t="n">
        <v>267.5974557699745</v>
      </c>
      <c r="BN37" s="31" t="n">
        <v>6339.883562713592</v>
      </c>
      <c r="BO37" s="31" t="n">
        <v>12507.16761388278</v>
      </c>
      <c r="BP37" s="31" t="n">
        <v>20.96977886206037</v>
      </c>
      <c r="BQ37" s="31" t="n">
        <v>897.0785870505141</v>
      </c>
      <c r="BR37" s="31" t="n">
        <v>0</v>
      </c>
      <c r="BS37" s="31">
        <f>SUM(C37:BR37)</f>
        <v/>
      </c>
      <c r="BT37" s="31" t="n">
        <v>0</v>
      </c>
      <c r="BU37" s="31" t="n">
        <v>0</v>
      </c>
      <c r="BV37" s="31" t="n">
        <v>41482.1489449324</v>
      </c>
      <c r="BW37" s="31" t="n">
        <v>0</v>
      </c>
      <c r="BX37" s="31">
        <f>SUM(BT37:BW37)</f>
        <v/>
      </c>
      <c r="BY37" s="31">
        <f>BS37+BX37</f>
        <v/>
      </c>
    </row>
    <row r="38">
      <c r="A38" s="28" t="inlineStr">
        <is>
          <t>2200</t>
        </is>
      </c>
      <c r="B38" s="28" t="inlineStr">
        <is>
          <t>Fabricação de produtos de borracha e de material plástico</t>
        </is>
      </c>
      <c r="C38" s="29" t="n">
        <v>805.5701107859519</v>
      </c>
      <c r="D38" s="29" t="n">
        <v>275.2238706285419</v>
      </c>
      <c r="E38" s="29" t="n">
        <v>54.13413408141056</v>
      </c>
      <c r="F38" s="29" t="n">
        <v>207.3318702420894</v>
      </c>
      <c r="G38" s="29" t="n">
        <v>235.9094370392336</v>
      </c>
      <c r="H38" s="29" t="n">
        <v>620.7943009033648</v>
      </c>
      <c r="I38" s="29" t="n">
        <v>119.05857140655</v>
      </c>
      <c r="J38" s="29" t="n">
        <v>3351.390093912582</v>
      </c>
      <c r="K38" s="29" t="n">
        <v>176.9489030600189</v>
      </c>
      <c r="L38" s="29" t="n">
        <v>8745.38771341579</v>
      </c>
      <c r="M38" s="29" t="n">
        <v>3841.076294680391</v>
      </c>
      <c r="N38" s="29" t="n">
        <v>6.338912604350493</v>
      </c>
      <c r="O38" s="29" t="n">
        <v>369.1416901332385</v>
      </c>
      <c r="P38" s="29" t="n">
        <v>379.1000314810333</v>
      </c>
      <c r="Q38" s="29" t="n">
        <v>1098.502958646403</v>
      </c>
      <c r="R38" s="29" t="n">
        <v>271.5752296610875</v>
      </c>
      <c r="S38" s="29" t="n">
        <v>973.021646652657</v>
      </c>
      <c r="T38" s="29" t="n">
        <v>1140.254182447161</v>
      </c>
      <c r="U38" s="29" t="n">
        <v>122.7993373565531</v>
      </c>
      <c r="V38" s="29" t="n">
        <v>51.01901569606456</v>
      </c>
      <c r="W38" s="29" t="n">
        <v>1557.088098586386</v>
      </c>
      <c r="X38" s="29" t="n">
        <v>898.7434708458654</v>
      </c>
      <c r="Y38" s="29" t="n">
        <v>2071.220895601103</v>
      </c>
      <c r="Z38" s="29" t="n">
        <v>579.1780251226803</v>
      </c>
      <c r="AA38" s="29" t="n">
        <v>19562.38022666461</v>
      </c>
      <c r="AB38" s="29" t="n">
        <v>2723.834001019121</v>
      </c>
      <c r="AC38" s="29" t="n">
        <v>612.8613158519887</v>
      </c>
      <c r="AD38" s="29" t="n">
        <v>76.67565261552292</v>
      </c>
      <c r="AE38" s="29" t="n">
        <v>992.0215652063926</v>
      </c>
      <c r="AF38" s="29" t="n">
        <v>1528.465237653373</v>
      </c>
      <c r="AG38" s="29" t="n">
        <v>2704.728658425343</v>
      </c>
      <c r="AH38" s="29" t="n">
        <v>2905.891538623948</v>
      </c>
      <c r="AI38" s="29" t="n">
        <v>10387.59052923445</v>
      </c>
      <c r="AJ38" s="29" t="n">
        <v>4254.875827395038</v>
      </c>
      <c r="AK38" s="29" t="n">
        <v>1500.874045553679</v>
      </c>
      <c r="AL38" s="29" t="n">
        <v>3181.607049929068</v>
      </c>
      <c r="AM38" s="29" t="n">
        <v>1712.403538130246</v>
      </c>
      <c r="AN38" s="29" t="n">
        <v>384.4546921153011</v>
      </c>
      <c r="AO38" s="29" t="n">
        <v>467.9724445447238</v>
      </c>
      <c r="AP38" s="29" t="n">
        <v>16861.2749191741</v>
      </c>
      <c r="AQ38" s="29" t="n">
        <v>2443.406664014914</v>
      </c>
      <c r="AR38" s="29" t="n">
        <v>7372.343100205164</v>
      </c>
      <c r="AS38" s="29" t="n">
        <v>8032.999606112576</v>
      </c>
      <c r="AT38" s="29" t="n">
        <v>5.445443572538407</v>
      </c>
      <c r="AU38" s="29" t="n">
        <v>1264.744146672715</v>
      </c>
      <c r="AV38" s="29" t="n">
        <v>170.0609781199661</v>
      </c>
      <c r="AW38" s="29" t="n">
        <v>37.56513082085014</v>
      </c>
      <c r="AX38" s="29" t="n">
        <v>622.1983888138732</v>
      </c>
      <c r="AY38" s="29" t="n">
        <v>23.85759024851982</v>
      </c>
      <c r="AZ38" s="29" t="n">
        <v>9.952858386882319</v>
      </c>
      <c r="BA38" s="29" t="n">
        <v>36.27887903079811</v>
      </c>
      <c r="BB38" s="29" t="n">
        <v>27.33300712936964</v>
      </c>
      <c r="BC38" s="29" t="n">
        <v>122.4766841129969</v>
      </c>
      <c r="BD38" s="29" t="n">
        <v>154.9466729594877</v>
      </c>
      <c r="BE38" s="29" t="n">
        <v>718.6729192463156</v>
      </c>
      <c r="BF38" s="29" t="n">
        <v>49.25870934725351</v>
      </c>
      <c r="BG38" s="29" t="n">
        <v>40.35622976158702</v>
      </c>
      <c r="BH38" s="29" t="n">
        <v>483.2559775199813</v>
      </c>
      <c r="BI38" s="29" t="n">
        <v>655.8340399054867</v>
      </c>
      <c r="BJ38" s="29" t="n">
        <v>5.161354790985429</v>
      </c>
      <c r="BK38" s="29" t="n">
        <v>238.1609006957319</v>
      </c>
      <c r="BL38" s="29" t="n">
        <v>296.9309056640427</v>
      </c>
      <c r="BM38" s="29" t="n">
        <v>43.60061089705906</v>
      </c>
      <c r="BN38" s="29" t="n">
        <v>643.4920745322371</v>
      </c>
      <c r="BO38" s="29" t="n">
        <v>843.4748735129017</v>
      </c>
      <c r="BP38" s="29" t="n">
        <v>43.82197948590942</v>
      </c>
      <c r="BQ38" s="29" t="n">
        <v>207.1921534469839</v>
      </c>
      <c r="BR38" s="29" t="n">
        <v>0</v>
      </c>
      <c r="BS38" s="29">
        <f>SUM(C38:BR38)</f>
        <v/>
      </c>
      <c r="BT38" s="29" t="n">
        <v>0</v>
      </c>
      <c r="BU38" s="29" t="n">
        <v>0</v>
      </c>
      <c r="BV38" s="29" t="n">
        <v>18810.14388303173</v>
      </c>
      <c r="BW38" s="29" t="n">
        <v>0</v>
      </c>
      <c r="BX38" s="29">
        <f>SUM(BT38:BW38)</f>
        <v/>
      </c>
      <c r="BY38" s="29">
        <f>BS38+BX38</f>
        <v/>
      </c>
    </row>
    <row r="39">
      <c r="A39" s="30" t="inlineStr">
        <is>
          <t>2300</t>
        </is>
      </c>
      <c r="B39" s="30" t="inlineStr">
        <is>
          <t>Fabricação de produtos de minerais não-metálicos</t>
        </is>
      </c>
      <c r="C39" s="31" t="n">
        <v>4574.123370729109</v>
      </c>
      <c r="D39" s="31" t="n">
        <v>2835.272834052573</v>
      </c>
      <c r="E39" s="31" t="n">
        <v>103.487744778945</v>
      </c>
      <c r="F39" s="31" t="n">
        <v>117.7857257732219</v>
      </c>
      <c r="G39" s="31" t="n">
        <v>160.2409660538303</v>
      </c>
      <c r="H39" s="31" t="n">
        <v>15.8809991535098</v>
      </c>
      <c r="I39" s="31" t="n">
        <v>26.15596205640458</v>
      </c>
      <c r="J39" s="31" t="n">
        <v>46.37072664011421</v>
      </c>
      <c r="K39" s="31" t="n">
        <v>159.0366483194967</v>
      </c>
      <c r="L39" s="31" t="n">
        <v>2120.837451183035</v>
      </c>
      <c r="M39" s="31" t="n">
        <v>2353.351997651926</v>
      </c>
      <c r="N39" s="31" t="n">
        <v>1.267079834176223</v>
      </c>
      <c r="O39" s="31" t="n">
        <v>47.87428764181376</v>
      </c>
      <c r="P39" s="31" t="n">
        <v>93.73024604056315</v>
      </c>
      <c r="Q39" s="31" t="n">
        <v>34.28124027836193</v>
      </c>
      <c r="R39" s="31" t="n">
        <v>16.87470430596347</v>
      </c>
      <c r="S39" s="31" t="n">
        <v>333.21067852812</v>
      </c>
      <c r="T39" s="31" t="n">
        <v>24.80476635740472</v>
      </c>
      <c r="U39" s="31" t="n">
        <v>271.4926867986392</v>
      </c>
      <c r="V39" s="31" t="n">
        <v>16.06296573764435</v>
      </c>
      <c r="W39" s="31" t="n">
        <v>1005.237633129596</v>
      </c>
      <c r="X39" s="31" t="n">
        <v>350.1536441161106</v>
      </c>
      <c r="Y39" s="31" t="n">
        <v>484.5903713186455</v>
      </c>
      <c r="Z39" s="31" t="n">
        <v>108.7419936240837</v>
      </c>
      <c r="AA39" s="31" t="n">
        <v>670.7631303137186</v>
      </c>
      <c r="AB39" s="31" t="n">
        <v>12205.04226405697</v>
      </c>
      <c r="AC39" s="31" t="n">
        <v>468.753361696757</v>
      </c>
      <c r="AD39" s="31" t="n">
        <v>58.40902616587125</v>
      </c>
      <c r="AE39" s="31" t="n">
        <v>260.1227707392394</v>
      </c>
      <c r="AF39" s="31" t="n">
        <v>25.33322689571841</v>
      </c>
      <c r="AG39" s="31" t="n">
        <v>443.978774441938</v>
      </c>
      <c r="AH39" s="31" t="n">
        <v>478.4078794436934</v>
      </c>
      <c r="AI39" s="31" t="n">
        <v>2536.513471992121</v>
      </c>
      <c r="AJ39" s="31" t="n">
        <v>146.8136025856231</v>
      </c>
      <c r="AK39" s="31" t="n">
        <v>272.6864167499364</v>
      </c>
      <c r="AL39" s="31" t="n">
        <v>708.4741767072517</v>
      </c>
      <c r="AM39" s="31" t="n">
        <v>330.5947375081686</v>
      </c>
      <c r="AN39" s="31" t="n">
        <v>2552.979932682662</v>
      </c>
      <c r="AO39" s="31" t="n">
        <v>1047.778327609015</v>
      </c>
      <c r="AP39" s="31" t="n">
        <v>76557.33186777993</v>
      </c>
      <c r="AQ39" s="31" t="n">
        <v>326.7817186895688</v>
      </c>
      <c r="AR39" s="31" t="n">
        <v>300.3352441800594</v>
      </c>
      <c r="AS39" s="31" t="n">
        <v>37.40500265801962</v>
      </c>
      <c r="AT39" s="31" t="n">
        <v>3.185514637355165</v>
      </c>
      <c r="AU39" s="31" t="n">
        <v>0.8211103862298074</v>
      </c>
      <c r="AV39" s="31" t="n">
        <v>28.16650082566152</v>
      </c>
      <c r="AW39" s="31" t="n">
        <v>275.5200407603623</v>
      </c>
      <c r="AX39" s="31" t="n">
        <v>839.1941601727337</v>
      </c>
      <c r="AY39" s="31" t="n">
        <v>6.453204971611106</v>
      </c>
      <c r="AZ39" s="31" t="n">
        <v>5.98409398307174</v>
      </c>
      <c r="BA39" s="31" t="n">
        <v>15.78984415781504</v>
      </c>
      <c r="BB39" s="31" t="n">
        <v>10.40298960260367</v>
      </c>
      <c r="BC39" s="31" t="n">
        <v>37.99748292744707</v>
      </c>
      <c r="BD39" s="31" t="n">
        <v>3193.743167044036</v>
      </c>
      <c r="BE39" s="31" t="n">
        <v>35.342132914637</v>
      </c>
      <c r="BF39" s="31" t="n">
        <v>20.64712873444774</v>
      </c>
      <c r="BG39" s="31" t="n">
        <v>9.632139196054249</v>
      </c>
      <c r="BH39" s="31" t="n">
        <v>13.52141384033189</v>
      </c>
      <c r="BI39" s="31" t="n">
        <v>136.7751411453591</v>
      </c>
      <c r="BJ39" s="31" t="n">
        <v>1.811470258521374</v>
      </c>
      <c r="BK39" s="31" t="n">
        <v>440.4520294524856</v>
      </c>
      <c r="BL39" s="31" t="n">
        <v>226.9198922433543</v>
      </c>
      <c r="BM39" s="31" t="n">
        <v>24.36228597040189</v>
      </c>
      <c r="BN39" s="31" t="n">
        <v>213.1733306304316</v>
      </c>
      <c r="BO39" s="31" t="n">
        <v>275.2874556571826</v>
      </c>
      <c r="BP39" s="31" t="n">
        <v>24.72918843219398</v>
      </c>
      <c r="BQ39" s="31" t="n">
        <v>315.20759305084</v>
      </c>
      <c r="BR39" s="31" t="n">
        <v>0</v>
      </c>
      <c r="BS39" s="31">
        <f>SUM(C39:BR39)</f>
        <v/>
      </c>
      <c r="BT39" s="31" t="n">
        <v>0</v>
      </c>
      <c r="BU39" s="31" t="n">
        <v>0</v>
      </c>
      <c r="BV39" s="31" t="n">
        <v>8101.493436416915</v>
      </c>
      <c r="BW39" s="31" t="n">
        <v>0</v>
      </c>
      <c r="BX39" s="31">
        <f>SUM(BT39:BW39)</f>
        <v/>
      </c>
      <c r="BY39" s="31">
        <f>BS39+BX39</f>
        <v/>
      </c>
    </row>
    <row r="40">
      <c r="A40" s="28" t="inlineStr">
        <is>
          <t>2491</t>
        </is>
      </c>
      <c r="B40" s="28" t="inlineStr">
        <is>
          <t>Produção de ferro-gusa/ferroligas, siderurgia e tubos de aço sem costura</t>
        </is>
      </c>
      <c r="C40" s="29" t="n">
        <v>258.6080144180706</v>
      </c>
      <c r="D40" s="29" t="n">
        <v>424.1621257863629</v>
      </c>
      <c r="E40" s="29" t="n">
        <v>25.70798330067799</v>
      </c>
      <c r="F40" s="29" t="n">
        <v>107.5098332556549</v>
      </c>
      <c r="G40" s="29" t="n">
        <v>1889.639112984004</v>
      </c>
      <c r="H40" s="29" t="n">
        <v>64.36130345009443</v>
      </c>
      <c r="I40" s="29" t="n">
        <v>166.2494240613275</v>
      </c>
      <c r="J40" s="29" t="n">
        <v>338.2280627095975</v>
      </c>
      <c r="K40" s="29" t="n">
        <v>8.319702713288873</v>
      </c>
      <c r="L40" s="29" t="n">
        <v>163.948288829952</v>
      </c>
      <c r="M40" s="29" t="n">
        <v>183.134998369776</v>
      </c>
      <c r="N40" s="29" t="n">
        <v>1.132066543406055</v>
      </c>
      <c r="O40" s="29" t="n">
        <v>10.59470826889318</v>
      </c>
      <c r="P40" s="29" t="n">
        <v>9.576657451670018</v>
      </c>
      <c r="Q40" s="29" t="n">
        <v>7.194929589593921</v>
      </c>
      <c r="R40" s="29" t="n">
        <v>23.76134409730959</v>
      </c>
      <c r="S40" s="29" t="n">
        <v>194.027904421953</v>
      </c>
      <c r="T40" s="29" t="n">
        <v>12.63008556015146</v>
      </c>
      <c r="U40" s="29" t="n">
        <v>20.45596497454734</v>
      </c>
      <c r="V40" s="29" t="n">
        <v>11.87985123331367</v>
      </c>
      <c r="W40" s="29" t="n">
        <v>105.9792266996567</v>
      </c>
      <c r="X40" s="29" t="n">
        <v>81.35570722905504</v>
      </c>
      <c r="Y40" s="29" t="n">
        <v>58.23052211047762</v>
      </c>
      <c r="Z40" s="29" t="n">
        <v>23.38865902311343</v>
      </c>
      <c r="AA40" s="29" t="n">
        <v>805.1643214615793</v>
      </c>
      <c r="AB40" s="29" t="n">
        <v>943.1708133891821</v>
      </c>
      <c r="AC40" s="29" t="n">
        <v>10501.09976816331</v>
      </c>
      <c r="AD40" s="29" t="n">
        <v>943.0843648895095</v>
      </c>
      <c r="AE40" s="29" t="n">
        <v>19355.81140776053</v>
      </c>
      <c r="AF40" s="29" t="n">
        <v>102.4404689175935</v>
      </c>
      <c r="AG40" s="29" t="n">
        <v>3487.383485685173</v>
      </c>
      <c r="AH40" s="29" t="n">
        <v>9463.75182427966</v>
      </c>
      <c r="AI40" s="29" t="n">
        <v>6705.925207151048</v>
      </c>
      <c r="AJ40" s="29" t="n">
        <v>7107.526702622794</v>
      </c>
      <c r="AK40" s="29" t="n">
        <v>1719.147310942506</v>
      </c>
      <c r="AL40" s="29" t="n">
        <v>1457.997961436396</v>
      </c>
      <c r="AM40" s="29" t="n">
        <v>1509.84554067406</v>
      </c>
      <c r="AN40" s="29" t="n">
        <v>465.0425057179242</v>
      </c>
      <c r="AO40" s="29" t="n">
        <v>143.0146455852897</v>
      </c>
      <c r="AP40" s="29" t="n">
        <v>20848.80163260684</v>
      </c>
      <c r="AQ40" s="29" t="n">
        <v>72.60768707744982</v>
      </c>
      <c r="AR40" s="29" t="n">
        <v>1764.846630974992</v>
      </c>
      <c r="AS40" s="29" t="n">
        <v>66.41977023766755</v>
      </c>
      <c r="AT40" s="29" t="n">
        <v>10.42131716112124</v>
      </c>
      <c r="AU40" s="29" t="n">
        <v>5.927780004849935</v>
      </c>
      <c r="AV40" s="29" t="n">
        <v>54.01762946078063</v>
      </c>
      <c r="AW40" s="29" t="n">
        <v>19.99925239014543</v>
      </c>
      <c r="AX40" s="29" t="n">
        <v>141.2360884132568</v>
      </c>
      <c r="AY40" s="29" t="n">
        <v>6.886490820299009</v>
      </c>
      <c r="AZ40" s="29" t="n">
        <v>6.388859676736773</v>
      </c>
      <c r="BA40" s="29" t="n">
        <v>35.81085550196221</v>
      </c>
      <c r="BB40" s="29" t="n">
        <v>40.77811269080664</v>
      </c>
      <c r="BC40" s="29" t="n">
        <v>63.88623065474307</v>
      </c>
      <c r="BD40" s="29" t="n">
        <v>42.16414543741385</v>
      </c>
      <c r="BE40" s="29" t="n">
        <v>62.19770907306663</v>
      </c>
      <c r="BF40" s="29" t="n">
        <v>45.27152851396248</v>
      </c>
      <c r="BG40" s="29" t="n">
        <v>11.18444144617212</v>
      </c>
      <c r="BH40" s="29" t="n">
        <v>296.4409948030354</v>
      </c>
      <c r="BI40" s="29" t="n">
        <v>58.91199673004172</v>
      </c>
      <c r="BJ40" s="29" t="n">
        <v>7.772684686074934</v>
      </c>
      <c r="BK40" s="29" t="n">
        <v>227.4639685312566</v>
      </c>
      <c r="BL40" s="29" t="n">
        <v>56.69284884241429</v>
      </c>
      <c r="BM40" s="29" t="n">
        <v>43.77567297893005</v>
      </c>
      <c r="BN40" s="29" t="n">
        <v>25.80626921967343</v>
      </c>
      <c r="BO40" s="29" t="n">
        <v>24.62022732399642</v>
      </c>
      <c r="BP40" s="29" t="n">
        <v>44.8223695012535</v>
      </c>
      <c r="BQ40" s="29" t="n">
        <v>41.09759949581786</v>
      </c>
      <c r="BR40" s="29" t="n">
        <v>0</v>
      </c>
      <c r="BS40" s="29">
        <f>SUM(C40:BR40)</f>
        <v/>
      </c>
      <c r="BT40" s="29" t="n">
        <v>0</v>
      </c>
      <c r="BU40" s="29" t="n">
        <v>0</v>
      </c>
      <c r="BV40" s="29" t="n">
        <v>30668.55463163885</v>
      </c>
      <c r="BW40" s="29" t="n">
        <v>0</v>
      </c>
      <c r="BX40" s="29">
        <f>SUM(BT40:BW40)</f>
        <v/>
      </c>
      <c r="BY40" s="29">
        <f>BS40+BX40</f>
        <v/>
      </c>
    </row>
    <row r="41">
      <c r="A41" s="30" t="inlineStr">
        <is>
          <t>2492</t>
        </is>
      </c>
      <c r="B41" s="30" t="inlineStr">
        <is>
          <t>Metalurgia de metais não-ferrosos e a fundição de metais</t>
        </is>
      </c>
      <c r="C41" s="31" t="n">
        <v>278.0065879379969</v>
      </c>
      <c r="D41" s="31" t="n">
        <v>62.1032701455054</v>
      </c>
      <c r="E41" s="31" t="n">
        <v>4.196753220074239</v>
      </c>
      <c r="F41" s="31" t="n">
        <v>9.444434413162069</v>
      </c>
      <c r="G41" s="31" t="n">
        <v>118.3757945240098</v>
      </c>
      <c r="H41" s="31" t="n">
        <v>26.90610684133759</v>
      </c>
      <c r="I41" s="31" t="n">
        <v>132.5693761261385</v>
      </c>
      <c r="J41" s="31" t="n">
        <v>453.1749295319632</v>
      </c>
      <c r="K41" s="31" t="n">
        <v>8.108550889421279</v>
      </c>
      <c r="L41" s="31" t="n">
        <v>664.0942533174803</v>
      </c>
      <c r="M41" s="31" t="n">
        <v>38.33648683001705</v>
      </c>
      <c r="N41" s="31" t="n">
        <v>0.5977813212681942</v>
      </c>
      <c r="O41" s="31" t="n">
        <v>15.38057597660766</v>
      </c>
      <c r="P41" s="31" t="n">
        <v>10.95396892948606</v>
      </c>
      <c r="Q41" s="31" t="n">
        <v>13.46416122618593</v>
      </c>
      <c r="R41" s="31" t="n">
        <v>5.513279069917919</v>
      </c>
      <c r="S41" s="31" t="n">
        <v>445.8946209875562</v>
      </c>
      <c r="T41" s="31" t="n">
        <v>372.6812438296728</v>
      </c>
      <c r="U41" s="31" t="n">
        <v>5.347181470285312</v>
      </c>
      <c r="V41" s="31" t="n">
        <v>3.695246613751237</v>
      </c>
      <c r="W41" s="31" t="n">
        <v>1181.698276826667</v>
      </c>
      <c r="X41" s="31" t="n">
        <v>435.3966688881764</v>
      </c>
      <c r="Y41" s="31" t="n">
        <v>66.20354081313073</v>
      </c>
      <c r="Z41" s="31" t="n">
        <v>28.42801789856831</v>
      </c>
      <c r="AA41" s="31" t="n">
        <v>139.1371235616675</v>
      </c>
      <c r="AB41" s="31" t="n">
        <v>213.3071385323494</v>
      </c>
      <c r="AC41" s="31" t="n">
        <v>2308.162263289522</v>
      </c>
      <c r="AD41" s="31" t="n">
        <v>13854.01364129794</v>
      </c>
      <c r="AE41" s="31" t="n">
        <v>3688.603782063605</v>
      </c>
      <c r="AF41" s="31" t="n">
        <v>258.5643791263333</v>
      </c>
      <c r="AG41" s="31" t="n">
        <v>10591.36670835043</v>
      </c>
      <c r="AH41" s="31" t="n">
        <v>2577.638978745504</v>
      </c>
      <c r="AI41" s="31" t="n">
        <v>772.7411849144319</v>
      </c>
      <c r="AJ41" s="31" t="n">
        <v>5647.962472038078</v>
      </c>
      <c r="AK41" s="31" t="n">
        <v>1540.927557846288</v>
      </c>
      <c r="AL41" s="31" t="n">
        <v>3130.016734610774</v>
      </c>
      <c r="AM41" s="31" t="n">
        <v>1891.405562452398</v>
      </c>
      <c r="AN41" s="31" t="n">
        <v>124.9179249107863</v>
      </c>
      <c r="AO41" s="31" t="n">
        <v>190.9208002365567</v>
      </c>
      <c r="AP41" s="31" t="n">
        <v>5119.126115708025</v>
      </c>
      <c r="AQ41" s="31" t="n">
        <v>680.9924934422054</v>
      </c>
      <c r="AR41" s="31" t="n">
        <v>535.583957039352</v>
      </c>
      <c r="AS41" s="31" t="n">
        <v>83.62615908862325</v>
      </c>
      <c r="AT41" s="31" t="n">
        <v>2.768635061463804</v>
      </c>
      <c r="AU41" s="31" t="n">
        <v>1.650175046324903</v>
      </c>
      <c r="AV41" s="31" t="n">
        <v>34.12982069531821</v>
      </c>
      <c r="AW41" s="31" t="n">
        <v>15.7378681155364</v>
      </c>
      <c r="AX41" s="31" t="n">
        <v>73.29731931443871</v>
      </c>
      <c r="AY41" s="31" t="n">
        <v>3.619866191830493</v>
      </c>
      <c r="AZ41" s="31" t="n">
        <v>6.225733490749244</v>
      </c>
      <c r="BA41" s="31" t="n">
        <v>38.67923722718368</v>
      </c>
      <c r="BB41" s="31" t="n">
        <v>19.53950383793095</v>
      </c>
      <c r="BC41" s="31" t="n">
        <v>72.93132269018902</v>
      </c>
      <c r="BD41" s="31" t="n">
        <v>93.59537950316563</v>
      </c>
      <c r="BE41" s="31" t="n">
        <v>68.49678216841421</v>
      </c>
      <c r="BF41" s="31" t="n">
        <v>16.1561781842469</v>
      </c>
      <c r="BG41" s="31" t="n">
        <v>13.41370311837467</v>
      </c>
      <c r="BH41" s="31" t="n">
        <v>16.90437931727906</v>
      </c>
      <c r="BI41" s="31" t="n">
        <v>53.39368998308811</v>
      </c>
      <c r="BJ41" s="31" t="n">
        <v>3.87625066819133</v>
      </c>
      <c r="BK41" s="31" t="n">
        <v>73.42133592474539</v>
      </c>
      <c r="BL41" s="31" t="n">
        <v>19.66891600947402</v>
      </c>
      <c r="BM41" s="31" t="n">
        <v>50.90873758030503</v>
      </c>
      <c r="BN41" s="31" t="n">
        <v>28.63898607292851</v>
      </c>
      <c r="BO41" s="31" t="n">
        <v>109.6415027929132</v>
      </c>
      <c r="BP41" s="31" t="n">
        <v>48.69881158836447</v>
      </c>
      <c r="BQ41" s="31" t="n">
        <v>60.94435342255291</v>
      </c>
      <c r="BR41" s="31" t="n">
        <v>0</v>
      </c>
      <c r="BS41" s="31">
        <f>SUM(C41:BR41)</f>
        <v/>
      </c>
      <c r="BT41" s="31" t="n">
        <v>0</v>
      </c>
      <c r="BU41" s="31" t="n">
        <v>0</v>
      </c>
      <c r="BV41" s="31" t="n">
        <v>18514.99292504058</v>
      </c>
      <c r="BW41" s="31" t="n">
        <v>0</v>
      </c>
      <c r="BX41" s="31">
        <f>SUM(BT41:BW41)</f>
        <v/>
      </c>
      <c r="BY41" s="31">
        <f>BS41+BX41</f>
        <v/>
      </c>
    </row>
    <row r="42">
      <c r="A42" s="28" t="inlineStr">
        <is>
          <t>2500</t>
        </is>
      </c>
      <c r="B42" s="28" t="inlineStr">
        <is>
          <t>Fabricação de produtos de metal, exceto máquinas e equipamentos</t>
        </is>
      </c>
      <c r="C42" s="29" t="n">
        <v>549.1342199166854</v>
      </c>
      <c r="D42" s="29" t="n">
        <v>797.4729507728639</v>
      </c>
      <c r="E42" s="29" t="n">
        <v>70.06076122879585</v>
      </c>
      <c r="F42" s="29" t="n">
        <v>72.76664256114297</v>
      </c>
      <c r="G42" s="29" t="n">
        <v>1743.459939129799</v>
      </c>
      <c r="H42" s="29" t="n">
        <v>753.7911924465272</v>
      </c>
      <c r="I42" s="29" t="n">
        <v>335.0781430625362</v>
      </c>
      <c r="J42" s="29" t="n">
        <v>2902.417307772344</v>
      </c>
      <c r="K42" s="29" t="n">
        <v>89.42507531193294</v>
      </c>
      <c r="L42" s="29" t="n">
        <v>2739.351853526212</v>
      </c>
      <c r="M42" s="29" t="n">
        <v>4803.657344791054</v>
      </c>
      <c r="N42" s="29" t="n">
        <v>19.56982273625152</v>
      </c>
      <c r="O42" s="29" t="n">
        <v>90.09077107839811</v>
      </c>
      <c r="P42" s="29" t="n">
        <v>103.5593412156277</v>
      </c>
      <c r="Q42" s="29" t="n">
        <v>72.93882911893371</v>
      </c>
      <c r="R42" s="29" t="n">
        <v>500.7420303111629</v>
      </c>
      <c r="S42" s="29" t="n">
        <v>167.1569005943678</v>
      </c>
      <c r="T42" s="29" t="n">
        <v>42.89316809620989</v>
      </c>
      <c r="U42" s="29" t="n">
        <v>404.75136799173</v>
      </c>
      <c r="V42" s="29" t="n">
        <v>75.87970445028103</v>
      </c>
      <c r="W42" s="29" t="n">
        <v>504.7231462794603</v>
      </c>
      <c r="X42" s="29" t="n">
        <v>970.5436649089618</v>
      </c>
      <c r="Y42" s="29" t="n">
        <v>1141.623121278792</v>
      </c>
      <c r="Z42" s="29" t="n">
        <v>184.8309035751291</v>
      </c>
      <c r="AA42" s="29" t="n">
        <v>298.8141166836725</v>
      </c>
      <c r="AB42" s="29" t="n">
        <v>309.0271331404517</v>
      </c>
      <c r="AC42" s="29" t="n">
        <v>2900.183147606381</v>
      </c>
      <c r="AD42" s="29" t="n">
        <v>389.5945781816253</v>
      </c>
      <c r="AE42" s="29" t="n">
        <v>9650.485413499662</v>
      </c>
      <c r="AF42" s="29" t="n">
        <v>1154.982571625101</v>
      </c>
      <c r="AG42" s="29" t="n">
        <v>2880.436722497284</v>
      </c>
      <c r="AH42" s="29" t="n">
        <v>6755.22134710254</v>
      </c>
      <c r="AI42" s="29" t="n">
        <v>3911.999564483738</v>
      </c>
      <c r="AJ42" s="29" t="n">
        <v>2342.098651609801</v>
      </c>
      <c r="AK42" s="29" t="n">
        <v>3550.892927796478</v>
      </c>
      <c r="AL42" s="29" t="n">
        <v>1599.391405933235</v>
      </c>
      <c r="AM42" s="29" t="n">
        <v>3801.983352420091</v>
      </c>
      <c r="AN42" s="29" t="n">
        <v>3435.156194750732</v>
      </c>
      <c r="AO42" s="29" t="n">
        <v>632.3026187195489</v>
      </c>
      <c r="AP42" s="29" t="n">
        <v>30797.64819196596</v>
      </c>
      <c r="AQ42" s="29" t="n">
        <v>470.7648311037225</v>
      </c>
      <c r="AR42" s="29" t="n">
        <v>1875.630519462347</v>
      </c>
      <c r="AS42" s="29" t="n">
        <v>213.5937580461958</v>
      </c>
      <c r="AT42" s="29" t="n">
        <v>14.20203654938137</v>
      </c>
      <c r="AU42" s="29" t="n">
        <v>5.777884794953888</v>
      </c>
      <c r="AV42" s="29" t="n">
        <v>52.25737244229527</v>
      </c>
      <c r="AW42" s="29" t="n">
        <v>216.8083956497719</v>
      </c>
      <c r="AX42" s="29" t="n">
        <v>2480.828764849457</v>
      </c>
      <c r="AY42" s="29" t="n">
        <v>7.457698318324962</v>
      </c>
      <c r="AZ42" s="29" t="n">
        <v>18.78083005903131</v>
      </c>
      <c r="BA42" s="29" t="n">
        <v>59.54177085076348</v>
      </c>
      <c r="BB42" s="29" t="n">
        <v>29.18845802450022</v>
      </c>
      <c r="BC42" s="29" t="n">
        <v>48.43031589606276</v>
      </c>
      <c r="BD42" s="29" t="n">
        <v>486.5341570929443</v>
      </c>
      <c r="BE42" s="29" t="n">
        <v>59.74439832681755</v>
      </c>
      <c r="BF42" s="29" t="n">
        <v>45.75322461262643</v>
      </c>
      <c r="BG42" s="29" t="n">
        <v>12.46228687543186</v>
      </c>
      <c r="BH42" s="29" t="n">
        <v>25.10387210825503</v>
      </c>
      <c r="BI42" s="29" t="n">
        <v>354.9626289811529</v>
      </c>
      <c r="BJ42" s="29" t="n">
        <v>104.135292338499</v>
      </c>
      <c r="BK42" s="29" t="n">
        <v>999.1941468108638</v>
      </c>
      <c r="BL42" s="29" t="n">
        <v>127.281902539748</v>
      </c>
      <c r="BM42" s="29" t="n">
        <v>30.36848077968311</v>
      </c>
      <c r="BN42" s="29" t="n">
        <v>178.4648252511238</v>
      </c>
      <c r="BO42" s="29" t="n">
        <v>78.54129663495618</v>
      </c>
      <c r="BP42" s="29" t="n">
        <v>33.83930791767347</v>
      </c>
      <c r="BQ42" s="29" t="n">
        <v>150.1021240604039</v>
      </c>
      <c r="BR42" s="29" t="n">
        <v>0</v>
      </c>
      <c r="BS42" s="29">
        <f>SUM(C42:BR42)</f>
        <v/>
      </c>
      <c r="BT42" s="29" t="n">
        <v>0</v>
      </c>
      <c r="BU42" s="29" t="n">
        <v>0</v>
      </c>
      <c r="BV42" s="29" t="n">
        <v>24329.06731908912</v>
      </c>
      <c r="BW42" s="29" t="n">
        <v>0</v>
      </c>
      <c r="BX42" s="29">
        <f>SUM(BT42:BW42)</f>
        <v/>
      </c>
      <c r="BY42" s="29">
        <f>BS42+BX42</f>
        <v/>
      </c>
    </row>
    <row r="43">
      <c r="A43" s="30" t="inlineStr">
        <is>
          <t>2600</t>
        </is>
      </c>
      <c r="B43" s="30" t="inlineStr">
        <is>
          <t>Fabricação de equipamentos de informática, produtos eletrônicos e ópticos</t>
        </is>
      </c>
      <c r="C43" s="31" t="n">
        <v>5.809621445823925</v>
      </c>
      <c r="D43" s="31" t="n">
        <v>9.128828681731083</v>
      </c>
      <c r="E43" s="31" t="n">
        <v>1.583253481744081</v>
      </c>
      <c r="F43" s="31" t="n">
        <v>10.1863631080218</v>
      </c>
      <c r="G43" s="31" t="n">
        <v>743.8943252103147</v>
      </c>
      <c r="H43" s="31" t="n">
        <v>120.784086785375</v>
      </c>
      <c r="I43" s="31" t="n">
        <v>40.40024031252759</v>
      </c>
      <c r="J43" s="31" t="n">
        <v>56.54037255751643</v>
      </c>
      <c r="K43" s="31" t="n">
        <v>4.170047957108428</v>
      </c>
      <c r="L43" s="31" t="n">
        <v>23.31767847779056</v>
      </c>
      <c r="M43" s="31" t="n">
        <v>17.10214971092539</v>
      </c>
      <c r="N43" s="31" t="n">
        <v>0.635740419489637</v>
      </c>
      <c r="O43" s="31" t="n">
        <v>5.650143073393272</v>
      </c>
      <c r="P43" s="31" t="n">
        <v>16.66731691859516</v>
      </c>
      <c r="Q43" s="31" t="n">
        <v>7.80506906694074</v>
      </c>
      <c r="R43" s="31" t="n">
        <v>9.371652176554871</v>
      </c>
      <c r="S43" s="31" t="n">
        <v>18.64199871623556</v>
      </c>
      <c r="T43" s="31" t="n">
        <v>691.3996527391647</v>
      </c>
      <c r="U43" s="31" t="n">
        <v>4.466211013721122</v>
      </c>
      <c r="V43" s="31" t="n">
        <v>4.531589609082797</v>
      </c>
      <c r="W43" s="31" t="n">
        <v>14.90530182965699</v>
      </c>
      <c r="X43" s="31" t="n">
        <v>10.64374288331813</v>
      </c>
      <c r="Y43" s="31" t="n">
        <v>7.282827494670816</v>
      </c>
      <c r="Z43" s="31" t="n">
        <v>12.49641714794759</v>
      </c>
      <c r="AA43" s="31" t="n">
        <v>22.56827211255965</v>
      </c>
      <c r="AB43" s="31" t="n">
        <v>24.59720817916255</v>
      </c>
      <c r="AC43" s="31" t="n">
        <v>49.5099279764808</v>
      </c>
      <c r="AD43" s="31" t="n">
        <v>16.64638414463922</v>
      </c>
      <c r="AE43" s="31" t="n">
        <v>30.67685133281914</v>
      </c>
      <c r="AF43" s="31" t="n">
        <v>45752.27876268</v>
      </c>
      <c r="AG43" s="31" t="n">
        <v>1312.295254424982</v>
      </c>
      <c r="AH43" s="31" t="n">
        <v>1959.02631585932</v>
      </c>
      <c r="AI43" s="31" t="n">
        <v>740.5059782335704</v>
      </c>
      <c r="AJ43" s="31" t="n">
        <v>458.4752102415104</v>
      </c>
      <c r="AK43" s="31" t="n">
        <v>276.6381234703921</v>
      </c>
      <c r="AL43" s="31" t="n">
        <v>182.3057596498849</v>
      </c>
      <c r="AM43" s="31" t="n">
        <v>2015.743863380613</v>
      </c>
      <c r="AN43" s="31" t="n">
        <v>703.8100497772421</v>
      </c>
      <c r="AO43" s="31" t="n">
        <v>46.01702229711925</v>
      </c>
      <c r="AP43" s="31" t="n">
        <v>1647.711025397906</v>
      </c>
      <c r="AQ43" s="31" t="n">
        <v>88.39804773312531</v>
      </c>
      <c r="AR43" s="31" t="n">
        <v>674.9877324000802</v>
      </c>
      <c r="AS43" s="31" t="n">
        <v>102.1923626608452</v>
      </c>
      <c r="AT43" s="31" t="n">
        <v>15.78086921014762</v>
      </c>
      <c r="AU43" s="31" t="n">
        <v>18.02165907196797</v>
      </c>
      <c r="AV43" s="31" t="n">
        <v>535.7382784442208</v>
      </c>
      <c r="AW43" s="31" t="n">
        <v>5.153834591251522</v>
      </c>
      <c r="AX43" s="31" t="n">
        <v>12.64024486358834</v>
      </c>
      <c r="AY43" s="31" t="n">
        <v>7.117570345349209</v>
      </c>
      <c r="AZ43" s="31" t="n">
        <v>752.9693446592435</v>
      </c>
      <c r="BA43" s="31" t="n">
        <v>628.4943779622545</v>
      </c>
      <c r="BB43" s="31" t="n">
        <v>5535.604469335143</v>
      </c>
      <c r="BC43" s="31" t="n">
        <v>990.6035046893485</v>
      </c>
      <c r="BD43" s="31" t="n">
        <v>28.61722839363095</v>
      </c>
      <c r="BE43" s="31" t="n">
        <v>936.4976470683675</v>
      </c>
      <c r="BF43" s="31" t="n">
        <v>2649.95068774637</v>
      </c>
      <c r="BG43" s="31" t="n">
        <v>299.0736455818327</v>
      </c>
      <c r="BH43" s="31" t="n">
        <v>115.1230653519636</v>
      </c>
      <c r="BI43" s="31" t="n">
        <v>2507.392046261194</v>
      </c>
      <c r="BJ43" s="31" t="n">
        <v>323.1976150321724</v>
      </c>
      <c r="BK43" s="31" t="n">
        <v>688.4827501561089</v>
      </c>
      <c r="BL43" s="31" t="n">
        <v>1600.064393310842</v>
      </c>
      <c r="BM43" s="31" t="n">
        <v>303.7689814299876</v>
      </c>
      <c r="BN43" s="31" t="n">
        <v>580.5996573762131</v>
      </c>
      <c r="BO43" s="31" t="n">
        <v>584.0224721263055</v>
      </c>
      <c r="BP43" s="31" t="n">
        <v>149.8260586249226</v>
      </c>
      <c r="BQ43" s="31" t="n">
        <v>1831.933072355155</v>
      </c>
      <c r="BR43" s="31" t="n">
        <v>0</v>
      </c>
      <c r="BS43" s="31">
        <f>SUM(C43:BR43)</f>
        <v/>
      </c>
      <c r="BT43" s="31" t="n">
        <v>0</v>
      </c>
      <c r="BU43" s="31" t="n">
        <v>0</v>
      </c>
      <c r="BV43" s="31" t="n">
        <v>58161.19266892361</v>
      </c>
      <c r="BW43" s="31" t="n">
        <v>0</v>
      </c>
      <c r="BX43" s="31">
        <f>SUM(BT43:BW43)</f>
        <v/>
      </c>
      <c r="BY43" s="31">
        <f>BS43+BX43</f>
        <v/>
      </c>
    </row>
    <row r="44">
      <c r="A44" s="28" t="inlineStr">
        <is>
          <t>2700</t>
        </is>
      </c>
      <c r="B44" s="28" t="inlineStr">
        <is>
          <t>Fabricação de máquinas e equipamentos elétricos</t>
        </is>
      </c>
      <c r="C44" s="29" t="n">
        <v>75.28784100963338</v>
      </c>
      <c r="D44" s="29" t="n">
        <v>157.330086581539</v>
      </c>
      <c r="E44" s="29" t="n">
        <v>11.79313673322885</v>
      </c>
      <c r="F44" s="29" t="n">
        <v>38.68621666717782</v>
      </c>
      <c r="G44" s="29" t="n">
        <v>398.7609670865193</v>
      </c>
      <c r="H44" s="29" t="n">
        <v>114.0139695125743</v>
      </c>
      <c r="I44" s="29" t="n">
        <v>52.24672695988063</v>
      </c>
      <c r="J44" s="29" t="n">
        <v>117.6222128035107</v>
      </c>
      <c r="K44" s="29" t="n">
        <v>30.12532089512025</v>
      </c>
      <c r="L44" s="29" t="n">
        <v>171.2316704887412</v>
      </c>
      <c r="M44" s="29" t="n">
        <v>84.58019172291523</v>
      </c>
      <c r="N44" s="29" t="n">
        <v>3.318926255305347</v>
      </c>
      <c r="O44" s="29" t="n">
        <v>63.78752407209885</v>
      </c>
      <c r="P44" s="29" t="n">
        <v>11.09715237067208</v>
      </c>
      <c r="Q44" s="29" t="n">
        <v>17.31375885494341</v>
      </c>
      <c r="R44" s="29" t="n">
        <v>39.78479343656694</v>
      </c>
      <c r="S44" s="29" t="n">
        <v>96.50477043309303</v>
      </c>
      <c r="T44" s="29" t="n">
        <v>39.07638371612641</v>
      </c>
      <c r="U44" s="29" t="n">
        <v>13.18091448485982</v>
      </c>
      <c r="V44" s="29" t="n">
        <v>13.43064328800608</v>
      </c>
      <c r="W44" s="29" t="n">
        <v>152.0058241604441</v>
      </c>
      <c r="X44" s="29" t="n">
        <v>50.56342289912475</v>
      </c>
      <c r="Y44" s="29" t="n">
        <v>38.85388253861717</v>
      </c>
      <c r="Z44" s="29" t="n">
        <v>25.05227559938133</v>
      </c>
      <c r="AA44" s="29" t="n">
        <v>184.7612850995196</v>
      </c>
      <c r="AB44" s="29" t="n">
        <v>212.0643111695947</v>
      </c>
      <c r="AC44" s="29" t="n">
        <v>96.47609176166034</v>
      </c>
      <c r="AD44" s="29" t="n">
        <v>254.5711128476818</v>
      </c>
      <c r="AE44" s="29" t="n">
        <v>206.1703608925541</v>
      </c>
      <c r="AF44" s="29" t="n">
        <v>3418.711958344019</v>
      </c>
      <c r="AG44" s="29" t="n">
        <v>12128.70031462758</v>
      </c>
      <c r="AH44" s="29" t="n">
        <v>4458.192251729228</v>
      </c>
      <c r="AI44" s="29" t="n">
        <v>1686.322883508964</v>
      </c>
      <c r="AJ44" s="29" t="n">
        <v>1277.224806707173</v>
      </c>
      <c r="AK44" s="29" t="n">
        <v>766.3373017650225</v>
      </c>
      <c r="AL44" s="29" t="n">
        <v>435.5944579130796</v>
      </c>
      <c r="AM44" s="29" t="n">
        <v>3633.133637031477</v>
      </c>
      <c r="AN44" s="29" t="n">
        <v>9319.106793306357</v>
      </c>
      <c r="AO44" s="29" t="n">
        <v>277.9880003796982</v>
      </c>
      <c r="AP44" s="29" t="n">
        <v>14394.93803389804</v>
      </c>
      <c r="AQ44" s="29" t="n">
        <v>699.6163724800917</v>
      </c>
      <c r="AR44" s="29" t="n">
        <v>1558.740316876992</v>
      </c>
      <c r="AS44" s="29" t="n">
        <v>1669.664751227407</v>
      </c>
      <c r="AT44" s="29" t="n">
        <v>29.61395420858553</v>
      </c>
      <c r="AU44" s="29" t="n">
        <v>2.50566664314771</v>
      </c>
      <c r="AV44" s="29" t="n">
        <v>143.6085721613109</v>
      </c>
      <c r="AW44" s="29" t="n">
        <v>54.91446134416476</v>
      </c>
      <c r="AX44" s="29" t="n">
        <v>75.25968495481817</v>
      </c>
      <c r="AY44" s="29" t="n">
        <v>10.61738553965952</v>
      </c>
      <c r="AZ44" s="29" t="n">
        <v>86.36179254944074</v>
      </c>
      <c r="BA44" s="29" t="n">
        <v>1153.393116465395</v>
      </c>
      <c r="BB44" s="29" t="n">
        <v>57.18902437210752</v>
      </c>
      <c r="BC44" s="29" t="n">
        <v>100.0593279556593</v>
      </c>
      <c r="BD44" s="29" t="n">
        <v>673.7547272946074</v>
      </c>
      <c r="BE44" s="29" t="n">
        <v>1016.687334065502</v>
      </c>
      <c r="BF44" s="29" t="n">
        <v>152.2623995921902</v>
      </c>
      <c r="BG44" s="29" t="n">
        <v>63.0321863080532</v>
      </c>
      <c r="BH44" s="29" t="n">
        <v>53.28616730568761</v>
      </c>
      <c r="BI44" s="29" t="n">
        <v>849.3709911224166</v>
      </c>
      <c r="BJ44" s="29" t="n">
        <v>5.698005741126428</v>
      </c>
      <c r="BK44" s="29" t="n">
        <v>152.1026838110255</v>
      </c>
      <c r="BL44" s="29" t="n">
        <v>101.489857223028</v>
      </c>
      <c r="BM44" s="29" t="n">
        <v>20.95706586996509</v>
      </c>
      <c r="BN44" s="29" t="n">
        <v>36.87206399568853</v>
      </c>
      <c r="BO44" s="29" t="n">
        <v>26.06199419956424</v>
      </c>
      <c r="BP44" s="29" t="n">
        <v>107.0284709851175</v>
      </c>
      <c r="BQ44" s="29" t="n">
        <v>1395.95829572828</v>
      </c>
      <c r="BR44" s="29" t="n">
        <v>0</v>
      </c>
      <c r="BS44" s="29">
        <f>SUM(C44:BR44)</f>
        <v/>
      </c>
      <c r="BT44" s="29" t="n">
        <v>0</v>
      </c>
      <c r="BU44" s="29" t="n">
        <v>0</v>
      </c>
      <c r="BV44" s="29" t="n">
        <v>36213.6927574203</v>
      </c>
      <c r="BW44" s="29" t="n">
        <v>0</v>
      </c>
      <c r="BX44" s="29">
        <f>SUM(BT44:BW44)</f>
        <v/>
      </c>
      <c r="BY44" s="29">
        <f>BS44+BX44</f>
        <v/>
      </c>
    </row>
    <row r="45">
      <c r="A45" s="30" t="inlineStr">
        <is>
          <t>2800</t>
        </is>
      </c>
      <c r="B45" s="30" t="inlineStr">
        <is>
          <t>Fabricação de máquinas e equipamentos mecânicos</t>
        </is>
      </c>
      <c r="C45" s="31" t="n">
        <v>54.50503165770331</v>
      </c>
      <c r="D45" s="31" t="n">
        <v>77.26314297945518</v>
      </c>
      <c r="E45" s="31" t="n">
        <v>13.76184083667845</v>
      </c>
      <c r="F45" s="31" t="n">
        <v>240.3914205348117</v>
      </c>
      <c r="G45" s="31" t="n">
        <v>5047.366965101208</v>
      </c>
      <c r="H45" s="31" t="n">
        <v>3951.02243123717</v>
      </c>
      <c r="I45" s="31" t="n">
        <v>1423.574149622834</v>
      </c>
      <c r="J45" s="31" t="n">
        <v>134.7505081415273</v>
      </c>
      <c r="K45" s="31" t="n">
        <v>15.05493333270998</v>
      </c>
      <c r="L45" s="31" t="n">
        <v>137.9689676261935</v>
      </c>
      <c r="M45" s="31" t="n">
        <v>167.2687002905054</v>
      </c>
      <c r="N45" s="31" t="n">
        <v>2.287881182915504</v>
      </c>
      <c r="O45" s="31" t="n">
        <v>17.01747797164565</v>
      </c>
      <c r="P45" s="31" t="n">
        <v>14.16382685393527</v>
      </c>
      <c r="Q45" s="31" t="n">
        <v>16.39833063600619</v>
      </c>
      <c r="R45" s="31" t="n">
        <v>125.9222656648004</v>
      </c>
      <c r="S45" s="31" t="n">
        <v>74.19993969987738</v>
      </c>
      <c r="T45" s="31" t="n">
        <v>41.77663079000037</v>
      </c>
      <c r="U45" s="31" t="n">
        <v>178.4980749568971</v>
      </c>
      <c r="V45" s="31" t="n">
        <v>17.28858202989872</v>
      </c>
      <c r="W45" s="31" t="n">
        <v>60.87415917001268</v>
      </c>
      <c r="X45" s="31" t="n">
        <v>56.04115580498319</v>
      </c>
      <c r="Y45" s="31" t="n">
        <v>51.62000506164024</v>
      </c>
      <c r="Z45" s="31" t="n">
        <v>33.40811829645634</v>
      </c>
      <c r="AA45" s="31" t="n">
        <v>204.877898633665</v>
      </c>
      <c r="AB45" s="31" t="n">
        <v>94.82441536123048</v>
      </c>
      <c r="AC45" s="31" t="n">
        <v>284.6494664906683</v>
      </c>
      <c r="AD45" s="31" t="n">
        <v>132.4591630982008</v>
      </c>
      <c r="AE45" s="31" t="n">
        <v>460.05717382097</v>
      </c>
      <c r="AF45" s="31" t="n">
        <v>356.5372857383016</v>
      </c>
      <c r="AG45" s="31" t="n">
        <v>1178.121838249353</v>
      </c>
      <c r="AH45" s="31" t="n">
        <v>26877.59331170243</v>
      </c>
      <c r="AI45" s="31" t="n">
        <v>3740.33853560458</v>
      </c>
      <c r="AJ45" s="31" t="n">
        <v>639.4419292790737</v>
      </c>
      <c r="AK45" s="31" t="n">
        <v>1519.790329384607</v>
      </c>
      <c r="AL45" s="31" t="n">
        <v>118.9753862300068</v>
      </c>
      <c r="AM45" s="31" t="n">
        <v>13741.99614683859</v>
      </c>
      <c r="AN45" s="31" t="n">
        <v>431.5586242149521</v>
      </c>
      <c r="AO45" s="31" t="n">
        <v>153.5341495633389</v>
      </c>
      <c r="AP45" s="31" t="n">
        <v>7334.301243962617</v>
      </c>
      <c r="AQ45" s="31" t="n">
        <v>1095.94230389984</v>
      </c>
      <c r="AR45" s="31" t="n">
        <v>916.2612841823884</v>
      </c>
      <c r="AS45" s="31" t="n">
        <v>636.3214447906746</v>
      </c>
      <c r="AT45" s="31" t="n">
        <v>219.4690145445421</v>
      </c>
      <c r="AU45" s="31" t="n">
        <v>20.48233290256869</v>
      </c>
      <c r="AV45" s="31" t="n">
        <v>365.671035085031</v>
      </c>
      <c r="AW45" s="31" t="n">
        <v>18.68256213480352</v>
      </c>
      <c r="AX45" s="31" t="n">
        <v>87.0243012030358</v>
      </c>
      <c r="AY45" s="31" t="n">
        <v>13.76139908529391</v>
      </c>
      <c r="AZ45" s="31" t="n">
        <v>10.30329172640221</v>
      </c>
      <c r="BA45" s="31" t="n">
        <v>140.8948644976134</v>
      </c>
      <c r="BB45" s="31" t="n">
        <v>41.82866104112071</v>
      </c>
      <c r="BC45" s="31" t="n">
        <v>28.37766845209999</v>
      </c>
      <c r="BD45" s="31" t="n">
        <v>38.40811383062323</v>
      </c>
      <c r="BE45" s="31" t="n">
        <v>56.59962521516125</v>
      </c>
      <c r="BF45" s="31" t="n">
        <v>109.5641560773669</v>
      </c>
      <c r="BG45" s="31" t="n">
        <v>10.33680768918417</v>
      </c>
      <c r="BH45" s="31" t="n">
        <v>36.70751156022691</v>
      </c>
      <c r="BI45" s="31" t="n">
        <v>1882.774128605731</v>
      </c>
      <c r="BJ45" s="31" t="n">
        <v>7.725575991402376</v>
      </c>
      <c r="BK45" s="31" t="n">
        <v>184.9015558222812</v>
      </c>
      <c r="BL45" s="31" t="n">
        <v>48.60030845342289</v>
      </c>
      <c r="BM45" s="31" t="n">
        <v>7.941786406559703</v>
      </c>
      <c r="BN45" s="31" t="n">
        <v>197.970441992442</v>
      </c>
      <c r="BO45" s="31" t="n">
        <v>47.22113837929965</v>
      </c>
      <c r="BP45" s="31" t="n">
        <v>21.94127781317075</v>
      </c>
      <c r="BQ45" s="31" t="n">
        <v>78.54144575050881</v>
      </c>
      <c r="BR45" s="31" t="n">
        <v>0</v>
      </c>
      <c r="BS45" s="31">
        <f>SUM(C45:BR45)</f>
        <v/>
      </c>
      <c r="BT45" s="31" t="n">
        <v>0</v>
      </c>
      <c r="BU45" s="31" t="n">
        <v>0</v>
      </c>
      <c r="BV45" s="31" t="n">
        <v>79546.60828319276</v>
      </c>
      <c r="BW45" s="31" t="n">
        <v>0</v>
      </c>
      <c r="BX45" s="31">
        <f>SUM(BT45:BW45)</f>
        <v/>
      </c>
      <c r="BY45" s="31">
        <f>BS45+BX45</f>
        <v/>
      </c>
    </row>
    <row r="46">
      <c r="A46" s="28" t="inlineStr">
        <is>
          <t>2991</t>
        </is>
      </c>
      <c r="B46" s="28" t="inlineStr">
        <is>
          <t>Fabricação de automóveis, caminhões e ônibus, exceto peças</t>
        </is>
      </c>
      <c r="C46" s="29" t="n">
        <v>8.532001592328495</v>
      </c>
      <c r="D46" s="29" t="n">
        <v>6.195234821427887</v>
      </c>
      <c r="E46" s="29" t="n">
        <v>0.7488152182303286</v>
      </c>
      <c r="F46" s="29" t="n">
        <v>2.862703724018505</v>
      </c>
      <c r="G46" s="29" t="n">
        <v>27.7879780574688</v>
      </c>
      <c r="H46" s="29" t="n">
        <v>31.49493108792604</v>
      </c>
      <c r="I46" s="29" t="n">
        <v>8.261654107125036</v>
      </c>
      <c r="J46" s="29" t="n">
        <v>5.931299184489485</v>
      </c>
      <c r="K46" s="29" t="n">
        <v>52.28842513197728</v>
      </c>
      <c r="L46" s="29" t="n">
        <v>7.285800259871085</v>
      </c>
      <c r="M46" s="29" t="n">
        <v>8.882480602603934</v>
      </c>
      <c r="N46" s="29" t="n">
        <v>0.4659095866319943</v>
      </c>
      <c r="O46" s="29" t="n">
        <v>1.22072471272252</v>
      </c>
      <c r="P46" s="29" t="n">
        <v>0.7319260718512521</v>
      </c>
      <c r="Q46" s="29" t="n">
        <v>0.948025674561004</v>
      </c>
      <c r="R46" s="29" t="n">
        <v>1.637674704169355</v>
      </c>
      <c r="S46" s="29" t="n">
        <v>2.921354701859241</v>
      </c>
      <c r="T46" s="29" t="n">
        <v>0.3438888024835607</v>
      </c>
      <c r="U46" s="29" t="n">
        <v>0.5761617422840859</v>
      </c>
      <c r="V46" s="29" t="n">
        <v>0.5265706993830029</v>
      </c>
      <c r="W46" s="29" t="n">
        <v>5.653508389655598</v>
      </c>
      <c r="X46" s="29" t="n">
        <v>30.29614418981425</v>
      </c>
      <c r="Y46" s="29" t="n">
        <v>3.176549748714788</v>
      </c>
      <c r="Z46" s="29" t="n">
        <v>6.405238535669865</v>
      </c>
      <c r="AA46" s="29" t="n">
        <v>7.116337769905604</v>
      </c>
      <c r="AB46" s="29" t="n">
        <v>14.36933429294698</v>
      </c>
      <c r="AC46" s="29" t="n">
        <v>5.967425400627809</v>
      </c>
      <c r="AD46" s="29" t="n">
        <v>6.25412323811412</v>
      </c>
      <c r="AE46" s="29" t="n">
        <v>11.25668900707104</v>
      </c>
      <c r="AF46" s="29" t="n">
        <v>70.00511518385157</v>
      </c>
      <c r="AG46" s="29" t="n">
        <v>202.2102639463604</v>
      </c>
      <c r="AH46" s="29" t="n">
        <v>252.9709469534212</v>
      </c>
      <c r="AI46" s="29" t="n">
        <v>7822.645235108541</v>
      </c>
      <c r="AJ46" s="29" t="n">
        <v>370.2159343752846</v>
      </c>
      <c r="AK46" s="29" t="n">
        <v>341.9341821554478</v>
      </c>
      <c r="AL46" s="29" t="n">
        <v>9.90022744836716</v>
      </c>
      <c r="AM46" s="29" t="n">
        <v>181.9949933113577</v>
      </c>
      <c r="AN46" s="29" t="n">
        <v>177.6603214641515</v>
      </c>
      <c r="AO46" s="29" t="n">
        <v>17.72802810894937</v>
      </c>
      <c r="AP46" s="29" t="n">
        <v>336.1559960894183</v>
      </c>
      <c r="AQ46" s="29" t="n">
        <v>904.8945746356851</v>
      </c>
      <c r="AR46" s="29" t="n">
        <v>110.6994382731896</v>
      </c>
      <c r="AS46" s="29" t="n">
        <v>1236.616370748683</v>
      </c>
      <c r="AT46" s="29" t="n">
        <v>1.453944016229396</v>
      </c>
      <c r="AU46" s="29" t="n">
        <v>0.1636850920879659</v>
      </c>
      <c r="AV46" s="29" t="n">
        <v>12.61732180608809</v>
      </c>
      <c r="AW46" s="29" t="n">
        <v>1.662026236768936</v>
      </c>
      <c r="AX46" s="29" t="n">
        <v>6.84059576586364</v>
      </c>
      <c r="AY46" s="29" t="n">
        <v>0.4871255725484842</v>
      </c>
      <c r="AZ46" s="29" t="n">
        <v>2.739701919692294</v>
      </c>
      <c r="BA46" s="29" t="n">
        <v>24.16942086153489</v>
      </c>
      <c r="BB46" s="29" t="n">
        <v>2.709654113384208</v>
      </c>
      <c r="BC46" s="29" t="n">
        <v>6.039724013660069</v>
      </c>
      <c r="BD46" s="29" t="n">
        <v>14.39035341484483</v>
      </c>
      <c r="BE46" s="29" t="n">
        <v>19.71790626128168</v>
      </c>
      <c r="BF46" s="29" t="n">
        <v>39.93949719713941</v>
      </c>
      <c r="BG46" s="29" t="n">
        <v>1.703098415694964</v>
      </c>
      <c r="BH46" s="29" t="n">
        <v>24.10221805202832</v>
      </c>
      <c r="BI46" s="29" t="n">
        <v>25.47176962435901</v>
      </c>
      <c r="BJ46" s="29" t="n">
        <v>3.310793607268883</v>
      </c>
      <c r="BK46" s="29" t="n">
        <v>85.40126746503827</v>
      </c>
      <c r="BL46" s="29" t="n">
        <v>17.04443090830076</v>
      </c>
      <c r="BM46" s="29" t="n">
        <v>1.677892014532823</v>
      </c>
      <c r="BN46" s="29" t="n">
        <v>24.25909763396497</v>
      </c>
      <c r="BO46" s="29" t="n">
        <v>12.97357768998519</v>
      </c>
      <c r="BP46" s="29" t="n">
        <v>4.154550136470241</v>
      </c>
      <c r="BQ46" s="29" t="n">
        <v>17.72190143196947</v>
      </c>
      <c r="BR46" s="29" t="n">
        <v>0</v>
      </c>
      <c r="BS46" s="29">
        <f>SUM(C46:BR46)</f>
        <v/>
      </c>
      <c r="BT46" s="29" t="n">
        <v>0</v>
      </c>
      <c r="BU46" s="29" t="n">
        <v>0</v>
      </c>
      <c r="BV46" s="29" t="n">
        <v>137869.6834231965</v>
      </c>
      <c r="BW46" s="29" t="n">
        <v>0</v>
      </c>
      <c r="BX46" s="29">
        <f>SUM(BT46:BW46)</f>
        <v/>
      </c>
      <c r="BY46" s="29">
        <f>BS46+BX46</f>
        <v/>
      </c>
    </row>
    <row r="47">
      <c r="A47" s="30" t="inlineStr">
        <is>
          <t>2992</t>
        </is>
      </c>
      <c r="B47" s="30" t="inlineStr">
        <is>
          <t>Fabricação de peças e acessórios para veículos automotores</t>
        </is>
      </c>
      <c r="C47" s="31" t="n">
        <v>32.84559855422913</v>
      </c>
      <c r="D47" s="31" t="n">
        <v>32.01474174416687</v>
      </c>
      <c r="E47" s="31" t="n">
        <v>2.195674483502096</v>
      </c>
      <c r="F47" s="31" t="n">
        <v>14.98562179069836</v>
      </c>
      <c r="G47" s="31" t="n">
        <v>113.1642906930794</v>
      </c>
      <c r="H47" s="31" t="n">
        <v>67.78587970944128</v>
      </c>
      <c r="I47" s="31" t="n">
        <v>23.68792334322909</v>
      </c>
      <c r="J47" s="31" t="n">
        <v>65.97057344730743</v>
      </c>
      <c r="K47" s="31" t="n">
        <v>5.185559675687864</v>
      </c>
      <c r="L47" s="31" t="n">
        <v>91.82389300730435</v>
      </c>
      <c r="M47" s="31" t="n">
        <v>101.0423931079273</v>
      </c>
      <c r="N47" s="31" t="n">
        <v>0.5988999410255972</v>
      </c>
      <c r="O47" s="31" t="n">
        <v>41.5888394358854</v>
      </c>
      <c r="P47" s="31" t="n">
        <v>10.39217302015679</v>
      </c>
      <c r="Q47" s="31" t="n">
        <v>26.30811831386529</v>
      </c>
      <c r="R47" s="31" t="n">
        <v>12.40439948779504</v>
      </c>
      <c r="S47" s="31" t="n">
        <v>12.19825091864276</v>
      </c>
      <c r="T47" s="31" t="n">
        <v>10.51736542689232</v>
      </c>
      <c r="U47" s="31" t="n">
        <v>8.843292212562714</v>
      </c>
      <c r="V47" s="31" t="n">
        <v>5.989192051859741</v>
      </c>
      <c r="W47" s="31" t="n">
        <v>68.14100579116614</v>
      </c>
      <c r="X47" s="31" t="n">
        <v>28.93396994100141</v>
      </c>
      <c r="Y47" s="31" t="n">
        <v>29.91707952282432</v>
      </c>
      <c r="Z47" s="31" t="n">
        <v>9.864347553666386</v>
      </c>
      <c r="AA47" s="31" t="n">
        <v>90.85180546139243</v>
      </c>
      <c r="AB47" s="31" t="n">
        <v>117.5634786940055</v>
      </c>
      <c r="AC47" s="31" t="n">
        <v>158.7311515901703</v>
      </c>
      <c r="AD47" s="31" t="n">
        <v>24.00877006231273</v>
      </c>
      <c r="AE47" s="31" t="n">
        <v>207.208092623344</v>
      </c>
      <c r="AF47" s="31" t="n">
        <v>144.5297588110843</v>
      </c>
      <c r="AG47" s="31" t="n">
        <v>267.9674678566658</v>
      </c>
      <c r="AH47" s="31" t="n">
        <v>607.8641032576207</v>
      </c>
      <c r="AI47" s="31" t="n">
        <v>51794.36832056857</v>
      </c>
      <c r="AJ47" s="31" t="n">
        <v>12877.33492308252</v>
      </c>
      <c r="AK47" s="31" t="n">
        <v>242.8754489155732</v>
      </c>
      <c r="AL47" s="31" t="n">
        <v>56.20442328098414</v>
      </c>
      <c r="AM47" s="31" t="n">
        <v>352.8955194878575</v>
      </c>
      <c r="AN47" s="31" t="n">
        <v>245.8439401830145</v>
      </c>
      <c r="AO47" s="31" t="n">
        <v>26.44373432783422</v>
      </c>
      <c r="AP47" s="31" t="n">
        <v>1178.948697916848</v>
      </c>
      <c r="AQ47" s="31" t="n">
        <v>18868.60982348985</v>
      </c>
      <c r="AR47" s="31" t="n">
        <v>240.9301831096607</v>
      </c>
      <c r="AS47" s="31" t="n">
        <v>14745.30483965914</v>
      </c>
      <c r="AT47" s="31" t="n">
        <v>4.345216076820021</v>
      </c>
      <c r="AU47" s="31" t="n">
        <v>13.31533710992943</v>
      </c>
      <c r="AV47" s="31" t="n">
        <v>19.33801743307394</v>
      </c>
      <c r="AW47" s="31" t="n">
        <v>13.88350722992142</v>
      </c>
      <c r="AX47" s="31" t="n">
        <v>66.68657559046747</v>
      </c>
      <c r="AY47" s="31" t="n">
        <v>1.324624578404631</v>
      </c>
      <c r="AZ47" s="31" t="n">
        <v>4.487063071637156</v>
      </c>
      <c r="BA47" s="31" t="n">
        <v>31.82966592577515</v>
      </c>
      <c r="BB47" s="31" t="n">
        <v>7.781042117845594</v>
      </c>
      <c r="BC47" s="31" t="n">
        <v>24.43821823855146</v>
      </c>
      <c r="BD47" s="31" t="n">
        <v>36.35989623653006</v>
      </c>
      <c r="BE47" s="31" t="n">
        <v>37.98531140090924</v>
      </c>
      <c r="BF47" s="31" t="n">
        <v>84.80405964441641</v>
      </c>
      <c r="BG47" s="31" t="n">
        <v>4.873246698963554</v>
      </c>
      <c r="BH47" s="31" t="n">
        <v>258.4265903029939</v>
      </c>
      <c r="BI47" s="31" t="n">
        <v>62.64420549502263</v>
      </c>
      <c r="BJ47" s="31" t="n">
        <v>3.362504570648994</v>
      </c>
      <c r="BK47" s="31" t="n">
        <v>1072.539826025583</v>
      </c>
      <c r="BL47" s="31" t="n">
        <v>415.1329683849921</v>
      </c>
      <c r="BM47" s="31" t="n">
        <v>16.05039198298084</v>
      </c>
      <c r="BN47" s="31" t="n">
        <v>164.3654199424755</v>
      </c>
      <c r="BO47" s="31" t="n">
        <v>15.18591941268509</v>
      </c>
      <c r="BP47" s="31" t="n">
        <v>16.85087735420234</v>
      </c>
      <c r="BQ47" s="31" t="n">
        <v>39.44724021053694</v>
      </c>
      <c r="BR47" s="31" t="n">
        <v>0</v>
      </c>
      <c r="BS47" s="31">
        <f>SUM(C47:BR47)</f>
        <v/>
      </c>
      <c r="BT47" s="31" t="n">
        <v>0</v>
      </c>
      <c r="BU47" s="31" t="n">
        <v>0</v>
      </c>
      <c r="BV47" s="31" t="n">
        <v>11790.84020076191</v>
      </c>
      <c r="BW47" s="31" t="n">
        <v>0</v>
      </c>
      <c r="BX47" s="31">
        <f>SUM(BT47:BW47)</f>
        <v/>
      </c>
      <c r="BY47" s="31">
        <f>BS47+BX47</f>
        <v/>
      </c>
    </row>
    <row r="48">
      <c r="A48" s="28" t="inlineStr">
        <is>
          <t>3000</t>
        </is>
      </c>
      <c r="B48" s="28" t="inlineStr">
        <is>
          <t>Fabricação de outros equipamentos de transporte, exceto veículos automotores</t>
        </is>
      </c>
      <c r="C48" s="29" t="n">
        <v>4.892930460773381</v>
      </c>
      <c r="D48" s="29" t="n">
        <v>6.826673229408797</v>
      </c>
      <c r="E48" s="29" t="n">
        <v>1.007093653955778</v>
      </c>
      <c r="F48" s="29" t="n">
        <v>4.285328056694065</v>
      </c>
      <c r="G48" s="29" t="n">
        <v>50.88464876593151</v>
      </c>
      <c r="H48" s="29" t="n">
        <v>31.75422187650961</v>
      </c>
      <c r="I48" s="29" t="n">
        <v>13.01750959810987</v>
      </c>
      <c r="J48" s="29" t="n">
        <v>30.06355927219182</v>
      </c>
      <c r="K48" s="29" t="n">
        <v>2.815623797032699</v>
      </c>
      <c r="L48" s="29" t="n">
        <v>27.6758344853635</v>
      </c>
      <c r="M48" s="29" t="n">
        <v>40.4288450228296</v>
      </c>
      <c r="N48" s="29" t="n">
        <v>0.4139426782564237</v>
      </c>
      <c r="O48" s="29" t="n">
        <v>1.655396826202797</v>
      </c>
      <c r="P48" s="29" t="n">
        <v>7.850831248364856</v>
      </c>
      <c r="Q48" s="29" t="n">
        <v>2.765160761515104</v>
      </c>
      <c r="R48" s="29" t="n">
        <v>6.50457962903132</v>
      </c>
      <c r="S48" s="29" t="n">
        <v>11.50936349515984</v>
      </c>
      <c r="T48" s="29" t="n">
        <v>5.010435884682373</v>
      </c>
      <c r="U48" s="29" t="n">
        <v>5.160137413075166</v>
      </c>
      <c r="V48" s="29" t="n">
        <v>3.347201535583505</v>
      </c>
      <c r="W48" s="29" t="n">
        <v>9.382723940008679</v>
      </c>
      <c r="X48" s="29" t="n">
        <v>10.29483522031115</v>
      </c>
      <c r="Y48" s="29" t="n">
        <v>10.68174341782937</v>
      </c>
      <c r="Z48" s="29" t="n">
        <v>6.576040429267007</v>
      </c>
      <c r="AA48" s="29" t="n">
        <v>11.18359676509668</v>
      </c>
      <c r="AB48" s="29" t="n">
        <v>14.11630827633183</v>
      </c>
      <c r="AC48" s="29" t="n">
        <v>53.18980158288442</v>
      </c>
      <c r="AD48" s="29" t="n">
        <v>10.47625307491478</v>
      </c>
      <c r="AE48" s="29" t="n">
        <v>81.70926884637613</v>
      </c>
      <c r="AF48" s="29" t="n">
        <v>25.84856235276231</v>
      </c>
      <c r="AG48" s="29" t="n">
        <v>39.4377079729748</v>
      </c>
      <c r="AH48" s="29" t="n">
        <v>206.4277190732992</v>
      </c>
      <c r="AI48" s="29" t="n">
        <v>207.7502445462866</v>
      </c>
      <c r="AJ48" s="29" t="n">
        <v>68.54200368486366</v>
      </c>
      <c r="AK48" s="29" t="n">
        <v>17179.99432227372</v>
      </c>
      <c r="AL48" s="29" t="n">
        <v>23.90280671222905</v>
      </c>
      <c r="AM48" s="29" t="n">
        <v>2815.296644826737</v>
      </c>
      <c r="AN48" s="29" t="n">
        <v>40.74846773581422</v>
      </c>
      <c r="AO48" s="29" t="n">
        <v>10.25497817494562</v>
      </c>
      <c r="AP48" s="29" t="n">
        <v>320.2950394259178</v>
      </c>
      <c r="AQ48" s="29" t="n">
        <v>268.7067798137905</v>
      </c>
      <c r="AR48" s="29" t="n">
        <v>67.96887446437694</v>
      </c>
      <c r="AS48" s="29" t="n">
        <v>1794.489616817612</v>
      </c>
      <c r="AT48" s="29" t="n">
        <v>6.217312155323817</v>
      </c>
      <c r="AU48" s="29" t="n">
        <v>2.354458363813653</v>
      </c>
      <c r="AV48" s="29" t="n">
        <v>15.2164307455617</v>
      </c>
      <c r="AW48" s="29" t="n">
        <v>2.625714754064572</v>
      </c>
      <c r="AX48" s="29" t="n">
        <v>23.49214102412254</v>
      </c>
      <c r="AY48" s="29" t="n">
        <v>2.555336609314872</v>
      </c>
      <c r="AZ48" s="29" t="n">
        <v>1.50348569060998</v>
      </c>
      <c r="BA48" s="29" t="n">
        <v>7.29365824206465</v>
      </c>
      <c r="BB48" s="29" t="n">
        <v>5.419314040697505</v>
      </c>
      <c r="BC48" s="29" t="n">
        <v>7.067046608569621</v>
      </c>
      <c r="BD48" s="29" t="n">
        <v>7.025388278929043</v>
      </c>
      <c r="BE48" s="29" t="n">
        <v>9.326975730707229</v>
      </c>
      <c r="BF48" s="29" t="n">
        <v>9.286989071318674</v>
      </c>
      <c r="BG48" s="29" t="n">
        <v>2.449561740716773</v>
      </c>
      <c r="BH48" s="29" t="n">
        <v>7.611002903375388</v>
      </c>
      <c r="BI48" s="29" t="n">
        <v>21.50151511096232</v>
      </c>
      <c r="BJ48" s="29" t="n">
        <v>1.997909103482393</v>
      </c>
      <c r="BK48" s="29" t="n">
        <v>436.3920018508798</v>
      </c>
      <c r="BL48" s="29" t="n">
        <v>8.225516322120914</v>
      </c>
      <c r="BM48" s="29" t="n">
        <v>3.41659551237401</v>
      </c>
      <c r="BN48" s="29" t="n">
        <v>16.40261782360481</v>
      </c>
      <c r="BO48" s="29" t="n">
        <v>51.25535518042935</v>
      </c>
      <c r="BP48" s="29" t="n">
        <v>5.859310889835318</v>
      </c>
      <c r="BQ48" s="29" t="n">
        <v>119.1765545262485</v>
      </c>
      <c r="BR48" s="29" t="n">
        <v>0</v>
      </c>
      <c r="BS48" s="29">
        <f>SUM(C48:BR48)</f>
        <v/>
      </c>
      <c r="BT48" s="29" t="n">
        <v>0</v>
      </c>
      <c r="BU48" s="29" t="n">
        <v>0</v>
      </c>
      <c r="BV48" s="29" t="n">
        <v>37387.83590519313</v>
      </c>
      <c r="BW48" s="29" t="n">
        <v>0</v>
      </c>
      <c r="BX48" s="29">
        <f>SUM(BT48:BW48)</f>
        <v/>
      </c>
      <c r="BY48" s="29">
        <f>BS48+BX48</f>
        <v/>
      </c>
    </row>
    <row r="49">
      <c r="A49" s="30" t="inlineStr">
        <is>
          <t>3180</t>
        </is>
      </c>
      <c r="B49" s="30" t="inlineStr">
        <is>
          <t>Fabricação de móveis e de produtos de indústrias diversas</t>
        </is>
      </c>
      <c r="C49" s="31" t="n">
        <v>67.64027065777718</v>
      </c>
      <c r="D49" s="31" t="n">
        <v>50.75650479548199</v>
      </c>
      <c r="E49" s="31" t="n">
        <v>18.56745857699558</v>
      </c>
      <c r="F49" s="31" t="n">
        <v>21.43398043706243</v>
      </c>
      <c r="G49" s="31" t="n">
        <v>134.874381590704</v>
      </c>
      <c r="H49" s="31" t="n">
        <v>57.46631691289969</v>
      </c>
      <c r="I49" s="31" t="n">
        <v>18.39469563708337</v>
      </c>
      <c r="J49" s="31" t="n">
        <v>87.39629488852114</v>
      </c>
      <c r="K49" s="31" t="n">
        <v>12.87302766116102</v>
      </c>
      <c r="L49" s="31" t="n">
        <v>179.9122486822094</v>
      </c>
      <c r="M49" s="31" t="n">
        <v>99.4554779115094</v>
      </c>
      <c r="N49" s="31" t="n">
        <v>0.7991316344567352</v>
      </c>
      <c r="O49" s="31" t="n">
        <v>89.40345595172406</v>
      </c>
      <c r="P49" s="31" t="n">
        <v>2129.410261342903</v>
      </c>
      <c r="Q49" s="31" t="n">
        <v>427.1326893353623</v>
      </c>
      <c r="R49" s="31" t="n">
        <v>55.90304786403769</v>
      </c>
      <c r="S49" s="31" t="n">
        <v>48.30948225341423</v>
      </c>
      <c r="T49" s="31" t="n">
        <v>24.2528841789731</v>
      </c>
      <c r="U49" s="31" t="n">
        <v>33.42187359893099</v>
      </c>
      <c r="V49" s="31" t="n">
        <v>5.117895386268804</v>
      </c>
      <c r="W49" s="31" t="n">
        <v>229.9734419310862</v>
      </c>
      <c r="X49" s="31" t="n">
        <v>126.1233672904062</v>
      </c>
      <c r="Y49" s="31" t="n">
        <v>52.95131621838497</v>
      </c>
      <c r="Z49" s="31" t="n">
        <v>140.9783969105238</v>
      </c>
      <c r="AA49" s="31" t="n">
        <v>260.6328450263554</v>
      </c>
      <c r="AB49" s="31" t="n">
        <v>266.5741974472286</v>
      </c>
      <c r="AC49" s="31" t="n">
        <v>51.18520555126756</v>
      </c>
      <c r="AD49" s="31" t="n">
        <v>22.17910257100412</v>
      </c>
      <c r="AE49" s="31" t="n">
        <v>110.420086646299</v>
      </c>
      <c r="AF49" s="31" t="n">
        <v>125.1074111288991</v>
      </c>
      <c r="AG49" s="31" t="n">
        <v>101.805145511457</v>
      </c>
      <c r="AH49" s="31" t="n">
        <v>1026.173271961909</v>
      </c>
      <c r="AI49" s="31" t="n">
        <v>546.5726795546638</v>
      </c>
      <c r="AJ49" s="31" t="n">
        <v>648.2021121847149</v>
      </c>
      <c r="AK49" s="31" t="n">
        <v>113.2874502603979</v>
      </c>
      <c r="AL49" s="31" t="n">
        <v>4327.037484658398</v>
      </c>
      <c r="AM49" s="31" t="n">
        <v>308.7734617416712</v>
      </c>
      <c r="AN49" s="31" t="n">
        <v>162.2265902398257</v>
      </c>
      <c r="AO49" s="31" t="n">
        <v>68.15413605920278</v>
      </c>
      <c r="AP49" s="31" t="n">
        <v>1973.845316047305</v>
      </c>
      <c r="AQ49" s="31" t="n">
        <v>89.45132591634429</v>
      </c>
      <c r="AR49" s="31" t="n">
        <v>858.2667717240909</v>
      </c>
      <c r="AS49" s="31" t="n">
        <v>178.7817491670157</v>
      </c>
      <c r="AT49" s="31" t="n">
        <v>133.1430464393101</v>
      </c>
      <c r="AU49" s="31" t="n">
        <v>4.963578476704745</v>
      </c>
      <c r="AV49" s="31" t="n">
        <v>262.2171979899334</v>
      </c>
      <c r="AW49" s="31" t="n">
        <v>18.8696841334449</v>
      </c>
      <c r="AX49" s="31" t="n">
        <v>51.08583538210729</v>
      </c>
      <c r="AY49" s="31" t="n">
        <v>5.041855894056164</v>
      </c>
      <c r="AZ49" s="31" t="n">
        <v>83.39067154460699</v>
      </c>
      <c r="BA49" s="31" t="n">
        <v>11.34305398782621</v>
      </c>
      <c r="BB49" s="31" t="n">
        <v>132.1147019901862</v>
      </c>
      <c r="BC49" s="31" t="n">
        <v>375.2875791752186</v>
      </c>
      <c r="BD49" s="31" t="n">
        <v>219.3987292225402</v>
      </c>
      <c r="BE49" s="31" t="n">
        <v>414.9764581229335</v>
      </c>
      <c r="BF49" s="31" t="n">
        <v>629.9331910568212</v>
      </c>
      <c r="BG49" s="31" t="n">
        <v>434.5648868301719</v>
      </c>
      <c r="BH49" s="31" t="n">
        <v>805.7513483995343</v>
      </c>
      <c r="BI49" s="31" t="n">
        <v>311.4842343693142</v>
      </c>
      <c r="BJ49" s="31" t="n">
        <v>29.82835203700256</v>
      </c>
      <c r="BK49" s="31" t="n">
        <v>1311.917052336211</v>
      </c>
      <c r="BL49" s="31" t="n">
        <v>1589.271916851031</v>
      </c>
      <c r="BM49" s="31" t="n">
        <v>51.84299093801592</v>
      </c>
      <c r="BN49" s="31" t="n">
        <v>3728.034818512388</v>
      </c>
      <c r="BO49" s="31" t="n">
        <v>18341.0605034564</v>
      </c>
      <c r="BP49" s="31" t="n">
        <v>270.3215499057579</v>
      </c>
      <c r="BQ49" s="31" t="n">
        <v>197.2125593821562</v>
      </c>
      <c r="BR49" s="31" t="n">
        <v>0</v>
      </c>
      <c r="BS49" s="31">
        <f>SUM(C49:BR49)</f>
        <v/>
      </c>
      <c r="BT49" s="31" t="n">
        <v>0</v>
      </c>
      <c r="BU49" s="31" t="n">
        <v>0</v>
      </c>
      <c r="BV49" s="31" t="n">
        <v>53248.91511430519</v>
      </c>
      <c r="BW49" s="31" t="n">
        <v>0</v>
      </c>
      <c r="BX49" s="31">
        <f>SUM(BT49:BW49)</f>
        <v/>
      </c>
      <c r="BY49" s="31">
        <f>BS49+BX49</f>
        <v/>
      </c>
    </row>
    <row r="50">
      <c r="A50" s="28" t="inlineStr">
        <is>
          <t>3300</t>
        </is>
      </c>
      <c r="B50" s="28" t="inlineStr">
        <is>
          <t>Manutenção, reparação e instalação de máquinas e equipamentos</t>
        </is>
      </c>
      <c r="C50" s="29" t="n">
        <v>77.63350481854437</v>
      </c>
      <c r="D50" s="29" t="n">
        <v>35.69858894675542</v>
      </c>
      <c r="E50" s="29" t="n">
        <v>99.39182143190392</v>
      </c>
      <c r="F50" s="29" t="n">
        <v>806.8273421039946</v>
      </c>
      <c r="G50" s="29" t="n">
        <v>3312.362757697084</v>
      </c>
      <c r="H50" s="29" t="n">
        <v>1223.499363980321</v>
      </c>
      <c r="I50" s="29" t="n">
        <v>899.282952082668</v>
      </c>
      <c r="J50" s="29" t="n">
        <v>1133.557675246088</v>
      </c>
      <c r="K50" s="29" t="n">
        <v>537.5591653346836</v>
      </c>
      <c r="L50" s="29" t="n">
        <v>607.7900096184311</v>
      </c>
      <c r="M50" s="29" t="n">
        <v>433.13225738592</v>
      </c>
      <c r="N50" s="29" t="n">
        <v>12.75269983926</v>
      </c>
      <c r="O50" s="29" t="n">
        <v>182.1140352353404</v>
      </c>
      <c r="P50" s="29" t="n">
        <v>301.6548474062904</v>
      </c>
      <c r="Q50" s="29" t="n">
        <v>188.6652893805277</v>
      </c>
      <c r="R50" s="29" t="n">
        <v>559.5119631417706</v>
      </c>
      <c r="S50" s="29" t="n">
        <v>2742.689381482732</v>
      </c>
      <c r="T50" s="29" t="n">
        <v>1306.318122278819</v>
      </c>
      <c r="U50" s="29" t="n">
        <v>566.1163159676884</v>
      </c>
      <c r="V50" s="29" t="n">
        <v>755.0342302828965</v>
      </c>
      <c r="W50" s="29" t="n">
        <v>1066.688599721984</v>
      </c>
      <c r="X50" s="29" t="n">
        <v>563.4679339200287</v>
      </c>
      <c r="Y50" s="29" t="n">
        <v>150.4382605208306</v>
      </c>
      <c r="Z50" s="29" t="n">
        <v>673.4707336466092</v>
      </c>
      <c r="AA50" s="29" t="n">
        <v>539.5207472666054</v>
      </c>
      <c r="AB50" s="29" t="n">
        <v>2887.266295024968</v>
      </c>
      <c r="AC50" s="29" t="n">
        <v>8562.695741975132</v>
      </c>
      <c r="AD50" s="29" t="n">
        <v>1995.528603844816</v>
      </c>
      <c r="AE50" s="29" t="n">
        <v>818.3758054503405</v>
      </c>
      <c r="AF50" s="29" t="n">
        <v>147.2713197669498</v>
      </c>
      <c r="AG50" s="29" t="n">
        <v>654.8448961591953</v>
      </c>
      <c r="AH50" s="29" t="n">
        <v>1625.400818368889</v>
      </c>
      <c r="AI50" s="29" t="n">
        <v>249.6547752581169</v>
      </c>
      <c r="AJ50" s="29" t="n">
        <v>611.7453776055426</v>
      </c>
      <c r="AK50" s="29" t="n">
        <v>919.0331624975058</v>
      </c>
      <c r="AL50" s="29" t="n">
        <v>786.4422097388272</v>
      </c>
      <c r="AM50" s="29" t="n">
        <v>1092.096132503682</v>
      </c>
      <c r="AN50" s="29" t="n">
        <v>1704.392661359482</v>
      </c>
      <c r="AO50" s="29" t="n">
        <v>1081.026290766422</v>
      </c>
      <c r="AP50" s="29" t="n">
        <v>2759.086872678826</v>
      </c>
      <c r="AQ50" s="29" t="n">
        <v>832.1130751270462</v>
      </c>
      <c r="AR50" s="29" t="n">
        <v>4533.679375663931</v>
      </c>
      <c r="AS50" s="29" t="n">
        <v>1084.317695290177</v>
      </c>
      <c r="AT50" s="29" t="n">
        <v>1371.963148394316</v>
      </c>
      <c r="AU50" s="29" t="n">
        <v>668.6793303637365</v>
      </c>
      <c r="AV50" s="29" t="n">
        <v>3160.979112424103</v>
      </c>
      <c r="AW50" s="29" t="n">
        <v>9.23882058839947</v>
      </c>
      <c r="AX50" s="29" t="n">
        <v>245.8221577402212</v>
      </c>
      <c r="AY50" s="29" t="n">
        <v>654.8015623671132</v>
      </c>
      <c r="AZ50" s="29" t="n">
        <v>161.5075214469659</v>
      </c>
      <c r="BA50" s="29" t="n">
        <v>549.8115147040588</v>
      </c>
      <c r="BB50" s="29" t="n">
        <v>933.2635547689777</v>
      </c>
      <c r="BC50" s="29" t="n">
        <v>352.7040755851222</v>
      </c>
      <c r="BD50" s="29" t="n">
        <v>109.5977421614919</v>
      </c>
      <c r="BE50" s="29" t="n">
        <v>968.0353149651894</v>
      </c>
      <c r="BF50" s="29" t="n">
        <v>237.1707225829256</v>
      </c>
      <c r="BG50" s="29" t="n">
        <v>139.5288677368743</v>
      </c>
      <c r="BH50" s="29" t="n">
        <v>1029.190775048415</v>
      </c>
      <c r="BI50" s="29" t="n">
        <v>920.3786495197401</v>
      </c>
      <c r="BJ50" s="29" t="n">
        <v>223.381639064109</v>
      </c>
      <c r="BK50" s="29" t="n">
        <v>1218.584153023641</v>
      </c>
      <c r="BL50" s="29" t="n">
        <v>136.018415847055</v>
      </c>
      <c r="BM50" s="29" t="n">
        <v>0.7855670687336942</v>
      </c>
      <c r="BN50" s="29" t="n">
        <v>1113.787847195743</v>
      </c>
      <c r="BO50" s="29" t="n">
        <v>438.5028049331771</v>
      </c>
      <c r="BP50" s="29" t="n">
        <v>581.8178689718982</v>
      </c>
      <c r="BQ50" s="29" t="n">
        <v>532.6790136189405</v>
      </c>
      <c r="BR50" s="29" t="n">
        <v>0</v>
      </c>
      <c r="BS50" s="29">
        <f>SUM(C50:BR50)</f>
        <v/>
      </c>
      <c r="BT50" s="29" t="n">
        <v>0</v>
      </c>
      <c r="BU50" s="29" t="n">
        <v>0</v>
      </c>
      <c r="BV50" s="29" t="n">
        <v>11073.99322665724</v>
      </c>
      <c r="BW50" s="29" t="n">
        <v>0</v>
      </c>
      <c r="BX50" s="29">
        <f>SUM(BT50:BW50)</f>
        <v/>
      </c>
      <c r="BY50" s="29">
        <f>BS50+BX50</f>
        <v/>
      </c>
    </row>
    <row r="51">
      <c r="A51" s="30" t="inlineStr">
        <is>
          <t>3500</t>
        </is>
      </c>
      <c r="B51" s="30" t="inlineStr">
        <is>
          <t>Energia elétrica, gás natural e outras utilidades</t>
        </is>
      </c>
      <c r="C51" s="31" t="n">
        <v>7454.172083891997</v>
      </c>
      <c r="D51" s="31" t="n">
        <v>4997.735442415642</v>
      </c>
      <c r="E51" s="31" t="n">
        <v>410.360058638968</v>
      </c>
      <c r="F51" s="31" t="n">
        <v>696.0882066768811</v>
      </c>
      <c r="G51" s="31" t="n">
        <v>314.5058995491756</v>
      </c>
      <c r="H51" s="31" t="n">
        <v>1154.960493431467</v>
      </c>
      <c r="I51" s="31" t="n">
        <v>478.5130503370777</v>
      </c>
      <c r="J51" s="31" t="n">
        <v>1651.859918178978</v>
      </c>
      <c r="K51" s="31" t="n">
        <v>57.58438636846855</v>
      </c>
      <c r="L51" s="31" t="n">
        <v>3274.004390650036</v>
      </c>
      <c r="M51" s="31" t="n">
        <v>725.4028341413466</v>
      </c>
      <c r="N51" s="31" t="n">
        <v>63.38200860782223</v>
      </c>
      <c r="O51" s="31" t="n">
        <v>1515.963288339559</v>
      </c>
      <c r="P51" s="31" t="n">
        <v>248.4856081018357</v>
      </c>
      <c r="Q51" s="31" t="n">
        <v>295.3250440143173</v>
      </c>
      <c r="R51" s="31" t="n">
        <v>882.0485796693627</v>
      </c>
      <c r="S51" s="31" t="n">
        <v>2167.994825086498</v>
      </c>
      <c r="T51" s="31" t="n">
        <v>159.7309889896306</v>
      </c>
      <c r="U51" s="31" t="n">
        <v>42.01431875950587</v>
      </c>
      <c r="V51" s="31" t="n">
        <v>175.0397799747782</v>
      </c>
      <c r="W51" s="31" t="n">
        <v>4577.909170711587</v>
      </c>
      <c r="X51" s="31" t="n">
        <v>723.6249657898293</v>
      </c>
      <c r="Y51" s="31" t="n">
        <v>223.9400943578954</v>
      </c>
      <c r="Z51" s="31" t="n">
        <v>321.2855075735647</v>
      </c>
      <c r="AA51" s="31" t="n">
        <v>2230.142534502134</v>
      </c>
      <c r="AB51" s="31" t="n">
        <v>4610.504377609871</v>
      </c>
      <c r="AC51" s="31" t="n">
        <v>3603.318310994241</v>
      </c>
      <c r="AD51" s="31" t="n">
        <v>2795.530415857523</v>
      </c>
      <c r="AE51" s="31" t="n">
        <v>1319.378362781879</v>
      </c>
      <c r="AF51" s="31" t="n">
        <v>172.5425262206587</v>
      </c>
      <c r="AG51" s="31" t="n">
        <v>659.7725634793103</v>
      </c>
      <c r="AH51" s="31" t="n">
        <v>704.8932656454331</v>
      </c>
      <c r="AI51" s="31" t="n">
        <v>508.3045956906294</v>
      </c>
      <c r="AJ51" s="31" t="n">
        <v>1190.590737339086</v>
      </c>
      <c r="AK51" s="31" t="n">
        <v>327.1015570853046</v>
      </c>
      <c r="AL51" s="31" t="n">
        <v>417.8722923048556</v>
      </c>
      <c r="AM51" s="31" t="n">
        <v>260.910488755905</v>
      </c>
      <c r="AN51" s="31" t="n">
        <v>94461.31951726327</v>
      </c>
      <c r="AO51" s="31" t="n">
        <v>3456.675719046427</v>
      </c>
      <c r="AP51" s="31" t="n">
        <v>665.0989193946061</v>
      </c>
      <c r="AQ51" s="31" t="n">
        <v>1500.120907810891</v>
      </c>
      <c r="AR51" s="31" t="n">
        <v>20354.49734516338</v>
      </c>
      <c r="AS51" s="31" t="n">
        <v>1423.109037575912</v>
      </c>
      <c r="AT51" s="31" t="n">
        <v>62.13369537629417</v>
      </c>
      <c r="AU51" s="31" t="n">
        <v>43.26161496887971</v>
      </c>
      <c r="AV51" s="31" t="n">
        <v>1214.027015555141</v>
      </c>
      <c r="AW51" s="31" t="n">
        <v>1383.299084662852</v>
      </c>
      <c r="AX51" s="31" t="n">
        <v>1827.232159700925</v>
      </c>
      <c r="AY51" s="31" t="n">
        <v>173.6084220940911</v>
      </c>
      <c r="AZ51" s="31" t="n">
        <v>417.5637561259533</v>
      </c>
      <c r="BA51" s="31" t="n">
        <v>2078.014245640412</v>
      </c>
      <c r="BB51" s="31" t="n">
        <v>612.3635961019908</v>
      </c>
      <c r="BC51" s="31" t="n">
        <v>2650.066237042091</v>
      </c>
      <c r="BD51" s="31" t="n">
        <v>500.8369291711834</v>
      </c>
      <c r="BE51" s="31" t="n">
        <v>1217.303870777463</v>
      </c>
      <c r="BF51" s="31" t="n">
        <v>340.3020545897882</v>
      </c>
      <c r="BG51" s="31" t="n">
        <v>203.8286053241603</v>
      </c>
      <c r="BH51" s="31" t="n">
        <v>183.7502168684733</v>
      </c>
      <c r="BI51" s="31" t="n">
        <v>7094.809332165838</v>
      </c>
      <c r="BJ51" s="31" t="n">
        <v>107.6118573494663</v>
      </c>
      <c r="BK51" s="31" t="n">
        <v>5957.557600705757</v>
      </c>
      <c r="BL51" s="31" t="n">
        <v>1844.698836886172</v>
      </c>
      <c r="BM51" s="31" t="n">
        <v>2533.544434821478</v>
      </c>
      <c r="BN51" s="31" t="n">
        <v>1398.426961856302</v>
      </c>
      <c r="BO51" s="31" t="n">
        <v>1664.007279209355</v>
      </c>
      <c r="BP51" s="31" t="n">
        <v>1038.068448634058</v>
      </c>
      <c r="BQ51" s="31" t="n">
        <v>3512.657684462318</v>
      </c>
      <c r="BR51" s="31" t="n">
        <v>0</v>
      </c>
      <c r="BS51" s="31">
        <f>SUM(C51:BR51)</f>
        <v/>
      </c>
      <c r="BT51" s="31" t="n">
        <v>0</v>
      </c>
      <c r="BU51" s="31" t="n">
        <v>0</v>
      </c>
      <c r="BV51" s="31" t="n">
        <v>85241.5205237599</v>
      </c>
      <c r="BW51" s="31" t="n">
        <v>0</v>
      </c>
      <c r="BX51" s="31">
        <f>SUM(BT51:BW51)</f>
        <v/>
      </c>
      <c r="BY51" s="31">
        <f>BS51+BX51</f>
        <v/>
      </c>
    </row>
    <row r="52">
      <c r="A52" s="28" t="inlineStr">
        <is>
          <t>3680</t>
        </is>
      </c>
      <c r="B52" s="28" t="inlineStr">
        <is>
          <t>Água, esgoto e gestão de resíduos</t>
        </is>
      </c>
      <c r="C52" s="29" t="n">
        <v>3.491436486451707</v>
      </c>
      <c r="D52" s="29" t="n">
        <v>1.071943570482246</v>
      </c>
      <c r="E52" s="29" t="n">
        <v>1.041343795972165</v>
      </c>
      <c r="F52" s="29" t="n">
        <v>28.18130957023185</v>
      </c>
      <c r="G52" s="29" t="n">
        <v>44.10002619664163</v>
      </c>
      <c r="H52" s="29" t="n">
        <v>178.1191854675519</v>
      </c>
      <c r="I52" s="29" t="n">
        <v>65.84692168300084</v>
      </c>
      <c r="J52" s="29" t="n">
        <v>144.0415708338346</v>
      </c>
      <c r="K52" s="29" t="n">
        <v>52.80030574165529</v>
      </c>
      <c r="L52" s="29" t="n">
        <v>286.9946354416126</v>
      </c>
      <c r="M52" s="29" t="n">
        <v>518.380861314315</v>
      </c>
      <c r="N52" s="29" t="n">
        <v>1.051066107526431</v>
      </c>
      <c r="O52" s="29" t="n">
        <v>58.99708051018279</v>
      </c>
      <c r="P52" s="29" t="n">
        <v>28.21731835445883</v>
      </c>
      <c r="Q52" s="29" t="n">
        <v>21.64272009566575</v>
      </c>
      <c r="R52" s="29" t="n">
        <v>205.9426001321285</v>
      </c>
      <c r="S52" s="29" t="n">
        <v>333.133162132957</v>
      </c>
      <c r="T52" s="29" t="n">
        <v>7.929621148111901</v>
      </c>
      <c r="U52" s="29" t="n">
        <v>412.5073984959583</v>
      </c>
      <c r="V52" s="29" t="n">
        <v>27.70397352711035</v>
      </c>
      <c r="W52" s="29" t="n">
        <v>602.9357867983189</v>
      </c>
      <c r="X52" s="29" t="n">
        <v>414.978033860883</v>
      </c>
      <c r="Y52" s="29" t="n">
        <v>122.3801986819997</v>
      </c>
      <c r="Z52" s="29" t="n">
        <v>74.54001237866309</v>
      </c>
      <c r="AA52" s="29" t="n">
        <v>504.7706609545193</v>
      </c>
      <c r="AB52" s="29" t="n">
        <v>742.9210792829529</v>
      </c>
      <c r="AC52" s="29" t="n">
        <v>4703.383320816995</v>
      </c>
      <c r="AD52" s="29" t="n">
        <v>2288.836741326983</v>
      </c>
      <c r="AE52" s="29" t="n">
        <v>164.2900337951809</v>
      </c>
      <c r="AF52" s="29" t="n">
        <v>20.05509492586877</v>
      </c>
      <c r="AG52" s="29" t="n">
        <v>59.47305251010529</v>
      </c>
      <c r="AH52" s="29" t="n">
        <v>98.42873591082363</v>
      </c>
      <c r="AI52" s="29" t="n">
        <v>86.78907614482009</v>
      </c>
      <c r="AJ52" s="29" t="n">
        <v>249.9344903527559</v>
      </c>
      <c r="AK52" s="29" t="n">
        <v>128.8150391611137</v>
      </c>
      <c r="AL52" s="29" t="n">
        <v>76.24481955546706</v>
      </c>
      <c r="AM52" s="29" t="n">
        <v>26.26387790857841</v>
      </c>
      <c r="AN52" s="29" t="n">
        <v>71.91163655313457</v>
      </c>
      <c r="AO52" s="29" t="n">
        <v>926.3789913201027</v>
      </c>
      <c r="AP52" s="29" t="n">
        <v>273.9358555989968</v>
      </c>
      <c r="AQ52" s="29" t="n">
        <v>339.4236663241684</v>
      </c>
      <c r="AR52" s="29" t="n">
        <v>3814.553373363586</v>
      </c>
      <c r="AS52" s="29" t="n">
        <v>262.7288689267481</v>
      </c>
      <c r="AT52" s="29" t="n">
        <v>8.908075968865122</v>
      </c>
      <c r="AU52" s="29" t="n">
        <v>6.178935529871866</v>
      </c>
      <c r="AV52" s="29" t="n">
        <v>689.2389514813459</v>
      </c>
      <c r="AW52" s="29" t="n">
        <v>323.2688835722427</v>
      </c>
      <c r="AX52" s="29" t="n">
        <v>1086.588868127887</v>
      </c>
      <c r="AY52" s="29" t="n">
        <v>31.75332552059632</v>
      </c>
      <c r="AZ52" s="29" t="n">
        <v>50.61587319460292</v>
      </c>
      <c r="BA52" s="29" t="n">
        <v>49.14265692370844</v>
      </c>
      <c r="BB52" s="29" t="n">
        <v>95.48707464608755</v>
      </c>
      <c r="BC52" s="29" t="n">
        <v>520.107226208597</v>
      </c>
      <c r="BD52" s="29" t="n">
        <v>361.5421994649257</v>
      </c>
      <c r="BE52" s="29" t="n">
        <v>492.3849206410736</v>
      </c>
      <c r="BF52" s="29" t="n">
        <v>65.76730986281198</v>
      </c>
      <c r="BG52" s="29" t="n">
        <v>29.95606140430784</v>
      </c>
      <c r="BH52" s="29" t="n">
        <v>44.92657913864695</v>
      </c>
      <c r="BI52" s="29" t="n">
        <v>3983.996067408828</v>
      </c>
      <c r="BJ52" s="29" t="n">
        <v>28.79175232109139</v>
      </c>
      <c r="BK52" s="29" t="n">
        <v>10102.78409528515</v>
      </c>
      <c r="BL52" s="29" t="n">
        <v>1291.703290032467</v>
      </c>
      <c r="BM52" s="29" t="n">
        <v>220.3332039377024</v>
      </c>
      <c r="BN52" s="29" t="n">
        <v>1664.157518511328</v>
      </c>
      <c r="BO52" s="29" t="n">
        <v>1818.322795996573</v>
      </c>
      <c r="BP52" s="29" t="n">
        <v>102.603930407141</v>
      </c>
      <c r="BQ52" s="29" t="n">
        <v>1640.564324561285</v>
      </c>
      <c r="BR52" s="29" t="n">
        <v>0</v>
      </c>
      <c r="BS52" s="29">
        <f>SUM(C52:BR52)</f>
        <v/>
      </c>
      <c r="BT52" s="29" t="n">
        <v>0</v>
      </c>
      <c r="BU52" s="29" t="n">
        <v>0</v>
      </c>
      <c r="BV52" s="29" t="n">
        <v>23439.19346049687</v>
      </c>
      <c r="BW52" s="29" t="n">
        <v>0</v>
      </c>
      <c r="BX52" s="29">
        <f>SUM(BT52:BW52)</f>
        <v/>
      </c>
      <c r="BY52" s="29">
        <f>BS52+BX52</f>
        <v/>
      </c>
    </row>
    <row r="53">
      <c r="A53" s="30" t="inlineStr">
        <is>
          <t>4180</t>
        </is>
      </c>
      <c r="B53" s="30" t="inlineStr">
        <is>
          <t>Construção</t>
        </is>
      </c>
      <c r="C53" s="31" t="n">
        <v>94.89469157677271</v>
      </c>
      <c r="D53" s="31" t="n">
        <v>189.1462476622046</v>
      </c>
      <c r="E53" s="31" t="n">
        <v>12.20625342780135</v>
      </c>
      <c r="F53" s="31" t="n">
        <v>8.570311203989467</v>
      </c>
      <c r="G53" s="31" t="n">
        <v>2107.830760582086</v>
      </c>
      <c r="H53" s="31" t="n">
        <v>1147.811245639642</v>
      </c>
      <c r="I53" s="31" t="n">
        <v>335.0721963243686</v>
      </c>
      <c r="J53" s="31" t="n">
        <v>11.05220713474923</v>
      </c>
      <c r="K53" s="31" t="n">
        <v>11.1608102332271</v>
      </c>
      <c r="L53" s="31" t="n">
        <v>32.21790328078953</v>
      </c>
      <c r="M53" s="31" t="n">
        <v>8.570689968874049</v>
      </c>
      <c r="N53" s="31" t="n">
        <v>1.021188662213897</v>
      </c>
      <c r="O53" s="31" t="n">
        <v>25.32549956212375</v>
      </c>
      <c r="P53" s="31" t="n">
        <v>4.53241483626582</v>
      </c>
      <c r="Q53" s="31" t="n">
        <v>2.054634749808806</v>
      </c>
      <c r="R53" s="31" t="n">
        <v>2.491779917010734</v>
      </c>
      <c r="S53" s="31" t="n">
        <v>35.15395878175531</v>
      </c>
      <c r="T53" s="31" t="n">
        <v>20.57837776983645</v>
      </c>
      <c r="U53" s="31" t="n">
        <v>31.51137735544362</v>
      </c>
      <c r="V53" s="31" t="n">
        <v>29.36813968853933</v>
      </c>
      <c r="W53" s="31" t="n">
        <v>79.51905485025176</v>
      </c>
      <c r="X53" s="31" t="n">
        <v>11.764449055631</v>
      </c>
      <c r="Y53" s="31" t="n">
        <v>2.944121538087915</v>
      </c>
      <c r="Z53" s="31" t="n">
        <v>5.84097085069666</v>
      </c>
      <c r="AA53" s="31" t="n">
        <v>13.68256549940514</v>
      </c>
      <c r="AB53" s="31" t="n">
        <v>34.71617891570329</v>
      </c>
      <c r="AC53" s="31" t="n">
        <v>120.0641726641303</v>
      </c>
      <c r="AD53" s="31" t="n">
        <v>1553.839274674899</v>
      </c>
      <c r="AE53" s="31" t="n">
        <v>68.93028633886937</v>
      </c>
      <c r="AF53" s="31" t="n">
        <v>84.31300055123654</v>
      </c>
      <c r="AG53" s="31" t="n">
        <v>17.07828910354408</v>
      </c>
      <c r="AH53" s="31" t="n">
        <v>99.86391897383014</v>
      </c>
      <c r="AI53" s="31" t="n">
        <v>259.0586141604726</v>
      </c>
      <c r="AJ53" s="31" t="n">
        <v>32.40764740239774</v>
      </c>
      <c r="AK53" s="31" t="n">
        <v>240.2593440524249</v>
      </c>
      <c r="AL53" s="31" t="n">
        <v>22.13671004239561</v>
      </c>
      <c r="AM53" s="31" t="n">
        <v>12.15179934566867</v>
      </c>
      <c r="AN53" s="31" t="n">
        <v>26.07268950866375</v>
      </c>
      <c r="AO53" s="31" t="n">
        <v>4179.523903417075</v>
      </c>
      <c r="AP53" s="31" t="n">
        <v>64444.62890111314</v>
      </c>
      <c r="AQ53" s="31" t="n">
        <v>527.6683323223905</v>
      </c>
      <c r="AR53" s="31" t="n">
        <v>1057.056646984061</v>
      </c>
      <c r="AS53" s="31" t="n">
        <v>340.0008785278006</v>
      </c>
      <c r="AT53" s="31" t="n">
        <v>23.45292945902406</v>
      </c>
      <c r="AU53" s="31" t="n">
        <v>59.69720549696132</v>
      </c>
      <c r="AV53" s="31" t="n">
        <v>1404.851904603063</v>
      </c>
      <c r="AW53" s="31" t="n">
        <v>286.4452430481307</v>
      </c>
      <c r="AX53" s="31" t="n">
        <v>434.0369107398518</v>
      </c>
      <c r="AY53" s="31" t="n">
        <v>27.18296634459416</v>
      </c>
      <c r="AZ53" s="31" t="n">
        <v>248.7052081331248</v>
      </c>
      <c r="BA53" s="31" t="n">
        <v>4973.598214773869</v>
      </c>
      <c r="BB53" s="31" t="n">
        <v>887.8811328352241</v>
      </c>
      <c r="BC53" s="31" t="n">
        <v>1820.080573862155</v>
      </c>
      <c r="BD53" s="31" t="n">
        <v>1671.456893704353</v>
      </c>
      <c r="BE53" s="31" t="n">
        <v>311.1506631093035</v>
      </c>
      <c r="BF53" s="31" t="n">
        <v>804.2115913106601</v>
      </c>
      <c r="BG53" s="31" t="n">
        <v>14.44657646591219</v>
      </c>
      <c r="BH53" s="31" t="n">
        <v>218.106395449872</v>
      </c>
      <c r="BI53" s="31" t="n">
        <v>2767.042965532789</v>
      </c>
      <c r="BJ53" s="31" t="n">
        <v>16.31473638300256</v>
      </c>
      <c r="BK53" s="31" t="n">
        <v>12928.67494003342</v>
      </c>
      <c r="BL53" s="31" t="n">
        <v>1300.524042554057</v>
      </c>
      <c r="BM53" s="31" t="n">
        <v>434.468507586611</v>
      </c>
      <c r="BN53" s="31" t="n">
        <v>3641.248936747287</v>
      </c>
      <c r="BO53" s="31" t="n">
        <v>28.06805062507862</v>
      </c>
      <c r="BP53" s="31" t="n">
        <v>146.8247045626749</v>
      </c>
      <c r="BQ53" s="31" t="n">
        <v>397.1722532795501</v>
      </c>
      <c r="BR53" s="31" t="n">
        <v>0</v>
      </c>
      <c r="BS53" s="31">
        <f>SUM(C53:BR53)</f>
        <v/>
      </c>
      <c r="BT53" s="31" t="n">
        <v>0</v>
      </c>
      <c r="BU53" s="31" t="n">
        <v>0</v>
      </c>
      <c r="BV53" s="31" t="n">
        <v>526764.127832</v>
      </c>
      <c r="BW53" s="31" t="n">
        <v>0</v>
      </c>
      <c r="BX53" s="31">
        <f>SUM(BT53:BW53)</f>
        <v/>
      </c>
      <c r="BY53" s="31">
        <f>BS53+BX53</f>
        <v/>
      </c>
    </row>
    <row r="54">
      <c r="A54" s="28" t="inlineStr">
        <is>
          <t>4500</t>
        </is>
      </c>
      <c r="B54" s="28" t="inlineStr">
        <is>
          <t>Comércio e reparação de veículos automotores e motocicletas</t>
        </is>
      </c>
      <c r="C54" s="29" t="n">
        <v>189.2121738344725</v>
      </c>
      <c r="D54" s="29" t="n">
        <v>41.64159168671363</v>
      </c>
      <c r="E54" s="29" t="n">
        <v>23.4419460033925</v>
      </c>
      <c r="F54" s="29" t="n">
        <v>73.7788586520977</v>
      </c>
      <c r="G54" s="29" t="n">
        <v>327.2153395578247</v>
      </c>
      <c r="H54" s="29" t="n">
        <v>683.7346525479524</v>
      </c>
      <c r="I54" s="29" t="n">
        <v>100.5603194267812</v>
      </c>
      <c r="J54" s="29" t="n">
        <v>30.96359117944153</v>
      </c>
      <c r="K54" s="29" t="n">
        <v>19.37783967083528</v>
      </c>
      <c r="L54" s="29" t="n">
        <v>62.729956192762</v>
      </c>
      <c r="M54" s="29" t="n">
        <v>52.16041240014087</v>
      </c>
      <c r="N54" s="29" t="n">
        <v>1.250553941812175</v>
      </c>
      <c r="O54" s="29" t="n">
        <v>5.681094473569241</v>
      </c>
      <c r="P54" s="29" t="n">
        <v>4.698747146795485</v>
      </c>
      <c r="Q54" s="29" t="n">
        <v>6.508509981415273</v>
      </c>
      <c r="R54" s="29" t="n">
        <v>3.949186651125123</v>
      </c>
      <c r="S54" s="29" t="n">
        <v>22.69673175851936</v>
      </c>
      <c r="T54" s="29" t="n">
        <v>4.332309207695916</v>
      </c>
      <c r="U54" s="29" t="n">
        <v>15.48320207330177</v>
      </c>
      <c r="V54" s="29" t="n">
        <v>11.49633997966455</v>
      </c>
      <c r="W54" s="29" t="n">
        <v>14.66004614319017</v>
      </c>
      <c r="X54" s="29" t="n">
        <v>23.8579605812996</v>
      </c>
      <c r="Y54" s="29" t="n">
        <v>4.221073409652861</v>
      </c>
      <c r="Z54" s="29" t="n">
        <v>50.96318799863419</v>
      </c>
      <c r="AA54" s="29" t="n">
        <v>191.5914784606059</v>
      </c>
      <c r="AB54" s="29" t="n">
        <v>323.747183172784</v>
      </c>
      <c r="AC54" s="29" t="n">
        <v>28.11581434781392</v>
      </c>
      <c r="AD54" s="29" t="n">
        <v>53.75992499489721</v>
      </c>
      <c r="AE54" s="29" t="n">
        <v>23.64019545470298</v>
      </c>
      <c r="AF54" s="29" t="n">
        <v>498.2214377458616</v>
      </c>
      <c r="AG54" s="29" t="n">
        <v>37.42597235947954</v>
      </c>
      <c r="AH54" s="29" t="n">
        <v>2348.245725838231</v>
      </c>
      <c r="AI54" s="29" t="n">
        <v>866.3792389092908</v>
      </c>
      <c r="AJ54" s="29" t="n">
        <v>150.6782672104884</v>
      </c>
      <c r="AK54" s="29" t="n">
        <v>19.11764573985306</v>
      </c>
      <c r="AL54" s="29" t="n">
        <v>52.46169239615278</v>
      </c>
      <c r="AM54" s="29" t="n">
        <v>78.20702201418936</v>
      </c>
      <c r="AN54" s="29" t="n">
        <v>396.9384701220936</v>
      </c>
      <c r="AO54" s="29" t="n">
        <v>641.1227609878092</v>
      </c>
      <c r="AP54" s="29" t="n">
        <v>664.3573423228084</v>
      </c>
      <c r="AQ54" s="29" t="n">
        <v>1480.762633539035</v>
      </c>
      <c r="AR54" s="29" t="n">
        <v>3672.844255641679</v>
      </c>
      <c r="AS54" s="29" t="n">
        <v>6282.826202556436</v>
      </c>
      <c r="AT54" s="29" t="n">
        <v>37.01885711449346</v>
      </c>
      <c r="AU54" s="29" t="n">
        <v>95.63931441823507</v>
      </c>
      <c r="AV54" s="29" t="n">
        <v>484.7935231620235</v>
      </c>
      <c r="AW54" s="29" t="n">
        <v>3.513191112933236</v>
      </c>
      <c r="AX54" s="29" t="n">
        <v>124.4579206610467</v>
      </c>
      <c r="AY54" s="29" t="n">
        <v>27.15934572554578</v>
      </c>
      <c r="AZ54" s="29" t="n">
        <v>81.3547640540114</v>
      </c>
      <c r="BA54" s="29" t="n">
        <v>150.4084230163909</v>
      </c>
      <c r="BB54" s="29" t="n">
        <v>66.52448391292864</v>
      </c>
      <c r="BC54" s="29" t="n">
        <v>157.5688021514943</v>
      </c>
      <c r="BD54" s="29" t="n">
        <v>34.25948282752026</v>
      </c>
      <c r="BE54" s="29" t="n">
        <v>19.51145807005334</v>
      </c>
      <c r="BF54" s="29" t="n">
        <v>124.4343221698319</v>
      </c>
      <c r="BG54" s="29" t="n">
        <v>26.2792745111361</v>
      </c>
      <c r="BH54" s="29" t="n">
        <v>887.8114066864424</v>
      </c>
      <c r="BI54" s="29" t="n">
        <v>90.64339735895473</v>
      </c>
      <c r="BJ54" s="29" t="n">
        <v>160.4789686040837</v>
      </c>
      <c r="BK54" s="29" t="n">
        <v>1615.309676817556</v>
      </c>
      <c r="BL54" s="29" t="n">
        <v>306.0132188101528</v>
      </c>
      <c r="BM54" s="29" t="n">
        <v>54.86839358322371</v>
      </c>
      <c r="BN54" s="29" t="n">
        <v>1061.09386404351</v>
      </c>
      <c r="BO54" s="29" t="n">
        <v>654.6431373018771</v>
      </c>
      <c r="BP54" s="29" t="n">
        <v>62.246875009551</v>
      </c>
      <c r="BQ54" s="29" t="n">
        <v>44.05146212937018</v>
      </c>
      <c r="BR54" s="29" t="n">
        <v>0</v>
      </c>
      <c r="BS54" s="29">
        <f>SUM(C54:BR54)</f>
        <v/>
      </c>
      <c r="BT54" s="29" t="n">
        <v>0</v>
      </c>
      <c r="BU54" s="29" t="n">
        <v>0</v>
      </c>
      <c r="BV54" s="29" t="n">
        <v>94096.98742084642</v>
      </c>
      <c r="BW54" s="29" t="n">
        <v>0</v>
      </c>
      <c r="BX54" s="29">
        <f>SUM(BT54:BW54)</f>
        <v/>
      </c>
      <c r="BY54" s="29">
        <f>BS54+BX54</f>
        <v/>
      </c>
    </row>
    <row r="55">
      <c r="A55" s="30" t="inlineStr">
        <is>
          <t>4680</t>
        </is>
      </c>
      <c r="B55" s="30" t="inlineStr">
        <is>
          <t>Comércio por atacado e a varejo, exceto veículos automotores</t>
        </is>
      </c>
      <c r="C55" s="31" t="n">
        <v>708.8492336010623</v>
      </c>
      <c r="D55" s="31" t="n">
        <v>938.8413309093598</v>
      </c>
      <c r="E55" s="31" t="n">
        <v>43.43500821651153</v>
      </c>
      <c r="F55" s="31" t="n">
        <v>150.4563210267181</v>
      </c>
      <c r="G55" s="31" t="n">
        <v>1677.513969060781</v>
      </c>
      <c r="H55" s="31" t="n">
        <v>407.115848123503</v>
      </c>
      <c r="I55" s="31" t="n">
        <v>197.1144998609402</v>
      </c>
      <c r="J55" s="31" t="n">
        <v>9238.980076128806</v>
      </c>
      <c r="K55" s="31" t="n">
        <v>400.7770107644519</v>
      </c>
      <c r="L55" s="31" t="n">
        <v>7302.674362663092</v>
      </c>
      <c r="M55" s="31" t="n">
        <v>786.5882129724209</v>
      </c>
      <c r="N55" s="31" t="n">
        <v>177.9849820992845</v>
      </c>
      <c r="O55" s="31" t="n">
        <v>580.6075513840624</v>
      </c>
      <c r="P55" s="31" t="n">
        <v>805.5442235913342</v>
      </c>
      <c r="Q55" s="31" t="n">
        <v>960.6207658423482</v>
      </c>
      <c r="R55" s="31" t="n">
        <v>363.755089070075</v>
      </c>
      <c r="S55" s="31" t="n">
        <v>2089.394464921275</v>
      </c>
      <c r="T55" s="31" t="n">
        <v>287.9267377270251</v>
      </c>
      <c r="U55" s="31" t="n">
        <v>3944.019531198295</v>
      </c>
      <c r="V55" s="31" t="n">
        <v>704.3289528153227</v>
      </c>
      <c r="W55" s="31" t="n">
        <v>1019.496776277283</v>
      </c>
      <c r="X55" s="31" t="n">
        <v>1306.505446089202</v>
      </c>
      <c r="Y55" s="31" t="n">
        <v>265.4452298505084</v>
      </c>
      <c r="Z55" s="31" t="n">
        <v>2254.822042759624</v>
      </c>
      <c r="AA55" s="31" t="n">
        <v>1689.733895144967</v>
      </c>
      <c r="AB55" s="31" t="n">
        <v>1555.587137613307</v>
      </c>
      <c r="AC55" s="31" t="n">
        <v>2411.971427725348</v>
      </c>
      <c r="AD55" s="31" t="n">
        <v>666.6300952394649</v>
      </c>
      <c r="AE55" s="31" t="n">
        <v>1504.424935676168</v>
      </c>
      <c r="AF55" s="31" t="n">
        <v>1414.613758707703</v>
      </c>
      <c r="AG55" s="31" t="n">
        <v>1261.174358186287</v>
      </c>
      <c r="AH55" s="31" t="n">
        <v>2783.937692050706</v>
      </c>
      <c r="AI55" s="31" t="n">
        <v>455.8836135692918</v>
      </c>
      <c r="AJ55" s="31" t="n">
        <v>226.5137754221769</v>
      </c>
      <c r="AK55" s="31" t="n">
        <v>388.3092872087673</v>
      </c>
      <c r="AL55" s="31" t="n">
        <v>936.1137317863413</v>
      </c>
      <c r="AM55" s="31" t="n">
        <v>373.2377658857157</v>
      </c>
      <c r="AN55" s="31" t="n">
        <v>641.6968080599288</v>
      </c>
      <c r="AO55" s="31" t="n">
        <v>294.5025311710496</v>
      </c>
      <c r="AP55" s="31" t="n">
        <v>1984.56758553103</v>
      </c>
      <c r="AQ55" s="31" t="n">
        <v>310.4191705838938</v>
      </c>
      <c r="AR55" s="31" t="n">
        <v>9195.199764397199</v>
      </c>
      <c r="AS55" s="31" t="n">
        <v>997.0061968243721</v>
      </c>
      <c r="AT55" s="31" t="n">
        <v>282.0101780303074</v>
      </c>
      <c r="AU55" s="31" t="n">
        <v>446.8934039785817</v>
      </c>
      <c r="AV55" s="31" t="n">
        <v>715.9533399003478</v>
      </c>
      <c r="AW55" s="31" t="n">
        <v>152.7607869901954</v>
      </c>
      <c r="AX55" s="31" t="n">
        <v>2881.946807157994</v>
      </c>
      <c r="AY55" s="31" t="n">
        <v>673.2922070814302</v>
      </c>
      <c r="AZ55" s="31" t="n">
        <v>755.0787258478194</v>
      </c>
      <c r="BA55" s="31" t="n">
        <v>4917.701821730938</v>
      </c>
      <c r="BB55" s="31" t="n">
        <v>1305.048443855982</v>
      </c>
      <c r="BC55" s="31" t="n">
        <v>1220.422383501456</v>
      </c>
      <c r="BD55" s="31" t="n">
        <v>151.989956078659</v>
      </c>
      <c r="BE55" s="31" t="n">
        <v>965.5920576711369</v>
      </c>
      <c r="BF55" s="31" t="n">
        <v>359.5690563963333</v>
      </c>
      <c r="BG55" s="31" t="n">
        <v>407.3587570329018</v>
      </c>
      <c r="BH55" s="31" t="n">
        <v>329.5643918380702</v>
      </c>
      <c r="BI55" s="31" t="n">
        <v>963.9372441633668</v>
      </c>
      <c r="BJ55" s="31" t="n">
        <v>121.5330074262597</v>
      </c>
      <c r="BK55" s="31" t="n">
        <v>1448.758089615188</v>
      </c>
      <c r="BL55" s="31" t="n">
        <v>733.5112917975421</v>
      </c>
      <c r="BM55" s="31" t="n">
        <v>525.977920879224</v>
      </c>
      <c r="BN55" s="31" t="n">
        <v>1663.397103113428</v>
      </c>
      <c r="BO55" s="31" t="n">
        <v>2277.393584548725</v>
      </c>
      <c r="BP55" s="31" t="n">
        <v>215.3822447421142</v>
      </c>
      <c r="BQ55" s="31" t="n">
        <v>613.1315103481011</v>
      </c>
      <c r="BR55" s="31" t="n">
        <v>0</v>
      </c>
      <c r="BS55" s="31">
        <f>SUM(C55:BR55)</f>
        <v/>
      </c>
      <c r="BT55" s="31" t="n">
        <v>0</v>
      </c>
      <c r="BU55" s="31" t="n">
        <v>0</v>
      </c>
      <c r="BV55" s="31" t="n">
        <v>152734.2942428045</v>
      </c>
      <c r="BW55" s="31" t="n">
        <v>0</v>
      </c>
      <c r="BX55" s="31">
        <f>SUM(BT55:BW55)</f>
        <v/>
      </c>
      <c r="BY55" s="31">
        <f>BS55+BX55</f>
        <v/>
      </c>
    </row>
    <row r="56">
      <c r="A56" s="28" t="inlineStr">
        <is>
          <t>4900</t>
        </is>
      </c>
      <c r="B56" s="28" t="inlineStr">
        <is>
          <t>Transporte terrestre</t>
        </is>
      </c>
      <c r="C56" s="29" t="n">
        <v>4202.518554976039</v>
      </c>
      <c r="D56" s="29" t="n">
        <v>724.8574174226695</v>
      </c>
      <c r="E56" s="29" t="n">
        <v>440.6470663497137</v>
      </c>
      <c r="F56" s="29" t="n">
        <v>767.6902685320326</v>
      </c>
      <c r="G56" s="29" t="n">
        <v>5707.812047446907</v>
      </c>
      <c r="H56" s="29" t="n">
        <v>2167.239171935748</v>
      </c>
      <c r="I56" s="29" t="n">
        <v>794.3340952868273</v>
      </c>
      <c r="J56" s="29" t="n">
        <v>8851.091005896586</v>
      </c>
      <c r="K56" s="29" t="n">
        <v>1613.635021587044</v>
      </c>
      <c r="L56" s="29" t="n">
        <v>11842.30601118472</v>
      </c>
      <c r="M56" s="29" t="n">
        <v>3037.292487086258</v>
      </c>
      <c r="N56" s="29" t="n">
        <v>151.7137098342187</v>
      </c>
      <c r="O56" s="29" t="n">
        <v>800.413387471591</v>
      </c>
      <c r="P56" s="29" t="n">
        <v>691.8921600379742</v>
      </c>
      <c r="Q56" s="29" t="n">
        <v>882.6166855761612</v>
      </c>
      <c r="R56" s="29" t="n">
        <v>971.8090318035204</v>
      </c>
      <c r="S56" s="29" t="n">
        <v>2606.51100756332</v>
      </c>
      <c r="T56" s="29" t="n">
        <v>286.2948789811438</v>
      </c>
      <c r="U56" s="29" t="n">
        <v>3364.96738701988</v>
      </c>
      <c r="V56" s="29" t="n">
        <v>941.2311163641373</v>
      </c>
      <c r="W56" s="29" t="n">
        <v>4349.131727204496</v>
      </c>
      <c r="X56" s="29" t="n">
        <v>1805.336097127762</v>
      </c>
      <c r="Y56" s="29" t="n">
        <v>1371.65153196261</v>
      </c>
      <c r="Z56" s="29" t="n">
        <v>2704.275061936909</v>
      </c>
      <c r="AA56" s="29" t="n">
        <v>2348.112940118035</v>
      </c>
      <c r="AB56" s="29" t="n">
        <v>2602.955559626572</v>
      </c>
      <c r="AC56" s="29" t="n">
        <v>4135.251754054827</v>
      </c>
      <c r="AD56" s="29" t="n">
        <v>499.4919190784757</v>
      </c>
      <c r="AE56" s="29" t="n">
        <v>2241.792671050123</v>
      </c>
      <c r="AF56" s="29" t="n">
        <v>1274.749658559747</v>
      </c>
      <c r="AG56" s="29" t="n">
        <v>1273.960542013156</v>
      </c>
      <c r="AH56" s="29" t="n">
        <v>1942.51452751749</v>
      </c>
      <c r="AI56" s="29" t="n">
        <v>3796.036287135651</v>
      </c>
      <c r="AJ56" s="29" t="n">
        <v>1311.071754478886</v>
      </c>
      <c r="AK56" s="29" t="n">
        <v>620.2426975994931</v>
      </c>
      <c r="AL56" s="29" t="n">
        <v>1257.744926110483</v>
      </c>
      <c r="AM56" s="29" t="n">
        <v>142.5072844935552</v>
      </c>
      <c r="AN56" s="29" t="n">
        <v>4130.554820877635</v>
      </c>
      <c r="AO56" s="29" t="n">
        <v>279.0660120940944</v>
      </c>
      <c r="AP56" s="29" t="n">
        <v>2087.154227274522</v>
      </c>
      <c r="AQ56" s="29" t="n">
        <v>1361.663495720083</v>
      </c>
      <c r="AR56" s="29" t="n">
        <v>37365.28588881629</v>
      </c>
      <c r="AS56" s="29" t="n">
        <v>32316.57593638348</v>
      </c>
      <c r="AT56" s="29" t="n">
        <v>283.938629329468</v>
      </c>
      <c r="AU56" s="29" t="n">
        <v>189.0893984315431</v>
      </c>
      <c r="AV56" s="29" t="n">
        <v>4679.101493039402</v>
      </c>
      <c r="AW56" s="29" t="n">
        <v>89.55749738062845</v>
      </c>
      <c r="AX56" s="29" t="n">
        <v>898.3408285145101</v>
      </c>
      <c r="AY56" s="29" t="n">
        <v>514.2128267661072</v>
      </c>
      <c r="AZ56" s="29" t="n">
        <v>452.7680839558217</v>
      </c>
      <c r="BA56" s="29" t="n">
        <v>699.1572175989008</v>
      </c>
      <c r="BB56" s="29" t="n">
        <v>544.1866753774556</v>
      </c>
      <c r="BC56" s="29" t="n">
        <v>2340.131541136111</v>
      </c>
      <c r="BD56" s="29" t="n">
        <v>162.3695893682011</v>
      </c>
      <c r="BE56" s="29" t="n">
        <v>1141.019475555132</v>
      </c>
      <c r="BF56" s="29" t="n">
        <v>1160.350202166903</v>
      </c>
      <c r="BG56" s="29" t="n">
        <v>310.0133876289489</v>
      </c>
      <c r="BH56" s="29" t="n">
        <v>494.8239044245388</v>
      </c>
      <c r="BI56" s="29" t="n">
        <v>576.7605855869032</v>
      </c>
      <c r="BJ56" s="29" t="n">
        <v>116.5943632686848</v>
      </c>
      <c r="BK56" s="29" t="n">
        <v>4008.998775344409</v>
      </c>
      <c r="BL56" s="29" t="n">
        <v>2134.151915553517</v>
      </c>
      <c r="BM56" s="29" t="n">
        <v>1477.437064905963</v>
      </c>
      <c r="BN56" s="29" t="n">
        <v>1333.807310262296</v>
      </c>
      <c r="BO56" s="29" t="n">
        <v>23.91716445222006</v>
      </c>
      <c r="BP56" s="29" t="n">
        <v>311.1468714807898</v>
      </c>
      <c r="BQ56" s="29" t="n">
        <v>2544.332135569381</v>
      </c>
      <c r="BR56" s="29" t="n">
        <v>0</v>
      </c>
      <c r="BS56" s="29">
        <f>SUM(C56:BR56)</f>
        <v/>
      </c>
      <c r="BT56" s="29" t="n">
        <v>0</v>
      </c>
      <c r="BU56" s="29" t="n">
        <v>0</v>
      </c>
      <c r="BV56" s="29" t="n">
        <v>83283.92419536067</v>
      </c>
      <c r="BW56" s="29" t="n">
        <v>0</v>
      </c>
      <c r="BX56" s="29">
        <f>SUM(BT56:BW56)</f>
        <v/>
      </c>
      <c r="BY56" s="29">
        <f>BS56+BX56</f>
        <v/>
      </c>
    </row>
    <row r="57">
      <c r="A57" s="30" t="inlineStr">
        <is>
          <t>5000</t>
        </is>
      </c>
      <c r="B57" s="30" t="inlineStr">
        <is>
          <t>Transporte aquaviário</t>
        </is>
      </c>
      <c r="C57" s="31" t="n">
        <v>0.01771745773069872</v>
      </c>
      <c r="D57" s="31" t="n">
        <v>0.01265532695049909</v>
      </c>
      <c r="E57" s="31" t="n">
        <v>0.01771745773069872</v>
      </c>
      <c r="F57" s="31" t="n">
        <v>0.05315237319209614</v>
      </c>
      <c r="G57" s="31" t="n">
        <v>6912.875671505886</v>
      </c>
      <c r="H57" s="31" t="n">
        <v>0.07086983092279486</v>
      </c>
      <c r="I57" s="31" t="n">
        <v>15.2928410891454</v>
      </c>
      <c r="J57" s="31" t="n">
        <v>1749.073815160962</v>
      </c>
      <c r="K57" s="31" t="n">
        <v>105.3489956816305</v>
      </c>
      <c r="L57" s="31" t="n">
        <v>519.3769830566109</v>
      </c>
      <c r="M57" s="31" t="n">
        <v>1.870473323524021</v>
      </c>
      <c r="N57" s="31" t="n">
        <v>0.902332811690713</v>
      </c>
      <c r="O57" s="31" t="n">
        <v>12.65543895218088</v>
      </c>
      <c r="P57" s="31" t="n">
        <v>20.42208510278332</v>
      </c>
      <c r="Q57" s="31" t="n">
        <v>8.706944943144654</v>
      </c>
      <c r="R57" s="31" t="n">
        <v>182.1182025069846</v>
      </c>
      <c r="S57" s="31" t="n">
        <v>1686.076279125303</v>
      </c>
      <c r="T57" s="31" t="n">
        <v>25.5412208551011</v>
      </c>
      <c r="U57" s="31" t="n">
        <v>76.62619363069339</v>
      </c>
      <c r="V57" s="31" t="n">
        <v>14.01210600151464</v>
      </c>
      <c r="W57" s="31" t="n">
        <v>935.9525277473273</v>
      </c>
      <c r="X57" s="31" t="n">
        <v>15.49279525496329</v>
      </c>
      <c r="Y57" s="31" t="n">
        <v>57.13300952607672</v>
      </c>
      <c r="Z57" s="31" t="n">
        <v>3.182838728410904</v>
      </c>
      <c r="AA57" s="31" t="n">
        <v>56.86344306191096</v>
      </c>
      <c r="AB57" s="31" t="n">
        <v>158.8726739609443</v>
      </c>
      <c r="AC57" s="31" t="n">
        <v>439.2427007947587</v>
      </c>
      <c r="AD57" s="31" t="n">
        <v>16.11417980835292</v>
      </c>
      <c r="AE57" s="31" t="n">
        <v>42.99560778763201</v>
      </c>
      <c r="AF57" s="31" t="n">
        <v>63.15067349187993</v>
      </c>
      <c r="AG57" s="31" t="n">
        <v>60.4183644029068</v>
      </c>
      <c r="AH57" s="31" t="n">
        <v>331.5916771404719</v>
      </c>
      <c r="AI57" s="31" t="n">
        <v>272.8944532030733</v>
      </c>
      <c r="AJ57" s="31" t="n">
        <v>91.87853767359721</v>
      </c>
      <c r="AK57" s="31" t="n">
        <v>224.5696312357452</v>
      </c>
      <c r="AL57" s="31" t="n">
        <v>1.471822524463172</v>
      </c>
      <c r="AM57" s="31" t="n">
        <v>7.769177215992544</v>
      </c>
      <c r="AN57" s="31" t="n">
        <v>3.257481157058463</v>
      </c>
      <c r="AO57" s="31" t="n">
        <v>0.703636178447749</v>
      </c>
      <c r="AP57" s="31" t="n">
        <v>8.681602288763141</v>
      </c>
      <c r="AQ57" s="31" t="n">
        <v>11.08608240887746</v>
      </c>
      <c r="AR57" s="31" t="n">
        <v>1609.008752102797</v>
      </c>
      <c r="AS57" s="31" t="n">
        <v>950.2734077261939</v>
      </c>
      <c r="AT57" s="31" t="n">
        <v>1465.72217729737</v>
      </c>
      <c r="AU57" s="31" t="n">
        <v>0.3239763699327766</v>
      </c>
      <c r="AV57" s="31" t="n">
        <v>81.89206717467593</v>
      </c>
      <c r="AW57" s="31" t="n">
        <v>3.02715420655938</v>
      </c>
      <c r="AX57" s="31" t="n">
        <v>33.42671507735643</v>
      </c>
      <c r="AY57" s="31" t="n">
        <v>0.6808565899368506</v>
      </c>
      <c r="AZ57" s="31" t="n">
        <v>3.694113937211068</v>
      </c>
      <c r="BA57" s="31" t="n">
        <v>6.560521491138725</v>
      </c>
      <c r="BB57" s="31" t="n">
        <v>24.34650999025321</v>
      </c>
      <c r="BC57" s="31" t="n">
        <v>15.34838052556528</v>
      </c>
      <c r="BD57" s="31" t="n">
        <v>5.224118965166022</v>
      </c>
      <c r="BE57" s="31" t="n">
        <v>13.92719530914436</v>
      </c>
      <c r="BF57" s="31" t="n">
        <v>4.941929174530276</v>
      </c>
      <c r="BG57" s="31" t="n">
        <v>2.518410063149318</v>
      </c>
      <c r="BH57" s="31" t="n">
        <v>2.89300774088409</v>
      </c>
      <c r="BI57" s="31" t="n">
        <v>332.4458557087897</v>
      </c>
      <c r="BJ57" s="31" t="n">
        <v>1.512319570704769</v>
      </c>
      <c r="BK57" s="31" t="n">
        <v>9.225733346913831</v>
      </c>
      <c r="BL57" s="31" t="n">
        <v>1.680627419026278</v>
      </c>
      <c r="BM57" s="31" t="n">
        <v>10.96457526991241</v>
      </c>
      <c r="BN57" s="31" t="n">
        <v>1.250346302709309</v>
      </c>
      <c r="BO57" s="31" t="n">
        <v>5.125407414952129</v>
      </c>
      <c r="BP57" s="31" t="n">
        <v>11.08227781067217</v>
      </c>
      <c r="BQ57" s="31" t="n">
        <v>7.638755347321246</v>
      </c>
      <c r="BR57" s="31" t="n">
        <v>0</v>
      </c>
      <c r="BS57" s="31">
        <f>SUM(C57:BR57)</f>
        <v/>
      </c>
      <c r="BT57" s="31" t="n">
        <v>0</v>
      </c>
      <c r="BU57" s="31" t="n">
        <v>0</v>
      </c>
      <c r="BV57" s="31" t="n">
        <v>5744.526364759988</v>
      </c>
      <c r="BW57" s="31" t="n">
        <v>0</v>
      </c>
      <c r="BX57" s="31">
        <f>SUM(BT57:BW57)</f>
        <v/>
      </c>
      <c r="BY57" s="31">
        <f>BS57+BX57</f>
        <v/>
      </c>
    </row>
    <row r="58">
      <c r="A58" s="28" t="inlineStr">
        <is>
          <t>5100</t>
        </is>
      </c>
      <c r="B58" s="28" t="inlineStr">
        <is>
          <t>Transporte aéreo</t>
        </is>
      </c>
      <c r="C58" s="29" t="n">
        <v>1.015304921374423</v>
      </c>
      <c r="D58" s="29" t="n">
        <v>0.01106314719209481</v>
      </c>
      <c r="E58" s="29" t="n">
        <v>4.014641169018581</v>
      </c>
      <c r="F58" s="29" t="n">
        <v>4.046385891668795</v>
      </c>
      <c r="G58" s="29" t="n">
        <v>1991.345525706224</v>
      </c>
      <c r="H58" s="29" t="n">
        <v>10.0615601831284</v>
      </c>
      <c r="I58" s="29" t="n">
        <v>28.04233474251443</v>
      </c>
      <c r="J58" s="29" t="n">
        <v>283.5168439341704</v>
      </c>
      <c r="K58" s="29" t="n">
        <v>6.324227506425633</v>
      </c>
      <c r="L58" s="29" t="n">
        <v>237.1421077719403</v>
      </c>
      <c r="M58" s="29" t="n">
        <v>50.14995851117562</v>
      </c>
      <c r="N58" s="29" t="n">
        <v>25.04888072946197</v>
      </c>
      <c r="O58" s="29" t="n">
        <v>31.7083986185997</v>
      </c>
      <c r="P58" s="29" t="n">
        <v>33.84043660009381</v>
      </c>
      <c r="Q58" s="29" t="n">
        <v>42.22860239690026</v>
      </c>
      <c r="R58" s="29" t="n">
        <v>41.07683664682938</v>
      </c>
      <c r="S58" s="29" t="n">
        <v>99.37838928725949</v>
      </c>
      <c r="T58" s="29" t="n">
        <v>17.12195875755872</v>
      </c>
      <c r="U58" s="29" t="n">
        <v>42.3786278843933</v>
      </c>
      <c r="V58" s="29" t="n">
        <v>4.417014738094696</v>
      </c>
      <c r="W58" s="29" t="n">
        <v>239.3290886796357</v>
      </c>
      <c r="X58" s="29" t="n">
        <v>273.2017747444624</v>
      </c>
      <c r="Y58" s="29" t="n">
        <v>11.35454231406587</v>
      </c>
      <c r="Z58" s="29" t="n">
        <v>135.5728131011062</v>
      </c>
      <c r="AA58" s="29" t="n">
        <v>42.89281824839694</v>
      </c>
      <c r="AB58" s="29" t="n">
        <v>134.4854643829635</v>
      </c>
      <c r="AC58" s="29" t="n">
        <v>84.61514923547489</v>
      </c>
      <c r="AD58" s="29" t="n">
        <v>13.03381846964462</v>
      </c>
      <c r="AE58" s="29" t="n">
        <v>52.60484327442775</v>
      </c>
      <c r="AF58" s="29" t="n">
        <v>242.4110223609229</v>
      </c>
      <c r="AG58" s="29" t="n">
        <v>164.2669305698907</v>
      </c>
      <c r="AH58" s="29" t="n">
        <v>212.5077323488319</v>
      </c>
      <c r="AI58" s="29" t="n">
        <v>213.199353014148</v>
      </c>
      <c r="AJ58" s="29" t="n">
        <v>57.37277647712854</v>
      </c>
      <c r="AK58" s="29" t="n">
        <v>57.17509349025737</v>
      </c>
      <c r="AL58" s="29" t="n">
        <v>35.55643763558868</v>
      </c>
      <c r="AM58" s="29" t="n">
        <v>63.11825545669105</v>
      </c>
      <c r="AN58" s="29" t="n">
        <v>604.7172054504356</v>
      </c>
      <c r="AO58" s="29" t="n">
        <v>44.60354429392572</v>
      </c>
      <c r="AP58" s="29" t="n">
        <v>1439.85797696214</v>
      </c>
      <c r="AQ58" s="29" t="n">
        <v>223.1235486974499</v>
      </c>
      <c r="AR58" s="29" t="n">
        <v>3284.518200346592</v>
      </c>
      <c r="AS58" s="29" t="n">
        <v>207.458141537788</v>
      </c>
      <c r="AT58" s="29" t="n">
        <v>83.13385110985506</v>
      </c>
      <c r="AU58" s="29" t="n">
        <v>11.2795176454387</v>
      </c>
      <c r="AV58" s="29" t="n">
        <v>647.5630671304359</v>
      </c>
      <c r="AW58" s="29" t="n">
        <v>74.61758463573433</v>
      </c>
      <c r="AX58" s="29" t="n">
        <v>63.64693906252533</v>
      </c>
      <c r="AY58" s="29" t="n">
        <v>20.60211471915739</v>
      </c>
      <c r="AZ58" s="29" t="n">
        <v>162.9887452639344</v>
      </c>
      <c r="BA58" s="29" t="n">
        <v>212.7639623871928</v>
      </c>
      <c r="BB58" s="29" t="n">
        <v>679.3818248420131</v>
      </c>
      <c r="BC58" s="29" t="n">
        <v>2910.792137429135</v>
      </c>
      <c r="BD58" s="29" t="n">
        <v>66.52911778978189</v>
      </c>
      <c r="BE58" s="29" t="n">
        <v>955.2029645867253</v>
      </c>
      <c r="BF58" s="29" t="n">
        <v>342.0245726587611</v>
      </c>
      <c r="BG58" s="29" t="n">
        <v>557.0887486477081</v>
      </c>
      <c r="BH58" s="29" t="n">
        <v>93.49737667461864</v>
      </c>
      <c r="BI58" s="29" t="n">
        <v>329.3211259003054</v>
      </c>
      <c r="BJ58" s="29" t="n">
        <v>25.57512510863134</v>
      </c>
      <c r="BK58" s="29" t="n">
        <v>1254.782494036165</v>
      </c>
      <c r="BL58" s="29" t="n">
        <v>353.394024829227</v>
      </c>
      <c r="BM58" s="29" t="n">
        <v>2085.136941388114</v>
      </c>
      <c r="BN58" s="29" t="n">
        <v>462.9991422084458</v>
      </c>
      <c r="BO58" s="29" t="n">
        <v>4.455082501527805</v>
      </c>
      <c r="BP58" s="29" t="n">
        <v>100.8801030497572</v>
      </c>
      <c r="BQ58" s="29" t="n">
        <v>8779.974820988409</v>
      </c>
      <c r="BR58" s="29" t="n">
        <v>0</v>
      </c>
      <c r="BS58" s="29">
        <f>SUM(C58:BR58)</f>
        <v/>
      </c>
      <c r="BT58" s="29" t="n">
        <v>0</v>
      </c>
      <c r="BU58" s="29" t="n">
        <v>0</v>
      </c>
      <c r="BV58" s="29" t="n">
        <v>13014.09116294233</v>
      </c>
      <c r="BW58" s="29" t="n">
        <v>0</v>
      </c>
      <c r="BX58" s="29">
        <f>SUM(BT58:BW58)</f>
        <v/>
      </c>
      <c r="BY58" s="29">
        <f>BS58+BX58</f>
        <v/>
      </c>
    </row>
    <row r="59">
      <c r="A59" s="30" t="inlineStr">
        <is>
          <t>5280</t>
        </is>
      </c>
      <c r="B59" s="30" t="inlineStr">
        <is>
          <t>Armazenamento, atividades auxiliares dos transportes e correio</t>
        </is>
      </c>
      <c r="C59" s="31" t="n">
        <v>828.9227697633663</v>
      </c>
      <c r="D59" s="31" t="n">
        <v>49.08271990190371</v>
      </c>
      <c r="E59" s="31" t="n">
        <v>206.8843672561704</v>
      </c>
      <c r="F59" s="31" t="n">
        <v>27.11325031548569</v>
      </c>
      <c r="G59" s="31" t="n">
        <v>4435.888648685236</v>
      </c>
      <c r="H59" s="31" t="n">
        <v>2390.583027661746</v>
      </c>
      <c r="I59" s="31" t="n">
        <v>571.6606718853609</v>
      </c>
      <c r="J59" s="31" t="n">
        <v>3046.005653035371</v>
      </c>
      <c r="K59" s="31" t="n">
        <v>1718.948512625313</v>
      </c>
      <c r="L59" s="31" t="n">
        <v>3646.742245767298</v>
      </c>
      <c r="M59" s="31" t="n">
        <v>2128.154859823521</v>
      </c>
      <c r="N59" s="31" t="n">
        <v>32.1276608548173</v>
      </c>
      <c r="O59" s="31" t="n">
        <v>178.2150479839457</v>
      </c>
      <c r="P59" s="31" t="n">
        <v>120.4720377832721</v>
      </c>
      <c r="Q59" s="31" t="n">
        <v>176.7274377023953</v>
      </c>
      <c r="R59" s="31" t="n">
        <v>238.2366882247058</v>
      </c>
      <c r="S59" s="31" t="n">
        <v>1334.744471446482</v>
      </c>
      <c r="T59" s="31" t="n">
        <v>196.8539446557919</v>
      </c>
      <c r="U59" s="31" t="n">
        <v>768.3690090943996</v>
      </c>
      <c r="V59" s="31" t="n">
        <v>821.6530680372264</v>
      </c>
      <c r="W59" s="31" t="n">
        <v>1063.434027471267</v>
      </c>
      <c r="X59" s="31" t="n">
        <v>778.8239741681667</v>
      </c>
      <c r="Y59" s="31" t="n">
        <v>412.4922109227145</v>
      </c>
      <c r="Z59" s="31" t="n">
        <v>671.9168622036416</v>
      </c>
      <c r="AA59" s="31" t="n">
        <v>256.9688257890028</v>
      </c>
      <c r="AB59" s="31" t="n">
        <v>375.992386981948</v>
      </c>
      <c r="AC59" s="31" t="n">
        <v>2617.383820641054</v>
      </c>
      <c r="AD59" s="31" t="n">
        <v>141.0860857002868</v>
      </c>
      <c r="AE59" s="31" t="n">
        <v>968.390806893628</v>
      </c>
      <c r="AF59" s="31" t="n">
        <v>783.3222387102476</v>
      </c>
      <c r="AG59" s="31" t="n">
        <v>950.3986731058994</v>
      </c>
      <c r="AH59" s="31" t="n">
        <v>391.8737643435952</v>
      </c>
      <c r="AI59" s="31" t="n">
        <v>3689.37150254041</v>
      </c>
      <c r="AJ59" s="31" t="n">
        <v>599.6675072084084</v>
      </c>
      <c r="AK59" s="31" t="n">
        <v>650.7252788332921</v>
      </c>
      <c r="AL59" s="31" t="n">
        <v>368.008860200992</v>
      </c>
      <c r="AM59" s="31" t="n">
        <v>236.2438171199003</v>
      </c>
      <c r="AN59" s="31" t="n">
        <v>707.3895758170105</v>
      </c>
      <c r="AO59" s="31" t="n">
        <v>23.69974671403283</v>
      </c>
      <c r="AP59" s="31" t="n">
        <v>685.2047304995724</v>
      </c>
      <c r="AQ59" s="31" t="n">
        <v>740.1153391907228</v>
      </c>
      <c r="AR59" s="31" t="n">
        <v>15319.29566427122</v>
      </c>
      <c r="AS59" s="31" t="n">
        <v>7492.291747849556</v>
      </c>
      <c r="AT59" s="31" t="n">
        <v>2848.63168410396</v>
      </c>
      <c r="AU59" s="31" t="n">
        <v>4302.324735925786</v>
      </c>
      <c r="AV59" s="31" t="n">
        <v>4947.505422754948</v>
      </c>
      <c r="AW59" s="31" t="n">
        <v>64.57055872073504</v>
      </c>
      <c r="AX59" s="31" t="n">
        <v>253.5419346251936</v>
      </c>
      <c r="AY59" s="31" t="n">
        <v>80.09285546960632</v>
      </c>
      <c r="AZ59" s="31" t="n">
        <v>82.90026467089562</v>
      </c>
      <c r="BA59" s="31" t="n">
        <v>638.1711317746574</v>
      </c>
      <c r="BB59" s="31" t="n">
        <v>153.0603803482642</v>
      </c>
      <c r="BC59" s="31" t="n">
        <v>5016.9629646085</v>
      </c>
      <c r="BD59" s="31" t="n">
        <v>215.9654661962748</v>
      </c>
      <c r="BE59" s="31" t="n">
        <v>609.2230578638432</v>
      </c>
      <c r="BF59" s="31" t="n">
        <v>243.8137830294057</v>
      </c>
      <c r="BG59" s="31" t="n">
        <v>253.8541898802968</v>
      </c>
      <c r="BH59" s="31" t="n">
        <v>218.4641525331809</v>
      </c>
      <c r="BI59" s="31" t="n">
        <v>718.6234841934115</v>
      </c>
      <c r="BJ59" s="31" t="n">
        <v>69.8123196241381</v>
      </c>
      <c r="BK59" s="31" t="n">
        <v>3464.896334824433</v>
      </c>
      <c r="BL59" s="31" t="n">
        <v>310.2343193181831</v>
      </c>
      <c r="BM59" s="31" t="n">
        <v>448.3448678744762</v>
      </c>
      <c r="BN59" s="31" t="n">
        <v>467.8532487671872</v>
      </c>
      <c r="BO59" s="31" t="n">
        <v>276.6626901388198</v>
      </c>
      <c r="BP59" s="31" t="n">
        <v>76.34853684799943</v>
      </c>
      <c r="BQ59" s="31" t="n">
        <v>1457.44982945076</v>
      </c>
      <c r="BR59" s="31" t="n">
        <v>0</v>
      </c>
      <c r="BS59" s="31">
        <f>SUM(C59:BR59)</f>
        <v/>
      </c>
      <c r="BT59" s="31" t="n">
        <v>0</v>
      </c>
      <c r="BU59" s="31" t="n">
        <v>0</v>
      </c>
      <c r="BV59" s="31" t="n">
        <v>32097.16351750974</v>
      </c>
      <c r="BW59" s="31" t="n">
        <v>0</v>
      </c>
      <c r="BX59" s="31">
        <f>SUM(BT59:BW59)</f>
        <v/>
      </c>
      <c r="BY59" s="31">
        <f>BS59+BX59</f>
        <v/>
      </c>
    </row>
    <row r="60">
      <c r="A60" s="28" t="inlineStr">
        <is>
          <t>5500</t>
        </is>
      </c>
      <c r="B60" s="28" t="inlineStr">
        <is>
          <t>Alojamento</t>
        </is>
      </c>
      <c r="C60" s="29" t="n">
        <v>3.891457220140742</v>
      </c>
      <c r="D60" s="29" t="n">
        <v>0.9762845874125475</v>
      </c>
      <c r="E60" s="29" t="n">
        <v>3.89095479625459</v>
      </c>
      <c r="F60" s="29" t="n">
        <v>11.6778886276253</v>
      </c>
      <c r="G60" s="29" t="n">
        <v>342.1288620470454</v>
      </c>
      <c r="H60" s="29" t="n">
        <v>78.68933275904854</v>
      </c>
      <c r="I60" s="29" t="n">
        <v>24.30369473587195</v>
      </c>
      <c r="J60" s="29" t="n">
        <v>377.4055638090503</v>
      </c>
      <c r="K60" s="29" t="n">
        <v>36.11518247913497</v>
      </c>
      <c r="L60" s="29" t="n">
        <v>367.187750682786</v>
      </c>
      <c r="M60" s="29" t="n">
        <v>71.9528519565728</v>
      </c>
      <c r="N60" s="29" t="n">
        <v>35.00588672304305</v>
      </c>
      <c r="O60" s="29" t="n">
        <v>35.35930680704772</v>
      </c>
      <c r="P60" s="29" t="n">
        <v>32.52920414267678</v>
      </c>
      <c r="Q60" s="29" t="n">
        <v>39.08095526877544</v>
      </c>
      <c r="R60" s="29" t="n">
        <v>10.75621525467768</v>
      </c>
      <c r="S60" s="29" t="n">
        <v>107.2416793265505</v>
      </c>
      <c r="T60" s="29" t="n">
        <v>12.68900436629546</v>
      </c>
      <c r="U60" s="29" t="n">
        <v>40.0570809145361</v>
      </c>
      <c r="V60" s="29" t="n">
        <v>18.69997300402203</v>
      </c>
      <c r="W60" s="29" t="n">
        <v>161.4651019005532</v>
      </c>
      <c r="X60" s="29" t="n">
        <v>181.8563134126561</v>
      </c>
      <c r="Y60" s="29" t="n">
        <v>47.75143739026313</v>
      </c>
      <c r="Z60" s="29" t="n">
        <v>268.4604837908315</v>
      </c>
      <c r="AA60" s="29" t="n">
        <v>126.8549110960261</v>
      </c>
      <c r="AB60" s="29" t="n">
        <v>112.058704102103</v>
      </c>
      <c r="AC60" s="29" t="n">
        <v>221.8757294022441</v>
      </c>
      <c r="AD60" s="29" t="n">
        <v>57.36475223104816</v>
      </c>
      <c r="AE60" s="29" t="n">
        <v>216.9978379178873</v>
      </c>
      <c r="AF60" s="29" t="n">
        <v>200.3479080935601</v>
      </c>
      <c r="AG60" s="29" t="n">
        <v>167.3027039366055</v>
      </c>
      <c r="AH60" s="29" t="n">
        <v>404.519183262007</v>
      </c>
      <c r="AI60" s="29" t="n">
        <v>141.8856785769845</v>
      </c>
      <c r="AJ60" s="29" t="n">
        <v>100.1900979864054</v>
      </c>
      <c r="AK60" s="29" t="n">
        <v>104.9793735641959</v>
      </c>
      <c r="AL60" s="29" t="n">
        <v>150.8552114522853</v>
      </c>
      <c r="AM60" s="29" t="n">
        <v>96.19043151864372</v>
      </c>
      <c r="AN60" s="29" t="n">
        <v>313.9366655393175</v>
      </c>
      <c r="AO60" s="29" t="n">
        <v>17.75434123512597</v>
      </c>
      <c r="AP60" s="29" t="n">
        <v>1664.745735483185</v>
      </c>
      <c r="AQ60" s="29" t="n">
        <v>479.4611670634932</v>
      </c>
      <c r="AR60" s="29" t="n">
        <v>3745.393862290433</v>
      </c>
      <c r="AS60" s="29" t="n">
        <v>245.8158111577242</v>
      </c>
      <c r="AT60" s="29" t="n">
        <v>6.864250848629887</v>
      </c>
      <c r="AU60" s="29" t="n">
        <v>102.0824834464986</v>
      </c>
      <c r="AV60" s="29" t="n">
        <v>260.8415322479357</v>
      </c>
      <c r="AW60" s="29" t="n">
        <v>1.181625585658993</v>
      </c>
      <c r="AX60" s="29" t="n">
        <v>42.6551607607322</v>
      </c>
      <c r="AY60" s="29" t="n">
        <v>112.0069147562763</v>
      </c>
      <c r="AZ60" s="29" t="n">
        <v>188.9129918180579</v>
      </c>
      <c r="BA60" s="29" t="n">
        <v>142.9223350975452</v>
      </c>
      <c r="BB60" s="29" t="n">
        <v>618.2154774731679</v>
      </c>
      <c r="BC60" s="29" t="n">
        <v>1487.757663310621</v>
      </c>
      <c r="BD60" s="29" t="n">
        <v>71.95189401235447</v>
      </c>
      <c r="BE60" s="29" t="n">
        <v>412.0244473754578</v>
      </c>
      <c r="BF60" s="29" t="n">
        <v>392.2612151396585</v>
      </c>
      <c r="BG60" s="29" t="n">
        <v>181.617647419275</v>
      </c>
      <c r="BH60" s="29" t="n">
        <v>188.534140828023</v>
      </c>
      <c r="BI60" s="29" t="n">
        <v>186.4304163486399</v>
      </c>
      <c r="BJ60" s="29" t="n">
        <v>57.55611223601513</v>
      </c>
      <c r="BK60" s="29" t="n">
        <v>2865.166871481779</v>
      </c>
      <c r="BL60" s="29" t="n">
        <v>336.6253867796684</v>
      </c>
      <c r="BM60" s="29" t="n">
        <v>449.004234226656</v>
      </c>
      <c r="BN60" s="29" t="n">
        <v>456.8626367163615</v>
      </c>
      <c r="BO60" s="29" t="n">
        <v>2.000662049297209</v>
      </c>
      <c r="BP60" s="29" t="n">
        <v>186.5484078187702</v>
      </c>
      <c r="BQ60" s="29" t="n">
        <v>8576.999836938237</v>
      </c>
      <c r="BR60" s="29" t="n">
        <v>0</v>
      </c>
      <c r="BS60" s="29">
        <f>SUM(C60:BR60)</f>
        <v/>
      </c>
      <c r="BT60" s="29" t="n">
        <v>0</v>
      </c>
      <c r="BU60" s="29" t="n">
        <v>0</v>
      </c>
      <c r="BV60" s="29" t="n">
        <v>9135.912580744351</v>
      </c>
      <c r="BW60" s="29" t="n">
        <v>0</v>
      </c>
      <c r="BX60" s="29">
        <f>SUM(BT60:BW60)</f>
        <v/>
      </c>
      <c r="BY60" s="29">
        <f>BS60+BX60</f>
        <v/>
      </c>
    </row>
    <row r="61">
      <c r="A61" s="30" t="inlineStr">
        <is>
          <t>5600</t>
        </is>
      </c>
      <c r="B61" s="30" t="inlineStr">
        <is>
          <t>Alimentação</t>
        </is>
      </c>
      <c r="C61" s="31" t="n">
        <v>7.044215450529522</v>
      </c>
      <c r="D61" s="31" t="n">
        <v>0.9863142608856226</v>
      </c>
      <c r="E61" s="31" t="n">
        <v>3.404863954656817</v>
      </c>
      <c r="F61" s="31" t="n">
        <v>4.984601970605548</v>
      </c>
      <c r="G61" s="31" t="n">
        <v>375.4153633862103</v>
      </c>
      <c r="H61" s="31" t="n">
        <v>21.24595131246539</v>
      </c>
      <c r="I61" s="31" t="n">
        <v>14.06787660728762</v>
      </c>
      <c r="J61" s="31" t="n">
        <v>12.61776191435318</v>
      </c>
      <c r="K61" s="31" t="n">
        <v>6.966320319430929</v>
      </c>
      <c r="L61" s="31" t="n">
        <v>145.7475853810176</v>
      </c>
      <c r="M61" s="31" t="n">
        <v>9.220677699014466</v>
      </c>
      <c r="N61" s="31" t="n">
        <v>0.9689255080493051</v>
      </c>
      <c r="O61" s="31" t="n">
        <v>11.36783512769602</v>
      </c>
      <c r="P61" s="31" t="n">
        <v>5.849777384488139</v>
      </c>
      <c r="Q61" s="31" t="n">
        <v>1.963974961032962</v>
      </c>
      <c r="R61" s="31" t="n">
        <v>2.423640421592954</v>
      </c>
      <c r="S61" s="31" t="n">
        <v>18.24359348434916</v>
      </c>
      <c r="T61" s="31" t="n">
        <v>14.81837578245867</v>
      </c>
      <c r="U61" s="31" t="n">
        <v>9.843895907471289</v>
      </c>
      <c r="V61" s="31" t="n">
        <v>3.162631029605058</v>
      </c>
      <c r="W61" s="31" t="n">
        <v>89.09364129175462</v>
      </c>
      <c r="X61" s="31" t="n">
        <v>114.0184698466959</v>
      </c>
      <c r="Y61" s="31" t="n">
        <v>3.492889725474667</v>
      </c>
      <c r="Z61" s="31" t="n">
        <v>262.1017301216219</v>
      </c>
      <c r="AA61" s="31" t="n">
        <v>23.82449290577672</v>
      </c>
      <c r="AB61" s="31" t="n">
        <v>8.079479472057601</v>
      </c>
      <c r="AC61" s="31" t="n">
        <v>35.73781094398294</v>
      </c>
      <c r="AD61" s="31" t="n">
        <v>54.20615645762425</v>
      </c>
      <c r="AE61" s="31" t="n">
        <v>41.820839425427</v>
      </c>
      <c r="AF61" s="31" t="n">
        <v>13.13140958290075</v>
      </c>
      <c r="AG61" s="31" t="n">
        <v>5.032927719074643</v>
      </c>
      <c r="AH61" s="31" t="n">
        <v>95.74997084718257</v>
      </c>
      <c r="AI61" s="31" t="n">
        <v>377.5899187506597</v>
      </c>
      <c r="AJ61" s="31" t="n">
        <v>18.97750095333159</v>
      </c>
      <c r="AK61" s="31" t="n">
        <v>12.84851637620309</v>
      </c>
      <c r="AL61" s="31" t="n">
        <v>5.82188879584429</v>
      </c>
      <c r="AM61" s="31" t="n">
        <v>90.13038681476644</v>
      </c>
      <c r="AN61" s="31" t="n">
        <v>300.8382292875061</v>
      </c>
      <c r="AO61" s="31" t="n">
        <v>27.48953238842243</v>
      </c>
      <c r="AP61" s="31" t="n">
        <v>89.82865274193668</v>
      </c>
      <c r="AQ61" s="31" t="n">
        <v>169.544522122633</v>
      </c>
      <c r="AR61" s="31" t="n">
        <v>881.0217168381597</v>
      </c>
      <c r="AS61" s="31" t="n">
        <v>86.55082572073002</v>
      </c>
      <c r="AT61" s="31" t="n">
        <v>18.13917461697598</v>
      </c>
      <c r="AU61" s="31" t="n">
        <v>1077.681431981855</v>
      </c>
      <c r="AV61" s="31" t="n">
        <v>73.5457339404377</v>
      </c>
      <c r="AW61" s="31" t="n">
        <v>231.8268673782813</v>
      </c>
      <c r="AX61" s="31" t="n">
        <v>44.60829222480268</v>
      </c>
      <c r="AY61" s="31" t="n">
        <v>16.60526165985414</v>
      </c>
      <c r="AZ61" s="31" t="n">
        <v>702.834796854674</v>
      </c>
      <c r="BA61" s="31" t="n">
        <v>160.6088253265842</v>
      </c>
      <c r="BB61" s="31" t="n">
        <v>64.40020700044387</v>
      </c>
      <c r="BC61" s="31" t="n">
        <v>3311.644257105902</v>
      </c>
      <c r="BD61" s="31" t="n">
        <v>80.12396020256654</v>
      </c>
      <c r="BE61" s="31" t="n">
        <v>1477.233385555742</v>
      </c>
      <c r="BF61" s="31" t="n">
        <v>23.79561907402525</v>
      </c>
      <c r="BG61" s="31" t="n">
        <v>224.2093749789469</v>
      </c>
      <c r="BH61" s="31" t="n">
        <v>36.28232238459312</v>
      </c>
      <c r="BI61" s="31" t="n">
        <v>1359.157802733838</v>
      </c>
      <c r="BJ61" s="31" t="n">
        <v>10.96682661675548</v>
      </c>
      <c r="BK61" s="31" t="n">
        <v>9652.018883708306</v>
      </c>
      <c r="BL61" s="31" t="n">
        <v>1737.127128196366</v>
      </c>
      <c r="BM61" s="31" t="n">
        <v>272.8088112503606</v>
      </c>
      <c r="BN61" s="31" t="n">
        <v>5169.032274107735</v>
      </c>
      <c r="BO61" s="31" t="n">
        <v>3560.104568397815</v>
      </c>
      <c r="BP61" s="31" t="n">
        <v>65.62789764489519</v>
      </c>
      <c r="BQ61" s="31" t="n">
        <v>9355.176814311284</v>
      </c>
      <c r="BR61" s="31" t="n">
        <v>0</v>
      </c>
      <c r="BS61" s="31">
        <f>SUM(C61:BR61)</f>
        <v/>
      </c>
      <c r="BT61" s="31" t="n">
        <v>0</v>
      </c>
      <c r="BU61" s="31" t="n">
        <v>0</v>
      </c>
      <c r="BV61" s="31" t="n">
        <v>187820.3960812103</v>
      </c>
      <c r="BW61" s="31" t="n">
        <v>0</v>
      </c>
      <c r="BX61" s="31">
        <f>SUM(BT61:BW61)</f>
        <v/>
      </c>
      <c r="BY61" s="31">
        <f>BS61+BX61</f>
        <v/>
      </c>
    </row>
    <row r="62">
      <c r="A62" s="28" t="inlineStr">
        <is>
          <t>5800</t>
        </is>
      </c>
      <c r="B62" s="28" t="inlineStr">
        <is>
          <t>Edição e edição integrada à impressão</t>
        </is>
      </c>
      <c r="C62" s="29" t="n">
        <v>0.1329547042918938</v>
      </c>
      <c r="D62" s="29" t="n">
        <v>0.03001629851044928</v>
      </c>
      <c r="E62" s="29" t="n">
        <v>0.1015108966070273</v>
      </c>
      <c r="F62" s="29" t="n">
        <v>0.02778621686541491</v>
      </c>
      <c r="G62" s="29" t="n">
        <v>0.4611793062222028</v>
      </c>
      <c r="H62" s="29" t="n">
        <v>0.3493675907587972</v>
      </c>
      <c r="I62" s="29" t="n">
        <v>0.1537233593421211</v>
      </c>
      <c r="J62" s="29" t="n">
        <v>3.292572214326565</v>
      </c>
      <c r="K62" s="29" t="n">
        <v>0.4868178644353828</v>
      </c>
      <c r="L62" s="29" t="n">
        <v>3.454839627915641</v>
      </c>
      <c r="M62" s="29" t="n">
        <v>6.980694659344419</v>
      </c>
      <c r="N62" s="29" t="n">
        <v>0.08216346152435106</v>
      </c>
      <c r="O62" s="29" t="n">
        <v>0.6512668512644346</v>
      </c>
      <c r="P62" s="29" t="n">
        <v>0.7838633597518898</v>
      </c>
      <c r="Q62" s="29" t="n">
        <v>0.4483978326718581</v>
      </c>
      <c r="R62" s="29" t="n">
        <v>0.4847148359092348</v>
      </c>
      <c r="S62" s="29" t="n">
        <v>4.124138038745713</v>
      </c>
      <c r="T62" s="29" t="n">
        <v>32.91197298195672</v>
      </c>
      <c r="U62" s="29" t="n">
        <v>0.4064248498606085</v>
      </c>
      <c r="V62" s="29" t="n">
        <v>0.4708094600764654</v>
      </c>
      <c r="W62" s="29" t="n">
        <v>178.0246805905634</v>
      </c>
      <c r="X62" s="29" t="n">
        <v>0.8295626923988006</v>
      </c>
      <c r="Y62" s="29" t="n">
        <v>0.2864463446778571</v>
      </c>
      <c r="Z62" s="29" t="n">
        <v>0.9770543121848085</v>
      </c>
      <c r="AA62" s="29" t="n">
        <v>1.255009706725573</v>
      </c>
      <c r="AB62" s="29" t="n">
        <v>0.7243714217221857</v>
      </c>
      <c r="AC62" s="29" t="n">
        <v>0.9425615794889524</v>
      </c>
      <c r="AD62" s="29" t="n">
        <v>0.1928319516625943</v>
      </c>
      <c r="AE62" s="29" t="n">
        <v>1.01183690441168</v>
      </c>
      <c r="AF62" s="29" t="n">
        <v>5.735044281553031</v>
      </c>
      <c r="AG62" s="29" t="n">
        <v>0.723017054161943</v>
      </c>
      <c r="AH62" s="29" t="n">
        <v>1.255267639633214</v>
      </c>
      <c r="AI62" s="29" t="n">
        <v>0.9896377278811228</v>
      </c>
      <c r="AJ62" s="29" t="n">
        <v>3.577450666203758</v>
      </c>
      <c r="AK62" s="29" t="n">
        <v>0.2752734086143896</v>
      </c>
      <c r="AL62" s="29" t="n">
        <v>1.129545511289891</v>
      </c>
      <c r="AM62" s="29" t="n">
        <v>18.81397258847812</v>
      </c>
      <c r="AN62" s="29" t="n">
        <v>148.2084579467002</v>
      </c>
      <c r="AO62" s="29" t="n">
        <v>7.407481565532978</v>
      </c>
      <c r="AP62" s="29" t="n">
        <v>2.274467284537276</v>
      </c>
      <c r="AQ62" s="29" t="n">
        <v>5.908183725032667</v>
      </c>
      <c r="AR62" s="29" t="n">
        <v>513.0642402279533</v>
      </c>
      <c r="AS62" s="29" t="n">
        <v>2.369006788851039</v>
      </c>
      <c r="AT62" s="29" t="n">
        <v>0.08047083202678172</v>
      </c>
      <c r="AU62" s="29" t="n">
        <v>1.291558808946524</v>
      </c>
      <c r="AV62" s="29" t="n">
        <v>3.664898429410615</v>
      </c>
      <c r="AW62" s="29" t="n">
        <v>75.15150882622973</v>
      </c>
      <c r="AX62" s="29" t="n">
        <v>5.716965141936912</v>
      </c>
      <c r="AY62" s="29" t="n">
        <v>77.15399590428592</v>
      </c>
      <c r="AZ62" s="29" t="n">
        <v>11.48837446992187</v>
      </c>
      <c r="BA62" s="29" t="n">
        <v>188.4778918940438</v>
      </c>
      <c r="BB62" s="29" t="n">
        <v>21.61939470348129</v>
      </c>
      <c r="BC62" s="29" t="n">
        <v>2219.861160205314</v>
      </c>
      <c r="BD62" s="29" t="n">
        <v>64.29072299650028</v>
      </c>
      <c r="BE62" s="29" t="n">
        <v>402.186307057439</v>
      </c>
      <c r="BF62" s="29" t="n">
        <v>173.4901034360089</v>
      </c>
      <c r="BG62" s="29" t="n">
        <v>3344.292141142539</v>
      </c>
      <c r="BH62" s="29" t="n">
        <v>27.23643164087322</v>
      </c>
      <c r="BI62" s="29" t="n">
        <v>38.72439570127545</v>
      </c>
      <c r="BJ62" s="29" t="n">
        <v>0.2883574714606033</v>
      </c>
      <c r="BK62" s="29" t="n">
        <v>899.1899752685714</v>
      </c>
      <c r="BL62" s="29" t="n">
        <v>3481.631576091477</v>
      </c>
      <c r="BM62" s="29" t="n">
        <v>2168.578201255625</v>
      </c>
      <c r="BN62" s="29" t="n">
        <v>40.22515988810157</v>
      </c>
      <c r="BO62" s="29" t="n">
        <v>180.9710965380515</v>
      </c>
      <c r="BP62" s="29" t="n">
        <v>12.59969860426074</v>
      </c>
      <c r="BQ62" s="29" t="n">
        <v>231.9650991234468</v>
      </c>
      <c r="BR62" s="29" t="n">
        <v>0</v>
      </c>
      <c r="BS62" s="29">
        <f>SUM(C62:BR62)</f>
        <v/>
      </c>
      <c r="BT62" s="29" t="n">
        <v>0</v>
      </c>
      <c r="BU62" s="29" t="n">
        <v>0</v>
      </c>
      <c r="BV62" s="29" t="n">
        <v>11546.02653882247</v>
      </c>
      <c r="BW62" s="29" t="n">
        <v>0</v>
      </c>
      <c r="BX62" s="29">
        <f>SUM(BT62:BW62)</f>
        <v/>
      </c>
      <c r="BY62" s="29">
        <f>BS62+BX62</f>
        <v/>
      </c>
    </row>
    <row r="63">
      <c r="A63" s="30" t="inlineStr">
        <is>
          <t>5980</t>
        </is>
      </c>
      <c r="B63" s="30" t="inlineStr">
        <is>
          <t>Atividades de televisão, rádio, cinema e  gravação/edição de som e imagem</t>
        </is>
      </c>
      <c r="C63" s="31" t="n">
        <v>0.003003157226037816</v>
      </c>
      <c r="D63" s="31" t="n">
        <v>0.002134514676800386</v>
      </c>
      <c r="E63" s="31" t="n">
        <v>0.002780607048278671</v>
      </c>
      <c r="F63" s="31" t="n">
        <v>0.01056732292242746</v>
      </c>
      <c r="G63" s="31" t="n">
        <v>0.1344455716756094</v>
      </c>
      <c r="H63" s="31" t="n">
        <v>0.01549924835571118</v>
      </c>
      <c r="I63" s="31" t="n">
        <v>0.01175425720380957</v>
      </c>
      <c r="J63" s="31" t="n">
        <v>0.6943379805289567</v>
      </c>
      <c r="K63" s="31" t="n">
        <v>0.07737894206237128</v>
      </c>
      <c r="L63" s="31" t="n">
        <v>0.4752208878494066</v>
      </c>
      <c r="M63" s="31" t="n">
        <v>0.0406397974002308</v>
      </c>
      <c r="N63" s="31" t="n">
        <v>0.02105349389250086</v>
      </c>
      <c r="O63" s="31" t="n">
        <v>0.1656840747554919</v>
      </c>
      <c r="P63" s="31" t="n">
        <v>0.2000734493640886</v>
      </c>
      <c r="Q63" s="31" t="n">
        <v>0.1027214618465953</v>
      </c>
      <c r="R63" s="31" t="n">
        <v>0.03185541624729765</v>
      </c>
      <c r="S63" s="31" t="n">
        <v>0.1843967246017049</v>
      </c>
      <c r="T63" s="31" t="n">
        <v>0.02691841011917134</v>
      </c>
      <c r="U63" s="31" t="n">
        <v>0.1019979932526128</v>
      </c>
      <c r="V63" s="31" t="n">
        <v>0.1036538001574856</v>
      </c>
      <c r="W63" s="31" t="n">
        <v>0.1164494914461739</v>
      </c>
      <c r="X63" s="31" t="n">
        <v>0.1188766377222217</v>
      </c>
      <c r="Y63" s="31" t="n">
        <v>0.06966608333956084</v>
      </c>
      <c r="Z63" s="31" t="n">
        <v>0.1942932041609373</v>
      </c>
      <c r="AA63" s="31" t="n">
        <v>0.2605303739745684</v>
      </c>
      <c r="AB63" s="31" t="n">
        <v>0.1651299482085484</v>
      </c>
      <c r="AC63" s="31" t="n">
        <v>0.2042312384200915</v>
      </c>
      <c r="AD63" s="31" t="n">
        <v>0.03285594811475123</v>
      </c>
      <c r="AE63" s="31" t="n">
        <v>0.1943553382989138</v>
      </c>
      <c r="AF63" s="31" t="n">
        <v>0.1337434045847417</v>
      </c>
      <c r="AG63" s="31" t="n">
        <v>0.1231383722748067</v>
      </c>
      <c r="AH63" s="31" t="n">
        <v>0.2477223767725856</v>
      </c>
      <c r="AI63" s="31" t="n">
        <v>0.04801944854761696</v>
      </c>
      <c r="AJ63" s="31" t="n">
        <v>0.07097253144330083</v>
      </c>
      <c r="AK63" s="31" t="n">
        <v>0.04555491912530976</v>
      </c>
      <c r="AL63" s="31" t="n">
        <v>0.1444803262128933</v>
      </c>
      <c r="AM63" s="31" t="n">
        <v>0.02440092922482891</v>
      </c>
      <c r="AN63" s="31" t="n">
        <v>0.51123446730495</v>
      </c>
      <c r="AO63" s="31" t="n">
        <v>0.1110974733077732</v>
      </c>
      <c r="AP63" s="31" t="n">
        <v>0.5653318733498078</v>
      </c>
      <c r="AQ63" s="31" t="n">
        <v>1.474118965166021</v>
      </c>
      <c r="AR63" s="31" t="n">
        <v>15.73711456427405</v>
      </c>
      <c r="AS63" s="31" t="n">
        <v>1.449516636083897</v>
      </c>
      <c r="AT63" s="31" t="n">
        <v>0.02701161132613567</v>
      </c>
      <c r="AU63" s="31" t="n">
        <v>0.05084538602566714</v>
      </c>
      <c r="AV63" s="31" t="n">
        <v>1.026441230393155</v>
      </c>
      <c r="AW63" s="31" t="n">
        <v>4.469730834415034</v>
      </c>
      <c r="AX63" s="31" t="n">
        <v>1.924180077408841</v>
      </c>
      <c r="AY63" s="31" t="n">
        <v>13.12268275734581</v>
      </c>
      <c r="AZ63" s="31" t="n">
        <v>5498.847311654138</v>
      </c>
      <c r="BA63" s="31" t="n">
        <v>5438.976577313393</v>
      </c>
      <c r="BB63" s="31" t="n">
        <v>1.653872725679874</v>
      </c>
      <c r="BC63" s="31" t="n">
        <v>4.408644527682771</v>
      </c>
      <c r="BD63" s="31" t="n">
        <v>0.8198818496638827</v>
      </c>
      <c r="BE63" s="31" t="n">
        <v>2.081888167287586</v>
      </c>
      <c r="BF63" s="31" t="n">
        <v>0.3799382055343781</v>
      </c>
      <c r="BG63" s="31" t="n">
        <v>34053.75075744752</v>
      </c>
      <c r="BH63" s="31" t="n">
        <v>0.4540334080260745</v>
      </c>
      <c r="BI63" s="31" t="n">
        <v>21.14498928219952</v>
      </c>
      <c r="BJ63" s="31" t="n">
        <v>3.103421908856348</v>
      </c>
      <c r="BK63" s="31" t="n">
        <v>1.447901812996537</v>
      </c>
      <c r="BL63" s="31" t="n">
        <v>0.2637604400081482</v>
      </c>
      <c r="BM63" s="31" t="n">
        <v>1.721614550624622</v>
      </c>
      <c r="BN63" s="31" t="n">
        <v>0.1962314116928091</v>
      </c>
      <c r="BO63" s="31" t="n">
        <v>0.8043898961091872</v>
      </c>
      <c r="BP63" s="31" t="n">
        <v>110.4618619498101</v>
      </c>
      <c r="BQ63" s="31" t="n">
        <v>1.199803251490056</v>
      </c>
      <c r="BR63" s="31" t="n">
        <v>0</v>
      </c>
      <c r="BS63" s="31">
        <f>SUM(C63:BR63)</f>
        <v/>
      </c>
      <c r="BT63" s="31" t="n">
        <v>0</v>
      </c>
      <c r="BU63" s="31" t="n">
        <v>0</v>
      </c>
      <c r="BV63" s="31" t="n">
        <v>2151.606754869264</v>
      </c>
      <c r="BW63" s="31" t="n">
        <v>0</v>
      </c>
      <c r="BX63" s="31">
        <f>SUM(BT63:BW63)</f>
        <v/>
      </c>
      <c r="BY63" s="31">
        <f>BS63+BX63</f>
        <v/>
      </c>
    </row>
    <row r="64">
      <c r="A64" s="28" t="inlineStr">
        <is>
          <t>6100</t>
        </is>
      </c>
      <c r="B64" s="28" t="inlineStr">
        <is>
          <t>Telecomunicações</t>
        </is>
      </c>
      <c r="C64" s="29" t="n">
        <v>6.040874322225567</v>
      </c>
      <c r="D64" s="29" t="n">
        <v>3.029427736333868</v>
      </c>
      <c r="E64" s="29" t="n">
        <v>7.039414188792848</v>
      </c>
      <c r="F64" s="29" t="n">
        <v>29.13392652169694</v>
      </c>
      <c r="G64" s="29" t="n">
        <v>652.7968783235026</v>
      </c>
      <c r="H64" s="29" t="n">
        <v>69.70316083269424</v>
      </c>
      <c r="I64" s="29" t="n">
        <v>29.13535814312986</v>
      </c>
      <c r="J64" s="29" t="n">
        <v>693.4481236535107</v>
      </c>
      <c r="K64" s="29" t="n">
        <v>158.9761929751241</v>
      </c>
      <c r="L64" s="29" t="n">
        <v>1275.377683134205</v>
      </c>
      <c r="M64" s="29" t="n">
        <v>378.8746989301144</v>
      </c>
      <c r="N64" s="29" t="n">
        <v>16.29137720363831</v>
      </c>
      <c r="O64" s="29" t="n">
        <v>210.03003278865</v>
      </c>
      <c r="P64" s="29" t="n">
        <v>567.4395352300437</v>
      </c>
      <c r="Q64" s="29" t="n">
        <v>170.0176155615641</v>
      </c>
      <c r="R64" s="29" t="n">
        <v>83.34243261839936</v>
      </c>
      <c r="S64" s="29" t="n">
        <v>351.6973751243896</v>
      </c>
      <c r="T64" s="29" t="n">
        <v>328.2849112605062</v>
      </c>
      <c r="U64" s="29" t="n">
        <v>208.1363323478474</v>
      </c>
      <c r="V64" s="29" t="n">
        <v>135.2168185025311</v>
      </c>
      <c r="W64" s="29" t="n">
        <v>259.7231631114688</v>
      </c>
      <c r="X64" s="29" t="n">
        <v>251.1174678346652</v>
      </c>
      <c r="Y64" s="29" t="n">
        <v>30.3800710277023</v>
      </c>
      <c r="Z64" s="29" t="n">
        <v>243.1873765715742</v>
      </c>
      <c r="AA64" s="29" t="n">
        <v>301.9942227477602</v>
      </c>
      <c r="AB64" s="29" t="n">
        <v>482.764702076152</v>
      </c>
      <c r="AC64" s="29" t="n">
        <v>174.2325597598914</v>
      </c>
      <c r="AD64" s="29" t="n">
        <v>65.76910428723177</v>
      </c>
      <c r="AE64" s="29" t="n">
        <v>391.9984447790898</v>
      </c>
      <c r="AF64" s="29" t="n">
        <v>814.5352532433634</v>
      </c>
      <c r="AG64" s="29" t="n">
        <v>444.7974206312136</v>
      </c>
      <c r="AH64" s="29" t="n">
        <v>472.6666441500332</v>
      </c>
      <c r="AI64" s="29" t="n">
        <v>1169.62275040468</v>
      </c>
      <c r="AJ64" s="29" t="n">
        <v>1036.428937569873</v>
      </c>
      <c r="AK64" s="29" t="n">
        <v>240.6731099511442</v>
      </c>
      <c r="AL64" s="29" t="n">
        <v>465.7327427210847</v>
      </c>
      <c r="AM64" s="29" t="n">
        <v>123.3282402639998</v>
      </c>
      <c r="AN64" s="29" t="n">
        <v>495.0505800792058</v>
      </c>
      <c r="AO64" s="29" t="n">
        <v>162.6521049459336</v>
      </c>
      <c r="AP64" s="29" t="n">
        <v>1282.180337827016</v>
      </c>
      <c r="AQ64" s="29" t="n">
        <v>1146.479564775546</v>
      </c>
      <c r="AR64" s="29" t="n">
        <v>6938.696686687885</v>
      </c>
      <c r="AS64" s="29" t="n">
        <v>865.4531028472931</v>
      </c>
      <c r="AT64" s="29" t="n">
        <v>32.39101638649393</v>
      </c>
      <c r="AU64" s="29" t="n">
        <v>73.7331461296522</v>
      </c>
      <c r="AV64" s="29" t="n">
        <v>804.9548950819029</v>
      </c>
      <c r="AW64" s="29" t="n">
        <v>243.9509215699976</v>
      </c>
      <c r="AX64" s="29" t="n">
        <v>662.2260430190936</v>
      </c>
      <c r="AY64" s="29" t="n">
        <v>154.7354454480279</v>
      </c>
      <c r="AZ64" s="29" t="n">
        <v>331.808937581789</v>
      </c>
      <c r="BA64" s="29" t="n">
        <v>23619.62544447259</v>
      </c>
      <c r="BB64" s="29" t="n">
        <v>1466.508762675687</v>
      </c>
      <c r="BC64" s="29" t="n">
        <v>9958.331736523211</v>
      </c>
      <c r="BD64" s="29" t="n">
        <v>617.951050757709</v>
      </c>
      <c r="BE64" s="29" t="n">
        <v>2728.817755459889</v>
      </c>
      <c r="BF64" s="29" t="n">
        <v>415.0467308326174</v>
      </c>
      <c r="BG64" s="29" t="n">
        <v>2633.299222126696</v>
      </c>
      <c r="BH64" s="29" t="n">
        <v>131.8409492904655</v>
      </c>
      <c r="BI64" s="29" t="n">
        <v>1623.740395239134</v>
      </c>
      <c r="BJ64" s="29" t="n">
        <v>282.4932347565143</v>
      </c>
      <c r="BK64" s="29" t="n">
        <v>5576.091661335402</v>
      </c>
      <c r="BL64" s="29" t="n">
        <v>1093.642444941788</v>
      </c>
      <c r="BM64" s="29" t="n">
        <v>1340.083244389756</v>
      </c>
      <c r="BN64" s="29" t="n">
        <v>553.7686340914366</v>
      </c>
      <c r="BO64" s="29" t="n">
        <v>1105.674165503765</v>
      </c>
      <c r="BP64" s="29" t="n">
        <v>277.6344640860053</v>
      </c>
      <c r="BQ64" s="29" t="n">
        <v>1708.298384687084</v>
      </c>
      <c r="BR64" s="29" t="n">
        <v>0</v>
      </c>
      <c r="BS64" s="29">
        <f>SUM(C64:BR64)</f>
        <v/>
      </c>
      <c r="BT64" s="29" t="n">
        <v>0</v>
      </c>
      <c r="BU64" s="29" t="n">
        <v>0</v>
      </c>
      <c r="BV64" s="29" t="n">
        <v>95754.69350746747</v>
      </c>
      <c r="BW64" s="29" t="n">
        <v>0</v>
      </c>
      <c r="BX64" s="29">
        <f>SUM(BT64:BW64)</f>
        <v/>
      </c>
      <c r="BY64" s="29">
        <f>BS64+BX64</f>
        <v/>
      </c>
    </row>
    <row r="65">
      <c r="A65" s="30" t="inlineStr">
        <is>
          <t>6280</t>
        </is>
      </c>
      <c r="B65" s="30" t="inlineStr">
        <is>
          <t>Desenvolvimento de sistemas e outros serviços de informação</t>
        </is>
      </c>
      <c r="C65" s="31" t="n">
        <v>15.61052059965991</v>
      </c>
      <c r="D65" s="31" t="n">
        <v>8.786541977246172</v>
      </c>
      <c r="E65" s="31" t="n">
        <v>0.9869334926563804</v>
      </c>
      <c r="F65" s="31" t="n">
        <v>1.069472656615849</v>
      </c>
      <c r="G65" s="31" t="n">
        <v>60.29868119743688</v>
      </c>
      <c r="H65" s="31" t="n">
        <v>174.284854383844</v>
      </c>
      <c r="I65" s="31" t="n">
        <v>30.44043412722906</v>
      </c>
      <c r="J65" s="31" t="n">
        <v>435.2840874278926</v>
      </c>
      <c r="K65" s="31" t="n">
        <v>10.45737780508218</v>
      </c>
      <c r="L65" s="31" t="n">
        <v>735.1900967149032</v>
      </c>
      <c r="M65" s="31" t="n">
        <v>67.52931940757937</v>
      </c>
      <c r="N65" s="31" t="n">
        <v>29.82478136994319</v>
      </c>
      <c r="O65" s="31" t="n">
        <v>37.04850132408806</v>
      </c>
      <c r="P65" s="31" t="n">
        <v>48.36193802559772</v>
      </c>
      <c r="Q65" s="31" t="n">
        <v>13.23958989103273</v>
      </c>
      <c r="R65" s="31" t="n">
        <v>10.27743598186628</v>
      </c>
      <c r="S65" s="31" t="n">
        <v>151.6133193771977</v>
      </c>
      <c r="T65" s="31" t="n">
        <v>3.878820921595651</v>
      </c>
      <c r="U65" s="31" t="n">
        <v>39.67940338721849</v>
      </c>
      <c r="V65" s="31" t="n">
        <v>2.623013117153278</v>
      </c>
      <c r="W65" s="31" t="n">
        <v>294.523221890579</v>
      </c>
      <c r="X65" s="31" t="n">
        <v>202.4923169239357</v>
      </c>
      <c r="Y65" s="31" t="n">
        <v>20.53543307394643</v>
      </c>
      <c r="Z65" s="31" t="n">
        <v>361.3430087716312</v>
      </c>
      <c r="AA65" s="31" t="n">
        <v>121.6460171318269</v>
      </c>
      <c r="AB65" s="31" t="n">
        <v>90.6859691500706</v>
      </c>
      <c r="AC65" s="31" t="n">
        <v>154.3153755279385</v>
      </c>
      <c r="AD65" s="31" t="n">
        <v>25.11034677720042</v>
      </c>
      <c r="AE65" s="31" t="n">
        <v>100.188656799218</v>
      </c>
      <c r="AF65" s="31" t="n">
        <v>267.7415720223262</v>
      </c>
      <c r="AG65" s="31" t="n">
        <v>319.0110827291555</v>
      </c>
      <c r="AH65" s="31" t="n">
        <v>176.901822846054</v>
      </c>
      <c r="AI65" s="31" t="n">
        <v>673.1508523376631</v>
      </c>
      <c r="AJ65" s="31" t="n">
        <v>96.28464418249844</v>
      </c>
      <c r="AK65" s="31" t="n">
        <v>72.70063978006556</v>
      </c>
      <c r="AL65" s="31" t="n">
        <v>116.6184730091443</v>
      </c>
      <c r="AM65" s="31" t="n">
        <v>80.97346721780885</v>
      </c>
      <c r="AN65" s="31" t="n">
        <v>1328.64768586672</v>
      </c>
      <c r="AO65" s="31" t="n">
        <v>290.1776330568017</v>
      </c>
      <c r="AP65" s="31" t="n">
        <v>459.8376760257472</v>
      </c>
      <c r="AQ65" s="31" t="n">
        <v>387.8073330695668</v>
      </c>
      <c r="AR65" s="31" t="n">
        <v>7669.744173639021</v>
      </c>
      <c r="AS65" s="31" t="n">
        <v>742.2701777348761</v>
      </c>
      <c r="AT65" s="31" t="n">
        <v>1.115743794919357</v>
      </c>
      <c r="AU65" s="31" t="n">
        <v>725.1092209264034</v>
      </c>
      <c r="AV65" s="31" t="n">
        <v>1086.642466328983</v>
      </c>
      <c r="AW65" s="31" t="n">
        <v>66.170375953836</v>
      </c>
      <c r="AX65" s="31" t="n">
        <v>87.42007645964966</v>
      </c>
      <c r="AY65" s="31" t="n">
        <v>547.488639970925</v>
      </c>
      <c r="AZ65" s="31" t="n">
        <v>1009.247383179397</v>
      </c>
      <c r="BA65" s="31" t="n">
        <v>2911.611402957697</v>
      </c>
      <c r="BB65" s="31" t="n">
        <v>7684.925181417094</v>
      </c>
      <c r="BC65" s="31" t="n">
        <v>16775.68725721695</v>
      </c>
      <c r="BD65" s="31" t="n">
        <v>321.820297472952</v>
      </c>
      <c r="BE65" s="31" t="n">
        <v>2441.819854459226</v>
      </c>
      <c r="BF65" s="31" t="n">
        <v>54.83115002249486</v>
      </c>
      <c r="BG65" s="31" t="n">
        <v>4799.697441490466</v>
      </c>
      <c r="BH65" s="31" t="n">
        <v>348.8655807030384</v>
      </c>
      <c r="BI65" s="31" t="n">
        <v>769.1919412305842</v>
      </c>
      <c r="BJ65" s="31" t="n">
        <v>161.5074417324377</v>
      </c>
      <c r="BK65" s="31" t="n">
        <v>9515.425790445337</v>
      </c>
      <c r="BL65" s="31" t="n">
        <v>1429.287803860942</v>
      </c>
      <c r="BM65" s="31" t="n">
        <v>361.7980162205132</v>
      </c>
      <c r="BN65" s="31" t="n">
        <v>2563.084785160991</v>
      </c>
      <c r="BO65" s="31" t="n">
        <v>4.336643218654183</v>
      </c>
      <c r="BP65" s="31" t="n">
        <v>165.197867523517</v>
      </c>
      <c r="BQ65" s="31" t="n">
        <v>1448.519935522563</v>
      </c>
      <c r="BR65" s="31" t="n">
        <v>0</v>
      </c>
      <c r="BS65" s="31">
        <f>SUM(C65:BR65)</f>
        <v/>
      </c>
      <c r="BT65" s="31" t="n">
        <v>0</v>
      </c>
      <c r="BU65" s="31" t="n">
        <v>0</v>
      </c>
      <c r="BV65" s="31" t="n">
        <v>62187.5457853485</v>
      </c>
      <c r="BW65" s="31" t="n">
        <v>0</v>
      </c>
      <c r="BX65" s="31">
        <f>SUM(BT65:BW65)</f>
        <v/>
      </c>
      <c r="BY65" s="31">
        <f>BS65+BX65</f>
        <v/>
      </c>
    </row>
    <row r="66">
      <c r="A66" s="28" t="inlineStr">
        <is>
          <t>6480</t>
        </is>
      </c>
      <c r="B66" s="28" t="inlineStr">
        <is>
          <t>Intermediação financeira, seguros e previdência complementar</t>
        </is>
      </c>
      <c r="C66" s="29" t="n">
        <v>6308.060634109668</v>
      </c>
      <c r="D66" s="29" t="n">
        <v>2451.327573007391</v>
      </c>
      <c r="E66" s="29" t="n">
        <v>565.1027974767022</v>
      </c>
      <c r="F66" s="29" t="n">
        <v>724.728587667364</v>
      </c>
      <c r="G66" s="29" t="n">
        <v>4214.674395614049</v>
      </c>
      <c r="H66" s="29" t="n">
        <v>1862.663645314336</v>
      </c>
      <c r="I66" s="29" t="n">
        <v>629.0760760488321</v>
      </c>
      <c r="J66" s="29" t="n">
        <v>5720.857792445897</v>
      </c>
      <c r="K66" s="29" t="n">
        <v>1837.075464579307</v>
      </c>
      <c r="L66" s="29" t="n">
        <v>5636.500263478863</v>
      </c>
      <c r="M66" s="29" t="n">
        <v>1719.127805212297</v>
      </c>
      <c r="N66" s="29" t="n">
        <v>375.6167250913049</v>
      </c>
      <c r="O66" s="29" t="n">
        <v>915.3891970888012</v>
      </c>
      <c r="P66" s="29" t="n">
        <v>1250.563605799386</v>
      </c>
      <c r="Q66" s="29" t="n">
        <v>887.5659215602534</v>
      </c>
      <c r="R66" s="29" t="n">
        <v>584.0299505593099</v>
      </c>
      <c r="S66" s="29" t="n">
        <v>2396.470192307665</v>
      </c>
      <c r="T66" s="29" t="n">
        <v>452.3603792663641</v>
      </c>
      <c r="U66" s="29" t="n">
        <v>3926.162928948962</v>
      </c>
      <c r="V66" s="29" t="n">
        <v>1190.754885257077</v>
      </c>
      <c r="W66" s="29" t="n">
        <v>4088.568112242808</v>
      </c>
      <c r="X66" s="29" t="n">
        <v>1551.439146473426</v>
      </c>
      <c r="Y66" s="29" t="n">
        <v>909.7083544150642</v>
      </c>
      <c r="Z66" s="29" t="n">
        <v>1092.054655593319</v>
      </c>
      <c r="AA66" s="29" t="n">
        <v>2077.898673214585</v>
      </c>
      <c r="AB66" s="29" t="n">
        <v>2417.850850810061</v>
      </c>
      <c r="AC66" s="29" t="n">
        <v>2834.68162422722</v>
      </c>
      <c r="AD66" s="29" t="n">
        <v>1315.221453801431</v>
      </c>
      <c r="AE66" s="29" t="n">
        <v>1987.06671181116</v>
      </c>
      <c r="AF66" s="29" t="n">
        <v>1738.070631026179</v>
      </c>
      <c r="AG66" s="29" t="n">
        <v>1598.238084832533</v>
      </c>
      <c r="AH66" s="29" t="n">
        <v>2614.527608203561</v>
      </c>
      <c r="AI66" s="29" t="n">
        <v>3094.39798954907</v>
      </c>
      <c r="AJ66" s="29" t="n">
        <v>1281.195860620383</v>
      </c>
      <c r="AK66" s="29" t="n">
        <v>1187.917748103172</v>
      </c>
      <c r="AL66" s="29" t="n">
        <v>1233.117328103343</v>
      </c>
      <c r="AM66" s="29" t="n">
        <v>769.6804561395635</v>
      </c>
      <c r="AN66" s="29" t="n">
        <v>7327.916655321942</v>
      </c>
      <c r="AO66" s="29" t="n">
        <v>1515.485081931527</v>
      </c>
      <c r="AP66" s="29" t="n">
        <v>11644.66190688374</v>
      </c>
      <c r="AQ66" s="29" t="n">
        <v>3292.656022654988</v>
      </c>
      <c r="AR66" s="29" t="n">
        <v>32014.73162491186</v>
      </c>
      <c r="AS66" s="29" t="n">
        <v>9954.952187570138</v>
      </c>
      <c r="AT66" s="29" t="n">
        <v>657.8031421992976</v>
      </c>
      <c r="AU66" s="29" t="n">
        <v>1448.805636591273</v>
      </c>
      <c r="AV66" s="29" t="n">
        <v>3779.477539608996</v>
      </c>
      <c r="AW66" s="29" t="n">
        <v>687.9804495579948</v>
      </c>
      <c r="AX66" s="29" t="n">
        <v>3758.969827120185</v>
      </c>
      <c r="AY66" s="29" t="n">
        <v>624.1554957039243</v>
      </c>
      <c r="AZ66" s="29" t="n">
        <v>1306.934071765456</v>
      </c>
      <c r="BA66" s="29" t="n">
        <v>7585.510505141119</v>
      </c>
      <c r="BB66" s="29" t="n">
        <v>3043.413467548023</v>
      </c>
      <c r="BC66" s="29" t="n">
        <v>79715.02906434331</v>
      </c>
      <c r="BD66" s="29" t="n">
        <v>27059.12550384199</v>
      </c>
      <c r="BE66" s="29" t="n">
        <v>5169.540792573815</v>
      </c>
      <c r="BF66" s="29" t="n">
        <v>1832.807574884419</v>
      </c>
      <c r="BG66" s="29" t="n">
        <v>1096.213630972343</v>
      </c>
      <c r="BH66" s="29" t="n">
        <v>1567.271215648489</v>
      </c>
      <c r="BI66" s="29" t="n">
        <v>5686.316204018382</v>
      </c>
      <c r="BJ66" s="29" t="n">
        <v>1267.138305415562</v>
      </c>
      <c r="BK66" s="29" t="n">
        <v>64781.63574941091</v>
      </c>
      <c r="BL66" s="29" t="n">
        <v>1154.460462293596</v>
      </c>
      <c r="BM66" s="29" t="n">
        <v>2480.468263884416</v>
      </c>
      <c r="BN66" s="29" t="n">
        <v>495.4490536764672</v>
      </c>
      <c r="BO66" s="29" t="n">
        <v>5662.298536131708</v>
      </c>
      <c r="BP66" s="29" t="n">
        <v>1024.823758123233</v>
      </c>
      <c r="BQ66" s="29" t="n">
        <v>2882.751153966454</v>
      </c>
      <c r="BR66" s="29" t="n">
        <v>0</v>
      </c>
      <c r="BS66" s="29">
        <f>SUM(C66:BR66)</f>
        <v/>
      </c>
      <c r="BT66" s="29" t="n">
        <v>0</v>
      </c>
      <c r="BU66" s="29" t="n">
        <v>0</v>
      </c>
      <c r="BV66" s="29" t="n">
        <v>262416.9725692343</v>
      </c>
      <c r="BW66" s="29" t="n">
        <v>0</v>
      </c>
      <c r="BX66" s="29">
        <f>SUM(BT66:BW66)</f>
        <v/>
      </c>
      <c r="BY66" s="29">
        <f>BS66+BX66</f>
        <v/>
      </c>
    </row>
    <row r="67">
      <c r="A67" s="30" t="inlineStr">
        <is>
          <t>6800</t>
        </is>
      </c>
      <c r="B67" s="30" t="inlineStr">
        <is>
          <t>Atividades imobiliárias</t>
        </is>
      </c>
      <c r="C67" s="31" t="n">
        <v>5.197268975361083</v>
      </c>
      <c r="D67" s="31" t="n">
        <v>3.723846670371715</v>
      </c>
      <c r="E67" s="31" t="n">
        <v>5.189299345227353</v>
      </c>
      <c r="F67" s="31" t="n">
        <v>15.56435597784484</v>
      </c>
      <c r="G67" s="31" t="n">
        <v>243.2861011264119</v>
      </c>
      <c r="H67" s="31" t="n">
        <v>20.84707709852869</v>
      </c>
      <c r="I67" s="31" t="n">
        <v>15.58073799534195</v>
      </c>
      <c r="J67" s="31" t="n">
        <v>465.4351191688735</v>
      </c>
      <c r="K67" s="31" t="n">
        <v>106.7239763699328</v>
      </c>
      <c r="L67" s="31" t="n">
        <v>359.4549380671098</v>
      </c>
      <c r="M67" s="31" t="n">
        <v>51.87971073538399</v>
      </c>
      <c r="N67" s="31" t="n">
        <v>16.3050519454064</v>
      </c>
      <c r="O67" s="31" t="n">
        <v>234.9409757588103</v>
      </c>
      <c r="P67" s="31" t="n">
        <v>277.9270217967</v>
      </c>
      <c r="Q67" s="31" t="n">
        <v>70.40817885516398</v>
      </c>
      <c r="R67" s="31" t="n">
        <v>25.93985536769199</v>
      </c>
      <c r="S67" s="31" t="n">
        <v>116.3632073645149</v>
      </c>
      <c r="T67" s="31" t="n">
        <v>41.50376858830719</v>
      </c>
      <c r="U67" s="31" t="n">
        <v>125.2524444897127</v>
      </c>
      <c r="V67" s="31" t="n">
        <v>136.3814798067814</v>
      </c>
      <c r="W67" s="31" t="n">
        <v>118.6136317298973</v>
      </c>
      <c r="X67" s="31" t="n">
        <v>74.11387247911998</v>
      </c>
      <c r="Y67" s="31" t="n">
        <v>119.3233346913832</v>
      </c>
      <c r="Z67" s="31" t="n">
        <v>188.2492360969647</v>
      </c>
      <c r="AA67" s="31" t="n">
        <v>288.3029639437767</v>
      </c>
      <c r="AB67" s="31" t="n">
        <v>160.828874308609</v>
      </c>
      <c r="AC67" s="31" t="n">
        <v>198.6331478741753</v>
      </c>
      <c r="AD67" s="31" t="n">
        <v>8.157839059459016</v>
      </c>
      <c r="AE67" s="31" t="n">
        <v>194.1929568838729</v>
      </c>
      <c r="AF67" s="31" t="n">
        <v>146.0362073044013</v>
      </c>
      <c r="AG67" s="31" t="n">
        <v>89.67911397142413</v>
      </c>
      <c r="AH67" s="31" t="n">
        <v>161.5908226231938</v>
      </c>
      <c r="AI67" s="31" t="n">
        <v>80.14393092581014</v>
      </c>
      <c r="AJ67" s="31" t="n">
        <v>128.9638939576542</v>
      </c>
      <c r="AK67" s="31" t="n">
        <v>60.87432408123895</v>
      </c>
      <c r="AL67" s="31" t="n">
        <v>183.0670208674118</v>
      </c>
      <c r="AM67" s="31" t="n">
        <v>43.72718476268079</v>
      </c>
      <c r="AN67" s="31" t="n">
        <v>953.8455388062741</v>
      </c>
      <c r="AO67" s="31" t="n">
        <v>206.0365654919536</v>
      </c>
      <c r="AP67" s="31" t="n">
        <v>1068.659427540337</v>
      </c>
      <c r="AQ67" s="31" t="n">
        <v>2750.576560141456</v>
      </c>
      <c r="AR67" s="31" t="n">
        <v>28620.07909363199</v>
      </c>
      <c r="AS67" s="31" t="n">
        <v>841.2004222681454</v>
      </c>
      <c r="AT67" s="31" t="n">
        <v>50.39964707194986</v>
      </c>
      <c r="AU67" s="31" t="n">
        <v>94.86664228773289</v>
      </c>
      <c r="AV67" s="31" t="n">
        <v>1915.234406514896</v>
      </c>
      <c r="AW67" s="31" t="n">
        <v>886.5064055564727</v>
      </c>
      <c r="AX67" s="31" t="n">
        <v>3590.075982888572</v>
      </c>
      <c r="AY67" s="31" t="n">
        <v>199.3707445411292</v>
      </c>
      <c r="AZ67" s="31" t="n">
        <v>338.0588788814587</v>
      </c>
      <c r="BA67" s="31" t="n">
        <v>1921.03246017325</v>
      </c>
      <c r="BB67" s="31" t="n">
        <v>1179.520085157869</v>
      </c>
      <c r="BC67" s="31" t="n">
        <v>4494.420192164213</v>
      </c>
      <c r="BD67" s="31" t="n">
        <v>1529.949416873048</v>
      </c>
      <c r="BE67" s="31" t="n">
        <v>3830.229281368551</v>
      </c>
      <c r="BF67" s="31" t="n">
        <v>703.4066206540666</v>
      </c>
      <c r="BG67" s="31" t="n">
        <v>737.4330311672438</v>
      </c>
      <c r="BH67" s="31" t="n">
        <v>847.2003732232195</v>
      </c>
      <c r="BI67" s="31" t="n">
        <v>2147.943147832385</v>
      </c>
      <c r="BJ67" s="31" t="n">
        <v>194.9194846200856</v>
      </c>
      <c r="BK67" s="31" t="n">
        <v>2703.029524144861</v>
      </c>
      <c r="BL67" s="31" t="n">
        <v>492.5708249362089</v>
      </c>
      <c r="BM67" s="31" t="n">
        <v>3210.774562184301</v>
      </c>
      <c r="BN67" s="31" t="n">
        <v>366.8854007535425</v>
      </c>
      <c r="BO67" s="31" t="n">
        <v>1500.805917702179</v>
      </c>
      <c r="BP67" s="31" t="n">
        <v>2997.168987870679</v>
      </c>
      <c r="BQ67" s="31" t="n">
        <v>2236.877101386307</v>
      </c>
      <c r="BR67" s="31" t="n">
        <v>0</v>
      </c>
      <c r="BS67" s="31">
        <f>SUM(C67:BR67)</f>
        <v/>
      </c>
      <c r="BT67" s="31" t="n">
        <v>0</v>
      </c>
      <c r="BU67" s="31" t="n">
        <v>0</v>
      </c>
      <c r="BV67" s="31" t="n">
        <v>471084.8004931938</v>
      </c>
      <c r="BW67" s="31" t="n">
        <v>0</v>
      </c>
      <c r="BX67" s="31">
        <f>SUM(BT67:BW67)</f>
        <v/>
      </c>
      <c r="BY67" s="31">
        <f>BS67+BX67</f>
        <v/>
      </c>
    </row>
    <row r="68">
      <c r="A68" s="28" t="inlineStr">
        <is>
          <t>6980</t>
        </is>
      </c>
      <c r="B68" s="28" t="inlineStr">
        <is>
          <t>Atividades jurídicas, contábeis, consultoria e sedes de empresas</t>
        </is>
      </c>
      <c r="C68" s="29" t="n">
        <v>18.29214688521694</v>
      </c>
      <c r="D68" s="29" t="n">
        <v>9.628653236252761</v>
      </c>
      <c r="E68" s="29" t="n">
        <v>38.50260939984263</v>
      </c>
      <c r="F68" s="29" t="n">
        <v>488.921815587437</v>
      </c>
      <c r="G68" s="29" t="n">
        <v>9830.311958869217</v>
      </c>
      <c r="H68" s="29" t="n">
        <v>2805.439286586936</v>
      </c>
      <c r="I68" s="29" t="n">
        <v>260.8319688537408</v>
      </c>
      <c r="J68" s="29" t="n">
        <v>4293.978925906076</v>
      </c>
      <c r="K68" s="29" t="n">
        <v>767.1738145743819</v>
      </c>
      <c r="L68" s="29" t="n">
        <v>7174.287040228346</v>
      </c>
      <c r="M68" s="29" t="n">
        <v>1821.901119577617</v>
      </c>
      <c r="N68" s="29" t="n">
        <v>850.7898715187708</v>
      </c>
      <c r="O68" s="29" t="n">
        <v>337.1412134396037</v>
      </c>
      <c r="P68" s="29" t="n">
        <v>286.1895067663984</v>
      </c>
      <c r="Q68" s="29" t="n">
        <v>194.5092923406397</v>
      </c>
      <c r="R68" s="29" t="n">
        <v>246.412390665768</v>
      </c>
      <c r="S68" s="29" t="n">
        <v>1732.504824024599</v>
      </c>
      <c r="T68" s="29" t="n">
        <v>158.8491944731592</v>
      </c>
      <c r="U68" s="29" t="n">
        <v>5298.206454274623</v>
      </c>
      <c r="V68" s="29" t="n">
        <v>567.0325663422882</v>
      </c>
      <c r="W68" s="29" t="n">
        <v>2855.617209864826</v>
      </c>
      <c r="X68" s="29" t="n">
        <v>3307.899960676189</v>
      </c>
      <c r="Y68" s="29" t="n">
        <v>1399.486134813452</v>
      </c>
      <c r="Z68" s="29" t="n">
        <v>3959.592677743175</v>
      </c>
      <c r="AA68" s="29" t="n">
        <v>1527.719770330743</v>
      </c>
      <c r="AB68" s="29" t="n">
        <v>2093.4505577919</v>
      </c>
      <c r="AC68" s="29" t="n">
        <v>1662.34414577555</v>
      </c>
      <c r="AD68" s="29" t="n">
        <v>410.0021959150305</v>
      </c>
      <c r="AE68" s="29" t="n">
        <v>774.0362791653199</v>
      </c>
      <c r="AF68" s="29" t="n">
        <v>2759.411036846813</v>
      </c>
      <c r="AG68" s="29" t="n">
        <v>2417.692774569399</v>
      </c>
      <c r="AH68" s="29" t="n">
        <v>2073.262121035348</v>
      </c>
      <c r="AI68" s="29" t="n">
        <v>2320.45992882605</v>
      </c>
      <c r="AJ68" s="29" t="n">
        <v>1089.602354369611</v>
      </c>
      <c r="AK68" s="29" t="n">
        <v>404.2884910940888</v>
      </c>
      <c r="AL68" s="29" t="n">
        <v>459.304627406319</v>
      </c>
      <c r="AM68" s="29" t="n">
        <v>593.8583532274988</v>
      </c>
      <c r="AN68" s="29" t="n">
        <v>1272.511155950276</v>
      </c>
      <c r="AO68" s="29" t="n">
        <v>1069.486334265318</v>
      </c>
      <c r="AP68" s="29" t="n">
        <v>4505.355919826487</v>
      </c>
      <c r="AQ68" s="29" t="n">
        <v>6126.208019290236</v>
      </c>
      <c r="AR68" s="29" t="n">
        <v>22234.1544614308</v>
      </c>
      <c r="AS68" s="29" t="n">
        <v>2153.936221351305</v>
      </c>
      <c r="AT68" s="29" t="n">
        <v>75.12963329811851</v>
      </c>
      <c r="AU68" s="29" t="n">
        <v>462.0714228001489</v>
      </c>
      <c r="AV68" s="29" t="n">
        <v>1733.723417164115</v>
      </c>
      <c r="AW68" s="29" t="n">
        <v>226.2931981221005</v>
      </c>
      <c r="AX68" s="29" t="n">
        <v>879.2425338680954</v>
      </c>
      <c r="AY68" s="29" t="n">
        <v>505.516774234816</v>
      </c>
      <c r="AZ68" s="29" t="n">
        <v>2453.597710300317</v>
      </c>
      <c r="BA68" s="29" t="n">
        <v>3114.844063039629</v>
      </c>
      <c r="BB68" s="29" t="n">
        <v>2685.605837613529</v>
      </c>
      <c r="BC68" s="29" t="n">
        <v>16147.95945366759</v>
      </c>
      <c r="BD68" s="29" t="n">
        <v>2106.662804019916</v>
      </c>
      <c r="BE68" s="29" t="n">
        <v>16417.58549322038</v>
      </c>
      <c r="BF68" s="29" t="n">
        <v>4475.089994015587</v>
      </c>
      <c r="BG68" s="29" t="n">
        <v>353.1505788634459</v>
      </c>
      <c r="BH68" s="29" t="n">
        <v>814.2747705211564</v>
      </c>
      <c r="BI68" s="29" t="n">
        <v>3317.171539975122</v>
      </c>
      <c r="BJ68" s="29" t="n">
        <v>1255.217554113859</v>
      </c>
      <c r="BK68" s="29" t="n">
        <v>4018.479356879448</v>
      </c>
      <c r="BL68" s="29" t="n">
        <v>146.8909637943664</v>
      </c>
      <c r="BM68" s="29" t="n">
        <v>1922.986201123293</v>
      </c>
      <c r="BN68" s="29" t="n">
        <v>335.3675118214095</v>
      </c>
      <c r="BO68" s="29" t="n">
        <v>2122.025743277918</v>
      </c>
      <c r="BP68" s="29" t="n">
        <v>1039.235377151484</v>
      </c>
      <c r="BQ68" s="29" t="n">
        <v>3154.630118951136</v>
      </c>
      <c r="BR68" s="29" t="n">
        <v>0</v>
      </c>
      <c r="BS68" s="29">
        <f>SUM(C68:BR68)</f>
        <v/>
      </c>
      <c r="BT68" s="29" t="n">
        <v>0</v>
      </c>
      <c r="BU68" s="29" t="n">
        <v>0</v>
      </c>
      <c r="BV68" s="29" t="n">
        <v>25887.48525192912</v>
      </c>
      <c r="BW68" s="29" t="n">
        <v>0</v>
      </c>
      <c r="BX68" s="29">
        <f>SUM(BT68:BW68)</f>
        <v/>
      </c>
      <c r="BY68" s="29">
        <f>BS68+BX68</f>
        <v/>
      </c>
    </row>
    <row r="69">
      <c r="A69" s="30" t="inlineStr">
        <is>
          <t>7180</t>
        </is>
      </c>
      <c r="B69" s="30" t="inlineStr">
        <is>
          <t>Serviços de arquitetura, engenharia, testes/análises técnicas e P &amp; D</t>
        </is>
      </c>
      <c r="C69" s="31" t="n">
        <v>769.8274594008629</v>
      </c>
      <c r="D69" s="31" t="n">
        <v>24.66088742474382</v>
      </c>
      <c r="E69" s="31" t="n">
        <v>0.1614204532277084</v>
      </c>
      <c r="F69" s="31" t="n">
        <v>73.60394487487271</v>
      </c>
      <c r="G69" s="31" t="n">
        <v>2536.579424961333</v>
      </c>
      <c r="H69" s="31" t="n">
        <v>393.9131282186718</v>
      </c>
      <c r="I69" s="31" t="n">
        <v>193.8149869539895</v>
      </c>
      <c r="J69" s="31" t="n">
        <v>1438.198686529605</v>
      </c>
      <c r="K69" s="31" t="n">
        <v>359.9594234912001</v>
      </c>
      <c r="L69" s="31" t="n">
        <v>1355.877717118799</v>
      </c>
      <c r="M69" s="31" t="n">
        <v>295.3365996063346</v>
      </c>
      <c r="N69" s="31" t="n">
        <v>149.2446201521863</v>
      </c>
      <c r="O69" s="31" t="n">
        <v>86.56350645872099</v>
      </c>
      <c r="P69" s="31" t="n">
        <v>231.8875428848772</v>
      </c>
      <c r="Q69" s="31" t="n">
        <v>152.5382603719163</v>
      </c>
      <c r="R69" s="31" t="n">
        <v>52.82777925144906</v>
      </c>
      <c r="S69" s="31" t="n">
        <v>629.9626146162727</v>
      </c>
      <c r="T69" s="31" t="n">
        <v>53.56292167620058</v>
      </c>
      <c r="U69" s="31" t="n">
        <v>212.1124438019732</v>
      </c>
      <c r="V69" s="31" t="n">
        <v>325.868436886315</v>
      </c>
      <c r="W69" s="31" t="n">
        <v>862.8817350289006</v>
      </c>
      <c r="X69" s="31" t="n">
        <v>749.2212490786702</v>
      </c>
      <c r="Y69" s="31" t="n">
        <v>526.8448498969319</v>
      </c>
      <c r="Z69" s="31" t="n">
        <v>1215.637985066788</v>
      </c>
      <c r="AA69" s="31" t="n">
        <v>1058.193117741985</v>
      </c>
      <c r="AB69" s="31" t="n">
        <v>776.2106611432159</v>
      </c>
      <c r="AC69" s="31" t="n">
        <v>505.5063221440535</v>
      </c>
      <c r="AD69" s="31" t="n">
        <v>340.4626199652733</v>
      </c>
      <c r="AE69" s="31" t="n">
        <v>578.0691489686031</v>
      </c>
      <c r="AF69" s="31" t="n">
        <v>894.6319705876288</v>
      </c>
      <c r="AG69" s="31" t="n">
        <v>508.9330382576283</v>
      </c>
      <c r="AH69" s="31" t="n">
        <v>2017.728417632572</v>
      </c>
      <c r="AI69" s="31" t="n">
        <v>2167.714217441988</v>
      </c>
      <c r="AJ69" s="31" t="n">
        <v>772.3908994141216</v>
      </c>
      <c r="AK69" s="31" t="n">
        <v>340.7576311158597</v>
      </c>
      <c r="AL69" s="31" t="n">
        <v>346.4506214769349</v>
      </c>
      <c r="AM69" s="31" t="n">
        <v>294.8268651933644</v>
      </c>
      <c r="AN69" s="31" t="n">
        <v>4533.354225763899</v>
      </c>
      <c r="AO69" s="31" t="n">
        <v>590.8355236400268</v>
      </c>
      <c r="AP69" s="31" t="n">
        <v>4582.280522568833</v>
      </c>
      <c r="AQ69" s="31" t="n">
        <v>131.8716315320067</v>
      </c>
      <c r="AR69" s="31" t="n">
        <v>2157.90408130314</v>
      </c>
      <c r="AS69" s="31" t="n">
        <v>466.203434754791</v>
      </c>
      <c r="AT69" s="31" t="n">
        <v>19.11881635837542</v>
      </c>
      <c r="AU69" s="31" t="n">
        <v>0.6289894668769535</v>
      </c>
      <c r="AV69" s="31" t="n">
        <v>5779.526598047762</v>
      </c>
      <c r="AW69" s="31" t="n">
        <v>14.91130216278312</v>
      </c>
      <c r="AX69" s="31" t="n">
        <v>27.1840324617979</v>
      </c>
      <c r="AY69" s="31" t="n">
        <v>1.502232797747821</v>
      </c>
      <c r="AZ69" s="31" t="n">
        <v>2.240115028104369</v>
      </c>
      <c r="BA69" s="31" t="n">
        <v>30.11387161075712</v>
      </c>
      <c r="BB69" s="31" t="n">
        <v>453.0019519883646</v>
      </c>
      <c r="BC69" s="31" t="n">
        <v>1028.449520442737</v>
      </c>
      <c r="BD69" s="31" t="n">
        <v>32.20206681601446</v>
      </c>
      <c r="BE69" s="31" t="n">
        <v>25.49448276687882</v>
      </c>
      <c r="BF69" s="31" t="n">
        <v>4271.067028691081</v>
      </c>
      <c r="BG69" s="31" t="n">
        <v>4.85768117373817</v>
      </c>
      <c r="BH69" s="31" t="n">
        <v>102.4563332758141</v>
      </c>
      <c r="BI69" s="31" t="n">
        <v>44.83660405644308</v>
      </c>
      <c r="BJ69" s="31" t="n">
        <v>1.419220386274818</v>
      </c>
      <c r="BK69" s="31" t="n">
        <v>5205.253256681449</v>
      </c>
      <c r="BL69" s="31" t="n">
        <v>1754.615961184793</v>
      </c>
      <c r="BM69" s="31" t="n">
        <v>156.8310717676113</v>
      </c>
      <c r="BN69" s="31" t="n">
        <v>1984.380107186184</v>
      </c>
      <c r="BO69" s="31" t="n">
        <v>11.24336311552138</v>
      </c>
      <c r="BP69" s="31" t="n">
        <v>19.73312423749861</v>
      </c>
      <c r="BQ69" s="31" t="n">
        <v>14.91038982847636</v>
      </c>
      <c r="BR69" s="31" t="n">
        <v>0</v>
      </c>
      <c r="BS69" s="31">
        <f>SUM(C69:BR69)</f>
        <v/>
      </c>
      <c r="BT69" s="31" t="n">
        <v>0</v>
      </c>
      <c r="BU69" s="31" t="n">
        <v>0</v>
      </c>
      <c r="BV69" s="31" t="n">
        <v>21742.42525791607</v>
      </c>
      <c r="BW69" s="31" t="n">
        <v>0</v>
      </c>
      <c r="BX69" s="31">
        <f>SUM(BT69:BW69)</f>
        <v/>
      </c>
      <c r="BY69" s="31">
        <f>BS69+BX69</f>
        <v/>
      </c>
    </row>
    <row r="70">
      <c r="A70" s="28" t="inlineStr">
        <is>
          <t>7380</t>
        </is>
      </c>
      <c r="B70" s="28" t="inlineStr">
        <is>
          <t>Outras atividades profissionais, científicas e técnicas</t>
        </is>
      </c>
      <c r="C70" s="29" t="n">
        <v>12.91232834257917</v>
      </c>
      <c r="D70" s="29" t="n">
        <v>394.3600099318796</v>
      </c>
      <c r="E70" s="29" t="n">
        <v>91.13766751472284</v>
      </c>
      <c r="F70" s="29" t="n">
        <v>34.70613341942155</v>
      </c>
      <c r="G70" s="29" t="n">
        <v>523.0018369783697</v>
      </c>
      <c r="H70" s="29" t="n">
        <v>7.297743634751676</v>
      </c>
      <c r="I70" s="29" t="n">
        <v>0.8363429102634241</v>
      </c>
      <c r="J70" s="29" t="n">
        <v>2173.773636540204</v>
      </c>
      <c r="K70" s="29" t="n">
        <v>134.0726164123942</v>
      </c>
      <c r="L70" s="29" t="n">
        <v>3408.925379473892</v>
      </c>
      <c r="M70" s="29" t="n">
        <v>5166.212262291225</v>
      </c>
      <c r="N70" s="29" t="n">
        <v>253.2640680098787</v>
      </c>
      <c r="O70" s="29" t="n">
        <v>93.18237226065916</v>
      </c>
      <c r="P70" s="29" t="n">
        <v>418.2655430342934</v>
      </c>
      <c r="Q70" s="29" t="n">
        <v>858.2411002234227</v>
      </c>
      <c r="R70" s="29" t="n">
        <v>31.51229261174923</v>
      </c>
      <c r="S70" s="29" t="n">
        <v>550.3078898088625</v>
      </c>
      <c r="T70" s="29" t="n">
        <v>65.39811725407328</v>
      </c>
      <c r="U70" s="29" t="n">
        <v>213.9561392948694</v>
      </c>
      <c r="V70" s="29" t="n">
        <v>85.74610035791</v>
      </c>
      <c r="W70" s="29" t="n">
        <v>108.3159506688879</v>
      </c>
      <c r="X70" s="29" t="n">
        <v>497.7775233753392</v>
      </c>
      <c r="Y70" s="29" t="n">
        <v>1255.045312143137</v>
      </c>
      <c r="Z70" s="29" t="n">
        <v>2001.207758692594</v>
      </c>
      <c r="AA70" s="29" t="n">
        <v>461.0743010431315</v>
      </c>
      <c r="AB70" s="29" t="n">
        <v>292.2824254866381</v>
      </c>
      <c r="AC70" s="29" t="n">
        <v>203.6550879736571</v>
      </c>
      <c r="AD70" s="29" t="n">
        <v>18.58784951542721</v>
      </c>
      <c r="AE70" s="29" t="n">
        <v>501.2203449150142</v>
      </c>
      <c r="AF70" s="29" t="n">
        <v>1439.812613201054</v>
      </c>
      <c r="AG70" s="29" t="n">
        <v>682.4775054452834</v>
      </c>
      <c r="AH70" s="29" t="n">
        <v>474.6146206050898</v>
      </c>
      <c r="AI70" s="29" t="n">
        <v>4279.160208290476</v>
      </c>
      <c r="AJ70" s="29" t="n">
        <v>134.094584426882</v>
      </c>
      <c r="AK70" s="29" t="n">
        <v>313.825024207427</v>
      </c>
      <c r="AL70" s="29" t="n">
        <v>449.5491860169923</v>
      </c>
      <c r="AM70" s="29" t="n">
        <v>111.3662205296694</v>
      </c>
      <c r="AN70" s="29" t="n">
        <v>3420.988235808969</v>
      </c>
      <c r="AO70" s="29" t="n">
        <v>183.4198425199896</v>
      </c>
      <c r="AP70" s="29" t="n">
        <v>1896.167377196753</v>
      </c>
      <c r="AQ70" s="29" t="n">
        <v>2632.153981400255</v>
      </c>
      <c r="AR70" s="29" t="n">
        <v>17447.23794303754</v>
      </c>
      <c r="AS70" s="29" t="n">
        <v>608.7068115846822</v>
      </c>
      <c r="AT70" s="29" t="n">
        <v>36.37712007625483</v>
      </c>
      <c r="AU70" s="29" t="n">
        <v>230.8079879674059</v>
      </c>
      <c r="AV70" s="29" t="n">
        <v>1077.492898889451</v>
      </c>
      <c r="AW70" s="29" t="n">
        <v>314.4309567111744</v>
      </c>
      <c r="AX70" s="29" t="n">
        <v>732.8023235841461</v>
      </c>
      <c r="AY70" s="29" t="n">
        <v>960.0476898849745</v>
      </c>
      <c r="AZ70" s="29" t="n">
        <v>1887.707474666629</v>
      </c>
      <c r="BA70" s="29" t="n">
        <v>3603.51318827942</v>
      </c>
      <c r="BB70" s="29" t="n">
        <v>1611.726373196941</v>
      </c>
      <c r="BC70" s="29" t="n">
        <v>11666.58462516677</v>
      </c>
      <c r="BD70" s="29" t="n">
        <v>877.6353362891443</v>
      </c>
      <c r="BE70" s="29" t="n">
        <v>4469.519916814729</v>
      </c>
      <c r="BF70" s="29" t="n">
        <v>397.9885580642087</v>
      </c>
      <c r="BG70" s="29" t="n">
        <v>1698.857305619791</v>
      </c>
      <c r="BH70" s="29" t="n">
        <v>990.1673421335627</v>
      </c>
      <c r="BI70" s="29" t="n">
        <v>1422.265420415617</v>
      </c>
      <c r="BJ70" s="29" t="n">
        <v>172.9188893273982</v>
      </c>
      <c r="BK70" s="29" t="n">
        <v>3560.292238365645</v>
      </c>
      <c r="BL70" s="29" t="n">
        <v>658.1045775346099</v>
      </c>
      <c r="BM70" s="29" t="n">
        <v>2555.52942379839</v>
      </c>
      <c r="BN70" s="29" t="n">
        <v>1065.950388955327</v>
      </c>
      <c r="BO70" s="29" t="n">
        <v>40.49158122429888</v>
      </c>
      <c r="BP70" s="29" t="n">
        <v>1550.326551329351</v>
      </c>
      <c r="BQ70" s="29" t="n">
        <v>1605.46607341037</v>
      </c>
      <c r="BR70" s="29" t="n">
        <v>0</v>
      </c>
      <c r="BS70" s="29">
        <f>SUM(C70:BR70)</f>
        <v/>
      </c>
      <c r="BT70" s="29" t="n">
        <v>0</v>
      </c>
      <c r="BU70" s="29" t="n">
        <v>0</v>
      </c>
      <c r="BV70" s="29" t="n">
        <v>3590.004923994784</v>
      </c>
      <c r="BW70" s="29" t="n">
        <v>0</v>
      </c>
      <c r="BX70" s="29">
        <f>SUM(BT70:BW70)</f>
        <v/>
      </c>
      <c r="BY70" s="29">
        <f>BS70+BX70</f>
        <v/>
      </c>
    </row>
    <row r="71">
      <c r="A71" s="30" t="inlineStr">
        <is>
          <t>7700</t>
        </is>
      </c>
      <c r="B71" s="30" t="inlineStr">
        <is>
          <t>Aluguéis não-imobiliários e gestão de ativos de propriedade intelectual</t>
        </is>
      </c>
      <c r="C71" s="31" t="n">
        <v>469.81406462743</v>
      </c>
      <c r="D71" s="31" t="n">
        <v>75.94115015958104</v>
      </c>
      <c r="E71" s="31" t="n">
        <v>112.8918238898816</v>
      </c>
      <c r="F71" s="31" t="n">
        <v>337.705535965139</v>
      </c>
      <c r="G71" s="31" t="n">
        <v>14346.45159025265</v>
      </c>
      <c r="H71" s="31" t="n">
        <v>1685.113735306379</v>
      </c>
      <c r="I71" s="31" t="n">
        <v>434.665005964066</v>
      </c>
      <c r="J71" s="31" t="n">
        <v>567.7283872670625</v>
      </c>
      <c r="K71" s="31" t="n">
        <v>506.6880740218378</v>
      </c>
      <c r="L71" s="31" t="n">
        <v>1706.368093567151</v>
      </c>
      <c r="M71" s="31" t="n">
        <v>628.3901012781259</v>
      </c>
      <c r="N71" s="31" t="n">
        <v>65.25553715138994</v>
      </c>
      <c r="O71" s="31" t="n">
        <v>84.91857954802316</v>
      </c>
      <c r="P71" s="31" t="n">
        <v>168.2011800907863</v>
      </c>
      <c r="Q71" s="31" t="n">
        <v>116.0863074722357</v>
      </c>
      <c r="R71" s="31" t="n">
        <v>196.7099223099235</v>
      </c>
      <c r="S71" s="31" t="n">
        <v>1151.30184276827</v>
      </c>
      <c r="T71" s="31" t="n">
        <v>270.1501569199315</v>
      </c>
      <c r="U71" s="31" t="n">
        <v>718.3538453540746</v>
      </c>
      <c r="V71" s="31" t="n">
        <v>130.2243785571163</v>
      </c>
      <c r="W71" s="31" t="n">
        <v>627.4869005024234</v>
      </c>
      <c r="X71" s="31" t="n">
        <v>721.9000636221417</v>
      </c>
      <c r="Y71" s="31" t="n">
        <v>140.9693164931437</v>
      </c>
      <c r="Z71" s="31" t="n">
        <v>320.8893761108347</v>
      </c>
      <c r="AA71" s="31" t="n">
        <v>867.776244798462</v>
      </c>
      <c r="AB71" s="31" t="n">
        <v>662.7139248538299</v>
      </c>
      <c r="AC71" s="31" t="n">
        <v>1058.676377278458</v>
      </c>
      <c r="AD71" s="31" t="n">
        <v>390.6852172568648</v>
      </c>
      <c r="AE71" s="31" t="n">
        <v>1102.773792365595</v>
      </c>
      <c r="AF71" s="31" t="n">
        <v>860.4206948156097</v>
      </c>
      <c r="AG71" s="31" t="n">
        <v>353.9044180071511</v>
      </c>
      <c r="AH71" s="31" t="n">
        <v>1043.044767302044</v>
      </c>
      <c r="AI71" s="31" t="n">
        <v>2375.012285121978</v>
      </c>
      <c r="AJ71" s="31" t="n">
        <v>744.2557979147595</v>
      </c>
      <c r="AK71" s="31" t="n">
        <v>992.0315490682756</v>
      </c>
      <c r="AL71" s="31" t="n">
        <v>387.5193531227527</v>
      </c>
      <c r="AM71" s="31" t="n">
        <v>595.1722426553898</v>
      </c>
      <c r="AN71" s="31" t="n">
        <v>1397.143450309238</v>
      </c>
      <c r="AO71" s="31" t="n">
        <v>1994.7443516468</v>
      </c>
      <c r="AP71" s="31" t="n">
        <v>6534.479224144172</v>
      </c>
      <c r="AQ71" s="31" t="n">
        <v>1211.471647809238</v>
      </c>
      <c r="AR71" s="31" t="n">
        <v>12440.55654503707</v>
      </c>
      <c r="AS71" s="31" t="n">
        <v>5640.258261714765</v>
      </c>
      <c r="AT71" s="31" t="n">
        <v>1438.278944538949</v>
      </c>
      <c r="AU71" s="31" t="n">
        <v>4370.871247355052</v>
      </c>
      <c r="AV71" s="31" t="n">
        <v>2981.177282283191</v>
      </c>
      <c r="AW71" s="31" t="n">
        <v>210.6296352477561</v>
      </c>
      <c r="AX71" s="31" t="n">
        <v>1690.801227964721</v>
      </c>
      <c r="AY71" s="31" t="n">
        <v>1208.177105491113</v>
      </c>
      <c r="AZ71" s="31" t="n">
        <v>1654.561747720384</v>
      </c>
      <c r="BA71" s="31" t="n">
        <v>7336.597239331531</v>
      </c>
      <c r="BB71" s="31" t="n">
        <v>3747.610817781443</v>
      </c>
      <c r="BC71" s="31" t="n">
        <v>2594.547933645483</v>
      </c>
      <c r="BD71" s="31" t="n">
        <v>346.2634119376254</v>
      </c>
      <c r="BE71" s="31" t="n">
        <v>1163.93684312645</v>
      </c>
      <c r="BF71" s="31" t="n">
        <v>1425.925579933307</v>
      </c>
      <c r="BG71" s="31" t="n">
        <v>383.0361779990041</v>
      </c>
      <c r="BH71" s="31" t="n">
        <v>2432.572040497211</v>
      </c>
      <c r="BI71" s="31" t="n">
        <v>1463.107061261712</v>
      </c>
      <c r="BJ71" s="31" t="n">
        <v>456.6925410957803</v>
      </c>
      <c r="BK71" s="31" t="n">
        <v>4398.219073474</v>
      </c>
      <c r="BL71" s="31" t="n">
        <v>1633.203758891039</v>
      </c>
      <c r="BM71" s="31" t="n">
        <v>3219.237015259683</v>
      </c>
      <c r="BN71" s="31" t="n">
        <v>2132.112076226666</v>
      </c>
      <c r="BO71" s="31" t="n">
        <v>1135.890512125812</v>
      </c>
      <c r="BP71" s="31" t="n">
        <v>807.2973749360337</v>
      </c>
      <c r="BQ71" s="31" t="n">
        <v>373.757516558843</v>
      </c>
      <c r="BR71" s="31" t="n">
        <v>0</v>
      </c>
      <c r="BS71" s="31">
        <f>SUM(C71:BR71)</f>
        <v/>
      </c>
      <c r="BT71" s="31" t="n">
        <v>0</v>
      </c>
      <c r="BU71" s="31" t="n">
        <v>0</v>
      </c>
      <c r="BV71" s="31" t="n">
        <v>4301.780230915717</v>
      </c>
      <c r="BW71" s="31" t="n">
        <v>0</v>
      </c>
      <c r="BX71" s="31">
        <f>SUM(BT71:BW71)</f>
        <v/>
      </c>
      <c r="BY71" s="31">
        <f>BS71+BX71</f>
        <v/>
      </c>
    </row>
    <row r="72">
      <c r="A72" s="28" t="inlineStr">
        <is>
          <t>7880</t>
        </is>
      </c>
      <c r="B72" s="28" t="inlineStr">
        <is>
          <t>Outras atividades administrativas e serviços complementares</t>
        </is>
      </c>
      <c r="C72" s="29" t="n">
        <v>28.01307775228589</v>
      </c>
      <c r="D72" s="29" t="n">
        <v>16.02009849275948</v>
      </c>
      <c r="E72" s="29" t="n">
        <v>28.88091714363133</v>
      </c>
      <c r="F72" s="29" t="n">
        <v>439.0656576092636</v>
      </c>
      <c r="G72" s="29" t="n">
        <v>742.6030972640417</v>
      </c>
      <c r="H72" s="29" t="n">
        <v>395.0027165406141</v>
      </c>
      <c r="I72" s="29" t="n">
        <v>182.7984309171399</v>
      </c>
      <c r="J72" s="29" t="n">
        <v>712.3030554898958</v>
      </c>
      <c r="K72" s="29" t="n">
        <v>401.6641885773324</v>
      </c>
      <c r="L72" s="29" t="n">
        <v>1141.916997405673</v>
      </c>
      <c r="M72" s="29" t="n">
        <v>975.0932919580014</v>
      </c>
      <c r="N72" s="29" t="n">
        <v>128.3155684092968</v>
      </c>
      <c r="O72" s="29" t="n">
        <v>189.7363441720778</v>
      </c>
      <c r="P72" s="29" t="n">
        <v>169.0703899747595</v>
      </c>
      <c r="Q72" s="29" t="n">
        <v>232.037852277809</v>
      </c>
      <c r="R72" s="29" t="n">
        <v>44.13360597003582</v>
      </c>
      <c r="S72" s="29" t="n">
        <v>605.5189017785378</v>
      </c>
      <c r="T72" s="29" t="n">
        <v>34.25964649629405</v>
      </c>
      <c r="U72" s="29" t="n">
        <v>235.7665458868645</v>
      </c>
      <c r="V72" s="29" t="n">
        <v>425.9158890345817</v>
      </c>
      <c r="W72" s="29" t="n">
        <v>480.7503456034065</v>
      </c>
      <c r="X72" s="29" t="n">
        <v>793.5195167878538</v>
      </c>
      <c r="Y72" s="29" t="n">
        <v>357.1177774764519</v>
      </c>
      <c r="Z72" s="29" t="n">
        <v>1174.659617271467</v>
      </c>
      <c r="AA72" s="29" t="n">
        <v>627.7445149685633</v>
      </c>
      <c r="AB72" s="29" t="n">
        <v>800.6195483807036</v>
      </c>
      <c r="AC72" s="29" t="n">
        <v>491.1139146521911</v>
      </c>
      <c r="AD72" s="29" t="n">
        <v>468.6920300065061</v>
      </c>
      <c r="AE72" s="29" t="n">
        <v>658.4171756444844</v>
      </c>
      <c r="AF72" s="29" t="n">
        <v>891.4599322380305</v>
      </c>
      <c r="AG72" s="29" t="n">
        <v>648.7838997602389</v>
      </c>
      <c r="AH72" s="29" t="n">
        <v>1703.222551027376</v>
      </c>
      <c r="AI72" s="29" t="n">
        <v>1294.01117921752</v>
      </c>
      <c r="AJ72" s="29" t="n">
        <v>311.7556706437904</v>
      </c>
      <c r="AK72" s="29" t="n">
        <v>224.9113299018755</v>
      </c>
      <c r="AL72" s="29" t="n">
        <v>280.4743204845391</v>
      </c>
      <c r="AM72" s="29" t="n">
        <v>404.0977651920963</v>
      </c>
      <c r="AN72" s="29" t="n">
        <v>3129.130473409968</v>
      </c>
      <c r="AO72" s="29" t="n">
        <v>329.9950971134595</v>
      </c>
      <c r="AP72" s="29" t="n">
        <v>2211.167885144842</v>
      </c>
      <c r="AQ72" s="29" t="n">
        <v>1782.055657474817</v>
      </c>
      <c r="AR72" s="29" t="n">
        <v>26352.51884907996</v>
      </c>
      <c r="AS72" s="29" t="n">
        <v>1696.493894029018</v>
      </c>
      <c r="AT72" s="29" t="n">
        <v>96.53239844875476</v>
      </c>
      <c r="AU72" s="29" t="n">
        <v>921.125052469298</v>
      </c>
      <c r="AV72" s="29" t="n">
        <v>2781.958698042796</v>
      </c>
      <c r="AW72" s="29" t="n">
        <v>842.2372151566143</v>
      </c>
      <c r="AX72" s="29" t="n">
        <v>1647.761439332631</v>
      </c>
      <c r="AY72" s="29" t="n">
        <v>278.9313344606421</v>
      </c>
      <c r="AZ72" s="29" t="n">
        <v>864.8537162635035</v>
      </c>
      <c r="BA72" s="29" t="n">
        <v>16268.9162935742</v>
      </c>
      <c r="BB72" s="29" t="n">
        <v>5244.136365292901</v>
      </c>
      <c r="BC72" s="29" t="n">
        <v>20838.05805796985</v>
      </c>
      <c r="BD72" s="29" t="n">
        <v>1172.170229851306</v>
      </c>
      <c r="BE72" s="29" t="n">
        <v>3850.795888247496</v>
      </c>
      <c r="BF72" s="29" t="n">
        <v>589.929338063828</v>
      </c>
      <c r="BG72" s="29" t="n">
        <v>620.0109946551091</v>
      </c>
      <c r="BH72" s="29" t="n">
        <v>578.1684911656905</v>
      </c>
      <c r="BI72" s="29" t="n">
        <v>4894.410636286981</v>
      </c>
      <c r="BJ72" s="29" t="n">
        <v>357.8714910363905</v>
      </c>
      <c r="BK72" s="29" t="n">
        <v>24503.94031343384</v>
      </c>
      <c r="BL72" s="29" t="n">
        <v>11242.69966508846</v>
      </c>
      <c r="BM72" s="29" t="n">
        <v>3338.778396884682</v>
      </c>
      <c r="BN72" s="29" t="n">
        <v>10599.96899006132</v>
      </c>
      <c r="BO72" s="29" t="n">
        <v>3214.351561138744</v>
      </c>
      <c r="BP72" s="29" t="n">
        <v>1023.317508308821</v>
      </c>
      <c r="BQ72" s="29" t="n">
        <v>5614.50148355675</v>
      </c>
      <c r="BR72" s="29" t="n">
        <v>0</v>
      </c>
      <c r="BS72" s="29">
        <f>SUM(C72:BR72)</f>
        <v/>
      </c>
      <c r="BT72" s="29" t="n">
        <v>0</v>
      </c>
      <c r="BU72" s="29" t="n">
        <v>0</v>
      </c>
      <c r="BV72" s="29" t="n">
        <v>46751.98618673847</v>
      </c>
      <c r="BW72" s="29" t="n">
        <v>0</v>
      </c>
      <c r="BX72" s="29">
        <f>SUM(BT72:BW72)</f>
        <v/>
      </c>
      <c r="BY72" s="29">
        <f>BS72+BX72</f>
        <v/>
      </c>
    </row>
    <row r="73">
      <c r="A73" s="30" t="inlineStr">
        <is>
          <t>8000</t>
        </is>
      </c>
      <c r="B73" s="30" t="inlineStr">
        <is>
          <t>Atividades de vigilância, segurança e investigação</t>
        </is>
      </c>
      <c r="C73" s="31" t="n">
        <v>1.001598393419485</v>
      </c>
      <c r="D73" s="31" t="n">
        <v>0.001125010293508403</v>
      </c>
      <c r="E73" s="31" t="n">
        <v>3.001247708290895</v>
      </c>
      <c r="F73" s="31" t="n">
        <v>7.007249976158585</v>
      </c>
      <c r="G73" s="31" t="n">
        <v>111.0650101680308</v>
      </c>
      <c r="H73" s="31" t="n">
        <v>55.01188764069251</v>
      </c>
      <c r="I73" s="31" t="n">
        <v>19.0091202968444</v>
      </c>
      <c r="J73" s="31" t="n">
        <v>332.8129568301491</v>
      </c>
      <c r="K73" s="31" t="n">
        <v>107.0574625936429</v>
      </c>
      <c r="L73" s="31" t="n">
        <v>289.5317015784215</v>
      </c>
      <c r="M73" s="31" t="n">
        <v>124.0326999253243</v>
      </c>
      <c r="N73" s="31" t="n">
        <v>126.0233259460296</v>
      </c>
      <c r="O73" s="31" t="n">
        <v>31.11915910414813</v>
      </c>
      <c r="P73" s="31" t="n">
        <v>35.14738220011649</v>
      </c>
      <c r="Q73" s="31" t="n">
        <v>45.11933324149617</v>
      </c>
      <c r="R73" s="31" t="n">
        <v>50.03452714182741</v>
      </c>
      <c r="S73" s="31" t="n">
        <v>391.2202766600347</v>
      </c>
      <c r="T73" s="31" t="n">
        <v>17.01734605402755</v>
      </c>
      <c r="U73" s="31" t="n">
        <v>121.0850639131688</v>
      </c>
      <c r="V73" s="31" t="n">
        <v>1.08095766130608</v>
      </c>
      <c r="W73" s="31" t="n">
        <v>229.1118652122106</v>
      </c>
      <c r="X73" s="31" t="n">
        <v>172.1425514148909</v>
      </c>
      <c r="Y73" s="31" t="n">
        <v>36.03769820899105</v>
      </c>
      <c r="Z73" s="31" t="n">
        <v>231.1924448455203</v>
      </c>
      <c r="AA73" s="31" t="n">
        <v>191.2363799484172</v>
      </c>
      <c r="AB73" s="31" t="n">
        <v>482.1630552826243</v>
      </c>
      <c r="AC73" s="31" t="n">
        <v>73.20183706963104</v>
      </c>
      <c r="AD73" s="31" t="n">
        <v>62.04684838091666</v>
      </c>
      <c r="AE73" s="31" t="n">
        <v>210.1889612060525</v>
      </c>
      <c r="AF73" s="31" t="n">
        <v>161.1225515682484</v>
      </c>
      <c r="AG73" s="31" t="n">
        <v>100.1398653124061</v>
      </c>
      <c r="AH73" s="31" t="n">
        <v>262.2927532341586</v>
      </c>
      <c r="AI73" s="31" t="n">
        <v>583.0273161144457</v>
      </c>
      <c r="AJ73" s="31" t="n">
        <v>236.0339368393024</v>
      </c>
      <c r="AK73" s="31" t="n">
        <v>131.0350726439087</v>
      </c>
      <c r="AL73" s="31" t="n">
        <v>60.11708568005403</v>
      </c>
      <c r="AM73" s="31" t="n">
        <v>197.0120360340091</v>
      </c>
      <c r="AN73" s="31" t="n">
        <v>371.229400081483</v>
      </c>
      <c r="AO73" s="31" t="n">
        <v>468.0506038989384</v>
      </c>
      <c r="AP73" s="31" t="n">
        <v>746.2537581661775</v>
      </c>
      <c r="AQ73" s="31" t="n">
        <v>719.6614636382155</v>
      </c>
      <c r="AR73" s="31" t="n">
        <v>5141.50974623353</v>
      </c>
      <c r="AS73" s="31" t="n">
        <v>1366.202306987167</v>
      </c>
      <c r="AT73" s="31" t="n">
        <v>22.01212059482583</v>
      </c>
      <c r="AU73" s="31" t="n">
        <v>213.0228152373192</v>
      </c>
      <c r="AV73" s="31" t="n">
        <v>2806.460582603382</v>
      </c>
      <c r="AW73" s="31" t="n">
        <v>103.2131798737014</v>
      </c>
      <c r="AX73" s="31" t="n">
        <v>571.8634141372988</v>
      </c>
      <c r="AY73" s="31" t="n">
        <v>44.10031662638145</v>
      </c>
      <c r="AZ73" s="31" t="n">
        <v>297.14171402011</v>
      </c>
      <c r="BA73" s="31" t="n">
        <v>704.8361895879198</v>
      </c>
      <c r="BB73" s="31" t="n">
        <v>472.3201744185324</v>
      </c>
      <c r="BC73" s="31" t="n">
        <v>6140.084846299455</v>
      </c>
      <c r="BD73" s="31" t="n">
        <v>195.3678957017723</v>
      </c>
      <c r="BE73" s="31" t="n">
        <v>891.9668711685227</v>
      </c>
      <c r="BF73" s="31" t="n">
        <v>12.17382939715149</v>
      </c>
      <c r="BG73" s="31" t="n">
        <v>188.1960560282067</v>
      </c>
      <c r="BH73" s="31" t="n">
        <v>125.2037329394988</v>
      </c>
      <c r="BI73" s="31" t="n">
        <v>643.549454285519</v>
      </c>
      <c r="BJ73" s="31" t="n">
        <v>48.05155398464385</v>
      </c>
      <c r="BK73" s="31" t="n">
        <v>7518.649699531474</v>
      </c>
      <c r="BL73" s="31" t="n">
        <v>3122.118354043593</v>
      </c>
      <c r="BM73" s="31" t="n">
        <v>1393.773439033494</v>
      </c>
      <c r="BN73" s="31" t="n">
        <v>1411.088052556529</v>
      </c>
      <c r="BO73" s="31" t="n">
        <v>0.3609441841515584</v>
      </c>
      <c r="BP73" s="31" t="n">
        <v>162.7230399098682</v>
      </c>
      <c r="BQ73" s="31" t="n">
        <v>3.539460152974214</v>
      </c>
      <c r="BR73" s="31" t="n">
        <v>0</v>
      </c>
      <c r="BS73" s="31">
        <f>SUM(C73:BR73)</f>
        <v/>
      </c>
      <c r="BT73" s="31" t="n">
        <v>0</v>
      </c>
      <c r="BU73" s="31" t="n">
        <v>0</v>
      </c>
      <c r="BV73" s="31" t="n">
        <v>440.072707192931</v>
      </c>
      <c r="BW73" s="31" t="n">
        <v>0</v>
      </c>
      <c r="BX73" s="31">
        <f>SUM(BT73:BW73)</f>
        <v/>
      </c>
      <c r="BY73" s="31">
        <f>BS73+BX73</f>
        <v/>
      </c>
    </row>
    <row r="74">
      <c r="A74" s="28" t="inlineStr">
        <is>
          <t>8400</t>
        </is>
      </c>
      <c r="B74" s="28" t="inlineStr">
        <is>
          <t>Administração pública, defesa e seguridade social</t>
        </is>
      </c>
      <c r="C74" s="29" t="n">
        <v>217.2675825552952</v>
      </c>
      <c r="D74" s="29" t="n">
        <v>115.4756128453196</v>
      </c>
      <c r="E74" s="29" t="n">
        <v>21.86866926897926</v>
      </c>
      <c r="F74" s="29" t="n">
        <v>30.82561452239483</v>
      </c>
      <c r="G74" s="29" t="n">
        <v>666.3844094390839</v>
      </c>
      <c r="H74" s="29" t="n">
        <v>258.0766452850744</v>
      </c>
      <c r="I74" s="29" t="n">
        <v>51.15422223643814</v>
      </c>
      <c r="J74" s="29" t="n">
        <v>552.5289868407577</v>
      </c>
      <c r="K74" s="29" t="n">
        <v>126.4535030892729</v>
      </c>
      <c r="L74" s="29" t="n">
        <v>1098.066691478137</v>
      </c>
      <c r="M74" s="29" t="n">
        <v>661.0325269984737</v>
      </c>
      <c r="N74" s="29" t="n">
        <v>81.634169336249</v>
      </c>
      <c r="O74" s="29" t="n">
        <v>40.10159607361634</v>
      </c>
      <c r="P74" s="29" t="n">
        <v>65.99743430143808</v>
      </c>
      <c r="Q74" s="29" t="n">
        <v>102.5453549039515</v>
      </c>
      <c r="R74" s="29" t="n">
        <v>49.0229529877472</v>
      </c>
      <c r="S74" s="29" t="n">
        <v>252.1854015831184</v>
      </c>
      <c r="T74" s="29" t="n">
        <v>20.69263191398378</v>
      </c>
      <c r="U74" s="29" t="n">
        <v>245.4059978619716</v>
      </c>
      <c r="V74" s="29" t="n">
        <v>75.03053771609841</v>
      </c>
      <c r="W74" s="29" t="n">
        <v>733.385821752015</v>
      </c>
      <c r="X74" s="29" t="n">
        <v>297.4856344760343</v>
      </c>
      <c r="Y74" s="29" t="n">
        <v>234.379781743715</v>
      </c>
      <c r="Z74" s="29" t="n">
        <v>464.8066626752148</v>
      </c>
      <c r="AA74" s="29" t="n">
        <v>177.7686436903252</v>
      </c>
      <c r="AB74" s="29" t="n">
        <v>220.1857367596864</v>
      </c>
      <c r="AC74" s="29" t="n">
        <v>405.6175452807025</v>
      </c>
      <c r="AD74" s="29" t="n">
        <v>160.215886243491</v>
      </c>
      <c r="AE74" s="29" t="n">
        <v>168.1078786934113</v>
      </c>
      <c r="AF74" s="29" t="n">
        <v>285.6790394062726</v>
      </c>
      <c r="AG74" s="29" t="n">
        <v>242.3895151343077</v>
      </c>
      <c r="AH74" s="29" t="n">
        <v>300.6489039252062</v>
      </c>
      <c r="AI74" s="29" t="n">
        <v>727.5277607264165</v>
      </c>
      <c r="AJ74" s="29" t="n">
        <v>137.8880950381525</v>
      </c>
      <c r="AK74" s="29" t="n">
        <v>99.17220857901481</v>
      </c>
      <c r="AL74" s="29" t="n">
        <v>94.88325964404181</v>
      </c>
      <c r="AM74" s="29" t="n">
        <v>93.0604467225469</v>
      </c>
      <c r="AN74" s="29" t="n">
        <v>714.9136466702508</v>
      </c>
      <c r="AO74" s="29" t="n">
        <v>133.1460641751795</v>
      </c>
      <c r="AP74" s="29" t="n">
        <v>562.2041842985423</v>
      </c>
      <c r="AQ74" s="29" t="n">
        <v>509.398675743769</v>
      </c>
      <c r="AR74" s="29" t="n">
        <v>3592.65324301046</v>
      </c>
      <c r="AS74" s="29" t="n">
        <v>516.9444832200471</v>
      </c>
      <c r="AT74" s="29" t="n">
        <v>127.3049686919706</v>
      </c>
      <c r="AU74" s="29" t="n">
        <v>233.8842185558542</v>
      </c>
      <c r="AV74" s="29" t="n">
        <v>508.5213944591344</v>
      </c>
      <c r="AW74" s="29" t="n">
        <v>65.91636609517244</v>
      </c>
      <c r="AX74" s="29" t="n">
        <v>195.0469053682176</v>
      </c>
      <c r="AY74" s="29" t="n">
        <v>114.9808653255795</v>
      </c>
      <c r="AZ74" s="29" t="n">
        <v>327.4738516122709</v>
      </c>
      <c r="BA74" s="29" t="n">
        <v>587.6257826996688</v>
      </c>
      <c r="BB74" s="29" t="n">
        <v>398.2695544802554</v>
      </c>
      <c r="BC74" s="29" t="n">
        <v>2091.232815356226</v>
      </c>
      <c r="BD74" s="29" t="n">
        <v>203.4917897015374</v>
      </c>
      <c r="BE74" s="29" t="n">
        <v>1113.287374478888</v>
      </c>
      <c r="BF74" s="29" t="n">
        <v>484.1860847469487</v>
      </c>
      <c r="BG74" s="29" t="n">
        <v>346.2379498295075</v>
      </c>
      <c r="BH74" s="29" t="n">
        <v>147.8850381055815</v>
      </c>
      <c r="BI74" s="29" t="n">
        <v>493.7947017528793</v>
      </c>
      <c r="BJ74" s="29" t="n">
        <v>70.0062118590361</v>
      </c>
      <c r="BK74" s="29" t="n">
        <v>1440.826627398523</v>
      </c>
      <c r="BL74" s="29" t="n">
        <v>338.8772978248491</v>
      </c>
      <c r="BM74" s="29" t="n">
        <v>420.2490824698552</v>
      </c>
      <c r="BN74" s="29" t="n">
        <v>379.7065408173642</v>
      </c>
      <c r="BO74" s="29" t="n">
        <v>303.8470687318057</v>
      </c>
      <c r="BP74" s="29" t="n">
        <v>232.0435984579109</v>
      </c>
      <c r="BQ74" s="29" t="n">
        <v>734.7427492915192</v>
      </c>
      <c r="BR74" s="29" t="n">
        <v>0</v>
      </c>
      <c r="BS74" s="29">
        <f>SUM(C74:BR74)</f>
        <v/>
      </c>
      <c r="BT74" s="29" t="n">
        <v>0</v>
      </c>
      <c r="BU74" s="29" t="n">
        <v>0</v>
      </c>
      <c r="BV74" s="29" t="n">
        <v>695599.0865725332</v>
      </c>
      <c r="BW74" s="29" t="n">
        <v>0</v>
      </c>
      <c r="BX74" s="29">
        <f>SUM(BT74:BW74)</f>
        <v/>
      </c>
      <c r="BY74" s="29">
        <f>BS74+BX74</f>
        <v/>
      </c>
    </row>
    <row r="75">
      <c r="A75" s="30" t="inlineStr">
        <is>
          <t>8591</t>
        </is>
      </c>
      <c r="B75" s="30" t="inlineStr">
        <is>
          <t>Educação pública</t>
        </is>
      </c>
      <c r="C75" s="31" t="n">
        <v>1.229955918556307</v>
      </c>
      <c r="D75" s="31" t="n">
        <v>0.3696070143606248</v>
      </c>
      <c r="E75" s="31" t="n">
        <v>0.09257253218250655</v>
      </c>
      <c r="F75" s="31" t="n">
        <v>1.735634206044195</v>
      </c>
      <c r="G75" s="31" t="n">
        <v>9.876790475723478</v>
      </c>
      <c r="H75" s="31" t="n">
        <v>41.60118653514186</v>
      </c>
      <c r="I75" s="31" t="n">
        <v>0.9491966442055375</v>
      </c>
      <c r="J75" s="31" t="n">
        <v>45.1339220554936</v>
      </c>
      <c r="K75" s="31" t="n">
        <v>5.41312174324231</v>
      </c>
      <c r="L75" s="31" t="n">
        <v>27.34250666999358</v>
      </c>
      <c r="M75" s="31" t="n">
        <v>39.12015748665078</v>
      </c>
      <c r="N75" s="31" t="n">
        <v>8.119854437528868</v>
      </c>
      <c r="O75" s="31" t="n">
        <v>0.8247659596941652</v>
      </c>
      <c r="P75" s="31" t="n">
        <v>7.434350350857781</v>
      </c>
      <c r="Q75" s="31" t="n">
        <v>11.05909423172012</v>
      </c>
      <c r="R75" s="31" t="n">
        <v>4.345500206742154</v>
      </c>
      <c r="S75" s="31" t="n">
        <v>15.50628420928605</v>
      </c>
      <c r="T75" s="31" t="n">
        <v>0.6048508371301753</v>
      </c>
      <c r="U75" s="31" t="n">
        <v>3.211770059396548</v>
      </c>
      <c r="V75" s="31" t="n">
        <v>0.9362818663142757</v>
      </c>
      <c r="W75" s="31" t="n">
        <v>43.28601037008249</v>
      </c>
      <c r="X75" s="31" t="n">
        <v>14.550084454681</v>
      </c>
      <c r="Y75" s="31" t="n">
        <v>32.06511638146979</v>
      </c>
      <c r="Z75" s="31" t="n">
        <v>95.4794906943707</v>
      </c>
      <c r="AA75" s="31" t="n">
        <v>16.99589911672759</v>
      </c>
      <c r="AB75" s="31" t="n">
        <v>15.71442678374212</v>
      </c>
      <c r="AC75" s="31" t="n">
        <v>15.47070681294189</v>
      </c>
      <c r="AD75" s="31" t="n">
        <v>42.5468729324582</v>
      </c>
      <c r="AE75" s="31" t="n">
        <v>6.876781486464534</v>
      </c>
      <c r="AF75" s="31" t="n">
        <v>23.53436337136035</v>
      </c>
      <c r="AG75" s="31" t="n">
        <v>59.04396614641949</v>
      </c>
      <c r="AH75" s="31" t="n">
        <v>51.10836388866505</v>
      </c>
      <c r="AI75" s="31" t="n">
        <v>95.30681466487384</v>
      </c>
      <c r="AJ75" s="31" t="n">
        <v>47.88280194276957</v>
      </c>
      <c r="AK75" s="31" t="n">
        <v>13.68570964017964</v>
      </c>
      <c r="AL75" s="31" t="n">
        <v>11.0443895449001</v>
      </c>
      <c r="AM75" s="31" t="n">
        <v>2.055789911768755</v>
      </c>
      <c r="AN75" s="31" t="n">
        <v>59.73386674484441</v>
      </c>
      <c r="AO75" s="31" t="n">
        <v>5.819886581681744</v>
      </c>
      <c r="AP75" s="31" t="n">
        <v>23.27821787307412</v>
      </c>
      <c r="AQ75" s="31" t="n">
        <v>8.814266828179692</v>
      </c>
      <c r="AR75" s="31" t="n">
        <v>152.2690529871294</v>
      </c>
      <c r="AS75" s="31" t="n">
        <v>11.2398308747585</v>
      </c>
      <c r="AT75" s="31" t="n">
        <v>0.8358113431699863</v>
      </c>
      <c r="AU75" s="31" t="n">
        <v>1.702751314074014</v>
      </c>
      <c r="AV75" s="31" t="n">
        <v>15.20629390150249</v>
      </c>
      <c r="AW75" s="31" t="n">
        <v>2.315767885592319</v>
      </c>
      <c r="AX75" s="31" t="n">
        <v>4.894244930909794</v>
      </c>
      <c r="AY75" s="31" t="n">
        <v>1.942738319268703</v>
      </c>
      <c r="AZ75" s="31" t="n">
        <v>2.787096420467929</v>
      </c>
      <c r="BA75" s="31" t="n">
        <v>72.10614690875786</v>
      </c>
      <c r="BB75" s="31" t="n">
        <v>41.03002533870956</v>
      </c>
      <c r="BC75" s="31" t="n">
        <v>73.61317625992396</v>
      </c>
      <c r="BD75" s="31" t="n">
        <v>3.287579459900773</v>
      </c>
      <c r="BE75" s="31" t="n">
        <v>37.03075401757982</v>
      </c>
      <c r="BF75" s="31" t="n">
        <v>268.2346379352168</v>
      </c>
      <c r="BG75" s="31" t="n">
        <v>6.527826408471818</v>
      </c>
      <c r="BH75" s="31" t="n">
        <v>15.59227145729555</v>
      </c>
      <c r="BI75" s="31" t="n">
        <v>20.02679133789337</v>
      </c>
      <c r="BJ75" s="31" t="n">
        <v>2.512016892806863</v>
      </c>
      <c r="BK75" s="31" t="n">
        <v>59.04971102110611</v>
      </c>
      <c r="BL75" s="31" t="n">
        <v>22.46478805276888</v>
      </c>
      <c r="BM75" s="31" t="n">
        <v>9.081832831515454</v>
      </c>
      <c r="BN75" s="31" t="n">
        <v>25.76463174458738</v>
      </c>
      <c r="BO75" s="31" t="n">
        <v>32.28802841016002</v>
      </c>
      <c r="BP75" s="31" t="n">
        <v>4.346188873307382</v>
      </c>
      <c r="BQ75" s="31" t="n">
        <v>24.87967487165116</v>
      </c>
      <c r="BR75" s="31" t="n">
        <v>0</v>
      </c>
      <c r="BS75" s="31">
        <f>SUM(C75:BR75)</f>
        <v/>
      </c>
      <c r="BT75" s="31" t="n">
        <v>0</v>
      </c>
      <c r="BU75" s="31" t="n">
        <v>0</v>
      </c>
      <c r="BV75" s="31" t="n">
        <v>307272.3735728</v>
      </c>
      <c r="BW75" s="31" t="n">
        <v>0</v>
      </c>
      <c r="BX75" s="31">
        <f>SUM(BT75:BW75)</f>
        <v/>
      </c>
      <c r="BY75" s="31">
        <f>BS75+BX75</f>
        <v/>
      </c>
    </row>
    <row r="76">
      <c r="A76" s="28" t="inlineStr">
        <is>
          <t>8592</t>
        </is>
      </c>
      <c r="B76" s="28" t="inlineStr">
        <is>
          <t>Educação privada</t>
        </is>
      </c>
      <c r="C76" s="29" t="n">
        <v>2.90672770555212</v>
      </c>
      <c r="D76" s="29" t="n">
        <v>0.9718939559806453</v>
      </c>
      <c r="E76" s="29" t="n">
        <v>0.007557547361988185</v>
      </c>
      <c r="F76" s="29" t="n">
        <v>1.012432564472929</v>
      </c>
      <c r="G76" s="29" t="n">
        <v>40.94398646294068</v>
      </c>
      <c r="H76" s="29" t="n">
        <v>110.3518210597926</v>
      </c>
      <c r="I76" s="29" t="n">
        <v>27.08349591095531</v>
      </c>
      <c r="J76" s="29" t="n">
        <v>6.017709496387894</v>
      </c>
      <c r="K76" s="29" t="n">
        <v>0.4075723206183499</v>
      </c>
      <c r="L76" s="29" t="n">
        <v>23.19962076038182</v>
      </c>
      <c r="M76" s="29" t="n">
        <v>1.982299791236572</v>
      </c>
      <c r="N76" s="29" t="n">
        <v>0.4271025882557232</v>
      </c>
      <c r="O76" s="29" t="n">
        <v>1.365164480435024</v>
      </c>
      <c r="P76" s="29" t="n">
        <v>0.8228647992851488</v>
      </c>
      <c r="Q76" s="29" t="n">
        <v>0.7433791224805608</v>
      </c>
      <c r="R76" s="29" t="n">
        <v>0.2867208576490898</v>
      </c>
      <c r="S76" s="29" t="n">
        <v>39.70538906761561</v>
      </c>
      <c r="T76" s="29" t="n">
        <v>0.08742252313928126</v>
      </c>
      <c r="U76" s="29" t="n">
        <v>7.962393880473046</v>
      </c>
      <c r="V76" s="29" t="n">
        <v>0.2421854462350267</v>
      </c>
      <c r="W76" s="29" t="n">
        <v>12.08364819654367</v>
      </c>
      <c r="X76" s="29" t="n">
        <v>27.86553237551538</v>
      </c>
      <c r="Y76" s="29" t="n">
        <v>1.806428694308163</v>
      </c>
      <c r="Z76" s="29" t="n">
        <v>5.280659797897997</v>
      </c>
      <c r="AA76" s="29" t="n">
        <v>3.275156774666089</v>
      </c>
      <c r="AB76" s="29" t="n">
        <v>0.9964888955889024</v>
      </c>
      <c r="AC76" s="29" t="n">
        <v>189.4835390909415</v>
      </c>
      <c r="AD76" s="29" t="n">
        <v>67.00684226772826</v>
      </c>
      <c r="AE76" s="29" t="n">
        <v>62.45671065397002</v>
      </c>
      <c r="AF76" s="29" t="n">
        <v>2.273298951503146</v>
      </c>
      <c r="AG76" s="29" t="n">
        <v>3.283441212656076</v>
      </c>
      <c r="AH76" s="29" t="n">
        <v>29.89659658066086</v>
      </c>
      <c r="AI76" s="29" t="n">
        <v>73.56288183015906</v>
      </c>
      <c r="AJ76" s="29" t="n">
        <v>5.586975707212423</v>
      </c>
      <c r="AK76" s="29" t="n">
        <v>0.7974205230324038</v>
      </c>
      <c r="AL76" s="29" t="n">
        <v>0.860660555594241</v>
      </c>
      <c r="AM76" s="29" t="n">
        <v>7.815653896025101</v>
      </c>
      <c r="AN76" s="29" t="n">
        <v>133.3286287028707</v>
      </c>
      <c r="AO76" s="29" t="n">
        <v>1.490742467236831</v>
      </c>
      <c r="AP76" s="29" t="n">
        <v>3.9969685034236</v>
      </c>
      <c r="AQ76" s="29" t="n">
        <v>27.19740529376043</v>
      </c>
      <c r="AR76" s="29" t="n">
        <v>784.8161998585994</v>
      </c>
      <c r="AS76" s="29" t="n">
        <v>935.6224147967732</v>
      </c>
      <c r="AT76" s="29" t="n">
        <v>70.61217719881941</v>
      </c>
      <c r="AU76" s="29" t="n">
        <v>14.63246111568929</v>
      </c>
      <c r="AV76" s="29" t="n">
        <v>257.8888955913158</v>
      </c>
      <c r="AW76" s="29" t="n">
        <v>2.257545346871986</v>
      </c>
      <c r="AX76" s="29" t="n">
        <v>5.229822774495824</v>
      </c>
      <c r="AY76" s="29" t="n">
        <v>0.3783709905481601</v>
      </c>
      <c r="AZ76" s="29" t="n">
        <v>0.5469439328934793</v>
      </c>
      <c r="BA76" s="29" t="n">
        <v>63.90753053033214</v>
      </c>
      <c r="BB76" s="29" t="n">
        <v>3.29403878425566</v>
      </c>
      <c r="BC76" s="29" t="n">
        <v>1873.594796579845</v>
      </c>
      <c r="BD76" s="29" t="n">
        <v>2.228396822163374</v>
      </c>
      <c r="BE76" s="29" t="n">
        <v>2761.464042351499</v>
      </c>
      <c r="BF76" s="29" t="n">
        <v>186.1128146275987</v>
      </c>
      <c r="BG76" s="29" t="n">
        <v>555.7384004162237</v>
      </c>
      <c r="BH76" s="29" t="n">
        <v>61.8340717754776</v>
      </c>
      <c r="BI76" s="29" t="n">
        <v>1374.39642903191</v>
      </c>
      <c r="BJ76" s="29" t="n">
        <v>137.500558514793</v>
      </c>
      <c r="BK76" s="29" t="n">
        <v>484.1786684811381</v>
      </c>
      <c r="BL76" s="29" t="n">
        <v>528.3081684367165</v>
      </c>
      <c r="BM76" s="29" t="n">
        <v>4.698510244676342</v>
      </c>
      <c r="BN76" s="29" t="n">
        <v>572.5737102901594</v>
      </c>
      <c r="BO76" s="29" t="n">
        <v>2.429960935800187</v>
      </c>
      <c r="BP76" s="29" t="n">
        <v>4.368110523545908</v>
      </c>
      <c r="BQ76" s="29" t="n">
        <v>401.3689278885947</v>
      </c>
      <c r="BR76" s="29" t="n">
        <v>0</v>
      </c>
      <c r="BS76" s="29">
        <f>SUM(C76:BR76)</f>
        <v/>
      </c>
      <c r="BT76" s="29" t="n">
        <v>0</v>
      </c>
      <c r="BU76" s="29" t="n">
        <v>0</v>
      </c>
      <c r="BV76" s="29" t="n">
        <v>98996.59990421386</v>
      </c>
      <c r="BW76" s="29" t="n">
        <v>0</v>
      </c>
      <c r="BX76" s="29">
        <f>SUM(BT76:BW76)</f>
        <v/>
      </c>
      <c r="BY76" s="29">
        <f>BS76+BX76</f>
        <v/>
      </c>
    </row>
    <row r="77">
      <c r="A77" s="30" t="inlineStr">
        <is>
          <t>8691</t>
        </is>
      </c>
      <c r="B77" s="30" t="inlineStr">
        <is>
          <t>Saúde pública</t>
        </is>
      </c>
      <c r="C77" s="31" t="n">
        <v>0.01206207051411041</v>
      </c>
      <c r="D77" s="31" t="n">
        <v>0.004603949603896915</v>
      </c>
      <c r="E77" s="31" t="n">
        <v>0.001433377620145869</v>
      </c>
      <c r="F77" s="31" t="n">
        <v>0.04696287959285556</v>
      </c>
      <c r="G77" s="31" t="n">
        <v>0.05231477373168487</v>
      </c>
      <c r="H77" s="31" t="n">
        <v>3.565069717449887</v>
      </c>
      <c r="I77" s="31" t="n">
        <v>0.006624490391571155</v>
      </c>
      <c r="J77" s="31" t="n">
        <v>3.126082331833939</v>
      </c>
      <c r="K77" s="31" t="n">
        <v>0.390349464995111</v>
      </c>
      <c r="L77" s="31" t="n">
        <v>1.800885373694254</v>
      </c>
      <c r="M77" s="31" t="n">
        <v>3.287432893224572</v>
      </c>
      <c r="N77" s="31" t="n">
        <v>0.6627302649141747</v>
      </c>
      <c r="O77" s="31" t="n">
        <v>0.007031755468980185</v>
      </c>
      <c r="P77" s="31" t="n">
        <v>0.5994913140719045</v>
      </c>
      <c r="Q77" s="31" t="n">
        <v>0.9475861057731998</v>
      </c>
      <c r="R77" s="31" t="n">
        <v>0.3810072453503108</v>
      </c>
      <c r="S77" s="31" t="n">
        <v>1.225097528988469</v>
      </c>
      <c r="T77" s="31" t="n">
        <v>0.03648543387093511</v>
      </c>
      <c r="U77" s="31" t="n">
        <v>0.007077503842177062</v>
      </c>
      <c r="V77" s="31" t="n">
        <v>0.007367900712700674</v>
      </c>
      <c r="W77" s="31" t="n">
        <v>3.712259213128596</v>
      </c>
      <c r="X77" s="31" t="n">
        <v>1.023424959803045</v>
      </c>
      <c r="Y77" s="31" t="n">
        <v>2.786784592167456</v>
      </c>
      <c r="Z77" s="31" t="n">
        <v>8.338778681336555</v>
      </c>
      <c r="AA77" s="31" t="n">
        <v>1.335584427114539</v>
      </c>
      <c r="AB77" s="31" t="n">
        <v>1.135329412484547</v>
      </c>
      <c r="AC77" s="31" t="n">
        <v>1.087455701835839</v>
      </c>
      <c r="AD77" s="31" t="n">
        <v>3.774633202515816</v>
      </c>
      <c r="AE77" s="31" t="n">
        <v>0.3715756516624301</v>
      </c>
      <c r="AF77" s="31" t="n">
        <v>1.772886390306726</v>
      </c>
      <c r="AG77" s="31" t="n">
        <v>5.200702133942085</v>
      </c>
      <c r="AH77" s="31" t="n">
        <v>4.1053269048513</v>
      </c>
      <c r="AI77" s="31" t="n">
        <v>8.298948511632123</v>
      </c>
      <c r="AJ77" s="31" t="n">
        <v>4.260487827514125</v>
      </c>
      <c r="AK77" s="31" t="n">
        <v>1.18330715370929</v>
      </c>
      <c r="AL77" s="31" t="n">
        <v>0.9109284363452312</v>
      </c>
      <c r="AM77" s="31" t="n">
        <v>0.04890574141518197</v>
      </c>
      <c r="AN77" s="31" t="n">
        <v>4.341073742428075</v>
      </c>
      <c r="AO77" s="31" t="n">
        <v>0.3935650642844615</v>
      </c>
      <c r="AP77" s="31" t="n">
        <v>1.015659723315294</v>
      </c>
      <c r="AQ77" s="31" t="n">
        <v>0.0719383401658998</v>
      </c>
      <c r="AR77" s="31" t="n">
        <v>6.555024059307564</v>
      </c>
      <c r="AS77" s="31" t="n">
        <v>0.03850379960654024</v>
      </c>
      <c r="AT77" s="31" t="n">
        <v>0.003337000776228937</v>
      </c>
      <c r="AU77" s="31" t="n">
        <v>0.01548596450164529</v>
      </c>
      <c r="AV77" s="31" t="n">
        <v>0.1405339795741308</v>
      </c>
      <c r="AW77" s="31" t="n">
        <v>0.02503626555118638</v>
      </c>
      <c r="AX77" s="31" t="n">
        <v>0.04760135503786359</v>
      </c>
      <c r="AY77" s="31" t="n">
        <v>0.0850773614938679</v>
      </c>
      <c r="AZ77" s="31" t="n">
        <v>0.02738209413702984</v>
      </c>
      <c r="BA77" s="31" t="n">
        <v>3.532543376403681</v>
      </c>
      <c r="BB77" s="31" t="n">
        <v>2.750705300408366</v>
      </c>
      <c r="BC77" s="31" t="n">
        <v>0.9130133626176202</v>
      </c>
      <c r="BD77" s="31" t="n">
        <v>0.02803852410816348</v>
      </c>
      <c r="BE77" s="31" t="n">
        <v>0.123504000185639</v>
      </c>
      <c r="BF77" s="31" t="n">
        <v>23.95280947580401</v>
      </c>
      <c r="BG77" s="31" t="n">
        <v>0.03340732947818771</v>
      </c>
      <c r="BH77" s="31" t="n">
        <v>1.200163347637899</v>
      </c>
      <c r="BI77" s="31" t="n">
        <v>0.220761791019191</v>
      </c>
      <c r="BJ77" s="31" t="n">
        <v>0.01033614341230853</v>
      </c>
      <c r="BK77" s="31" t="n">
        <v>1.163998821285399</v>
      </c>
      <c r="BL77" s="31" t="n">
        <v>0.2509247283120026</v>
      </c>
      <c r="BM77" s="31" t="n">
        <v>0.1276661680230568</v>
      </c>
      <c r="BN77" s="31" t="n">
        <v>0.3621578474158428</v>
      </c>
      <c r="BO77" s="31" t="n">
        <v>203.7192118247302</v>
      </c>
      <c r="BP77" s="31" t="n">
        <v>0.04620460253994722</v>
      </c>
      <c r="BQ77" s="31" t="n">
        <v>0.1293344876859846</v>
      </c>
      <c r="BR77" s="31" t="n">
        <v>0</v>
      </c>
      <c r="BS77" s="31">
        <f>SUM(C77:BR77)</f>
        <v/>
      </c>
      <c r="BT77" s="31" t="n">
        <v>0</v>
      </c>
      <c r="BU77" s="31" t="n">
        <v>0</v>
      </c>
      <c r="BV77" s="31" t="n">
        <v>178844.6263401841</v>
      </c>
      <c r="BW77" s="31" t="n">
        <v>0</v>
      </c>
      <c r="BX77" s="31">
        <f>SUM(BT77:BW77)</f>
        <v/>
      </c>
      <c r="BY77" s="31">
        <f>BS77+BX77</f>
        <v/>
      </c>
    </row>
    <row r="78">
      <c r="A78" s="28" t="inlineStr">
        <is>
          <t>8692</t>
        </is>
      </c>
      <c r="B78" s="28" t="inlineStr">
        <is>
          <t>Saúde privada</t>
        </is>
      </c>
      <c r="C78" s="29" t="n">
        <v>0.02060501120391118</v>
      </c>
      <c r="D78" s="29" t="n">
        <v>0.01471786514565085</v>
      </c>
      <c r="E78" s="29" t="n">
        <v>0.02060501120391118</v>
      </c>
      <c r="F78" s="29" t="n">
        <v>0.06353185650270543</v>
      </c>
      <c r="G78" s="29" t="n">
        <v>0.9654919535546954</v>
      </c>
      <c r="H78" s="29" t="n">
        <v>0.2592528025857484</v>
      </c>
      <c r="I78" s="29" t="n">
        <v>0.06181503361173355</v>
      </c>
      <c r="J78" s="29" t="n">
        <v>2.001361099590244</v>
      </c>
      <c r="K78" s="29" t="n">
        <v>0.4427595679954349</v>
      </c>
      <c r="L78" s="29" t="n">
        <v>1.513474063676726</v>
      </c>
      <c r="M78" s="29" t="n">
        <v>0.3657146408994966</v>
      </c>
      <c r="N78" s="29" t="n">
        <v>0.09737824156932944</v>
      </c>
      <c r="O78" s="29" t="n">
        <v>0.9331126502342636</v>
      </c>
      <c r="P78" s="29" t="n">
        <v>1.133025875070335</v>
      </c>
      <c r="Q78" s="29" t="n">
        <v>0.3259936558236068</v>
      </c>
      <c r="R78" s="29" t="n">
        <v>0.1219101078202466</v>
      </c>
      <c r="S78" s="29" t="n">
        <v>0.5222297667574523</v>
      </c>
      <c r="T78" s="29" t="n">
        <v>0.1665569125222613</v>
      </c>
      <c r="U78" s="29" t="n">
        <v>0.4974638419229986</v>
      </c>
      <c r="V78" s="29" t="n">
        <v>0.5416174373599512</v>
      </c>
      <c r="W78" s="29" t="n">
        <v>0.6546717339948182</v>
      </c>
      <c r="X78" s="29" t="n">
        <v>0.3441451667512014</v>
      </c>
      <c r="Y78" s="29" t="n">
        <v>0.6112610889677076</v>
      </c>
      <c r="Z78" s="29" t="n">
        <v>1.159705043232314</v>
      </c>
      <c r="AA78" s="29" t="n">
        <v>1.210289178188567</v>
      </c>
      <c r="AB78" s="29" t="n">
        <v>0.6936936798323468</v>
      </c>
      <c r="AC78" s="29" t="n">
        <v>0.8420990814270135</v>
      </c>
      <c r="AD78" s="29" t="n">
        <v>0.2195129984363668</v>
      </c>
      <c r="AE78" s="29" t="n">
        <v>0.7883843625418231</v>
      </c>
      <c r="AF78" s="29" t="n">
        <v>0.6657250312872374</v>
      </c>
      <c r="AG78" s="29" t="n">
        <v>0.6136957701705323</v>
      </c>
      <c r="AH78" s="29" t="n">
        <v>0.8425671985940867</v>
      </c>
      <c r="AI78" s="29" t="n">
        <v>0.7265097351973655</v>
      </c>
      <c r="AJ78" s="29" t="n">
        <v>0.7233509226581906</v>
      </c>
      <c r="AK78" s="29" t="n">
        <v>0.2997449666817177</v>
      </c>
      <c r="AL78" s="29" t="n">
        <v>0.7716999333604206</v>
      </c>
      <c r="AM78" s="29" t="n">
        <v>0.1753876316096518</v>
      </c>
      <c r="AN78" s="29" t="n">
        <v>3.996114058298124</v>
      </c>
      <c r="AO78" s="29" t="n">
        <v>0.8371983538988776</v>
      </c>
      <c r="AP78" s="29" t="n">
        <v>4.233341815617498</v>
      </c>
      <c r="AQ78" s="29" t="n">
        <v>10.92359951110206</v>
      </c>
      <c r="AR78" s="29" t="n">
        <v>113.952291869901</v>
      </c>
      <c r="AS78" s="29" t="n">
        <v>3.340955388062742</v>
      </c>
      <c r="AT78" s="29" t="n">
        <v>0.2001629659808515</v>
      </c>
      <c r="AU78" s="29" t="n">
        <v>0.3767773477286616</v>
      </c>
      <c r="AV78" s="29" t="n">
        <v>7.606192707272357</v>
      </c>
      <c r="AW78" s="29" t="n">
        <v>3.520513342839682</v>
      </c>
      <c r="AX78" s="29" t="n">
        <v>14.25866775310654</v>
      </c>
      <c r="AY78" s="29" t="n">
        <v>0.7952547906179592</v>
      </c>
      <c r="AZ78" s="29" t="n">
        <v>1.342269301283358</v>
      </c>
      <c r="BA78" s="29" t="n">
        <v>7.784255351692867</v>
      </c>
      <c r="BB78" s="29" t="n">
        <v>4.813703229059962</v>
      </c>
      <c r="BC78" s="29" t="n">
        <v>17.86527825466409</v>
      </c>
      <c r="BD78" s="29" t="n">
        <v>6.075534732124669</v>
      </c>
      <c r="BE78" s="29" t="n">
        <v>15.21238541454471</v>
      </c>
      <c r="BF78" s="29" t="n">
        <v>3.981492245197071</v>
      </c>
      <c r="BG78" s="29" t="n">
        <v>2.928855163984518</v>
      </c>
      <c r="BH78" s="29" t="n">
        <v>3.422875950588826</v>
      </c>
      <c r="BI78" s="29" t="n">
        <v>8.534398356953986</v>
      </c>
      <c r="BJ78" s="29" t="n">
        <v>0.7741597066612345</v>
      </c>
      <c r="BK78" s="29" t="n">
        <v>71.91930390944533</v>
      </c>
      <c r="BL78" s="29" t="n">
        <v>6.889208315396132</v>
      </c>
      <c r="BM78" s="29" t="n">
        <v>12.75327518508286</v>
      </c>
      <c r="BN78" s="29" t="n">
        <v>14.28428221892992</v>
      </c>
      <c r="BO78" s="29" t="n">
        <v>21262.5909169524</v>
      </c>
      <c r="BP78" s="29" t="n">
        <v>11.9038093298024</v>
      </c>
      <c r="BQ78" s="29" t="n">
        <v>8.88370340191485</v>
      </c>
      <c r="BR78" s="29" t="n">
        <v>0</v>
      </c>
      <c r="BS78" s="29">
        <f>SUM(C78:BR78)</f>
        <v/>
      </c>
      <c r="BT78" s="29" t="n">
        <v>0</v>
      </c>
      <c r="BU78" s="29" t="n">
        <v>0</v>
      </c>
      <c r="BV78" s="29" t="n">
        <v>201657.3021048238</v>
      </c>
      <c r="BW78" s="29" t="n">
        <v>0</v>
      </c>
      <c r="BX78" s="29">
        <f>SUM(BT78:BW78)</f>
        <v/>
      </c>
      <c r="BY78" s="29">
        <f>BS78+BX78</f>
        <v/>
      </c>
    </row>
    <row r="79">
      <c r="A79" s="30" t="inlineStr">
        <is>
          <t>9080</t>
        </is>
      </c>
      <c r="B79" s="30" t="inlineStr">
        <is>
          <t>Atividades artísticas, criativas e de espetáculos</t>
        </is>
      </c>
      <c r="C79" s="31" t="n">
        <v>0.3529464248455009</v>
      </c>
      <c r="D79" s="31" t="n">
        <v>10.36377889234231</v>
      </c>
      <c r="E79" s="31" t="n">
        <v>2.406467995364882</v>
      </c>
      <c r="F79" s="31" t="n">
        <v>0.9548854766816425</v>
      </c>
      <c r="G79" s="31" t="n">
        <v>14.37675045424799</v>
      </c>
      <c r="H79" s="31" t="n">
        <v>0.2515419641435834</v>
      </c>
      <c r="I79" s="31" t="n">
        <v>0.06707023667295123</v>
      </c>
      <c r="J79" s="31" t="n">
        <v>58.83372977404869</v>
      </c>
      <c r="K79" s="31" t="n">
        <v>3.825510507473793</v>
      </c>
      <c r="L79" s="31" t="n">
        <v>90.78776036434446</v>
      </c>
      <c r="M79" s="31" t="n">
        <v>135.7899236190867</v>
      </c>
      <c r="N79" s="31" t="n">
        <v>6.707174783238782</v>
      </c>
      <c r="O79" s="31" t="n">
        <v>3.113319308681785</v>
      </c>
      <c r="P79" s="31" t="n">
        <v>11.77522142407291</v>
      </c>
      <c r="Q79" s="31" t="n">
        <v>22.79666022007262</v>
      </c>
      <c r="R79" s="31" t="n">
        <v>0.9173001521663265</v>
      </c>
      <c r="S79" s="31" t="n">
        <v>14.90167369840133</v>
      </c>
      <c r="T79" s="31" t="n">
        <v>1.831984447409531</v>
      </c>
      <c r="U79" s="31" t="n">
        <v>5.98933175192603</v>
      </c>
      <c r="V79" s="31" t="n">
        <v>2.647314004372341</v>
      </c>
      <c r="W79" s="31" t="n">
        <v>3.219898429310031</v>
      </c>
      <c r="X79" s="31" t="n">
        <v>13.35958608685368</v>
      </c>
      <c r="Y79" s="31" t="n">
        <v>33.2721879106395</v>
      </c>
      <c r="Z79" s="31" t="n">
        <v>53.14966843845314</v>
      </c>
      <c r="AA79" s="31" t="n">
        <v>12.99257598863533</v>
      </c>
      <c r="AB79" s="31" t="n">
        <v>8.192541244202623</v>
      </c>
      <c r="AC79" s="31" t="n">
        <v>5.987914236924846</v>
      </c>
      <c r="AD79" s="31" t="n">
        <v>0.5437904850711409</v>
      </c>
      <c r="AE79" s="31" t="n">
        <v>13.77969109843815</v>
      </c>
      <c r="AF79" s="31" t="n">
        <v>38.25342860250005</v>
      </c>
      <c r="AG79" s="31" t="n">
        <v>18.24493715754535</v>
      </c>
      <c r="AH79" s="31" t="n">
        <v>13.08053323836914</v>
      </c>
      <c r="AI79" s="31" t="n">
        <v>112.5654733764627</v>
      </c>
      <c r="AJ79" s="31" t="n">
        <v>3.862607260351777</v>
      </c>
      <c r="AK79" s="31" t="n">
        <v>8.415148639029596</v>
      </c>
      <c r="AL79" s="31" t="n">
        <v>12.34092023401536</v>
      </c>
      <c r="AM79" s="31" t="n">
        <v>3.040259779039282</v>
      </c>
      <c r="AN79" s="31" t="n">
        <v>92.33029119425566</v>
      </c>
      <c r="AO79" s="31" t="n">
        <v>5.359271564650328</v>
      </c>
      <c r="AP79" s="31" t="n">
        <v>52.56208826587316</v>
      </c>
      <c r="AQ79" s="31" t="n">
        <v>76.35268898585069</v>
      </c>
      <c r="AR79" s="31" t="n">
        <v>534.8910603642843</v>
      </c>
      <c r="AS79" s="31" t="n">
        <v>18.1976532107406</v>
      </c>
      <c r="AT79" s="31" t="n">
        <v>1.087849412432067</v>
      </c>
      <c r="AU79" s="31" t="n">
        <v>6.309745324777166</v>
      </c>
      <c r="AV79" s="31" t="n">
        <v>33.3348302836869</v>
      </c>
      <c r="AW79" s="31" t="n">
        <v>25.59404403837766</v>
      </c>
      <c r="AX79" s="31" t="n">
        <v>28.69790064431202</v>
      </c>
      <c r="AY79" s="31" t="n">
        <v>25.77109923651752</v>
      </c>
      <c r="AZ79" s="31" t="n">
        <v>2370.403631791429</v>
      </c>
      <c r="BA79" s="31" t="n">
        <v>484.4193814841351</v>
      </c>
      <c r="BB79" s="31" t="n">
        <v>45.4500477493515</v>
      </c>
      <c r="BC79" s="31" t="n">
        <v>318.1471991926106</v>
      </c>
      <c r="BD79" s="31" t="n">
        <v>27.07226749375291</v>
      </c>
      <c r="BE79" s="31" t="n">
        <v>127.4721738387867</v>
      </c>
      <c r="BF79" s="31" t="n">
        <v>12.30568156943132</v>
      </c>
      <c r="BG79" s="31" t="n">
        <v>113.1379774755975</v>
      </c>
      <c r="BH79" s="31" t="n">
        <v>28.22843820040822</v>
      </c>
      <c r="BI79" s="31" t="n">
        <v>62.71519609529622</v>
      </c>
      <c r="BJ79" s="31" t="n">
        <v>5.057050851046185</v>
      </c>
      <c r="BK79" s="31" t="n">
        <v>767.3069142390773</v>
      </c>
      <c r="BL79" s="31" t="n">
        <v>96.40521767224716</v>
      </c>
      <c r="BM79" s="31" t="n">
        <v>75.55446674330841</v>
      </c>
      <c r="BN79" s="31" t="n">
        <v>91.77774963926703</v>
      </c>
      <c r="BO79" s="31" t="n">
        <v>5.017087118827386</v>
      </c>
      <c r="BP79" s="31" t="n">
        <v>818.4650734254318</v>
      </c>
      <c r="BQ79" s="31" t="n">
        <v>1343.966706398392</v>
      </c>
      <c r="BR79" s="31" t="n">
        <v>0</v>
      </c>
      <c r="BS79" s="31">
        <f>SUM(C79:BR79)</f>
        <v/>
      </c>
      <c r="BT79" s="31" t="n">
        <v>0</v>
      </c>
      <c r="BU79" s="31" t="n">
        <v>0</v>
      </c>
      <c r="BV79" s="31" t="n">
        <v>27716.27021548419</v>
      </c>
      <c r="BW79" s="31" t="n">
        <v>0</v>
      </c>
      <c r="BX79" s="31">
        <f>SUM(BT79:BW79)</f>
        <v/>
      </c>
      <c r="BY79" s="31">
        <f>BS79+BX79</f>
        <v/>
      </c>
    </row>
    <row r="80">
      <c r="A80" s="28" t="inlineStr">
        <is>
          <t>9480</t>
        </is>
      </c>
      <c r="B80" s="28" t="inlineStr">
        <is>
          <t>Organizações associativas e outros serviços pessoais</t>
        </is>
      </c>
      <c r="C80" s="29" t="n">
        <v>104.0274520962366</v>
      </c>
      <c r="D80" s="29" t="n">
        <v>29.01737039853489</v>
      </c>
      <c r="E80" s="29" t="n">
        <v>17.56118466245691</v>
      </c>
      <c r="F80" s="29" t="n">
        <v>35.06307990965591</v>
      </c>
      <c r="G80" s="29" t="n">
        <v>513.2715237240835</v>
      </c>
      <c r="H80" s="29" t="n">
        <v>178.2539110291093</v>
      </c>
      <c r="I80" s="29" t="n">
        <v>53.52500876014719</v>
      </c>
      <c r="J80" s="29" t="n">
        <v>190.3971914235948</v>
      </c>
      <c r="K80" s="29" t="n">
        <v>63.50231156249988</v>
      </c>
      <c r="L80" s="29" t="n">
        <v>203.6548090771639</v>
      </c>
      <c r="M80" s="29" t="n">
        <v>123.3390010911969</v>
      </c>
      <c r="N80" s="29" t="n">
        <v>13.22717558575444</v>
      </c>
      <c r="O80" s="29" t="n">
        <v>51.86453571813603</v>
      </c>
      <c r="P80" s="29" t="n">
        <v>104.3074763829534</v>
      </c>
      <c r="Q80" s="29" t="n">
        <v>54.0406737925092</v>
      </c>
      <c r="R80" s="29" t="n">
        <v>53.30654315504919</v>
      </c>
      <c r="S80" s="29" t="n">
        <v>122.0342397214811</v>
      </c>
      <c r="T80" s="29" t="n">
        <v>42.80040098993101</v>
      </c>
      <c r="U80" s="29" t="n">
        <v>127.7664109452911</v>
      </c>
      <c r="V80" s="29" t="n">
        <v>47.69774224265496</v>
      </c>
      <c r="W80" s="29" t="n">
        <v>99.22185913614919</v>
      </c>
      <c r="X80" s="29" t="n">
        <v>50.40872787548495</v>
      </c>
      <c r="Y80" s="29" t="n">
        <v>44.33860984112877</v>
      </c>
      <c r="Z80" s="29" t="n">
        <v>100.9728825875138</v>
      </c>
      <c r="AA80" s="29" t="n">
        <v>158.1410980833159</v>
      </c>
      <c r="AB80" s="29" t="n">
        <v>157.9039901954731</v>
      </c>
      <c r="AC80" s="29" t="n">
        <v>112.7832281129461</v>
      </c>
      <c r="AD80" s="29" t="n">
        <v>47.55479340426496</v>
      </c>
      <c r="AE80" s="29" t="n">
        <v>217.0139933814441</v>
      </c>
      <c r="AF80" s="29" t="n">
        <v>296.5313616412669</v>
      </c>
      <c r="AG80" s="29" t="n">
        <v>133.7904347372933</v>
      </c>
      <c r="AH80" s="29" t="n">
        <v>205.1651607030862</v>
      </c>
      <c r="AI80" s="29" t="n">
        <v>210.244137147776</v>
      </c>
      <c r="AJ80" s="29" t="n">
        <v>115.3712575278878</v>
      </c>
      <c r="AK80" s="29" t="n">
        <v>65.36440846406948</v>
      </c>
      <c r="AL80" s="29" t="n">
        <v>108.9485870650511</v>
      </c>
      <c r="AM80" s="29" t="n">
        <v>2.299755463883204</v>
      </c>
      <c r="AN80" s="29" t="n">
        <v>561.8465947134929</v>
      </c>
      <c r="AO80" s="29" t="n">
        <v>0.6870535625020016</v>
      </c>
      <c r="AP80" s="29" t="n">
        <v>116.8643736961537</v>
      </c>
      <c r="AQ80" s="29" t="n">
        <v>66.56623315129295</v>
      </c>
      <c r="AR80" s="29" t="n">
        <v>2498.446082112904</v>
      </c>
      <c r="AS80" s="29" t="n">
        <v>346.582866790582</v>
      </c>
      <c r="AT80" s="29" t="n">
        <v>5.233879847327518</v>
      </c>
      <c r="AU80" s="29" t="n">
        <v>8.545615181686207</v>
      </c>
      <c r="AV80" s="29" t="n">
        <v>1152.247780288478</v>
      </c>
      <c r="AW80" s="29" t="n">
        <v>116.6474297790384</v>
      </c>
      <c r="AX80" s="29" t="n">
        <v>143.5334240322425</v>
      </c>
      <c r="AY80" s="29" t="n">
        <v>41.13213644933205</v>
      </c>
      <c r="AZ80" s="29" t="n">
        <v>135.7945120191538</v>
      </c>
      <c r="BA80" s="29" t="n">
        <v>3052.937667699835</v>
      </c>
      <c r="BB80" s="29" t="n">
        <v>996.3058352455198</v>
      </c>
      <c r="BC80" s="29" t="n">
        <v>1917.919818760433</v>
      </c>
      <c r="BD80" s="29" t="n">
        <v>103.4340774496119</v>
      </c>
      <c r="BE80" s="29" t="n">
        <v>420.5797344714002</v>
      </c>
      <c r="BF80" s="29" t="n">
        <v>66.13853361341314</v>
      </c>
      <c r="BG80" s="29" t="n">
        <v>349.8188721756133</v>
      </c>
      <c r="BH80" s="29" t="n">
        <v>82.80546028019999</v>
      </c>
      <c r="BI80" s="29" t="n">
        <v>864.0602066662128</v>
      </c>
      <c r="BJ80" s="29" t="n">
        <v>32.65082555138915</v>
      </c>
      <c r="BK80" s="29" t="n">
        <v>542.711191699176</v>
      </c>
      <c r="BL80" s="29" t="n">
        <v>95.04608951006043</v>
      </c>
      <c r="BM80" s="29" t="n">
        <v>405.8846006152801</v>
      </c>
      <c r="BN80" s="29" t="n">
        <v>1454.925198684053</v>
      </c>
      <c r="BO80" s="29" t="n">
        <v>1906.502587298502</v>
      </c>
      <c r="BP80" s="29" t="n">
        <v>19.78586141007655</v>
      </c>
      <c r="BQ80" s="29" t="n">
        <v>365.0076373424684</v>
      </c>
      <c r="BR80" s="29" t="n">
        <v>0</v>
      </c>
      <c r="BS80" s="29">
        <f>SUM(C80:BR80)</f>
        <v/>
      </c>
      <c r="BT80" s="29" t="n">
        <v>0</v>
      </c>
      <c r="BU80" s="29" t="n">
        <v>0</v>
      </c>
      <c r="BV80" s="29" t="n">
        <v>123305.0420051087</v>
      </c>
      <c r="BW80" s="29" t="n">
        <v>0</v>
      </c>
      <c r="BX80" s="29">
        <f>SUM(BT80:BW80)</f>
        <v/>
      </c>
      <c r="BY80" s="29">
        <f>BS80+BX80</f>
        <v/>
      </c>
    </row>
    <row r="81">
      <c r="A81" s="30" t="inlineStr">
        <is>
          <t>9700</t>
        </is>
      </c>
      <c r="B81" s="30" t="inlineStr">
        <is>
          <t>Serviços domésticos</t>
        </is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0</v>
      </c>
      <c r="H81" s="31" t="n">
        <v>0</v>
      </c>
      <c r="I81" s="31" t="n">
        <v>0</v>
      </c>
      <c r="J81" s="31" t="n">
        <v>0</v>
      </c>
      <c r="K81" s="31" t="n">
        <v>0</v>
      </c>
      <c r="L81" s="31" t="n">
        <v>0</v>
      </c>
      <c r="M81" s="31" t="n">
        <v>0</v>
      </c>
      <c r="N81" s="31" t="n">
        <v>0</v>
      </c>
      <c r="O81" s="31" t="n">
        <v>0</v>
      </c>
      <c r="P81" s="31" t="n">
        <v>0</v>
      </c>
      <c r="Q81" s="31" t="n">
        <v>0</v>
      </c>
      <c r="R81" s="31" t="n">
        <v>0</v>
      </c>
      <c r="S81" s="31" t="n">
        <v>0</v>
      </c>
      <c r="T81" s="31" t="n">
        <v>0</v>
      </c>
      <c r="U81" s="31" t="n">
        <v>0</v>
      </c>
      <c r="V81" s="31" t="n">
        <v>0</v>
      </c>
      <c r="W81" s="31" t="n">
        <v>0</v>
      </c>
      <c r="X81" s="31" t="n">
        <v>0</v>
      </c>
      <c r="Y81" s="31" t="n">
        <v>0</v>
      </c>
      <c r="Z81" s="31" t="n">
        <v>0</v>
      </c>
      <c r="AA81" s="31" t="n">
        <v>0</v>
      </c>
      <c r="AB81" s="31" t="n">
        <v>0</v>
      </c>
      <c r="AC81" s="31" t="n">
        <v>0</v>
      </c>
      <c r="AD81" s="31" t="n">
        <v>0</v>
      </c>
      <c r="AE81" s="31" t="n">
        <v>0</v>
      </c>
      <c r="AF81" s="31" t="n">
        <v>0</v>
      </c>
      <c r="AG81" s="31" t="n">
        <v>0</v>
      </c>
      <c r="AH81" s="31" t="n">
        <v>0</v>
      </c>
      <c r="AI81" s="31" t="n">
        <v>0</v>
      </c>
      <c r="AJ81" s="31" t="n">
        <v>0</v>
      </c>
      <c r="AK81" s="31" t="n">
        <v>0</v>
      </c>
      <c r="AL81" s="31" t="n">
        <v>0</v>
      </c>
      <c r="AM81" s="31" t="n">
        <v>0</v>
      </c>
      <c r="AN81" s="31" t="n">
        <v>0</v>
      </c>
      <c r="AO81" s="31" t="n">
        <v>0</v>
      </c>
      <c r="AP81" s="31" t="n">
        <v>0</v>
      </c>
      <c r="AQ81" s="31" t="n">
        <v>0</v>
      </c>
      <c r="AR81" s="31" t="n">
        <v>0</v>
      </c>
      <c r="AS81" s="31" t="n">
        <v>0</v>
      </c>
      <c r="AT81" s="31" t="n">
        <v>0</v>
      </c>
      <c r="AU81" s="31" t="n">
        <v>0</v>
      </c>
      <c r="AV81" s="31" t="n">
        <v>0</v>
      </c>
      <c r="AW81" s="31" t="n">
        <v>0</v>
      </c>
      <c r="AX81" s="31" t="n">
        <v>0</v>
      </c>
      <c r="AY81" s="31" t="n">
        <v>0</v>
      </c>
      <c r="AZ81" s="31" t="n">
        <v>0</v>
      </c>
      <c r="BA81" s="31" t="n">
        <v>0</v>
      </c>
      <c r="BB81" s="31" t="n">
        <v>0</v>
      </c>
      <c r="BC81" s="31" t="n">
        <v>0</v>
      </c>
      <c r="BD81" s="31" t="n">
        <v>0</v>
      </c>
      <c r="BE81" s="31" t="n">
        <v>0</v>
      </c>
      <c r="BF81" s="31" t="n">
        <v>0</v>
      </c>
      <c r="BG81" s="31" t="n">
        <v>0</v>
      </c>
      <c r="BH81" s="31" t="n">
        <v>0</v>
      </c>
      <c r="BI81" s="31" t="n">
        <v>0</v>
      </c>
      <c r="BJ81" s="31" t="n">
        <v>0</v>
      </c>
      <c r="BK81" s="31" t="n">
        <v>0</v>
      </c>
      <c r="BL81" s="31" t="n">
        <v>0</v>
      </c>
      <c r="BM81" s="31" t="n">
        <v>0</v>
      </c>
      <c r="BN81" s="31" t="n">
        <v>0</v>
      </c>
      <c r="BO81" s="31" t="n">
        <v>0</v>
      </c>
      <c r="BP81" s="31" t="n">
        <v>0</v>
      </c>
      <c r="BQ81" s="31" t="n">
        <v>0</v>
      </c>
      <c r="BR81" s="31" t="n">
        <v>0</v>
      </c>
      <c r="BS81" s="31">
        <f>SUM(C81:BR81)</f>
        <v/>
      </c>
      <c r="BT81" s="31" t="n">
        <v>0</v>
      </c>
      <c r="BU81" s="31" t="n">
        <v>0</v>
      </c>
      <c r="BV81" s="31" t="n">
        <v>61996</v>
      </c>
      <c r="BW81" s="31" t="n">
        <v>0</v>
      </c>
      <c r="BX81" s="31">
        <f>SUM(BT81:BW81)</f>
        <v/>
      </c>
      <c r="BY81" s="31">
        <f>BS81+BX81</f>
        <v/>
      </c>
    </row>
    <row r="82">
      <c r="B82" s="32" t="inlineStr">
        <is>
          <t>Total consumo intermedio</t>
        </is>
      </c>
      <c r="C82" s="33">
        <f>SUM(C14:C81)</f>
        <v/>
      </c>
      <c r="D82" s="33">
        <f>SUM(D14:D81)</f>
        <v/>
      </c>
      <c r="E82" s="33">
        <f>SUM(E14:E81)</f>
        <v/>
      </c>
      <c r="F82" s="33">
        <f>SUM(F14:F81)</f>
        <v/>
      </c>
      <c r="G82" s="33">
        <f>SUM(G14:G81)</f>
        <v/>
      </c>
      <c r="H82" s="33">
        <f>SUM(H14:H81)</f>
        <v/>
      </c>
      <c r="I82" s="33">
        <f>SUM(I14:I81)</f>
        <v/>
      </c>
      <c r="J82" s="33">
        <f>SUM(J14:J81)</f>
        <v/>
      </c>
      <c r="K82" s="33">
        <f>SUM(K14:K81)</f>
        <v/>
      </c>
      <c r="L82" s="33">
        <f>SUM(L14:L81)</f>
        <v/>
      </c>
      <c r="M82" s="33">
        <f>SUM(M14:M81)</f>
        <v/>
      </c>
      <c r="N82" s="33">
        <f>SUM(N14:N81)</f>
        <v/>
      </c>
      <c r="O82" s="33">
        <f>SUM(O14:O81)</f>
        <v/>
      </c>
      <c r="P82" s="33">
        <f>SUM(P14:P81)</f>
        <v/>
      </c>
      <c r="Q82" s="33">
        <f>SUM(Q14:Q81)</f>
        <v/>
      </c>
      <c r="R82" s="33">
        <f>SUM(R14:R81)</f>
        <v/>
      </c>
      <c r="S82" s="33">
        <f>SUM(S14:S81)</f>
        <v/>
      </c>
      <c r="T82" s="33">
        <f>SUM(T14:T81)</f>
        <v/>
      </c>
      <c r="U82" s="33">
        <f>SUM(U14:U81)</f>
        <v/>
      </c>
      <c r="V82" s="33">
        <f>SUM(V14:V81)</f>
        <v/>
      </c>
      <c r="W82" s="33">
        <f>SUM(W14:W81)</f>
        <v/>
      </c>
      <c r="X82" s="33">
        <f>SUM(X14:X81)</f>
        <v/>
      </c>
      <c r="Y82" s="33">
        <f>SUM(Y14:Y81)</f>
        <v/>
      </c>
      <c r="Z82" s="33">
        <f>SUM(Z14:Z81)</f>
        <v/>
      </c>
      <c r="AA82" s="33">
        <f>SUM(AA14:AA81)</f>
        <v/>
      </c>
      <c r="AB82" s="33">
        <f>SUM(AB14:AB81)</f>
        <v/>
      </c>
      <c r="AC82" s="33">
        <f>SUM(AC14:AC81)</f>
        <v/>
      </c>
      <c r="AD82" s="33">
        <f>SUM(AD14:AD81)</f>
        <v/>
      </c>
      <c r="AE82" s="33">
        <f>SUM(AE14:AE81)</f>
        <v/>
      </c>
      <c r="AF82" s="33">
        <f>SUM(AF14:AF81)</f>
        <v/>
      </c>
      <c r="AG82" s="33">
        <f>SUM(AG14:AG81)</f>
        <v/>
      </c>
      <c r="AH82" s="33">
        <f>SUM(AH14:AH81)</f>
        <v/>
      </c>
      <c r="AI82" s="33">
        <f>SUM(AI14:AI81)</f>
        <v/>
      </c>
      <c r="AJ82" s="33">
        <f>SUM(AJ14:AJ81)</f>
        <v/>
      </c>
      <c r="AK82" s="33">
        <f>SUM(AK14:AK81)</f>
        <v/>
      </c>
      <c r="AL82" s="33">
        <f>SUM(AL14:AL81)</f>
        <v/>
      </c>
      <c r="AM82" s="33">
        <f>SUM(AM14:AM81)</f>
        <v/>
      </c>
      <c r="AN82" s="33">
        <f>SUM(AN14:AN81)</f>
        <v/>
      </c>
      <c r="AO82" s="33">
        <f>SUM(AO14:AO81)</f>
        <v/>
      </c>
      <c r="AP82" s="33">
        <f>SUM(AP14:AP81)</f>
        <v/>
      </c>
      <c r="AQ82" s="33">
        <f>SUM(AQ14:AQ81)</f>
        <v/>
      </c>
      <c r="AR82" s="33">
        <f>SUM(AR14:AR81)</f>
        <v/>
      </c>
      <c r="AS82" s="33">
        <f>SUM(AS14:AS81)</f>
        <v/>
      </c>
      <c r="AT82" s="33">
        <f>SUM(AT14:AT81)</f>
        <v/>
      </c>
      <c r="AU82" s="33">
        <f>SUM(AU14:AU81)</f>
        <v/>
      </c>
      <c r="AV82" s="33">
        <f>SUM(AV14:AV81)</f>
        <v/>
      </c>
      <c r="AW82" s="33">
        <f>SUM(AW14:AW81)</f>
        <v/>
      </c>
      <c r="AX82" s="33">
        <f>SUM(AX14:AX81)</f>
        <v/>
      </c>
      <c r="AY82" s="33">
        <f>SUM(AY14:AY81)</f>
        <v/>
      </c>
      <c r="AZ82" s="33">
        <f>SUM(AZ14:AZ81)</f>
        <v/>
      </c>
      <c r="BA82" s="33">
        <f>SUM(BA14:BA81)</f>
        <v/>
      </c>
      <c r="BB82" s="33">
        <f>SUM(BB14:BB81)</f>
        <v/>
      </c>
      <c r="BC82" s="33">
        <f>SUM(BC14:BC81)</f>
        <v/>
      </c>
      <c r="BD82" s="33">
        <f>SUM(BD14:BD81)</f>
        <v/>
      </c>
      <c r="BE82" s="33">
        <f>SUM(BE14:BE81)</f>
        <v/>
      </c>
      <c r="BF82" s="33">
        <f>SUM(BF14:BF81)</f>
        <v/>
      </c>
      <c r="BG82" s="33">
        <f>SUM(BG14:BG81)</f>
        <v/>
      </c>
      <c r="BH82" s="33">
        <f>SUM(BH14:BH81)</f>
        <v/>
      </c>
      <c r="BI82" s="33">
        <f>SUM(BI14:BI81)</f>
        <v/>
      </c>
      <c r="BJ82" s="33">
        <f>SUM(BJ14:BJ81)</f>
        <v/>
      </c>
      <c r="BK82" s="33">
        <f>SUM(BK14:BK81)</f>
        <v/>
      </c>
      <c r="BL82" s="33">
        <f>SUM(BL14:BL81)</f>
        <v/>
      </c>
      <c r="BM82" s="33">
        <f>SUM(BM14:BM81)</f>
        <v/>
      </c>
      <c r="BN82" s="33">
        <f>SUM(BN14:BN81)</f>
        <v/>
      </c>
      <c r="BO82" s="33">
        <f>SUM(BO14:BO81)</f>
        <v/>
      </c>
      <c r="BP82" s="33">
        <f>SUM(BP14:BP81)</f>
        <v/>
      </c>
      <c r="BQ82" s="33">
        <f>SUM(BQ14:BQ81)</f>
        <v/>
      </c>
      <c r="BR82" s="33">
        <f>SUM(BR14:BR81)</f>
        <v/>
      </c>
      <c r="BS82" s="33">
        <f>SUM(BS14:BS81)</f>
        <v/>
      </c>
      <c r="BT82" s="33">
        <f>SUM(BT14:BT81)</f>
        <v/>
      </c>
      <c r="BU82" s="33">
        <f>SUM(BU14:BU81)</f>
        <v/>
      </c>
      <c r="BV82" s="33">
        <f>SUM(BV14:BV81)</f>
        <v/>
      </c>
      <c r="BW82" s="33">
        <f>SUM(BW14:BW81)</f>
        <v/>
      </c>
      <c r="BX82" s="33">
        <f>SUM(BX14:BX81)</f>
        <v/>
      </c>
      <c r="BY82" s="33">
        <f>SUM(BY14:BY81)</f>
        <v/>
      </c>
    </row>
    <row r="83"/>
    <row r="84">
      <c r="B84" s="32" t="inlineStr">
        <is>
          <t>Ajuste intermedio no asignado a matriz</t>
        </is>
      </c>
      <c r="C84" s="33" t="n">
        <v>7.275957614183426e-12</v>
      </c>
      <c r="D84" s="33" t="n">
        <v>3.637978807091713e-12</v>
      </c>
      <c r="E84" s="33" t="n">
        <v>0</v>
      </c>
      <c r="F84" s="33" t="n">
        <v>-1.364242052659392e-12</v>
      </c>
      <c r="G84" s="33" t="n">
        <v>-3.637978807091713e-12</v>
      </c>
      <c r="H84" s="33" t="n">
        <v>1.364242052659392e-12</v>
      </c>
      <c r="I84" s="33" t="n">
        <v>2.273736754432321e-13</v>
      </c>
      <c r="J84" s="33" t="n">
        <v>0</v>
      </c>
      <c r="K84" s="33" t="n">
        <v>-2.273736754432321e-13</v>
      </c>
      <c r="L84" s="33" t="n">
        <v>3.274180926382542e-11</v>
      </c>
      <c r="M84" s="33" t="n">
        <v>7.275957614183426e-12</v>
      </c>
      <c r="N84" s="33" t="n">
        <v>-2.273736754432321e-13</v>
      </c>
      <c r="O84" s="33" t="n">
        <v>-7.958078640513122e-13</v>
      </c>
      <c r="P84" s="33" t="n">
        <v>5.911715561524034e-12</v>
      </c>
      <c r="Q84" s="33" t="n">
        <v>9.094947017729282e-12</v>
      </c>
      <c r="R84" s="33" t="n">
        <v>1.4210854715202e-12</v>
      </c>
      <c r="S84" s="33" t="n">
        <v>0</v>
      </c>
      <c r="T84" s="33" t="n">
        <v>1.818989403545856e-12</v>
      </c>
      <c r="U84" s="33" t="n">
        <v>-4.365574568510056e-11</v>
      </c>
      <c r="V84" s="33" t="n">
        <v>0</v>
      </c>
      <c r="W84" s="33" t="n">
        <v>-2.91038304567337e-11</v>
      </c>
      <c r="X84" s="33" t="n">
        <v>6.366462912410498e-12</v>
      </c>
      <c r="Y84" s="33" t="n">
        <v>3.637978807091713e-12</v>
      </c>
      <c r="Z84" s="33" t="n">
        <v>-9.094947017729282e-12</v>
      </c>
      <c r="AA84" s="33" t="n">
        <v>1.091393642127514e-11</v>
      </c>
      <c r="AB84" s="33" t="n">
        <v>7.275957614183426e-12</v>
      </c>
      <c r="AC84" s="33" t="n">
        <v>-4.547473508864641e-12</v>
      </c>
      <c r="AD84" s="33" t="n">
        <v>3.637978807091713e-12</v>
      </c>
      <c r="AE84" s="33" t="n">
        <v>-3.637978807091713e-12</v>
      </c>
      <c r="AF84" s="33" t="n">
        <v>1.091393642127514e-11</v>
      </c>
      <c r="AG84" s="33" t="n">
        <v>2.501110429875553e-12</v>
      </c>
      <c r="AH84" s="33" t="n">
        <v>-1.455191522836685e-11</v>
      </c>
      <c r="AI84" s="33" t="n">
        <v>7.275957614183426e-12</v>
      </c>
      <c r="AJ84" s="33" t="n">
        <v>3.637978807091713e-12</v>
      </c>
      <c r="AK84" s="33" t="n">
        <v>-3.637978807091713e-12</v>
      </c>
      <c r="AL84" s="33" t="n">
        <v>-2.387423592153937e-12</v>
      </c>
      <c r="AM84" s="33" t="n">
        <v>3.637978807091713e-12</v>
      </c>
      <c r="AN84" s="33" t="n">
        <v>-1.455191522836685e-11</v>
      </c>
      <c r="AO84" s="33" t="n">
        <v>-9.094947017729282e-13</v>
      </c>
      <c r="AP84" s="33" t="n">
        <v>-2.91038304567337e-11</v>
      </c>
      <c r="AQ84" s="33" t="n">
        <v>-3.637978807091713e-12</v>
      </c>
      <c r="AR84" s="33" t="n">
        <v>2.91038304567337e-11</v>
      </c>
      <c r="AS84" s="33" t="n">
        <v>-3.637978807091713e-12</v>
      </c>
      <c r="AT84" s="33" t="n">
        <v>9.094947017729282e-13</v>
      </c>
      <c r="AU84" s="33" t="n">
        <v>0</v>
      </c>
      <c r="AV84" s="33" t="n">
        <v>0</v>
      </c>
      <c r="AW84" s="33" t="n">
        <v>-9.094947017729282e-13</v>
      </c>
      <c r="AX84" s="33" t="n">
        <v>0</v>
      </c>
      <c r="AY84" s="33" t="n">
        <v>-2.728484105318785e-12</v>
      </c>
      <c r="AZ84" s="33" t="n">
        <v>-9.094947017729282e-13</v>
      </c>
      <c r="BA84" s="33" t="n">
        <v>2.182787284255028e-11</v>
      </c>
      <c r="BB84" s="33" t="n">
        <v>-1.818989403545856e-12</v>
      </c>
      <c r="BC84" s="33" t="n">
        <v>-3.637978807091713e-12</v>
      </c>
      <c r="BD84" s="33" t="n">
        <v>-1.818989403545856e-12</v>
      </c>
      <c r="BE84" s="33" t="n">
        <v>-2.273736754432321e-13</v>
      </c>
      <c r="BF84" s="33" t="n">
        <v>-9.094947017729282e-13</v>
      </c>
      <c r="BG84" s="33" t="n">
        <v>-3.637978807091713e-12</v>
      </c>
      <c r="BH84" s="33" t="n">
        <v>4.547473508864641e-13</v>
      </c>
      <c r="BI84" s="33" t="n">
        <v>-3.637978807091713e-12</v>
      </c>
      <c r="BJ84" s="33" t="n">
        <v>-1.13686837721616e-13</v>
      </c>
      <c r="BK84" s="33" t="n">
        <v>-1.091393642127514e-11</v>
      </c>
      <c r="BL84" s="33" t="n">
        <v>-3.637978807091713e-12</v>
      </c>
      <c r="BM84" s="33" t="n">
        <v>2.728484105318785e-12</v>
      </c>
      <c r="BN84" s="33" t="n">
        <v>0</v>
      </c>
      <c r="BO84" s="33" t="n">
        <v>-7.275957614183426e-12</v>
      </c>
      <c r="BP84" s="33" t="n">
        <v>-4.547473508864641e-13</v>
      </c>
      <c r="BQ84" s="33" t="n">
        <v>-1.091393642127514e-11</v>
      </c>
      <c r="BR84" s="33" t="n">
        <v>0</v>
      </c>
      <c r="BY84" s="33">
        <f>SUM(C84:BR84)</f>
        <v/>
      </c>
    </row>
    <row r="85"/>
    <row r="86">
      <c r="B86" s="32" t="inlineStr">
        <is>
          <t>Valor agregado</t>
        </is>
      </c>
      <c r="C86" s="33" t="n">
        <v>163127</v>
      </c>
      <c r="D86" s="33" t="n">
        <v>71449</v>
      </c>
      <c r="E86" s="33" t="n">
        <v>24391</v>
      </c>
      <c r="F86" s="33" t="n">
        <v>8856</v>
      </c>
      <c r="G86" s="33" t="n">
        <v>73558</v>
      </c>
      <c r="H86" s="33" t="n">
        <v>23916</v>
      </c>
      <c r="I86" s="33" t="n">
        <v>4443</v>
      </c>
      <c r="J86" s="33" t="n">
        <v>40377</v>
      </c>
      <c r="K86" s="33" t="n">
        <v>7388</v>
      </c>
      <c r="L86" s="33" t="n">
        <v>48541</v>
      </c>
      <c r="M86" s="33" t="n">
        <v>22923</v>
      </c>
      <c r="N86" s="33" t="n">
        <v>4258</v>
      </c>
      <c r="O86" s="33" t="n">
        <v>13375</v>
      </c>
      <c r="P86" s="33" t="n">
        <v>24929</v>
      </c>
      <c r="Q86" s="33" t="n">
        <v>13536</v>
      </c>
      <c r="R86" s="33" t="n">
        <v>9840</v>
      </c>
      <c r="S86" s="33" t="n">
        <v>22787</v>
      </c>
      <c r="T86" s="33" t="n">
        <v>8396</v>
      </c>
      <c r="U86" s="33" t="n">
        <v>36427</v>
      </c>
      <c r="V86" s="33" t="n">
        <v>8680</v>
      </c>
      <c r="W86" s="33" t="n">
        <v>25439</v>
      </c>
      <c r="X86" s="33" t="n">
        <v>15095</v>
      </c>
      <c r="Y86" s="33" t="n">
        <v>8397</v>
      </c>
      <c r="Z86" s="33" t="n">
        <v>23147</v>
      </c>
      <c r="AA86" s="33" t="n">
        <v>26077</v>
      </c>
      <c r="AB86" s="33" t="n">
        <v>27750</v>
      </c>
      <c r="AC86" s="33" t="n">
        <v>21747</v>
      </c>
      <c r="AD86" s="33" t="n">
        <v>12555</v>
      </c>
      <c r="AE86" s="33" t="n">
        <v>34302</v>
      </c>
      <c r="AF86" s="33" t="n">
        <v>13715</v>
      </c>
      <c r="AG86" s="33" t="n">
        <v>17037</v>
      </c>
      <c r="AH86" s="33" t="n">
        <v>37643</v>
      </c>
      <c r="AI86" s="33" t="n">
        <v>22410</v>
      </c>
      <c r="AJ86" s="33" t="n">
        <v>18416</v>
      </c>
      <c r="AK86" s="33" t="n">
        <v>12065</v>
      </c>
      <c r="AL86" s="33" t="n">
        <v>31376</v>
      </c>
      <c r="AM86" s="33" t="n">
        <v>22185</v>
      </c>
      <c r="AN86" s="33" t="n">
        <v>85465</v>
      </c>
      <c r="AO86" s="33" t="n">
        <v>37718</v>
      </c>
      <c r="AP86" s="33" t="n">
        <v>296018</v>
      </c>
      <c r="AQ86" s="33" t="n">
        <v>86906</v>
      </c>
      <c r="AR86" s="33" t="n">
        <v>598802</v>
      </c>
      <c r="AS86" s="33" t="n">
        <v>145771</v>
      </c>
      <c r="AT86" s="33" t="n">
        <v>8758</v>
      </c>
      <c r="AU86" s="33" t="n">
        <v>6882</v>
      </c>
      <c r="AV86" s="33" t="n">
        <v>65089</v>
      </c>
      <c r="AW86" s="33" t="n">
        <v>13124</v>
      </c>
      <c r="AX86" s="33" t="n">
        <v>109506</v>
      </c>
      <c r="AY86" s="33" t="n">
        <v>8757</v>
      </c>
      <c r="AZ86" s="33" t="n">
        <v>19242</v>
      </c>
      <c r="BA86" s="33" t="n">
        <v>65303</v>
      </c>
      <c r="BB86" s="33" t="n">
        <v>82702</v>
      </c>
      <c r="BC86" s="33" t="n">
        <v>365276</v>
      </c>
      <c r="BD86" s="33" t="n">
        <v>498884</v>
      </c>
      <c r="BE86" s="33" t="n">
        <v>125524</v>
      </c>
      <c r="BF86" s="33" t="n">
        <v>44866</v>
      </c>
      <c r="BG86" s="33" t="n">
        <v>33439</v>
      </c>
      <c r="BH86" s="33" t="n">
        <v>29535</v>
      </c>
      <c r="BI86" s="33" t="n">
        <v>146846</v>
      </c>
      <c r="BJ86" s="33" t="n">
        <v>32943</v>
      </c>
      <c r="BK86" s="33" t="n">
        <v>509142</v>
      </c>
      <c r="BL86" s="33" t="n">
        <v>257301</v>
      </c>
      <c r="BM86" s="33" t="n">
        <v>76654</v>
      </c>
      <c r="BN86" s="33" t="n">
        <v>119144</v>
      </c>
      <c r="BO86" s="33" t="n">
        <v>133285</v>
      </c>
      <c r="BP86" s="33" t="n">
        <v>19139</v>
      </c>
      <c r="BQ86" s="33" t="n">
        <v>71031</v>
      </c>
      <c r="BR86" s="33" t="n">
        <v>61996</v>
      </c>
      <c r="BY86" s="33">
        <f>SUM(C86:BR86)</f>
        <v/>
      </c>
    </row>
    <row r="87"/>
    <row r="88">
      <c r="B88" s="32" t="inlineStr">
        <is>
          <t>Produccion total</t>
        </is>
      </c>
      <c r="C88" s="33">
        <f>C82+C84+C86</f>
        <v/>
      </c>
      <c r="D88" s="33">
        <f>D82+D84+D86</f>
        <v/>
      </c>
      <c r="E88" s="33">
        <f>E82+E84+E86</f>
        <v/>
      </c>
      <c r="F88" s="33">
        <f>F82+F84+F86</f>
        <v/>
      </c>
      <c r="G88" s="33">
        <f>G82+G84+G86</f>
        <v/>
      </c>
      <c r="H88" s="33">
        <f>H82+H84+H86</f>
        <v/>
      </c>
      <c r="I88" s="33">
        <f>I82+I84+I86</f>
        <v/>
      </c>
      <c r="J88" s="33">
        <f>J82+J84+J86</f>
        <v/>
      </c>
      <c r="K88" s="33">
        <f>K82+K84+K86</f>
        <v/>
      </c>
      <c r="L88" s="33">
        <f>L82+L84+L86</f>
        <v/>
      </c>
      <c r="M88" s="33">
        <f>M82+M84+M86</f>
        <v/>
      </c>
      <c r="N88" s="33">
        <f>N82+N84+N86</f>
        <v/>
      </c>
      <c r="O88" s="33">
        <f>O82+O84+O86</f>
        <v/>
      </c>
      <c r="P88" s="33">
        <f>P82+P84+P86</f>
        <v/>
      </c>
      <c r="Q88" s="33">
        <f>Q82+Q84+Q86</f>
        <v/>
      </c>
      <c r="R88" s="33">
        <f>R82+R84+R86</f>
        <v/>
      </c>
      <c r="S88" s="33">
        <f>S82+S84+S86</f>
        <v/>
      </c>
      <c r="T88" s="33">
        <f>T82+T84+T86</f>
        <v/>
      </c>
      <c r="U88" s="33">
        <f>U82+U84+U86</f>
        <v/>
      </c>
      <c r="V88" s="33">
        <f>V82+V84+V86</f>
        <v/>
      </c>
      <c r="W88" s="33">
        <f>W82+W84+W86</f>
        <v/>
      </c>
      <c r="X88" s="33">
        <f>X82+X84+X86</f>
        <v/>
      </c>
      <c r="Y88" s="33">
        <f>Y82+Y84+Y86</f>
        <v/>
      </c>
      <c r="Z88" s="33">
        <f>Z82+Z84+Z86</f>
        <v/>
      </c>
      <c r="AA88" s="33">
        <f>AA82+AA84+AA86</f>
        <v/>
      </c>
      <c r="AB88" s="33">
        <f>AB82+AB84+AB86</f>
        <v/>
      </c>
      <c r="AC88" s="33">
        <f>AC82+AC84+AC86</f>
        <v/>
      </c>
      <c r="AD88" s="33">
        <f>AD82+AD84+AD86</f>
        <v/>
      </c>
      <c r="AE88" s="33">
        <f>AE82+AE84+AE86</f>
        <v/>
      </c>
      <c r="AF88" s="33">
        <f>AF82+AF84+AF86</f>
        <v/>
      </c>
      <c r="AG88" s="33">
        <f>AG82+AG84+AG86</f>
        <v/>
      </c>
      <c r="AH88" s="33">
        <f>AH82+AH84+AH86</f>
        <v/>
      </c>
      <c r="AI88" s="33">
        <f>AI82+AI84+AI86</f>
        <v/>
      </c>
      <c r="AJ88" s="33">
        <f>AJ82+AJ84+AJ86</f>
        <v/>
      </c>
      <c r="AK88" s="33">
        <f>AK82+AK84+AK86</f>
        <v/>
      </c>
      <c r="AL88" s="33">
        <f>AL82+AL84+AL86</f>
        <v/>
      </c>
      <c r="AM88" s="33">
        <f>AM82+AM84+AM86</f>
        <v/>
      </c>
      <c r="AN88" s="33">
        <f>AN82+AN84+AN86</f>
        <v/>
      </c>
      <c r="AO88" s="33">
        <f>AO82+AO84+AO86</f>
        <v/>
      </c>
      <c r="AP88" s="33">
        <f>AP82+AP84+AP86</f>
        <v/>
      </c>
      <c r="AQ88" s="33">
        <f>AQ82+AQ84+AQ86</f>
        <v/>
      </c>
      <c r="AR88" s="33">
        <f>AR82+AR84+AR86</f>
        <v/>
      </c>
      <c r="AS88" s="33">
        <f>AS82+AS84+AS86</f>
        <v/>
      </c>
      <c r="AT88" s="33">
        <f>AT82+AT84+AT86</f>
        <v/>
      </c>
      <c r="AU88" s="33">
        <f>AU82+AU84+AU86</f>
        <v/>
      </c>
      <c r="AV88" s="33">
        <f>AV82+AV84+AV86</f>
        <v/>
      </c>
      <c r="AW88" s="33">
        <f>AW82+AW84+AW86</f>
        <v/>
      </c>
      <c r="AX88" s="33">
        <f>AX82+AX84+AX86</f>
        <v/>
      </c>
      <c r="AY88" s="33">
        <f>AY82+AY84+AY86</f>
        <v/>
      </c>
      <c r="AZ88" s="33">
        <f>AZ82+AZ84+AZ86</f>
        <v/>
      </c>
      <c r="BA88" s="33">
        <f>BA82+BA84+BA86</f>
        <v/>
      </c>
      <c r="BB88" s="33">
        <f>BB82+BB84+BB86</f>
        <v/>
      </c>
      <c r="BC88" s="33">
        <f>BC82+BC84+BC86</f>
        <v/>
      </c>
      <c r="BD88" s="33">
        <f>BD82+BD84+BD86</f>
        <v/>
      </c>
      <c r="BE88" s="33">
        <f>BE82+BE84+BE86</f>
        <v/>
      </c>
      <c r="BF88" s="33">
        <f>BF82+BF84+BF86</f>
        <v/>
      </c>
      <c r="BG88" s="33">
        <f>BG82+BG84+BG86</f>
        <v/>
      </c>
      <c r="BH88" s="33">
        <f>BH82+BH84+BH86</f>
        <v/>
      </c>
      <c r="BI88" s="33">
        <f>BI82+BI84+BI86</f>
        <v/>
      </c>
      <c r="BJ88" s="33">
        <f>BJ82+BJ84+BJ86</f>
        <v/>
      </c>
      <c r="BK88" s="33">
        <f>BK82+BK84+BK86</f>
        <v/>
      </c>
      <c r="BL88" s="33">
        <f>BL82+BL84+BL86</f>
        <v/>
      </c>
      <c r="BM88" s="33">
        <f>BM82+BM84+BM86</f>
        <v/>
      </c>
      <c r="BN88" s="33">
        <f>BN82+BN84+BN86</f>
        <v/>
      </c>
      <c r="BO88" s="33">
        <f>BO82+BO84+BO86</f>
        <v/>
      </c>
      <c r="BP88" s="33">
        <f>BP82+BP84+BP86</f>
        <v/>
      </c>
      <c r="BQ88" s="33">
        <f>BQ82+BQ84+BQ86</f>
        <v/>
      </c>
      <c r="BR88" s="33">
        <f>BR82+BR84+BR86</f>
        <v/>
      </c>
      <c r="BY88" s="33">
        <f>SUM(C88:BR88)</f>
        <v/>
      </c>
    </row>
    <row r="89">
      <c r="B89" s="32" t="inlineStr">
        <is>
          <t>Produccion fuente</t>
        </is>
      </c>
      <c r="C89" s="33" t="n">
        <v>309301</v>
      </c>
      <c r="D89" s="33" t="n">
        <v>137018</v>
      </c>
      <c r="E89" s="33" t="n">
        <v>32411</v>
      </c>
      <c r="F89" s="33" t="n">
        <v>19733</v>
      </c>
      <c r="G89" s="33" t="n">
        <v>171984</v>
      </c>
      <c r="H89" s="33" t="n">
        <v>52753</v>
      </c>
      <c r="I89" s="33" t="n">
        <v>16103</v>
      </c>
      <c r="J89" s="33" t="n">
        <v>255198</v>
      </c>
      <c r="K89" s="33" t="n">
        <v>48066</v>
      </c>
      <c r="L89" s="33" t="n">
        <v>253228</v>
      </c>
      <c r="M89" s="33" t="n">
        <v>76444</v>
      </c>
      <c r="N89" s="33" t="n">
        <v>15084</v>
      </c>
      <c r="O89" s="33" t="n">
        <v>46430</v>
      </c>
      <c r="P89" s="33" t="n">
        <v>61302</v>
      </c>
      <c r="Q89" s="33" t="n">
        <v>40232</v>
      </c>
      <c r="R89" s="33" t="n">
        <v>26588</v>
      </c>
      <c r="S89" s="33" t="n">
        <v>80337</v>
      </c>
      <c r="T89" s="33" t="n">
        <v>19473</v>
      </c>
      <c r="U89" s="33" t="n">
        <v>373349</v>
      </c>
      <c r="V89" s="33" t="n">
        <v>42841</v>
      </c>
      <c r="W89" s="33" t="n">
        <v>145533</v>
      </c>
      <c r="X89" s="33" t="n">
        <v>74484</v>
      </c>
      <c r="Y89" s="33" t="n">
        <v>40475</v>
      </c>
      <c r="Z89" s="33" t="n">
        <v>57972</v>
      </c>
      <c r="AA89" s="33" t="n">
        <v>101171</v>
      </c>
      <c r="AB89" s="33" t="n">
        <v>89569</v>
      </c>
      <c r="AC89" s="33" t="n">
        <v>101592</v>
      </c>
      <c r="AD89" s="33" t="n">
        <v>57162</v>
      </c>
      <c r="AE89" s="33" t="n">
        <v>91269</v>
      </c>
      <c r="AF89" s="33" t="n">
        <v>85209</v>
      </c>
      <c r="AG89" s="33" t="n">
        <v>71998</v>
      </c>
      <c r="AH89" s="33" t="n">
        <v>120638</v>
      </c>
      <c r="AI89" s="33" t="n">
        <v>146446</v>
      </c>
      <c r="AJ89" s="33" t="n">
        <v>70497</v>
      </c>
      <c r="AK89" s="33" t="n">
        <v>51015</v>
      </c>
      <c r="AL89" s="33" t="n">
        <v>70398</v>
      </c>
      <c r="AM89" s="33" t="n">
        <v>62460</v>
      </c>
      <c r="AN89" s="33" t="n">
        <v>260753</v>
      </c>
      <c r="AO89" s="33" t="n">
        <v>62845</v>
      </c>
      <c r="AP89" s="33" t="n">
        <v>632308</v>
      </c>
      <c r="AQ89" s="33" t="n">
        <v>146401</v>
      </c>
      <c r="AR89" s="33" t="n">
        <v>954362</v>
      </c>
      <c r="AS89" s="33" t="n">
        <v>332855</v>
      </c>
      <c r="AT89" s="33" t="n">
        <v>20080</v>
      </c>
      <c r="AU89" s="33" t="n">
        <v>37338</v>
      </c>
      <c r="AV89" s="33" t="n">
        <v>115220</v>
      </c>
      <c r="AW89" s="33" t="n">
        <v>23990</v>
      </c>
      <c r="AX89" s="33" t="n">
        <v>223426</v>
      </c>
      <c r="AY89" s="33" t="n">
        <v>20486</v>
      </c>
      <c r="AZ89" s="33" t="n">
        <v>43404</v>
      </c>
      <c r="BA89" s="33" t="n">
        <v>161039</v>
      </c>
      <c r="BB89" s="33" t="n">
        <v>125537</v>
      </c>
      <c r="BC89" s="33" t="n">
        <v>574611</v>
      </c>
      <c r="BD89" s="33" t="n">
        <v>545929</v>
      </c>
      <c r="BE89" s="33" t="n">
        <v>187868</v>
      </c>
      <c r="BF89" s="33" t="n">
        <v>71073</v>
      </c>
      <c r="BG89" s="33" t="n">
        <v>94350</v>
      </c>
      <c r="BH89" s="33" t="n">
        <v>45657</v>
      </c>
      <c r="BI89" s="33" t="n">
        <v>208430</v>
      </c>
      <c r="BJ89" s="33" t="n">
        <v>39955</v>
      </c>
      <c r="BK89" s="33" t="n">
        <v>719620</v>
      </c>
      <c r="BL89" s="33" t="n">
        <v>309034</v>
      </c>
      <c r="BM89" s="33" t="n">
        <v>110787</v>
      </c>
      <c r="BN89" s="33" t="n">
        <v>179155</v>
      </c>
      <c r="BO89" s="33" t="n">
        <v>222681</v>
      </c>
      <c r="BP89" s="33" t="n">
        <v>34631</v>
      </c>
      <c r="BQ89" s="33" t="n">
        <v>145590</v>
      </c>
      <c r="BR89" s="33" t="n">
        <v>61996</v>
      </c>
      <c r="BY89" s="33">
        <f>SUM(C89:BR89)</f>
        <v/>
      </c>
    </row>
    <row r="90">
      <c r="B90" s="35" t="inlineStr">
        <is>
          <t>Check produccion total - fuente</t>
        </is>
      </c>
      <c r="C90" s="36">
        <f>C88-C89</f>
        <v/>
      </c>
      <c r="D90" s="36">
        <f>D88-D89</f>
        <v/>
      </c>
      <c r="E90" s="36">
        <f>E88-E89</f>
        <v/>
      </c>
      <c r="F90" s="36">
        <f>F88-F89</f>
        <v/>
      </c>
      <c r="G90" s="36">
        <f>G88-G89</f>
        <v/>
      </c>
      <c r="H90" s="36">
        <f>H88-H89</f>
        <v/>
      </c>
      <c r="I90" s="36">
        <f>I88-I89</f>
        <v/>
      </c>
      <c r="J90" s="36">
        <f>J88-J89</f>
        <v/>
      </c>
      <c r="K90" s="36">
        <f>K88-K89</f>
        <v/>
      </c>
      <c r="L90" s="36">
        <f>L88-L89</f>
        <v/>
      </c>
      <c r="M90" s="36">
        <f>M88-M89</f>
        <v/>
      </c>
      <c r="N90" s="36">
        <f>N88-N89</f>
        <v/>
      </c>
      <c r="O90" s="36">
        <f>O88-O89</f>
        <v/>
      </c>
      <c r="P90" s="36">
        <f>P88-P89</f>
        <v/>
      </c>
      <c r="Q90" s="36">
        <f>Q88-Q89</f>
        <v/>
      </c>
      <c r="R90" s="36">
        <f>R88-R89</f>
        <v/>
      </c>
      <c r="S90" s="36">
        <f>S88-S89</f>
        <v/>
      </c>
      <c r="T90" s="36">
        <f>T88-T89</f>
        <v/>
      </c>
      <c r="U90" s="36">
        <f>U88-U89</f>
        <v/>
      </c>
      <c r="V90" s="36">
        <f>V88-V89</f>
        <v/>
      </c>
      <c r="W90" s="36">
        <f>W88-W89</f>
        <v/>
      </c>
      <c r="X90" s="36">
        <f>X88-X89</f>
        <v/>
      </c>
      <c r="Y90" s="36">
        <f>Y88-Y89</f>
        <v/>
      </c>
      <c r="Z90" s="36">
        <f>Z88-Z89</f>
        <v/>
      </c>
      <c r="AA90" s="36">
        <f>AA88-AA89</f>
        <v/>
      </c>
      <c r="AB90" s="36">
        <f>AB88-AB89</f>
        <v/>
      </c>
      <c r="AC90" s="36">
        <f>AC88-AC89</f>
        <v/>
      </c>
      <c r="AD90" s="36">
        <f>AD88-AD89</f>
        <v/>
      </c>
      <c r="AE90" s="36">
        <f>AE88-AE89</f>
        <v/>
      </c>
      <c r="AF90" s="36">
        <f>AF88-AF89</f>
        <v/>
      </c>
      <c r="AG90" s="36">
        <f>AG88-AG89</f>
        <v/>
      </c>
      <c r="AH90" s="36">
        <f>AH88-AH89</f>
        <v/>
      </c>
      <c r="AI90" s="36">
        <f>AI88-AI89</f>
        <v/>
      </c>
      <c r="AJ90" s="36">
        <f>AJ88-AJ89</f>
        <v/>
      </c>
      <c r="AK90" s="36">
        <f>AK88-AK89</f>
        <v/>
      </c>
      <c r="AL90" s="36">
        <f>AL88-AL89</f>
        <v/>
      </c>
      <c r="AM90" s="36">
        <f>AM88-AM89</f>
        <v/>
      </c>
      <c r="AN90" s="36">
        <f>AN88-AN89</f>
        <v/>
      </c>
      <c r="AO90" s="36">
        <f>AO88-AO89</f>
        <v/>
      </c>
      <c r="AP90" s="36">
        <f>AP88-AP89</f>
        <v/>
      </c>
      <c r="AQ90" s="36">
        <f>AQ88-AQ89</f>
        <v/>
      </c>
      <c r="AR90" s="36">
        <f>AR88-AR89</f>
        <v/>
      </c>
      <c r="AS90" s="36">
        <f>AS88-AS89</f>
        <v/>
      </c>
      <c r="AT90" s="36">
        <f>AT88-AT89</f>
        <v/>
      </c>
      <c r="AU90" s="36">
        <f>AU88-AU89</f>
        <v/>
      </c>
      <c r="AV90" s="36">
        <f>AV88-AV89</f>
        <v/>
      </c>
      <c r="AW90" s="36">
        <f>AW88-AW89</f>
        <v/>
      </c>
      <c r="AX90" s="36">
        <f>AX88-AX89</f>
        <v/>
      </c>
      <c r="AY90" s="36">
        <f>AY88-AY89</f>
        <v/>
      </c>
      <c r="AZ90" s="36">
        <f>AZ88-AZ89</f>
        <v/>
      </c>
      <c r="BA90" s="36">
        <f>BA88-BA89</f>
        <v/>
      </c>
      <c r="BB90" s="36">
        <f>BB88-BB89</f>
        <v/>
      </c>
      <c r="BC90" s="36">
        <f>BC88-BC89</f>
        <v/>
      </c>
      <c r="BD90" s="36">
        <f>BD88-BD89</f>
        <v/>
      </c>
      <c r="BE90" s="36">
        <f>BE88-BE89</f>
        <v/>
      </c>
      <c r="BF90" s="36">
        <f>BF88-BF89</f>
        <v/>
      </c>
      <c r="BG90" s="36">
        <f>BG88-BG89</f>
        <v/>
      </c>
      <c r="BH90" s="36">
        <f>BH88-BH89</f>
        <v/>
      </c>
      <c r="BI90" s="36">
        <f>BI88-BI89</f>
        <v/>
      </c>
      <c r="BJ90" s="36">
        <f>BJ88-BJ89</f>
        <v/>
      </c>
      <c r="BK90" s="36">
        <f>BK88-BK89</f>
        <v/>
      </c>
      <c r="BL90" s="36">
        <f>BL88-BL89</f>
        <v/>
      </c>
      <c r="BM90" s="36">
        <f>BM88-BM89</f>
        <v/>
      </c>
      <c r="BN90" s="36">
        <f>BN88-BN89</f>
        <v/>
      </c>
      <c r="BO90" s="36">
        <f>BO88-BO89</f>
        <v/>
      </c>
      <c r="BP90" s="36">
        <f>BP88-BP89</f>
        <v/>
      </c>
      <c r="BQ90" s="36">
        <f>BQ88-BQ89</f>
        <v/>
      </c>
      <c r="BR90" s="36">
        <f>BR88-BR89</f>
        <v/>
      </c>
      <c r="BY90" s="36">
        <f>SUM(C90:BR90)</f>
        <v/>
      </c>
    </row>
    <row r="91"/>
    <row r="92">
      <c r="B92" s="28" t="inlineStr">
        <is>
          <t>Nota</t>
        </is>
      </c>
      <c r="C92" s="28" t="inlineStr">
        <is>
          <t>Z total = Z nacional + matriz importada/ajuste asignada. El residuo de ajuste no asignado queda como fila firmada.</t>
        </is>
      </c>
    </row>
  </sheetData>
  <mergeCells count="9">
    <mergeCell ref="BY10:BY12"/>
    <mergeCell ref="BX10:BX12"/>
    <mergeCell ref="A3:H4"/>
    <mergeCell ref="B10:B12"/>
    <mergeCell ref="A10:A12"/>
    <mergeCell ref="A1:H1"/>
    <mergeCell ref="C10:BR10"/>
    <mergeCell ref="BS10:BS12"/>
    <mergeCell ref="BT10:BW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0191</t>
        </is>
      </c>
      <c r="B4" s="10" t="inlineStr">
        <is>
          <t>Agricultura, inclusive o apoio à agricultura e a pós-colheita</t>
        </is>
      </c>
      <c r="C4" s="11" t="n">
        <v>309301</v>
      </c>
      <c r="D4" s="11" t="n">
        <v>163127</v>
      </c>
      <c r="E4" s="11" t="n">
        <v>1.728297013771934</v>
      </c>
      <c r="F4" s="11" t="n">
        <v>0.8454998360206333</v>
      </c>
      <c r="G4" s="11" t="n">
        <v>1.810729769764391</v>
      </c>
      <c r="H4" s="11" t="n">
        <v>0.9034847558105105</v>
      </c>
    </row>
    <row r="5">
      <c r="A5" s="10" t="inlineStr">
        <is>
          <t>0192</t>
        </is>
      </c>
      <c r="B5" s="10" t="inlineStr">
        <is>
          <t>Pecuária, inclusive o apoio à pecuária</t>
        </is>
      </c>
      <c r="C5" s="11" t="n">
        <v>137018</v>
      </c>
      <c r="D5" s="11" t="n">
        <v>71449</v>
      </c>
      <c r="E5" s="11" t="n">
        <v>1.79477909295353</v>
      </c>
      <c r="F5" s="11" t="n">
        <v>0.8780235206642079</v>
      </c>
      <c r="G5" s="11" t="n">
        <v>1.904969340652112</v>
      </c>
      <c r="H5" s="11" t="n">
        <v>0.9505066897914484</v>
      </c>
    </row>
    <row r="6">
      <c r="A6" s="10" t="inlineStr">
        <is>
          <t>0280</t>
        </is>
      </c>
      <c r="B6" s="10" t="inlineStr">
        <is>
          <t>Produção florestal; pesca e aquicultura</t>
        </is>
      </c>
      <c r="C6" s="11" t="n">
        <v>32411</v>
      </c>
      <c r="D6" s="11" t="n">
        <v>24391</v>
      </c>
      <c r="E6" s="11" t="n">
        <v>1.373637877447299</v>
      </c>
      <c r="F6" s="11" t="n">
        <v>0.6719971109587771</v>
      </c>
      <c r="G6" s="11" t="n">
        <v>1.899907633302035</v>
      </c>
      <c r="H6" s="11" t="n">
        <v>0.9479810918223138</v>
      </c>
    </row>
    <row r="7">
      <c r="A7" s="10" t="inlineStr">
        <is>
          <t>0580</t>
        </is>
      </c>
      <c r="B7" s="10" t="inlineStr">
        <is>
          <t>Extração de carvão mineral e de minerais não-metálicos</t>
        </is>
      </c>
      <c r="C7" s="11" t="n">
        <v>19733</v>
      </c>
      <c r="D7" s="11" t="n">
        <v>8856</v>
      </c>
      <c r="E7" s="11" t="n">
        <v>1.96448252844824</v>
      </c>
      <c r="F7" s="11" t="n">
        <v>0.9610441043599277</v>
      </c>
      <c r="G7" s="11" t="n">
        <v>2.885489081944231</v>
      </c>
      <c r="H7" s="11" t="n">
        <v>1.439748460607402</v>
      </c>
    </row>
    <row r="8">
      <c r="A8" s="10" t="inlineStr">
        <is>
          <t>0680</t>
        </is>
      </c>
      <c r="B8" s="10" t="inlineStr">
        <is>
          <t>Extração de petróleo e gás, inclusive as atividades de apoio</t>
        </is>
      </c>
      <c r="C8" s="11" t="n">
        <v>171984</v>
      </c>
      <c r="D8" s="11" t="n">
        <v>73558</v>
      </c>
      <c r="E8" s="11" t="n">
        <v>1.786506940046713</v>
      </c>
      <c r="F8" s="11" t="n">
        <v>0.8739767023971399</v>
      </c>
      <c r="G8" s="11" t="n">
        <v>3.008504835005462</v>
      </c>
      <c r="H8" s="11" t="n">
        <v>1.501128606596736</v>
      </c>
    </row>
    <row r="9">
      <c r="A9" s="10" t="inlineStr">
        <is>
          <t>0791</t>
        </is>
      </c>
      <c r="B9" s="10" t="inlineStr">
        <is>
          <t>Extração de minério de ferro, inclusive beneficiamentos e a aglomeração</t>
        </is>
      </c>
      <c r="C9" s="11" t="n">
        <v>52753</v>
      </c>
      <c r="D9" s="11" t="n">
        <v>23916</v>
      </c>
      <c r="E9" s="11" t="n">
        <v>1.925842546930169</v>
      </c>
      <c r="F9" s="11" t="n">
        <v>0.9421410467390225</v>
      </c>
      <c r="G9" s="11" t="n">
        <v>1.45708475815065</v>
      </c>
      <c r="H9" s="11" t="n">
        <v>0.7270294490625465</v>
      </c>
    </row>
    <row r="10">
      <c r="A10" s="10" t="inlineStr">
        <is>
          <t>0792</t>
        </is>
      </c>
      <c r="B10" s="10" t="inlineStr">
        <is>
          <t>Extração de minerais metálicos não-ferrosos, inclusive beneficiamentos</t>
        </is>
      </c>
      <c r="C10" s="11" t="n">
        <v>16103</v>
      </c>
      <c r="D10" s="11" t="n">
        <v>4443</v>
      </c>
      <c r="E10" s="11" t="n">
        <v>2.2751968832572</v>
      </c>
      <c r="F10" s="11" t="n">
        <v>1.113048611656322</v>
      </c>
      <c r="G10" s="11" t="n">
        <v>2.400486711086347</v>
      </c>
      <c r="H10" s="11" t="n">
        <v>1.197750866091092</v>
      </c>
    </row>
    <row r="11">
      <c r="A11" s="10" t="inlineStr">
        <is>
          <t>1091</t>
        </is>
      </c>
      <c r="B11" s="10" t="inlineStr">
        <is>
          <t>Abate e produtos de carne, inclusive os produtos do laticínio e da pesca</t>
        </is>
      </c>
      <c r="C11" s="11" t="n">
        <v>255198</v>
      </c>
      <c r="D11" s="11" t="n">
        <v>40377</v>
      </c>
      <c r="E11" s="11" t="n">
        <v>3.293336926924229</v>
      </c>
      <c r="F11" s="11" t="n">
        <v>1.611132698538919</v>
      </c>
      <c r="G11" s="11" t="n">
        <v>1.240363759471209</v>
      </c>
      <c r="H11" s="11" t="n">
        <v>0.6188939769228341</v>
      </c>
    </row>
    <row r="12">
      <c r="A12" s="10" t="inlineStr">
        <is>
          <t>1092</t>
        </is>
      </c>
      <c r="B12" s="10" t="inlineStr">
        <is>
          <t>Fabricação e refino de açúcar</t>
        </is>
      </c>
      <c r="C12" s="11" t="n">
        <v>48066</v>
      </c>
      <c r="D12" s="11" t="n">
        <v>7388</v>
      </c>
      <c r="E12" s="11" t="n">
        <v>2.576343705725441</v>
      </c>
      <c r="F12" s="11" t="n">
        <v>1.260372588372185</v>
      </c>
      <c r="G12" s="11" t="n">
        <v>1.762858466653799</v>
      </c>
      <c r="H12" s="11" t="n">
        <v>0.8795988103075371</v>
      </c>
    </row>
    <row r="13">
      <c r="A13" s="10" t="inlineStr">
        <is>
          <t>1093</t>
        </is>
      </c>
      <c r="B13" s="10" t="inlineStr">
        <is>
          <t>Outros produtos alimentares</t>
        </is>
      </c>
      <c r="C13" s="11" t="n">
        <v>253228</v>
      </c>
      <c r="D13" s="11" t="n">
        <v>48541</v>
      </c>
      <c r="E13" s="11" t="n">
        <v>2.848559762225877</v>
      </c>
      <c r="F13" s="11" t="n">
        <v>1.393543350862245</v>
      </c>
      <c r="G13" s="11" t="n">
        <v>1.514373628127402</v>
      </c>
      <c r="H13" s="11" t="n">
        <v>0.7556143994874464</v>
      </c>
    </row>
    <row r="14">
      <c r="A14" s="10" t="inlineStr">
        <is>
          <t>1100</t>
        </is>
      </c>
      <c r="B14" s="10" t="inlineStr">
        <is>
          <t>Fabricação de bebidas</t>
        </is>
      </c>
      <c r="C14" s="11" t="n">
        <v>76444</v>
      </c>
      <c r="D14" s="11" t="n">
        <v>22923</v>
      </c>
      <c r="E14" s="11" t="n">
        <v>2.211842475430227</v>
      </c>
      <c r="F14" s="11" t="n">
        <v>1.082055014489835</v>
      </c>
      <c r="G14" s="11" t="n">
        <v>1.596263429742546</v>
      </c>
      <c r="H14" s="11" t="n">
        <v>0.7964742719273062</v>
      </c>
    </row>
    <row r="15">
      <c r="A15" s="10" t="inlineStr">
        <is>
          <t>1200</t>
        </is>
      </c>
      <c r="B15" s="10" t="inlineStr">
        <is>
          <t>Fabricação de produtos do fumo</t>
        </is>
      </c>
      <c r="C15" s="11" t="n">
        <v>15084</v>
      </c>
      <c r="D15" s="11" t="n">
        <v>4258</v>
      </c>
      <c r="E15" s="11" t="n">
        <v>2.317178644341947</v>
      </c>
      <c r="F15" s="11" t="n">
        <v>1.133586500589859</v>
      </c>
      <c r="G15" s="11" t="n">
        <v>1.04771731681306</v>
      </c>
      <c r="H15" s="11" t="n">
        <v>0.5227707855393906</v>
      </c>
    </row>
    <row r="16">
      <c r="A16" s="10" t="inlineStr">
        <is>
          <t>1300</t>
        </is>
      </c>
      <c r="B16" s="10" t="inlineStr">
        <is>
          <t>Fabricação de produtos têxteis</t>
        </is>
      </c>
      <c r="C16" s="11" t="n">
        <v>46430</v>
      </c>
      <c r="D16" s="11" t="n">
        <v>13375</v>
      </c>
      <c r="E16" s="11" t="n">
        <v>2.412556650125559</v>
      </c>
      <c r="F16" s="11" t="n">
        <v>1.180246355700076</v>
      </c>
      <c r="G16" s="11" t="n">
        <v>1.971332901780335</v>
      </c>
      <c r="H16" s="11" t="n">
        <v>0.9836195632979405</v>
      </c>
    </row>
    <row r="17">
      <c r="A17" s="10" t="inlineStr">
        <is>
          <t>1400</t>
        </is>
      </c>
      <c r="B17" s="10" t="inlineStr">
        <is>
          <t>Confecção de artefatos do vestuário e acessórios</t>
        </is>
      </c>
      <c r="C17" s="11" t="n">
        <v>61302</v>
      </c>
      <c r="D17" s="11" t="n">
        <v>24929</v>
      </c>
      <c r="E17" s="11" t="n">
        <v>2.191685620866791</v>
      </c>
      <c r="F17" s="11" t="n">
        <v>1.072194083705211</v>
      </c>
      <c r="G17" s="11" t="n">
        <v>1.15297921063503</v>
      </c>
      <c r="H17" s="11" t="n">
        <v>0.5752924362152221</v>
      </c>
    </row>
    <row r="18">
      <c r="A18" s="10" t="inlineStr">
        <is>
          <t>1500</t>
        </is>
      </c>
      <c r="B18" s="10" t="inlineStr">
        <is>
          <t>Fabricação de calçados e de artefatos de couro</t>
        </is>
      </c>
      <c r="C18" s="11" t="n">
        <v>40232</v>
      </c>
      <c r="D18" s="11" t="n">
        <v>13536</v>
      </c>
      <c r="E18" s="11" t="n">
        <v>2.805309919528336</v>
      </c>
      <c r="F18" s="11" t="n">
        <v>1.372385103976844</v>
      </c>
      <c r="G18" s="11" t="n">
        <v>1.166491549978784</v>
      </c>
      <c r="H18" s="11" t="n">
        <v>0.58203457566434</v>
      </c>
    </row>
    <row r="19">
      <c r="A19" s="10" t="inlineStr">
        <is>
          <t>1600</t>
        </is>
      </c>
      <c r="B19" s="10" t="inlineStr">
        <is>
          <t>Fabricação de produtos da madeira</t>
        </is>
      </c>
      <c r="C19" s="11" t="n">
        <v>26588</v>
      </c>
      <c r="D19" s="11" t="n">
        <v>9840</v>
      </c>
      <c r="E19" s="11" t="n">
        <v>2.257297258059475</v>
      </c>
      <c r="F19" s="11" t="n">
        <v>1.104291939597694</v>
      </c>
      <c r="G19" s="11" t="n">
        <v>2.316600376270023</v>
      </c>
      <c r="H19" s="11" t="n">
        <v>1.155894800104379</v>
      </c>
    </row>
    <row r="20">
      <c r="A20" s="10" t="inlineStr">
        <is>
          <t>1700</t>
        </is>
      </c>
      <c r="B20" s="10" t="inlineStr">
        <is>
          <t>Fabricação de celulose, papel e produtos de papel</t>
        </is>
      </c>
      <c r="C20" s="11" t="n">
        <v>80337</v>
      </c>
      <c r="D20" s="11" t="n">
        <v>22787</v>
      </c>
      <c r="E20" s="11" t="n">
        <v>2.863724534308793</v>
      </c>
      <c r="F20" s="11" t="n">
        <v>1.400962105976224</v>
      </c>
      <c r="G20" s="11" t="n">
        <v>2.183520566969065</v>
      </c>
      <c r="H20" s="11" t="n">
        <v>1.089493075773514</v>
      </c>
    </row>
    <row r="21">
      <c r="A21" s="10" t="inlineStr">
        <is>
          <t>1800</t>
        </is>
      </c>
      <c r="B21" s="10" t="inlineStr">
        <is>
          <t>Impressão e reprodução de gravações</t>
        </is>
      </c>
      <c r="C21" s="11" t="n">
        <v>19473</v>
      </c>
      <c r="D21" s="11" t="n">
        <v>8396</v>
      </c>
      <c r="E21" s="11" t="n">
        <v>1.964812037728672</v>
      </c>
      <c r="F21" s="11" t="n">
        <v>0.9612053035290242</v>
      </c>
      <c r="G21" s="11" t="n">
        <v>3.189190344285237</v>
      </c>
      <c r="H21" s="11" t="n">
        <v>1.591283750647511</v>
      </c>
    </row>
    <row r="22">
      <c r="A22" s="10" t="inlineStr">
        <is>
          <t>1991</t>
        </is>
      </c>
      <c r="B22" s="10" t="inlineStr">
        <is>
          <t>Refino de petróleo e coquerias</t>
        </is>
      </c>
      <c r="C22" s="11" t="n">
        <v>373349</v>
      </c>
      <c r="D22" s="11" t="n">
        <v>36427</v>
      </c>
      <c r="E22" s="11" t="n">
        <v>2.433307286272824</v>
      </c>
      <c r="F22" s="11" t="n">
        <v>1.190397770254421</v>
      </c>
      <c r="G22" s="11" t="n">
        <v>2.836791293863845</v>
      </c>
      <c r="H22" s="11" t="n">
        <v>1.415450130780945</v>
      </c>
    </row>
    <row r="23">
      <c r="A23" s="10" t="inlineStr">
        <is>
          <t>1992</t>
        </is>
      </c>
      <c r="B23" s="10" t="inlineStr">
        <is>
          <t>Fabricação de biocombustíveis</t>
        </is>
      </c>
      <c r="C23" s="11" t="n">
        <v>42841</v>
      </c>
      <c r="D23" s="11" t="n">
        <v>8680</v>
      </c>
      <c r="E23" s="11" t="n">
        <v>2.667093956457154</v>
      </c>
      <c r="F23" s="11" t="n">
        <v>1.304768500360158</v>
      </c>
      <c r="G23" s="11" t="n">
        <v>2.10810148796534</v>
      </c>
      <c r="H23" s="11" t="n">
        <v>1.051861845915289</v>
      </c>
    </row>
    <row r="24">
      <c r="A24" s="10" t="inlineStr">
        <is>
          <t>2091</t>
        </is>
      </c>
      <c r="B24" s="10" t="inlineStr">
        <is>
          <t>Fabricação de químicos orgânicos e inorgânicos, resinas e elastômeros</t>
        </is>
      </c>
      <c r="C24" s="11" t="n">
        <v>145533</v>
      </c>
      <c r="D24" s="11" t="n">
        <v>25439</v>
      </c>
      <c r="E24" s="11" t="n">
        <v>2.219044237275285</v>
      </c>
      <c r="F24" s="11" t="n">
        <v>1.085578186959922</v>
      </c>
      <c r="G24" s="11" t="n">
        <v>3.062240419817613</v>
      </c>
      <c r="H24" s="11" t="n">
        <v>1.527940603910206</v>
      </c>
    </row>
    <row r="25">
      <c r="A25" s="10" t="inlineStr">
        <is>
          <t>2092</t>
        </is>
      </c>
      <c r="B25" s="10" t="inlineStr">
        <is>
          <t>Fabricação de defensivos, desinfestantes, tintas e químicos diversos</t>
        </is>
      </c>
      <c r="C25" s="11" t="n">
        <v>74484</v>
      </c>
      <c r="D25" s="11" t="n">
        <v>15095</v>
      </c>
      <c r="E25" s="11" t="n">
        <v>2.595397663615675</v>
      </c>
      <c r="F25" s="11" t="n">
        <v>1.269693971296164</v>
      </c>
      <c r="G25" s="11" t="n">
        <v>2.780515387218174</v>
      </c>
      <c r="H25" s="11" t="n">
        <v>1.38737061023471</v>
      </c>
    </row>
    <row r="26">
      <c r="A26" s="10" t="inlineStr">
        <is>
          <t>2093</t>
        </is>
      </c>
      <c r="B26" s="10" t="inlineStr">
        <is>
          <t>Fabricação de produtos de limpeza, cosméticos/perfumaria e higiene pessoal</t>
        </is>
      </c>
      <c r="C26" s="11" t="n">
        <v>40475</v>
      </c>
      <c r="D26" s="11" t="n">
        <v>8397</v>
      </c>
      <c r="E26" s="11" t="n">
        <v>2.316536429166967</v>
      </c>
      <c r="F26" s="11" t="n">
        <v>1.133272322632708</v>
      </c>
      <c r="G26" s="11" t="n">
        <v>1.487113454660066</v>
      </c>
      <c r="H26" s="11" t="n">
        <v>0.7420126177198154</v>
      </c>
    </row>
    <row r="27">
      <c r="A27" s="10" t="inlineStr">
        <is>
          <t>2100</t>
        </is>
      </c>
      <c r="B27" s="10" t="inlineStr">
        <is>
          <t>Fabricação de produtos farmoquímicos e farmacêuticos</t>
        </is>
      </c>
      <c r="C27" s="11" t="n">
        <v>57972</v>
      </c>
      <c r="D27" s="11" t="n">
        <v>23147</v>
      </c>
      <c r="E27" s="11" t="n">
        <v>2.650117168180106</v>
      </c>
      <c r="F27" s="11" t="n">
        <v>1.296463289166699</v>
      </c>
      <c r="G27" s="11" t="n">
        <v>1.398448180262032</v>
      </c>
      <c r="H27" s="11" t="n">
        <v>0.697772044042826</v>
      </c>
    </row>
    <row r="28">
      <c r="A28" s="10" t="inlineStr">
        <is>
          <t>2200</t>
        </is>
      </c>
      <c r="B28" s="10" t="inlineStr">
        <is>
          <t>Fabricação de produtos de borracha e de material plástico</t>
        </is>
      </c>
      <c r="C28" s="11" t="n">
        <v>101171</v>
      </c>
      <c r="D28" s="11" t="n">
        <v>26077</v>
      </c>
      <c r="E28" s="11" t="n">
        <v>2.619776724692735</v>
      </c>
      <c r="F28" s="11" t="n">
        <v>1.281620446883832</v>
      </c>
      <c r="G28" s="11" t="n">
        <v>2.56358057365645</v>
      </c>
      <c r="H28" s="11" t="n">
        <v>1.279128452663558</v>
      </c>
    </row>
    <row r="29">
      <c r="A29" s="10" t="inlineStr">
        <is>
          <t>2300</t>
        </is>
      </c>
      <c r="B29" s="10" t="inlineStr">
        <is>
          <t>Fabricação de produtos de minerais não-metálicos</t>
        </is>
      </c>
      <c r="C29" s="11" t="n">
        <v>89569</v>
      </c>
      <c r="D29" s="11" t="n">
        <v>27750</v>
      </c>
      <c r="E29" s="11" t="n">
        <v>2.5192351913731</v>
      </c>
      <c r="F29" s="11" t="n">
        <v>1.2324345435017</v>
      </c>
      <c r="G29" s="11" t="n">
        <v>2.369185681890257</v>
      </c>
      <c r="H29" s="11" t="n">
        <v>1.18213285218749</v>
      </c>
    </row>
    <row r="30">
      <c r="A30" s="10" t="inlineStr">
        <is>
          <t>2491</t>
        </is>
      </c>
      <c r="B30" s="10" t="inlineStr">
        <is>
          <t>Produção de ferro-gusa/ferroligas, siderurgia e tubos de aço sem costura</t>
        </is>
      </c>
      <c r="C30" s="11" t="n">
        <v>101592</v>
      </c>
      <c r="D30" s="11" t="n">
        <v>21747</v>
      </c>
      <c r="E30" s="11" t="n">
        <v>2.681211881117417</v>
      </c>
      <c r="F30" s="11" t="n">
        <v>1.31167512745613</v>
      </c>
      <c r="G30" s="11" t="n">
        <v>2.318858772247079</v>
      </c>
      <c r="H30" s="11" t="n">
        <v>1.157021653140058</v>
      </c>
    </row>
    <row r="31">
      <c r="A31" s="10" t="inlineStr">
        <is>
          <t>2492</t>
        </is>
      </c>
      <c r="B31" s="10" t="inlineStr">
        <is>
          <t>Metalurgia de metais não-ferrosos e a fundição de metais</t>
        </is>
      </c>
      <c r="C31" s="11" t="n">
        <v>57162</v>
      </c>
      <c r="D31" s="11" t="n">
        <v>12555</v>
      </c>
      <c r="E31" s="11" t="n">
        <v>2.458964311643461</v>
      </c>
      <c r="F31" s="11" t="n">
        <v>1.202949438498241</v>
      </c>
      <c r="G31" s="11" t="n">
        <v>2.387743623157159</v>
      </c>
      <c r="H31" s="11" t="n">
        <v>1.191392553614973</v>
      </c>
    </row>
    <row r="32">
      <c r="A32" s="10" t="inlineStr">
        <is>
          <t>2500</t>
        </is>
      </c>
      <c r="B32" s="10" t="inlineStr">
        <is>
          <t>Fabricação de produtos de metal, exceto máquinas e equipamentos</t>
        </is>
      </c>
      <c r="C32" s="11" t="n">
        <v>91269</v>
      </c>
      <c r="D32" s="11" t="n">
        <v>34302</v>
      </c>
      <c r="E32" s="11" t="n">
        <v>2.547433717388889</v>
      </c>
      <c r="F32" s="11" t="n">
        <v>1.246229538767206</v>
      </c>
      <c r="G32" s="11" t="n">
        <v>2.266284599483522</v>
      </c>
      <c r="H32" s="11" t="n">
        <v>1.130789155925743</v>
      </c>
    </row>
    <row r="33">
      <c r="A33" s="10" t="inlineStr">
        <is>
          <t>2600</t>
        </is>
      </c>
      <c r="B33" s="10" t="inlineStr">
        <is>
          <t>Fabricação de equipamentos de informática, produtos eletrônicos e ópticos</t>
        </is>
      </c>
      <c r="C33" s="11" t="n">
        <v>85209</v>
      </c>
      <c r="D33" s="11" t="n">
        <v>13715</v>
      </c>
      <c r="E33" s="11" t="n">
        <v>2.114207256561599</v>
      </c>
      <c r="F33" s="11" t="n">
        <v>1.034290908618298</v>
      </c>
      <c r="G33" s="11" t="n">
        <v>1.565679442553518</v>
      </c>
      <c r="H33" s="11" t="n">
        <v>0.7812140345033719</v>
      </c>
    </row>
    <row r="34">
      <c r="A34" s="10" t="inlineStr">
        <is>
          <t>2700</t>
        </is>
      </c>
      <c r="B34" s="10" t="inlineStr">
        <is>
          <t>Fabricação de máquinas e equipamentos elétricos</t>
        </is>
      </c>
      <c r="C34" s="11" t="n">
        <v>71998</v>
      </c>
      <c r="D34" s="11" t="n">
        <v>17037</v>
      </c>
      <c r="E34" s="11" t="n">
        <v>2.659998379716165</v>
      </c>
      <c r="F34" s="11" t="n">
        <v>1.301297274683568</v>
      </c>
      <c r="G34" s="11" t="n">
        <v>1.949577682166642</v>
      </c>
      <c r="H34" s="11" t="n">
        <v>0.9727645425165465</v>
      </c>
    </row>
    <row r="35">
      <c r="A35" s="10" t="inlineStr">
        <is>
          <t>2800</t>
        </is>
      </c>
      <c r="B35" s="10" t="inlineStr">
        <is>
          <t>Fabricação de máquinas e equipamentos mecânicos</t>
        </is>
      </c>
      <c r="C35" s="11" t="n">
        <v>120638</v>
      </c>
      <c r="D35" s="11" t="n">
        <v>37643</v>
      </c>
      <c r="E35" s="11" t="n">
        <v>2.699803796406247</v>
      </c>
      <c r="F35" s="11" t="n">
        <v>1.320770474611598</v>
      </c>
      <c r="G35" s="11" t="n">
        <v>1.677071630725799</v>
      </c>
      <c r="H35" s="11" t="n">
        <v>0.8367944671060382</v>
      </c>
    </row>
    <row r="36">
      <c r="A36" s="10" t="inlineStr">
        <is>
          <t>2991</t>
        </is>
      </c>
      <c r="B36" s="10" t="inlineStr">
        <is>
          <t>Fabricação de automóveis, caminhões e ônibus, exceto peças</t>
        </is>
      </c>
      <c r="C36" s="11" t="n">
        <v>146446</v>
      </c>
      <c r="D36" s="11" t="n">
        <v>22410</v>
      </c>
      <c r="E36" s="11" t="n">
        <v>2.232684446970639</v>
      </c>
      <c r="F36" s="11" t="n">
        <v>1.092251111213572</v>
      </c>
      <c r="G36" s="11" t="n">
        <v>1.088768067315034</v>
      </c>
      <c r="H36" s="11" t="n">
        <v>0.5432535366999575</v>
      </c>
    </row>
    <row r="37">
      <c r="A37" s="10" t="inlineStr">
        <is>
          <t>2992</t>
        </is>
      </c>
      <c r="B37" s="10" t="inlineStr">
        <is>
          <t>Fabricação de peças e acessórios para veículos automotores</t>
        </is>
      </c>
      <c r="C37" s="11" t="n">
        <v>70497</v>
      </c>
      <c r="D37" s="11" t="n">
        <v>18416</v>
      </c>
      <c r="E37" s="11" t="n">
        <v>2.144482005346064</v>
      </c>
      <c r="F37" s="11" t="n">
        <v>1.04910161240871</v>
      </c>
      <c r="G37" s="11" t="n">
        <v>2.355149456865575</v>
      </c>
      <c r="H37" s="11" t="n">
        <v>1.1751293138624</v>
      </c>
    </row>
    <row r="38">
      <c r="A38" s="10" t="inlineStr">
        <is>
          <t>3000</t>
        </is>
      </c>
      <c r="B38" s="10" t="inlineStr">
        <is>
          <t>Fabricação de outros equipamentos de transporte, exceto veículos automotores</t>
        </is>
      </c>
      <c r="C38" s="11" t="n">
        <v>51015</v>
      </c>
      <c r="D38" s="11" t="n">
        <v>12065</v>
      </c>
      <c r="E38" s="11" t="n">
        <v>2.165805930489636</v>
      </c>
      <c r="F38" s="11" t="n">
        <v>1.05953348555814</v>
      </c>
      <c r="G38" s="11" t="n">
        <v>1.462220372138796</v>
      </c>
      <c r="H38" s="11" t="n">
        <v>0.7295919236114796</v>
      </c>
    </row>
    <row r="39">
      <c r="A39" s="10" t="inlineStr">
        <is>
          <t>3180</t>
        </is>
      </c>
      <c r="B39" s="10" t="inlineStr">
        <is>
          <t>Fabricação de móveis e de produtos de indústrias diversas</t>
        </is>
      </c>
      <c r="C39" s="11" t="n">
        <v>70398</v>
      </c>
      <c r="D39" s="11" t="n">
        <v>31376</v>
      </c>
      <c r="E39" s="11" t="n">
        <v>2.153773284519741</v>
      </c>
      <c r="F39" s="11" t="n">
        <v>1.053646997232712</v>
      </c>
      <c r="G39" s="11" t="n">
        <v>1.352964396928368</v>
      </c>
      <c r="H39" s="11" t="n">
        <v>0.6750773794027783</v>
      </c>
    </row>
    <row r="40">
      <c r="A40" s="10" t="inlineStr">
        <is>
          <t>3300</t>
        </is>
      </c>
      <c r="B40" s="10" t="inlineStr">
        <is>
          <t>Manutenção, reparação e instalação de máquinas e equipamentos</t>
        </is>
      </c>
      <c r="C40" s="11" t="n">
        <v>62460</v>
      </c>
      <c r="D40" s="11" t="n">
        <v>22185</v>
      </c>
      <c r="E40" s="11" t="n">
        <v>1.919347021323697</v>
      </c>
      <c r="F40" s="11" t="n">
        <v>0.9389633719577911</v>
      </c>
      <c r="G40" s="11" t="n">
        <v>2.823042536983943</v>
      </c>
      <c r="H40" s="11" t="n">
        <v>1.408590028042394</v>
      </c>
    </row>
    <row r="41">
      <c r="A41" s="10" t="inlineStr">
        <is>
          <t>3500</t>
        </is>
      </c>
      <c r="B41" s="10" t="inlineStr">
        <is>
          <t>Energia elétrica, gás natural e outras utilidades</t>
        </is>
      </c>
      <c r="C41" s="11" t="n">
        <v>260753</v>
      </c>
      <c r="D41" s="11" t="n">
        <v>85465</v>
      </c>
      <c r="E41" s="11" t="n">
        <v>2.111967893057469</v>
      </c>
      <c r="F41" s="11" t="n">
        <v>1.033195390046869</v>
      </c>
      <c r="G41" s="11" t="n">
        <v>2.531787324585862</v>
      </c>
      <c r="H41" s="11" t="n">
        <v>1.263264839907746</v>
      </c>
    </row>
    <row r="42">
      <c r="A42" s="10" t="inlineStr">
        <is>
          <t>3680</t>
        </is>
      </c>
      <c r="B42" s="10" t="inlineStr">
        <is>
          <t>Água, esgoto e gestão de resíduos</t>
        </is>
      </c>
      <c r="C42" s="11" t="n">
        <v>62845</v>
      </c>
      <c r="D42" s="11" t="n">
        <v>37718</v>
      </c>
      <c r="E42" s="11" t="n">
        <v>1.620449132434559</v>
      </c>
      <c r="F42" s="11" t="n">
        <v>0.7927395955878181</v>
      </c>
      <c r="G42" s="11" t="n">
        <v>2.143708251889092</v>
      </c>
      <c r="H42" s="11" t="n">
        <v>1.069628256423379</v>
      </c>
    </row>
    <row r="43">
      <c r="A43" s="10" t="inlineStr">
        <is>
          <t>4180</t>
        </is>
      </c>
      <c r="B43" s="10" t="inlineStr">
        <is>
          <t>Construção</t>
        </is>
      </c>
      <c r="C43" s="11" t="n">
        <v>632308</v>
      </c>
      <c r="D43" s="11" t="n">
        <v>296018</v>
      </c>
      <c r="E43" s="11" t="n">
        <v>1.875921262808254</v>
      </c>
      <c r="F43" s="11" t="n">
        <v>0.9177190653303406</v>
      </c>
      <c r="G43" s="11" t="n">
        <v>1.239423523639708</v>
      </c>
      <c r="H43" s="11" t="n">
        <v>0.6184248352790547</v>
      </c>
    </row>
    <row r="44">
      <c r="A44" s="10" t="inlineStr">
        <is>
          <t>4500</t>
        </is>
      </c>
      <c r="B44" s="10" t="inlineStr">
        <is>
          <t>Comércio e reparação de veículos automotores e motocicletas</t>
        </is>
      </c>
      <c r="C44" s="11" t="n">
        <v>146401</v>
      </c>
      <c r="D44" s="11" t="n">
        <v>86906</v>
      </c>
      <c r="E44" s="11" t="n">
        <v>1.594177804066632</v>
      </c>
      <c r="F44" s="11" t="n">
        <v>0.7798874042977062</v>
      </c>
      <c r="G44" s="11" t="n">
        <v>1.749558398236834</v>
      </c>
      <c r="H44" s="11" t="n">
        <v>0.8729625859152419</v>
      </c>
    </row>
    <row r="45">
      <c r="A45" s="10" t="inlineStr">
        <is>
          <t>4680</t>
        </is>
      </c>
      <c r="B45" s="10" t="inlineStr">
        <is>
          <t>Comércio por atacado e a varejo, exceto veículos automotores</t>
        </is>
      </c>
      <c r="C45" s="11" t="n">
        <v>954362</v>
      </c>
      <c r="D45" s="11" t="n">
        <v>598802</v>
      </c>
      <c r="E45" s="11" t="n">
        <v>1.799857541633545</v>
      </c>
      <c r="F45" s="11" t="n">
        <v>0.8805079475260124</v>
      </c>
      <c r="G45" s="11" t="n">
        <v>2.644109337798582</v>
      </c>
      <c r="H45" s="11" t="n">
        <v>1.319309219568464</v>
      </c>
    </row>
    <row r="46">
      <c r="A46" s="10" t="inlineStr">
        <is>
          <t>4900</t>
        </is>
      </c>
      <c r="B46" s="10" t="inlineStr">
        <is>
          <t>Transporte terrestre</t>
        </is>
      </c>
      <c r="C46" s="11" t="n">
        <v>332855</v>
      </c>
      <c r="D46" s="11" t="n">
        <v>145771</v>
      </c>
      <c r="E46" s="11" t="n">
        <v>2.082717952610717</v>
      </c>
      <c r="F46" s="11" t="n">
        <v>1.018886032538133</v>
      </c>
      <c r="G46" s="11" t="n">
        <v>2.660386750212565</v>
      </c>
      <c r="H46" s="11" t="n">
        <v>1.327431024503491</v>
      </c>
    </row>
    <row r="47">
      <c r="A47" s="10" t="inlineStr">
        <is>
          <t>5000</t>
        </is>
      </c>
      <c r="B47" s="10" t="inlineStr">
        <is>
          <t>Transporte aquaviário</t>
        </is>
      </c>
      <c r="C47" s="11" t="n">
        <v>20080</v>
      </c>
      <c r="D47" s="11" t="n">
        <v>8758</v>
      </c>
      <c r="E47" s="11" t="n">
        <v>1.792696316900083</v>
      </c>
      <c r="F47" s="11" t="n">
        <v>0.8770046062081711</v>
      </c>
      <c r="G47" s="11" t="n">
        <v>2.789365532912819</v>
      </c>
      <c r="H47" s="11" t="n">
        <v>1.391786493739433</v>
      </c>
    </row>
    <row r="48">
      <c r="A48" s="10" t="inlineStr">
        <is>
          <t>5100</t>
        </is>
      </c>
      <c r="B48" s="10" t="inlineStr">
        <is>
          <t>Transporte aéreo</t>
        </is>
      </c>
      <c r="C48" s="11" t="n">
        <v>37338</v>
      </c>
      <c r="D48" s="11" t="n">
        <v>6882</v>
      </c>
      <c r="E48" s="11" t="n">
        <v>1.988915610302952</v>
      </c>
      <c r="F48" s="11" t="n">
        <v>0.9729970074414138</v>
      </c>
      <c r="G48" s="11" t="n">
        <v>2.213764534924198</v>
      </c>
      <c r="H48" s="11" t="n">
        <v>1.104583656631551</v>
      </c>
    </row>
    <row r="49">
      <c r="A49" s="10" t="inlineStr">
        <is>
          <t>5280</t>
        </is>
      </c>
      <c r="B49" s="10" t="inlineStr">
        <is>
          <t>Armazenamento, atividades auxiliares dos transportes e correio</t>
        </is>
      </c>
      <c r="C49" s="11" t="n">
        <v>115220</v>
      </c>
      <c r="D49" s="11" t="n">
        <v>65089</v>
      </c>
      <c r="E49" s="11" t="n">
        <v>1.673467289589755</v>
      </c>
      <c r="F49" s="11" t="n">
        <v>0.8186765976329714</v>
      </c>
      <c r="G49" s="11" t="n">
        <v>2.547056981792586</v>
      </c>
      <c r="H49" s="11" t="n">
        <v>1.270883813618286</v>
      </c>
    </row>
    <row r="50">
      <c r="A50" s="10" t="inlineStr">
        <is>
          <t>5500</t>
        </is>
      </c>
      <c r="B50" s="10" t="inlineStr">
        <is>
          <t>Alojamento</t>
        </is>
      </c>
      <c r="C50" s="11" t="n">
        <v>23990</v>
      </c>
      <c r="D50" s="11" t="n">
        <v>13124</v>
      </c>
      <c r="E50" s="11" t="n">
        <v>1.679826762910632</v>
      </c>
      <c r="F50" s="11" t="n">
        <v>0.8217877143028104</v>
      </c>
      <c r="G50" s="11" t="n">
        <v>2.07693877743511</v>
      </c>
      <c r="H50" s="11" t="n">
        <v>1.036312847724653</v>
      </c>
    </row>
    <row r="51">
      <c r="A51" s="10" t="inlineStr">
        <is>
          <t>5600</t>
        </is>
      </c>
      <c r="B51" s="10" t="inlineStr">
        <is>
          <t>Alimentação</t>
        </is>
      </c>
      <c r="C51" s="11" t="n">
        <v>223426</v>
      </c>
      <c r="D51" s="11" t="n">
        <v>109506</v>
      </c>
      <c r="E51" s="11" t="n">
        <v>1.80626983323993</v>
      </c>
      <c r="F51" s="11" t="n">
        <v>0.8836449034187281</v>
      </c>
      <c r="G51" s="11" t="n">
        <v>1.23542325826135</v>
      </c>
      <c r="H51" s="11" t="n">
        <v>0.6164288561722367</v>
      </c>
    </row>
    <row r="52">
      <c r="A52" s="10" t="inlineStr">
        <is>
          <t>5800</t>
        </is>
      </c>
      <c r="B52" s="10" t="inlineStr">
        <is>
          <t>Edição e edição integrada à impressão</t>
        </is>
      </c>
      <c r="C52" s="11" t="n">
        <v>20486</v>
      </c>
      <c r="D52" s="11" t="n">
        <v>8757</v>
      </c>
      <c r="E52" s="11" t="n">
        <v>2.558622215467352</v>
      </c>
      <c r="F52" s="11" t="n">
        <v>1.251703061671705</v>
      </c>
      <c r="G52" s="11" t="n">
        <v>1.807955181093983</v>
      </c>
      <c r="H52" s="11" t="n">
        <v>0.9021003424048123</v>
      </c>
    </row>
    <row r="53">
      <c r="A53" s="10" t="inlineStr">
        <is>
          <t>5980</t>
        </is>
      </c>
      <c r="B53" s="10" t="inlineStr">
        <is>
          <t>Atividades de televisão, rádio, cinema e  gravação/edição de som e imagem</t>
        </is>
      </c>
      <c r="C53" s="11" t="n">
        <v>43404</v>
      </c>
      <c r="D53" s="11" t="n">
        <v>19242</v>
      </c>
      <c r="E53" s="11" t="n">
        <v>2.259389715218976</v>
      </c>
      <c r="F53" s="11" t="n">
        <v>1.105315590145684</v>
      </c>
      <c r="G53" s="11" t="n">
        <v>3.734062699527594</v>
      </c>
      <c r="H53" s="11" t="n">
        <v>1.863154172752569</v>
      </c>
    </row>
    <row r="54">
      <c r="A54" s="10" t="inlineStr">
        <is>
          <t>6100</t>
        </is>
      </c>
      <c r="B54" s="10" t="inlineStr">
        <is>
          <t>Telecomunicações</t>
        </is>
      </c>
      <c r="C54" s="11" t="n">
        <v>161039</v>
      </c>
      <c r="D54" s="11" t="n">
        <v>65303</v>
      </c>
      <c r="E54" s="11" t="n">
        <v>2.620959427765872</v>
      </c>
      <c r="F54" s="11" t="n">
        <v>1.282199036817409</v>
      </c>
      <c r="G54" s="11" t="n">
        <v>1.7775305268129</v>
      </c>
      <c r="H54" s="11" t="n">
        <v>0.8869196059952374</v>
      </c>
    </row>
    <row r="55">
      <c r="A55" s="10" t="inlineStr">
        <is>
          <t>6280</t>
        </is>
      </c>
      <c r="B55" s="10" t="inlineStr">
        <is>
          <t>Desenvolvimento de sistemas e outros serviços de informação</t>
        </is>
      </c>
      <c r="C55" s="11" t="n">
        <v>125537</v>
      </c>
      <c r="D55" s="11" t="n">
        <v>82702</v>
      </c>
      <c r="E55" s="11" t="n">
        <v>1.520898933995273</v>
      </c>
      <c r="F55" s="11" t="n">
        <v>0.744038662943989</v>
      </c>
      <c r="G55" s="11" t="n">
        <v>2.00374681240854</v>
      </c>
      <c r="H55" s="11" t="n">
        <v>0.9997928623830922</v>
      </c>
    </row>
    <row r="56">
      <c r="A56" s="10" t="inlineStr">
        <is>
          <t>6480</t>
        </is>
      </c>
      <c r="B56" s="10" t="inlineStr">
        <is>
          <t>Intermediação financeira, seguros e previdência complementar</t>
        </is>
      </c>
      <c r="C56" s="11" t="n">
        <v>574611</v>
      </c>
      <c r="D56" s="11" t="n">
        <v>365276</v>
      </c>
      <c r="E56" s="11" t="n">
        <v>1.521744085406991</v>
      </c>
      <c r="F56" s="11" t="n">
        <v>0.7444521192968765</v>
      </c>
      <c r="G56" s="11" t="n">
        <v>2.001958075244554</v>
      </c>
      <c r="H56" s="11" t="n">
        <v>0.9989003510946614</v>
      </c>
    </row>
    <row r="57">
      <c r="A57" s="10" t="inlineStr">
        <is>
          <t>6800</t>
        </is>
      </c>
      <c r="B57" s="10" t="inlineStr">
        <is>
          <t>Atividades imobiliárias</t>
        </is>
      </c>
      <c r="C57" s="11" t="n">
        <v>545929</v>
      </c>
      <c r="D57" s="11" t="n">
        <v>498884</v>
      </c>
      <c r="E57" s="11" t="n">
        <v>1.121659245393173</v>
      </c>
      <c r="F57" s="11" t="n">
        <v>0.5487266948296079</v>
      </c>
      <c r="G57" s="11" t="n">
        <v>1.293445508088253</v>
      </c>
      <c r="H57" s="11" t="n">
        <v>0.6453797350343302</v>
      </c>
    </row>
    <row r="58">
      <c r="A58" s="10" t="inlineStr">
        <is>
          <t>6980</t>
        </is>
      </c>
      <c r="B58" s="10" t="inlineStr">
        <is>
          <t>Atividades jurídicas, contábeis, consultoria e sedes de empresas</t>
        </is>
      </c>
      <c r="C58" s="11" t="n">
        <v>187868</v>
      </c>
      <c r="D58" s="11" t="n">
        <v>125524</v>
      </c>
      <c r="E58" s="11" t="n">
        <v>1.565329716660615</v>
      </c>
      <c r="F58" s="11" t="n">
        <v>0.765774637234559</v>
      </c>
      <c r="G58" s="11" t="n">
        <v>2.869642608659845</v>
      </c>
      <c r="H58" s="11" t="n">
        <v>1.431841677781567</v>
      </c>
    </row>
    <row r="59">
      <c r="A59" s="10" t="inlineStr">
        <is>
          <t>7180</t>
        </is>
      </c>
      <c r="B59" s="10" t="inlineStr">
        <is>
          <t>Serviços de arquitetura, engenharia, testes/análises técnicas e P &amp; D</t>
        </is>
      </c>
      <c r="C59" s="11" t="n">
        <v>71073</v>
      </c>
      <c r="D59" s="11" t="n">
        <v>44866</v>
      </c>
      <c r="E59" s="11" t="n">
        <v>1.498580922871036</v>
      </c>
      <c r="F59" s="11" t="n">
        <v>0.7331204731910217</v>
      </c>
      <c r="G59" s="11" t="n">
        <v>2.338319386839046</v>
      </c>
      <c r="H59" s="11" t="n">
        <v>1.166731753960256</v>
      </c>
    </row>
    <row r="60">
      <c r="A60" s="10" t="inlineStr">
        <is>
          <t>7380</t>
        </is>
      </c>
      <c r="B60" s="10" t="inlineStr">
        <is>
          <t>Outras atividades profissionais, científicas e técnicas</t>
        </is>
      </c>
      <c r="C60" s="11" t="n">
        <v>94350</v>
      </c>
      <c r="D60" s="11" t="n">
        <v>33439</v>
      </c>
      <c r="E60" s="11" t="n">
        <v>2.210603472548708</v>
      </c>
      <c r="F60" s="11" t="n">
        <v>1.081448882138274</v>
      </c>
      <c r="G60" s="11" t="n">
        <v>2.921854511748139</v>
      </c>
      <c r="H60" s="11" t="n">
        <v>1.457893416312528</v>
      </c>
    </row>
    <row r="61">
      <c r="A61" s="10" t="inlineStr">
        <is>
          <t>7700</t>
        </is>
      </c>
      <c r="B61" s="10" t="inlineStr">
        <is>
          <t>Aluguéis não-imobiliários e gestão de ativos de propriedade intelectual</t>
        </is>
      </c>
      <c r="C61" s="11" t="n">
        <v>45657</v>
      </c>
      <c r="D61" s="11" t="n">
        <v>29535</v>
      </c>
      <c r="E61" s="11" t="n">
        <v>1.508192778355531</v>
      </c>
      <c r="F61" s="11" t="n">
        <v>0.7378226870878438</v>
      </c>
      <c r="G61" s="11" t="n">
        <v>2.943956352931533</v>
      </c>
      <c r="H61" s="11" t="n">
        <v>1.468921387972341</v>
      </c>
    </row>
    <row r="62">
      <c r="A62" s="10" t="inlineStr">
        <is>
          <t>7880</t>
        </is>
      </c>
      <c r="B62" s="10" t="inlineStr">
        <is>
          <t>Outras atividades administrativas e serviços complementares</t>
        </is>
      </c>
      <c r="C62" s="11" t="n">
        <v>208430</v>
      </c>
      <c r="D62" s="11" t="n">
        <v>146846</v>
      </c>
      <c r="E62" s="11" t="n">
        <v>1.472182875172457</v>
      </c>
      <c r="F62" s="11" t="n">
        <v>0.7202062895625367</v>
      </c>
      <c r="G62" s="11" t="n">
        <v>2.40422342057755</v>
      </c>
      <c r="H62" s="11" t="n">
        <v>1.199615340911448</v>
      </c>
    </row>
    <row r="63">
      <c r="A63" s="10" t="inlineStr">
        <is>
          <t>8000</t>
        </is>
      </c>
      <c r="B63" s="10" t="inlineStr">
        <is>
          <t>Atividades de vigilância, segurança e investigação</t>
        </is>
      </c>
      <c r="C63" s="11" t="n">
        <v>39955</v>
      </c>
      <c r="D63" s="11" t="n">
        <v>32943</v>
      </c>
      <c r="E63" s="11" t="n">
        <v>1.285853026011088</v>
      </c>
      <c r="F63" s="11" t="n">
        <v>0.6290519013663441</v>
      </c>
      <c r="G63" s="11" t="n">
        <v>2.823284125506446</v>
      </c>
      <c r="H63" s="11" t="n">
        <v>1.408710571455832</v>
      </c>
    </row>
    <row r="64">
      <c r="A64" s="10" t="inlineStr">
        <is>
          <t>8400</t>
        </is>
      </c>
      <c r="B64" s="10" t="inlineStr">
        <is>
          <t>Administração pública, defesa e seguridade social</t>
        </is>
      </c>
      <c r="C64" s="11" t="n">
        <v>719620</v>
      </c>
      <c r="D64" s="11" t="n">
        <v>509142</v>
      </c>
      <c r="E64" s="11" t="n">
        <v>1.420517832246755</v>
      </c>
      <c r="F64" s="11" t="n">
        <v>0.6949312442586369</v>
      </c>
      <c r="G64" s="11" t="n">
        <v>1.068058127642501</v>
      </c>
      <c r="H64" s="11" t="n">
        <v>0.532920070547068</v>
      </c>
    </row>
    <row r="65">
      <c r="A65" s="10" t="inlineStr">
        <is>
          <t>8591</t>
        </is>
      </c>
      <c r="B65" s="10" t="inlineStr">
        <is>
          <t>Educação pública</t>
        </is>
      </c>
      <c r="C65" s="11" t="n">
        <v>309034</v>
      </c>
      <c r="D65" s="11" t="n">
        <v>257301</v>
      </c>
      <c r="E65" s="11" t="n">
        <v>1.23943141128367</v>
      </c>
      <c r="F65" s="11" t="n">
        <v>0.6063419925213449</v>
      </c>
      <c r="G65" s="11" t="n">
        <v>1.011184739250773</v>
      </c>
      <c r="H65" s="11" t="n">
        <v>0.5045424295090558</v>
      </c>
    </row>
    <row r="66">
      <c r="A66" s="10" t="inlineStr">
        <is>
          <t>8592</t>
        </is>
      </c>
      <c r="B66" s="10" t="inlineStr">
        <is>
          <t>Educação privada</t>
        </is>
      </c>
      <c r="C66" s="11" t="n">
        <v>110787</v>
      </c>
      <c r="D66" s="11" t="n">
        <v>76654</v>
      </c>
      <c r="E66" s="11" t="n">
        <v>1.44466046718899</v>
      </c>
      <c r="F66" s="11" t="n">
        <v>0.7067420578642315</v>
      </c>
      <c r="G66" s="11" t="n">
        <v>1.241779397467971</v>
      </c>
      <c r="H66" s="11" t="n">
        <v>0.6196003260264813</v>
      </c>
    </row>
    <row r="67">
      <c r="A67" s="10" t="inlineStr">
        <is>
          <t>8691</t>
        </is>
      </c>
      <c r="B67" s="10" t="inlineStr">
        <is>
          <t>Saúde pública</t>
        </is>
      </c>
      <c r="C67" s="11" t="n">
        <v>179155</v>
      </c>
      <c r="D67" s="11" t="n">
        <v>119144</v>
      </c>
      <c r="E67" s="11" t="n">
        <v>1.471331701607665</v>
      </c>
      <c r="F67" s="11" t="n">
        <v>0.7197898871133497</v>
      </c>
      <c r="G67" s="11" t="n">
        <v>1.002457734934517</v>
      </c>
      <c r="H67" s="11" t="n">
        <v>0.5001879888325456</v>
      </c>
    </row>
    <row r="68">
      <c r="A68" s="10" t="inlineStr">
        <is>
          <t>8692</t>
        </is>
      </c>
      <c r="B68" s="10" t="inlineStr">
        <is>
          <t>Saúde privada</t>
        </is>
      </c>
      <c r="C68" s="11" t="n">
        <v>222681</v>
      </c>
      <c r="D68" s="11" t="n">
        <v>133285</v>
      </c>
      <c r="E68" s="11" t="n">
        <v>1.499878272814473</v>
      </c>
      <c r="F68" s="11" t="n">
        <v>0.7337551494970598</v>
      </c>
      <c r="G68" s="11" t="n">
        <v>1.105782940671458</v>
      </c>
      <c r="H68" s="11" t="n">
        <v>0.5517433063808168</v>
      </c>
    </row>
    <row r="69">
      <c r="A69" s="10" t="inlineStr">
        <is>
          <t>9080</t>
        </is>
      </c>
      <c r="B69" s="10" t="inlineStr">
        <is>
          <t>Atividades artísticas, criativas e de espetáculos</t>
        </is>
      </c>
      <c r="C69" s="11" t="n">
        <v>34631</v>
      </c>
      <c r="D69" s="11" t="n">
        <v>19139</v>
      </c>
      <c r="E69" s="11" t="n">
        <v>1.647032128717331</v>
      </c>
      <c r="F69" s="11" t="n">
        <v>0.805744257876141</v>
      </c>
      <c r="G69" s="11" t="n">
        <v>1.441289681326015</v>
      </c>
      <c r="H69" s="11" t="n">
        <v>0.71914831110027</v>
      </c>
    </row>
    <row r="70">
      <c r="A70" s="10" t="inlineStr">
        <is>
          <t>9480</t>
        </is>
      </c>
      <c r="B70" s="10" t="inlineStr">
        <is>
          <t>Organizações associativas e outros serviços pessoais</t>
        </is>
      </c>
      <c r="C70" s="11" t="n">
        <v>145590</v>
      </c>
      <c r="D70" s="11" t="n">
        <v>71031</v>
      </c>
      <c r="E70" s="11" t="n">
        <v>1.716921780243267</v>
      </c>
      <c r="F70" s="11" t="n">
        <v>0.8399349603039331</v>
      </c>
      <c r="G70" s="11" t="n">
        <v>1.298757339280743</v>
      </c>
      <c r="H70" s="11" t="n">
        <v>0.6480301352144071</v>
      </c>
    </row>
    <row r="71">
      <c r="A71" s="10" t="inlineStr">
        <is>
          <t>9700</t>
        </is>
      </c>
      <c r="B71" s="10" t="inlineStr">
        <is>
          <t>Serviços domésticos</t>
        </is>
      </c>
      <c r="C71" s="11" t="n">
        <v>61996</v>
      </c>
      <c r="D71" s="11" t="n">
        <v>61996</v>
      </c>
      <c r="E71" s="11" t="n">
        <v>1</v>
      </c>
      <c r="F71" s="11" t="n">
        <v>0.4892097997527439</v>
      </c>
      <c r="G71" s="11" t="n">
        <v>1</v>
      </c>
      <c r="H71" s="11" t="n">
        <v>0.4989616732970985</v>
      </c>
    </row>
    <row r="72"/>
    <row r="73"/>
    <row r="74">
      <c r="A74" s="10" t="inlineStr">
        <is>
          <t>Validacion contable y matematica</t>
        </is>
      </c>
    </row>
    <row r="75">
      <c r="A75" s="10" t="inlineStr">
        <is>
          <t>prueba</t>
        </is>
      </c>
      <c r="B75" s="10" t="inlineStr">
        <is>
          <t>resultado</t>
        </is>
      </c>
      <c r="C75" s="10" t="inlineStr">
        <is>
          <t>lectura</t>
        </is>
      </c>
    </row>
    <row r="76">
      <c r="A76" s="10" t="inlineStr">
        <is>
          <t>sectores</t>
        </is>
      </c>
      <c r="B76" s="11" t="n">
        <v>68</v>
      </c>
      <c r="C76" s="10" t="inlineStr">
        <is>
          <t>Cantidad de sectores de la MIP.</t>
        </is>
      </c>
    </row>
    <row r="77">
      <c r="A77" s="10" t="inlineStr">
        <is>
          <t>cuadrada_Z_A_L</t>
        </is>
      </c>
      <c r="B77" s="38" t="b">
        <v>1</v>
      </c>
      <c r="C77" s="10" t="inlineStr">
        <is>
          <t>Z, A y L son matrices cuadradas.</t>
        </is>
      </c>
    </row>
    <row r="78">
      <c r="A78" s="10" t="inlineStr">
        <is>
          <t>max_abs_A_menos_Z_sobre_x</t>
        </is>
      </c>
      <c r="B78" s="11" t="n">
        <v>1.665334536937735e-16</v>
      </c>
      <c r="C78" s="10" t="inlineStr">
        <is>
          <t>Consistencia de coeficientes tecnicos.</t>
        </is>
      </c>
    </row>
    <row r="79">
      <c r="A79" s="10" t="inlineStr">
        <is>
          <t>max_abs_Leontief</t>
        </is>
      </c>
      <c r="B79" s="11" t="n">
        <v>1.110223024625157e-15</v>
      </c>
      <c r="C79" s="10" t="inlineStr">
        <is>
          <t>Residual (I-A)L - I.</t>
        </is>
      </c>
    </row>
    <row r="80">
      <c r="A80" s="10" t="inlineStr">
        <is>
          <t>max_abs_fila_x_menos_Z_menos_y</t>
        </is>
      </c>
      <c r="B80" s="11" t="n">
        <v>224.4737316916289</v>
      </c>
      <c r="C80" s="10" t="inlineStr">
        <is>
          <t>Cierre por filas: x = ventas intermedias + demanda final.</t>
        </is>
      </c>
    </row>
    <row r="81">
      <c r="A81" s="10" t="inlineStr">
        <is>
          <t>max_abs_columna_x_menos_Z_menos_ajuste_menos_v</t>
        </is>
      </c>
      <c r="B81" s="11" t="n">
        <v>229</v>
      </c>
      <c r="C81" s="10" t="inlineStr">
        <is>
          <t>Cierre por columnas con ajuste procesado.</t>
        </is>
      </c>
    </row>
    <row r="82">
      <c r="A82" s="10" t="inlineStr">
        <is>
          <t>max_abs_total_x_menos_Ztotal_menos_ajuste_no_asignado_menos_v</t>
        </is>
      </c>
      <c r="B82" s="11" t="n">
        <v>228.9999999999927</v>
      </c>
      <c r="C82" s="10" t="inlineStr">
        <is>
          <t>Cierre Cuadro 3.</t>
        </is>
      </c>
    </row>
    <row r="83">
      <c r="A83" s="10" t="inlineStr">
        <is>
          <t>sectores_y_negativa</t>
        </is>
      </c>
      <c r="B83" s="11" t="n">
        <v>0</v>
      </c>
      <c r="C83" s="10" t="inlineStr">
        <is>
          <t>Demanda final total negativa.</t>
        </is>
      </c>
    </row>
    <row r="84">
      <c r="A84" s="10" t="inlineStr">
        <is>
          <t>min_y</t>
        </is>
      </c>
      <c r="B84" s="11" t="n">
        <v>440.072707192931</v>
      </c>
      <c r="C84" s="10" t="inlineStr">
        <is>
          <t>Minimo de demanda final total.</t>
        </is>
      </c>
    </row>
    <row r="85">
      <c r="A85" s="10" t="inlineStr">
        <is>
          <t>sectores_va_negativo</t>
        </is>
      </c>
      <c r="B85" s="11" t="n">
        <v>0</v>
      </c>
      <c r="C85" s="10" t="inlineStr">
        <is>
          <t>Valor agregado negativo.</t>
        </is>
      </c>
    </row>
    <row r="86">
      <c r="A86" s="10" t="inlineStr">
        <is>
          <t>min_va</t>
        </is>
      </c>
      <c r="B86" s="11" t="n">
        <v>4258</v>
      </c>
      <c r="C86" s="10" t="inlineStr">
        <is>
          <t>Minimo de valor agregado.</t>
        </is>
      </c>
    </row>
    <row r="87">
      <c r="A87" s="10" t="inlineStr">
        <is>
          <t>sectores_ajuste_negativo</t>
        </is>
      </c>
      <c r="B87" s="11" t="n">
        <v>19</v>
      </c>
      <c r="C87" s="10" t="inlineStr">
        <is>
          <t>Ajuste intermedio/importado con signo negativo.</t>
        </is>
      </c>
    </row>
    <row r="88">
      <c r="A88" s="10" t="inlineStr">
        <is>
          <t>min_ajuste</t>
        </is>
      </c>
      <c r="B88" s="11" t="n">
        <v>-78531.9954223911</v>
      </c>
      <c r="C8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IBGE nivel 68</t>
        </is>
      </c>
    </row>
    <row r="5">
      <c r="A5" s="10" t="inlineStr">
        <is>
          <t>Ano</t>
        </is>
      </c>
      <c r="B5" s="10" t="inlineStr">
        <is>
          <t>2015</t>
        </is>
      </c>
    </row>
    <row r="6">
      <c r="A6" s="10" t="inlineStr">
        <is>
          <t>Archivo fuente COU/referencia</t>
        </is>
      </c>
      <c r="B6" s="10" t="inlineStr">
        <is>
          <t>data\processed\brasil\cou_brasil_2015.xlsx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2026-07-07T00:54:54Z</dcterms:created>
  <dcterms:modified xmlns:dcterms="http://purl.org/dc/terms/" xmlns:xsi="http://www.w3.org/2001/XMLSchema-instance" xsi:type="dcterms:W3CDTF">2026-07-07T00:54:56Z</dcterms:modified>
</cp:coreProperties>
</file>